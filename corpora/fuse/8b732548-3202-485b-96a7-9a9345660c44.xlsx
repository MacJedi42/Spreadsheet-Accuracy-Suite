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15" yWindow="-15" windowWidth="10380" windowHeight="7305" tabRatio="942" activeTab="1"/>
  </bookViews>
  <sheets>
    <sheet name="GRA-FINANC." sheetId="6" r:id="rId1"/>
    <sheet name="CRONO" sheetId="4" r:id="rId2"/>
  </sheets>
  <externalReferences>
    <externalReference r:id="rId3"/>
  </externalReferences>
  <definedNames>
    <definedName name="_xlnm.Print_Area" localSheetId="1">CRONO!$B$1:$AP$505</definedName>
    <definedName name="_xlnm.Print_Area" localSheetId="0">'GRA-FINANC.'!$A$1:$AJ$103</definedName>
    <definedName name="_xlnm.Print_Titles" localSheetId="1">CRONO!$1:$8</definedName>
  </definedNames>
  <calcPr calcId="124519" fullPrecision="0"/>
</workbook>
</file>

<file path=xl/calcChain.xml><?xml version="1.0" encoding="utf-8"?>
<calcChain xmlns="http://schemas.openxmlformats.org/spreadsheetml/2006/main">
  <c r="Q9" i="6"/>
  <c r="AK489" i="4"/>
  <c r="AH49"/>
  <c r="AH45"/>
  <c r="AI41"/>
  <c r="AI33"/>
  <c r="AG29"/>
  <c r="AI21"/>
  <c r="AI17"/>
  <c r="AC304"/>
  <c r="AH171"/>
  <c r="AH168"/>
  <c r="AH159"/>
  <c r="AH156"/>
  <c r="AH155"/>
  <c r="AH132"/>
  <c r="AJ94"/>
  <c r="AI91"/>
  <c r="AJ91"/>
  <c r="AB465"/>
  <c r="AC465"/>
  <c r="AB467"/>
  <c r="AC467"/>
  <c r="AB469"/>
  <c r="AC469"/>
  <c r="AB471"/>
  <c r="AC471"/>
  <c r="AD455"/>
  <c r="AD453"/>
  <c r="I451"/>
  <c r="I447"/>
  <c r="I443"/>
  <c r="I332"/>
  <c r="I328"/>
  <c r="I324"/>
  <c r="I320"/>
  <c r="I316"/>
  <c r="I312"/>
  <c r="I308"/>
  <c r="I304"/>
  <c r="I300"/>
  <c r="I296"/>
  <c r="I292"/>
  <c r="I288"/>
  <c r="I284"/>
  <c r="I280"/>
  <c r="I276"/>
  <c r="I272"/>
  <c r="I268"/>
  <c r="I264"/>
  <c r="I260"/>
  <c r="I256"/>
  <c r="I252"/>
  <c r="I248"/>
  <c r="I244"/>
  <c r="I240"/>
  <c r="I236"/>
  <c r="I232"/>
  <c r="I228"/>
  <c r="I224"/>
  <c r="I220"/>
  <c r="I216"/>
  <c r="I207"/>
  <c r="I203"/>
  <c r="I199"/>
  <c r="I195"/>
  <c r="I191"/>
  <c r="I187"/>
  <c r="I183"/>
  <c r="I179"/>
  <c r="I175"/>
  <c r="I171"/>
  <c r="I167"/>
  <c r="I163"/>
  <c r="I159"/>
  <c r="I155"/>
  <c r="I151"/>
  <c r="I147"/>
  <c r="I143"/>
  <c r="I139"/>
  <c r="I135"/>
  <c r="I131"/>
  <c r="I127"/>
  <c r="I123"/>
  <c r="I119"/>
  <c r="I115"/>
  <c r="I111"/>
  <c r="I107"/>
  <c r="I103"/>
  <c r="I94"/>
  <c r="I90"/>
  <c r="I86"/>
  <c r="I82"/>
  <c r="I78"/>
  <c r="I74"/>
  <c r="I70"/>
  <c r="I66"/>
  <c r="I62"/>
  <c r="I53"/>
  <c r="I49"/>
  <c r="I45"/>
  <c r="I41"/>
  <c r="I37"/>
  <c r="I33"/>
  <c r="I29"/>
  <c r="I25"/>
  <c r="I21"/>
  <c r="I17"/>
  <c r="I13"/>
  <c r="U207"/>
  <c r="U205"/>
  <c r="U200"/>
  <c r="U201" s="1"/>
  <c r="U199"/>
  <c r="U197"/>
  <c r="U195"/>
  <c r="U193"/>
  <c r="U188"/>
  <c r="U189" s="1"/>
  <c r="U187"/>
  <c r="U185"/>
  <c r="U183"/>
  <c r="U181"/>
  <c r="U177"/>
  <c r="U176"/>
  <c r="U179" s="1"/>
  <c r="U172"/>
  <c r="U175" s="1"/>
  <c r="U171"/>
  <c r="U169"/>
  <c r="U167"/>
  <c r="U165"/>
  <c r="U163"/>
  <c r="U161"/>
  <c r="U159"/>
  <c r="U157"/>
  <c r="U155"/>
  <c r="U153"/>
  <c r="U149"/>
  <c r="U148"/>
  <c r="U151" s="1"/>
  <c r="U147"/>
  <c r="U145"/>
  <c r="U143"/>
  <c r="U141"/>
  <c r="U139"/>
  <c r="U137"/>
  <c r="U135"/>
  <c r="U133"/>
  <c r="U132"/>
  <c r="U131"/>
  <c r="U129"/>
  <c r="U127"/>
  <c r="U125"/>
  <c r="U121"/>
  <c r="U120"/>
  <c r="U123" s="1"/>
  <c r="U116"/>
  <c r="U119" s="1"/>
  <c r="U115"/>
  <c r="U113"/>
  <c r="U112"/>
  <c r="U109"/>
  <c r="U108"/>
  <c r="U111" s="1"/>
  <c r="U105"/>
  <c r="U104"/>
  <c r="U107" s="1"/>
  <c r="U100"/>
  <c r="U103" s="1"/>
  <c r="U92"/>
  <c r="U91"/>
  <c r="U94" s="1"/>
  <c r="U87"/>
  <c r="U90" s="1"/>
  <c r="U86"/>
  <c r="U83"/>
  <c r="U84" s="1"/>
  <c r="U79"/>
  <c r="U82" s="1"/>
  <c r="U76"/>
  <c r="U75"/>
  <c r="U78" s="1"/>
  <c r="U71"/>
  <c r="U74" s="1"/>
  <c r="U70"/>
  <c r="U68"/>
  <c r="U67"/>
  <c r="U64"/>
  <c r="U63"/>
  <c r="U66" s="1"/>
  <c r="U59"/>
  <c r="U62" s="1"/>
  <c r="U50"/>
  <c r="U53" s="1"/>
  <c r="U46"/>
  <c r="U49" s="1"/>
  <c r="U42"/>
  <c r="U43" s="1"/>
  <c r="U41"/>
  <c r="U39"/>
  <c r="U38"/>
  <c r="U34"/>
  <c r="U37" s="1"/>
  <c r="U30"/>
  <c r="U33" s="1"/>
  <c r="U26"/>
  <c r="U29" s="1"/>
  <c r="U25"/>
  <c r="U22"/>
  <c r="U23" s="1"/>
  <c r="U19"/>
  <c r="U18"/>
  <c r="U21" s="1"/>
  <c r="U14"/>
  <c r="U17" s="1"/>
  <c r="U11"/>
  <c r="U10"/>
  <c r="U13" s="1"/>
  <c r="J203"/>
  <c r="J21"/>
  <c r="W7"/>
  <c r="AC455"/>
  <c r="AE434"/>
  <c r="AE332"/>
  <c r="AD332"/>
  <c r="AC332"/>
  <c r="AB332"/>
  <c r="AA332"/>
  <c r="Z332"/>
  <c r="AE328"/>
  <c r="AD328"/>
  <c r="AC328"/>
  <c r="AB328"/>
  <c r="AA328"/>
  <c r="Z328"/>
  <c r="AE324"/>
  <c r="AD324"/>
  <c r="AC324"/>
  <c r="AB324"/>
  <c r="AA324"/>
  <c r="Z324"/>
  <c r="AE320"/>
  <c r="AD320"/>
  <c r="AC320"/>
  <c r="AB320"/>
  <c r="AA320"/>
  <c r="Z320"/>
  <c r="AE316"/>
  <c r="AD316"/>
  <c r="AC316"/>
  <c r="AB316"/>
  <c r="AA316"/>
  <c r="Z316"/>
  <c r="AE312"/>
  <c r="AD312"/>
  <c r="AC312"/>
  <c r="AB312"/>
  <c r="AA312"/>
  <c r="Z312"/>
  <c r="Z304"/>
  <c r="AG430"/>
  <c r="AH430"/>
  <c r="AE341"/>
  <c r="U191" l="1"/>
  <c r="U80"/>
  <c r="U60"/>
  <c r="U27"/>
  <c r="U35"/>
  <c r="U51"/>
  <c r="U45"/>
  <c r="U203"/>
  <c r="U101"/>
  <c r="U117"/>
  <c r="U173"/>
  <c r="U72"/>
  <c r="U88"/>
  <c r="U15"/>
  <c r="U31"/>
  <c r="U47"/>
  <c r="AK308"/>
  <c r="Y264"/>
  <c r="Z264"/>
  <c r="W236"/>
  <c r="W224"/>
  <c r="W220"/>
  <c r="W216"/>
  <c r="AA203"/>
  <c r="AH139"/>
  <c r="AH131"/>
  <c r="AF203"/>
  <c r="W203"/>
  <c r="X203"/>
  <c r="Y203"/>
  <c r="Z203"/>
  <c r="W187"/>
  <c r="X187"/>
  <c r="W183"/>
  <c r="X183"/>
  <c r="X179"/>
  <c r="W179"/>
  <c r="Y179"/>
  <c r="Z179"/>
  <c r="AA179"/>
  <c r="AB179"/>
  <c r="AC179"/>
  <c r="AD179"/>
  <c r="AE179"/>
  <c r="AF179"/>
  <c r="AG179"/>
  <c r="AH179"/>
  <c r="AI179"/>
  <c r="AJ179"/>
  <c r="AK179"/>
  <c r="W175"/>
  <c r="AJ111"/>
  <c r="AK143"/>
  <c r="AK139"/>
  <c r="W139"/>
  <c r="X139"/>
  <c r="Y139"/>
  <c r="Z139"/>
  <c r="AA139"/>
  <c r="AB139"/>
  <c r="AC139"/>
  <c r="AD139"/>
  <c r="AE139"/>
  <c r="AF139"/>
  <c r="AG139"/>
  <c r="AI139"/>
  <c r="AJ139"/>
  <c r="AH124" l="1"/>
  <c r="AG124"/>
  <c r="AF124"/>
  <c r="AE124"/>
  <c r="AI124"/>
  <c r="AK124"/>
  <c r="AK131"/>
  <c r="AJ124"/>
  <c r="X103"/>
  <c r="AK91"/>
  <c r="AH91"/>
  <c r="AG91"/>
  <c r="AF91"/>
  <c r="AE91"/>
  <c r="AD91"/>
  <c r="AC91"/>
  <c r="AB91"/>
  <c r="AA91"/>
  <c r="Z91"/>
  <c r="Y91"/>
  <c r="X91"/>
  <c r="W91"/>
  <c r="AJ87"/>
  <c r="AK87"/>
  <c r="AI87"/>
  <c r="AH87"/>
  <c r="AG87"/>
  <c r="AF87"/>
  <c r="AE87"/>
  <c r="AD87"/>
  <c r="AC87"/>
  <c r="AB87"/>
  <c r="AA87"/>
  <c r="Z87"/>
  <c r="Y87"/>
  <c r="X87"/>
  <c r="AJ83"/>
  <c r="AK83"/>
  <c r="AI83"/>
  <c r="AH83"/>
  <c r="AG83"/>
  <c r="AF83"/>
  <c r="AE83"/>
  <c r="AD83"/>
  <c r="AC83"/>
  <c r="AB83"/>
  <c r="AA83"/>
  <c r="Z83"/>
  <c r="Y83"/>
  <c r="X83"/>
  <c r="AI79"/>
  <c r="AH79"/>
  <c r="AG79"/>
  <c r="AF79"/>
  <c r="AE79"/>
  <c r="AD79"/>
  <c r="AC79"/>
  <c r="AB79"/>
  <c r="AA79"/>
  <c r="Z79"/>
  <c r="Y79"/>
  <c r="Y78"/>
  <c r="Y74"/>
  <c r="AI29"/>
  <c r="AK111"/>
  <c r="AI111"/>
  <c r="AH111"/>
  <c r="AG111"/>
  <c r="AF111"/>
  <c r="AE111"/>
  <c r="AD111"/>
  <c r="AC111"/>
  <c r="AB111"/>
  <c r="AA111"/>
  <c r="Z111"/>
  <c r="Y111"/>
  <c r="X167"/>
  <c r="W167"/>
  <c r="X175"/>
  <c r="Y175"/>
  <c r="K9" i="6"/>
  <c r="L9"/>
  <c r="M9"/>
  <c r="N9"/>
  <c r="O9"/>
  <c r="P9"/>
  <c r="AQ249" i="4" l="1"/>
  <c r="AQ245"/>
  <c r="AQ233"/>
  <c r="AQ229"/>
  <c r="AQ225"/>
  <c r="AQ221"/>
  <c r="AQ217"/>
  <c r="AQ213"/>
  <c r="AK199"/>
  <c r="O236" l="1"/>
  <c r="BA12" l="1"/>
  <c r="BA16"/>
  <c r="BA20"/>
  <c r="BA24"/>
  <c r="BA28"/>
  <c r="BA32"/>
  <c r="BA36"/>
  <c r="BA40"/>
  <c r="BA44"/>
  <c r="BA48"/>
  <c r="BA52"/>
  <c r="BA57"/>
  <c r="BA58"/>
  <c r="BA65"/>
  <c r="BA69"/>
  <c r="BA73"/>
  <c r="BA77"/>
  <c r="BA81"/>
  <c r="BA85"/>
  <c r="BA89"/>
  <c r="BA98"/>
  <c r="BA99"/>
  <c r="BA102"/>
  <c r="BA106"/>
  <c r="BA110"/>
  <c r="BA114"/>
  <c r="BA118"/>
  <c r="BA122"/>
  <c r="BA124"/>
  <c r="BA128"/>
  <c r="BA136"/>
  <c r="BA144"/>
  <c r="BA146"/>
  <c r="BA160"/>
  <c r="BA164"/>
  <c r="BA166"/>
  <c r="BA168"/>
  <c r="BA170"/>
  <c r="BA174"/>
  <c r="BA178"/>
  <c r="BA180"/>
  <c r="BA182"/>
  <c r="BA184"/>
  <c r="BA186"/>
  <c r="BA192"/>
  <c r="BA196"/>
  <c r="BA204"/>
  <c r="BA206"/>
  <c r="BA208"/>
  <c r="BA211"/>
  <c r="BA212"/>
  <c r="BA213"/>
  <c r="BA215"/>
  <c r="BA217"/>
  <c r="BA219"/>
  <c r="BA221"/>
  <c r="BA223"/>
  <c r="BA225"/>
  <c r="BA227"/>
  <c r="BA229"/>
  <c r="BA231"/>
  <c r="BA233"/>
  <c r="BA239"/>
  <c r="BA243"/>
  <c r="BA245"/>
  <c r="BA247"/>
  <c r="BA249"/>
  <c r="BA251"/>
  <c r="BA255"/>
  <c r="BA259"/>
  <c r="BA263"/>
  <c r="BA267"/>
  <c r="BA271"/>
  <c r="BA275"/>
  <c r="BA279"/>
  <c r="BA283"/>
  <c r="BA287"/>
  <c r="BA291"/>
  <c r="BA295"/>
  <c r="BA303"/>
  <c r="BA307"/>
  <c r="BA311"/>
  <c r="BA315"/>
  <c r="BA319"/>
  <c r="BA323"/>
  <c r="BA327"/>
  <c r="BA331"/>
  <c r="BA333"/>
  <c r="BA336"/>
  <c r="BA337"/>
  <c r="BA340"/>
  <c r="BA344"/>
  <c r="BA348"/>
  <c r="BA352"/>
  <c r="BA356"/>
  <c r="BA360"/>
  <c r="BA364"/>
  <c r="BA368"/>
  <c r="BA372"/>
  <c r="BA376"/>
  <c r="BA380"/>
  <c r="BA384"/>
  <c r="BA388"/>
  <c r="BA392"/>
  <c r="BA396"/>
  <c r="BA400"/>
  <c r="BA404"/>
  <c r="BA408"/>
  <c r="BA412"/>
  <c r="BA416"/>
  <c r="BA418"/>
  <c r="BA421"/>
  <c r="BA422"/>
  <c r="BA425"/>
  <c r="BA429"/>
  <c r="BA433"/>
  <c r="BA435"/>
  <c r="BA438"/>
  <c r="BA439"/>
  <c r="BA454"/>
  <c r="BA458"/>
  <c r="BA462"/>
  <c r="BA466"/>
  <c r="BA470"/>
  <c r="BA472"/>
  <c r="BA475"/>
  <c r="BA476"/>
  <c r="BA479"/>
  <c r="BA483"/>
  <c r="BA485"/>
  <c r="AK135"/>
  <c r="AF132"/>
  <c r="AE132"/>
  <c r="AK127"/>
  <c r="AD124"/>
  <c r="AC124"/>
  <c r="AB124"/>
  <c r="AA124"/>
  <c r="Z124"/>
  <c r="Y124"/>
  <c r="X124"/>
  <c r="W124"/>
  <c r="AQ196"/>
  <c r="AQ192"/>
  <c r="AQ184"/>
  <c r="AQ180"/>
  <c r="AQ164"/>
  <c r="AQ160"/>
  <c r="AQ144"/>
  <c r="AQ136"/>
  <c r="AQ128"/>
  <c r="T163"/>
  <c r="S163"/>
  <c r="R163"/>
  <c r="Q163"/>
  <c r="P163"/>
  <c r="O163"/>
  <c r="T132"/>
  <c r="T135" s="1"/>
  <c r="S132"/>
  <c r="R132"/>
  <c r="R135" s="1"/>
  <c r="Q132"/>
  <c r="Q135" s="1"/>
  <c r="P132"/>
  <c r="P135" s="1"/>
  <c r="O132"/>
  <c r="P131"/>
  <c r="T207"/>
  <c r="S207"/>
  <c r="R207"/>
  <c r="Q207"/>
  <c r="P207"/>
  <c r="O207"/>
  <c r="T203"/>
  <c r="S203"/>
  <c r="R203"/>
  <c r="Q203"/>
  <c r="P203"/>
  <c r="O203"/>
  <c r="T199"/>
  <c r="S199"/>
  <c r="R199"/>
  <c r="Q199"/>
  <c r="P199"/>
  <c r="O199"/>
  <c r="T195"/>
  <c r="S195"/>
  <c r="R195"/>
  <c r="Q195"/>
  <c r="P195"/>
  <c r="O195"/>
  <c r="T191"/>
  <c r="S191"/>
  <c r="R191"/>
  <c r="Q191"/>
  <c r="P191"/>
  <c r="O191"/>
  <c r="T179"/>
  <c r="S179"/>
  <c r="R179"/>
  <c r="Q179"/>
  <c r="P179"/>
  <c r="O179"/>
  <c r="T175"/>
  <c r="S175"/>
  <c r="R175"/>
  <c r="Q175"/>
  <c r="P175"/>
  <c r="O175"/>
  <c r="T171"/>
  <c r="S171"/>
  <c r="R171"/>
  <c r="Q171"/>
  <c r="P171"/>
  <c r="O171"/>
  <c r="T167"/>
  <c r="S167"/>
  <c r="R167"/>
  <c r="Q167"/>
  <c r="P167"/>
  <c r="O167"/>
  <c r="T151"/>
  <c r="S151"/>
  <c r="R151"/>
  <c r="Q151"/>
  <c r="P151"/>
  <c r="O151"/>
  <c r="T147"/>
  <c r="S147"/>
  <c r="R147"/>
  <c r="Q147"/>
  <c r="P147"/>
  <c r="O147"/>
  <c r="T139"/>
  <c r="S139"/>
  <c r="R139"/>
  <c r="Q139"/>
  <c r="P139"/>
  <c r="O139"/>
  <c r="S135"/>
  <c r="S127"/>
  <c r="R127"/>
  <c r="P127"/>
  <c r="T131"/>
  <c r="T127"/>
  <c r="S131"/>
  <c r="R131"/>
  <c r="Q131"/>
  <c r="O131"/>
  <c r="O135" l="1"/>
  <c r="BA132"/>
  <c r="O127"/>
  <c r="Q127"/>
  <c r="AF455" l="1"/>
  <c r="AK341" l="1"/>
  <c r="AK417"/>
  <c r="AK413"/>
  <c r="AK409"/>
  <c r="AJ409"/>
  <c r="AI409"/>
  <c r="AK405"/>
  <c r="AJ405"/>
  <c r="AI405"/>
  <c r="AK401"/>
  <c r="AJ401"/>
  <c r="AK397"/>
  <c r="AJ397"/>
  <c r="AK393"/>
  <c r="AJ393"/>
  <c r="AK389"/>
  <c r="AJ389"/>
  <c r="AK385"/>
  <c r="AJ385"/>
  <c r="AK381"/>
  <c r="AJ381"/>
  <c r="AK377"/>
  <c r="AJ377"/>
  <c r="AI377"/>
  <c r="AK373"/>
  <c r="AJ373"/>
  <c r="AI373"/>
  <c r="AK369"/>
  <c r="AJ369"/>
  <c r="AI369"/>
  <c r="AK345"/>
  <c r="AJ345"/>
  <c r="AJ341"/>
  <c r="AI341"/>
  <c r="AH341"/>
  <c r="AG341"/>
  <c r="AF341"/>
  <c r="AK426"/>
  <c r="AK434"/>
  <c r="AJ434"/>
  <c r="AI434"/>
  <c r="AH434"/>
  <c r="AG434"/>
  <c r="AF434"/>
  <c r="AK430"/>
  <c r="AJ430"/>
  <c r="AI430"/>
  <c r="AJ426"/>
  <c r="AI426"/>
  <c r="AH426"/>
  <c r="AG426"/>
  <c r="AF426"/>
  <c r="AO484"/>
  <c r="AN484"/>
  <c r="AM484"/>
  <c r="AO480"/>
  <c r="AN480"/>
  <c r="AM480"/>
  <c r="AK451"/>
  <c r="AJ451"/>
  <c r="AI451"/>
  <c r="AH451"/>
  <c r="AG451"/>
  <c r="AF451"/>
  <c r="AE451"/>
  <c r="AD451"/>
  <c r="Y463"/>
  <c r="Y459"/>
  <c r="Z463"/>
  <c r="Z459"/>
  <c r="AA471"/>
  <c r="AA467"/>
  <c r="AA463"/>
  <c r="AA459"/>
  <c r="AB463"/>
  <c r="AB459"/>
  <c r="Z471"/>
  <c r="Z467"/>
  <c r="X463"/>
  <c r="X459"/>
  <c r="AI443"/>
  <c r="AJ443"/>
  <c r="AK443"/>
  <c r="AC443"/>
  <c r="AD443"/>
  <c r="AE443"/>
  <c r="AF443"/>
  <c r="AG443"/>
  <c r="AH443"/>
  <c r="W443"/>
  <c r="X443"/>
  <c r="Y443"/>
  <c r="Z443"/>
  <c r="AA443"/>
  <c r="AB443"/>
  <c r="Y447" l="1"/>
  <c r="Z447"/>
  <c r="AA447"/>
  <c r="AB447"/>
  <c r="AC447"/>
  <c r="AD447"/>
  <c r="AE447"/>
  <c r="AF447"/>
  <c r="AG447"/>
  <c r="AH447"/>
  <c r="AI447"/>
  <c r="AJ447"/>
  <c r="AK447"/>
  <c r="X447"/>
  <c r="W447"/>
  <c r="AK280"/>
  <c r="AJ280"/>
  <c r="J280"/>
  <c r="J236"/>
  <c r="J220"/>
  <c r="AI62"/>
  <c r="K59"/>
  <c r="AM489"/>
  <c r="AM492" s="1"/>
  <c r="AK14" i="6" l="1"/>
  <c r="H9" l="1"/>
  <c r="I9"/>
  <c r="J9"/>
  <c r="AC41" i="4"/>
  <c r="AB41"/>
  <c r="AA41"/>
  <c r="Z41"/>
  <c r="Y41"/>
  <c r="X41"/>
  <c r="W41"/>
  <c r="AG53"/>
  <c r="AF53"/>
  <c r="AE53"/>
  <c r="AI49"/>
  <c r="AG49"/>
  <c r="AF49"/>
  <c r="AE49"/>
  <c r="AD49"/>
  <c r="AI45"/>
  <c r="AG45"/>
  <c r="AF45"/>
  <c r="AE45"/>
  <c r="AD45"/>
  <c r="AH41"/>
  <c r="AG41"/>
  <c r="AF41"/>
  <c r="AE41"/>
  <c r="AD41"/>
  <c r="AG37"/>
  <c r="AF37"/>
  <c r="AE37"/>
  <c r="AD37"/>
  <c r="AC37"/>
  <c r="AB37"/>
  <c r="AB29"/>
  <c r="AC29"/>
  <c r="AD29"/>
  <c r="AE29"/>
  <c r="AF29"/>
  <c r="AH29"/>
  <c r="AA29"/>
  <c r="Z29"/>
  <c r="Y29"/>
  <c r="X29"/>
  <c r="W29"/>
  <c r="AH37" l="1"/>
  <c r="X90" l="1"/>
  <c r="X86"/>
  <c r="Z78"/>
  <c r="AA78"/>
  <c r="AB78"/>
  <c r="AC78"/>
  <c r="AD78"/>
  <c r="X74"/>
  <c r="Z74"/>
  <c r="AA74"/>
  <c r="AB74"/>
  <c r="AC74"/>
  <c r="AD74"/>
  <c r="X70"/>
  <c r="Y70"/>
  <c r="W66"/>
  <c r="X66"/>
  <c r="Y66"/>
  <c r="Z66"/>
  <c r="AA66"/>
  <c r="Y86" l="1"/>
  <c r="Y90"/>
  <c r="X82"/>
  <c r="W199" l="1"/>
  <c r="X199"/>
  <c r="Y199"/>
  <c r="Z199"/>
  <c r="AB191"/>
  <c r="W195"/>
  <c r="W191"/>
  <c r="X195"/>
  <c r="X191"/>
  <c r="Y195"/>
  <c r="Z195"/>
  <c r="Y191"/>
  <c r="Z191"/>
  <c r="Y187"/>
  <c r="Z187"/>
  <c r="Y183"/>
  <c r="Z183"/>
  <c r="AE175"/>
  <c r="AD175"/>
  <c r="AC175"/>
  <c r="AB175"/>
  <c r="AA175"/>
  <c r="Z175"/>
  <c r="AJ132"/>
  <c r="AI132"/>
  <c r="AG132"/>
  <c r="AD132"/>
  <c r="AC132"/>
  <c r="AB132"/>
  <c r="AA132"/>
  <c r="Z132"/>
  <c r="Y132"/>
  <c r="X132"/>
  <c r="W132"/>
  <c r="W163"/>
  <c r="W151"/>
  <c r="X151"/>
  <c r="Y151"/>
  <c r="Z151"/>
  <c r="W147"/>
  <c r="X147"/>
  <c r="Y147"/>
  <c r="Z147"/>
  <c r="AQ124" l="1"/>
  <c r="AQ132"/>
  <c r="W135"/>
  <c r="W127"/>
  <c r="W131"/>
  <c r="Z123" l="1"/>
  <c r="Y123"/>
  <c r="Z119"/>
  <c r="Y119"/>
  <c r="Z115"/>
  <c r="Y115"/>
  <c r="Z107"/>
  <c r="Y107"/>
  <c r="Y103"/>
  <c r="Z103"/>
  <c r="Z256"/>
  <c r="Y256"/>
  <c r="AA244"/>
  <c r="AB244"/>
  <c r="AC244"/>
  <c r="AD244"/>
  <c r="AE244"/>
  <c r="Z252"/>
  <c r="Y252"/>
  <c r="X252"/>
  <c r="Z248"/>
  <c r="Y248"/>
  <c r="X248"/>
  <c r="Z240"/>
  <c r="Y240"/>
  <c r="X240"/>
  <c r="Z236"/>
  <c r="Y236"/>
  <c r="X236"/>
  <c r="Z232"/>
  <c r="Y232"/>
  <c r="X232"/>
  <c r="Z228"/>
  <c r="Y228"/>
  <c r="X228"/>
  <c r="Z224"/>
  <c r="Y224"/>
  <c r="X224"/>
  <c r="Z220"/>
  <c r="Y220"/>
  <c r="X220"/>
  <c r="Z216"/>
  <c r="Y216"/>
  <c r="X216"/>
  <c r="AK276"/>
  <c r="AJ276"/>
  <c r="AI276"/>
  <c r="AH276"/>
  <c r="AG276"/>
  <c r="AF276"/>
  <c r="AE276"/>
  <c r="AD276"/>
  <c r="AK272"/>
  <c r="AJ272"/>
  <c r="AI272"/>
  <c r="AH272"/>
  <c r="AG272"/>
  <c r="AF272"/>
  <c r="AE272"/>
  <c r="AD272"/>
  <c r="AK332"/>
  <c r="AJ332"/>
  <c r="AI332"/>
  <c r="AH332"/>
  <c r="AG332"/>
  <c r="AF332"/>
  <c r="AK328"/>
  <c r="AJ328"/>
  <c r="AI328"/>
  <c r="AH328"/>
  <c r="AG328"/>
  <c r="AF328"/>
  <c r="AK324"/>
  <c r="AJ324"/>
  <c r="AI324"/>
  <c r="AH324"/>
  <c r="AG324"/>
  <c r="AF324"/>
  <c r="AK320"/>
  <c r="AJ320"/>
  <c r="AI320"/>
  <c r="AH320"/>
  <c r="AG320"/>
  <c r="AF320"/>
  <c r="AK316"/>
  <c r="AJ316"/>
  <c r="AI316"/>
  <c r="AH316"/>
  <c r="AG316"/>
  <c r="AF316"/>
  <c r="AK312"/>
  <c r="AJ312"/>
  <c r="AI312"/>
  <c r="AH312"/>
  <c r="AG312"/>
  <c r="AF312"/>
  <c r="AJ308"/>
  <c r="AI308"/>
  <c r="AH308"/>
  <c r="AG308"/>
  <c r="AF308"/>
  <c r="AK304"/>
  <c r="AJ304"/>
  <c r="AB304"/>
  <c r="AA304"/>
  <c r="AI300"/>
  <c r="AH300"/>
  <c r="AG300"/>
  <c r="AF300"/>
  <c r="AI296"/>
  <c r="AH296"/>
  <c r="AG296"/>
  <c r="AF296"/>
  <c r="AI292"/>
  <c r="AH292"/>
  <c r="AG292"/>
  <c r="AF292"/>
  <c r="AI288"/>
  <c r="AH288"/>
  <c r="AG288"/>
  <c r="AF288"/>
  <c r="AI284"/>
  <c r="AH284"/>
  <c r="AG284"/>
  <c r="AF284"/>
  <c r="AI280"/>
  <c r="AH280"/>
  <c r="AG280"/>
  <c r="AF280"/>
  <c r="AB455"/>
  <c r="Y471"/>
  <c r="X471"/>
  <c r="Y467"/>
  <c r="X467"/>
  <c r="AB434"/>
  <c r="AB426"/>
  <c r="AA434"/>
  <c r="AA426"/>
  <c r="Z434"/>
  <c r="Z426"/>
  <c r="Z335" l="1"/>
  <c r="AV481"/>
  <c r="AV477"/>
  <c r="AV444"/>
  <c r="AV448"/>
  <c r="AV452"/>
  <c r="AV456"/>
  <c r="AV460"/>
  <c r="AV464"/>
  <c r="AV468"/>
  <c r="AV440"/>
  <c r="AV427"/>
  <c r="AV431"/>
  <c r="AV423"/>
  <c r="AV342"/>
  <c r="AV346"/>
  <c r="AV350"/>
  <c r="AV354"/>
  <c r="AV358"/>
  <c r="AV362"/>
  <c r="AV366"/>
  <c r="AV370"/>
  <c r="AV374"/>
  <c r="AV378"/>
  <c r="AV382"/>
  <c r="AV386"/>
  <c r="AV390"/>
  <c r="AV394"/>
  <c r="AV398"/>
  <c r="AV402"/>
  <c r="AV406"/>
  <c r="AV410"/>
  <c r="AV414"/>
  <c r="AV338"/>
  <c r="AV217"/>
  <c r="AV221"/>
  <c r="AV225"/>
  <c r="AV229"/>
  <c r="AV233"/>
  <c r="AV237"/>
  <c r="AV241"/>
  <c r="AV245"/>
  <c r="AV249"/>
  <c r="AV253"/>
  <c r="AV257"/>
  <c r="AV261"/>
  <c r="AV265"/>
  <c r="AV269"/>
  <c r="AV273"/>
  <c r="AV277"/>
  <c r="AV281"/>
  <c r="AV285"/>
  <c r="AV289"/>
  <c r="AV293"/>
  <c r="AV297"/>
  <c r="AV301"/>
  <c r="AV305"/>
  <c r="AV309"/>
  <c r="AV313"/>
  <c r="AV317"/>
  <c r="AV321"/>
  <c r="AV325"/>
  <c r="AV329"/>
  <c r="AV213"/>
  <c r="AV104"/>
  <c r="AV108"/>
  <c r="AV112"/>
  <c r="AV116"/>
  <c r="AV120"/>
  <c r="AV128"/>
  <c r="AV136"/>
  <c r="AV144"/>
  <c r="AV148"/>
  <c r="AV160"/>
  <c r="AV164"/>
  <c r="AV172"/>
  <c r="AV176"/>
  <c r="AV180"/>
  <c r="AV184"/>
  <c r="AV188"/>
  <c r="AV192"/>
  <c r="AV196"/>
  <c r="AV200"/>
  <c r="AV100"/>
  <c r="AV71"/>
  <c r="AV75"/>
  <c r="AV67"/>
  <c r="AV63"/>
  <c r="AV59"/>
  <c r="AV38"/>
  <c r="AV34"/>
  <c r="AV30"/>
  <c r="AV26"/>
  <c r="AV22"/>
  <c r="AV14"/>
  <c r="AH369" l="1"/>
  <c r="AK365"/>
  <c r="AJ365"/>
  <c r="AI365"/>
  <c r="AK361"/>
  <c r="AJ361"/>
  <c r="AI361"/>
  <c r="AK357"/>
  <c r="AJ357"/>
  <c r="AI357"/>
  <c r="AK353"/>
  <c r="AJ353"/>
  <c r="AI353"/>
  <c r="AK349"/>
  <c r="AJ349"/>
  <c r="AI349"/>
  <c r="AI487" l="1"/>
  <c r="AJ487"/>
  <c r="AK487"/>
  <c r="AD487"/>
  <c r="AE487"/>
  <c r="AF487"/>
  <c r="AG487"/>
  <c r="AH487"/>
  <c r="W487"/>
  <c r="X487"/>
  <c r="Y487"/>
  <c r="Z487"/>
  <c r="AA487"/>
  <c r="AB487"/>
  <c r="AC487"/>
  <c r="J484"/>
  <c r="I484"/>
  <c r="H484"/>
  <c r="G484"/>
  <c r="J480"/>
  <c r="I480"/>
  <c r="H480"/>
  <c r="G480"/>
  <c r="J471"/>
  <c r="I471"/>
  <c r="H471"/>
  <c r="G471"/>
  <c r="J467"/>
  <c r="I467"/>
  <c r="H467"/>
  <c r="G467"/>
  <c r="J463"/>
  <c r="I463"/>
  <c r="H463"/>
  <c r="G463"/>
  <c r="J459"/>
  <c r="I459"/>
  <c r="H459"/>
  <c r="G459"/>
  <c r="J455"/>
  <c r="I455"/>
  <c r="H455"/>
  <c r="G455"/>
  <c r="J451"/>
  <c r="H451"/>
  <c r="G451"/>
  <c r="J447"/>
  <c r="H447"/>
  <c r="G447"/>
  <c r="J443"/>
  <c r="H443"/>
  <c r="G443"/>
  <c r="W437"/>
  <c r="X437"/>
  <c r="Y437"/>
  <c r="Z437"/>
  <c r="AA437"/>
  <c r="AB437"/>
  <c r="AC437"/>
  <c r="AD437"/>
  <c r="AE437"/>
  <c r="AF437"/>
  <c r="AG437"/>
  <c r="AH437"/>
  <c r="AJ437"/>
  <c r="J434"/>
  <c r="I434"/>
  <c r="H434"/>
  <c r="G434"/>
  <c r="J430"/>
  <c r="I430"/>
  <c r="H430"/>
  <c r="G430"/>
  <c r="J426"/>
  <c r="I426"/>
  <c r="H426"/>
  <c r="G426"/>
  <c r="W420"/>
  <c r="X420"/>
  <c r="Y420"/>
  <c r="Z420"/>
  <c r="AA420"/>
  <c r="AB420"/>
  <c r="AC420"/>
  <c r="AD420"/>
  <c r="AE420"/>
  <c r="AF420"/>
  <c r="AG420"/>
  <c r="AH420"/>
  <c r="AI420"/>
  <c r="AJ420"/>
  <c r="AK420"/>
  <c r="J417"/>
  <c r="I417"/>
  <c r="H417"/>
  <c r="G417"/>
  <c r="J413"/>
  <c r="I413"/>
  <c r="H413"/>
  <c r="G413"/>
  <c r="J409"/>
  <c r="I409"/>
  <c r="H409"/>
  <c r="G409"/>
  <c r="J405"/>
  <c r="I405"/>
  <c r="H405"/>
  <c r="G405"/>
  <c r="J401"/>
  <c r="I401"/>
  <c r="H401"/>
  <c r="G401"/>
  <c r="J397"/>
  <c r="I397"/>
  <c r="H397"/>
  <c r="G397"/>
  <c r="J393"/>
  <c r="I393"/>
  <c r="H393"/>
  <c r="G393"/>
  <c r="J389"/>
  <c r="I389"/>
  <c r="H389"/>
  <c r="G389"/>
  <c r="J385"/>
  <c r="I385"/>
  <c r="H385"/>
  <c r="G385"/>
  <c r="J381"/>
  <c r="I381"/>
  <c r="H381"/>
  <c r="G381"/>
  <c r="J377"/>
  <c r="I377"/>
  <c r="H377"/>
  <c r="G377"/>
  <c r="J373"/>
  <c r="I373"/>
  <c r="H373"/>
  <c r="G373"/>
  <c r="J369"/>
  <c r="I369"/>
  <c r="H369"/>
  <c r="G369"/>
  <c r="J365"/>
  <c r="I365"/>
  <c r="H365"/>
  <c r="G365"/>
  <c r="J361"/>
  <c r="I361"/>
  <c r="H361"/>
  <c r="G361"/>
  <c r="J357"/>
  <c r="I357"/>
  <c r="H357"/>
  <c r="G357"/>
  <c r="J353"/>
  <c r="I353"/>
  <c r="H353"/>
  <c r="G353"/>
  <c r="J349"/>
  <c r="I349"/>
  <c r="H349"/>
  <c r="G349"/>
  <c r="J345"/>
  <c r="I345"/>
  <c r="H345"/>
  <c r="G345"/>
  <c r="J341"/>
  <c r="I341"/>
  <c r="H341"/>
  <c r="G341"/>
  <c r="W335"/>
  <c r="X335"/>
  <c r="Y335"/>
  <c r="J332"/>
  <c r="H332"/>
  <c r="G332"/>
  <c r="J328"/>
  <c r="H328"/>
  <c r="G328"/>
  <c r="J324"/>
  <c r="H324"/>
  <c r="G324"/>
  <c r="J320"/>
  <c r="H320"/>
  <c r="G320"/>
  <c r="J316"/>
  <c r="H316"/>
  <c r="G316"/>
  <c r="J312"/>
  <c r="H312"/>
  <c r="G312"/>
  <c r="J308"/>
  <c r="H308"/>
  <c r="G308"/>
  <c r="J304"/>
  <c r="H304"/>
  <c r="G304"/>
  <c r="J300"/>
  <c r="H300"/>
  <c r="G300"/>
  <c r="J296"/>
  <c r="H296"/>
  <c r="G296"/>
  <c r="J292"/>
  <c r="H292"/>
  <c r="G292"/>
  <c r="J288"/>
  <c r="H288"/>
  <c r="G288"/>
  <c r="J284"/>
  <c r="H284"/>
  <c r="G284"/>
  <c r="H280"/>
  <c r="G280"/>
  <c r="J276"/>
  <c r="H276"/>
  <c r="G276"/>
  <c r="J272"/>
  <c r="H272"/>
  <c r="G272"/>
  <c r="J268"/>
  <c r="H268"/>
  <c r="G268"/>
  <c r="J264"/>
  <c r="H264"/>
  <c r="G264"/>
  <c r="J260"/>
  <c r="H260"/>
  <c r="G260"/>
  <c r="J256"/>
  <c r="H256"/>
  <c r="G256"/>
  <c r="J252"/>
  <c r="H252"/>
  <c r="G252"/>
  <c r="J248"/>
  <c r="H248"/>
  <c r="G248"/>
  <c r="J244"/>
  <c r="H244"/>
  <c r="G244"/>
  <c r="J240"/>
  <c r="H240"/>
  <c r="G240"/>
  <c r="H236"/>
  <c r="G236"/>
  <c r="G232"/>
  <c r="J232"/>
  <c r="H232"/>
  <c r="J228"/>
  <c r="H228"/>
  <c r="G228"/>
  <c r="J224"/>
  <c r="H224"/>
  <c r="G224"/>
  <c r="H220"/>
  <c r="G220"/>
  <c r="J216"/>
  <c r="H216"/>
  <c r="G216"/>
  <c r="J207"/>
  <c r="H207"/>
  <c r="G207"/>
  <c r="H203"/>
  <c r="G203"/>
  <c r="J199"/>
  <c r="H199"/>
  <c r="G199"/>
  <c r="J195"/>
  <c r="H195"/>
  <c r="G195"/>
  <c r="J191"/>
  <c r="H191"/>
  <c r="G191"/>
  <c r="J187"/>
  <c r="H187"/>
  <c r="G187"/>
  <c r="J183"/>
  <c r="H183"/>
  <c r="G183"/>
  <c r="J179"/>
  <c r="H179"/>
  <c r="G179"/>
  <c r="J175"/>
  <c r="H175"/>
  <c r="G175"/>
  <c r="J171"/>
  <c r="H171"/>
  <c r="G171"/>
  <c r="J167"/>
  <c r="H167"/>
  <c r="G167"/>
  <c r="J163"/>
  <c r="H163"/>
  <c r="G163"/>
  <c r="J159"/>
  <c r="H159"/>
  <c r="G159"/>
  <c r="J155"/>
  <c r="H155"/>
  <c r="G155"/>
  <c r="J151"/>
  <c r="H151"/>
  <c r="G151"/>
  <c r="J147"/>
  <c r="H147"/>
  <c r="G147"/>
  <c r="J143"/>
  <c r="H143"/>
  <c r="G143"/>
  <c r="J139"/>
  <c r="H139"/>
  <c r="G139"/>
  <c r="J135"/>
  <c r="H135"/>
  <c r="G135"/>
  <c r="J131"/>
  <c r="H131"/>
  <c r="G131"/>
  <c r="J127"/>
  <c r="H127"/>
  <c r="G127"/>
  <c r="J123"/>
  <c r="H123"/>
  <c r="G123"/>
  <c r="J119"/>
  <c r="H119"/>
  <c r="G119"/>
  <c r="J115"/>
  <c r="H115"/>
  <c r="G115"/>
  <c r="J111"/>
  <c r="H111"/>
  <c r="G111"/>
  <c r="J107"/>
  <c r="H107"/>
  <c r="G107"/>
  <c r="G103"/>
  <c r="J103"/>
  <c r="H103"/>
  <c r="J94"/>
  <c r="H94"/>
  <c r="G94"/>
  <c r="J90"/>
  <c r="H90"/>
  <c r="G90"/>
  <c r="J86"/>
  <c r="H86"/>
  <c r="G86"/>
  <c r="J82"/>
  <c r="H82"/>
  <c r="G82"/>
  <c r="J78"/>
  <c r="H78"/>
  <c r="G78"/>
  <c r="J74"/>
  <c r="H74"/>
  <c r="G74"/>
  <c r="J70"/>
  <c r="H70"/>
  <c r="G70"/>
  <c r="J66"/>
  <c r="H66"/>
  <c r="G66"/>
  <c r="H62"/>
  <c r="G62"/>
  <c r="J62"/>
  <c r="J53"/>
  <c r="H53"/>
  <c r="G53"/>
  <c r="J49"/>
  <c r="H49"/>
  <c r="G49"/>
  <c r="J45"/>
  <c r="H45"/>
  <c r="G45"/>
  <c r="J41"/>
  <c r="H41"/>
  <c r="G41"/>
  <c r="J37"/>
  <c r="H37"/>
  <c r="G37"/>
  <c r="J33"/>
  <c r="H33"/>
  <c r="G33"/>
  <c r="J29"/>
  <c r="H29"/>
  <c r="G29"/>
  <c r="J25"/>
  <c r="H25"/>
  <c r="G25"/>
  <c r="H21"/>
  <c r="G21"/>
  <c r="J17"/>
  <c r="H17"/>
  <c r="G17"/>
  <c r="H13"/>
  <c r="G13"/>
  <c r="AL56"/>
  <c r="AM56"/>
  <c r="AN56"/>
  <c r="AO56"/>
  <c r="J13"/>
  <c r="L481"/>
  <c r="L477"/>
  <c r="AW477" s="1"/>
  <c r="L464"/>
  <c r="L468"/>
  <c r="L444"/>
  <c r="L448"/>
  <c r="L452"/>
  <c r="L456"/>
  <c r="L460"/>
  <c r="L440"/>
  <c r="L427"/>
  <c r="L431"/>
  <c r="L423"/>
  <c r="L398"/>
  <c r="L402"/>
  <c r="L406"/>
  <c r="L410"/>
  <c r="L414"/>
  <c r="L378"/>
  <c r="L382"/>
  <c r="L386"/>
  <c r="L390"/>
  <c r="L394"/>
  <c r="L362"/>
  <c r="L366"/>
  <c r="L370"/>
  <c r="L374"/>
  <c r="L342"/>
  <c r="L346"/>
  <c r="L350"/>
  <c r="L354"/>
  <c r="L358"/>
  <c r="L338"/>
  <c r="L325"/>
  <c r="L329"/>
  <c r="L309"/>
  <c r="L313"/>
  <c r="L317"/>
  <c r="L321"/>
  <c r="L285"/>
  <c r="L289"/>
  <c r="L293"/>
  <c r="L297"/>
  <c r="L301"/>
  <c r="L305"/>
  <c r="L281"/>
  <c r="L265"/>
  <c r="L269"/>
  <c r="L273"/>
  <c r="L277"/>
  <c r="L241"/>
  <c r="L245"/>
  <c r="L249"/>
  <c r="L253"/>
  <c r="L257"/>
  <c r="L261"/>
  <c r="L217"/>
  <c r="L221"/>
  <c r="L225"/>
  <c r="L229"/>
  <c r="AW229" s="1"/>
  <c r="L233"/>
  <c r="L237"/>
  <c r="L213"/>
  <c r="L148"/>
  <c r="L152"/>
  <c r="L155" s="1"/>
  <c r="L156"/>
  <c r="L159" s="1"/>
  <c r="L160"/>
  <c r="L164"/>
  <c r="L168"/>
  <c r="L171" s="1"/>
  <c r="L172"/>
  <c r="L176"/>
  <c r="L180"/>
  <c r="L184"/>
  <c r="L188"/>
  <c r="L192"/>
  <c r="L196"/>
  <c r="L200"/>
  <c r="L204"/>
  <c r="L207" s="1"/>
  <c r="L144"/>
  <c r="L104"/>
  <c r="L108"/>
  <c r="L112"/>
  <c r="L116"/>
  <c r="L120"/>
  <c r="L124"/>
  <c r="L127" s="1"/>
  <c r="L128"/>
  <c r="L132"/>
  <c r="L135" s="1"/>
  <c r="L136"/>
  <c r="L140"/>
  <c r="L143" s="1"/>
  <c r="L100"/>
  <c r="L63"/>
  <c r="L67"/>
  <c r="L71"/>
  <c r="L75"/>
  <c r="L79"/>
  <c r="L82" s="1"/>
  <c r="L83"/>
  <c r="L86" s="1"/>
  <c r="L87"/>
  <c r="L90" s="1"/>
  <c r="L91"/>
  <c r="L94" s="1"/>
  <c r="L59"/>
  <c r="L50"/>
  <c r="L53" s="1"/>
  <c r="L34"/>
  <c r="L38"/>
  <c r="L42"/>
  <c r="L45" s="1"/>
  <c r="L46"/>
  <c r="L49" s="1"/>
  <c r="L14"/>
  <c r="L18"/>
  <c r="L21" s="1"/>
  <c r="L22"/>
  <c r="L26"/>
  <c r="L30"/>
  <c r="L10"/>
  <c r="L13" s="1"/>
  <c r="K10"/>
  <c r="K481"/>
  <c r="K477"/>
  <c r="K460"/>
  <c r="K464"/>
  <c r="K468"/>
  <c r="K444"/>
  <c r="K448"/>
  <c r="K452"/>
  <c r="AC453" s="1"/>
  <c r="K456"/>
  <c r="K440"/>
  <c r="K427"/>
  <c r="K431"/>
  <c r="AE432" s="1"/>
  <c r="K423"/>
  <c r="K414"/>
  <c r="AK415" s="1"/>
  <c r="K390"/>
  <c r="K394"/>
  <c r="K398"/>
  <c r="K402"/>
  <c r="K406"/>
  <c r="K410"/>
  <c r="AK411" s="1"/>
  <c r="K362"/>
  <c r="K366"/>
  <c r="K370"/>
  <c r="K374"/>
  <c r="K378"/>
  <c r="K382"/>
  <c r="K386"/>
  <c r="K342"/>
  <c r="K346"/>
  <c r="K350"/>
  <c r="K354"/>
  <c r="K358"/>
  <c r="K338"/>
  <c r="AE339" s="1"/>
  <c r="K325"/>
  <c r="K329"/>
  <c r="K305"/>
  <c r="K309"/>
  <c r="K313"/>
  <c r="K317"/>
  <c r="K321"/>
  <c r="K285"/>
  <c r="K289"/>
  <c r="K293"/>
  <c r="K297"/>
  <c r="K301"/>
  <c r="Z302" s="1"/>
  <c r="K281"/>
  <c r="K277"/>
  <c r="K269"/>
  <c r="K273"/>
  <c r="K249"/>
  <c r="K253"/>
  <c r="K257"/>
  <c r="K260" s="1"/>
  <c r="K261"/>
  <c r="K265"/>
  <c r="K268" s="1"/>
  <c r="K233"/>
  <c r="W234" s="1"/>
  <c r="K237"/>
  <c r="K241"/>
  <c r="K245"/>
  <c r="K217"/>
  <c r="W218" s="1"/>
  <c r="K221"/>
  <c r="W222" s="1"/>
  <c r="K225"/>
  <c r="K229"/>
  <c r="K213"/>
  <c r="W214" s="1"/>
  <c r="K184"/>
  <c r="K188"/>
  <c r="K192"/>
  <c r="K196"/>
  <c r="K200"/>
  <c r="K204"/>
  <c r="K168"/>
  <c r="K172"/>
  <c r="K176"/>
  <c r="K180"/>
  <c r="K148"/>
  <c r="K152"/>
  <c r="K155" s="1"/>
  <c r="K156"/>
  <c r="K159" s="1"/>
  <c r="K160"/>
  <c r="K164"/>
  <c r="K144"/>
  <c r="K128"/>
  <c r="K132"/>
  <c r="K136"/>
  <c r="K140"/>
  <c r="K104"/>
  <c r="K108"/>
  <c r="K112"/>
  <c r="K116"/>
  <c r="K120"/>
  <c r="K124"/>
  <c r="K100"/>
  <c r="X101" s="1"/>
  <c r="K91"/>
  <c r="K79"/>
  <c r="K83"/>
  <c r="K87"/>
  <c r="K63"/>
  <c r="K67"/>
  <c r="K71"/>
  <c r="Y72" s="1"/>
  <c r="K75"/>
  <c r="Y76" s="1"/>
  <c r="K62"/>
  <c r="K18"/>
  <c r="K21" s="1"/>
  <c r="K22"/>
  <c r="K25" s="1"/>
  <c r="K26"/>
  <c r="K30"/>
  <c r="K33" s="1"/>
  <c r="K34"/>
  <c r="K38"/>
  <c r="K42"/>
  <c r="K46"/>
  <c r="K50"/>
  <c r="K14"/>
  <c r="K17" s="1"/>
  <c r="X7"/>
  <c r="Y7" s="1"/>
  <c r="Z7" s="1"/>
  <c r="AA7" s="1"/>
  <c r="AB7" s="1"/>
  <c r="AC7" s="1"/>
  <c r="AD7" s="1"/>
  <c r="AE7" s="1"/>
  <c r="AF7" s="1"/>
  <c r="AG7" s="1"/>
  <c r="AH7" s="1"/>
  <c r="AI7" s="1"/>
  <c r="AJ7" s="1"/>
  <c r="AK7" s="1"/>
  <c r="AB318" l="1"/>
  <c r="AE318"/>
  <c r="AA318"/>
  <c r="AC318"/>
  <c r="AD318"/>
  <c r="Z318"/>
  <c r="AB310"/>
  <c r="AD310"/>
  <c r="Z310"/>
  <c r="AE310"/>
  <c r="AA310"/>
  <c r="AC310"/>
  <c r="AB330"/>
  <c r="AC330"/>
  <c r="AD330"/>
  <c r="Z330"/>
  <c r="AE330"/>
  <c r="AA330"/>
  <c r="AB322"/>
  <c r="AD322"/>
  <c r="Z322"/>
  <c r="AE322"/>
  <c r="AA322"/>
  <c r="AC322"/>
  <c r="AB314"/>
  <c r="AC314"/>
  <c r="AD314"/>
  <c r="Z314"/>
  <c r="AE314"/>
  <c r="AA314"/>
  <c r="AB326"/>
  <c r="AD326"/>
  <c r="Z326"/>
  <c r="AC326"/>
  <c r="AE326"/>
  <c r="AA326"/>
  <c r="X137"/>
  <c r="AB137"/>
  <c r="AF137"/>
  <c r="AJ137"/>
  <c r="Z137"/>
  <c r="AH137"/>
  <c r="Y137"/>
  <c r="AG137"/>
  <c r="W137"/>
  <c r="AA137"/>
  <c r="AE137"/>
  <c r="AI137"/>
  <c r="AD137"/>
  <c r="AC137"/>
  <c r="AK137"/>
  <c r="T137"/>
  <c r="P137"/>
  <c r="R137"/>
  <c r="S137"/>
  <c r="O137"/>
  <c r="Q137"/>
  <c r="T149"/>
  <c r="P149"/>
  <c r="R149"/>
  <c r="S149"/>
  <c r="O149"/>
  <c r="Q149"/>
  <c r="T193"/>
  <c r="P193"/>
  <c r="Q193"/>
  <c r="R193"/>
  <c r="S193"/>
  <c r="O193"/>
  <c r="K143"/>
  <c r="AK141"/>
  <c r="T145"/>
  <c r="P145"/>
  <c r="S145"/>
  <c r="O145"/>
  <c r="Q145"/>
  <c r="R145"/>
  <c r="T197"/>
  <c r="P197"/>
  <c r="R197"/>
  <c r="S197"/>
  <c r="O197"/>
  <c r="Q197"/>
  <c r="AG428"/>
  <c r="AH428"/>
  <c r="AQ14"/>
  <c r="AR14" s="1"/>
  <c r="BA14"/>
  <c r="R129"/>
  <c r="R140" s="1"/>
  <c r="P129"/>
  <c r="P140" s="1"/>
  <c r="T129"/>
  <c r="T140" s="1"/>
  <c r="Q129"/>
  <c r="Q140" s="1"/>
  <c r="S129"/>
  <c r="S140" s="1"/>
  <c r="O129"/>
  <c r="O140" s="1"/>
  <c r="W177"/>
  <c r="Z177"/>
  <c r="AD177"/>
  <c r="AH177"/>
  <c r="X177"/>
  <c r="AF177"/>
  <c r="AI177"/>
  <c r="Y177"/>
  <c r="AC177"/>
  <c r="AG177"/>
  <c r="AK177"/>
  <c r="AB177"/>
  <c r="AJ177"/>
  <c r="AA177"/>
  <c r="AE177"/>
  <c r="R177"/>
  <c r="S177"/>
  <c r="O177"/>
  <c r="T177"/>
  <c r="P177"/>
  <c r="Q177"/>
  <c r="K203"/>
  <c r="X201"/>
  <c r="Z201"/>
  <c r="W201"/>
  <c r="Y201"/>
  <c r="T201"/>
  <c r="P201"/>
  <c r="S201"/>
  <c r="O201"/>
  <c r="Q201"/>
  <c r="R201"/>
  <c r="W185"/>
  <c r="X185"/>
  <c r="X165"/>
  <c r="X168" s="1"/>
  <c r="W165"/>
  <c r="W168" s="1"/>
  <c r="T165"/>
  <c r="P165"/>
  <c r="S165"/>
  <c r="O165"/>
  <c r="Q165"/>
  <c r="R165"/>
  <c r="K171"/>
  <c r="T169"/>
  <c r="P169"/>
  <c r="S169"/>
  <c r="O169"/>
  <c r="Q169"/>
  <c r="R169"/>
  <c r="BA10"/>
  <c r="T125"/>
  <c r="O125"/>
  <c r="Q125"/>
  <c r="P125"/>
  <c r="S125"/>
  <c r="R125"/>
  <c r="T133"/>
  <c r="R133"/>
  <c r="O133"/>
  <c r="P133"/>
  <c r="Q133"/>
  <c r="S133"/>
  <c r="R161"/>
  <c r="S161"/>
  <c r="Q161"/>
  <c r="O161"/>
  <c r="T161"/>
  <c r="P161"/>
  <c r="X181"/>
  <c r="W181"/>
  <c r="K207"/>
  <c r="T205"/>
  <c r="P205"/>
  <c r="O205"/>
  <c r="Q205"/>
  <c r="R205"/>
  <c r="S205"/>
  <c r="K264"/>
  <c r="Z262"/>
  <c r="Y262"/>
  <c r="W173"/>
  <c r="Y173"/>
  <c r="X173"/>
  <c r="T173"/>
  <c r="P173"/>
  <c r="Q173"/>
  <c r="R173"/>
  <c r="S173"/>
  <c r="O173"/>
  <c r="K111"/>
  <c r="AJ109"/>
  <c r="AF109"/>
  <c r="AB109"/>
  <c r="AC109"/>
  <c r="AD109"/>
  <c r="AI109"/>
  <c r="AE109"/>
  <c r="AA109"/>
  <c r="AG109"/>
  <c r="Y109"/>
  <c r="AH109"/>
  <c r="Z109"/>
  <c r="K236"/>
  <c r="O234"/>
  <c r="Q189"/>
  <c r="S189"/>
  <c r="T189"/>
  <c r="R189"/>
  <c r="O189"/>
  <c r="P189"/>
  <c r="AJ359"/>
  <c r="AK359"/>
  <c r="AI359"/>
  <c r="AJ351"/>
  <c r="AK351"/>
  <c r="AI351"/>
  <c r="AK343"/>
  <c r="AJ343"/>
  <c r="AK383"/>
  <c r="AJ383"/>
  <c r="AK375"/>
  <c r="AJ375"/>
  <c r="AI375"/>
  <c r="AK367"/>
  <c r="AJ367"/>
  <c r="AI367"/>
  <c r="AK403"/>
  <c r="AJ403"/>
  <c r="AI403"/>
  <c r="AK395"/>
  <c r="AJ395"/>
  <c r="AK432"/>
  <c r="AJ432"/>
  <c r="AI432"/>
  <c r="AH432"/>
  <c r="AG432"/>
  <c r="AF432"/>
  <c r="K443"/>
  <c r="AD441"/>
  <c r="AF441"/>
  <c r="AH441"/>
  <c r="X441"/>
  <c r="Z441"/>
  <c r="AB441"/>
  <c r="AI441"/>
  <c r="AK441"/>
  <c r="AC441"/>
  <c r="AE441"/>
  <c r="AG441"/>
  <c r="W441"/>
  <c r="Y441"/>
  <c r="AA441"/>
  <c r="AJ441"/>
  <c r="AF453"/>
  <c r="K447"/>
  <c r="Y445"/>
  <c r="AA445"/>
  <c r="AC445"/>
  <c r="AE445"/>
  <c r="AG445"/>
  <c r="AI445"/>
  <c r="AK445"/>
  <c r="X445"/>
  <c r="W445"/>
  <c r="Z445"/>
  <c r="AB445"/>
  <c r="AD445"/>
  <c r="AF445"/>
  <c r="AH445"/>
  <c r="AJ445"/>
  <c r="AA465"/>
  <c r="Z465"/>
  <c r="K480"/>
  <c r="AO478"/>
  <c r="AN478"/>
  <c r="AM478"/>
  <c r="AK278"/>
  <c r="AJ278"/>
  <c r="AK339"/>
  <c r="AJ339"/>
  <c r="AI339"/>
  <c r="AH339"/>
  <c r="AG339"/>
  <c r="AF339"/>
  <c r="AK355"/>
  <c r="AI355"/>
  <c r="AJ355"/>
  <c r="K349"/>
  <c r="AK347"/>
  <c r="AI347"/>
  <c r="AJ347"/>
  <c r="AK387"/>
  <c r="AJ387"/>
  <c r="AK379"/>
  <c r="AJ379"/>
  <c r="AK371"/>
  <c r="AJ371"/>
  <c r="AI371"/>
  <c r="AK363"/>
  <c r="AI363"/>
  <c r="AJ363"/>
  <c r="AK407"/>
  <c r="AJ407"/>
  <c r="AI407"/>
  <c r="AK399"/>
  <c r="AJ399"/>
  <c r="AK391"/>
  <c r="AJ391"/>
  <c r="K426"/>
  <c r="AK424"/>
  <c r="AJ424"/>
  <c r="AI424"/>
  <c r="AH424"/>
  <c r="AG424"/>
  <c r="AF424"/>
  <c r="AK428"/>
  <c r="AJ428"/>
  <c r="AI428"/>
  <c r="Y457"/>
  <c r="Z457"/>
  <c r="AA457"/>
  <c r="AB457"/>
  <c r="X457"/>
  <c r="AK449"/>
  <c r="AJ449"/>
  <c r="AI449"/>
  <c r="AH449"/>
  <c r="AG449"/>
  <c r="AF449"/>
  <c r="AE449"/>
  <c r="AD449"/>
  <c r="AA469"/>
  <c r="Z469"/>
  <c r="Y461"/>
  <c r="Z461"/>
  <c r="AA461"/>
  <c r="AB461"/>
  <c r="X461"/>
  <c r="K484"/>
  <c r="AO482"/>
  <c r="AN482"/>
  <c r="AM482"/>
  <c r="L232"/>
  <c r="K66"/>
  <c r="X64"/>
  <c r="Z64"/>
  <c r="Y64"/>
  <c r="AA64"/>
  <c r="W64"/>
  <c r="K94"/>
  <c r="AJ92"/>
  <c r="K119"/>
  <c r="Z117"/>
  <c r="Y117"/>
  <c r="K147"/>
  <c r="X145"/>
  <c r="W145"/>
  <c r="Y145"/>
  <c r="Z145"/>
  <c r="K175"/>
  <c r="AA173"/>
  <c r="AD173"/>
  <c r="AB173"/>
  <c r="Z173"/>
  <c r="AE173"/>
  <c r="AC173"/>
  <c r="K216"/>
  <c r="Y214"/>
  <c r="Z214"/>
  <c r="X214"/>
  <c r="K256"/>
  <c r="Z254"/>
  <c r="Y254"/>
  <c r="K296"/>
  <c r="AG294"/>
  <c r="AH294"/>
  <c r="AI294"/>
  <c r="AF294"/>
  <c r="K332"/>
  <c r="AH330"/>
  <c r="AI330"/>
  <c r="AJ330"/>
  <c r="AF330"/>
  <c r="AK330"/>
  <c r="AG330"/>
  <c r="K389"/>
  <c r="K409"/>
  <c r="K393"/>
  <c r="K451"/>
  <c r="K463"/>
  <c r="L41"/>
  <c r="AW38"/>
  <c r="L78"/>
  <c r="AW75"/>
  <c r="L131"/>
  <c r="AW128"/>
  <c r="L115"/>
  <c r="AW112"/>
  <c r="L224"/>
  <c r="AW221"/>
  <c r="L280"/>
  <c r="AW277"/>
  <c r="L296"/>
  <c r="AW293"/>
  <c r="L328"/>
  <c r="AW325"/>
  <c r="L373"/>
  <c r="AW370"/>
  <c r="L417"/>
  <c r="AW414"/>
  <c r="L443"/>
  <c r="AW440"/>
  <c r="K37"/>
  <c r="AD35"/>
  <c r="AE35"/>
  <c r="AF35"/>
  <c r="AG35"/>
  <c r="AC35"/>
  <c r="AH35"/>
  <c r="AB35"/>
  <c r="K70"/>
  <c r="Y68"/>
  <c r="X68"/>
  <c r="K123"/>
  <c r="Z121"/>
  <c r="Y121"/>
  <c r="K179"/>
  <c r="K187"/>
  <c r="Y185"/>
  <c r="Z185"/>
  <c r="K300"/>
  <c r="AG298"/>
  <c r="AH298"/>
  <c r="AI298"/>
  <c r="AF298"/>
  <c r="K308"/>
  <c r="AK306"/>
  <c r="AG306"/>
  <c r="AH306"/>
  <c r="AI306"/>
  <c r="AJ306"/>
  <c r="AF306"/>
  <c r="K361"/>
  <c r="K377"/>
  <c r="K397"/>
  <c r="K455"/>
  <c r="AB453"/>
  <c r="K13"/>
  <c r="AI10"/>
  <c r="AI13" s="1"/>
  <c r="AA10"/>
  <c r="AA13" s="1"/>
  <c r="AF10"/>
  <c r="AF13" s="1"/>
  <c r="Z10"/>
  <c r="Z13" s="1"/>
  <c r="AH10"/>
  <c r="AH13" s="1"/>
  <c r="Y10"/>
  <c r="Y13" s="1"/>
  <c r="AG10"/>
  <c r="AG13" s="1"/>
  <c r="AB10"/>
  <c r="AB13" s="1"/>
  <c r="AJ10"/>
  <c r="AJ13" s="1"/>
  <c r="AT10"/>
  <c r="L25"/>
  <c r="AW22"/>
  <c r="L66"/>
  <c r="AW63"/>
  <c r="L119"/>
  <c r="AW116"/>
  <c r="L147"/>
  <c r="AW144"/>
  <c r="L179"/>
  <c r="AW176"/>
  <c r="L216"/>
  <c r="AW213"/>
  <c r="L260"/>
  <c r="AW257"/>
  <c r="L268"/>
  <c r="AW265"/>
  <c r="L324"/>
  <c r="AW321"/>
  <c r="L357"/>
  <c r="AW354"/>
  <c r="L397"/>
  <c r="AW394"/>
  <c r="L405"/>
  <c r="AW402"/>
  <c r="L455"/>
  <c r="AW452"/>
  <c r="L467"/>
  <c r="AW464"/>
  <c r="K41"/>
  <c r="AI39"/>
  <c r="AE39"/>
  <c r="AA39"/>
  <c r="AB39"/>
  <c r="Z39"/>
  <c r="X39"/>
  <c r="AH39"/>
  <c r="AD39"/>
  <c r="AC39"/>
  <c r="Y39"/>
  <c r="W39"/>
  <c r="AF39"/>
  <c r="AG39"/>
  <c r="K74"/>
  <c r="X72"/>
  <c r="Z72"/>
  <c r="AB72"/>
  <c r="AD72"/>
  <c r="AC72"/>
  <c r="AA72"/>
  <c r="K86"/>
  <c r="X84"/>
  <c r="Y84"/>
  <c r="K127"/>
  <c r="W125"/>
  <c r="K135"/>
  <c r="W133"/>
  <c r="K163"/>
  <c r="W161"/>
  <c r="K183"/>
  <c r="Y181"/>
  <c r="Z181"/>
  <c r="K191"/>
  <c r="Y189"/>
  <c r="AB189"/>
  <c r="W189"/>
  <c r="X189"/>
  <c r="Z189"/>
  <c r="K228"/>
  <c r="X226"/>
  <c r="Y226"/>
  <c r="Z226"/>
  <c r="K244"/>
  <c r="AA242"/>
  <c r="AC242"/>
  <c r="AE242"/>
  <c r="AB242"/>
  <c r="AD242"/>
  <c r="K276"/>
  <c r="AI274"/>
  <c r="AE274"/>
  <c r="AJ274"/>
  <c r="AF274"/>
  <c r="AK274"/>
  <c r="AG274"/>
  <c r="AH274"/>
  <c r="AD274"/>
  <c r="K304"/>
  <c r="AJ302"/>
  <c r="AK302"/>
  <c r="AA302"/>
  <c r="AB302"/>
  <c r="AC302"/>
  <c r="K288"/>
  <c r="AF286"/>
  <c r="AG286"/>
  <c r="AH286"/>
  <c r="AI286"/>
  <c r="K312"/>
  <c r="AH310"/>
  <c r="AI310"/>
  <c r="AJ310"/>
  <c r="AF310"/>
  <c r="AK310"/>
  <c r="AG310"/>
  <c r="K341"/>
  <c r="K401"/>
  <c r="AB424"/>
  <c r="AA424"/>
  <c r="Z424"/>
  <c r="K459"/>
  <c r="Y469"/>
  <c r="X469"/>
  <c r="L29"/>
  <c r="AW26"/>
  <c r="L70"/>
  <c r="AW67"/>
  <c r="L139"/>
  <c r="AW136"/>
  <c r="L123"/>
  <c r="AW120"/>
  <c r="L107"/>
  <c r="AW104"/>
  <c r="L199"/>
  <c r="AW196"/>
  <c r="L183"/>
  <c r="AW180"/>
  <c r="L167"/>
  <c r="AW164"/>
  <c r="L151"/>
  <c r="AW148"/>
  <c r="L264"/>
  <c r="AW261"/>
  <c r="L248"/>
  <c r="AW245"/>
  <c r="L272"/>
  <c r="AW269"/>
  <c r="L304"/>
  <c r="AW301"/>
  <c r="L288"/>
  <c r="AW285"/>
  <c r="L312"/>
  <c r="AW309"/>
  <c r="L361"/>
  <c r="AW358"/>
  <c r="L345"/>
  <c r="AW342"/>
  <c r="L365"/>
  <c r="AW362"/>
  <c r="L385"/>
  <c r="AW382"/>
  <c r="L409"/>
  <c r="AW406"/>
  <c r="L434"/>
  <c r="AW431"/>
  <c r="L459"/>
  <c r="AW456"/>
  <c r="L471"/>
  <c r="AW468"/>
  <c r="L480"/>
  <c r="K381"/>
  <c r="K471"/>
  <c r="K49"/>
  <c r="AF47"/>
  <c r="AG47"/>
  <c r="AH47"/>
  <c r="AD47"/>
  <c r="AI47"/>
  <c r="AE47"/>
  <c r="K199"/>
  <c r="X197"/>
  <c r="Z197"/>
  <c r="W197"/>
  <c r="Y197"/>
  <c r="K220"/>
  <c r="X218"/>
  <c r="Y218"/>
  <c r="Z218"/>
  <c r="X234"/>
  <c r="Y234"/>
  <c r="Z234"/>
  <c r="K280"/>
  <c r="AG278"/>
  <c r="AH278"/>
  <c r="AI278"/>
  <c r="AF278"/>
  <c r="K320"/>
  <c r="AH318"/>
  <c r="AI318"/>
  <c r="AJ318"/>
  <c r="AF318"/>
  <c r="AK318"/>
  <c r="AG318"/>
  <c r="K357"/>
  <c r="K373"/>
  <c r="K430"/>
  <c r="L103"/>
  <c r="AW100"/>
  <c r="L191"/>
  <c r="AW188"/>
  <c r="L175"/>
  <c r="AW172"/>
  <c r="L240"/>
  <c r="AW237"/>
  <c r="L256"/>
  <c r="AW253"/>
  <c r="L284"/>
  <c r="AW281"/>
  <c r="L320"/>
  <c r="AW317"/>
  <c r="L353"/>
  <c r="AW350"/>
  <c r="L393"/>
  <c r="AW390"/>
  <c r="L401"/>
  <c r="AW398"/>
  <c r="L451"/>
  <c r="AW448"/>
  <c r="K53"/>
  <c r="AF51"/>
  <c r="AG51"/>
  <c r="AE51"/>
  <c r="AE18"/>
  <c r="AG18"/>
  <c r="AG21" s="1"/>
  <c r="AH18"/>
  <c r="AH21" s="1"/>
  <c r="AJ18"/>
  <c r="AJ21" s="1"/>
  <c r="AF18"/>
  <c r="AF21" s="1"/>
  <c r="K82"/>
  <c r="X80"/>
  <c r="K107"/>
  <c r="Z105"/>
  <c r="Y105"/>
  <c r="K131"/>
  <c r="W129"/>
  <c r="K224"/>
  <c r="Y222"/>
  <c r="Z222"/>
  <c r="X222"/>
  <c r="K240"/>
  <c r="Y238"/>
  <c r="Z238"/>
  <c r="X238"/>
  <c r="K272"/>
  <c r="AI270"/>
  <c r="AE270"/>
  <c r="AJ270"/>
  <c r="AF270"/>
  <c r="AK270"/>
  <c r="AG270"/>
  <c r="AH270"/>
  <c r="AD270"/>
  <c r="K324"/>
  <c r="AH322"/>
  <c r="AI322"/>
  <c r="AJ322"/>
  <c r="AF322"/>
  <c r="AK322"/>
  <c r="AG322"/>
  <c r="K345"/>
  <c r="K413"/>
  <c r="K434"/>
  <c r="AB432"/>
  <c r="AA432"/>
  <c r="Z432"/>
  <c r="K467"/>
  <c r="Y465"/>
  <c r="X465"/>
  <c r="L62"/>
  <c r="AW59"/>
  <c r="L195"/>
  <c r="AW192"/>
  <c r="L163"/>
  <c r="AW160"/>
  <c r="L228"/>
  <c r="AW225"/>
  <c r="L244"/>
  <c r="AW241"/>
  <c r="L300"/>
  <c r="AW297"/>
  <c r="L332"/>
  <c r="AW329"/>
  <c r="L377"/>
  <c r="AW374"/>
  <c r="L381"/>
  <c r="AW378"/>
  <c r="L430"/>
  <c r="AW427"/>
  <c r="K45"/>
  <c r="AF43"/>
  <c r="AG43"/>
  <c r="AH43"/>
  <c r="AD43"/>
  <c r="AI43"/>
  <c r="AE43"/>
  <c r="K29"/>
  <c r="AD27"/>
  <c r="AH27"/>
  <c r="Z27"/>
  <c r="AC27"/>
  <c r="AB27"/>
  <c r="AE27"/>
  <c r="AI27"/>
  <c r="Y27"/>
  <c r="AG27"/>
  <c r="AA27"/>
  <c r="W27"/>
  <c r="AF27"/>
  <c r="X27"/>
  <c r="K78"/>
  <c r="AA76"/>
  <c r="AC76"/>
  <c r="Z76"/>
  <c r="AB76"/>
  <c r="AD76"/>
  <c r="K90"/>
  <c r="Y88"/>
  <c r="X88"/>
  <c r="K103"/>
  <c r="Y101"/>
  <c r="Z101"/>
  <c r="K115"/>
  <c r="Z113"/>
  <c r="Y113"/>
  <c r="K139"/>
  <c r="K167"/>
  <c r="K151"/>
  <c r="Y149"/>
  <c r="X149"/>
  <c r="Z149"/>
  <c r="W149"/>
  <c r="K195"/>
  <c r="W193"/>
  <c r="X193"/>
  <c r="Y193"/>
  <c r="Z193"/>
  <c r="K232"/>
  <c r="Y230"/>
  <c r="Z230"/>
  <c r="X230"/>
  <c r="K248"/>
  <c r="X246"/>
  <c r="Y246"/>
  <c r="Z246"/>
  <c r="K252"/>
  <c r="Y250"/>
  <c r="Z250"/>
  <c r="X250"/>
  <c r="K284"/>
  <c r="AF282"/>
  <c r="AG282"/>
  <c r="AH282"/>
  <c r="AI282"/>
  <c r="K292"/>
  <c r="AG290"/>
  <c r="AH290"/>
  <c r="AI290"/>
  <c r="AF290"/>
  <c r="K316"/>
  <c r="AH314"/>
  <c r="AI314"/>
  <c r="AJ314"/>
  <c r="AF314"/>
  <c r="AK314"/>
  <c r="AG314"/>
  <c r="K328"/>
  <c r="AH326"/>
  <c r="AI326"/>
  <c r="AJ326"/>
  <c r="AF326"/>
  <c r="AK326"/>
  <c r="AG326"/>
  <c r="K353"/>
  <c r="K385"/>
  <c r="K369"/>
  <c r="K405"/>
  <c r="K417"/>
  <c r="L33"/>
  <c r="AW30"/>
  <c r="L17"/>
  <c r="AW14"/>
  <c r="L37"/>
  <c r="AW34"/>
  <c r="L74"/>
  <c r="AW71"/>
  <c r="L111"/>
  <c r="AW108"/>
  <c r="L203"/>
  <c r="AW200"/>
  <c r="L187"/>
  <c r="AW184"/>
  <c r="L236"/>
  <c r="AW233"/>
  <c r="L220"/>
  <c r="AW217"/>
  <c r="L252"/>
  <c r="AW249"/>
  <c r="L276"/>
  <c r="AW273"/>
  <c r="L308"/>
  <c r="AW305"/>
  <c r="L292"/>
  <c r="AW289"/>
  <c r="L316"/>
  <c r="AW313"/>
  <c r="L341"/>
  <c r="AW338"/>
  <c r="L349"/>
  <c r="AW346"/>
  <c r="L369"/>
  <c r="AW366"/>
  <c r="L389"/>
  <c r="AW386"/>
  <c r="L413"/>
  <c r="AW410"/>
  <c r="L426"/>
  <c r="AW423"/>
  <c r="L463"/>
  <c r="AW460"/>
  <c r="L447"/>
  <c r="AW444"/>
  <c r="L484"/>
  <c r="AW481"/>
  <c r="K365"/>
  <c r="K523" l="1"/>
  <c r="K525" s="1"/>
  <c r="W204"/>
  <c r="W140"/>
  <c r="AQ11"/>
  <c r="BA11"/>
  <c r="S143"/>
  <c r="S141"/>
  <c r="W169"/>
  <c r="W171"/>
  <c r="O143"/>
  <c r="O141"/>
  <c r="P143"/>
  <c r="P141"/>
  <c r="T143"/>
  <c r="T141"/>
  <c r="K437"/>
  <c r="AC436" s="1"/>
  <c r="X171"/>
  <c r="X169"/>
  <c r="R141"/>
  <c r="R143"/>
  <c r="Q141"/>
  <c r="Q143"/>
  <c r="AK156"/>
  <c r="AK159" s="1"/>
  <c r="AK152"/>
  <c r="AK155" s="1"/>
  <c r="K420"/>
  <c r="Y419" s="1"/>
  <c r="K56"/>
  <c r="AO55" s="1"/>
  <c r="K487"/>
  <c r="K474"/>
  <c r="K210"/>
  <c r="K97"/>
  <c r="K335"/>
  <c r="Z334" s="1"/>
  <c r="AE21"/>
  <c r="AV18"/>
  <c r="AW18" s="1"/>
  <c r="AE419"/>
  <c r="AB419"/>
  <c r="Z419"/>
  <c r="AL55"/>
  <c r="AM55" l="1"/>
  <c r="AA419"/>
  <c r="AG419"/>
  <c r="AN55"/>
  <c r="AH419"/>
  <c r="AD419"/>
  <c r="AC419"/>
  <c r="AI419"/>
  <c r="X419"/>
  <c r="AF419"/>
  <c r="Q152"/>
  <c r="Q156"/>
  <c r="R152"/>
  <c r="R156"/>
  <c r="T152"/>
  <c r="T156"/>
  <c r="O156"/>
  <c r="O152"/>
  <c r="W141"/>
  <c r="W143"/>
  <c r="AD486"/>
  <c r="AB486"/>
  <c r="AA486"/>
  <c r="Y486"/>
  <c r="AF486"/>
  <c r="AJ486"/>
  <c r="AK486"/>
  <c r="X486"/>
  <c r="W486"/>
  <c r="AG486"/>
  <c r="AH486"/>
  <c r="AC486"/>
  <c r="Z486"/>
  <c r="AI486"/>
  <c r="AK419"/>
  <c r="AJ419"/>
  <c r="W419"/>
  <c r="AB436"/>
  <c r="AE486"/>
  <c r="P156"/>
  <c r="P152"/>
  <c r="S152"/>
  <c r="S156"/>
  <c r="L523"/>
  <c r="AJ436"/>
  <c r="AD436"/>
  <c r="X334"/>
  <c r="W334"/>
  <c r="Y334"/>
  <c r="W436"/>
  <c r="AG436"/>
  <c r="Z436"/>
  <c r="AA436"/>
  <c r="AH436"/>
  <c r="AE436"/>
  <c r="Y436"/>
  <c r="X436"/>
  <c r="AF436"/>
  <c r="W205"/>
  <c r="W207"/>
  <c r="P155" l="1"/>
  <c r="P153"/>
  <c r="S153"/>
  <c r="S155"/>
  <c r="O157"/>
  <c r="BA156"/>
  <c r="O159"/>
  <c r="R153"/>
  <c r="R155"/>
  <c r="R489" s="1"/>
  <c r="S157"/>
  <c r="S159"/>
  <c r="O153"/>
  <c r="O155"/>
  <c r="O489" s="1"/>
  <c r="BA152"/>
  <c r="R159"/>
  <c r="R157"/>
  <c r="P157"/>
  <c r="P159"/>
  <c r="W156"/>
  <c r="W152"/>
  <c r="T153"/>
  <c r="T155"/>
  <c r="Q153"/>
  <c r="Q155"/>
  <c r="T159"/>
  <c r="T157"/>
  <c r="Q157"/>
  <c r="Q159"/>
  <c r="L109" i="6"/>
  <c r="AL507" i="4"/>
  <c r="AL509"/>
  <c r="P489" l="1"/>
  <c r="S489"/>
  <c r="S490" s="1"/>
  <c r="S491" s="1"/>
  <c r="O490"/>
  <c r="O495" s="1"/>
  <c r="O492"/>
  <c r="O494"/>
  <c r="O497" s="1"/>
  <c r="P492"/>
  <c r="AQ22"/>
  <c r="AR22" s="1"/>
  <c r="BA22"/>
  <c r="T489"/>
  <c r="R490"/>
  <c r="R491" s="1"/>
  <c r="R492"/>
  <c r="Q489"/>
  <c r="W159"/>
  <c r="W157"/>
  <c r="W153"/>
  <c r="W155"/>
  <c r="P494" l="1"/>
  <c r="P497" s="1"/>
  <c r="P490"/>
  <c r="P491" s="1"/>
  <c r="S492"/>
  <c r="T490"/>
  <c r="T491" s="1"/>
  <c r="T492"/>
  <c r="Q492"/>
  <c r="Q490"/>
  <c r="Q491" s="1"/>
  <c r="Q494"/>
  <c r="O491"/>
  <c r="O496" s="1"/>
  <c r="P496" s="1"/>
  <c r="Q496" s="1"/>
  <c r="R496" s="1"/>
  <c r="S496" s="1"/>
  <c r="W210"/>
  <c r="W209" s="1"/>
  <c r="D508"/>
  <c r="AM487"/>
  <c r="AM486" s="1"/>
  <c r="AO487"/>
  <c r="AO486" s="1"/>
  <c r="AK268"/>
  <c r="AJ268"/>
  <c r="AI268"/>
  <c r="AH268"/>
  <c r="AG268"/>
  <c r="AF268"/>
  <c r="AE268"/>
  <c r="AD268"/>
  <c r="AC268"/>
  <c r="AB268"/>
  <c r="AK264"/>
  <c r="AJ264"/>
  <c r="AI264"/>
  <c r="AH264"/>
  <c r="AG264"/>
  <c r="AF264"/>
  <c r="AE264"/>
  <c r="AD264"/>
  <c r="AC264"/>
  <c r="AB264"/>
  <c r="AB260"/>
  <c r="AC260"/>
  <c r="AD260"/>
  <c r="AE260"/>
  <c r="AF260"/>
  <c r="AG260"/>
  <c r="AH260"/>
  <c r="AI260"/>
  <c r="AJ260"/>
  <c r="AK260"/>
  <c r="AK256"/>
  <c r="AJ256"/>
  <c r="AI256"/>
  <c r="AH256"/>
  <c r="AG256"/>
  <c r="AF256"/>
  <c r="AE256"/>
  <c r="AD256"/>
  <c r="AC256"/>
  <c r="AB256"/>
  <c r="AA256"/>
  <c r="AK252"/>
  <c r="AJ252"/>
  <c r="AI252"/>
  <c r="AH252"/>
  <c r="AG252"/>
  <c r="AF252"/>
  <c r="AE252"/>
  <c r="AD252"/>
  <c r="AC252"/>
  <c r="AB252"/>
  <c r="AA252"/>
  <c r="AK248"/>
  <c r="AJ248"/>
  <c r="AI248"/>
  <c r="AH248"/>
  <c r="AG248"/>
  <c r="AF248"/>
  <c r="AE248"/>
  <c r="AD248"/>
  <c r="AC248"/>
  <c r="AB248"/>
  <c r="AK244"/>
  <c r="AJ244"/>
  <c r="AI244"/>
  <c r="AH244"/>
  <c r="AG244"/>
  <c r="AF244"/>
  <c r="AK240"/>
  <c r="AJ240"/>
  <c r="AI240"/>
  <c r="AH240"/>
  <c r="AG240"/>
  <c r="AF240"/>
  <c r="AE240"/>
  <c r="AD240"/>
  <c r="AC240"/>
  <c r="AB240"/>
  <c r="AA240"/>
  <c r="AK236"/>
  <c r="AJ236"/>
  <c r="AI236"/>
  <c r="AH236"/>
  <c r="AG236"/>
  <c r="AF236"/>
  <c r="AE236"/>
  <c r="AD236"/>
  <c r="AC236"/>
  <c r="AB236"/>
  <c r="AA236"/>
  <c r="AK232"/>
  <c r="AJ232"/>
  <c r="AI232"/>
  <c r="AH232"/>
  <c r="AG232"/>
  <c r="AF232"/>
  <c r="AE232"/>
  <c r="AD232"/>
  <c r="AC232"/>
  <c r="AB232"/>
  <c r="AA232"/>
  <c r="AK228"/>
  <c r="AJ228"/>
  <c r="AI228"/>
  <c r="AH228"/>
  <c r="AG228"/>
  <c r="AF228"/>
  <c r="AE228"/>
  <c r="AD228"/>
  <c r="AC228"/>
  <c r="AB228"/>
  <c r="AA228"/>
  <c r="AK224"/>
  <c r="AJ224"/>
  <c r="AI224"/>
  <c r="AH224"/>
  <c r="AG224"/>
  <c r="AF224"/>
  <c r="AE224"/>
  <c r="AD224"/>
  <c r="AC224"/>
  <c r="AB224"/>
  <c r="AA224"/>
  <c r="AK220"/>
  <c r="AJ220"/>
  <c r="AI220"/>
  <c r="AH220"/>
  <c r="AG220"/>
  <c r="AF220"/>
  <c r="AE220"/>
  <c r="AD220"/>
  <c r="AC220"/>
  <c r="AB220"/>
  <c r="AA220"/>
  <c r="AK216"/>
  <c r="AJ216"/>
  <c r="AI216"/>
  <c r="AG216"/>
  <c r="AF216"/>
  <c r="AE216"/>
  <c r="AD216"/>
  <c r="AC216"/>
  <c r="AB216"/>
  <c r="AB335" s="1"/>
  <c r="AA216"/>
  <c r="P495" l="1"/>
  <c r="Q495" s="1"/>
  <c r="R495" s="1"/>
  <c r="S495" s="1"/>
  <c r="T495" s="1"/>
  <c r="AC335"/>
  <c r="AC334" s="1"/>
  <c r="T496"/>
  <c r="Q497"/>
  <c r="R494"/>
  <c r="AG335"/>
  <c r="AG334" s="1"/>
  <c r="AN487"/>
  <c r="AN486" s="1"/>
  <c r="AF335"/>
  <c r="AF334" s="1"/>
  <c r="AE335"/>
  <c r="AE334" s="1"/>
  <c r="AD335"/>
  <c r="AD334" s="1"/>
  <c r="AI335"/>
  <c r="AI334" s="1"/>
  <c r="AB334"/>
  <c r="AK335"/>
  <c r="AK334" s="1"/>
  <c r="AN489"/>
  <c r="AO489"/>
  <c r="AJ335"/>
  <c r="AJ334" s="1"/>
  <c r="AA268"/>
  <c r="AA264"/>
  <c r="AA260"/>
  <c r="AA248"/>
  <c r="AA335" s="1"/>
  <c r="AH216"/>
  <c r="AH335" s="1"/>
  <c r="AH334" s="1"/>
  <c r="R497" l="1"/>
  <c r="S494"/>
  <c r="AA334"/>
  <c r="AO507"/>
  <c r="AO492"/>
  <c r="AN507"/>
  <c r="AN492"/>
  <c r="AM507"/>
  <c r="AH9" i="6"/>
  <c r="AK203" i="4"/>
  <c r="AJ203"/>
  <c r="AI203"/>
  <c r="AH203"/>
  <c r="AG203"/>
  <c r="AE203"/>
  <c r="AD203"/>
  <c r="AC203"/>
  <c r="AB203"/>
  <c r="AJ199"/>
  <c r="AI199"/>
  <c r="AH199"/>
  <c r="AG199"/>
  <c r="AF199"/>
  <c r="AE199"/>
  <c r="AD199"/>
  <c r="AC199"/>
  <c r="AB199"/>
  <c r="AA199"/>
  <c r="AK195"/>
  <c r="AJ195"/>
  <c r="AI195"/>
  <c r="AH195"/>
  <c r="AG195"/>
  <c r="AF195"/>
  <c r="AE195"/>
  <c r="AD195"/>
  <c r="AC195"/>
  <c r="AB195"/>
  <c r="AA195"/>
  <c r="AK191"/>
  <c r="AJ191"/>
  <c r="AI191"/>
  <c r="AH191"/>
  <c r="AG191"/>
  <c r="AF191"/>
  <c r="AE191"/>
  <c r="AD191"/>
  <c r="AC191"/>
  <c r="AA191"/>
  <c r="AB187"/>
  <c r="AC187"/>
  <c r="AD187"/>
  <c r="AE187"/>
  <c r="AF187"/>
  <c r="AG187"/>
  <c r="AH187"/>
  <c r="AI187"/>
  <c r="AJ187"/>
  <c r="AK187"/>
  <c r="AK183"/>
  <c r="AJ183"/>
  <c r="AI183"/>
  <c r="AH183"/>
  <c r="AG183"/>
  <c r="AF183"/>
  <c r="AE183"/>
  <c r="AD183"/>
  <c r="AC183"/>
  <c r="AB183"/>
  <c r="AA183"/>
  <c r="AK175"/>
  <c r="AJ175"/>
  <c r="AI175"/>
  <c r="AH175"/>
  <c r="AG175"/>
  <c r="AF175"/>
  <c r="AK167"/>
  <c r="AJ167"/>
  <c r="AI167"/>
  <c r="AH167"/>
  <c r="AG167"/>
  <c r="AF167"/>
  <c r="AE167"/>
  <c r="AD167"/>
  <c r="Y167"/>
  <c r="Z167"/>
  <c r="AA167"/>
  <c r="AB167"/>
  <c r="AC167"/>
  <c r="AK163"/>
  <c r="AJ163"/>
  <c r="AI163"/>
  <c r="AH163"/>
  <c r="AG163"/>
  <c r="AF163"/>
  <c r="AE163"/>
  <c r="AD163"/>
  <c r="AC163"/>
  <c r="AB163"/>
  <c r="AA163"/>
  <c r="Y163"/>
  <c r="Z163"/>
  <c r="X163"/>
  <c r="AB151"/>
  <c r="AC151"/>
  <c r="AD151"/>
  <c r="AE151"/>
  <c r="AF151"/>
  <c r="AG151"/>
  <c r="AH151"/>
  <c r="AI151"/>
  <c r="AJ151"/>
  <c r="AK151"/>
  <c r="AA151"/>
  <c r="AB147"/>
  <c r="AC147"/>
  <c r="AD147"/>
  <c r="AE147"/>
  <c r="AF147"/>
  <c r="AG147"/>
  <c r="AH147"/>
  <c r="AI147"/>
  <c r="AJ147"/>
  <c r="AK147"/>
  <c r="AA147"/>
  <c r="S497" l="1"/>
  <c r="T494"/>
  <c r="T497" s="1"/>
  <c r="AA187"/>
  <c r="AA135" l="1"/>
  <c r="AB135"/>
  <c r="AC135"/>
  <c r="AD135"/>
  <c r="AF135"/>
  <c r="AG135"/>
  <c r="AH135"/>
  <c r="AI135"/>
  <c r="AJ135"/>
  <c r="AC127"/>
  <c r="AD127"/>
  <c r="AG127"/>
  <c r="AH127"/>
  <c r="AI127"/>
  <c r="AG131"/>
  <c r="AD131"/>
  <c r="AC131"/>
  <c r="AJ131"/>
  <c r="AF131"/>
  <c r="AB131"/>
  <c r="Y127"/>
  <c r="X131"/>
  <c r="AB123"/>
  <c r="AC123"/>
  <c r="AD123"/>
  <c r="AE123"/>
  <c r="AF123"/>
  <c r="AG123"/>
  <c r="AH123"/>
  <c r="AI123"/>
  <c r="AJ123"/>
  <c r="AK123"/>
  <c r="AK119"/>
  <c r="AJ119"/>
  <c r="AI119"/>
  <c r="AH119"/>
  <c r="AG119"/>
  <c r="AF119"/>
  <c r="AE119"/>
  <c r="AD119"/>
  <c r="AC119"/>
  <c r="AB119"/>
  <c r="AA119"/>
  <c r="AK115"/>
  <c r="AJ115"/>
  <c r="AI115"/>
  <c r="AH115"/>
  <c r="AG115"/>
  <c r="AF115"/>
  <c r="AE115"/>
  <c r="AD115"/>
  <c r="AC115"/>
  <c r="AB115"/>
  <c r="AA115"/>
  <c r="AK107"/>
  <c r="AJ107"/>
  <c r="AI107"/>
  <c r="AH107"/>
  <c r="AG107"/>
  <c r="AF107"/>
  <c r="AE107"/>
  <c r="AD107"/>
  <c r="AC107"/>
  <c r="AB107"/>
  <c r="AA107"/>
  <c r="AK103"/>
  <c r="AJ103"/>
  <c r="AI103"/>
  <c r="AH103"/>
  <c r="AG103"/>
  <c r="AF103"/>
  <c r="AE103"/>
  <c r="AD103"/>
  <c r="AC103"/>
  <c r="AB103"/>
  <c r="AA103"/>
  <c r="Y131" l="1"/>
  <c r="Z131"/>
  <c r="AE135"/>
  <c r="Z135"/>
  <c r="AB127"/>
  <c r="AJ127"/>
  <c r="AA127"/>
  <c r="AE127"/>
  <c r="AF127"/>
  <c r="AA131"/>
  <c r="AE131"/>
  <c r="AI131"/>
  <c r="AA123"/>
  <c r="X127" l="1"/>
  <c r="AV124"/>
  <c r="AW124" s="1"/>
  <c r="X135"/>
  <c r="AV132"/>
  <c r="AW132" s="1"/>
  <c r="Z127"/>
  <c r="Y135"/>
  <c r="AQ127" l="1"/>
  <c r="X451"/>
  <c r="Y451"/>
  <c r="Z451"/>
  <c r="AA451"/>
  <c r="AB451"/>
  <c r="AC451"/>
  <c r="BA83"/>
  <c r="U481"/>
  <c r="U477"/>
  <c r="U444"/>
  <c r="U448"/>
  <c r="U452"/>
  <c r="U456"/>
  <c r="U460"/>
  <c r="U464"/>
  <c r="U468"/>
  <c r="U431"/>
  <c r="U427"/>
  <c r="U423"/>
  <c r="U414"/>
  <c r="U410"/>
  <c r="U406"/>
  <c r="U402"/>
  <c r="U398"/>
  <c r="U394"/>
  <c r="U390"/>
  <c r="U386"/>
  <c r="U382"/>
  <c r="U378"/>
  <c r="U374"/>
  <c r="U370"/>
  <c r="U366"/>
  <c r="U362"/>
  <c r="U358"/>
  <c r="U354"/>
  <c r="U350"/>
  <c r="U346"/>
  <c r="U342"/>
  <c r="U338"/>
  <c r="U329"/>
  <c r="U325"/>
  <c r="U321"/>
  <c r="U317"/>
  <c r="U313"/>
  <c r="U309"/>
  <c r="U305"/>
  <c r="U301"/>
  <c r="U297"/>
  <c r="U293"/>
  <c r="U289"/>
  <c r="U285"/>
  <c r="U281"/>
  <c r="U277"/>
  <c r="U273"/>
  <c r="U269"/>
  <c r="U265"/>
  <c r="U261"/>
  <c r="U257"/>
  <c r="U253"/>
  <c r="U241"/>
  <c r="U237"/>
  <c r="BA207"/>
  <c r="BA171"/>
  <c r="AR132"/>
  <c r="AQ237" l="1"/>
  <c r="AR237" s="1"/>
  <c r="BA237"/>
  <c r="AQ293"/>
  <c r="AR293" s="1"/>
  <c r="BA293"/>
  <c r="AQ325"/>
  <c r="AR325" s="1"/>
  <c r="BA325"/>
  <c r="AQ362"/>
  <c r="BA362"/>
  <c r="AQ394"/>
  <c r="BA394"/>
  <c r="AQ431"/>
  <c r="BA431"/>
  <c r="AQ477"/>
  <c r="BA477"/>
  <c r="BA46"/>
  <c r="BA90"/>
  <c r="BA87"/>
  <c r="AQ273"/>
  <c r="AR273" s="1"/>
  <c r="BA273"/>
  <c r="AQ305"/>
  <c r="AR305" s="1"/>
  <c r="BA305"/>
  <c r="AQ342"/>
  <c r="AR342" s="1"/>
  <c r="BA342"/>
  <c r="AQ358"/>
  <c r="AR358" s="1"/>
  <c r="BA358"/>
  <c r="AQ390"/>
  <c r="BA390"/>
  <c r="AQ427"/>
  <c r="BA427"/>
  <c r="AQ444"/>
  <c r="AR444" s="1"/>
  <c r="BA444"/>
  <c r="BA42"/>
  <c r="AQ67"/>
  <c r="AR67" s="1"/>
  <c r="BA67"/>
  <c r="AQ108"/>
  <c r="AR108" s="1"/>
  <c r="BA108"/>
  <c r="AQ203"/>
  <c r="AR203" s="1"/>
  <c r="BA200"/>
  <c r="AQ200"/>
  <c r="AR200" s="1"/>
  <c r="AQ253"/>
  <c r="AR253" s="1"/>
  <c r="BA253"/>
  <c r="AQ269"/>
  <c r="AR269" s="1"/>
  <c r="BA269"/>
  <c r="AQ285"/>
  <c r="AR285" s="1"/>
  <c r="BA285"/>
  <c r="AQ301"/>
  <c r="AR301" s="1"/>
  <c r="BA301"/>
  <c r="AQ317"/>
  <c r="AR317" s="1"/>
  <c r="BA317"/>
  <c r="AQ338"/>
  <c r="AR338" s="1"/>
  <c r="BA338"/>
  <c r="AQ354"/>
  <c r="BA354"/>
  <c r="AQ370"/>
  <c r="AR370" s="1"/>
  <c r="BA370"/>
  <c r="AQ386"/>
  <c r="BA386"/>
  <c r="AQ402"/>
  <c r="AR402" s="1"/>
  <c r="BA402"/>
  <c r="AQ423"/>
  <c r="AR423" s="1"/>
  <c r="BA423"/>
  <c r="AQ464"/>
  <c r="AR464" s="1"/>
  <c r="BA464"/>
  <c r="AQ448"/>
  <c r="AR448" s="1"/>
  <c r="BA448"/>
  <c r="AQ18"/>
  <c r="AR18" s="1"/>
  <c r="BA18"/>
  <c r="AQ38"/>
  <c r="AR38" s="1"/>
  <c r="BA38"/>
  <c r="AQ63"/>
  <c r="AR63" s="1"/>
  <c r="BA63"/>
  <c r="BA82"/>
  <c r="BA79"/>
  <c r="AQ100"/>
  <c r="AR100" s="1"/>
  <c r="BA100"/>
  <c r="BA116"/>
  <c r="AQ116"/>
  <c r="AR116" s="1"/>
  <c r="BA176"/>
  <c r="AQ176"/>
  <c r="AR176" s="1"/>
  <c r="AQ261"/>
  <c r="BA261"/>
  <c r="AQ277"/>
  <c r="AR277" s="1"/>
  <c r="BA277"/>
  <c r="AQ309"/>
  <c r="BA309"/>
  <c r="AQ346"/>
  <c r="AR346" s="1"/>
  <c r="BA346"/>
  <c r="AQ378"/>
  <c r="BA378"/>
  <c r="AQ410"/>
  <c r="AR410" s="1"/>
  <c r="BA410"/>
  <c r="AQ456"/>
  <c r="BA456"/>
  <c r="AQ30"/>
  <c r="AR30" s="1"/>
  <c r="BA30"/>
  <c r="AQ71"/>
  <c r="AR71" s="1"/>
  <c r="BA71"/>
  <c r="BA120"/>
  <c r="AQ120"/>
  <c r="AR120" s="1"/>
  <c r="AQ148"/>
  <c r="AR148" s="1"/>
  <c r="BA148"/>
  <c r="AQ257"/>
  <c r="AR257" s="1"/>
  <c r="BA257"/>
  <c r="AQ289"/>
  <c r="AR289" s="1"/>
  <c r="BA289"/>
  <c r="AQ321"/>
  <c r="AR321" s="1"/>
  <c r="BA321"/>
  <c r="AQ374"/>
  <c r="AR374" s="1"/>
  <c r="BA374"/>
  <c r="AQ406"/>
  <c r="AR406" s="1"/>
  <c r="BA406"/>
  <c r="AQ460"/>
  <c r="AR460" s="1"/>
  <c r="BA460"/>
  <c r="AQ26"/>
  <c r="AR26" s="1"/>
  <c r="BA26"/>
  <c r="AQ104"/>
  <c r="AR104" s="1"/>
  <c r="BA104"/>
  <c r="BA112"/>
  <c r="AQ112"/>
  <c r="AR112" s="1"/>
  <c r="BA188"/>
  <c r="AQ188"/>
  <c r="AR188" s="1"/>
  <c r="AQ241"/>
  <c r="AR241" s="1"/>
  <c r="BA241"/>
  <c r="AQ265"/>
  <c r="AR265" s="1"/>
  <c r="BA265"/>
  <c r="AQ281"/>
  <c r="AR281" s="1"/>
  <c r="BA281"/>
  <c r="AQ297"/>
  <c r="AR297" s="1"/>
  <c r="BA297"/>
  <c r="AQ313"/>
  <c r="AR313" s="1"/>
  <c r="BA313"/>
  <c r="AQ329"/>
  <c r="AR329" s="1"/>
  <c r="BA329"/>
  <c r="AQ350"/>
  <c r="AR350" s="1"/>
  <c r="BA350"/>
  <c r="AQ366"/>
  <c r="AR366" s="1"/>
  <c r="BA366"/>
  <c r="AQ382"/>
  <c r="BA382"/>
  <c r="AQ398"/>
  <c r="BA398"/>
  <c r="AQ414"/>
  <c r="BA414"/>
  <c r="AQ468"/>
  <c r="AR468" s="1"/>
  <c r="BA468"/>
  <c r="AQ452"/>
  <c r="AR452" s="1"/>
  <c r="BA452"/>
  <c r="AQ481"/>
  <c r="AR481" s="1"/>
  <c r="BA481"/>
  <c r="AQ34"/>
  <c r="AR34" s="1"/>
  <c r="BA34"/>
  <c r="BA50"/>
  <c r="AQ75"/>
  <c r="AR75" s="1"/>
  <c r="BA75"/>
  <c r="AQ91"/>
  <c r="BA91"/>
  <c r="AQ172"/>
  <c r="AR172" s="1"/>
  <c r="BA172"/>
  <c r="U447"/>
  <c r="AQ447" s="1"/>
  <c r="U445"/>
  <c r="AQ445" s="1"/>
  <c r="U451"/>
  <c r="U449"/>
  <c r="AR184"/>
  <c r="U224"/>
  <c r="AQ224" s="1"/>
  <c r="AR221"/>
  <c r="U320"/>
  <c r="U357"/>
  <c r="AR354"/>
  <c r="BA66"/>
  <c r="AR164"/>
  <c r="AR180"/>
  <c r="U220"/>
  <c r="AQ220" s="1"/>
  <c r="AR217"/>
  <c r="U252"/>
  <c r="AQ252" s="1"/>
  <c r="AR249"/>
  <c r="U300"/>
  <c r="AQ300" s="1"/>
  <c r="AR300" s="1"/>
  <c r="U332"/>
  <c r="U369"/>
  <c r="U484"/>
  <c r="AR127"/>
  <c r="AR124"/>
  <c r="U228"/>
  <c r="AQ228" s="1"/>
  <c r="AR225"/>
  <c r="U244"/>
  <c r="U260"/>
  <c r="U276"/>
  <c r="U345"/>
  <c r="U361"/>
  <c r="U377"/>
  <c r="U393"/>
  <c r="AR390"/>
  <c r="U409"/>
  <c r="U430"/>
  <c r="AR427"/>
  <c r="U463"/>
  <c r="AQ29"/>
  <c r="AR128"/>
  <c r="U240"/>
  <c r="U256"/>
  <c r="U272"/>
  <c r="U304"/>
  <c r="U341"/>
  <c r="U373"/>
  <c r="U389"/>
  <c r="AR386"/>
  <c r="U405"/>
  <c r="U467"/>
  <c r="AQ41"/>
  <c r="AR196"/>
  <c r="U236"/>
  <c r="AR233"/>
  <c r="U268"/>
  <c r="U284"/>
  <c r="U316"/>
  <c r="U353"/>
  <c r="U385"/>
  <c r="AR382"/>
  <c r="U401"/>
  <c r="AR398"/>
  <c r="U417"/>
  <c r="AR414"/>
  <c r="BA78"/>
  <c r="AR136"/>
  <c r="AR144"/>
  <c r="AR160"/>
  <c r="AR192"/>
  <c r="U216"/>
  <c r="AQ216" s="1"/>
  <c r="AR213"/>
  <c r="U232"/>
  <c r="AQ232" s="1"/>
  <c r="AR229"/>
  <c r="U248"/>
  <c r="AQ248" s="1"/>
  <c r="AR245"/>
  <c r="U264"/>
  <c r="AR261"/>
  <c r="U280"/>
  <c r="U296"/>
  <c r="U312"/>
  <c r="AR309"/>
  <c r="U328"/>
  <c r="U349"/>
  <c r="U365"/>
  <c r="AR362"/>
  <c r="U381"/>
  <c r="AR378"/>
  <c r="U397"/>
  <c r="AR394"/>
  <c r="U413"/>
  <c r="U434"/>
  <c r="AR431"/>
  <c r="U459"/>
  <c r="AR456"/>
  <c r="U480"/>
  <c r="AR477"/>
  <c r="AI437"/>
  <c r="AI436" s="1"/>
  <c r="AK437"/>
  <c r="AK436" s="1"/>
  <c r="U288"/>
  <c r="BA86"/>
  <c r="U471"/>
  <c r="U455"/>
  <c r="U426"/>
  <c r="U292"/>
  <c r="U308"/>
  <c r="U324"/>
  <c r="AQ426" l="1"/>
  <c r="AR426" s="1"/>
  <c r="BA426"/>
  <c r="BA103"/>
  <c r="AQ103"/>
  <c r="AR103" s="1"/>
  <c r="AQ401"/>
  <c r="AR401" s="1"/>
  <c r="BA401"/>
  <c r="AQ284"/>
  <c r="AR284" s="1"/>
  <c r="BA284"/>
  <c r="AQ151"/>
  <c r="AR151" s="1"/>
  <c r="AR389"/>
  <c r="AQ389"/>
  <c r="BA389"/>
  <c r="AQ292"/>
  <c r="AR292" s="1"/>
  <c r="BA292"/>
  <c r="BA459"/>
  <c r="AQ381"/>
  <c r="AR381" s="1"/>
  <c r="BA381"/>
  <c r="AQ349"/>
  <c r="AR349" s="1"/>
  <c r="BA349"/>
  <c r="BA280"/>
  <c r="AQ280"/>
  <c r="AR280" s="1"/>
  <c r="AQ409"/>
  <c r="AR409" s="1"/>
  <c r="BA409"/>
  <c r="AR377"/>
  <c r="AQ377"/>
  <c r="BA377"/>
  <c r="AQ345"/>
  <c r="AR345" s="1"/>
  <c r="BA345"/>
  <c r="AQ260"/>
  <c r="AR260" s="1"/>
  <c r="BA260"/>
  <c r="AR369"/>
  <c r="AQ369"/>
  <c r="BA369"/>
  <c r="BA471"/>
  <c r="AQ115"/>
  <c r="AR115" s="1"/>
  <c r="BA115"/>
  <c r="AR417"/>
  <c r="AQ417"/>
  <c r="BA417"/>
  <c r="AR385"/>
  <c r="AQ385"/>
  <c r="BA385"/>
  <c r="AQ316"/>
  <c r="AR316" s="1"/>
  <c r="BA316"/>
  <c r="BA268"/>
  <c r="AQ268"/>
  <c r="AR268" s="1"/>
  <c r="AR405"/>
  <c r="AQ405"/>
  <c r="BA405"/>
  <c r="AQ373"/>
  <c r="AR373" s="1"/>
  <c r="BA373"/>
  <c r="AQ304"/>
  <c r="AR304" s="1"/>
  <c r="BA304"/>
  <c r="AR256"/>
  <c r="AQ256"/>
  <c r="BA107"/>
  <c r="AQ107"/>
  <c r="AR107" s="1"/>
  <c r="AR357"/>
  <c r="AQ357"/>
  <c r="BA357"/>
  <c r="AQ353"/>
  <c r="AR353" s="1"/>
  <c r="BA353"/>
  <c r="BA467"/>
  <c r="BA341"/>
  <c r="AQ341"/>
  <c r="AR341" s="1"/>
  <c r="AQ272"/>
  <c r="AR272" s="1"/>
  <c r="BA272"/>
  <c r="AQ240"/>
  <c r="AR240" s="1"/>
  <c r="BA240"/>
  <c r="AQ320"/>
  <c r="AR320" s="1"/>
  <c r="BA320"/>
  <c r="AQ119"/>
  <c r="AR119" s="1"/>
  <c r="BA119"/>
  <c r="AQ288"/>
  <c r="AR288" s="1"/>
  <c r="BA288"/>
  <c r="AQ413"/>
  <c r="AR413" s="1"/>
  <c r="BA413"/>
  <c r="AQ312"/>
  <c r="AR312" s="1"/>
  <c r="BA312"/>
  <c r="AQ179"/>
  <c r="AR179" s="1"/>
  <c r="BA179"/>
  <c r="BA463"/>
  <c r="AQ21"/>
  <c r="BA21"/>
  <c r="AQ308"/>
  <c r="AR308" s="1"/>
  <c r="BA308"/>
  <c r="AQ324"/>
  <c r="AR324" s="1"/>
  <c r="BA324"/>
  <c r="AQ455"/>
  <c r="BA455"/>
  <c r="BA70"/>
  <c r="BA74"/>
  <c r="AQ480"/>
  <c r="BA480"/>
  <c r="AR434"/>
  <c r="AQ434"/>
  <c r="BA434"/>
  <c r="AQ397"/>
  <c r="AR397" s="1"/>
  <c r="BA397"/>
  <c r="AR365"/>
  <c r="AQ365"/>
  <c r="BA365"/>
  <c r="AQ328"/>
  <c r="AR328" s="1"/>
  <c r="BA328"/>
  <c r="AQ296"/>
  <c r="AR296" s="1"/>
  <c r="BA296"/>
  <c r="BA264"/>
  <c r="AQ264"/>
  <c r="AR264" s="1"/>
  <c r="BA123"/>
  <c r="AQ123"/>
  <c r="AR123" s="1"/>
  <c r="BA430"/>
  <c r="AQ430"/>
  <c r="AR430" s="1"/>
  <c r="AR393"/>
  <c r="AQ393"/>
  <c r="BA393"/>
  <c r="AQ361"/>
  <c r="AR361" s="1"/>
  <c r="BA361"/>
  <c r="AQ276"/>
  <c r="AR276" s="1"/>
  <c r="BA276"/>
  <c r="AQ244"/>
  <c r="AR244" s="1"/>
  <c r="BA244"/>
  <c r="AQ191"/>
  <c r="AR191" s="1"/>
  <c r="AQ111"/>
  <c r="AR111" s="1"/>
  <c r="BA111"/>
  <c r="AQ484"/>
  <c r="AR484" s="1"/>
  <c r="BA484"/>
  <c r="AQ332"/>
  <c r="AR332" s="1"/>
  <c r="BA332"/>
  <c r="BA175"/>
  <c r="AQ175"/>
  <c r="AR175" s="1"/>
  <c r="BA147"/>
  <c r="AQ147"/>
  <c r="AR147" s="1"/>
  <c r="AQ187"/>
  <c r="AR187" s="1"/>
  <c r="BA187"/>
  <c r="BA183"/>
  <c r="AQ183"/>
  <c r="AR183" s="1"/>
  <c r="BA167"/>
  <c r="AQ167"/>
  <c r="AR167" s="1"/>
  <c r="AQ236"/>
  <c r="AR236" s="1"/>
  <c r="AQ139"/>
  <c r="AR139" s="1"/>
  <c r="AQ135"/>
  <c r="AR135" s="1"/>
  <c r="AQ131"/>
  <c r="AR131" s="1"/>
  <c r="AR252"/>
  <c r="BA252"/>
  <c r="AR248"/>
  <c r="BA248"/>
  <c r="AR232"/>
  <c r="BA232"/>
  <c r="AR228"/>
  <c r="BA228"/>
  <c r="AR224"/>
  <c r="BA224"/>
  <c r="AR220"/>
  <c r="BA220"/>
  <c r="AR216"/>
  <c r="BA216"/>
  <c r="AQ199"/>
  <c r="AR199" s="1"/>
  <c r="AQ195"/>
  <c r="AR195" s="1"/>
  <c r="AQ163"/>
  <c r="AR163" s="1"/>
  <c r="U420"/>
  <c r="U487"/>
  <c r="U486" s="1"/>
  <c r="K486" s="1"/>
  <c r="AR480"/>
  <c r="U437"/>
  <c r="U335"/>
  <c r="U334" s="1"/>
  <c r="U478"/>
  <c r="AT477"/>
  <c r="U482"/>
  <c r="AT481"/>
  <c r="D329"/>
  <c r="D325"/>
  <c r="D321"/>
  <c r="D317"/>
  <c r="D313"/>
  <c r="D309"/>
  <c r="D305"/>
  <c r="D301"/>
  <c r="AQ482" l="1"/>
  <c r="BA482"/>
  <c r="U436"/>
  <c r="K436" s="1"/>
  <c r="BA437"/>
  <c r="U419"/>
  <c r="BA420"/>
  <c r="AQ478"/>
  <c r="BA478"/>
  <c r="BA436"/>
  <c r="K334"/>
  <c r="BA334"/>
  <c r="AT488"/>
  <c r="AT305"/>
  <c r="K419" l="1"/>
  <c r="BA419"/>
  <c r="U306"/>
  <c r="U322"/>
  <c r="AT313"/>
  <c r="U314"/>
  <c r="AT317"/>
  <c r="U318"/>
  <c r="AT325"/>
  <c r="U326"/>
  <c r="AT321"/>
  <c r="AT329"/>
  <c r="U330"/>
  <c r="AT309"/>
  <c r="U310"/>
  <c r="AT301"/>
  <c r="U302"/>
  <c r="AQ302" l="1"/>
  <c r="BA302"/>
  <c r="AQ330"/>
  <c r="BA330"/>
  <c r="AQ314"/>
  <c r="BA314"/>
  <c r="AQ306"/>
  <c r="BA306"/>
  <c r="AQ326"/>
  <c r="BA326"/>
  <c r="AQ310"/>
  <c r="BA310"/>
  <c r="AQ318"/>
  <c r="BA318"/>
  <c r="AQ322"/>
  <c r="BA322"/>
  <c r="AQ83"/>
  <c r="AE92"/>
  <c r="AF92"/>
  <c r="AG92"/>
  <c r="AH92"/>
  <c r="AI92"/>
  <c r="AK92"/>
  <c r="W92"/>
  <c r="Y92"/>
  <c r="AB92"/>
  <c r="AC92"/>
  <c r="AD92"/>
  <c r="AR83" l="1"/>
  <c r="AV83"/>
  <c r="AW83" s="1"/>
  <c r="X92"/>
  <c r="AK79" l="1"/>
  <c r="AQ79" s="1"/>
  <c r="AA92"/>
  <c r="AQ87" l="1"/>
  <c r="AR91"/>
  <c r="AV91"/>
  <c r="AW91" s="1"/>
  <c r="Z92"/>
  <c r="AQ92" s="1"/>
  <c r="AR87" l="1"/>
  <c r="AV87"/>
  <c r="AW87" s="1"/>
  <c r="AR79"/>
  <c r="AV79"/>
  <c r="AW79" s="1"/>
  <c r="Z50"/>
  <c r="AQ50" s="1"/>
  <c r="AJ46"/>
  <c r="AQ46" s="1"/>
  <c r="AK46"/>
  <c r="AJ42"/>
  <c r="AK42"/>
  <c r="AA42"/>
  <c r="AB42"/>
  <c r="AC42"/>
  <c r="AQ42" l="1"/>
  <c r="AR42" s="1"/>
  <c r="AV50"/>
  <c r="AW50" s="1"/>
  <c r="AR50"/>
  <c r="AV46"/>
  <c r="AW46" s="1"/>
  <c r="AR46"/>
  <c r="AV42"/>
  <c r="AW42" s="1"/>
  <c r="U469" l="1"/>
  <c r="U465"/>
  <c r="U461"/>
  <c r="U457"/>
  <c r="AT440"/>
  <c r="U428"/>
  <c r="U424"/>
  <c r="U415"/>
  <c r="U411"/>
  <c r="U407"/>
  <c r="U403"/>
  <c r="U399"/>
  <c r="U391"/>
  <c r="U387"/>
  <c r="U383"/>
  <c r="U375"/>
  <c r="U371"/>
  <c r="U367"/>
  <c r="U363"/>
  <c r="U359"/>
  <c r="U355"/>
  <c r="U347"/>
  <c r="U343"/>
  <c r="U440"/>
  <c r="AQ355" l="1"/>
  <c r="BA355"/>
  <c r="AQ371"/>
  <c r="BA371"/>
  <c r="AQ391"/>
  <c r="BA391"/>
  <c r="AQ411"/>
  <c r="BA411"/>
  <c r="BA469"/>
  <c r="AQ347"/>
  <c r="BA347"/>
  <c r="AQ367"/>
  <c r="BA367"/>
  <c r="AQ387"/>
  <c r="BA387"/>
  <c r="AQ407"/>
  <c r="BA407"/>
  <c r="BA465"/>
  <c r="AQ343"/>
  <c r="BA343"/>
  <c r="AQ363"/>
  <c r="BA363"/>
  <c r="AQ383"/>
  <c r="BA383"/>
  <c r="AQ403"/>
  <c r="BA403"/>
  <c r="AQ424"/>
  <c r="BA424"/>
  <c r="BA461"/>
  <c r="AQ440"/>
  <c r="AR440" s="1"/>
  <c r="BA440"/>
  <c r="AQ359"/>
  <c r="BA359"/>
  <c r="AQ375"/>
  <c r="BA375"/>
  <c r="AQ399"/>
  <c r="BA399"/>
  <c r="AQ415"/>
  <c r="BA415"/>
  <c r="BA457"/>
  <c r="AQ428"/>
  <c r="BA428"/>
  <c r="U441"/>
  <c r="AQ441" s="1"/>
  <c r="U443"/>
  <c r="AQ443" s="1"/>
  <c r="AT456"/>
  <c r="AT468"/>
  <c r="AK189"/>
  <c r="AG189"/>
  <c r="AC189"/>
  <c r="AH189"/>
  <c r="AA189"/>
  <c r="AE189"/>
  <c r="AJ189"/>
  <c r="AF189"/>
  <c r="AD189"/>
  <c r="AI189"/>
  <c r="AI226"/>
  <c r="AE226"/>
  <c r="AJ226"/>
  <c r="AF226"/>
  <c r="AB226"/>
  <c r="AK226"/>
  <c r="AG226"/>
  <c r="AC226"/>
  <c r="AA226"/>
  <c r="AD226"/>
  <c r="AH226"/>
  <c r="AB258"/>
  <c r="AF258"/>
  <c r="AJ258"/>
  <c r="AE258"/>
  <c r="AI258"/>
  <c r="AD258"/>
  <c r="AH258"/>
  <c r="AK258"/>
  <c r="AG258"/>
  <c r="AC258"/>
  <c r="AA258"/>
  <c r="AK105"/>
  <c r="AG105"/>
  <c r="AC105"/>
  <c r="AI105"/>
  <c r="AA105"/>
  <c r="AF105"/>
  <c r="AH105"/>
  <c r="AD105"/>
  <c r="AE105"/>
  <c r="AJ105"/>
  <c r="AB105"/>
  <c r="AB121"/>
  <c r="AF121"/>
  <c r="AJ121"/>
  <c r="AH121"/>
  <c r="AC121"/>
  <c r="AK121"/>
  <c r="AE121"/>
  <c r="AI121"/>
  <c r="AD121"/>
  <c r="AA121"/>
  <c r="AG121"/>
  <c r="AK201"/>
  <c r="AG201"/>
  <c r="AC201"/>
  <c r="AH201"/>
  <c r="AD201"/>
  <c r="AE201"/>
  <c r="AA201"/>
  <c r="AJ201"/>
  <c r="AF201"/>
  <c r="AB201"/>
  <c r="AI201"/>
  <c r="AH238"/>
  <c r="AD238"/>
  <c r="AA238"/>
  <c r="AI238"/>
  <c r="AE238"/>
  <c r="AJ238"/>
  <c r="AF238"/>
  <c r="AB238"/>
  <c r="AC238"/>
  <c r="AG238"/>
  <c r="AK238"/>
  <c r="AI113"/>
  <c r="AE113"/>
  <c r="AA113"/>
  <c r="AG113"/>
  <c r="AH113"/>
  <c r="AJ113"/>
  <c r="AF113"/>
  <c r="AB113"/>
  <c r="AK113"/>
  <c r="AC113"/>
  <c r="AD113"/>
  <c r="AH129"/>
  <c r="AG129"/>
  <c r="AG140" s="1"/>
  <c r="AE129"/>
  <c r="AE140" s="1"/>
  <c r="AK129"/>
  <c r="AK204" s="1"/>
  <c r="AK207" s="1"/>
  <c r="AC129"/>
  <c r="AC140" s="1"/>
  <c r="AI129"/>
  <c r="AD129"/>
  <c r="AD140" s="1"/>
  <c r="AA129"/>
  <c r="AA140" s="1"/>
  <c r="AF129"/>
  <c r="AF140" s="1"/>
  <c r="Z129"/>
  <c r="AJ129"/>
  <c r="Y129"/>
  <c r="X129"/>
  <c r="X140" s="1"/>
  <c r="AB129"/>
  <c r="AB140" s="1"/>
  <c r="AC145"/>
  <c r="AG145"/>
  <c r="AK145"/>
  <c r="AA145"/>
  <c r="AD145"/>
  <c r="AH145"/>
  <c r="AB145"/>
  <c r="AF145"/>
  <c r="AJ145"/>
  <c r="AE145"/>
  <c r="AI145"/>
  <c r="AJ161"/>
  <c r="AF161"/>
  <c r="AB161"/>
  <c r="Y161"/>
  <c r="AG161"/>
  <c r="AD161"/>
  <c r="AI161"/>
  <c r="AE161"/>
  <c r="AA161"/>
  <c r="Z161"/>
  <c r="X161"/>
  <c r="AK161"/>
  <c r="AC161"/>
  <c r="AH161"/>
  <c r="AH193"/>
  <c r="AD193"/>
  <c r="AA193"/>
  <c r="AE193"/>
  <c r="AF193"/>
  <c r="AK193"/>
  <c r="AG193"/>
  <c r="AC193"/>
  <c r="AI193"/>
  <c r="AJ193"/>
  <c r="AB193"/>
  <c r="AH214"/>
  <c r="AA214"/>
  <c r="AE214"/>
  <c r="AC214"/>
  <c r="AJ214"/>
  <c r="AF214"/>
  <c r="AG214"/>
  <c r="AD214"/>
  <c r="AB214"/>
  <c r="AI214"/>
  <c r="AK214"/>
  <c r="AJ230"/>
  <c r="AF230"/>
  <c r="AB230"/>
  <c r="AK230"/>
  <c r="AG230"/>
  <c r="AC230"/>
  <c r="AA230"/>
  <c r="AH230"/>
  <c r="AD230"/>
  <c r="AE230"/>
  <c r="AI230"/>
  <c r="AH246"/>
  <c r="AD246"/>
  <c r="AI246"/>
  <c r="AE246"/>
  <c r="AJ246"/>
  <c r="AF246"/>
  <c r="AB246"/>
  <c r="AC246"/>
  <c r="AK246"/>
  <c r="AG246"/>
  <c r="AA246"/>
  <c r="AH262"/>
  <c r="AD262"/>
  <c r="AI262"/>
  <c r="AE262"/>
  <c r="AJ262"/>
  <c r="AF262"/>
  <c r="AB262"/>
  <c r="AC262"/>
  <c r="AG262"/>
  <c r="AK262"/>
  <c r="AA262"/>
  <c r="AK109"/>
  <c r="X125"/>
  <c r="AE125"/>
  <c r="AF125"/>
  <c r="AH125"/>
  <c r="AD125"/>
  <c r="AI125"/>
  <c r="AJ125"/>
  <c r="AC125"/>
  <c r="Y125"/>
  <c r="AG125"/>
  <c r="AA125"/>
  <c r="AB125"/>
  <c r="AK125"/>
  <c r="Z125"/>
  <c r="AH173"/>
  <c r="AF173"/>
  <c r="AK173"/>
  <c r="AG173"/>
  <c r="AI173"/>
  <c r="AJ173"/>
  <c r="AJ242"/>
  <c r="AK242"/>
  <c r="AG242"/>
  <c r="AH242"/>
  <c r="AF242"/>
  <c r="AI242"/>
  <c r="AE185"/>
  <c r="AI185"/>
  <c r="AH185"/>
  <c r="AA185"/>
  <c r="AC185"/>
  <c r="AG185"/>
  <c r="AB185"/>
  <c r="AF185"/>
  <c r="AJ185"/>
  <c r="AD185"/>
  <c r="AK185"/>
  <c r="AH222"/>
  <c r="AD222"/>
  <c r="AA222"/>
  <c r="AI222"/>
  <c r="AE222"/>
  <c r="AG222"/>
  <c r="AB222"/>
  <c r="AC222"/>
  <c r="AF222"/>
  <c r="AJ222"/>
  <c r="AK222"/>
  <c r="AJ254"/>
  <c r="AF254"/>
  <c r="AB254"/>
  <c r="AK254"/>
  <c r="AG254"/>
  <c r="AC254"/>
  <c r="AH254"/>
  <c r="AD254"/>
  <c r="AA254"/>
  <c r="AI254"/>
  <c r="AE254"/>
  <c r="AD101"/>
  <c r="AH101"/>
  <c r="AF101"/>
  <c r="AI101"/>
  <c r="AC101"/>
  <c r="AG101"/>
  <c r="AK101"/>
  <c r="AB101"/>
  <c r="AJ101"/>
  <c r="AE101"/>
  <c r="AA101"/>
  <c r="BA101"/>
  <c r="AK117"/>
  <c r="AG117"/>
  <c r="AC117"/>
  <c r="AI117"/>
  <c r="AF117"/>
  <c r="AH117"/>
  <c r="AD117"/>
  <c r="AA117"/>
  <c r="AE117"/>
  <c r="AJ117"/>
  <c r="AB117"/>
  <c r="AB133"/>
  <c r="AJ133"/>
  <c r="AA133"/>
  <c r="AG133"/>
  <c r="X133"/>
  <c r="AC133"/>
  <c r="AK133"/>
  <c r="AI133"/>
  <c r="AH133"/>
  <c r="AF133"/>
  <c r="AE133"/>
  <c r="Z133"/>
  <c r="AD133"/>
  <c r="Y133"/>
  <c r="AC149"/>
  <c r="AG149"/>
  <c r="AK149"/>
  <c r="AB149"/>
  <c r="AJ149"/>
  <c r="AE149"/>
  <c r="AI149"/>
  <c r="AD149"/>
  <c r="AH149"/>
  <c r="AA149"/>
  <c r="AF149"/>
  <c r="AJ165"/>
  <c r="AJ168" s="1"/>
  <c r="AF165"/>
  <c r="AF168" s="1"/>
  <c r="AB165"/>
  <c r="AB168" s="1"/>
  <c r="AG165"/>
  <c r="AG168" s="1"/>
  <c r="AA165"/>
  <c r="AA168" s="1"/>
  <c r="AD165"/>
  <c r="AD168" s="1"/>
  <c r="AI165"/>
  <c r="AI168" s="1"/>
  <c r="AE165"/>
  <c r="AE168" s="1"/>
  <c r="Y165"/>
  <c r="Y168" s="1"/>
  <c r="AC165"/>
  <c r="AC168" s="1"/>
  <c r="AK165"/>
  <c r="AK168" s="1"/>
  <c r="AK171" s="1"/>
  <c r="AH165"/>
  <c r="Z165"/>
  <c r="Z168" s="1"/>
  <c r="AK181"/>
  <c r="AG181"/>
  <c r="AC181"/>
  <c r="AH181"/>
  <c r="AD181"/>
  <c r="AI181"/>
  <c r="AJ181"/>
  <c r="AF181"/>
  <c r="AB181"/>
  <c r="AA181"/>
  <c r="AE181"/>
  <c r="AI197"/>
  <c r="AE197"/>
  <c r="AF197"/>
  <c r="AK197"/>
  <c r="AC197"/>
  <c r="AH197"/>
  <c r="AD197"/>
  <c r="AA197"/>
  <c r="AJ197"/>
  <c r="AB197"/>
  <c r="AG197"/>
  <c r="AK218"/>
  <c r="AG218"/>
  <c r="AC218"/>
  <c r="AA218"/>
  <c r="AH218"/>
  <c r="AD218"/>
  <c r="AE218"/>
  <c r="AF218"/>
  <c r="AI218"/>
  <c r="AJ218"/>
  <c r="AB218"/>
  <c r="AK234"/>
  <c r="AG234"/>
  <c r="AC234"/>
  <c r="AH234"/>
  <c r="AD234"/>
  <c r="AA234"/>
  <c r="AI234"/>
  <c r="AE234"/>
  <c r="AJ234"/>
  <c r="AB234"/>
  <c r="AF234"/>
  <c r="AI250"/>
  <c r="AE250"/>
  <c r="AJ250"/>
  <c r="AF250"/>
  <c r="AB250"/>
  <c r="AK250"/>
  <c r="AG250"/>
  <c r="AC250"/>
  <c r="AD250"/>
  <c r="AH250"/>
  <c r="AA250"/>
  <c r="AK266"/>
  <c r="AG266"/>
  <c r="AC266"/>
  <c r="AH266"/>
  <c r="AD266"/>
  <c r="AI266"/>
  <c r="AE266"/>
  <c r="AB266"/>
  <c r="AF266"/>
  <c r="AJ266"/>
  <c r="AA266"/>
  <c r="AA449"/>
  <c r="Z449"/>
  <c r="Y449"/>
  <c r="AC449"/>
  <c r="X449"/>
  <c r="AB449"/>
  <c r="AT338"/>
  <c r="U339"/>
  <c r="AT293"/>
  <c r="U294"/>
  <c r="AT378"/>
  <c r="U379"/>
  <c r="AT394"/>
  <c r="U395"/>
  <c r="AT431"/>
  <c r="U432"/>
  <c r="U453"/>
  <c r="AT289"/>
  <c r="U290"/>
  <c r="AT285"/>
  <c r="U286"/>
  <c r="AT281"/>
  <c r="U282"/>
  <c r="AT297"/>
  <c r="U298"/>
  <c r="AQ298" s="1"/>
  <c r="AT350"/>
  <c r="U351"/>
  <c r="AT144"/>
  <c r="BA145"/>
  <c r="AT160"/>
  <c r="AT176"/>
  <c r="AT192"/>
  <c r="AT213"/>
  <c r="U214"/>
  <c r="AT229"/>
  <c r="U230"/>
  <c r="AT245"/>
  <c r="U246"/>
  <c r="AT261"/>
  <c r="U262"/>
  <c r="BA262" s="1"/>
  <c r="AT277"/>
  <c r="U278"/>
  <c r="AT156"/>
  <c r="AT172"/>
  <c r="BA173"/>
  <c r="AT188"/>
  <c r="AT204"/>
  <c r="BA205"/>
  <c r="AT225"/>
  <c r="U226"/>
  <c r="AT241"/>
  <c r="U242"/>
  <c r="AT257"/>
  <c r="U258"/>
  <c r="AT273"/>
  <c r="U274"/>
  <c r="AT152"/>
  <c r="AT168"/>
  <c r="BA169"/>
  <c r="AT184"/>
  <c r="AT200"/>
  <c r="AT221"/>
  <c r="U222"/>
  <c r="AT237"/>
  <c r="U238"/>
  <c r="AT253"/>
  <c r="U254"/>
  <c r="AT269"/>
  <c r="U270"/>
  <c r="AT148"/>
  <c r="AT164"/>
  <c r="BA165"/>
  <c r="AT180"/>
  <c r="AT196"/>
  <c r="AT217"/>
  <c r="U218"/>
  <c r="AT233"/>
  <c r="U234"/>
  <c r="AT249"/>
  <c r="U250"/>
  <c r="AT265"/>
  <c r="U266"/>
  <c r="BA266" s="1"/>
  <c r="AT100"/>
  <c r="AT116"/>
  <c r="AT132"/>
  <c r="AT112"/>
  <c r="AT128"/>
  <c r="AT108"/>
  <c r="AT124"/>
  <c r="AT140"/>
  <c r="AT104"/>
  <c r="AT120"/>
  <c r="AT136"/>
  <c r="AT342"/>
  <c r="AT374"/>
  <c r="AT346"/>
  <c r="AT362"/>
  <c r="AT410"/>
  <c r="AE469"/>
  <c r="AQ469" s="1"/>
  <c r="AD469"/>
  <c r="AT464"/>
  <c r="AR455"/>
  <c r="AT452"/>
  <c r="AT358"/>
  <c r="AT390"/>
  <c r="AT406"/>
  <c r="AT427"/>
  <c r="AE465"/>
  <c r="AD465"/>
  <c r="AQ465"/>
  <c r="AT370"/>
  <c r="AT386"/>
  <c r="AT402"/>
  <c r="AT423"/>
  <c r="AE461"/>
  <c r="AC461"/>
  <c r="AD461"/>
  <c r="AT366"/>
  <c r="AT382"/>
  <c r="AT398"/>
  <c r="AT414"/>
  <c r="AD457"/>
  <c r="AC457"/>
  <c r="AE457"/>
  <c r="AT444"/>
  <c r="AT460"/>
  <c r="AT448"/>
  <c r="W449"/>
  <c r="AT354"/>
  <c r="AD459"/>
  <c r="AE459"/>
  <c r="AC459"/>
  <c r="W451"/>
  <c r="AE467"/>
  <c r="AD467"/>
  <c r="AD471"/>
  <c r="AE471"/>
  <c r="AE463"/>
  <c r="AD463"/>
  <c r="AC463"/>
  <c r="AQ461" l="1"/>
  <c r="AQ457"/>
  <c r="AQ471"/>
  <c r="AT476"/>
  <c r="AQ451"/>
  <c r="AR451" s="1"/>
  <c r="AQ238"/>
  <c r="BA238"/>
  <c r="AQ274"/>
  <c r="BA274"/>
  <c r="AQ242"/>
  <c r="BA242"/>
  <c r="BA246"/>
  <c r="AQ246"/>
  <c r="BA177"/>
  <c r="AQ177"/>
  <c r="AQ453"/>
  <c r="BA453"/>
  <c r="AD141"/>
  <c r="AD143"/>
  <c r="AQ121"/>
  <c r="BA121"/>
  <c r="AQ395"/>
  <c r="BA395"/>
  <c r="AA141"/>
  <c r="AA143"/>
  <c r="BA250"/>
  <c r="AQ250"/>
  <c r="BA218"/>
  <c r="AQ218"/>
  <c r="AQ254"/>
  <c r="BA254"/>
  <c r="BA222"/>
  <c r="AQ222"/>
  <c r="AQ258"/>
  <c r="BA258"/>
  <c r="BA226"/>
  <c r="AQ226"/>
  <c r="BA230"/>
  <c r="AQ230"/>
  <c r="AQ351"/>
  <c r="BA351"/>
  <c r="AQ282"/>
  <c r="BA282"/>
  <c r="AQ290"/>
  <c r="BA290"/>
  <c r="X141"/>
  <c r="X143"/>
  <c r="AF141"/>
  <c r="AF143"/>
  <c r="AC141"/>
  <c r="AC143"/>
  <c r="AH140"/>
  <c r="AH204"/>
  <c r="AH207" s="1"/>
  <c r="AQ449"/>
  <c r="AQ463"/>
  <c r="AR463" s="1"/>
  <c r="AQ270"/>
  <c r="BA270"/>
  <c r="BA214"/>
  <c r="AQ214"/>
  <c r="AQ286"/>
  <c r="BA286"/>
  <c r="AJ204"/>
  <c r="AJ140"/>
  <c r="AE141"/>
  <c r="AE143"/>
  <c r="AQ294"/>
  <c r="BA294"/>
  <c r="Y204"/>
  <c r="Y205" s="1"/>
  <c r="Y140"/>
  <c r="BA105"/>
  <c r="AQ105"/>
  <c r="BA113"/>
  <c r="AQ113"/>
  <c r="AQ117"/>
  <c r="BA117"/>
  <c r="AQ432"/>
  <c r="BA432"/>
  <c r="AQ379"/>
  <c r="BA379"/>
  <c r="BA339"/>
  <c r="AQ339"/>
  <c r="AB143"/>
  <c r="AB141"/>
  <c r="Z204"/>
  <c r="Z207" s="1"/>
  <c r="Z140"/>
  <c r="AI140"/>
  <c r="AI204"/>
  <c r="AG141"/>
  <c r="AG143"/>
  <c r="AQ266"/>
  <c r="AQ467"/>
  <c r="AR467" s="1"/>
  <c r="AQ459"/>
  <c r="AR459" s="1"/>
  <c r="AQ262"/>
  <c r="AQ201"/>
  <c r="AQ145"/>
  <c r="AQ149"/>
  <c r="BA185"/>
  <c r="AQ185"/>
  <c r="BA181"/>
  <c r="AQ181"/>
  <c r="BA109"/>
  <c r="AQ109"/>
  <c r="AQ165"/>
  <c r="AQ173"/>
  <c r="AQ189"/>
  <c r="AQ278"/>
  <c r="BA278"/>
  <c r="AQ234"/>
  <c r="AQ137"/>
  <c r="BA140"/>
  <c r="AQ197"/>
  <c r="AQ193"/>
  <c r="AQ101"/>
  <c r="AQ161"/>
  <c r="AQ133"/>
  <c r="AQ125"/>
  <c r="X204"/>
  <c r="AQ129"/>
  <c r="AT212"/>
  <c r="AV212" s="1"/>
  <c r="AR471"/>
  <c r="Z205"/>
  <c r="AJ474"/>
  <c r="AJ473" s="1"/>
  <c r="AD474"/>
  <c r="AD473" s="1"/>
  <c r="Y474"/>
  <c r="Y473" s="1"/>
  <c r="X474"/>
  <c r="X473" s="1"/>
  <c r="AR447"/>
  <c r="AR443"/>
  <c r="U474"/>
  <c r="U473" s="1"/>
  <c r="AA474"/>
  <c r="AA473" s="1"/>
  <c r="AH474"/>
  <c r="AH473" s="1"/>
  <c r="AT422"/>
  <c r="AT439"/>
  <c r="AV439" s="1"/>
  <c r="AT337"/>
  <c r="AV337" s="1"/>
  <c r="W474"/>
  <c r="W473" s="1"/>
  <c r="AG474"/>
  <c r="AG473" s="1"/>
  <c r="AB474"/>
  <c r="AB473" s="1"/>
  <c r="AI474"/>
  <c r="AI473" s="1"/>
  <c r="AK474"/>
  <c r="AK473" s="1"/>
  <c r="Z474"/>
  <c r="Z473" s="1"/>
  <c r="AE474"/>
  <c r="AE473" s="1"/>
  <c r="AC474"/>
  <c r="AC473" s="1"/>
  <c r="AF474"/>
  <c r="AF473" s="1"/>
  <c r="AI171"/>
  <c r="AI169"/>
  <c r="AA204"/>
  <c r="AD171"/>
  <c r="AD169"/>
  <c r="AG169"/>
  <c r="AG171"/>
  <c r="AH169"/>
  <c r="Y169"/>
  <c r="Y171"/>
  <c r="AA171"/>
  <c r="AA169"/>
  <c r="AF169"/>
  <c r="AF171"/>
  <c r="AD204"/>
  <c r="AC204"/>
  <c r="AE171"/>
  <c r="AE169"/>
  <c r="AJ169"/>
  <c r="AJ171"/>
  <c r="AF204"/>
  <c r="AE204"/>
  <c r="Z171"/>
  <c r="Z169"/>
  <c r="AC169"/>
  <c r="AC171"/>
  <c r="AB169"/>
  <c r="AB171"/>
  <c r="AB204"/>
  <c r="AG204"/>
  <c r="AV422"/>
  <c r="AV476"/>
  <c r="AT91"/>
  <c r="AQ27"/>
  <c r="AE152" l="1"/>
  <c r="AE156"/>
  <c r="AF152"/>
  <c r="AF156"/>
  <c r="AA156"/>
  <c r="AA152"/>
  <c r="Z143"/>
  <c r="Z141"/>
  <c r="Y141"/>
  <c r="Y143"/>
  <c r="AI141"/>
  <c r="AI143"/>
  <c r="AC152"/>
  <c r="AC156"/>
  <c r="X156"/>
  <c r="X152"/>
  <c r="AD156"/>
  <c r="AD152"/>
  <c r="Y207"/>
  <c r="AQ59"/>
  <c r="AR59" s="1"/>
  <c r="BA59"/>
  <c r="AG152"/>
  <c r="AG156"/>
  <c r="AH143"/>
  <c r="AH141"/>
  <c r="AQ19"/>
  <c r="BA19"/>
  <c r="AB152"/>
  <c r="AB156"/>
  <c r="AJ141"/>
  <c r="AJ143"/>
  <c r="AQ171"/>
  <c r="AR171" s="1"/>
  <c r="AQ168"/>
  <c r="AR168" s="1"/>
  <c r="AK169"/>
  <c r="AQ169" s="1"/>
  <c r="U489"/>
  <c r="U210"/>
  <c r="U209" s="1"/>
  <c r="AQ204"/>
  <c r="AR204" s="1"/>
  <c r="AQ140"/>
  <c r="AR140" s="1"/>
  <c r="U97"/>
  <c r="U96" s="1"/>
  <c r="AV168"/>
  <c r="AW168" s="1"/>
  <c r="X207"/>
  <c r="X205"/>
  <c r="AV204"/>
  <c r="AW204" s="1"/>
  <c r="AV140"/>
  <c r="AW140" s="1"/>
  <c r="K473"/>
  <c r="AT18"/>
  <c r="AK205"/>
  <c r="AG205"/>
  <c r="AG207"/>
  <c r="AB207"/>
  <c r="AB205"/>
  <c r="AH205"/>
  <c r="AD205"/>
  <c r="AD207"/>
  <c r="AA205"/>
  <c r="AA207"/>
  <c r="AI205"/>
  <c r="AI207"/>
  <c r="AE205"/>
  <c r="AE207"/>
  <c r="AC207"/>
  <c r="AC205"/>
  <c r="AF207"/>
  <c r="AF205"/>
  <c r="AJ207"/>
  <c r="AJ205"/>
  <c r="AT34"/>
  <c r="AT38"/>
  <c r="AQ39"/>
  <c r="W23"/>
  <c r="AT46"/>
  <c r="AT50"/>
  <c r="AT30"/>
  <c r="AT22"/>
  <c r="AT59"/>
  <c r="AT14"/>
  <c r="AT26"/>
  <c r="AT42"/>
  <c r="AK35"/>
  <c r="AQ35" s="1"/>
  <c r="AA51"/>
  <c r="Z51"/>
  <c r="AC51"/>
  <c r="AB51"/>
  <c r="Z43"/>
  <c r="AC43"/>
  <c r="AK43"/>
  <c r="X43"/>
  <c r="W43"/>
  <c r="AA43"/>
  <c r="Y43"/>
  <c r="AB43"/>
  <c r="AJ43"/>
  <c r="Y31"/>
  <c r="AC31"/>
  <c r="AG31"/>
  <c r="AK31"/>
  <c r="AA31"/>
  <c r="AI31"/>
  <c r="Z31"/>
  <c r="AH31"/>
  <c r="X31"/>
  <c r="AB31"/>
  <c r="AF31"/>
  <c r="AJ31"/>
  <c r="W31"/>
  <c r="AE31"/>
  <c r="AD31"/>
  <c r="Z47"/>
  <c r="AC47"/>
  <c r="AK47"/>
  <c r="AB47"/>
  <c r="AJ47"/>
  <c r="AA47"/>
  <c r="Y47"/>
  <c r="X47"/>
  <c r="W47"/>
  <c r="AI60"/>
  <c r="AB60"/>
  <c r="AK60"/>
  <c r="AG60"/>
  <c r="AC60"/>
  <c r="Y60"/>
  <c r="AH60"/>
  <c r="AD60"/>
  <c r="Z60"/>
  <c r="AE60"/>
  <c r="AA60"/>
  <c r="W60"/>
  <c r="AJ60"/>
  <c r="AF60"/>
  <c r="X60"/>
  <c r="AE66"/>
  <c r="AI66"/>
  <c r="AG66"/>
  <c r="AB66"/>
  <c r="AJ66"/>
  <c r="AD66"/>
  <c r="AH66"/>
  <c r="AC66"/>
  <c r="AK66"/>
  <c r="AF66"/>
  <c r="Z82"/>
  <c r="AD82"/>
  <c r="AH82"/>
  <c r="AB82"/>
  <c r="AJ82"/>
  <c r="Y82"/>
  <c r="AA82"/>
  <c r="AI82"/>
  <c r="AC82"/>
  <c r="AG82"/>
  <c r="AK82"/>
  <c r="AF82"/>
  <c r="AE82"/>
  <c r="AG78"/>
  <c r="AK78"/>
  <c r="AH78"/>
  <c r="AF78"/>
  <c r="AJ78"/>
  <c r="AE78"/>
  <c r="AI78"/>
  <c r="X94"/>
  <c r="AB94"/>
  <c r="AG94"/>
  <c r="AD94"/>
  <c r="AF94"/>
  <c r="Y94"/>
  <c r="AK94"/>
  <c r="W94"/>
  <c r="AA94"/>
  <c r="AE94"/>
  <c r="Z94"/>
  <c r="AC94"/>
  <c r="AH94"/>
  <c r="AI94"/>
  <c r="AH70"/>
  <c r="AD70"/>
  <c r="Z70"/>
  <c r="AJ70"/>
  <c r="AB70"/>
  <c r="AK70"/>
  <c r="AC70"/>
  <c r="AI70"/>
  <c r="AE70"/>
  <c r="AA70"/>
  <c r="AF70"/>
  <c r="AG70"/>
  <c r="AB86"/>
  <c r="AF86"/>
  <c r="AJ86"/>
  <c r="Z86"/>
  <c r="AH86"/>
  <c r="AC86"/>
  <c r="AK86"/>
  <c r="AA86"/>
  <c r="AE86"/>
  <c r="AI86"/>
  <c r="AD86"/>
  <c r="AG86"/>
  <c r="Y62"/>
  <c r="AH62"/>
  <c r="AD62"/>
  <c r="Z62"/>
  <c r="AE62"/>
  <c r="AA62"/>
  <c r="W62"/>
  <c r="AJ62"/>
  <c r="AF62"/>
  <c r="AB62"/>
  <c r="X62"/>
  <c r="AK62"/>
  <c r="AG62"/>
  <c r="AC62"/>
  <c r="AC53"/>
  <c r="AB53"/>
  <c r="Z53"/>
  <c r="AA53"/>
  <c r="AI74"/>
  <c r="AE74"/>
  <c r="AG74"/>
  <c r="AJ74"/>
  <c r="AF74"/>
  <c r="AK74"/>
  <c r="AH74"/>
  <c r="AE90"/>
  <c r="AI90"/>
  <c r="AD90"/>
  <c r="AA90"/>
  <c r="AC90"/>
  <c r="AF90"/>
  <c r="AK90"/>
  <c r="AJ90"/>
  <c r="Z90"/>
  <c r="AG90"/>
  <c r="AB90"/>
  <c r="AH90"/>
  <c r="W49"/>
  <c r="AB49"/>
  <c r="AJ49"/>
  <c r="AA49"/>
  <c r="AQ49" s="1"/>
  <c r="Z49"/>
  <c r="Y49"/>
  <c r="AC49"/>
  <c r="AK49"/>
  <c r="X49"/>
  <c r="Y33"/>
  <c r="AC33"/>
  <c r="AG33"/>
  <c r="AK33"/>
  <c r="X33"/>
  <c r="AB33"/>
  <c r="AF33"/>
  <c r="AJ33"/>
  <c r="W33"/>
  <c r="AA33"/>
  <c r="AE33"/>
  <c r="Z33"/>
  <c r="AD33"/>
  <c r="AH33"/>
  <c r="AK37"/>
  <c r="AQ37" s="1"/>
  <c r="AR29"/>
  <c r="Z45"/>
  <c r="Y45"/>
  <c r="AC45"/>
  <c r="AK45"/>
  <c r="W45"/>
  <c r="AA45"/>
  <c r="X45"/>
  <c r="AB45"/>
  <c r="AJ45"/>
  <c r="AR41"/>
  <c r="X17"/>
  <c r="AB17"/>
  <c r="AF17"/>
  <c r="AJ17"/>
  <c r="AA17"/>
  <c r="AD17"/>
  <c r="Y17"/>
  <c r="AC17"/>
  <c r="AG17"/>
  <c r="AK17"/>
  <c r="W17"/>
  <c r="AE17"/>
  <c r="Z17"/>
  <c r="AH17"/>
  <c r="AA23"/>
  <c r="AE23"/>
  <c r="AI23"/>
  <c r="Z23"/>
  <c r="AD23"/>
  <c r="AH23"/>
  <c r="Y23"/>
  <c r="AC23"/>
  <c r="AG23"/>
  <c r="AK23"/>
  <c r="X23"/>
  <c r="AB23"/>
  <c r="AF23"/>
  <c r="AJ23"/>
  <c r="Y15"/>
  <c r="AC15"/>
  <c r="AG15"/>
  <c r="AK15"/>
  <c r="AB15"/>
  <c r="AJ15"/>
  <c r="AE15"/>
  <c r="Z15"/>
  <c r="AD15"/>
  <c r="AH15"/>
  <c r="X15"/>
  <c r="AF15"/>
  <c r="W15"/>
  <c r="AA15"/>
  <c r="AI15"/>
  <c r="W25"/>
  <c r="AA25"/>
  <c r="AE25"/>
  <c r="AI25"/>
  <c r="Y25"/>
  <c r="AK25"/>
  <c r="Z25"/>
  <c r="AD25"/>
  <c r="AH25"/>
  <c r="AC25"/>
  <c r="AG25"/>
  <c r="X25"/>
  <c r="AB25"/>
  <c r="AF25"/>
  <c r="AJ25"/>
  <c r="BA76"/>
  <c r="BA88"/>
  <c r="BA80"/>
  <c r="AQ51" l="1"/>
  <c r="Y152"/>
  <c r="Y156"/>
  <c r="BA68"/>
  <c r="AH152"/>
  <c r="AI156"/>
  <c r="AI152"/>
  <c r="AJ156"/>
  <c r="AJ152"/>
  <c r="Z156"/>
  <c r="Z152"/>
  <c r="AQ70"/>
  <c r="AR70" s="1"/>
  <c r="AQ31"/>
  <c r="AQ47"/>
  <c r="AQ33"/>
  <c r="AQ74"/>
  <c r="AR74" s="1"/>
  <c r="AQ23"/>
  <c r="AQ25"/>
  <c r="AQ53"/>
  <c r="AJ159"/>
  <c r="AQ86"/>
  <c r="AR86" s="1"/>
  <c r="AQ82"/>
  <c r="AR82" s="1"/>
  <c r="AQ90"/>
  <c r="AR90" s="1"/>
  <c r="AQ78"/>
  <c r="AR78" s="1"/>
  <c r="AQ45"/>
  <c r="AR45" s="1"/>
  <c r="AQ43"/>
  <c r="AQ15"/>
  <c r="AQ66"/>
  <c r="AR66" s="1"/>
  <c r="AQ62"/>
  <c r="AR62" s="1"/>
  <c r="AQ94"/>
  <c r="AR94" s="1"/>
  <c r="AQ17"/>
  <c r="AR17" s="1"/>
  <c r="BA64"/>
  <c r="AQ60"/>
  <c r="U492"/>
  <c r="U490"/>
  <c r="U495" s="1"/>
  <c r="U494"/>
  <c r="U497" s="1"/>
  <c r="AQ143"/>
  <c r="AR143" s="1"/>
  <c r="AQ205"/>
  <c r="AQ207"/>
  <c r="AR207" s="1"/>
  <c r="AQ141"/>
  <c r="AR53"/>
  <c r="AR37"/>
  <c r="AR49"/>
  <c r="AR25"/>
  <c r="AR33"/>
  <c r="AT58"/>
  <c r="AV58" s="1"/>
  <c r="X97"/>
  <c r="X96" s="1"/>
  <c r="AI97"/>
  <c r="AI96" s="1"/>
  <c r="Y97"/>
  <c r="Y96" s="1"/>
  <c r="W97"/>
  <c r="W96" s="1"/>
  <c r="AK97"/>
  <c r="AK96" s="1"/>
  <c r="AJ97"/>
  <c r="AJ96" s="1"/>
  <c r="AE97"/>
  <c r="AE96" s="1"/>
  <c r="Z97"/>
  <c r="Z96" s="1"/>
  <c r="AG97"/>
  <c r="AG96" s="1"/>
  <c r="AF97"/>
  <c r="AF96" s="1"/>
  <c r="AA97"/>
  <c r="AA96" s="1"/>
  <c r="AD97"/>
  <c r="AD96" s="1"/>
  <c r="AC97"/>
  <c r="AC96" s="1"/>
  <c r="AB97"/>
  <c r="AB96" s="1"/>
  <c r="AH97"/>
  <c r="AH96" s="1"/>
  <c r="AT87"/>
  <c r="AT63"/>
  <c r="AT67"/>
  <c r="AT71"/>
  <c r="AT83"/>
  <c r="BA84"/>
  <c r="AT79"/>
  <c r="AT75"/>
  <c r="AH88"/>
  <c r="AI88"/>
  <c r="AE88"/>
  <c r="AA88"/>
  <c r="AD88"/>
  <c r="Z88"/>
  <c r="AJ88"/>
  <c r="AK88"/>
  <c r="AB88"/>
  <c r="AF88"/>
  <c r="AG88"/>
  <c r="AC88"/>
  <c r="AH64"/>
  <c r="AG64"/>
  <c r="AB64"/>
  <c r="AF64"/>
  <c r="AJ64"/>
  <c r="AE64"/>
  <c r="AI64"/>
  <c r="AD64"/>
  <c r="AC64"/>
  <c r="AK64"/>
  <c r="AE84"/>
  <c r="AA84"/>
  <c r="AH84"/>
  <c r="AD84"/>
  <c r="Z84"/>
  <c r="AI84"/>
  <c r="AK84"/>
  <c r="AJ84"/>
  <c r="AG84"/>
  <c r="AF84"/>
  <c r="AC84"/>
  <c r="AB84"/>
  <c r="AA80"/>
  <c r="AE80"/>
  <c r="AI80"/>
  <c r="Z80"/>
  <c r="AD80"/>
  <c r="AH80"/>
  <c r="AG80"/>
  <c r="AB80"/>
  <c r="AF80"/>
  <c r="AJ80"/>
  <c r="Y80"/>
  <c r="AC80"/>
  <c r="AK80"/>
  <c r="AH68"/>
  <c r="AD68"/>
  <c r="Z68"/>
  <c r="AE68"/>
  <c r="AJ68"/>
  <c r="AB68"/>
  <c r="AK68"/>
  <c r="AG68"/>
  <c r="AC68"/>
  <c r="AI68"/>
  <c r="AA68"/>
  <c r="AF68"/>
  <c r="AF76"/>
  <c r="AJ76"/>
  <c r="AI76"/>
  <c r="AH76"/>
  <c r="AG76"/>
  <c r="AK76"/>
  <c r="AE76"/>
  <c r="AK72"/>
  <c r="AG72"/>
  <c r="AH72"/>
  <c r="AE72"/>
  <c r="AJ72"/>
  <c r="AF72"/>
  <c r="AI72"/>
  <c r="AR21"/>
  <c r="AQ68" l="1"/>
  <c r="BA72"/>
  <c r="AQ72"/>
  <c r="AQ84"/>
  <c r="AQ80"/>
  <c r="AQ76"/>
  <c r="AQ88"/>
  <c r="AQ64"/>
  <c r="U491"/>
  <c r="U496" s="1"/>
  <c r="AQ156"/>
  <c r="AR156" s="1"/>
  <c r="AQ152"/>
  <c r="AR152" s="1"/>
  <c r="AT99"/>
  <c r="AT489" s="1"/>
  <c r="AV152"/>
  <c r="AW152" s="1"/>
  <c r="AV156"/>
  <c r="AW156" s="1"/>
  <c r="K96"/>
  <c r="U56"/>
  <c r="U55" s="1"/>
  <c r="AD155"/>
  <c r="AD153"/>
  <c r="AG157"/>
  <c r="AG159"/>
  <c r="AH153"/>
  <c r="AJ157"/>
  <c r="AA159"/>
  <c r="AA157"/>
  <c r="AG153"/>
  <c r="AG155"/>
  <c r="AH157"/>
  <c r="AA153"/>
  <c r="AA155"/>
  <c r="AI153"/>
  <c r="AI155"/>
  <c r="Z155"/>
  <c r="Z153"/>
  <c r="AE155"/>
  <c r="AE153"/>
  <c r="AC153"/>
  <c r="AC155"/>
  <c r="Y157"/>
  <c r="Y159"/>
  <c r="X155"/>
  <c r="X153"/>
  <c r="AF155"/>
  <c r="AF153"/>
  <c r="AK157"/>
  <c r="AB153"/>
  <c r="AB155"/>
  <c r="AI159"/>
  <c r="AI157"/>
  <c r="AD159"/>
  <c r="AD157"/>
  <c r="AJ153"/>
  <c r="AJ155"/>
  <c r="AF157"/>
  <c r="AF159"/>
  <c r="AK153"/>
  <c r="AB159"/>
  <c r="AB157"/>
  <c r="Z159"/>
  <c r="Z157"/>
  <c r="AE159"/>
  <c r="AE157"/>
  <c r="AC159"/>
  <c r="AC157"/>
  <c r="Y153"/>
  <c r="Y155"/>
  <c r="X157"/>
  <c r="X159"/>
  <c r="G9" i="6"/>
  <c r="B14"/>
  <c r="F9"/>
  <c r="E9"/>
  <c r="D9"/>
  <c r="C9"/>
  <c r="AT494" i="4" l="1"/>
  <c r="AT496"/>
  <c r="AQ159"/>
  <c r="AR159" s="1"/>
  <c r="AQ157"/>
  <c r="AQ153"/>
  <c r="AQ155"/>
  <c r="AR155" s="1"/>
  <c r="AV99"/>
  <c r="AJ210"/>
  <c r="AJ209" s="1"/>
  <c r="AA210"/>
  <c r="AA209" s="1"/>
  <c r="AF210"/>
  <c r="AF209" s="1"/>
  <c r="X210"/>
  <c r="X209" s="1"/>
  <c r="AE210"/>
  <c r="AE209" s="1"/>
  <c r="Z210"/>
  <c r="Z209" s="1"/>
  <c r="AH210"/>
  <c r="AH209" s="1"/>
  <c r="AD210"/>
  <c r="AD209" s="1"/>
  <c r="AK210"/>
  <c r="AK209" s="1"/>
  <c r="Y210"/>
  <c r="Y209" s="1"/>
  <c r="AB210"/>
  <c r="AB209" s="1"/>
  <c r="AC210"/>
  <c r="AC209" s="1"/>
  <c r="AI210"/>
  <c r="AI209" s="1"/>
  <c r="AG210"/>
  <c r="AG209" s="1"/>
  <c r="AV489"/>
  <c r="K209" l="1"/>
  <c r="E9" l="1"/>
  <c r="W10"/>
  <c r="W13" s="1"/>
  <c r="X10"/>
  <c r="X13" s="1"/>
  <c r="AC10"/>
  <c r="AC13" s="1"/>
  <c r="AD10"/>
  <c r="AD13" s="1"/>
  <c r="AE10"/>
  <c r="AE13" s="1"/>
  <c r="AJ9" i="6"/>
  <c r="B10"/>
  <c r="B15"/>
  <c r="C15" s="1"/>
  <c r="AQ10" i="4" l="1"/>
  <c r="AR10" s="1"/>
  <c r="AV10"/>
  <c r="AW10" s="1"/>
  <c r="W489"/>
  <c r="W494" s="1"/>
  <c r="W497" s="1"/>
  <c r="W56"/>
  <c r="W55" s="1"/>
  <c r="AA489"/>
  <c r="AA56"/>
  <c r="AA55" s="1"/>
  <c r="AE489"/>
  <c r="AE56"/>
  <c r="AE55" s="1"/>
  <c r="AI489"/>
  <c r="AI56"/>
  <c r="AI55" s="1"/>
  <c r="Z489"/>
  <c r="Z56"/>
  <c r="Z55" s="1"/>
  <c r="AD489"/>
  <c r="AD56"/>
  <c r="AD55" s="1"/>
  <c r="AH489"/>
  <c r="AH56"/>
  <c r="AH55" s="1"/>
  <c r="Y489"/>
  <c r="U9" i="6" s="1"/>
  <c r="Y56" i="4"/>
  <c r="Y55" s="1"/>
  <c r="AC489"/>
  <c r="AC56"/>
  <c r="AC55" s="1"/>
  <c r="AG489"/>
  <c r="AG56"/>
  <c r="AG55" s="1"/>
  <c r="AK56"/>
  <c r="AK55" s="1"/>
  <c r="X489"/>
  <c r="X56"/>
  <c r="X55" s="1"/>
  <c r="AB489"/>
  <c r="AB56"/>
  <c r="AB55" s="1"/>
  <c r="AF489"/>
  <c r="AF56"/>
  <c r="AF55" s="1"/>
  <c r="AJ489"/>
  <c r="AJ56"/>
  <c r="AJ55" s="1"/>
  <c r="AI9" i="6"/>
  <c r="AO491" i="4"/>
  <c r="AN491"/>
  <c r="AQ13" l="1"/>
  <c r="AR13" s="1"/>
  <c r="AC492"/>
  <c r="Y9" i="6"/>
  <c r="AE492" i="4"/>
  <c r="AA9" i="6"/>
  <c r="AD492" i="4"/>
  <c r="Z9" i="6"/>
  <c r="AI492" i="4"/>
  <c r="AE9" i="6"/>
  <c r="AJ492" i="4"/>
  <c r="AF9" i="6"/>
  <c r="AB492" i="4"/>
  <c r="X9" i="6"/>
  <c r="AA492" i="4"/>
  <c r="W9" i="6"/>
  <c r="Z492" i="4"/>
  <c r="V9" i="6"/>
  <c r="X492" i="4"/>
  <c r="T9" i="6"/>
  <c r="W507" i="4"/>
  <c r="S9" i="6"/>
  <c r="AF492" i="4"/>
  <c r="AB9" i="6"/>
  <c r="AG492" i="4"/>
  <c r="AC9" i="6"/>
  <c r="AH492" i="4"/>
  <c r="AD9" i="6"/>
  <c r="AK492" i="4"/>
  <c r="AG9" i="6"/>
  <c r="AQ489" i="4"/>
  <c r="Y507"/>
  <c r="Y492"/>
  <c r="AJ507"/>
  <c r="AF507"/>
  <c r="AB507"/>
  <c r="X507"/>
  <c r="AA507"/>
  <c r="AK507"/>
  <c r="AG507"/>
  <c r="W492"/>
  <c r="K55"/>
  <c r="AH507"/>
  <c r="AD507"/>
  <c r="Z507"/>
  <c r="AC507"/>
  <c r="AI507"/>
  <c r="AE507"/>
  <c r="AM491"/>
  <c r="C10" i="6"/>
  <c r="W490" i="4"/>
  <c r="X490"/>
  <c r="X491" s="1"/>
  <c r="X511" s="1"/>
  <c r="AJ490"/>
  <c r="AJ491" s="1"/>
  <c r="Y490"/>
  <c r="Y491" s="1"/>
  <c r="Y511" s="1"/>
  <c r="AA490"/>
  <c r="AA491" s="1"/>
  <c r="AA511" s="1"/>
  <c r="AB490"/>
  <c r="AB491" s="1"/>
  <c r="AB511" s="1"/>
  <c r="AC490"/>
  <c r="AC491" s="1"/>
  <c r="AC511" s="1"/>
  <c r="AE490"/>
  <c r="AE491" s="1"/>
  <c r="AF490"/>
  <c r="AF491" s="1"/>
  <c r="AG490"/>
  <c r="AG491" s="1"/>
  <c r="Z490"/>
  <c r="Z491" s="1"/>
  <c r="Z511" s="1"/>
  <c r="AD490"/>
  <c r="AD491" s="1"/>
  <c r="AH490"/>
  <c r="AH491" s="1"/>
  <c r="W491" l="1"/>
  <c r="W495"/>
  <c r="AQ492"/>
  <c r="W511" l="1"/>
  <c r="W496"/>
  <c r="D10" i="6"/>
  <c r="D15" l="1"/>
  <c r="E15" s="1"/>
  <c r="F15" l="1"/>
  <c r="G15" s="1"/>
  <c r="E10" l="1"/>
  <c r="F10" s="1"/>
  <c r="G10" s="1"/>
  <c r="H10" s="1"/>
  <c r="H15" l="1"/>
  <c r="I15" s="1"/>
  <c r="J15" s="1"/>
  <c r="K15" s="1"/>
  <c r="L15" l="1"/>
  <c r="M15" l="1"/>
  <c r="N15" s="1"/>
  <c r="O15" s="1"/>
  <c r="P15" s="1"/>
  <c r="Q15" s="1"/>
  <c r="R15" s="1"/>
  <c r="L107"/>
  <c r="L108" s="1"/>
  <c r="I10"/>
  <c r="J10" s="1"/>
  <c r="K10" s="1"/>
  <c r="L10" s="1"/>
  <c r="M10" s="1"/>
  <c r="N10" s="1"/>
  <c r="O10" s="1"/>
  <c r="P10" s="1"/>
  <c r="Q10" s="1"/>
  <c r="X495" i="4"/>
  <c r="Y495" s="1"/>
  <c r="Z495" s="1"/>
  <c r="AA495" s="1"/>
  <c r="AB495" s="1"/>
  <c r="AC495" s="1"/>
  <c r="AD495" s="1"/>
  <c r="AE495" s="1"/>
  <c r="AF495" s="1"/>
  <c r="AG495" s="1"/>
  <c r="AH495" s="1"/>
  <c r="R9" i="6" l="1"/>
  <c r="AK9" s="1"/>
  <c r="W509" i="4"/>
  <c r="X496"/>
  <c r="Y496" s="1"/>
  <c r="Z496" s="1"/>
  <c r="AA496" s="1"/>
  <c r="AB496" s="1"/>
  <c r="AC496" s="1"/>
  <c r="AD496" s="1"/>
  <c r="AE496" s="1"/>
  <c r="AF496" s="1"/>
  <c r="AG496" s="1"/>
  <c r="AH496" s="1"/>
  <c r="X494"/>
  <c r="R10" i="6" l="1"/>
  <c r="S10" s="1"/>
  <c r="T10" s="1"/>
  <c r="U10" s="1"/>
  <c r="V10" s="1"/>
  <c r="W10" s="1"/>
  <c r="X10" s="1"/>
  <c r="Y10" s="1"/>
  <c r="Z10" s="1"/>
  <c r="AA10" s="1"/>
  <c r="AB10" s="1"/>
  <c r="AC10" s="1"/>
  <c r="AD10" s="1"/>
  <c r="X509" i="4"/>
  <c r="X497"/>
  <c r="Y494"/>
  <c r="Y509" l="1"/>
  <c r="Y497"/>
  <c r="Z494"/>
  <c r="Z509" l="1"/>
  <c r="Z497"/>
  <c r="AA494"/>
  <c r="AA509" l="1"/>
  <c r="AA497"/>
  <c r="AB494"/>
  <c r="AB509" l="1"/>
  <c r="AB497"/>
  <c r="AC494"/>
  <c r="AC509" l="1"/>
  <c r="AC497"/>
  <c r="AD494"/>
  <c r="AD509" l="1"/>
  <c r="AD497"/>
  <c r="AE494"/>
  <c r="AE509" l="1"/>
  <c r="AE497"/>
  <c r="AF494"/>
  <c r="AF509" l="1"/>
  <c r="AF497"/>
  <c r="AG494"/>
  <c r="AG509" l="1"/>
  <c r="AG497"/>
  <c r="AH494"/>
  <c r="AH509" l="1"/>
  <c r="AH497"/>
  <c r="AE10" i="6" l="1"/>
  <c r="AI494" i="4" l="1"/>
  <c r="AI490"/>
  <c r="AI509" l="1"/>
  <c r="AI497"/>
  <c r="AJ494"/>
  <c r="AK494" s="1"/>
  <c r="AI495"/>
  <c r="AJ495" s="1"/>
  <c r="AI491"/>
  <c r="AJ497" l="1"/>
  <c r="AJ509"/>
  <c r="AI496"/>
  <c r="AJ496" s="1"/>
  <c r="AK490" l="1"/>
  <c r="AK491" s="1"/>
  <c r="AM494"/>
  <c r="AN494" s="1"/>
  <c r="AN497" l="1"/>
  <c r="AO494"/>
  <c r="AO497" s="1"/>
  <c r="AK509"/>
  <c r="AK497"/>
  <c r="AK496"/>
  <c r="AM496" s="1"/>
  <c r="AN496" s="1"/>
  <c r="AO496" s="1"/>
  <c r="AK495"/>
  <c r="AM495" s="1"/>
  <c r="AN495" s="1"/>
  <c r="AO495" s="1"/>
  <c r="AF10" i="6" l="1"/>
  <c r="AG10" s="1"/>
  <c r="AH10" s="1"/>
  <c r="AI10" s="1"/>
  <c r="AJ10" s="1"/>
  <c r="AM509" i="4" l="1"/>
  <c r="AM497"/>
  <c r="AN509" l="1"/>
  <c r="AO509" l="1"/>
</calcChain>
</file>

<file path=xl/sharedStrings.xml><?xml version="1.0" encoding="utf-8"?>
<sst xmlns="http://schemas.openxmlformats.org/spreadsheetml/2006/main" count="976" uniqueCount="254">
  <si>
    <t>Cert Nº1</t>
  </si>
  <si>
    <t>Cert Nº2</t>
  </si>
  <si>
    <t>Cert Nº3</t>
  </si>
  <si>
    <t>Cert Nº4</t>
  </si>
  <si>
    <t>Cert Nº5</t>
  </si>
  <si>
    <t>Cert Nº6</t>
  </si>
  <si>
    <t>Cert Nº7</t>
  </si>
  <si>
    <t>Cert Nº9</t>
  </si>
  <si>
    <t>Cert Nº10</t>
  </si>
  <si>
    <t>Cert Nº11</t>
  </si>
  <si>
    <t>Cert Nº12</t>
  </si>
  <si>
    <t>Cert Nº13</t>
  </si>
  <si>
    <t>P</t>
  </si>
  <si>
    <t>C</t>
  </si>
  <si>
    <t>CRONOGRAMA FISICO - FINANCIERO</t>
  </si>
  <si>
    <t>Cert Nº14</t>
  </si>
  <si>
    <t>MOVIMIENTO DE TIERRAS.</t>
  </si>
  <si>
    <t>PAVIMENTACION.</t>
  </si>
  <si>
    <t>OBRAS DE DRENAJE</t>
  </si>
  <si>
    <t>PROYECTO PAVIMENTACION ZUDAÑEZ - PADILLA:   PROGRESIVAS: (INICIO:99+000; FIN:167+668)</t>
  </si>
  <si>
    <t>OBRAS COMPLEMENTARIAS</t>
  </si>
  <si>
    <t>SEÑALIZACION SEGURIDAD VIAL</t>
  </si>
  <si>
    <t>MEDIDAS DE MITIGACION AMBIENTAL</t>
  </si>
  <si>
    <t>SERVICIOS PARA LA SUPERVISION</t>
  </si>
  <si>
    <t>Cert Nº15</t>
  </si>
  <si>
    <t>Cert Nº16</t>
  </si>
  <si>
    <t>Cert Nº17</t>
  </si>
  <si>
    <t>Cert Nº18</t>
  </si>
  <si>
    <t>Cert Nº19</t>
  </si>
  <si>
    <t>Cert Nº20</t>
  </si>
  <si>
    <t>Cert Nº21</t>
  </si>
  <si>
    <t>Cert Nº22</t>
  </si>
  <si>
    <t>Cert Nº23</t>
  </si>
  <si>
    <t>Cert Nº24</t>
  </si>
  <si>
    <t>Cert Nº25</t>
  </si>
  <si>
    <t>Cert Nº26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</si>
  <si>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</si>
  <si>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</si>
  <si>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</si>
  <si>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</si>
  <si>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</si>
  <si>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</si>
  <si>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</si>
  <si>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</si>
  <si>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Mes 25</t>
  </si>
  <si>
    <t>Mes 26</t>
  </si>
  <si>
    <t>Mes 27</t>
  </si>
  <si>
    <t>Cert Nº27</t>
  </si>
  <si>
    <t>Mantenimiento</t>
  </si>
  <si>
    <t>1.1 Desbroce, Desbosque, Destronque y Limpieza</t>
  </si>
  <si>
    <t>1.4 Terraplén con Material de Préstamo</t>
  </si>
  <si>
    <t>1.5 Terraplén con Material de Corte</t>
  </si>
  <si>
    <t>1.6 Relleno Compactado en Áreas de Depósito</t>
  </si>
  <si>
    <t>1.7 Remoción de Derrumbes</t>
  </si>
  <si>
    <t>1.8 Sobreacarreo para Distancias &gt; 300 m</t>
  </si>
  <si>
    <t>1.9 Transporte de Material de Acopios</t>
  </si>
  <si>
    <t>1.10 Transporte de Material de Buzones</t>
  </si>
  <si>
    <t>1.11 Pedraplén para Estabilización de Plataforma</t>
  </si>
  <si>
    <t>2.1 Sub Base Material Granular</t>
  </si>
  <si>
    <t>2.2 Base Material Granular</t>
  </si>
  <si>
    <t>2.3 Imprimación - Ejecución</t>
  </si>
  <si>
    <t>2.4 Riego de Liga - Ejecución</t>
  </si>
  <si>
    <t>2.5 Tratamiento Superficial Doble - Ejecución</t>
  </si>
  <si>
    <t>2.6 Suministro de Asfalto Diluido para la Imprimación</t>
  </si>
  <si>
    <t>2.7 Suministro de Asfalto Diluido/Emulsión para el Riego de Liga</t>
  </si>
  <si>
    <t>2.9 Suministro de Asfalto Diluido/Emulsión para Tratamiento Superficial</t>
  </si>
  <si>
    <t>2.10 Transporte de Material Granular</t>
  </si>
  <si>
    <t>3.1 Zanjas de Coronamiento Revestidas, Incluye Excavación</t>
  </si>
  <si>
    <t>3.1A Zanjas de Coronamiento Sin Revestir</t>
  </si>
  <si>
    <t>3.3 Cuneta Revestida en Corte, Incluye Excavación</t>
  </si>
  <si>
    <t>3.4 Cuneta Revestida de Pie de Terraplén, Incluye Excavación</t>
  </si>
  <si>
    <t>3.6 Cuneta Revestida de Banquina en Corte y Terraplén</t>
  </si>
  <si>
    <t>3.7 Bordillo de Protección de Terraplén (Hormigón Tipo "B")</t>
  </si>
  <si>
    <t>3.8 Armadura de Refuerzo para Obras de Drenaje Menor (fy = 4200 kg/cm2)</t>
  </si>
  <si>
    <t>3.9 Hormigón Tipo "A" para Obras de Drenaje Menor (fck = 210 Kg/cm2)</t>
  </si>
  <si>
    <t>3.10 Hormigón Tipo "E" para Obras de Drenaje Menor (fck = 110 Kg/cm2)</t>
  </si>
  <si>
    <t>3.11 Hormigón Ciclópleo para Obras de Drenaje Menor</t>
  </si>
  <si>
    <t>3.12 Excavación No Clasificada para Obras de Drenaje Menor</t>
  </si>
  <si>
    <t>3.13 Excavación para Encauces y Canalizaciones en Obras de Drenaje Menor</t>
  </si>
  <si>
    <t>3.14 Excavación en Encauces de Rios y Quebradas</t>
  </si>
  <si>
    <t>3.15 Relleno para Cimentación de Obras de Drenaje Menor</t>
  </si>
  <si>
    <t>3.16 Relleno Compactado para Obras de Drenaje Menor</t>
  </si>
  <si>
    <t>3.17 Alcantarilla Simple con Tubos de Hormigón Armado ø = 1.0 m</t>
  </si>
  <si>
    <t>3.19 Sub Dren Longitudinal en Suelo, Incluye Excavación</t>
  </si>
  <si>
    <t>3.20 Sub Dren Longitudinal en Roca, Incluye Excavación</t>
  </si>
  <si>
    <t>3.21 Sub Dren Transversal</t>
  </si>
  <si>
    <t>3.23 Capa Drenante</t>
  </si>
  <si>
    <t>3.25 Zampeado de Piedra con Mortero de Cemento (e = 0.20 m)</t>
  </si>
  <si>
    <t>3.26 Escorellado con Piedra Acomodada (e=0.30 m)</t>
  </si>
  <si>
    <t>3.27 Gaviones Tipo Cajon</t>
  </si>
  <si>
    <t>3.28 Gaviones Tipo Colchón</t>
  </si>
  <si>
    <t>3.29 Remoción de Obras de Drenaje</t>
  </si>
  <si>
    <t>3.30 Demolición de Obras de Drenaje</t>
  </si>
  <si>
    <t>3.31 Water Stops</t>
  </si>
  <si>
    <t>4.1 Excavación para Estructuras de Hormigón Ciclópeo y/o Gaviones</t>
  </si>
  <si>
    <t>4.2 Hormigón Ciclópeo</t>
  </si>
  <si>
    <t>4.3 Hormigón Tipo A fck = 210 Kg/cm2</t>
  </si>
  <si>
    <t>4.4 Acero Estructural Fy = 4200 Kg/cm2</t>
  </si>
  <si>
    <t>4.5 Gaviones Tipo Colchón e=0.23 m</t>
  </si>
  <si>
    <t>4.6 Gaviones Tipo Cajón</t>
  </si>
  <si>
    <t>4.7 Relleno Compactado</t>
  </si>
  <si>
    <t>4.8 Red Metálica para Protección de Taludes</t>
  </si>
  <si>
    <t>4.9 Capa Drenante para Muros de Contención</t>
  </si>
  <si>
    <t>4.10 Tubos de Drenaje PVC Ø 6"</t>
  </si>
  <si>
    <t>4.11 Manto Geotextil</t>
  </si>
  <si>
    <t>4.12 Geomalla Uniaxial</t>
  </si>
  <si>
    <t>4.13 Drenes Horizontales Profundos</t>
  </si>
  <si>
    <t>4.14 Protección Con Clavos de Acero</t>
  </si>
  <si>
    <t>4.15 Jardines</t>
  </si>
  <si>
    <t>4.16 Bordillos doble Via, Rotondas</t>
  </si>
  <si>
    <t>4.17 Barandado Metálico</t>
  </si>
  <si>
    <t>4.18 Carton Asfáltico</t>
  </si>
  <si>
    <t>4.19 Viga Pº 16.70</t>
  </si>
  <si>
    <t>4.20 Sello de Neopreno</t>
  </si>
  <si>
    <t>4.21 Resina Epoxi</t>
  </si>
  <si>
    <t>4.22 Tubos de Drenaje PVC Ø 4"</t>
  </si>
  <si>
    <t>5.1 Defensas Laterales Metálicas, Incluye Terminales</t>
  </si>
  <si>
    <t>5.2 Delineadores de Calzada</t>
  </si>
  <si>
    <t>5.3 Delineadores de Curva Horizontal</t>
  </si>
  <si>
    <t>5.4 Pintado de la Superficie de Rodadura de 0.12 m de ancho</t>
  </si>
  <si>
    <t>5.5 Pintado de la Superficie de Rodadura de 0.15 m de ancho</t>
  </si>
  <si>
    <t>5.6 Señalización Horizontal con Simbolos y Letras</t>
  </si>
  <si>
    <t>5.7 Señal Preventiva Cuadrangular 0.80 x 0.80 m</t>
  </si>
  <si>
    <t xml:space="preserve">5.8 Señal Reglamentaria Octogonal PARE de 0.75 m de altura </t>
  </si>
  <si>
    <t>5.9 Señal Reglamentaria Triangular CEDA 1.00 m de lado</t>
  </si>
  <si>
    <t>5.10 Señal Reglamentaria 0.75 x 1.10 m</t>
  </si>
  <si>
    <t>5.11 Señal Informativa de Destino, 2.20 x 1.10 m</t>
  </si>
  <si>
    <t>5.12 Señal Informativa de Destino, 2.40 x 1.10 m</t>
  </si>
  <si>
    <t>5.13 Señal Informativa de Destino, 2.60 x 1.10 m</t>
  </si>
  <si>
    <t>5.14 Señal Informativa de Destino, 2.20 x 0.60 m</t>
  </si>
  <si>
    <t>5.15 Señal Informativa de Servicio 0.60 x 0.60 m</t>
  </si>
  <si>
    <t>5.17 Tachas Reflectivas Bidireccionales</t>
  </si>
  <si>
    <t>5.18 Mojones de Kilometraje</t>
  </si>
  <si>
    <t>5.20 Banda Sonorizadora</t>
  </si>
  <si>
    <t>6.1 Señalización Viva</t>
  </si>
  <si>
    <t>6.2 Escarificado Plataforma Existente</t>
  </si>
  <si>
    <t>6.3 Protección de Taludes</t>
  </si>
  <si>
    <t>7.1 Servicio de Alimentación</t>
  </si>
  <si>
    <t>7.2 Mantenimiento, Lubricantes y Combustibles</t>
  </si>
  <si>
    <t>7.3 Campamento Alquiler</t>
  </si>
  <si>
    <t>7.4 Grupo Electrógeno</t>
  </si>
  <si>
    <t>7.5 Construcción Campamento Area Cerrada</t>
  </si>
  <si>
    <t>7.6 Construcción Campamento Area Abierta</t>
  </si>
  <si>
    <t>7.7 Cerca Malla Olimpica</t>
  </si>
  <si>
    <t>7.8 Areas Verdes</t>
  </si>
  <si>
    <t>1.2 Excavación No Clasificada Distancia &lt; 300 m</t>
  </si>
  <si>
    <t>1.3 Excavación en Fango Distancia &lt; 300 m</t>
  </si>
  <si>
    <t>Año 1</t>
  </si>
  <si>
    <t>Año 2</t>
  </si>
  <si>
    <t>Año 3</t>
  </si>
  <si>
    <t>Cert-Año1</t>
  </si>
  <si>
    <t>Cert-Año2</t>
  </si>
  <si>
    <t>Cert-Año3</t>
  </si>
  <si>
    <t>TOTAL
(BS.)</t>
  </si>
  <si>
    <t>DESEMBOLSO ACUMULADO (BS.):</t>
  </si>
  <si>
    <t>EJECUTADO MENSUAL (BS.):</t>
  </si>
  <si>
    <t>EJECUTADO ACUMULADO (BS.):</t>
  </si>
  <si>
    <t>SUB-TOTALES MENSUAL ACUMULADO (BS.):</t>
  </si>
  <si>
    <t>SUB-TOTAL MENSUAL (BS.):</t>
  </si>
  <si>
    <t>Descripcion de Rubros/Items</t>
  </si>
  <si>
    <t>5.16 Señal de Identificación Vial</t>
  </si>
  <si>
    <t>5.19 Señal Elevada Tipo Portico</t>
  </si>
  <si>
    <t>Cantidad</t>
  </si>
  <si>
    <t>Porcentaje</t>
  </si>
  <si>
    <t>Monto</t>
  </si>
  <si>
    <t>Notas</t>
  </si>
  <si>
    <t>ASOCIACION ACIDENTAL CRUCEÑA y ASOCIADAS</t>
  </si>
  <si>
    <t>CONTRATISTA</t>
  </si>
  <si>
    <t xml:space="preserve">SUPERINTENDENTE DE OBRA </t>
  </si>
  <si>
    <t>SUPERVISION</t>
  </si>
  <si>
    <t>ADMINISTRADORA BOLIVIANA DE CARRETERAS</t>
  </si>
  <si>
    <t>Ing. Jimy Velasquez Portal</t>
  </si>
  <si>
    <t>FISCAL DE OBRA</t>
  </si>
  <si>
    <t>HOJA</t>
  </si>
  <si>
    <t>1  DE  3</t>
  </si>
  <si>
    <t>Amortización de Antcipo (20%)</t>
  </si>
  <si>
    <t>Monto Liquido Pagable</t>
  </si>
  <si>
    <t>Amortización de Antcipo Acumulado (20%)</t>
  </si>
  <si>
    <t>Monto Liquido Pagable Acumulado</t>
  </si>
  <si>
    <t>Fecha : …………………..</t>
  </si>
  <si>
    <t>PORCENTAJE MENSUAL (%):</t>
  </si>
  <si>
    <t>PORCENTAJE MENSUAL ACUMULADO (%):</t>
  </si>
  <si>
    <t>PROGRAMADO</t>
  </si>
  <si>
    <t>EJECUTADO</t>
  </si>
  <si>
    <t>PROGRAMADO MENSUAL (BS.):</t>
  </si>
  <si>
    <t>Unidad</t>
  </si>
  <si>
    <t>Mes 28</t>
  </si>
  <si>
    <t>Mes 29</t>
  </si>
  <si>
    <t>Mes 30</t>
  </si>
  <si>
    <t>Mes 31</t>
  </si>
  <si>
    <t>Mes 32</t>
  </si>
  <si>
    <t>[m²]</t>
  </si>
  <si>
    <t>ok</t>
  </si>
  <si>
    <t>ojo</t>
  </si>
  <si>
    <t>Mantenimiento Circunvalación</t>
  </si>
  <si>
    <t>mal</t>
  </si>
  <si>
    <t>[Tramo/Año]</t>
  </si>
  <si>
    <t>N°</t>
  </si>
  <si>
    <t>Cert Nº28</t>
  </si>
  <si>
    <t>Cert Nº29</t>
  </si>
  <si>
    <t>Cert Nº30</t>
  </si>
  <si>
    <t>Cert Nº31</t>
  </si>
  <si>
    <t>Cert Nº32</t>
  </si>
  <si>
    <t>Cert Nº33</t>
  </si>
  <si>
    <t>NOTA:</t>
  </si>
  <si>
    <t>Certificado Nº 8 Corresponde al Anticipo Adicional del Cemento Asfaltico</t>
  </si>
  <si>
    <t>CON EL LIQUIDO PAGABLE</t>
  </si>
  <si>
    <t>Ing. Carlos F. Benavidez Fuentes</t>
  </si>
  <si>
    <t>Ing. Leonardo Veliz Ticona</t>
  </si>
  <si>
    <t>GERENTE DE PROYECTO a.i.</t>
  </si>
  <si>
    <t>Precio Unitario           ( Bs )</t>
  </si>
  <si>
    <t>CANTIDADES Y MONTOS</t>
  </si>
  <si>
    <t>Contrato Original</t>
  </si>
  <si>
    <t>Ejecutada</t>
  </si>
  <si>
    <t>Adicional</t>
  </si>
  <si>
    <t>TOTAL</t>
  </si>
  <si>
    <t>A  Ejecutar</t>
  </si>
  <si>
    <t>Contrato Modific.#3</t>
  </si>
  <si>
    <t>%</t>
  </si>
  <si>
    <t>Bs.</t>
  </si>
  <si>
    <t>TOTAL  OBRAS  DE  DRENAJES</t>
  </si>
  <si>
    <t>TOTAL  PAVIMENTACION</t>
  </si>
  <si>
    <t>TOTAL  MOVIMIENTO  DE  SUELOS</t>
  </si>
  <si>
    <t>TOTAL  OBRAS  COMPLEMENTARIAS</t>
  </si>
  <si>
    <t>TOTAL  SEÑALIZACION Y SEGURIDAD VIAL</t>
  </si>
  <si>
    <t>TOTAL  SERVICIO PARA LA SUPERVISION</t>
  </si>
  <si>
    <t>MANTENIMIENTOS</t>
  </si>
  <si>
    <t>Por Ejecutar</t>
  </si>
  <si>
    <t>TOTAL  MANTENIMIENTO</t>
  </si>
  <si>
    <t>FISCALIZACION</t>
  </si>
  <si>
    <t>3  DE  3</t>
  </si>
  <si>
    <t>2  DE  3</t>
  </si>
  <si>
    <t>[ ha ]</t>
  </si>
  <si>
    <t>[ m³ ]</t>
  </si>
  <si>
    <t>[ m³-km ]</t>
  </si>
  <si>
    <t>[ m² ]</t>
  </si>
  <si>
    <t>[ lt ]</t>
  </si>
  <si>
    <t>[ m ]</t>
  </si>
  <si>
    <t>[ Kg ]</t>
  </si>
  <si>
    <t>[ ml ]</t>
  </si>
  <si>
    <t>[ pza ]</t>
  </si>
  <si>
    <t>[ glb ]</t>
  </si>
  <si>
    <t>[ unid. ]</t>
  </si>
  <si>
    <t>[ km ]</t>
  </si>
  <si>
    <t>[ h-dia ]</t>
  </si>
  <si>
    <t>[ v-mes ]</t>
  </si>
  <si>
    <t>[ m²-mes ]</t>
  </si>
  <si>
    <t>CRONOGRAMA FINANCIERO REFORMULADO - ORDEN DE CAMBIO No 1</t>
  </si>
  <si>
    <t xml:space="preserve">CRONOGRAMA REFORMULADO DE OBRA - ORDEN DE CAMBIO No 1 </t>
  </si>
  <si>
    <t>Mes 15</t>
  </si>
  <si>
    <t>Mes 14</t>
  </si>
  <si>
    <t>Mes 13</t>
  </si>
  <si>
    <t>Mes 12</t>
  </si>
  <si>
    <t>Mes 10</t>
  </si>
</sst>
</file>

<file path=xl/styles.xml><?xml version="1.0" encoding="utf-8"?>
<styleSheet xmlns="http://schemas.openxmlformats.org/spreadsheetml/2006/main">
  <numFmts count="10">
    <numFmt numFmtId="164" formatCode="0.00\ &quot;$us&quot;"/>
    <numFmt numFmtId="165" formatCode="0.00\ "/>
    <numFmt numFmtId="166" formatCode="mmmm/yyyy"/>
    <numFmt numFmtId="167" formatCode="_-[$€-2]* #,##0.00_-;\-[$€-2]* #,##0.00_-;_-[$€-2]* &quot;-&quot;??_-"/>
    <numFmt numFmtId="168" formatCode="[$-409]mmm/yy;@"/>
    <numFmt numFmtId="169" formatCode="#,##0.000"/>
    <numFmt numFmtId="170" formatCode="\(\ #,##0\ \)"/>
    <numFmt numFmtId="171" formatCode="#,##0.0000"/>
    <numFmt numFmtId="172" formatCode="#,##0.00000000"/>
    <numFmt numFmtId="173" formatCode="#,##0.0000000"/>
  </numFmts>
  <fonts count="35">
    <font>
      <sz val="10"/>
      <name val="Arial"/>
    </font>
    <font>
      <sz val="8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9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6.5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color indexed="9"/>
      <name val="Arial"/>
      <family val="2"/>
    </font>
    <font>
      <sz val="7"/>
      <color indexed="10"/>
      <name val="Arial"/>
      <family val="2"/>
    </font>
    <font>
      <sz val="8"/>
      <color indexed="9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sz val="7"/>
      <color rgb="FFFFFF00"/>
      <name val="Arial"/>
      <family val="2"/>
    </font>
    <font>
      <sz val="8"/>
      <color rgb="FFFF0000"/>
      <name val="Arial"/>
      <family val="2"/>
    </font>
    <font>
      <sz val="10"/>
      <name val="Geneva"/>
    </font>
    <font>
      <b/>
      <sz val="8"/>
      <color rgb="FF0070C0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sz val="9"/>
      <color theme="0"/>
      <name val="Arial"/>
      <family val="2"/>
    </font>
    <font>
      <sz val="9"/>
      <color rgb="FFFF0000"/>
      <name val="Arial"/>
      <family val="2"/>
    </font>
    <font>
      <b/>
      <sz val="22"/>
      <name val="Arial"/>
      <family val="2"/>
    </font>
    <font>
      <b/>
      <sz val="26"/>
      <name val="Arial"/>
      <family val="2"/>
    </font>
    <font>
      <sz val="18"/>
      <name val="Arial"/>
      <family val="2"/>
    </font>
    <font>
      <sz val="22"/>
      <name val="Arial"/>
      <family val="2"/>
    </font>
    <font>
      <b/>
      <sz val="1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/>
    <xf numFmtId="167" fontId="7" fillId="0" borderId="0" applyFont="0" applyFill="0" applyBorder="0" applyAlignment="0" applyProtection="0"/>
    <xf numFmtId="0" fontId="7" fillId="0" borderId="0"/>
    <xf numFmtId="9" fontId="13" fillId="0" borderId="0" applyFont="0" applyFill="0" applyBorder="0" applyAlignment="0" applyProtection="0"/>
    <xf numFmtId="0" fontId="22" fillId="0" borderId="0"/>
  </cellStyleXfs>
  <cellXfs count="419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4" fillId="2" borderId="0" xfId="0" applyFont="1" applyFill="1" applyBorder="1" applyAlignment="1">
      <alignment horizontal="center" vertical="center"/>
    </xf>
    <xf numFmtId="2" fontId="1" fillId="2" borderId="0" xfId="2" applyNumberFormat="1" applyFont="1" applyFill="1" applyBorder="1" applyAlignment="1">
      <alignment horizontal="right" vertical="center"/>
    </xf>
    <xf numFmtId="0" fontId="1" fillId="2" borderId="0" xfId="2" applyFont="1" applyFill="1" applyAlignment="1">
      <alignment vertical="center"/>
    </xf>
    <xf numFmtId="4" fontId="10" fillId="2" borderId="2" xfId="2" applyNumberFormat="1" applyFont="1" applyFill="1" applyBorder="1" applyAlignment="1">
      <alignment horizontal="right" vertical="center"/>
    </xf>
    <xf numFmtId="4" fontId="10" fillId="2" borderId="1" xfId="2" applyNumberFormat="1" applyFont="1" applyFill="1" applyBorder="1" applyAlignment="1">
      <alignment horizontal="right" vertical="center"/>
    </xf>
    <xf numFmtId="0" fontId="10" fillId="2" borderId="0" xfId="2" applyFont="1" applyFill="1" applyAlignment="1">
      <alignment vertical="center"/>
    </xf>
    <xf numFmtId="0" fontId="7" fillId="2" borderId="0" xfId="2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4" fontId="7" fillId="2" borderId="0" xfId="2" applyNumberFormat="1" applyFill="1" applyAlignment="1">
      <alignment vertical="center"/>
    </xf>
    <xf numFmtId="0" fontId="6" fillId="2" borderId="0" xfId="2" applyFont="1" applyFill="1" applyAlignment="1">
      <alignment horizontal="right" vertical="center"/>
    </xf>
    <xf numFmtId="0" fontId="4" fillId="0" borderId="0" xfId="0" applyFont="1" applyFill="1" applyAlignment="1">
      <alignment horizontal="center" vertical="center"/>
    </xf>
    <xf numFmtId="0" fontId="6" fillId="2" borderId="0" xfId="2" applyFont="1" applyFill="1" applyBorder="1" applyAlignment="1">
      <alignment horizontal="right" vertical="center"/>
    </xf>
    <xf numFmtId="4" fontId="10" fillId="2" borderId="0" xfId="2" applyNumberFormat="1" applyFont="1" applyFill="1" applyBorder="1" applyAlignment="1">
      <alignment horizontal="right" vertical="center"/>
    </xf>
    <xf numFmtId="4" fontId="10" fillId="2" borderId="0" xfId="2" applyNumberFormat="1" applyFont="1" applyFill="1" applyBorder="1" applyAlignment="1">
      <alignment vertical="center"/>
    </xf>
    <xf numFmtId="168" fontId="7" fillId="2" borderId="2" xfId="2" quotePrefix="1" applyNumberFormat="1" applyFont="1" applyFill="1" applyBorder="1" applyAlignment="1">
      <alignment horizontal="centerContinuous" vertical="center"/>
    </xf>
    <xf numFmtId="4" fontId="15" fillId="2" borderId="0" xfId="2" applyNumberFormat="1" applyFont="1" applyFill="1" applyAlignment="1">
      <alignment horizontal="right" vertical="center"/>
    </xf>
    <xf numFmtId="4" fontId="11" fillId="2" borderId="2" xfId="2" applyNumberFormat="1" applyFont="1" applyFill="1" applyBorder="1" applyAlignment="1">
      <alignment horizontal="right" vertical="center"/>
    </xf>
    <xf numFmtId="168" fontId="7" fillId="2" borderId="2" xfId="2" quotePrefix="1" applyNumberFormat="1" applyFont="1" applyFill="1" applyBorder="1" applyAlignment="1">
      <alignment horizontal="center" vertical="center"/>
    </xf>
    <xf numFmtId="4" fontId="10" fillId="2" borderId="5" xfId="2" applyNumberFormat="1" applyFont="1" applyFill="1" applyBorder="1" applyAlignment="1">
      <alignment horizontal="right" vertical="center"/>
    </xf>
    <xf numFmtId="4" fontId="10" fillId="0" borderId="2" xfId="2" applyNumberFormat="1" applyFont="1" applyFill="1" applyBorder="1" applyAlignment="1">
      <alignment horizontal="right"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5" borderId="0" xfId="0" applyFill="1" applyAlignment="1">
      <alignment vertical="center"/>
    </xf>
    <xf numFmtId="0" fontId="6" fillId="5" borderId="2" xfId="0" applyFont="1" applyFill="1" applyBorder="1" applyAlignment="1">
      <alignment horizontal="center" vertical="center" wrapText="1"/>
    </xf>
    <xf numFmtId="166" fontId="3" fillId="5" borderId="2" xfId="2" applyNumberFormat="1" applyFont="1" applyFill="1" applyBorder="1" applyAlignment="1">
      <alignment horizontal="center" vertical="center"/>
    </xf>
    <xf numFmtId="166" fontId="3" fillId="5" borderId="2" xfId="2" applyNumberFormat="1" applyFont="1" applyFill="1" applyBorder="1" applyAlignment="1">
      <alignment horizontal="centerContinuous" vertical="center"/>
    </xf>
    <xf numFmtId="0" fontId="9" fillId="5" borderId="4" xfId="2" applyFont="1" applyFill="1" applyBorder="1" applyAlignment="1">
      <alignment horizontal="right" vertical="center"/>
    </xf>
    <xf numFmtId="0" fontId="6" fillId="5" borderId="2" xfId="2" applyFont="1" applyFill="1" applyBorder="1" applyAlignment="1">
      <alignment horizontal="right" vertical="center"/>
    </xf>
    <xf numFmtId="168" fontId="7" fillId="2" borderId="2" xfId="2" applyNumberFormat="1" applyFont="1" applyFill="1" applyBorder="1" applyAlignment="1">
      <alignment horizontal="center" vertical="center"/>
    </xf>
    <xf numFmtId="4" fontId="0" fillId="0" borderId="0" xfId="0" applyNumberFormat="1" applyFill="1" applyAlignment="1">
      <alignment vertical="center"/>
    </xf>
    <xf numFmtId="4" fontId="16" fillId="0" borderId="0" xfId="0" applyNumberFormat="1" applyFont="1" applyFill="1" applyBorder="1" applyAlignment="1">
      <alignment horizontal="right" vertical="center"/>
    </xf>
    <xf numFmtId="0" fontId="0" fillId="2" borderId="0" xfId="0" applyFill="1" applyAlignment="1">
      <alignment horizontal="right"/>
    </xf>
    <xf numFmtId="0" fontId="6" fillId="5" borderId="5" xfId="0" applyFont="1" applyFill="1" applyBorder="1" applyAlignment="1">
      <alignment vertical="center" wrapText="1"/>
    </xf>
    <xf numFmtId="0" fontId="6" fillId="5" borderId="6" xfId="0" applyFont="1" applyFill="1" applyBorder="1" applyAlignment="1">
      <alignment vertical="center" wrapText="1"/>
    </xf>
    <xf numFmtId="4" fontId="18" fillId="5" borderId="6" xfId="0" applyNumberFormat="1" applyFont="1" applyFill="1" applyBorder="1" applyAlignment="1">
      <alignment vertical="center" wrapText="1"/>
    </xf>
    <xf numFmtId="4" fontId="19" fillId="5" borderId="6" xfId="0" applyNumberFormat="1" applyFont="1" applyFill="1" applyBorder="1" applyAlignment="1">
      <alignment vertical="center" wrapText="1"/>
    </xf>
    <xf numFmtId="4" fontId="20" fillId="2" borderId="0" xfId="0" applyNumberFormat="1" applyFont="1" applyFill="1"/>
    <xf numFmtId="0" fontId="6" fillId="6" borderId="1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left" vertical="center" wrapText="1"/>
    </xf>
    <xf numFmtId="4" fontId="18" fillId="6" borderId="13" xfId="0" applyNumberFormat="1" applyFont="1" applyFill="1" applyBorder="1" applyAlignment="1">
      <alignment horizontal="right" vertical="center"/>
    </xf>
    <xf numFmtId="4" fontId="2" fillId="6" borderId="13" xfId="0" applyNumberFormat="1" applyFont="1" applyFill="1" applyBorder="1" applyAlignment="1">
      <alignment horizontal="right" vertical="center"/>
    </xf>
    <xf numFmtId="0" fontId="0" fillId="0" borderId="0" xfId="0" applyFill="1"/>
    <xf numFmtId="4" fontId="12" fillId="9" borderId="3" xfId="0" applyNumberFormat="1" applyFont="1" applyFill="1" applyBorder="1" applyAlignment="1">
      <alignment horizontal="left" vertical="center"/>
    </xf>
    <xf numFmtId="10" fontId="12" fillId="9" borderId="3" xfId="0" applyNumberFormat="1" applyFont="1" applyFill="1" applyBorder="1" applyAlignment="1">
      <alignment horizontal="left" vertical="center"/>
    </xf>
    <xf numFmtId="4" fontId="12" fillId="9" borderId="1" xfId="0" applyNumberFormat="1" applyFont="1" applyFill="1" applyBorder="1" applyAlignment="1">
      <alignment horizontal="left" vertical="center"/>
    </xf>
    <xf numFmtId="0" fontId="0" fillId="2" borderId="10" xfId="0" applyFill="1" applyBorder="1"/>
    <xf numFmtId="0" fontId="0" fillId="2" borderId="9" xfId="0" applyFill="1" applyBorder="1"/>
    <xf numFmtId="0" fontId="0" fillId="2" borderId="9" xfId="0" applyFill="1" applyBorder="1" applyAlignment="1">
      <alignment horizontal="right"/>
    </xf>
    <xf numFmtId="0" fontId="0" fillId="10" borderId="8" xfId="0" applyFill="1" applyBorder="1"/>
    <xf numFmtId="0" fontId="0" fillId="10" borderId="13" xfId="0" applyFill="1" applyBorder="1"/>
    <xf numFmtId="0" fontId="0" fillId="10" borderId="13" xfId="0" applyFill="1" applyBorder="1" applyAlignment="1">
      <alignment horizontal="right"/>
    </xf>
    <xf numFmtId="0" fontId="1" fillId="2" borderId="9" xfId="0" applyFont="1" applyFill="1" applyBorder="1"/>
    <xf numFmtId="0" fontId="1" fillId="2" borderId="13" xfId="0" applyFont="1" applyFill="1" applyBorder="1"/>
    <xf numFmtId="4" fontId="2" fillId="8" borderId="4" xfId="0" applyNumberFormat="1" applyFont="1" applyFill="1" applyBorder="1" applyAlignment="1">
      <alignment vertical="center"/>
    </xf>
    <xf numFmtId="4" fontId="2" fillId="8" borderId="3" xfId="0" applyNumberFormat="1" applyFont="1" applyFill="1" applyBorder="1" applyAlignment="1">
      <alignment vertical="center"/>
    </xf>
    <xf numFmtId="4" fontId="2" fillId="8" borderId="1" xfId="0" applyNumberFormat="1" applyFont="1" applyFill="1" applyBorder="1" applyAlignment="1">
      <alignment vertical="center"/>
    </xf>
    <xf numFmtId="4" fontId="21" fillId="2" borderId="16" xfId="0" applyNumberFormat="1" applyFont="1" applyFill="1" applyBorder="1" applyAlignment="1">
      <alignment horizontal="center" vertical="center"/>
    </xf>
    <xf numFmtId="10" fontId="1" fillId="2" borderId="17" xfId="0" applyNumberFormat="1" applyFont="1" applyFill="1" applyBorder="1" applyAlignment="1">
      <alignment horizontal="center" vertical="center"/>
    </xf>
    <xf numFmtId="10" fontId="1" fillId="3" borderId="17" xfId="0" applyNumberFormat="1" applyFont="1" applyFill="1" applyBorder="1" applyAlignment="1">
      <alignment horizontal="center" vertical="center"/>
    </xf>
    <xf numFmtId="4" fontId="1" fillId="2" borderId="18" xfId="0" applyNumberFormat="1" applyFont="1" applyFill="1" applyBorder="1" applyAlignment="1">
      <alignment horizontal="center" vertical="center"/>
    </xf>
    <xf numFmtId="0" fontId="1" fillId="2" borderId="0" xfId="0" applyFont="1" applyFill="1"/>
    <xf numFmtId="2" fontId="1" fillId="6" borderId="13" xfId="0" applyNumberFormat="1" applyFont="1" applyFill="1" applyBorder="1" applyAlignment="1">
      <alignment horizontal="center" vertical="center"/>
    </xf>
    <xf numFmtId="4" fontId="1" fillId="6" borderId="13" xfId="0" applyNumberFormat="1" applyFont="1" applyFill="1" applyBorder="1" applyAlignment="1">
      <alignment horizontal="center" vertical="center"/>
    </xf>
    <xf numFmtId="4" fontId="1" fillId="6" borderId="0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vertical="center"/>
    </xf>
    <xf numFmtId="0" fontId="1" fillId="3" borderId="17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 wrapText="1"/>
    </xf>
    <xf numFmtId="4" fontId="1" fillId="5" borderId="2" xfId="0" applyNumberFormat="1" applyFont="1" applyFill="1" applyBorder="1" applyAlignment="1">
      <alignment horizontal="right" vertical="center"/>
    </xf>
    <xf numFmtId="10" fontId="1" fillId="5" borderId="2" xfId="0" applyNumberFormat="1" applyFont="1" applyFill="1" applyBorder="1" applyAlignment="1">
      <alignment horizontal="right" vertical="center"/>
    </xf>
    <xf numFmtId="4" fontId="1" fillId="0" borderId="6" xfId="0" applyNumberFormat="1" applyFont="1" applyFill="1" applyBorder="1" applyAlignment="1">
      <alignment horizontal="right" vertical="center"/>
    </xf>
    <xf numFmtId="4" fontId="1" fillId="0" borderId="9" xfId="0" applyNumberFormat="1" applyFont="1" applyFill="1" applyBorder="1" applyAlignment="1">
      <alignment horizontal="right" vertical="center"/>
    </xf>
    <xf numFmtId="0" fontId="1" fillId="2" borderId="11" xfId="0" applyFont="1" applyFill="1" applyBorder="1"/>
    <xf numFmtId="0" fontId="1" fillId="2" borderId="15" xfId="0" applyFont="1" applyFill="1" applyBorder="1"/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right" vertical="center"/>
    </xf>
    <xf numFmtId="164" fontId="1" fillId="0" borderId="6" xfId="0" applyNumberFormat="1" applyFont="1" applyFill="1" applyBorder="1" applyAlignment="1">
      <alignment horizontal="right" vertical="center"/>
    </xf>
    <xf numFmtId="4" fontId="1" fillId="2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4" fontId="12" fillId="9" borderId="16" xfId="0" applyNumberFormat="1" applyFont="1" applyFill="1" applyBorder="1" applyAlignment="1">
      <alignment horizontal="left" vertical="center"/>
    </xf>
    <xf numFmtId="4" fontId="1" fillId="2" borderId="16" xfId="0" applyNumberFormat="1" applyFont="1" applyFill="1" applyBorder="1" applyAlignment="1">
      <alignment vertical="center"/>
    </xf>
    <xf numFmtId="4" fontId="12" fillId="9" borderId="17" xfId="0" applyNumberFormat="1" applyFont="1" applyFill="1" applyBorder="1" applyAlignment="1">
      <alignment horizontal="left" vertical="center"/>
    </xf>
    <xf numFmtId="0" fontId="1" fillId="2" borderId="17" xfId="0" applyFont="1" applyFill="1" applyBorder="1" applyAlignment="1">
      <alignment vertical="center"/>
    </xf>
    <xf numFmtId="10" fontId="12" fillId="9" borderId="17" xfId="0" applyNumberFormat="1" applyFont="1" applyFill="1" applyBorder="1" applyAlignment="1">
      <alignment horizontal="left" vertical="center"/>
    </xf>
    <xf numFmtId="4" fontId="12" fillId="9" borderId="18" xfId="0" applyNumberFormat="1" applyFont="1" applyFill="1" applyBorder="1" applyAlignment="1">
      <alignment horizontal="left" vertical="center"/>
    </xf>
    <xf numFmtId="4" fontId="1" fillId="2" borderId="18" xfId="0" applyNumberFormat="1" applyFont="1" applyFill="1" applyBorder="1" applyAlignment="1">
      <alignment vertical="center"/>
    </xf>
    <xf numFmtId="0" fontId="1" fillId="2" borderId="16" xfId="0" applyFont="1" applyFill="1" applyBorder="1" applyAlignment="1">
      <alignment vertical="center"/>
    </xf>
    <xf numFmtId="10" fontId="1" fillId="9" borderId="17" xfId="0" applyNumberFormat="1" applyFont="1" applyFill="1" applyBorder="1" applyAlignment="1">
      <alignment horizontal="center" vertical="center"/>
    </xf>
    <xf numFmtId="4" fontId="1" fillId="9" borderId="18" xfId="0" applyNumberFormat="1" applyFont="1" applyFill="1" applyBorder="1" applyAlignment="1">
      <alignment horizontal="center" vertical="center"/>
    </xf>
    <xf numFmtId="4" fontId="21" fillId="9" borderId="16" xfId="0" applyNumberFormat="1" applyFont="1" applyFill="1" applyBorder="1" applyAlignment="1">
      <alignment horizontal="center" vertical="center"/>
    </xf>
    <xf numFmtId="0" fontId="1" fillId="9" borderId="17" xfId="0" applyFont="1" applyFill="1" applyBorder="1" applyAlignment="1">
      <alignment vertical="center"/>
    </xf>
    <xf numFmtId="4" fontId="12" fillId="9" borderId="7" xfId="0" applyNumberFormat="1" applyFont="1" applyFill="1" applyBorder="1" applyAlignment="1">
      <alignment horizontal="left" vertical="center"/>
    </xf>
    <xf numFmtId="10" fontId="12" fillId="9" borderId="7" xfId="0" applyNumberFormat="1" applyFont="1" applyFill="1" applyBorder="1" applyAlignment="1">
      <alignment horizontal="left" vertical="center"/>
    </xf>
    <xf numFmtId="4" fontId="12" fillId="9" borderId="8" xfId="0" applyNumberFormat="1" applyFont="1" applyFill="1" applyBorder="1" applyAlignment="1">
      <alignment horizontal="left" vertical="center"/>
    </xf>
    <xf numFmtId="4" fontId="1" fillId="0" borderId="0" xfId="0" applyNumberFormat="1" applyFont="1" applyFill="1" applyAlignment="1">
      <alignment vertical="center"/>
    </xf>
    <xf numFmtId="0" fontId="4" fillId="5" borderId="5" xfId="0" applyFont="1" applyFill="1" applyBorder="1" applyAlignment="1">
      <alignment horizontal="right" vertical="center"/>
    </xf>
    <xf numFmtId="0" fontId="4" fillId="5" borderId="6" xfId="0" applyFont="1" applyFill="1" applyBorder="1" applyAlignment="1">
      <alignment horizontal="right" vertical="center"/>
    </xf>
    <xf numFmtId="0" fontId="4" fillId="5" borderId="12" xfId="0" applyFont="1" applyFill="1" applyBorder="1" applyAlignment="1">
      <alignment horizontal="right" vertical="center"/>
    </xf>
    <xf numFmtId="0" fontId="7" fillId="0" borderId="0" xfId="0" applyFont="1" applyFill="1"/>
    <xf numFmtId="0" fontId="7" fillId="2" borderId="9" xfId="0" applyFont="1" applyFill="1" applyBorder="1"/>
    <xf numFmtId="0" fontId="7" fillId="2" borderId="0" xfId="0" applyFont="1" applyFill="1"/>
    <xf numFmtId="0" fontId="7" fillId="2" borderId="0" xfId="0" applyFont="1" applyFill="1" applyBorder="1"/>
    <xf numFmtId="0" fontId="7" fillId="2" borderId="14" xfId="0" applyFont="1" applyFill="1" applyBorder="1"/>
    <xf numFmtId="0" fontId="7" fillId="2" borderId="13" xfId="0" applyFont="1" applyFill="1" applyBorder="1" applyAlignment="1"/>
    <xf numFmtId="0" fontId="7" fillId="2" borderId="15" xfId="0" applyFont="1" applyFill="1" applyBorder="1" applyAlignment="1"/>
    <xf numFmtId="0" fontId="7" fillId="2" borderId="13" xfId="0" applyFont="1" applyFill="1" applyBorder="1"/>
    <xf numFmtId="0" fontId="3" fillId="4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4" fillId="5" borderId="6" xfId="0" applyFont="1" applyFill="1" applyBorder="1" applyAlignment="1">
      <alignment horizontal="right" vertical="center"/>
    </xf>
    <xf numFmtId="10" fontId="1" fillId="9" borderId="3" xfId="0" applyNumberFormat="1" applyFont="1" applyFill="1" applyBorder="1" applyAlignment="1">
      <alignment horizontal="center" vertical="center"/>
    </xf>
    <xf numFmtId="0" fontId="1" fillId="9" borderId="3" xfId="0" applyFont="1" applyFill="1" applyBorder="1" applyAlignment="1">
      <alignment vertical="center"/>
    </xf>
    <xf numFmtId="4" fontId="1" fillId="9" borderId="3" xfId="0" applyNumberFormat="1" applyFont="1" applyFill="1" applyBorder="1" applyAlignment="1">
      <alignment horizontal="center" vertical="center"/>
    </xf>
    <xf numFmtId="4" fontId="21" fillId="9" borderId="3" xfId="0" applyNumberFormat="1" applyFont="1" applyFill="1" applyBorder="1" applyAlignment="1">
      <alignment horizontal="center" vertical="center"/>
    </xf>
    <xf numFmtId="10" fontId="18" fillId="9" borderId="3" xfId="0" applyNumberFormat="1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vertical="center"/>
    </xf>
    <xf numFmtId="4" fontId="18" fillId="9" borderId="3" xfId="0" applyNumberFormat="1" applyFont="1" applyFill="1" applyBorder="1" applyAlignment="1">
      <alignment horizontal="center" vertical="center"/>
    </xf>
    <xf numFmtId="4" fontId="1" fillId="9" borderId="3" xfId="0" applyNumberFormat="1" applyFont="1" applyFill="1" applyBorder="1" applyAlignment="1">
      <alignment vertical="center"/>
    </xf>
    <xf numFmtId="4" fontId="17" fillId="5" borderId="8" xfId="0" applyNumberFormat="1" applyFont="1" applyFill="1" applyBorder="1" applyAlignment="1">
      <alignment vertical="center"/>
    </xf>
    <xf numFmtId="4" fontId="17" fillId="5" borderId="13" xfId="0" applyNumberFormat="1" applyFont="1" applyFill="1" applyBorder="1" applyAlignment="1">
      <alignment vertical="center"/>
    </xf>
    <xf numFmtId="4" fontId="1" fillId="9" borderId="3" xfId="0" applyNumberFormat="1" applyFont="1" applyFill="1" applyBorder="1" applyAlignment="1">
      <alignment horizontal="right" vertical="center"/>
    </xf>
    <xf numFmtId="10" fontId="1" fillId="9" borderId="3" xfId="0" applyNumberFormat="1" applyFont="1" applyFill="1" applyBorder="1" applyAlignment="1">
      <alignment horizontal="right" vertical="center"/>
    </xf>
    <xf numFmtId="4" fontId="1" fillId="9" borderId="0" xfId="0" applyNumberFormat="1" applyFont="1" applyFill="1" applyBorder="1" applyAlignment="1">
      <alignment horizontal="right" vertical="center"/>
    </xf>
    <xf numFmtId="4" fontId="16" fillId="0" borderId="0" xfId="0" applyNumberFormat="1" applyFont="1" applyFill="1" applyBorder="1" applyAlignment="1">
      <alignment vertical="center"/>
    </xf>
    <xf numFmtId="0" fontId="24" fillId="9" borderId="3" xfId="0" applyFont="1" applyFill="1" applyBorder="1" applyAlignment="1">
      <alignment horizontal="center" vertical="center"/>
    </xf>
    <xf numFmtId="17" fontId="19" fillId="9" borderId="3" xfId="0" applyNumberFormat="1" applyFont="1" applyFill="1" applyBorder="1" applyAlignment="1">
      <alignment horizontal="center" vertical="center"/>
    </xf>
    <xf numFmtId="4" fontId="18" fillId="9" borderId="3" xfId="0" applyNumberFormat="1" applyFont="1" applyFill="1" applyBorder="1" applyAlignment="1">
      <alignment vertical="center"/>
    </xf>
    <xf numFmtId="0" fontId="1" fillId="9" borderId="0" xfId="0" applyFont="1" applyFill="1"/>
    <xf numFmtId="0" fontId="7" fillId="9" borderId="0" xfId="0" applyFont="1" applyFill="1" applyBorder="1"/>
    <xf numFmtId="4" fontId="16" fillId="9" borderId="0" xfId="0" applyNumberFormat="1" applyFont="1" applyFill="1" applyBorder="1" applyAlignment="1">
      <alignment vertical="center"/>
    </xf>
    <xf numFmtId="0" fontId="1" fillId="9" borderId="9" xfId="0" applyFont="1" applyFill="1" applyBorder="1"/>
    <xf numFmtId="0" fontId="1" fillId="9" borderId="13" xfId="0" applyFont="1" applyFill="1" applyBorder="1"/>
    <xf numFmtId="0" fontId="4" fillId="5" borderId="6" xfId="0" applyFont="1" applyFill="1" applyBorder="1" applyAlignment="1">
      <alignment horizontal="right" vertical="center"/>
    </xf>
    <xf numFmtId="2" fontId="0" fillId="2" borderId="0" xfId="0" applyNumberFormat="1" applyFill="1" applyAlignment="1">
      <alignment vertical="center"/>
    </xf>
    <xf numFmtId="4" fontId="1" fillId="9" borderId="0" xfId="0" applyNumberFormat="1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17" fontId="4" fillId="9" borderId="3" xfId="0" applyNumberFormat="1" applyFont="1" applyFill="1" applyBorder="1" applyAlignment="1">
      <alignment horizontal="center" vertical="center"/>
    </xf>
    <xf numFmtId="0" fontId="7" fillId="9" borderId="0" xfId="0" applyFont="1" applyFill="1" applyBorder="1" applyAlignment="1"/>
    <xf numFmtId="4" fontId="1" fillId="2" borderId="4" xfId="0" applyNumberFormat="1" applyFont="1" applyFill="1" applyBorder="1" applyAlignment="1">
      <alignment vertical="center"/>
    </xf>
    <xf numFmtId="4" fontId="1" fillId="2" borderId="3" xfId="0" applyNumberFormat="1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9" borderId="16" xfId="0" applyFont="1" applyFill="1" applyBorder="1" applyAlignment="1">
      <alignment vertical="center"/>
    </xf>
    <xf numFmtId="4" fontId="1" fillId="9" borderId="18" xfId="0" applyNumberFormat="1" applyFont="1" applyFill="1" applyBorder="1" applyAlignment="1">
      <alignment vertical="center"/>
    </xf>
    <xf numFmtId="10" fontId="1" fillId="2" borderId="3" xfId="3" applyNumberFormat="1" applyFont="1" applyFill="1" applyBorder="1" applyAlignment="1">
      <alignment vertical="center"/>
    </xf>
    <xf numFmtId="4" fontId="1" fillId="2" borderId="0" xfId="0" applyNumberFormat="1" applyFont="1" applyFill="1"/>
    <xf numFmtId="4" fontId="1" fillId="0" borderId="0" xfId="0" applyNumberFormat="1" applyFont="1" applyFill="1" applyBorder="1" applyAlignment="1">
      <alignment vertical="center"/>
    </xf>
    <xf numFmtId="4" fontId="21" fillId="0" borderId="0" xfId="0" applyNumberFormat="1" applyFont="1" applyFill="1" applyAlignment="1">
      <alignment vertical="center"/>
    </xf>
    <xf numFmtId="4" fontId="26" fillId="0" borderId="0" xfId="0" applyNumberFormat="1" applyFont="1" applyFill="1" applyAlignment="1">
      <alignment vertical="center"/>
    </xf>
    <xf numFmtId="4" fontId="27" fillId="0" borderId="0" xfId="0" applyNumberFormat="1" applyFont="1" applyFill="1" applyAlignment="1">
      <alignment vertical="center"/>
    </xf>
    <xf numFmtId="4" fontId="27" fillId="5" borderId="2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4" fontId="28" fillId="5" borderId="6" xfId="0" applyNumberFormat="1" applyFont="1" applyFill="1" applyBorder="1" applyAlignment="1">
      <alignment vertical="center" wrapText="1"/>
    </xf>
    <xf numFmtId="4" fontId="24" fillId="5" borderId="6" xfId="0" applyNumberFormat="1" applyFont="1" applyFill="1" applyBorder="1" applyAlignment="1">
      <alignment vertical="center" wrapText="1"/>
    </xf>
    <xf numFmtId="0" fontId="7" fillId="2" borderId="4" xfId="0" applyFont="1" applyFill="1" applyBorder="1"/>
    <xf numFmtId="0" fontId="7" fillId="2" borderId="3" xfId="0" applyFont="1" applyFill="1" applyBorder="1"/>
    <xf numFmtId="0" fontId="7" fillId="2" borderId="1" xfId="0" applyFont="1" applyFill="1" applyBorder="1"/>
    <xf numFmtId="0" fontId="3" fillId="2" borderId="3" xfId="0" applyFont="1" applyFill="1" applyBorder="1" applyAlignment="1">
      <alignment horizontal="center"/>
    </xf>
    <xf numFmtId="0" fontId="7" fillId="2" borderId="9" xfId="0" applyFont="1" applyFill="1" applyBorder="1" applyAlignment="1"/>
    <xf numFmtId="0" fontId="7" fillId="2" borderId="11" xfId="0" applyFont="1" applyFill="1" applyBorder="1" applyAlignment="1"/>
    <xf numFmtId="0" fontId="7" fillId="2" borderId="0" xfId="0" applyFont="1" applyFill="1" applyBorder="1" applyAlignment="1"/>
    <xf numFmtId="0" fontId="7" fillId="2" borderId="14" xfId="0" applyFont="1" applyFill="1" applyBorder="1" applyAlignment="1"/>
    <xf numFmtId="0" fontId="7" fillId="9" borderId="14" xfId="0" applyFont="1" applyFill="1" applyBorder="1" applyAlignment="1"/>
    <xf numFmtId="0" fontId="7" fillId="2" borderId="7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right" vertical="center"/>
    </xf>
    <xf numFmtId="4" fontId="7" fillId="2" borderId="0" xfId="0" applyNumberFormat="1" applyFont="1" applyFill="1" applyBorder="1" applyAlignment="1">
      <alignment vertical="center"/>
    </xf>
    <xf numFmtId="0" fontId="1" fillId="2" borderId="0" xfId="0" applyFont="1" applyFill="1" applyBorder="1"/>
    <xf numFmtId="0" fontId="1" fillId="9" borderId="0" xfId="0" applyFont="1" applyFill="1" applyBorder="1"/>
    <xf numFmtId="0" fontId="1" fillId="2" borderId="14" xfId="0" applyFont="1" applyFill="1" applyBorder="1"/>
    <xf numFmtId="4" fontId="29" fillId="2" borderId="0" xfId="0" applyNumberFormat="1" applyFont="1" applyFill="1"/>
    <xf numFmtId="10" fontId="1" fillId="2" borderId="0" xfId="0" applyNumberFormat="1" applyFont="1" applyFill="1"/>
    <xf numFmtId="10" fontId="21" fillId="2" borderId="0" xfId="0" applyNumberFormat="1" applyFont="1" applyFill="1"/>
    <xf numFmtId="10" fontId="1" fillId="2" borderId="0" xfId="3" applyNumberFormat="1" applyFont="1" applyFill="1"/>
    <xf numFmtId="4" fontId="1" fillId="2" borderId="13" xfId="0" applyNumberFormat="1" applyFont="1" applyFill="1" applyBorder="1"/>
    <xf numFmtId="0" fontId="32" fillId="2" borderId="0" xfId="2" applyFont="1" applyFill="1" applyAlignment="1">
      <alignment vertical="center"/>
    </xf>
    <xf numFmtId="0" fontId="33" fillId="2" borderId="0" xfId="2" applyFont="1" applyFill="1" applyAlignment="1">
      <alignment vertical="center"/>
    </xf>
    <xf numFmtId="10" fontId="7" fillId="2" borderId="0" xfId="2" applyNumberFormat="1" applyFill="1" applyAlignment="1">
      <alignment vertical="center"/>
    </xf>
    <xf numFmtId="0" fontId="4" fillId="5" borderId="6" xfId="0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17" fontId="4" fillId="7" borderId="3" xfId="0" applyNumberFormat="1" applyFont="1" applyFill="1" applyBorder="1" applyAlignment="1">
      <alignment horizontal="center" vertical="center"/>
    </xf>
    <xf numFmtId="17" fontId="4" fillId="9" borderId="13" xfId="0" applyNumberFormat="1" applyFont="1" applyFill="1" applyBorder="1" applyAlignment="1">
      <alignment horizontal="center" vertical="center"/>
    </xf>
    <xf numFmtId="4" fontId="1" fillId="5" borderId="6" xfId="0" applyNumberFormat="1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/>
    </xf>
    <xf numFmtId="4" fontId="25" fillId="0" borderId="13" xfId="0" applyNumberFormat="1" applyFont="1" applyFill="1" applyBorder="1" applyAlignment="1">
      <alignment horizontal="center" vertical="center"/>
    </xf>
    <xf numFmtId="4" fontId="12" fillId="0" borderId="13" xfId="0" applyNumberFormat="1" applyFont="1" applyFill="1" applyBorder="1" applyAlignment="1">
      <alignment horizontal="right" vertical="center"/>
    </xf>
    <xf numFmtId="4" fontId="12" fillId="9" borderId="13" xfId="0" applyNumberFormat="1" applyFont="1" applyFill="1" applyBorder="1" applyAlignment="1">
      <alignment horizontal="left" vertical="center"/>
    </xf>
    <xf numFmtId="4" fontId="1" fillId="2" borderId="13" xfId="0" applyNumberFormat="1" applyFont="1" applyFill="1" applyBorder="1" applyAlignment="1">
      <alignment horizontal="center" vertical="center"/>
    </xf>
    <xf numFmtId="4" fontId="18" fillId="9" borderId="0" xfId="0" applyNumberFormat="1" applyFont="1" applyFill="1" applyBorder="1" applyAlignment="1">
      <alignment horizontal="center" vertical="center"/>
    </xf>
    <xf numFmtId="4" fontId="1" fillId="9" borderId="13" xfId="0" applyNumberFormat="1" applyFont="1" applyFill="1" applyBorder="1" applyAlignment="1">
      <alignment horizontal="center" vertical="center"/>
    </xf>
    <xf numFmtId="4" fontId="1" fillId="2" borderId="13" xfId="0" applyNumberFormat="1" applyFont="1" applyFill="1" applyBorder="1" applyAlignment="1">
      <alignment vertical="center"/>
    </xf>
    <xf numFmtId="4" fontId="1" fillId="2" borderId="0" xfId="0" applyNumberFormat="1" applyFont="1" applyFill="1" applyBorder="1" applyAlignment="1">
      <alignment vertical="center"/>
    </xf>
    <xf numFmtId="4" fontId="1" fillId="0" borderId="0" xfId="0" applyNumberFormat="1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center" vertical="center"/>
    </xf>
    <xf numFmtId="4" fontId="25" fillId="0" borderId="0" xfId="0" applyNumberFormat="1" applyFont="1" applyFill="1" applyBorder="1" applyAlignment="1">
      <alignment horizontal="center" vertical="center"/>
    </xf>
    <xf numFmtId="4" fontId="12" fillId="0" borderId="0" xfId="0" applyNumberFormat="1" applyFont="1" applyFill="1" applyBorder="1" applyAlignment="1">
      <alignment horizontal="right" vertical="center"/>
    </xf>
    <xf numFmtId="4" fontId="12" fillId="9" borderId="0" xfId="0" applyNumberFormat="1" applyFont="1" applyFill="1" applyBorder="1" applyAlignment="1">
      <alignment horizontal="left" vertical="center"/>
    </xf>
    <xf numFmtId="4" fontId="1" fillId="2" borderId="0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4" fontId="1" fillId="9" borderId="1" xfId="0" applyNumberFormat="1" applyFont="1" applyFill="1" applyBorder="1" applyAlignment="1">
      <alignment horizontal="center" vertical="center"/>
    </xf>
    <xf numFmtId="165" fontId="1" fillId="2" borderId="13" xfId="0" applyNumberFormat="1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left" vertical="center"/>
    </xf>
    <xf numFmtId="0" fontId="2" fillId="0" borderId="13" xfId="0" applyFont="1" applyFill="1" applyBorder="1" applyAlignment="1">
      <alignment horizontal="center" vertical="center"/>
    </xf>
    <xf numFmtId="165" fontId="1" fillId="0" borderId="13" xfId="0" applyNumberFormat="1" applyFont="1" applyFill="1" applyBorder="1" applyAlignment="1">
      <alignment horizontal="left" vertic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0" fontId="2" fillId="0" borderId="16" xfId="3" applyNumberFormat="1" applyFont="1" applyBorder="1"/>
    <xf numFmtId="0" fontId="1" fillId="0" borderId="16" xfId="0" applyFont="1" applyBorder="1" applyAlignment="1">
      <alignment horizontal="center"/>
    </xf>
    <xf numFmtId="4" fontId="2" fillId="0" borderId="13" xfId="0" applyNumberFormat="1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left" vertical="center"/>
    </xf>
    <xf numFmtId="4" fontId="2" fillId="0" borderId="0" xfId="0" applyNumberFormat="1" applyFont="1" applyFill="1" applyBorder="1" applyAlignment="1">
      <alignment horizontal="center" vertical="center"/>
    </xf>
    <xf numFmtId="164" fontId="1" fillId="2" borderId="13" xfId="0" applyNumberFormat="1" applyFont="1" applyFill="1" applyBorder="1" applyAlignment="1">
      <alignment horizontal="left" vertical="center"/>
    </xf>
    <xf numFmtId="4" fontId="2" fillId="0" borderId="4" xfId="0" applyNumberFormat="1" applyFont="1" applyFill="1" applyBorder="1" applyAlignment="1">
      <alignment vertical="center"/>
    </xf>
    <xf numFmtId="4" fontId="2" fillId="0" borderId="3" xfId="0" applyNumberFormat="1" applyFont="1" applyFill="1" applyBorder="1" applyAlignment="1">
      <alignment vertical="center"/>
    </xf>
    <xf numFmtId="4" fontId="12" fillId="0" borderId="0" xfId="0" applyNumberFormat="1" applyFont="1" applyFill="1" applyBorder="1" applyAlignment="1">
      <alignment horizontal="center" vertical="center"/>
    </xf>
    <xf numFmtId="4" fontId="12" fillId="0" borderId="13" xfId="0" applyNumberFormat="1" applyFont="1" applyFill="1" applyBorder="1" applyAlignment="1">
      <alignment horizontal="center" vertical="center"/>
    </xf>
    <xf numFmtId="4" fontId="18" fillId="9" borderId="4" xfId="0" applyNumberFormat="1" applyFont="1" applyFill="1" applyBorder="1" applyAlignment="1">
      <alignment horizontal="center" vertical="center"/>
    </xf>
    <xf numFmtId="4" fontId="18" fillId="9" borderId="1" xfId="0" applyNumberFormat="1" applyFont="1" applyFill="1" applyBorder="1" applyAlignment="1">
      <alignment horizontal="center" vertical="center"/>
    </xf>
    <xf numFmtId="4" fontId="2" fillId="0" borderId="13" xfId="0" applyNumberFormat="1" applyFont="1" applyFill="1" applyBorder="1" applyAlignment="1">
      <alignment vertical="center"/>
    </xf>
    <xf numFmtId="4" fontId="12" fillId="0" borderId="13" xfId="0" applyNumberFormat="1" applyFont="1" applyFill="1" applyBorder="1" applyAlignment="1">
      <alignment vertical="center"/>
    </xf>
    <xf numFmtId="4" fontId="2" fillId="0" borderId="18" xfId="0" applyNumberFormat="1" applyFont="1" applyBorder="1"/>
    <xf numFmtId="4" fontId="1" fillId="9" borderId="0" xfId="0" applyNumberFormat="1" applyFont="1" applyFill="1" applyBorder="1" applyAlignment="1">
      <alignment vertical="center"/>
    </xf>
    <xf numFmtId="4" fontId="2" fillId="0" borderId="0" xfId="0" applyNumberFormat="1" applyFont="1" applyFill="1" applyBorder="1" applyAlignment="1">
      <alignment vertical="center"/>
    </xf>
    <xf numFmtId="4" fontId="12" fillId="0" borderId="0" xfId="0" applyNumberFormat="1" applyFont="1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4" fontId="1" fillId="9" borderId="13" xfId="0" applyNumberFormat="1" applyFont="1" applyFill="1" applyBorder="1" applyAlignment="1">
      <alignment vertical="center"/>
    </xf>
    <xf numFmtId="165" fontId="2" fillId="2" borderId="0" xfId="0" applyNumberFormat="1" applyFont="1" applyFill="1" applyBorder="1" applyAlignment="1">
      <alignment horizontal="left" vertical="center"/>
    </xf>
    <xf numFmtId="4" fontId="1" fillId="9" borderId="1" xfId="0" applyNumberFormat="1" applyFont="1" applyFill="1" applyBorder="1" applyAlignment="1">
      <alignment vertical="center"/>
    </xf>
    <xf numFmtId="4" fontId="17" fillId="5" borderId="6" xfId="0" applyNumberFormat="1" applyFont="1" applyFill="1" applyBorder="1" applyAlignment="1">
      <alignment vertical="center"/>
    </xf>
    <xf numFmtId="165" fontId="2" fillId="2" borderId="9" xfId="0" applyNumberFormat="1" applyFont="1" applyFill="1" applyBorder="1" applyAlignment="1">
      <alignment horizontal="left" vertical="center"/>
    </xf>
    <xf numFmtId="4" fontId="1" fillId="0" borderId="0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4" fontId="27" fillId="0" borderId="0" xfId="0" applyNumberFormat="1" applyFont="1" applyFill="1" applyBorder="1" applyAlignment="1">
      <alignment vertical="center"/>
    </xf>
    <xf numFmtId="4" fontId="26" fillId="0" borderId="0" xfId="0" applyNumberFormat="1" applyFont="1" applyFill="1" applyBorder="1" applyAlignment="1">
      <alignment vertical="center"/>
    </xf>
    <xf numFmtId="4" fontId="2" fillId="9" borderId="1" xfId="0" applyNumberFormat="1" applyFont="1" applyFill="1" applyBorder="1" applyAlignment="1">
      <alignment horizontal="right" vertical="center"/>
    </xf>
    <xf numFmtId="170" fontId="4" fillId="7" borderId="1" xfId="0" applyNumberFormat="1" applyFont="1" applyFill="1" applyBorder="1" applyAlignment="1">
      <alignment horizontal="center" vertical="center"/>
    </xf>
    <xf numFmtId="10" fontId="1" fillId="0" borderId="16" xfId="3" applyNumberFormat="1" applyFont="1" applyBorder="1"/>
    <xf numFmtId="4" fontId="1" fillId="0" borderId="1" xfId="0" applyNumberFormat="1" applyFont="1" applyBorder="1"/>
    <xf numFmtId="4" fontId="21" fillId="9" borderId="16" xfId="0" applyNumberFormat="1" applyFont="1" applyFill="1" applyBorder="1" applyAlignment="1">
      <alignment horizontal="right" vertical="center"/>
    </xf>
    <xf numFmtId="10" fontId="1" fillId="9" borderId="17" xfId="0" applyNumberFormat="1" applyFont="1" applyFill="1" applyBorder="1" applyAlignment="1">
      <alignment horizontal="right" vertical="center"/>
    </xf>
    <xf numFmtId="4" fontId="1" fillId="9" borderId="18" xfId="0" applyNumberFormat="1" applyFont="1" applyFill="1" applyBorder="1" applyAlignment="1">
      <alignment horizontal="right" vertical="center"/>
    </xf>
    <xf numFmtId="4" fontId="21" fillId="2" borderId="16" xfId="0" applyNumberFormat="1" applyFont="1" applyFill="1" applyBorder="1" applyAlignment="1">
      <alignment horizontal="right" vertical="center"/>
    </xf>
    <xf numFmtId="10" fontId="1" fillId="2" borderId="17" xfId="0" applyNumberFormat="1" applyFont="1" applyFill="1" applyBorder="1" applyAlignment="1">
      <alignment horizontal="right" vertical="center"/>
    </xf>
    <xf numFmtId="10" fontId="1" fillId="3" borderId="17" xfId="0" applyNumberFormat="1" applyFont="1" applyFill="1" applyBorder="1" applyAlignment="1">
      <alignment horizontal="right" vertical="center"/>
    </xf>
    <xf numFmtId="4" fontId="1" fillId="2" borderId="18" xfId="0" applyNumberFormat="1" applyFont="1" applyFill="1" applyBorder="1" applyAlignment="1">
      <alignment horizontal="right" vertical="center"/>
    </xf>
    <xf numFmtId="4" fontId="1" fillId="2" borderId="0" xfId="0" applyNumberFormat="1" applyFont="1" applyFill="1" applyBorder="1" applyAlignment="1">
      <alignment horizontal="right" vertical="center"/>
    </xf>
    <xf numFmtId="10" fontId="1" fillId="0" borderId="16" xfId="3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1" fillId="0" borderId="0" xfId="0" applyFont="1" applyAlignment="1">
      <alignment horizontal="right"/>
    </xf>
    <xf numFmtId="4" fontId="1" fillId="0" borderId="15" xfId="0" applyNumberFormat="1" applyFont="1" applyBorder="1" applyAlignment="1">
      <alignment horizontal="right"/>
    </xf>
    <xf numFmtId="4" fontId="21" fillId="0" borderId="16" xfId="0" applyNumberFormat="1" applyFont="1" applyFill="1" applyBorder="1" applyAlignment="1">
      <alignment horizontal="center" vertical="center"/>
    </xf>
    <xf numFmtId="4" fontId="1" fillId="2" borderId="2" xfId="0" applyNumberFormat="1" applyFont="1" applyFill="1" applyBorder="1" applyAlignment="1">
      <alignment vertical="center"/>
    </xf>
    <xf numFmtId="4" fontId="23" fillId="2" borderId="0" xfId="0" applyNumberFormat="1" applyFont="1" applyFill="1" applyAlignment="1">
      <alignment vertical="center"/>
    </xf>
    <xf numFmtId="0" fontId="1" fillId="0" borderId="0" xfId="0" applyFont="1"/>
    <xf numFmtId="4" fontId="1" fillId="2" borderId="9" xfId="0" applyNumberFormat="1" applyFont="1" applyFill="1" applyBorder="1" applyAlignment="1">
      <alignment vertical="center"/>
    </xf>
    <xf numFmtId="10" fontId="1" fillId="0" borderId="11" xfId="3" applyNumberFormat="1" applyFont="1" applyBorder="1"/>
    <xf numFmtId="4" fontId="1" fillId="0" borderId="15" xfId="0" applyNumberFormat="1" applyFont="1" applyBorder="1"/>
    <xf numFmtId="4" fontId="1" fillId="0" borderId="18" xfId="0" applyNumberFormat="1" applyFont="1" applyBorder="1"/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/>
    <xf numFmtId="4" fontId="12" fillId="0" borderId="1" xfId="0" applyNumberFormat="1" applyFont="1" applyFill="1" applyBorder="1" applyAlignment="1">
      <alignment horizontal="left" vertical="center"/>
    </xf>
    <xf numFmtId="4" fontId="1" fillId="0" borderId="18" xfId="0" applyNumberFormat="1" applyFont="1" applyFill="1" applyBorder="1" applyAlignment="1">
      <alignment horizontal="right" vertical="center"/>
    </xf>
    <xf numFmtId="4" fontId="1" fillId="0" borderId="3" xfId="0" applyNumberFormat="1" applyFont="1" applyFill="1" applyBorder="1" applyAlignment="1">
      <alignment horizontal="center" vertical="center"/>
    </xf>
    <xf numFmtId="4" fontId="1" fillId="0" borderId="18" xfId="0" applyNumberFormat="1" applyFont="1" applyFill="1" applyBorder="1" applyAlignment="1">
      <alignment horizontal="center" vertical="center"/>
    </xf>
    <xf numFmtId="4" fontId="1" fillId="0" borderId="18" xfId="0" applyNumberFormat="1" applyFont="1" applyFill="1" applyBorder="1" applyAlignment="1">
      <alignment vertical="center"/>
    </xf>
    <xf numFmtId="4" fontId="1" fillId="0" borderId="3" xfId="0" applyNumberFormat="1" applyFont="1" applyFill="1" applyBorder="1" applyAlignment="1">
      <alignment vertical="center"/>
    </xf>
    <xf numFmtId="4" fontId="1" fillId="0" borderId="1" xfId="0" applyNumberFormat="1" applyFont="1" applyFill="1" applyBorder="1" applyAlignment="1">
      <alignment vertical="center"/>
    </xf>
    <xf numFmtId="4" fontId="1" fillId="0" borderId="13" xfId="0" applyNumberFormat="1" applyFont="1" applyFill="1" applyBorder="1" applyAlignment="1">
      <alignment vertical="center"/>
    </xf>
    <xf numFmtId="4" fontId="12" fillId="0" borderId="3" xfId="0" applyNumberFormat="1" applyFont="1" applyFill="1" applyBorder="1" applyAlignment="1">
      <alignment horizontal="left" vertical="center"/>
    </xf>
    <xf numFmtId="4" fontId="21" fillId="0" borderId="3" xfId="0" applyNumberFormat="1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4" fontId="1" fillId="0" borderId="4" xfId="0" applyNumberFormat="1" applyFont="1" applyFill="1" applyBorder="1" applyAlignment="1">
      <alignment vertical="center"/>
    </xf>
    <xf numFmtId="4" fontId="1" fillId="0" borderId="2" xfId="0" applyNumberFormat="1" applyFont="1" applyFill="1" applyBorder="1" applyAlignment="1">
      <alignment vertical="center"/>
    </xf>
    <xf numFmtId="4" fontId="12" fillId="0" borderId="18" xfId="0" applyNumberFormat="1" applyFont="1" applyFill="1" applyBorder="1" applyAlignment="1">
      <alignment horizontal="left" vertical="center"/>
    </xf>
    <xf numFmtId="4" fontId="18" fillId="0" borderId="3" xfId="0" applyNumberFormat="1" applyFont="1" applyFill="1" applyBorder="1" applyAlignment="1">
      <alignment vertical="center"/>
    </xf>
    <xf numFmtId="4" fontId="12" fillId="0" borderId="16" xfId="0" applyNumberFormat="1" applyFont="1" applyFill="1" applyBorder="1" applyAlignment="1">
      <alignment horizontal="left" vertical="center"/>
    </xf>
    <xf numFmtId="0" fontId="18" fillId="0" borderId="3" xfId="0" applyFont="1" applyFill="1" applyBorder="1" applyAlignment="1">
      <alignment vertical="center"/>
    </xf>
    <xf numFmtId="4" fontId="1" fillId="0" borderId="1" xfId="0" applyNumberFormat="1" applyFont="1" applyFill="1" applyBorder="1" applyAlignment="1">
      <alignment horizontal="right" vertical="center"/>
    </xf>
    <xf numFmtId="10" fontId="1" fillId="0" borderId="0" xfId="3" applyNumberFormat="1" applyFont="1"/>
    <xf numFmtId="10" fontId="1" fillId="0" borderId="3" xfId="3" applyNumberFormat="1" applyFont="1" applyBorder="1"/>
    <xf numFmtId="4" fontId="1" fillId="0" borderId="3" xfId="0" applyNumberFormat="1" applyFont="1" applyBorder="1"/>
    <xf numFmtId="169" fontId="1" fillId="2" borderId="18" xfId="0" applyNumberFormat="1" applyFont="1" applyFill="1" applyBorder="1" applyAlignment="1">
      <alignment horizontal="center" vertical="center"/>
    </xf>
    <xf numFmtId="4" fontId="1" fillId="6" borderId="12" xfId="0" applyNumberFormat="1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vertical="center" wrapText="1"/>
    </xf>
    <xf numFmtId="4" fontId="1" fillId="2" borderId="12" xfId="0" applyNumberFormat="1" applyFont="1" applyFill="1" applyBorder="1" applyAlignment="1">
      <alignment vertical="center"/>
    </xf>
    <xf numFmtId="4" fontId="1" fillId="2" borderId="11" xfId="0" applyNumberFormat="1" applyFont="1" applyFill="1" applyBorder="1" applyAlignment="1">
      <alignment vertical="center"/>
    </xf>
    <xf numFmtId="4" fontId="1" fillId="2" borderId="14" xfId="0" applyNumberFormat="1" applyFont="1" applyFill="1" applyBorder="1" applyAlignment="1">
      <alignment vertical="center"/>
    </xf>
    <xf numFmtId="4" fontId="1" fillId="2" borderId="15" xfId="0" applyNumberFormat="1" applyFont="1" applyFill="1" applyBorder="1" applyAlignment="1">
      <alignment vertical="center"/>
    </xf>
    <xf numFmtId="4" fontId="1" fillId="2" borderId="11" xfId="0" applyNumberFormat="1" applyFont="1" applyFill="1" applyBorder="1" applyAlignment="1">
      <alignment horizontal="center" vertical="center"/>
    </xf>
    <xf numFmtId="4" fontId="1" fillId="2" borderId="14" xfId="0" applyNumberFormat="1" applyFont="1" applyFill="1" applyBorder="1" applyAlignment="1">
      <alignment horizontal="center" vertical="center"/>
    </xf>
    <xf numFmtId="4" fontId="1" fillId="2" borderId="15" xfId="0" applyNumberFormat="1" applyFont="1" applyFill="1" applyBorder="1" applyAlignment="1">
      <alignment horizontal="center" vertical="center"/>
    </xf>
    <xf numFmtId="4" fontId="17" fillId="5" borderId="15" xfId="0" applyNumberFormat="1" applyFont="1" applyFill="1" applyBorder="1" applyAlignment="1">
      <alignment vertical="center"/>
    </xf>
    <xf numFmtId="4" fontId="1" fillId="2" borderId="12" xfId="0" applyNumberFormat="1" applyFont="1" applyFill="1" applyBorder="1" applyAlignment="1">
      <alignment horizontal="center" vertical="center"/>
    </xf>
    <xf numFmtId="4" fontId="16" fillId="0" borderId="12" xfId="0" applyNumberFormat="1" applyFont="1" applyFill="1" applyBorder="1" applyAlignment="1">
      <alignment vertical="center"/>
    </xf>
    <xf numFmtId="4" fontId="1" fillId="9" borderId="1" xfId="0" applyNumberFormat="1" applyFont="1" applyFill="1" applyBorder="1" applyAlignment="1">
      <alignment horizontal="right" vertical="center"/>
    </xf>
    <xf numFmtId="4" fontId="1" fillId="9" borderId="4" xfId="0" applyNumberFormat="1" applyFont="1" applyFill="1" applyBorder="1" applyAlignment="1">
      <alignment vertical="center"/>
    </xf>
    <xf numFmtId="0" fontId="7" fillId="2" borderId="7" xfId="0" applyFont="1" applyFill="1" applyBorder="1" applyAlignment="1">
      <alignment horizontal="right" vertical="center"/>
    </xf>
    <xf numFmtId="4" fontId="18" fillId="10" borderId="2" xfId="0" applyNumberFormat="1" applyFont="1" applyFill="1" applyBorder="1" applyAlignment="1">
      <alignment vertical="center"/>
    </xf>
    <xf numFmtId="4" fontId="21" fillId="0" borderId="4" xfId="0" applyNumberFormat="1" applyFont="1" applyFill="1" applyBorder="1" applyAlignment="1">
      <alignment vertical="center"/>
    </xf>
    <xf numFmtId="4" fontId="0" fillId="2" borderId="0" xfId="0" applyNumberFormat="1" applyFill="1" applyAlignment="1">
      <alignment horizontal="right"/>
    </xf>
    <xf numFmtId="169" fontId="1" fillId="0" borderId="4" xfId="0" applyNumberFormat="1" applyFont="1" applyFill="1" applyBorder="1" applyAlignment="1">
      <alignment vertical="center"/>
    </xf>
    <xf numFmtId="0" fontId="6" fillId="7" borderId="4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10" fontId="18" fillId="10" borderId="2" xfId="3" applyNumberFormat="1" applyFont="1" applyFill="1" applyBorder="1" applyAlignment="1">
      <alignment vertical="center"/>
    </xf>
    <xf numFmtId="4" fontId="21" fillId="2" borderId="4" xfId="0" applyNumberFormat="1" applyFont="1" applyFill="1" applyBorder="1" applyAlignment="1">
      <alignment horizontal="right" vertical="center"/>
    </xf>
    <xf numFmtId="4" fontId="0" fillId="2" borderId="0" xfId="0" applyNumberFormat="1" applyFill="1" applyAlignment="1">
      <alignment vertical="center"/>
    </xf>
    <xf numFmtId="0" fontId="6" fillId="7" borderId="4" xfId="0" applyFont="1" applyFill="1" applyBorder="1" applyAlignment="1">
      <alignment horizontal="center" vertical="center"/>
    </xf>
    <xf numFmtId="4" fontId="1" fillId="0" borderId="1" xfId="0" applyNumberFormat="1" applyFont="1" applyFill="1" applyBorder="1" applyAlignment="1">
      <alignment horizontal="right" vertical="center"/>
    </xf>
    <xf numFmtId="169" fontId="1" fillId="9" borderId="1" xfId="0" applyNumberFormat="1" applyFont="1" applyFill="1" applyBorder="1" applyAlignment="1">
      <alignment horizontal="right" vertical="center"/>
    </xf>
    <xf numFmtId="171" fontId="21" fillId="0" borderId="4" xfId="0" applyNumberFormat="1" applyFont="1" applyFill="1" applyBorder="1" applyAlignment="1">
      <alignment vertical="center"/>
    </xf>
    <xf numFmtId="171" fontId="1" fillId="9" borderId="1" xfId="0" applyNumberFormat="1" applyFont="1" applyFill="1" applyBorder="1" applyAlignment="1">
      <alignment horizontal="right" vertical="center"/>
    </xf>
    <xf numFmtId="171" fontId="1" fillId="0" borderId="4" xfId="0" applyNumberFormat="1" applyFont="1" applyFill="1" applyBorder="1" applyAlignment="1">
      <alignment vertical="center"/>
    </xf>
    <xf numFmtId="171" fontId="1" fillId="2" borderId="1" xfId="0" applyNumberFormat="1" applyFont="1" applyFill="1" applyBorder="1" applyAlignment="1">
      <alignment vertical="center"/>
    </xf>
    <xf numFmtId="171" fontId="1" fillId="2" borderId="18" xfId="0" applyNumberFormat="1" applyFont="1" applyFill="1" applyBorder="1" applyAlignment="1">
      <alignment horizontal="center" vertical="center"/>
    </xf>
    <xf numFmtId="172" fontId="1" fillId="0" borderId="4" xfId="0" applyNumberFormat="1" applyFont="1" applyFill="1" applyBorder="1" applyAlignment="1">
      <alignment vertical="center"/>
    </xf>
    <xf numFmtId="172" fontId="21" fillId="2" borderId="16" xfId="0" applyNumberFormat="1" applyFont="1" applyFill="1" applyBorder="1" applyAlignment="1">
      <alignment horizontal="center" vertical="center"/>
    </xf>
    <xf numFmtId="173" fontId="1" fillId="2" borderId="4" xfId="0" applyNumberFormat="1" applyFont="1" applyFill="1" applyBorder="1" applyAlignment="1">
      <alignment vertical="center"/>
    </xf>
    <xf numFmtId="172" fontId="1" fillId="2" borderId="4" xfId="0" applyNumberFormat="1" applyFont="1" applyFill="1" applyBorder="1" applyAlignment="1">
      <alignment vertical="center"/>
    </xf>
    <xf numFmtId="0" fontId="3" fillId="5" borderId="4" xfId="2" applyFont="1" applyFill="1" applyBorder="1" applyAlignment="1">
      <alignment horizontal="center" vertical="center" wrapText="1"/>
    </xf>
    <xf numFmtId="0" fontId="3" fillId="5" borderId="1" xfId="2" applyFont="1" applyFill="1" applyBorder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165" fontId="1" fillId="2" borderId="4" xfId="0" applyNumberFormat="1" applyFont="1" applyFill="1" applyBorder="1" applyAlignment="1">
      <alignment horizontal="left" vertical="center"/>
    </xf>
    <xf numFmtId="165" fontId="1" fillId="2" borderId="3" xfId="0" applyNumberFormat="1" applyFont="1" applyFill="1" applyBorder="1" applyAlignment="1">
      <alignment horizontal="left" vertical="center"/>
    </xf>
    <xf numFmtId="165" fontId="1" fillId="2" borderId="1" xfId="0" applyNumberFormat="1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" fontId="25" fillId="0" borderId="4" xfId="0" applyNumberFormat="1" applyFont="1" applyFill="1" applyBorder="1" applyAlignment="1">
      <alignment horizontal="center" vertical="center"/>
    </xf>
    <xf numFmtId="4" fontId="25" fillId="0" borderId="3" xfId="0" applyNumberFormat="1" applyFont="1" applyFill="1" applyBorder="1" applyAlignment="1">
      <alignment horizontal="center" vertical="center"/>
    </xf>
    <xf numFmtId="4" fontId="25" fillId="0" borderId="1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164" fontId="1" fillId="2" borderId="10" xfId="0" applyNumberFormat="1" applyFont="1" applyFill="1" applyBorder="1" applyAlignment="1">
      <alignment horizontal="left" vertical="center"/>
    </xf>
    <xf numFmtId="164" fontId="1" fillId="2" borderId="7" xfId="0" applyNumberFormat="1" applyFont="1" applyFill="1" applyBorder="1" applyAlignment="1">
      <alignment horizontal="left" vertical="center"/>
    </xf>
    <xf numFmtId="164" fontId="1" fillId="2" borderId="8" xfId="0" applyNumberFormat="1" applyFont="1" applyFill="1" applyBorder="1" applyAlignment="1">
      <alignment horizontal="left" vertical="center"/>
    </xf>
    <xf numFmtId="165" fontId="1" fillId="2" borderId="10" xfId="0" applyNumberFormat="1" applyFont="1" applyFill="1" applyBorder="1" applyAlignment="1">
      <alignment horizontal="left" vertical="center"/>
    </xf>
    <xf numFmtId="165" fontId="1" fillId="2" borderId="7" xfId="0" applyNumberFormat="1" applyFont="1" applyFill="1" applyBorder="1" applyAlignment="1">
      <alignment horizontal="left" vertical="center"/>
    </xf>
    <xf numFmtId="165" fontId="1" fillId="2" borderId="8" xfId="0" applyNumberFormat="1" applyFont="1" applyFill="1" applyBorder="1" applyAlignment="1">
      <alignment horizontal="left" vertical="center"/>
    </xf>
    <xf numFmtId="4" fontId="25" fillId="0" borderId="11" xfId="0" applyNumberFormat="1" applyFont="1" applyFill="1" applyBorder="1" applyAlignment="1">
      <alignment horizontal="center" vertical="center"/>
    </xf>
    <xf numFmtId="4" fontId="25" fillId="0" borderId="14" xfId="0" applyNumberFormat="1" applyFont="1" applyFill="1" applyBorder="1" applyAlignment="1">
      <alignment horizontal="center" vertical="center"/>
    </xf>
    <xf numFmtId="4" fontId="25" fillId="0" borderId="15" xfId="0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right" vertical="center"/>
    </xf>
    <xf numFmtId="0" fontId="4" fillId="5" borderId="6" xfId="0" applyFont="1" applyFill="1" applyBorder="1" applyAlignment="1">
      <alignment horizontal="right" vertical="center"/>
    </xf>
    <xf numFmtId="0" fontId="4" fillId="5" borderId="12" xfId="0" applyFont="1" applyFill="1" applyBorder="1" applyAlignment="1">
      <alignment horizontal="right" vertical="center"/>
    </xf>
    <xf numFmtId="4" fontId="2" fillId="8" borderId="4" xfId="0" applyNumberFormat="1" applyFont="1" applyFill="1" applyBorder="1" applyAlignment="1">
      <alignment horizontal="center" vertical="center"/>
    </xf>
    <xf numFmtId="4" fontId="2" fillId="8" borderId="3" xfId="0" applyNumberFormat="1" applyFont="1" applyFill="1" applyBorder="1" applyAlignment="1">
      <alignment horizontal="center" vertical="center"/>
    </xf>
    <xf numFmtId="4" fontId="2" fillId="8" borderId="1" xfId="0" applyNumberFormat="1" applyFont="1" applyFill="1" applyBorder="1" applyAlignment="1">
      <alignment horizontal="center" vertical="center"/>
    </xf>
    <xf numFmtId="4" fontId="1" fillId="0" borderId="11" xfId="0" applyNumberFormat="1" applyFont="1" applyFill="1" applyBorder="1" applyAlignment="1">
      <alignment horizontal="center" vertical="center"/>
    </xf>
    <xf numFmtId="4" fontId="1" fillId="0" borderId="14" xfId="0" applyNumberFormat="1" applyFont="1" applyFill="1" applyBorder="1" applyAlignment="1">
      <alignment horizontal="center" vertical="center"/>
    </xf>
    <xf numFmtId="4" fontId="1" fillId="0" borderId="15" xfId="0" applyNumberFormat="1" applyFont="1" applyFill="1" applyBorder="1" applyAlignment="1">
      <alignment horizontal="center" vertical="center"/>
    </xf>
    <xf numFmtId="4" fontId="1" fillId="0" borderId="4" xfId="0" applyNumberFormat="1" applyFont="1" applyFill="1" applyBorder="1" applyAlignment="1">
      <alignment horizontal="right" vertical="center"/>
    </xf>
    <xf numFmtId="0" fontId="1" fillId="0" borderId="3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5" fillId="2" borderId="0" xfId="0" applyFont="1" applyFill="1" applyAlignment="1">
      <alignment horizontal="center"/>
    </xf>
    <xf numFmtId="4" fontId="12" fillId="8" borderId="4" xfId="0" applyNumberFormat="1" applyFont="1" applyFill="1" applyBorder="1" applyAlignment="1">
      <alignment horizontal="center" vertical="center"/>
    </xf>
    <xf numFmtId="4" fontId="12" fillId="8" borderId="3" xfId="0" applyNumberFormat="1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4" fontId="12" fillId="8" borderId="1" xfId="0" applyNumberFormat="1" applyFont="1" applyFill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0" fontId="34" fillId="0" borderId="9" xfId="0" applyFont="1" applyBorder="1" applyAlignment="1">
      <alignment horizontal="center" vertical="center"/>
    </xf>
    <xf numFmtId="0" fontId="34" fillId="0" borderId="11" xfId="0" applyFont="1" applyBorder="1" applyAlignment="1">
      <alignment horizontal="center" vertical="center"/>
    </xf>
    <xf numFmtId="0" fontId="34" fillId="0" borderId="8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 vertical="center"/>
    </xf>
    <xf numFmtId="0" fontId="34" fillId="0" borderId="15" xfId="0" applyFont="1" applyBorder="1" applyAlignment="1">
      <alignment horizontal="center" vertical="center"/>
    </xf>
    <xf numFmtId="4" fontId="1" fillId="0" borderId="3" xfId="0" applyNumberFormat="1" applyFont="1" applyFill="1" applyBorder="1" applyAlignment="1">
      <alignment horizontal="center" vertical="center"/>
    </xf>
    <xf numFmtId="4" fontId="1" fillId="0" borderId="1" xfId="0" applyNumberFormat="1" applyFont="1" applyFill="1" applyBorder="1" applyAlignment="1">
      <alignment horizontal="center" vertical="center"/>
    </xf>
    <xf numFmtId="4" fontId="1" fillId="0" borderId="3" xfId="0" applyNumberFormat="1" applyFont="1" applyFill="1" applyBorder="1" applyAlignment="1">
      <alignment horizontal="right" vertical="center"/>
    </xf>
    <xf numFmtId="4" fontId="1" fillId="0" borderId="1" xfId="0" applyNumberFormat="1" applyFont="1" applyFill="1" applyBorder="1" applyAlignment="1">
      <alignment horizontal="right" vertical="center"/>
    </xf>
    <xf numFmtId="4" fontId="1" fillId="0" borderId="11" xfId="0" applyNumberFormat="1" applyFont="1" applyFill="1" applyBorder="1" applyAlignment="1">
      <alignment horizontal="right" vertical="center"/>
    </xf>
    <xf numFmtId="4" fontId="1" fillId="0" borderId="14" xfId="0" applyNumberFormat="1" applyFont="1" applyFill="1" applyBorder="1" applyAlignment="1">
      <alignment horizontal="right" vertical="center"/>
    </xf>
    <xf numFmtId="4" fontId="1" fillId="0" borderId="15" xfId="0" applyNumberFormat="1" applyFont="1" applyFill="1" applyBorder="1" applyAlignment="1">
      <alignment horizontal="right" vertical="center"/>
    </xf>
    <xf numFmtId="0" fontId="4" fillId="7" borderId="4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6" fillId="7" borderId="9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vertical="center" wrapText="1"/>
    </xf>
    <xf numFmtId="0" fontId="4" fillId="7" borderId="12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6" fillId="7" borderId="8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7" fillId="2" borderId="10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</cellXfs>
  <cellStyles count="5">
    <cellStyle name="Euro" xfId="1"/>
    <cellStyle name="Normal" xfId="0" builtinId="0"/>
    <cellStyle name="Normal 2" xfId="2"/>
    <cellStyle name="Normal 3" xfId="4"/>
    <cellStyle name="Porcentual" xfId="3" builtinId="5"/>
  </cellStyles>
  <dxfs count="0"/>
  <tableStyles count="0" defaultTableStyle="TableStyleMedium9" defaultPivotStyle="PivotStyleLight16"/>
  <colors>
    <mruColors>
      <color rgb="FFFFFF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BO"/>
  <c:chart>
    <c:title>
      <c:tx>
        <c:rich>
          <a:bodyPr/>
          <a:lstStyle/>
          <a:p>
            <a:pPr>
              <a:defRPr lang="es-ES"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FLUJO DE FONDOS</a:t>
            </a:r>
          </a:p>
        </c:rich>
      </c:tx>
      <c:layout/>
      <c:spPr>
        <a:noFill/>
        <a:ln w="25400">
          <a:noFill/>
        </a:ln>
      </c:spPr>
    </c:title>
    <c:plotArea>
      <c:layout/>
      <c:barChart>
        <c:barDir val="col"/>
        <c:grouping val="clustered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'GRA-FINANC.'!$B$6:$S$6</c:f>
              <c:strCache>
                <c:ptCount val="18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'GRA-FINANC.'!$B$6:$S$6</c:f>
              <c:strCache>
                <c:ptCount val="18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2"/>
          <c:order val="2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'GRA-FINANC.'!$B$6:$S$6</c:f>
              <c:strCache>
                <c:ptCount val="18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3"/>
          <c:order val="3"/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'GRA-FINANC.'!$B$6:$S$6</c:f>
              <c:strCache>
                <c:ptCount val="18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4"/>
          <c:order val="4"/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'GRA-FINANC.'!$B$6:$S$6</c:f>
              <c:strCache>
                <c:ptCount val="18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5"/>
          <c:order val="5"/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'GRA-FINANC.'!$B$6:$S$6</c:f>
              <c:strCache>
                <c:ptCount val="18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6"/>
          <c:order val="6"/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'GRA-FINANC.'!$B$6:$S$6</c:f>
              <c:strCache>
                <c:ptCount val="18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7"/>
          <c:order val="7"/>
          <c:spPr>
            <a:solidFill>
              <a:srgbClr val="CCCC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'GRA-FINANC.'!$B$6:$S$6</c:f>
              <c:strCache>
                <c:ptCount val="18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8"/>
          <c:order val="8"/>
          <c:spPr>
            <a:solidFill>
              <a:srgbClr val="00008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'GRA-FINANC.'!$B$6:$S$6</c:f>
              <c:strCache>
                <c:ptCount val="18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9"/>
          <c:order val="9"/>
          <c:spPr>
            <a:solidFill>
              <a:srgbClr val="FF00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'GRA-FINANC.'!$B$6:$S$6</c:f>
              <c:strCache>
                <c:ptCount val="18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0"/>
          <c:order val="10"/>
          <c:spPr>
            <a:solidFill>
              <a:srgbClr val="FFFF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'GRA-FINANC.'!$B$6:$S$6</c:f>
              <c:strCache>
                <c:ptCount val="18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1"/>
          <c:order val="11"/>
          <c:spPr>
            <a:solidFill>
              <a:srgbClr val="00FF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'GRA-FINANC.'!$B$6:$S$6</c:f>
              <c:strCache>
                <c:ptCount val="18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2"/>
          <c:order val="12"/>
          <c:spPr>
            <a:solidFill>
              <a:srgbClr val="80008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'GRA-FINANC.'!$B$6:$S$6</c:f>
              <c:strCache>
                <c:ptCount val="18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3"/>
          <c:order val="13"/>
          <c:spPr>
            <a:solidFill>
              <a:srgbClr val="80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'GRA-FINANC.'!$B$6:$S$6</c:f>
              <c:strCache>
                <c:ptCount val="18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4"/>
          <c:order val="14"/>
          <c:spPr>
            <a:solidFill>
              <a:srgbClr val="00808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'GRA-FINANC.'!$B$6:$S$6</c:f>
              <c:strCache>
                <c:ptCount val="18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5"/>
          <c:order val="15"/>
          <c:tx>
            <c:strRef>
              <c:f>'GRA-FINANC.'!$A$8:$A$8</c:f>
              <c:strCache>
                <c:ptCount val="1"/>
                <c:pt idx="0">
                  <c:v>PROGRAMADO</c:v>
                </c:pt>
              </c:strCache>
            </c:strRef>
          </c:tx>
          <c:spPr>
            <a:solidFill>
              <a:srgbClr val="0000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'GRA-FINANC.'!$B$6:$S$6</c:f>
              <c:strCache>
                <c:ptCount val="18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</c:strCache>
            </c:strRef>
          </c:cat>
          <c:val>
            <c:numRef>
              <c:f>'GRA-FINANC.'!$B$8:$S$8</c:f>
              <c:numCache>
                <c:formatCode>0.00</c:formatCode>
                <c:ptCount val="18"/>
              </c:numCache>
            </c:numRef>
          </c:val>
        </c:ser>
        <c:ser>
          <c:idx val="16"/>
          <c:order val="16"/>
          <c:tx>
            <c:strRef>
              <c:f>'GRA-FINANC.'!$A$14:$A$14</c:f>
              <c:strCache>
                <c:ptCount val="1"/>
                <c:pt idx="0">
                  <c:v>EJECUTADO MENSUAL (BS.):</c:v>
                </c:pt>
              </c:strCache>
            </c:strRef>
          </c:tx>
          <c:spPr>
            <a:solidFill>
              <a:srgbClr val="00CC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'GRA-FINANC.'!$B$6:$S$6</c:f>
              <c:strCache>
                <c:ptCount val="18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</c:strCache>
            </c:strRef>
          </c:cat>
          <c:val>
            <c:numRef>
              <c:f>'GRA-FINANC.'!$B$14:$S$14</c:f>
              <c:numCache>
                <c:formatCode>#,##0.00</c:formatCode>
                <c:ptCount val="18"/>
                <c:pt idx="0">
                  <c:v>0</c:v>
                </c:pt>
                <c:pt idx="1">
                  <c:v>77666.36</c:v>
                </c:pt>
                <c:pt idx="2">
                  <c:v>67986.929999999993</c:v>
                </c:pt>
                <c:pt idx="3">
                  <c:v>81681.27</c:v>
                </c:pt>
                <c:pt idx="4">
                  <c:v>85754.32</c:v>
                </c:pt>
                <c:pt idx="5">
                  <c:v>782177.68</c:v>
                </c:pt>
                <c:pt idx="6">
                  <c:v>2839990.9</c:v>
                </c:pt>
                <c:pt idx="7">
                  <c:v>3867198.57</c:v>
                </c:pt>
                <c:pt idx="8">
                  <c:v>3154343.54</c:v>
                </c:pt>
                <c:pt idx="9">
                  <c:v>1251047.49</c:v>
                </c:pt>
                <c:pt idx="10">
                  <c:v>1217725.48</c:v>
                </c:pt>
                <c:pt idx="11">
                  <c:v>129468.78</c:v>
                </c:pt>
                <c:pt idx="12">
                  <c:v>935930.37</c:v>
                </c:pt>
                <c:pt idx="13">
                  <c:v>720487.39</c:v>
                </c:pt>
                <c:pt idx="14">
                  <c:v>1257187.24</c:v>
                </c:pt>
                <c:pt idx="15">
                  <c:v>1867946.4</c:v>
                </c:pt>
                <c:pt idx="16">
                  <c:v>2072454.31</c:v>
                </c:pt>
              </c:numCache>
            </c:numRef>
          </c:val>
        </c:ser>
        <c:ser>
          <c:idx val="17"/>
          <c:order val="17"/>
          <c:tx>
            <c:strRef>
              <c:f>'GRA-FINANC.'!$A$15:$A$15</c:f>
              <c:strCache>
                <c:ptCount val="1"/>
                <c:pt idx="0">
                  <c:v>EJECUTADO ACUMULADO (BS.):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'GRA-FINANC.'!$B$6:$S$6</c:f>
              <c:strCache>
                <c:ptCount val="18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</c:strCache>
            </c:strRef>
          </c:cat>
          <c:val>
            <c:numRef>
              <c:f>'GRA-FINANC.'!$B$15:$S$15</c:f>
              <c:numCache>
                <c:formatCode>#,##0.00</c:formatCode>
                <c:ptCount val="18"/>
                <c:pt idx="0">
                  <c:v>0</c:v>
                </c:pt>
                <c:pt idx="1">
                  <c:v>77666.36</c:v>
                </c:pt>
                <c:pt idx="2">
                  <c:v>145653.29</c:v>
                </c:pt>
                <c:pt idx="3">
                  <c:v>227334.56</c:v>
                </c:pt>
                <c:pt idx="4">
                  <c:v>313088.88</c:v>
                </c:pt>
                <c:pt idx="5">
                  <c:v>1095266.56</c:v>
                </c:pt>
                <c:pt idx="6">
                  <c:v>3935257.46</c:v>
                </c:pt>
                <c:pt idx="7">
                  <c:v>7802456.0300000003</c:v>
                </c:pt>
                <c:pt idx="8">
                  <c:v>10956799.57</c:v>
                </c:pt>
                <c:pt idx="9">
                  <c:v>12207847.060000001</c:v>
                </c:pt>
                <c:pt idx="10">
                  <c:v>13425572.539999999</c:v>
                </c:pt>
                <c:pt idx="11">
                  <c:v>13555041.32</c:v>
                </c:pt>
                <c:pt idx="12">
                  <c:v>14490971.689999999</c:v>
                </c:pt>
                <c:pt idx="13">
                  <c:v>15211459.08</c:v>
                </c:pt>
                <c:pt idx="14">
                  <c:v>16468646.32</c:v>
                </c:pt>
                <c:pt idx="15">
                  <c:v>18336592.719999999</c:v>
                </c:pt>
                <c:pt idx="16">
                  <c:v>20409047.030000001</c:v>
                </c:pt>
              </c:numCache>
            </c:numRef>
          </c:val>
        </c:ser>
        <c:ser>
          <c:idx val="18"/>
          <c:order val="18"/>
          <c:spPr>
            <a:solidFill>
              <a:srgbClr val="CCFFCC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'GRA-FINANC.'!$B$6:$S$6</c:f>
              <c:strCache>
                <c:ptCount val="18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9"/>
          <c:order val="19"/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'GRA-FINANC.'!$B$6:$S$6</c:f>
              <c:strCache>
                <c:ptCount val="18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20"/>
          <c:order val="20"/>
          <c:spPr>
            <a:solidFill>
              <a:srgbClr val="99CCFF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'GRA-FINANC.'!$B$6:$S$6</c:f>
              <c:strCache>
                <c:ptCount val="18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21"/>
          <c:order val="21"/>
          <c:spPr>
            <a:solidFill>
              <a:srgbClr val="FF99CC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'GRA-FINANC.'!$B$6:$S$6</c:f>
              <c:strCache>
                <c:ptCount val="18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axId val="83802368"/>
        <c:axId val="83812352"/>
      </c:barChart>
      <c:catAx>
        <c:axId val="83802368"/>
        <c:scaling>
          <c:orientation val="minMax"/>
        </c:scaling>
        <c:axPos val="b"/>
        <c:numFmt formatCode="&quot;MES&quot;\ 0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BO"/>
          </a:p>
        </c:txPr>
        <c:crossAx val="83812352"/>
        <c:crosses val="autoZero"/>
        <c:lblAlgn val="ctr"/>
        <c:lblOffset val="100"/>
        <c:tickLblSkip val="1"/>
        <c:tickMarkSkip val="1"/>
      </c:catAx>
      <c:valAx>
        <c:axId val="83812352"/>
        <c:scaling>
          <c:orientation val="minMax"/>
        </c:scaling>
        <c:axPos val="r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BO"/>
          </a:p>
        </c:txPr>
        <c:crossAx val="83802368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txPr>
          <a:bodyPr/>
          <a:lstStyle/>
          <a:p>
            <a:pPr>
              <a:defRPr sz="62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BO"/>
          </a:p>
        </c:txPr>
      </c:legendEntry>
      <c:legendEntry>
        <c:idx val="8"/>
        <c:delete val="1"/>
      </c:legendEntry>
      <c:legendEntry>
        <c:idx val="9"/>
        <c:delete val="1"/>
      </c:legendEntry>
      <c:layout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lang="es-ES" sz="6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>
      <c:oddHeader>&amp;A</c:oddHeader>
      <c:oddFooter>Página &amp;P</c:oddFooter>
    </c:headerFooter>
    <c:pageMargins b="1" l="0.75000000000001021" r="0.75000000000001021" t="1" header="0.511811024" footer="0.51181102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BO"/>
  <c:chart>
    <c:title>
      <c:tx>
        <c:rich>
          <a:bodyPr/>
          <a:lstStyle/>
          <a:p>
            <a:pPr>
              <a:defRPr lang="es-ES" sz="14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ES"/>
              <a:t>G R A F I C O    D E     D E S E M B O L S O S</a:t>
            </a:r>
          </a:p>
        </c:rich>
      </c:tx>
      <c:layout>
        <c:manualLayout>
          <c:xMode val="edge"/>
          <c:yMode val="edge"/>
          <c:x val="0.42836786032345409"/>
          <c:y val="2.4186108894978433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8.0385964275695942E-2"/>
          <c:y val="9.5814127569273766E-2"/>
          <c:w val="0.80850416513732093"/>
          <c:h val="0.72000130814191154"/>
        </c:manualLayout>
      </c:layout>
      <c:barChart>
        <c:barDir val="col"/>
        <c:grouping val="clustered"/>
        <c:ser>
          <c:idx val="0"/>
          <c:order val="1"/>
          <c:tx>
            <c:strRef>
              <c:f>'GRA-FINANC.'!$A$14</c:f>
              <c:strCache>
                <c:ptCount val="1"/>
                <c:pt idx="0">
                  <c:v>EJECUTADO MENSUAL (BS.):</c:v>
                </c:pt>
              </c:strCache>
            </c:strRef>
          </c:tx>
          <c:spPr>
            <a:solidFill>
              <a:schemeClr val="accent1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'GRA-FINANC.'!$B$6:$AJ$6</c:f>
              <c:strCache>
                <c:ptCount val="35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  <c:pt idx="18">
                  <c:v>Cert Nº20</c:v>
                </c:pt>
                <c:pt idx="19">
                  <c:v>Cert Nº21</c:v>
                </c:pt>
                <c:pt idx="20">
                  <c:v>Cert Nº22</c:v>
                </c:pt>
                <c:pt idx="21">
                  <c:v>Cert Nº23</c:v>
                </c:pt>
                <c:pt idx="22">
                  <c:v>Cert Nº24</c:v>
                </c:pt>
                <c:pt idx="23">
                  <c:v>Cert Nº25</c:v>
                </c:pt>
                <c:pt idx="24">
                  <c:v>Cert Nº26</c:v>
                </c:pt>
                <c:pt idx="25">
                  <c:v>Cert Nº27</c:v>
                </c:pt>
                <c:pt idx="26">
                  <c:v>Cert Nº28</c:v>
                </c:pt>
                <c:pt idx="27">
                  <c:v>Cert Nº29</c:v>
                </c:pt>
                <c:pt idx="28">
                  <c:v>Cert Nº30</c:v>
                </c:pt>
                <c:pt idx="29">
                  <c:v>Cert Nº31</c:v>
                </c:pt>
                <c:pt idx="30">
                  <c:v>Cert Nº32</c:v>
                </c:pt>
                <c:pt idx="31">
                  <c:v>Cert Nº33</c:v>
                </c:pt>
                <c:pt idx="32">
                  <c:v>Cert-Año1</c:v>
                </c:pt>
                <c:pt idx="33">
                  <c:v>Cert-Año2</c:v>
                </c:pt>
                <c:pt idx="34">
                  <c:v>Cert-Año3</c:v>
                </c:pt>
              </c:strCache>
            </c:strRef>
          </c:cat>
          <c:val>
            <c:numRef>
              <c:f>'GRA-FINANC.'!$B$14:$AJ$14</c:f>
              <c:numCache>
                <c:formatCode>#,##0.00</c:formatCode>
                <c:ptCount val="35"/>
                <c:pt idx="0">
                  <c:v>0</c:v>
                </c:pt>
                <c:pt idx="1">
                  <c:v>77666.36</c:v>
                </c:pt>
                <c:pt idx="2">
                  <c:v>67986.929999999993</c:v>
                </c:pt>
                <c:pt idx="3">
                  <c:v>81681.27</c:v>
                </c:pt>
                <c:pt idx="4">
                  <c:v>85754.32</c:v>
                </c:pt>
                <c:pt idx="5">
                  <c:v>782177.68</c:v>
                </c:pt>
                <c:pt idx="6">
                  <c:v>2839990.9</c:v>
                </c:pt>
                <c:pt idx="7">
                  <c:v>3867198.57</c:v>
                </c:pt>
                <c:pt idx="8">
                  <c:v>3154343.54</c:v>
                </c:pt>
                <c:pt idx="9">
                  <c:v>1251047.49</c:v>
                </c:pt>
                <c:pt idx="10">
                  <c:v>1217725.48</c:v>
                </c:pt>
                <c:pt idx="11">
                  <c:v>129468.78</c:v>
                </c:pt>
                <c:pt idx="12">
                  <c:v>935930.37</c:v>
                </c:pt>
                <c:pt idx="13">
                  <c:v>720487.39</c:v>
                </c:pt>
                <c:pt idx="14">
                  <c:v>1257187.24</c:v>
                </c:pt>
                <c:pt idx="15">
                  <c:v>1867946.4</c:v>
                </c:pt>
                <c:pt idx="16">
                  <c:v>2072454.31</c:v>
                </c:pt>
              </c:numCache>
            </c:numRef>
          </c:val>
        </c:ser>
        <c:ser>
          <c:idx val="1"/>
          <c:order val="2"/>
          <c:tx>
            <c:strRef>
              <c:f>'GRA-FINANC.'!$A$9</c:f>
              <c:strCache>
                <c:ptCount val="1"/>
                <c:pt idx="0">
                  <c:v>PROGRAMADO MENSUAL (BS.):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cat>
            <c:strRef>
              <c:f>'GRA-FINANC.'!$B$6:$AJ$6</c:f>
              <c:strCache>
                <c:ptCount val="35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  <c:pt idx="18">
                  <c:v>Cert Nº20</c:v>
                </c:pt>
                <c:pt idx="19">
                  <c:v>Cert Nº21</c:v>
                </c:pt>
                <c:pt idx="20">
                  <c:v>Cert Nº22</c:v>
                </c:pt>
                <c:pt idx="21">
                  <c:v>Cert Nº23</c:v>
                </c:pt>
                <c:pt idx="22">
                  <c:v>Cert Nº24</c:v>
                </c:pt>
                <c:pt idx="23">
                  <c:v>Cert Nº25</c:v>
                </c:pt>
                <c:pt idx="24">
                  <c:v>Cert Nº26</c:v>
                </c:pt>
                <c:pt idx="25">
                  <c:v>Cert Nº27</c:v>
                </c:pt>
                <c:pt idx="26">
                  <c:v>Cert Nº28</c:v>
                </c:pt>
                <c:pt idx="27">
                  <c:v>Cert Nº29</c:v>
                </c:pt>
                <c:pt idx="28">
                  <c:v>Cert Nº30</c:v>
                </c:pt>
                <c:pt idx="29">
                  <c:v>Cert Nº31</c:v>
                </c:pt>
                <c:pt idx="30">
                  <c:v>Cert Nº32</c:v>
                </c:pt>
                <c:pt idx="31">
                  <c:v>Cert Nº33</c:v>
                </c:pt>
                <c:pt idx="32">
                  <c:v>Cert-Año1</c:v>
                </c:pt>
                <c:pt idx="33">
                  <c:v>Cert-Año2</c:v>
                </c:pt>
                <c:pt idx="34">
                  <c:v>Cert-Año3</c:v>
                </c:pt>
              </c:strCache>
            </c:strRef>
          </c:cat>
          <c:val>
            <c:numRef>
              <c:f>'GRA-FINANC.'!$B$9:$AJ$9</c:f>
              <c:numCache>
                <c:formatCode>#,##0.00</c:formatCode>
                <c:ptCount val="35"/>
                <c:pt idx="1">
                  <c:v>77666.36</c:v>
                </c:pt>
                <c:pt idx="2">
                  <c:v>67986.929999999993</c:v>
                </c:pt>
                <c:pt idx="3">
                  <c:v>81681.27</c:v>
                </c:pt>
                <c:pt idx="4">
                  <c:v>85754.32</c:v>
                </c:pt>
                <c:pt idx="5">
                  <c:v>782177.68</c:v>
                </c:pt>
                <c:pt idx="6">
                  <c:v>2839990.9</c:v>
                </c:pt>
                <c:pt idx="7">
                  <c:v>3867198.57</c:v>
                </c:pt>
                <c:pt idx="8">
                  <c:v>3154343.54</c:v>
                </c:pt>
                <c:pt idx="9">
                  <c:v>1251047.49</c:v>
                </c:pt>
                <c:pt idx="10">
                  <c:v>1217725.48</c:v>
                </c:pt>
                <c:pt idx="11">
                  <c:v>129468.78</c:v>
                </c:pt>
                <c:pt idx="12">
                  <c:v>935930.37</c:v>
                </c:pt>
                <c:pt idx="13">
                  <c:v>720487.39</c:v>
                </c:pt>
                <c:pt idx="14">
                  <c:v>1257187.24</c:v>
                </c:pt>
                <c:pt idx="15">
                  <c:v>1867946.4</c:v>
                </c:pt>
                <c:pt idx="16">
                  <c:v>5612044.0099999998</c:v>
                </c:pt>
                <c:pt idx="17">
                  <c:v>3801368.89</c:v>
                </c:pt>
                <c:pt idx="18">
                  <c:v>6224643.5599999996</c:v>
                </c:pt>
                <c:pt idx="19">
                  <c:v>8526568.3499999996</c:v>
                </c:pt>
                <c:pt idx="20">
                  <c:v>10676786.869999999</c:v>
                </c:pt>
                <c:pt idx="21">
                  <c:v>12837837.18</c:v>
                </c:pt>
                <c:pt idx="22">
                  <c:v>12721621.67</c:v>
                </c:pt>
                <c:pt idx="23">
                  <c:v>11582343.57</c:v>
                </c:pt>
                <c:pt idx="24">
                  <c:v>11865788.77</c:v>
                </c:pt>
                <c:pt idx="25">
                  <c:v>16873601.670000002</c:v>
                </c:pt>
                <c:pt idx="26">
                  <c:v>20203384.5</c:v>
                </c:pt>
                <c:pt idx="27">
                  <c:v>21281478.73</c:v>
                </c:pt>
                <c:pt idx="28">
                  <c:v>21295591.879999999</c:v>
                </c:pt>
                <c:pt idx="29">
                  <c:v>17657242.489999998</c:v>
                </c:pt>
                <c:pt idx="30">
                  <c:v>12188725.42</c:v>
                </c:pt>
                <c:pt idx="31">
                  <c:v>4291994.49</c:v>
                </c:pt>
                <c:pt idx="32">
                  <c:v>2739007.93</c:v>
                </c:pt>
                <c:pt idx="33">
                  <c:v>2739007.93</c:v>
                </c:pt>
                <c:pt idx="34">
                  <c:v>2739007.93</c:v>
                </c:pt>
              </c:numCache>
            </c:numRef>
          </c:val>
        </c:ser>
        <c:axId val="85203200"/>
        <c:axId val="85221760"/>
      </c:barChart>
      <c:lineChart>
        <c:grouping val="standard"/>
        <c:ser>
          <c:idx val="2"/>
          <c:order val="0"/>
          <c:tx>
            <c:strRef>
              <c:f>'GRA-FINANC.'!$A$15</c:f>
              <c:strCache>
                <c:ptCount val="1"/>
                <c:pt idx="0">
                  <c:v>EJECUTADO ACUMULADO (BS.):</c:v>
                </c:pt>
              </c:strCache>
            </c:strRef>
          </c:tx>
          <c:spPr>
            <a:ln w="38100">
              <a:solidFill>
                <a:srgbClr val="333399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'GRA-FINANC.'!$B$6:$AJ$6</c:f>
              <c:strCache>
                <c:ptCount val="35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  <c:pt idx="18">
                  <c:v>Cert Nº20</c:v>
                </c:pt>
                <c:pt idx="19">
                  <c:v>Cert Nº21</c:v>
                </c:pt>
                <c:pt idx="20">
                  <c:v>Cert Nº22</c:v>
                </c:pt>
                <c:pt idx="21">
                  <c:v>Cert Nº23</c:v>
                </c:pt>
                <c:pt idx="22">
                  <c:v>Cert Nº24</c:v>
                </c:pt>
                <c:pt idx="23">
                  <c:v>Cert Nº25</c:v>
                </c:pt>
                <c:pt idx="24">
                  <c:v>Cert Nº26</c:v>
                </c:pt>
                <c:pt idx="25">
                  <c:v>Cert Nº27</c:v>
                </c:pt>
                <c:pt idx="26">
                  <c:v>Cert Nº28</c:v>
                </c:pt>
                <c:pt idx="27">
                  <c:v>Cert Nº29</c:v>
                </c:pt>
                <c:pt idx="28">
                  <c:v>Cert Nº30</c:v>
                </c:pt>
                <c:pt idx="29">
                  <c:v>Cert Nº31</c:v>
                </c:pt>
                <c:pt idx="30">
                  <c:v>Cert Nº32</c:v>
                </c:pt>
                <c:pt idx="31">
                  <c:v>Cert Nº33</c:v>
                </c:pt>
                <c:pt idx="32">
                  <c:v>Cert-Año1</c:v>
                </c:pt>
                <c:pt idx="33">
                  <c:v>Cert-Año2</c:v>
                </c:pt>
                <c:pt idx="34">
                  <c:v>Cert-Año3</c:v>
                </c:pt>
              </c:strCache>
            </c:strRef>
          </c:cat>
          <c:val>
            <c:numRef>
              <c:f>'GRA-FINANC.'!$B$15:$AJ$15</c:f>
              <c:numCache>
                <c:formatCode>#,##0.00</c:formatCode>
                <c:ptCount val="35"/>
                <c:pt idx="0">
                  <c:v>0</c:v>
                </c:pt>
                <c:pt idx="1">
                  <c:v>77666.36</c:v>
                </c:pt>
                <c:pt idx="2">
                  <c:v>145653.29</c:v>
                </c:pt>
                <c:pt idx="3">
                  <c:v>227334.56</c:v>
                </c:pt>
                <c:pt idx="4">
                  <c:v>313088.88</c:v>
                </c:pt>
                <c:pt idx="5">
                  <c:v>1095266.56</c:v>
                </c:pt>
                <c:pt idx="6">
                  <c:v>3935257.46</c:v>
                </c:pt>
                <c:pt idx="7">
                  <c:v>7802456.0300000003</c:v>
                </c:pt>
                <c:pt idx="8">
                  <c:v>10956799.57</c:v>
                </c:pt>
                <c:pt idx="9">
                  <c:v>12207847.060000001</c:v>
                </c:pt>
                <c:pt idx="10">
                  <c:v>13425572.539999999</c:v>
                </c:pt>
                <c:pt idx="11">
                  <c:v>13555041.32</c:v>
                </c:pt>
                <c:pt idx="12">
                  <c:v>14490971.689999999</c:v>
                </c:pt>
                <c:pt idx="13">
                  <c:v>15211459.08</c:v>
                </c:pt>
                <c:pt idx="14">
                  <c:v>16468646.32</c:v>
                </c:pt>
                <c:pt idx="15">
                  <c:v>18336592.719999999</c:v>
                </c:pt>
                <c:pt idx="16">
                  <c:v>20409047.030000001</c:v>
                </c:pt>
              </c:numCache>
            </c:numRef>
          </c:val>
        </c:ser>
        <c:ser>
          <c:idx val="3"/>
          <c:order val="3"/>
          <c:tx>
            <c:strRef>
              <c:f>'GRA-FINANC.'!$A$10</c:f>
              <c:strCache>
                <c:ptCount val="1"/>
                <c:pt idx="0">
                  <c:v>DESEMBOLSO ACUMULADO (BS.):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FF0000"/>
              </a:solidFill>
            </c:spPr>
          </c:marker>
          <c:cat>
            <c:strRef>
              <c:f>'GRA-FINANC.'!$B$6:$AJ$6</c:f>
              <c:strCache>
                <c:ptCount val="35"/>
                <c:pt idx="0">
                  <c:v>Cert Nº1</c:v>
                </c:pt>
                <c:pt idx="1">
                  <c:v>Cert Nº2</c:v>
                </c:pt>
                <c:pt idx="2">
                  <c:v>Cert Nº3</c:v>
                </c:pt>
                <c:pt idx="3">
                  <c:v>Cert Nº4</c:v>
                </c:pt>
                <c:pt idx="4">
                  <c:v>Cert Nº5</c:v>
                </c:pt>
                <c:pt idx="5">
                  <c:v>Cert Nº6</c:v>
                </c:pt>
                <c:pt idx="6">
                  <c:v>Cert Nº7</c:v>
                </c:pt>
                <c:pt idx="7">
                  <c:v>Cert Nº9</c:v>
                </c:pt>
                <c:pt idx="8">
                  <c:v>Cert Nº10</c:v>
                </c:pt>
                <c:pt idx="9">
                  <c:v>Cert Nº11</c:v>
                </c:pt>
                <c:pt idx="10">
                  <c:v>Cert Nº12</c:v>
                </c:pt>
                <c:pt idx="11">
                  <c:v>Cert Nº13</c:v>
                </c:pt>
                <c:pt idx="12">
                  <c:v>Cert Nº14</c:v>
                </c:pt>
                <c:pt idx="13">
                  <c:v>Cert Nº15</c:v>
                </c:pt>
                <c:pt idx="14">
                  <c:v>Cert Nº16</c:v>
                </c:pt>
                <c:pt idx="15">
                  <c:v>Cert Nº17</c:v>
                </c:pt>
                <c:pt idx="16">
                  <c:v>Cert Nº18</c:v>
                </c:pt>
                <c:pt idx="17">
                  <c:v>Cert Nº19</c:v>
                </c:pt>
                <c:pt idx="18">
                  <c:v>Cert Nº20</c:v>
                </c:pt>
                <c:pt idx="19">
                  <c:v>Cert Nº21</c:v>
                </c:pt>
                <c:pt idx="20">
                  <c:v>Cert Nº22</c:v>
                </c:pt>
                <c:pt idx="21">
                  <c:v>Cert Nº23</c:v>
                </c:pt>
                <c:pt idx="22">
                  <c:v>Cert Nº24</c:v>
                </c:pt>
                <c:pt idx="23">
                  <c:v>Cert Nº25</c:v>
                </c:pt>
                <c:pt idx="24">
                  <c:v>Cert Nº26</c:v>
                </c:pt>
                <c:pt idx="25">
                  <c:v>Cert Nº27</c:v>
                </c:pt>
                <c:pt idx="26">
                  <c:v>Cert Nº28</c:v>
                </c:pt>
                <c:pt idx="27">
                  <c:v>Cert Nº29</c:v>
                </c:pt>
                <c:pt idx="28">
                  <c:v>Cert Nº30</c:v>
                </c:pt>
                <c:pt idx="29">
                  <c:v>Cert Nº31</c:v>
                </c:pt>
                <c:pt idx="30">
                  <c:v>Cert Nº32</c:v>
                </c:pt>
                <c:pt idx="31">
                  <c:v>Cert Nº33</c:v>
                </c:pt>
                <c:pt idx="32">
                  <c:v>Cert-Año1</c:v>
                </c:pt>
                <c:pt idx="33">
                  <c:v>Cert-Año2</c:v>
                </c:pt>
                <c:pt idx="34">
                  <c:v>Cert-Año3</c:v>
                </c:pt>
              </c:strCache>
            </c:strRef>
          </c:cat>
          <c:val>
            <c:numRef>
              <c:f>'GRA-FINANC.'!$B$10:$AJ$10</c:f>
              <c:numCache>
                <c:formatCode>#,##0.00</c:formatCode>
                <c:ptCount val="35"/>
                <c:pt idx="0">
                  <c:v>0</c:v>
                </c:pt>
                <c:pt idx="1">
                  <c:v>77666.36</c:v>
                </c:pt>
                <c:pt idx="2">
                  <c:v>145653.29</c:v>
                </c:pt>
                <c:pt idx="3">
                  <c:v>227334.56</c:v>
                </c:pt>
                <c:pt idx="4">
                  <c:v>313088.88</c:v>
                </c:pt>
                <c:pt idx="5">
                  <c:v>1095266.56</c:v>
                </c:pt>
                <c:pt idx="6">
                  <c:v>3935257.46</c:v>
                </c:pt>
                <c:pt idx="7">
                  <c:v>7802456.0300000003</c:v>
                </c:pt>
                <c:pt idx="8">
                  <c:v>10956799.57</c:v>
                </c:pt>
                <c:pt idx="9">
                  <c:v>12207847.060000001</c:v>
                </c:pt>
                <c:pt idx="10">
                  <c:v>13425572.539999999</c:v>
                </c:pt>
                <c:pt idx="11">
                  <c:v>13555041.32</c:v>
                </c:pt>
                <c:pt idx="12">
                  <c:v>14490971.689999999</c:v>
                </c:pt>
                <c:pt idx="13">
                  <c:v>15211459.08</c:v>
                </c:pt>
                <c:pt idx="14">
                  <c:v>16468646.32</c:v>
                </c:pt>
                <c:pt idx="15">
                  <c:v>18336592.719999999</c:v>
                </c:pt>
                <c:pt idx="16">
                  <c:v>23948636.73</c:v>
                </c:pt>
                <c:pt idx="17">
                  <c:v>27750005.620000001</c:v>
                </c:pt>
                <c:pt idx="18">
                  <c:v>33974649.18</c:v>
                </c:pt>
                <c:pt idx="19">
                  <c:v>42501217.530000001</c:v>
                </c:pt>
                <c:pt idx="20">
                  <c:v>53178004.399999999</c:v>
                </c:pt>
                <c:pt idx="21">
                  <c:v>66015841.579999998</c:v>
                </c:pt>
                <c:pt idx="22">
                  <c:v>78737463.25</c:v>
                </c:pt>
                <c:pt idx="23">
                  <c:v>90319806.819999993</c:v>
                </c:pt>
                <c:pt idx="24">
                  <c:v>102185595.59</c:v>
                </c:pt>
                <c:pt idx="25">
                  <c:v>119059197.26000001</c:v>
                </c:pt>
                <c:pt idx="26">
                  <c:v>139262581.75999999</c:v>
                </c:pt>
                <c:pt idx="27">
                  <c:v>160544060.49000001</c:v>
                </c:pt>
                <c:pt idx="28">
                  <c:v>181839652.37</c:v>
                </c:pt>
                <c:pt idx="29">
                  <c:v>199496894.86000001</c:v>
                </c:pt>
                <c:pt idx="30">
                  <c:v>211685620.28</c:v>
                </c:pt>
                <c:pt idx="31">
                  <c:v>215977614.77000001</c:v>
                </c:pt>
                <c:pt idx="32">
                  <c:v>218716622.69999999</c:v>
                </c:pt>
                <c:pt idx="33">
                  <c:v>221455630.63</c:v>
                </c:pt>
                <c:pt idx="34">
                  <c:v>224194638.56</c:v>
                </c:pt>
              </c:numCache>
            </c:numRef>
          </c:val>
        </c:ser>
        <c:marker val="1"/>
        <c:axId val="85223680"/>
        <c:axId val="85225472"/>
      </c:lineChart>
      <c:catAx>
        <c:axId val="85203200"/>
        <c:scaling>
          <c:orientation val="minMax"/>
        </c:scaling>
        <c:axPos val="b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BO"/>
          </a:p>
        </c:txPr>
        <c:crossAx val="85221760"/>
        <c:crosses val="autoZero"/>
        <c:lblAlgn val="ctr"/>
        <c:lblOffset val="100"/>
        <c:tickLblSkip val="1"/>
        <c:tickMarkSkip val="1"/>
      </c:catAx>
      <c:valAx>
        <c:axId val="85221760"/>
        <c:scaling>
          <c:orientation val="minMax"/>
        </c:scaling>
        <c:axPos val="l"/>
        <c:majorGridlines>
          <c:spPr>
            <a:ln w="3175">
              <a:solidFill>
                <a:srgbClr val="0000FF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lang="es-ES"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DESEMBOLSO MENSUAL
(BS.)</a:t>
                </a:r>
              </a:p>
            </c:rich>
          </c:tx>
          <c:layout>
            <c:manualLayout>
              <c:xMode val="edge"/>
              <c:yMode val="edge"/>
              <c:x val="1.6791731201998401E-2"/>
              <c:y val="0.34232622243805438"/>
            </c:manualLayout>
          </c:layout>
          <c:spPr>
            <a:noFill/>
            <a:ln w="25400">
              <a:noFill/>
            </a:ln>
          </c:spPr>
        </c:title>
        <c:numFmt formatCode="#,##0" sourceLinked="0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BO"/>
          </a:p>
        </c:txPr>
        <c:crossAx val="85203200"/>
        <c:crosses val="autoZero"/>
        <c:crossBetween val="between"/>
      </c:valAx>
      <c:catAx>
        <c:axId val="85223680"/>
        <c:scaling>
          <c:orientation val="minMax"/>
        </c:scaling>
        <c:delete val="1"/>
        <c:axPos val="b"/>
        <c:tickLblPos val="none"/>
        <c:crossAx val="85225472"/>
        <c:crosses val="autoZero"/>
        <c:lblAlgn val="ctr"/>
        <c:lblOffset val="100"/>
      </c:catAx>
      <c:valAx>
        <c:axId val="85225472"/>
        <c:scaling>
          <c:orientation val="minMax"/>
        </c:scaling>
        <c:axPos val="r"/>
        <c:title>
          <c:tx>
            <c:rich>
              <a:bodyPr/>
              <a:lstStyle/>
              <a:p>
                <a:pPr>
                  <a:defRPr lang="es-ES" sz="14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s-ES"/>
                  <a:t>DESEMBOLSO ACUMULADO
(BS.)</a:t>
                </a:r>
              </a:p>
            </c:rich>
          </c:tx>
          <c:layout>
            <c:manualLayout>
              <c:xMode val="edge"/>
              <c:yMode val="edge"/>
              <c:x val="0.95498526854691368"/>
              <c:y val="0.33302383017101284"/>
            </c:manualLayout>
          </c:layout>
          <c:spPr>
            <a:noFill/>
            <a:ln w="25400">
              <a:noFill/>
            </a:ln>
          </c:spPr>
        </c:title>
        <c:numFmt formatCode="#,##0" sourceLinked="0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s-ES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BO"/>
          </a:p>
        </c:txPr>
        <c:crossAx val="85223680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egendEntry>
        <c:idx val="0"/>
        <c:txPr>
          <a:bodyPr/>
          <a:lstStyle/>
          <a:p>
            <a:pPr>
              <a:defRPr sz="101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BO"/>
          </a:p>
        </c:txPr>
      </c:legendEntry>
      <c:legendEntry>
        <c:idx val="1"/>
        <c:txPr>
          <a:bodyPr/>
          <a:lstStyle/>
          <a:p>
            <a:pPr>
              <a:defRPr sz="101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BO"/>
          </a:p>
        </c:txPr>
      </c:legendEntry>
      <c:legendEntry>
        <c:idx val="2"/>
        <c:txPr>
          <a:bodyPr/>
          <a:lstStyle/>
          <a:p>
            <a:pPr>
              <a:defRPr sz="101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BO"/>
          </a:p>
        </c:txPr>
      </c:legendEntry>
      <c:legendEntry>
        <c:idx val="3"/>
        <c:txPr>
          <a:bodyPr/>
          <a:lstStyle/>
          <a:p>
            <a:pPr>
              <a:defRPr sz="101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BO"/>
          </a:p>
        </c:txPr>
      </c:legendEntry>
      <c:layout>
        <c:manualLayout>
          <c:xMode val="edge"/>
          <c:yMode val="edge"/>
          <c:x val="0.22543797037910571"/>
          <c:y val="0.89953653150183555"/>
          <c:w val="0.55162636558642286"/>
          <c:h val="9.0232751743036549E-2"/>
        </c:manualLayout>
      </c:layout>
      <c:spPr>
        <a:solidFill>
          <a:srgbClr val="FFFFFF"/>
        </a:solidFill>
        <a:ln w="3175">
          <a:solidFill>
            <a:srgbClr val="000000">
              <a:alpha val="68000"/>
            </a:srgbClr>
          </a:solidFill>
          <a:prstDash val="solid"/>
        </a:ln>
      </c:spPr>
      <c:txPr>
        <a:bodyPr/>
        <a:lstStyle/>
        <a:p>
          <a:pPr>
            <a:defRPr lang="es-ES" sz="9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BO"/>
        </a:p>
      </c:txPr>
    </c:legend>
    <c:plotVisOnly val="1"/>
    <c:dispBlanksAs val="gap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BO"/>
    </a:p>
  </c:txPr>
  <c:printSettings>
    <c:headerFooter alignWithMargins="0"/>
    <c:pageMargins b="1" l="0.75000000000001021" r="0.75000000000001021" t="1.21" header="0.511811024" footer="0.511811024"/>
    <c:pageSetup orientation="landscape" horizontalDpi="360" verticalDpi="36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19</xdr:col>
      <xdr:colOff>0</xdr:colOff>
      <xdr:row>15</xdr:row>
      <xdr:rowOff>0</xdr:rowOff>
    </xdr:to>
    <xdr:graphicFrame macro="">
      <xdr:nvGraphicFramePr>
        <xdr:cNvPr id="22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1028700</xdr:colOff>
      <xdr:row>16</xdr:row>
      <xdr:rowOff>133350</xdr:rowOff>
    </xdr:from>
    <xdr:to>
      <xdr:col>29</xdr:col>
      <xdr:colOff>876300</xdr:colOff>
      <xdr:row>91</xdr:row>
      <xdr:rowOff>57150</xdr:rowOff>
    </xdr:to>
    <xdr:graphicFrame macro="">
      <xdr:nvGraphicFramePr>
        <xdr:cNvPr id="220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shiba\Downloads\Cantidades%20de%20Obra%20CM%20N&#186;%2003-2011%20(Ultimo%20corregido%20nelson%2021-09-2011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antidades de Obra"/>
      <sheetName val="Items Creados e Incrementados"/>
      <sheetName val="Presupuesto General"/>
    </sheetNames>
    <sheetDataSet>
      <sheetData sheetId="0" refreshError="1"/>
      <sheetData sheetId="1">
        <row r="81">
          <cell r="C81" t="str">
            <v>4.23 Reposición de Servicios Circunvalación</v>
          </cell>
        </row>
        <row r="82">
          <cell r="C82" t="str">
            <v>4.24 Reposición de Servicios Via Urbana</v>
          </cell>
        </row>
        <row r="83">
          <cell r="C83" t="str">
            <v>4.25 Armado de Estructuras en suelo reforzado (0.5x1x6)</v>
          </cell>
        </row>
        <row r="84">
          <cell r="C84" t="str">
            <v>4.26 Armado de Estructuras en suelo reforzado (0.5x1x7)</v>
          </cell>
        </row>
        <row r="85">
          <cell r="C85" t="str">
            <v>4.27 Armado de Estructuras en suelo reforzado (1x1x4)</v>
          </cell>
        </row>
        <row r="86">
          <cell r="C86" t="str">
            <v>4.28 Armado de Estructuras en suelo reforzado (1x1x5)</v>
          </cell>
        </row>
        <row r="87">
          <cell r="C87" t="str">
            <v>4.29 Armado de Estructuras en suelo reforzado (1x1x6)</v>
          </cell>
        </row>
        <row r="88">
          <cell r="C88" t="str">
            <v>4.30 Filtro para Drenaje tipo MacDrain 2L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Hoja1">
    <tabColor rgb="FFFFFF00"/>
    <pageSetUpPr fitToPage="1"/>
  </sheetPr>
  <dimension ref="A2:AK109"/>
  <sheetViews>
    <sheetView view="pageBreakPreview" topLeftCell="A61" zoomScale="50" zoomScaleNormal="50" zoomScaleSheetLayoutView="50" workbookViewId="0">
      <selection activeCell="S14" sqref="S14"/>
    </sheetView>
  </sheetViews>
  <sheetFormatPr baseColWidth="10" defaultColWidth="11.42578125" defaultRowHeight="12.75"/>
  <cols>
    <col min="1" max="1" width="36.85546875" style="9" customWidth="1"/>
    <col min="2" max="16" width="16.85546875" style="9" bestFit="1" customWidth="1"/>
    <col min="17" max="17" width="18.140625" style="9" bestFit="1" customWidth="1"/>
    <col min="18" max="18" width="14.7109375" style="9" customWidth="1"/>
    <col min="19" max="36" width="16.7109375" style="9" customWidth="1"/>
    <col min="37" max="37" width="20.7109375" style="9" customWidth="1"/>
    <col min="38" max="38" width="1.7109375" style="9" customWidth="1"/>
    <col min="39" max="16384" width="11.42578125" style="9"/>
  </cols>
  <sheetData>
    <row r="2" spans="1:37" ht="42" customHeight="1">
      <c r="A2" s="334" t="s">
        <v>247</v>
      </c>
      <c r="B2" s="334"/>
      <c r="C2" s="334"/>
      <c r="D2" s="334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  <c r="V2" s="334"/>
      <c r="W2" s="334"/>
      <c r="X2" s="334"/>
      <c r="Y2" s="334"/>
      <c r="Z2" s="334"/>
      <c r="AA2" s="334"/>
      <c r="AB2" s="334"/>
      <c r="AC2" s="334"/>
      <c r="AD2" s="334"/>
      <c r="AE2" s="334"/>
      <c r="AF2" s="334"/>
      <c r="AG2" s="334"/>
      <c r="AH2" s="334"/>
      <c r="AI2" s="334"/>
      <c r="AJ2" s="334"/>
    </row>
    <row r="3" spans="1:37" s="181" customFormat="1" ht="21" customHeight="1">
      <c r="A3" s="335"/>
      <c r="B3" s="335"/>
      <c r="C3" s="335"/>
      <c r="D3" s="335"/>
      <c r="E3" s="335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  <c r="Z3" s="335"/>
      <c r="AA3" s="335"/>
      <c r="AB3" s="335"/>
      <c r="AC3" s="335"/>
      <c r="AD3" s="335"/>
      <c r="AE3" s="335"/>
      <c r="AF3" s="335"/>
      <c r="AG3" s="335"/>
      <c r="AH3" s="335"/>
      <c r="AI3" s="335"/>
      <c r="AJ3" s="335"/>
    </row>
    <row r="4" spans="1:37" ht="15.75">
      <c r="A4" s="20">
        <v>204391690.56999999</v>
      </c>
    </row>
    <row r="5" spans="1:37" ht="20.100000000000001" customHeight="1">
      <c r="A5" s="333"/>
      <c r="B5" s="333"/>
      <c r="C5" s="333"/>
      <c r="D5" s="333"/>
      <c r="E5" s="333"/>
      <c r="F5" s="333"/>
      <c r="G5" s="333"/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3"/>
    </row>
    <row r="6" spans="1:37" ht="20.100000000000001" customHeight="1">
      <c r="B6" s="29" t="s">
        <v>0</v>
      </c>
      <c r="C6" s="30" t="s">
        <v>1</v>
      </c>
      <c r="D6" s="29" t="s">
        <v>2</v>
      </c>
      <c r="E6" s="30" t="s">
        <v>3</v>
      </c>
      <c r="F6" s="29" t="s">
        <v>4</v>
      </c>
      <c r="G6" s="30" t="s">
        <v>5</v>
      </c>
      <c r="H6" s="29" t="s">
        <v>6</v>
      </c>
      <c r="I6" s="29" t="s">
        <v>7</v>
      </c>
      <c r="J6" s="30" t="s">
        <v>8</v>
      </c>
      <c r="K6" s="29" t="s">
        <v>9</v>
      </c>
      <c r="L6" s="30" t="s">
        <v>10</v>
      </c>
      <c r="M6" s="29" t="s">
        <v>11</v>
      </c>
      <c r="N6" s="30" t="s">
        <v>15</v>
      </c>
      <c r="O6" s="29" t="s">
        <v>24</v>
      </c>
      <c r="P6" s="30" t="s">
        <v>25</v>
      </c>
      <c r="Q6" s="29" t="s">
        <v>26</v>
      </c>
      <c r="R6" s="30" t="s">
        <v>27</v>
      </c>
      <c r="S6" s="29" t="s">
        <v>28</v>
      </c>
      <c r="T6" s="30" t="s">
        <v>29</v>
      </c>
      <c r="U6" s="29" t="s">
        <v>30</v>
      </c>
      <c r="V6" s="30" t="s">
        <v>31</v>
      </c>
      <c r="W6" s="29" t="s">
        <v>32</v>
      </c>
      <c r="X6" s="30" t="s">
        <v>33</v>
      </c>
      <c r="Y6" s="29" t="s">
        <v>34</v>
      </c>
      <c r="Z6" s="30" t="s">
        <v>35</v>
      </c>
      <c r="AA6" s="29" t="s">
        <v>47</v>
      </c>
      <c r="AB6" s="30" t="s">
        <v>198</v>
      </c>
      <c r="AC6" s="29" t="s">
        <v>199</v>
      </c>
      <c r="AD6" s="30" t="s">
        <v>200</v>
      </c>
      <c r="AE6" s="29" t="s">
        <v>201</v>
      </c>
      <c r="AF6" s="30" t="s">
        <v>202</v>
      </c>
      <c r="AG6" s="29" t="s">
        <v>203</v>
      </c>
      <c r="AH6" s="29" t="s">
        <v>150</v>
      </c>
      <c r="AI6" s="29" t="s">
        <v>151</v>
      </c>
      <c r="AJ6" s="29" t="s">
        <v>152</v>
      </c>
      <c r="AK6" s="331" t="s">
        <v>153</v>
      </c>
    </row>
    <row r="7" spans="1:37" ht="20.100000000000001" customHeight="1">
      <c r="B7" s="19">
        <v>40544</v>
      </c>
      <c r="C7" s="19">
        <v>40575</v>
      </c>
      <c r="D7" s="19">
        <v>40603</v>
      </c>
      <c r="E7" s="19">
        <v>40634</v>
      </c>
      <c r="F7" s="19">
        <v>40664</v>
      </c>
      <c r="G7" s="19">
        <v>40695</v>
      </c>
      <c r="H7" s="19">
        <v>40725</v>
      </c>
      <c r="I7" s="19">
        <v>40756</v>
      </c>
      <c r="J7" s="19">
        <v>40787</v>
      </c>
      <c r="K7" s="19">
        <v>40817</v>
      </c>
      <c r="L7" s="19">
        <v>40848</v>
      </c>
      <c r="M7" s="19">
        <v>40878</v>
      </c>
      <c r="N7" s="19">
        <v>40909</v>
      </c>
      <c r="O7" s="19">
        <v>40940</v>
      </c>
      <c r="P7" s="19">
        <v>40969</v>
      </c>
      <c r="Q7" s="19">
        <v>41000</v>
      </c>
      <c r="R7" s="19">
        <v>41030</v>
      </c>
      <c r="S7" s="19">
        <v>41061</v>
      </c>
      <c r="T7" s="19">
        <v>41091</v>
      </c>
      <c r="U7" s="19">
        <v>41122</v>
      </c>
      <c r="V7" s="19">
        <v>41153</v>
      </c>
      <c r="W7" s="19">
        <v>41183</v>
      </c>
      <c r="X7" s="19">
        <v>41214</v>
      </c>
      <c r="Y7" s="19">
        <v>41244</v>
      </c>
      <c r="Z7" s="19">
        <v>41275</v>
      </c>
      <c r="AA7" s="19">
        <v>41306</v>
      </c>
      <c r="AB7" s="19">
        <v>41334</v>
      </c>
      <c r="AC7" s="19">
        <v>41365</v>
      </c>
      <c r="AD7" s="19">
        <v>41395</v>
      </c>
      <c r="AE7" s="19">
        <v>41426</v>
      </c>
      <c r="AF7" s="19">
        <v>41456</v>
      </c>
      <c r="AG7" s="19">
        <v>41487</v>
      </c>
      <c r="AH7" s="22"/>
      <c r="AI7" s="19"/>
      <c r="AJ7" s="33"/>
      <c r="AK7" s="332"/>
    </row>
    <row r="8" spans="1:37" ht="18" customHeight="1">
      <c r="A8" s="14" t="s">
        <v>182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5"/>
      <c r="S8" s="4"/>
    </row>
    <row r="9" spans="1:37" ht="20.100000000000001" customHeight="1">
      <c r="A9" s="31" t="s">
        <v>184</v>
      </c>
      <c r="B9" s="6"/>
      <c r="C9" s="24">
        <f>+C14</f>
        <v>77666.36</v>
      </c>
      <c r="D9" s="24">
        <f t="shared" ref="D9:Q9" si="0">+D14</f>
        <v>67986.929999999993</v>
      </c>
      <c r="E9" s="24">
        <f t="shared" si="0"/>
        <v>81681.27</v>
      </c>
      <c r="F9" s="24">
        <f t="shared" si="0"/>
        <v>85754.32</v>
      </c>
      <c r="G9" s="24">
        <f t="shared" si="0"/>
        <v>782177.68</v>
      </c>
      <c r="H9" s="24">
        <f t="shared" si="0"/>
        <v>2839990.9</v>
      </c>
      <c r="I9" s="24">
        <f t="shared" si="0"/>
        <v>3867198.57</v>
      </c>
      <c r="J9" s="24">
        <f t="shared" si="0"/>
        <v>3154343.54</v>
      </c>
      <c r="K9" s="24">
        <f t="shared" si="0"/>
        <v>1251047.49</v>
      </c>
      <c r="L9" s="24">
        <f t="shared" si="0"/>
        <v>1217725.48</v>
      </c>
      <c r="M9" s="24">
        <f t="shared" si="0"/>
        <v>129468.78</v>
      </c>
      <c r="N9" s="24">
        <f t="shared" si="0"/>
        <v>935930.37</v>
      </c>
      <c r="O9" s="24">
        <f t="shared" si="0"/>
        <v>720487.39</v>
      </c>
      <c r="P9" s="24">
        <f t="shared" si="0"/>
        <v>1257187.24</v>
      </c>
      <c r="Q9" s="24">
        <f t="shared" si="0"/>
        <v>1867946.4</v>
      </c>
      <c r="R9" s="24">
        <f>CRONO!U489-'GRA-FINANC.'!Q10</f>
        <v>5612044.0099999998</v>
      </c>
      <c r="S9" s="24">
        <f>+CRONO!W489</f>
        <v>3801368.89</v>
      </c>
      <c r="T9" s="24">
        <f>+CRONO!X489</f>
        <v>6224643.5599999996</v>
      </c>
      <c r="U9" s="24">
        <f>+CRONO!Y489</f>
        <v>8526568.3499999996</v>
      </c>
      <c r="V9" s="24">
        <f>+CRONO!Z489</f>
        <v>10676786.869999999</v>
      </c>
      <c r="W9" s="24">
        <f>+CRONO!AA489</f>
        <v>12837837.18</v>
      </c>
      <c r="X9" s="24">
        <f>+CRONO!AB489</f>
        <v>12721621.67</v>
      </c>
      <c r="Y9" s="24">
        <f>+CRONO!AC489</f>
        <v>11582343.57</v>
      </c>
      <c r="Z9" s="24">
        <f>+CRONO!AD489</f>
        <v>11865788.77</v>
      </c>
      <c r="AA9" s="24">
        <f>+CRONO!AE489</f>
        <v>16873601.670000002</v>
      </c>
      <c r="AB9" s="24">
        <f>+CRONO!AF489</f>
        <v>20203384.5</v>
      </c>
      <c r="AC9" s="24">
        <f>+CRONO!AG489</f>
        <v>21281478.73</v>
      </c>
      <c r="AD9" s="24">
        <f>+CRONO!AH489</f>
        <v>21295591.879999999</v>
      </c>
      <c r="AE9" s="24">
        <f>+CRONO!AI489</f>
        <v>17657242.489999998</v>
      </c>
      <c r="AF9" s="24">
        <f>+CRONO!AJ489</f>
        <v>12188725.42</v>
      </c>
      <c r="AG9" s="24">
        <f>+CRONO!AK489</f>
        <v>4291994.49</v>
      </c>
      <c r="AH9" s="24">
        <f>+CRONO!AM489</f>
        <v>2739007.93</v>
      </c>
      <c r="AI9" s="24">
        <f>+CRONO!AN489</f>
        <v>2739007.93</v>
      </c>
      <c r="AJ9" s="24">
        <f>+CRONO!AO489</f>
        <v>2739007.93</v>
      </c>
      <c r="AK9" s="21">
        <f>SUM(C9:AJ9)</f>
        <v>224194638.56</v>
      </c>
    </row>
    <row r="10" spans="1:37" ht="20.100000000000001" customHeight="1">
      <c r="A10" s="32" t="s">
        <v>154</v>
      </c>
      <c r="B10" s="7">
        <f>B9</f>
        <v>0</v>
      </c>
      <c r="C10" s="7">
        <f>B10+C9</f>
        <v>77666.36</v>
      </c>
      <c r="D10" s="7">
        <f>C10+D9</f>
        <v>145653.29</v>
      </c>
      <c r="E10" s="7">
        <f>D10+E9</f>
        <v>227334.56</v>
      </c>
      <c r="F10" s="7">
        <f t="shared" ref="F10:AI10" si="1">E10+F9</f>
        <v>313088.88</v>
      </c>
      <c r="G10" s="7">
        <f t="shared" si="1"/>
        <v>1095266.56</v>
      </c>
      <c r="H10" s="7">
        <f t="shared" si="1"/>
        <v>3935257.46</v>
      </c>
      <c r="I10" s="7">
        <f t="shared" si="1"/>
        <v>7802456.0300000003</v>
      </c>
      <c r="J10" s="7">
        <f t="shared" si="1"/>
        <v>10956799.57</v>
      </c>
      <c r="K10" s="7">
        <f t="shared" si="1"/>
        <v>12207847.060000001</v>
      </c>
      <c r="L10" s="7">
        <f t="shared" si="1"/>
        <v>13425572.539999999</v>
      </c>
      <c r="M10" s="7">
        <f t="shared" si="1"/>
        <v>13555041.32</v>
      </c>
      <c r="N10" s="7">
        <f t="shared" si="1"/>
        <v>14490971.689999999</v>
      </c>
      <c r="O10" s="7">
        <f t="shared" si="1"/>
        <v>15211459.08</v>
      </c>
      <c r="P10" s="7">
        <f t="shared" si="1"/>
        <v>16468646.32</v>
      </c>
      <c r="Q10" s="7">
        <f>P10+Q9</f>
        <v>18336592.719999999</v>
      </c>
      <c r="R10" s="7">
        <f t="shared" si="1"/>
        <v>23948636.73</v>
      </c>
      <c r="S10" s="7">
        <f t="shared" si="1"/>
        <v>27750005.620000001</v>
      </c>
      <c r="T10" s="7">
        <f t="shared" si="1"/>
        <v>33974649.18</v>
      </c>
      <c r="U10" s="7">
        <f t="shared" si="1"/>
        <v>42501217.530000001</v>
      </c>
      <c r="V10" s="7">
        <f t="shared" ref="V10:AH10" si="2">U10+V9</f>
        <v>53178004.399999999</v>
      </c>
      <c r="W10" s="7">
        <f t="shared" si="2"/>
        <v>66015841.579999998</v>
      </c>
      <c r="X10" s="7">
        <f t="shared" si="2"/>
        <v>78737463.25</v>
      </c>
      <c r="Y10" s="7">
        <f t="shared" si="2"/>
        <v>90319806.819999993</v>
      </c>
      <c r="Z10" s="7">
        <f t="shared" si="2"/>
        <v>102185595.59</v>
      </c>
      <c r="AA10" s="7">
        <f t="shared" si="2"/>
        <v>119059197.26000001</v>
      </c>
      <c r="AB10" s="7">
        <f t="shared" si="2"/>
        <v>139262581.75999999</v>
      </c>
      <c r="AC10" s="7">
        <f t="shared" si="2"/>
        <v>160544060.49000001</v>
      </c>
      <c r="AD10" s="7">
        <f t="shared" si="2"/>
        <v>181839652.37</v>
      </c>
      <c r="AE10" s="7">
        <f t="shared" si="2"/>
        <v>199496894.86000001</v>
      </c>
      <c r="AF10" s="7">
        <f t="shared" si="2"/>
        <v>211685620.28</v>
      </c>
      <c r="AG10" s="7">
        <f t="shared" si="2"/>
        <v>215977614.77000001</v>
      </c>
      <c r="AH10" s="7">
        <f t="shared" si="2"/>
        <v>218716622.69999999</v>
      </c>
      <c r="AI10" s="7">
        <f t="shared" si="1"/>
        <v>221455630.63</v>
      </c>
      <c r="AJ10" s="7">
        <f>AI10+AJ9</f>
        <v>224194638.56</v>
      </c>
    </row>
    <row r="11" spans="1:37" ht="20.100000000000001" customHeight="1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3"/>
    </row>
    <row r="12" spans="1:37" ht="20.100000000000001" customHeight="1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8"/>
      <c r="S12" s="8"/>
    </row>
    <row r="13" spans="1:37" ht="18" customHeight="1">
      <c r="A13" s="14" t="s">
        <v>183</v>
      </c>
      <c r="B13" s="29" t="s">
        <v>0</v>
      </c>
      <c r="C13" s="30" t="s">
        <v>1</v>
      </c>
      <c r="D13" s="29" t="s">
        <v>2</v>
      </c>
      <c r="E13" s="30" t="s">
        <v>3</v>
      </c>
      <c r="F13" s="29" t="s">
        <v>4</v>
      </c>
      <c r="G13" s="30" t="s">
        <v>5</v>
      </c>
      <c r="H13" s="29" t="s">
        <v>6</v>
      </c>
      <c r="I13" s="29" t="s">
        <v>7</v>
      </c>
      <c r="J13" s="30" t="s">
        <v>8</v>
      </c>
      <c r="K13" s="29" t="s">
        <v>9</v>
      </c>
      <c r="L13" s="30" t="s">
        <v>10</v>
      </c>
      <c r="M13" s="29" t="s">
        <v>11</v>
      </c>
      <c r="N13" s="30" t="s">
        <v>15</v>
      </c>
      <c r="O13" s="29" t="s">
        <v>24</v>
      </c>
      <c r="P13" s="30" t="s">
        <v>25</v>
      </c>
      <c r="Q13" s="29" t="s">
        <v>26</v>
      </c>
      <c r="R13" s="30" t="s">
        <v>27</v>
      </c>
      <c r="S13" s="29" t="s">
        <v>28</v>
      </c>
      <c r="T13" s="30" t="s">
        <v>29</v>
      </c>
      <c r="U13" s="29" t="s">
        <v>30</v>
      </c>
      <c r="V13" s="30" t="s">
        <v>31</v>
      </c>
      <c r="W13" s="29" t="s">
        <v>32</v>
      </c>
      <c r="X13" s="30" t="s">
        <v>33</v>
      </c>
      <c r="Y13" s="29" t="s">
        <v>34</v>
      </c>
      <c r="Z13" s="30" t="s">
        <v>35</v>
      </c>
      <c r="AA13" s="29" t="s">
        <v>47</v>
      </c>
      <c r="AB13" s="30" t="s">
        <v>198</v>
      </c>
      <c r="AC13" s="29" t="s">
        <v>199</v>
      </c>
      <c r="AD13" s="30" t="s">
        <v>200</v>
      </c>
      <c r="AE13" s="29" t="s">
        <v>201</v>
      </c>
      <c r="AF13" s="30" t="s">
        <v>202</v>
      </c>
      <c r="AG13" s="29" t="s">
        <v>203</v>
      </c>
      <c r="AH13" s="29" t="s">
        <v>150</v>
      </c>
      <c r="AI13" s="29" t="s">
        <v>151</v>
      </c>
      <c r="AJ13" s="29" t="s">
        <v>152</v>
      </c>
    </row>
    <row r="14" spans="1:37" ht="20.100000000000001" customHeight="1">
      <c r="A14" s="31" t="s">
        <v>155</v>
      </c>
      <c r="B14" s="6">
        <f>+B9</f>
        <v>0</v>
      </c>
      <c r="C14" s="6">
        <v>77666.36</v>
      </c>
      <c r="D14" s="6">
        <v>67986.929999999993</v>
      </c>
      <c r="E14" s="6">
        <v>81681.27</v>
      </c>
      <c r="F14" s="6">
        <v>85754.32</v>
      </c>
      <c r="G14" s="6">
        <v>782177.68</v>
      </c>
      <c r="H14" s="6">
        <v>2839990.9</v>
      </c>
      <c r="I14" s="6">
        <v>3867198.57</v>
      </c>
      <c r="J14" s="6">
        <v>3154343.54</v>
      </c>
      <c r="K14" s="6">
        <v>1251047.49</v>
      </c>
      <c r="L14" s="6">
        <v>1217725.48</v>
      </c>
      <c r="M14" s="6">
        <v>129468.78</v>
      </c>
      <c r="N14" s="6">
        <v>935930.37</v>
      </c>
      <c r="O14" s="6">
        <v>720487.39</v>
      </c>
      <c r="P14" s="6">
        <v>1257187.24</v>
      </c>
      <c r="Q14" s="6">
        <v>1867946.4</v>
      </c>
      <c r="R14" s="6">
        <v>2072454.31</v>
      </c>
      <c r="S14" s="6"/>
      <c r="T14" s="6"/>
      <c r="U14" s="6"/>
      <c r="V14" s="6"/>
      <c r="W14" s="6"/>
      <c r="X14" s="6"/>
      <c r="Y14" s="6"/>
      <c r="Z14" s="6"/>
      <c r="AA14" s="23"/>
      <c r="AB14" s="23"/>
      <c r="AC14" s="23"/>
      <c r="AD14" s="23"/>
      <c r="AE14" s="23"/>
      <c r="AF14" s="23"/>
      <c r="AG14" s="23"/>
      <c r="AH14" s="23"/>
      <c r="AI14" s="23"/>
      <c r="AJ14" s="6"/>
      <c r="AK14" s="21">
        <f>SUM(C14:AJ14)</f>
        <v>20409047.030000001</v>
      </c>
    </row>
    <row r="15" spans="1:37" ht="20.100000000000001" customHeight="1">
      <c r="A15" s="32" t="s">
        <v>156</v>
      </c>
      <c r="B15" s="7">
        <f>B14</f>
        <v>0</v>
      </c>
      <c r="C15" s="7">
        <f>B15+C14</f>
        <v>77666.36</v>
      </c>
      <c r="D15" s="7">
        <f t="shared" ref="D15:P15" si="3">C15+D14</f>
        <v>145653.29</v>
      </c>
      <c r="E15" s="7">
        <f>D15+E14</f>
        <v>227334.56</v>
      </c>
      <c r="F15" s="7">
        <f t="shared" si="3"/>
        <v>313088.88</v>
      </c>
      <c r="G15" s="7">
        <f t="shared" si="3"/>
        <v>1095266.56</v>
      </c>
      <c r="H15" s="7">
        <f t="shared" si="3"/>
        <v>3935257.46</v>
      </c>
      <c r="I15" s="7">
        <f t="shared" si="3"/>
        <v>7802456.0300000003</v>
      </c>
      <c r="J15" s="7">
        <f t="shared" si="3"/>
        <v>10956799.57</v>
      </c>
      <c r="K15" s="7">
        <f t="shared" si="3"/>
        <v>12207847.060000001</v>
      </c>
      <c r="L15" s="7">
        <f>K15+L14</f>
        <v>13425572.539999999</v>
      </c>
      <c r="M15" s="7">
        <f>L15+M14</f>
        <v>13555041.32</v>
      </c>
      <c r="N15" s="7">
        <f t="shared" si="3"/>
        <v>14490971.689999999</v>
      </c>
      <c r="O15" s="7">
        <f t="shared" si="3"/>
        <v>15211459.08</v>
      </c>
      <c r="P15" s="7">
        <f t="shared" si="3"/>
        <v>16468646.32</v>
      </c>
      <c r="Q15" s="7">
        <f>P15+Q14</f>
        <v>18336592.719999999</v>
      </c>
      <c r="R15" s="7">
        <f>Q15+R14</f>
        <v>20409047.030000001</v>
      </c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spans="1:37" ht="20.100000000000001" customHeight="1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1:27" ht="20.100000000000001" customHeight="1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1:27">
      <c r="U18" s="13"/>
    </row>
    <row r="96" spans="3:4" ht="23.25">
      <c r="C96" s="180" t="s">
        <v>204</v>
      </c>
      <c r="D96" s="180" t="s">
        <v>205</v>
      </c>
    </row>
    <row r="106" spans="2:12" ht="19.5" customHeight="1">
      <c r="B106" s="13">
        <v>40878338.109999999</v>
      </c>
      <c r="L106" s="13">
        <v>224194638.56</v>
      </c>
    </row>
    <row r="107" spans="2:12">
      <c r="L107" s="13">
        <f>L15</f>
        <v>13425572.539999999</v>
      </c>
    </row>
    <row r="108" spans="2:12">
      <c r="L108" s="182">
        <f>L107/L106</f>
        <v>5.9900000000000002E-2</v>
      </c>
    </row>
    <row r="109" spans="2:12">
      <c r="L109" s="182">
        <f>L14/L106</f>
        <v>5.4000000000000003E-3</v>
      </c>
    </row>
  </sheetData>
  <mergeCells count="4">
    <mergeCell ref="AK6:AK7"/>
    <mergeCell ref="A5:S5"/>
    <mergeCell ref="A2:AJ2"/>
    <mergeCell ref="A3:AJ3"/>
  </mergeCells>
  <phoneticPr fontId="14" type="noConversion"/>
  <printOptions horizontalCentered="1"/>
  <pageMargins left="0.19685039370078741" right="0.11811023622047245" top="1.6929133858267718" bottom="0.31496062992125984" header="0.19685039370078741" footer="0.15748031496062992"/>
  <pageSetup paperSize="3" scale="22" orientation="landscape" horizontalDpi="300" verticalDpi="300" r:id="rId1"/>
  <headerFooter alignWithMargins="0">
    <oddFooter>Página 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Hoja2" enableFormatConditionsCalculation="0">
    <tabColor indexed="11"/>
  </sheetPr>
  <dimension ref="A1:BH525"/>
  <sheetViews>
    <sheetView showZeros="0" tabSelected="1" topLeftCell="C1" zoomScaleSheetLayoutView="100" workbookViewId="0">
      <pane xSplit="2" ySplit="8" topLeftCell="E9" activePane="bottomRight" state="frozen"/>
      <selection activeCell="C1" sqref="C1"/>
      <selection pane="topRight" activeCell="E1" sqref="E1"/>
      <selection pane="bottomLeft" activeCell="C8" sqref="C8"/>
      <selection pane="bottomRight" activeCell="AA42" sqref="AA42"/>
    </sheetView>
  </sheetViews>
  <sheetFormatPr baseColWidth="10" defaultColWidth="11.42578125" defaultRowHeight="12.75"/>
  <cols>
    <col min="1" max="1" width="2.140625" style="1" customWidth="1"/>
    <col min="2" max="2" width="1.42578125" style="46" customWidth="1"/>
    <col min="3" max="3" width="5.140625" style="1" customWidth="1"/>
    <col min="4" max="4" width="48.7109375" style="1" customWidth="1"/>
    <col min="5" max="5" width="8.7109375" style="1" customWidth="1"/>
    <col min="6" max="6" width="11.7109375" style="1" customWidth="1"/>
    <col min="7" max="11" width="11.7109375" style="36" customWidth="1"/>
    <col min="12" max="12" width="11.85546875" style="36" hidden="1" customWidth="1"/>
    <col min="13" max="13" width="1.28515625" style="36" customWidth="1"/>
    <col min="14" max="14" width="9.5703125" style="36" customWidth="1"/>
    <col min="15" max="20" width="11.7109375" style="36" hidden="1" customWidth="1"/>
    <col min="21" max="21" width="11.7109375" style="65" customWidth="1"/>
    <col min="22" max="22" width="1.7109375" style="133" customWidth="1"/>
    <col min="23" max="36" width="12.140625" style="65" customWidth="1"/>
    <col min="37" max="37" width="12.42578125" style="65" bestFit="1" customWidth="1"/>
    <col min="38" max="38" width="1.85546875" style="133" customWidth="1"/>
    <col min="39" max="41" width="12.7109375" style="65" customWidth="1"/>
    <col min="42" max="42" width="2" style="1" customWidth="1"/>
    <col min="43" max="43" width="12.5703125" style="1" bestFit="1" customWidth="1"/>
    <col min="44" max="44" width="12.28515625" style="65" bestFit="1" customWidth="1"/>
    <col min="45" max="45" width="13.7109375" style="1" bestFit="1" customWidth="1"/>
    <col min="46" max="46" width="12.140625" style="150" customWidth="1"/>
    <col min="47" max="47" width="12.7109375" style="1" customWidth="1"/>
    <col min="48" max="49" width="11.42578125" style="65"/>
    <col min="50" max="16384" width="11.42578125" style="1"/>
  </cols>
  <sheetData>
    <row r="1" spans="1:53" ht="5.0999999999999996" customHeight="1">
      <c r="D1" s="375" t="s">
        <v>14</v>
      </c>
      <c r="E1" s="375"/>
      <c r="F1" s="375"/>
      <c r="G1" s="375"/>
      <c r="H1" s="375"/>
      <c r="I1" s="375"/>
      <c r="J1" s="375"/>
      <c r="K1" s="375"/>
      <c r="L1" s="375"/>
      <c r="M1" s="375"/>
      <c r="N1" s="375"/>
      <c r="O1" s="375"/>
      <c r="P1" s="375"/>
      <c r="Q1" s="375"/>
      <c r="R1" s="375"/>
      <c r="S1" s="375"/>
      <c r="T1" s="375"/>
      <c r="U1" s="375"/>
      <c r="V1" s="375"/>
      <c r="W1" s="375"/>
      <c r="X1" s="375"/>
      <c r="Y1" s="375"/>
      <c r="Z1" s="375"/>
      <c r="AA1" s="375"/>
      <c r="AB1" s="375"/>
      <c r="AC1" s="375"/>
      <c r="AD1" s="375"/>
      <c r="AE1" s="375"/>
      <c r="AF1" s="375"/>
      <c r="AG1" s="375"/>
      <c r="AH1" s="375"/>
      <c r="AI1" s="375"/>
      <c r="AJ1" s="375"/>
      <c r="AK1" s="375"/>
      <c r="AL1" s="375"/>
      <c r="AM1" s="375"/>
      <c r="AN1" s="375"/>
      <c r="AO1" s="375"/>
    </row>
    <row r="2" spans="1:53" ht="15" customHeight="1">
      <c r="C2" s="336" t="s">
        <v>248</v>
      </c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  <c r="AA2" s="336"/>
      <c r="AB2" s="336"/>
      <c r="AC2" s="336"/>
      <c r="AD2" s="336"/>
      <c r="AE2" s="336"/>
      <c r="AF2" s="336"/>
      <c r="AG2" s="336"/>
      <c r="AH2" s="336"/>
      <c r="AI2" s="336"/>
      <c r="AJ2" s="336"/>
      <c r="AK2" s="336"/>
      <c r="AL2" s="336"/>
      <c r="AM2" s="336"/>
      <c r="AN2" s="336"/>
      <c r="AO2" s="336"/>
    </row>
    <row r="3" spans="1:53" ht="15" customHeight="1">
      <c r="C3" s="336" t="s">
        <v>19</v>
      </c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36"/>
      <c r="AO3" s="336"/>
    </row>
    <row r="4" spans="1:53" ht="5.0999999999999996" customHeight="1">
      <c r="D4" s="336"/>
      <c r="E4" s="336"/>
      <c r="F4" s="336"/>
      <c r="G4" s="336"/>
      <c r="H4" s="336"/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  <c r="AH4" s="336"/>
      <c r="AI4" s="336"/>
      <c r="AJ4" s="336"/>
      <c r="AK4" s="336"/>
      <c r="AL4" s="336"/>
      <c r="AM4" s="336"/>
      <c r="AN4" s="336"/>
      <c r="AO4" s="336"/>
    </row>
    <row r="5" spans="1:53" ht="3" customHeight="1">
      <c r="D5" s="3"/>
    </row>
    <row r="6" spans="1:53" ht="12" customHeight="1">
      <c r="C6" s="400" t="s">
        <v>197</v>
      </c>
      <c r="D6" s="406" t="s">
        <v>159</v>
      </c>
      <c r="E6" s="378" t="s">
        <v>185</v>
      </c>
      <c r="F6" s="394" t="s">
        <v>210</v>
      </c>
      <c r="G6" s="403" t="s">
        <v>211</v>
      </c>
      <c r="H6" s="404"/>
      <c r="I6" s="404"/>
      <c r="J6" s="404"/>
      <c r="K6" s="404"/>
      <c r="L6" s="405"/>
      <c r="M6" s="378"/>
      <c r="N6" s="397" t="s">
        <v>165</v>
      </c>
      <c r="O6" s="314" t="s">
        <v>253</v>
      </c>
      <c r="P6" s="314" t="s">
        <v>252</v>
      </c>
      <c r="Q6" s="314" t="s">
        <v>252</v>
      </c>
      <c r="R6" s="314" t="s">
        <v>251</v>
      </c>
      <c r="S6" s="314" t="s">
        <v>250</v>
      </c>
      <c r="T6" s="314" t="s">
        <v>249</v>
      </c>
      <c r="U6" s="319" t="s">
        <v>36</v>
      </c>
      <c r="V6" s="130"/>
      <c r="W6" s="185" t="s">
        <v>37</v>
      </c>
      <c r="X6" s="185" t="s">
        <v>38</v>
      </c>
      <c r="Y6" s="185" t="s">
        <v>39</v>
      </c>
      <c r="Z6" s="185" t="s">
        <v>40</v>
      </c>
      <c r="AA6" s="185" t="s">
        <v>41</v>
      </c>
      <c r="AB6" s="185" t="s">
        <v>42</v>
      </c>
      <c r="AC6" s="185" t="s">
        <v>43</v>
      </c>
      <c r="AD6" s="185" t="s">
        <v>44</v>
      </c>
      <c r="AE6" s="185" t="s">
        <v>45</v>
      </c>
      <c r="AF6" s="185" t="s">
        <v>46</v>
      </c>
      <c r="AG6" s="185" t="s">
        <v>186</v>
      </c>
      <c r="AH6" s="185" t="s">
        <v>187</v>
      </c>
      <c r="AI6" s="185" t="s">
        <v>188</v>
      </c>
      <c r="AJ6" s="185" t="s">
        <v>189</v>
      </c>
      <c r="AK6" s="185" t="s">
        <v>190</v>
      </c>
      <c r="AL6" s="141"/>
      <c r="AM6" s="400" t="s">
        <v>147</v>
      </c>
      <c r="AN6" s="400" t="s">
        <v>148</v>
      </c>
      <c r="AO6" s="400" t="s">
        <v>149</v>
      </c>
    </row>
    <row r="7" spans="1:53" ht="12" customHeight="1">
      <c r="C7" s="401"/>
      <c r="D7" s="407"/>
      <c r="E7" s="379"/>
      <c r="F7" s="395"/>
      <c r="G7" s="394" t="s">
        <v>212</v>
      </c>
      <c r="H7" s="394" t="s">
        <v>217</v>
      </c>
      <c r="I7" s="394" t="s">
        <v>213</v>
      </c>
      <c r="J7" s="394" t="s">
        <v>214</v>
      </c>
      <c r="K7" s="394" t="s">
        <v>215</v>
      </c>
      <c r="L7" s="394" t="s">
        <v>216</v>
      </c>
      <c r="M7" s="379"/>
      <c r="N7" s="398"/>
      <c r="O7" s="186">
        <v>40817</v>
      </c>
      <c r="P7" s="186">
        <v>40848</v>
      </c>
      <c r="Q7" s="186">
        <v>40878</v>
      </c>
      <c r="R7" s="186">
        <v>40909</v>
      </c>
      <c r="S7" s="186">
        <v>40940</v>
      </c>
      <c r="T7" s="186">
        <v>40969</v>
      </c>
      <c r="U7" s="186">
        <v>41030</v>
      </c>
      <c r="V7" s="131"/>
      <c r="W7" s="186">
        <f>U7+31</f>
        <v>41061</v>
      </c>
      <c r="X7" s="186">
        <f t="shared" ref="X7:AK7" si="0">W7+31</f>
        <v>41092</v>
      </c>
      <c r="Y7" s="186">
        <f t="shared" si="0"/>
        <v>41123</v>
      </c>
      <c r="Z7" s="186">
        <f t="shared" si="0"/>
        <v>41154</v>
      </c>
      <c r="AA7" s="186">
        <f t="shared" si="0"/>
        <v>41185</v>
      </c>
      <c r="AB7" s="186">
        <f t="shared" si="0"/>
        <v>41216</v>
      </c>
      <c r="AC7" s="186">
        <f t="shared" si="0"/>
        <v>41247</v>
      </c>
      <c r="AD7" s="186">
        <f t="shared" si="0"/>
        <v>41278</v>
      </c>
      <c r="AE7" s="186">
        <f t="shared" si="0"/>
        <v>41309</v>
      </c>
      <c r="AF7" s="186">
        <f t="shared" si="0"/>
        <v>41340</v>
      </c>
      <c r="AG7" s="186">
        <f t="shared" si="0"/>
        <v>41371</v>
      </c>
      <c r="AH7" s="186">
        <f t="shared" si="0"/>
        <v>41402</v>
      </c>
      <c r="AI7" s="186">
        <f t="shared" si="0"/>
        <v>41433</v>
      </c>
      <c r="AJ7" s="186">
        <f t="shared" si="0"/>
        <v>41464</v>
      </c>
      <c r="AK7" s="186">
        <f t="shared" si="0"/>
        <v>41495</v>
      </c>
      <c r="AL7" s="142"/>
      <c r="AM7" s="401"/>
      <c r="AN7" s="401"/>
      <c r="AO7" s="401"/>
    </row>
    <row r="8" spans="1:53" ht="12" customHeight="1">
      <c r="C8" s="402"/>
      <c r="D8" s="408"/>
      <c r="E8" s="409"/>
      <c r="F8" s="396"/>
      <c r="G8" s="396"/>
      <c r="H8" s="396"/>
      <c r="I8" s="396"/>
      <c r="J8" s="396"/>
      <c r="K8" s="396"/>
      <c r="L8" s="396"/>
      <c r="M8" s="184"/>
      <c r="N8" s="399"/>
      <c r="O8" s="247"/>
      <c r="P8" s="247"/>
      <c r="Q8" s="247"/>
      <c r="R8" s="247"/>
      <c r="S8" s="247"/>
      <c r="T8" s="247"/>
      <c r="U8" s="247"/>
      <c r="V8" s="131"/>
      <c r="W8" s="247"/>
      <c r="X8" s="247"/>
      <c r="Y8" s="247"/>
      <c r="Z8" s="247"/>
      <c r="AA8" s="247"/>
      <c r="AB8" s="247"/>
      <c r="AC8" s="247"/>
      <c r="AD8" s="247"/>
      <c r="AE8" s="247"/>
      <c r="AF8" s="247"/>
      <c r="AG8" s="247"/>
      <c r="AH8" s="247"/>
      <c r="AI8" s="247"/>
      <c r="AJ8" s="247"/>
      <c r="AK8" s="247"/>
      <c r="AL8" s="187"/>
      <c r="AM8" s="402"/>
      <c r="AN8" s="402"/>
      <c r="AO8" s="402"/>
      <c r="AV8" s="410" t="s">
        <v>227</v>
      </c>
      <c r="AW8" s="410"/>
    </row>
    <row r="9" spans="1:53" s="25" customFormat="1" ht="15" customHeight="1">
      <c r="A9" s="15"/>
      <c r="B9" s="15"/>
      <c r="C9" s="42">
        <v>1</v>
      </c>
      <c r="D9" s="43" t="s">
        <v>16</v>
      </c>
      <c r="E9" s="44">
        <f>+E12+E16+E20+E24+E28+E32+E36+E40+E44+E48+E52</f>
        <v>0</v>
      </c>
      <c r="F9" s="44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66"/>
      <c r="V9" s="66"/>
      <c r="W9" s="66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8"/>
      <c r="AN9" s="68"/>
      <c r="AO9" s="295"/>
      <c r="AR9" s="82"/>
      <c r="AT9" s="100"/>
      <c r="AV9" s="82"/>
      <c r="AW9" s="82"/>
    </row>
    <row r="10" spans="1:53" s="2" customFormat="1" ht="10.5" customHeight="1">
      <c r="A10" s="10" t="s">
        <v>12</v>
      </c>
      <c r="B10" s="15"/>
      <c r="C10" s="342">
        <v>1</v>
      </c>
      <c r="D10" s="339" t="s">
        <v>49</v>
      </c>
      <c r="E10" s="345" t="s">
        <v>232</v>
      </c>
      <c r="F10" s="372">
        <v>3467.88</v>
      </c>
      <c r="G10" s="284">
        <v>378</v>
      </c>
      <c r="H10" s="284">
        <v>391</v>
      </c>
      <c r="I10" s="284">
        <v>0.75</v>
      </c>
      <c r="J10" s="220"/>
      <c r="K10" s="284">
        <f>H10+J10</f>
        <v>391</v>
      </c>
      <c r="L10" s="284">
        <f>+H10-I10+J10</f>
        <v>390.25</v>
      </c>
      <c r="M10" s="376"/>
      <c r="N10" s="85" t="s">
        <v>162</v>
      </c>
      <c r="O10" s="250"/>
      <c r="P10" s="250"/>
      <c r="Q10" s="250"/>
      <c r="R10" s="250"/>
      <c r="S10" s="250"/>
      <c r="T10" s="250"/>
      <c r="U10" s="250">
        <f>+I10</f>
        <v>0.75</v>
      </c>
      <c r="V10" s="224"/>
      <c r="W10" s="61">
        <f t="shared" ref="W10:AE10" si="1">+W11*$G$10</f>
        <v>0</v>
      </c>
      <c r="X10" s="61">
        <f t="shared" si="1"/>
        <v>0</v>
      </c>
      <c r="Y10" s="61">
        <f>+Y11*$K$10</f>
        <v>39.1</v>
      </c>
      <c r="Z10" s="61">
        <f>+Z11*$K$10</f>
        <v>39.1</v>
      </c>
      <c r="AA10" s="61">
        <f>+AA11*$K$10</f>
        <v>39.1</v>
      </c>
      <c r="AB10" s="61">
        <f>+AB11*$K$10</f>
        <v>39.1</v>
      </c>
      <c r="AC10" s="61">
        <f t="shared" si="1"/>
        <v>0</v>
      </c>
      <c r="AD10" s="61">
        <f t="shared" si="1"/>
        <v>0</v>
      </c>
      <c r="AE10" s="61">
        <f t="shared" si="1"/>
        <v>0</v>
      </c>
      <c r="AF10" s="61">
        <f>+AF11*$K$10</f>
        <v>58.65</v>
      </c>
      <c r="AG10" s="61">
        <f>+AG11*$K$10</f>
        <v>58.65</v>
      </c>
      <c r="AH10" s="61">
        <f>+AH11*$K$10</f>
        <v>58.65</v>
      </c>
      <c r="AI10" s="61">
        <f>+AI11*$K$10+0.03</f>
        <v>57.9</v>
      </c>
      <c r="AJ10" s="61">
        <f>+AJ11*$K$10</f>
        <v>0</v>
      </c>
      <c r="AK10" s="61"/>
      <c r="AL10" s="119"/>
      <c r="AM10" s="86"/>
      <c r="AN10" s="86"/>
      <c r="AO10" s="86"/>
      <c r="AQ10" s="144">
        <f>SUM(O10:AO10)</f>
        <v>391</v>
      </c>
      <c r="AR10" s="144">
        <f>+K10-AQ10</f>
        <v>0</v>
      </c>
      <c r="AT10" s="372">
        <f>+F10*K10</f>
        <v>1355941.08</v>
      </c>
      <c r="AV10" s="263">
        <f>SUM(W10:AO10)</f>
        <v>390.25</v>
      </c>
      <c r="AW10" s="263">
        <f>+L10-AV10</f>
        <v>0</v>
      </c>
      <c r="BA10" s="318">
        <f>SUM(O10:U10)</f>
        <v>0.75</v>
      </c>
    </row>
    <row r="11" spans="1:53" s="2" customFormat="1" ht="10.5" customHeight="1">
      <c r="A11" s="10" t="s">
        <v>12</v>
      </c>
      <c r="B11" s="15"/>
      <c r="C11" s="343"/>
      <c r="D11" s="340"/>
      <c r="E11" s="346"/>
      <c r="F11" s="389"/>
      <c r="G11" s="277"/>
      <c r="H11" s="277"/>
      <c r="I11" s="277"/>
      <c r="J11" s="221"/>
      <c r="K11" s="277"/>
      <c r="L11" s="277"/>
      <c r="M11" s="377"/>
      <c r="N11" s="87" t="s">
        <v>163</v>
      </c>
      <c r="O11" s="251"/>
      <c r="P11" s="251"/>
      <c r="Q11" s="251"/>
      <c r="R11" s="251"/>
      <c r="S11" s="251"/>
      <c r="T11" s="251"/>
      <c r="U11" s="251">
        <f>+U10/G10</f>
        <v>2E-3</v>
      </c>
      <c r="V11" s="120"/>
      <c r="W11" s="62"/>
      <c r="X11" s="62"/>
      <c r="Y11" s="62">
        <v>0.1</v>
      </c>
      <c r="Z11" s="62">
        <v>0.1</v>
      </c>
      <c r="AA11" s="62">
        <v>0.1</v>
      </c>
      <c r="AB11" s="62">
        <v>0.1</v>
      </c>
      <c r="AC11" s="62"/>
      <c r="AD11" s="62"/>
      <c r="AE11" s="62"/>
      <c r="AF11" s="62">
        <v>0.15</v>
      </c>
      <c r="AG11" s="62">
        <v>0.15</v>
      </c>
      <c r="AH11" s="62">
        <v>0.15</v>
      </c>
      <c r="AI11" s="62">
        <v>0.14799999999999999</v>
      </c>
      <c r="AJ11" s="62"/>
      <c r="AK11" s="62"/>
      <c r="AL11" s="116"/>
      <c r="AM11" s="88"/>
      <c r="AN11" s="88"/>
      <c r="AO11" s="88"/>
      <c r="AQ11" s="149">
        <f>SUM(O11:AO11)</f>
        <v>1</v>
      </c>
      <c r="AR11" s="146"/>
      <c r="AT11" s="389"/>
      <c r="AV11" s="83"/>
      <c r="AW11" s="83"/>
      <c r="BA11" s="318">
        <f t="shared" ref="BA11:BA74" si="2">SUM(O11:U11)</f>
        <v>0</v>
      </c>
    </row>
    <row r="12" spans="1:53" s="2" customFormat="1" ht="10.5" hidden="1" customHeight="1">
      <c r="A12" s="11" t="s">
        <v>13</v>
      </c>
      <c r="B12" s="15"/>
      <c r="C12" s="343"/>
      <c r="D12" s="340"/>
      <c r="E12" s="346"/>
      <c r="F12" s="389"/>
      <c r="G12" s="277"/>
      <c r="H12" s="277"/>
      <c r="I12" s="277"/>
      <c r="J12" s="221"/>
      <c r="K12" s="277"/>
      <c r="L12" s="277"/>
      <c r="M12" s="377"/>
      <c r="N12" s="89"/>
      <c r="O12" s="251"/>
      <c r="P12" s="251"/>
      <c r="Q12" s="251"/>
      <c r="R12" s="251"/>
      <c r="S12" s="251"/>
      <c r="T12" s="251"/>
      <c r="U12" s="251"/>
      <c r="V12" s="120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117"/>
      <c r="AM12" s="88"/>
      <c r="AN12" s="88"/>
      <c r="AO12" s="88"/>
      <c r="AQ12" s="145"/>
      <c r="AR12" s="146"/>
      <c r="AT12" s="389"/>
      <c r="AU12" s="114"/>
      <c r="AV12" s="83"/>
      <c r="AW12" s="83"/>
      <c r="BA12" s="318">
        <f t="shared" si="2"/>
        <v>0</v>
      </c>
    </row>
    <row r="13" spans="1:53" s="2" customFormat="1" ht="10.5" customHeight="1">
      <c r="A13" s="12">
        <v>1</v>
      </c>
      <c r="B13" s="15"/>
      <c r="C13" s="344"/>
      <c r="D13" s="341"/>
      <c r="E13" s="347"/>
      <c r="F13" s="390"/>
      <c r="G13" s="307">
        <f>ROUND(G10*$F10,2)</f>
        <v>1310858.6399999999</v>
      </c>
      <c r="H13" s="307">
        <f>ROUND(H10*$F10,2)</f>
        <v>1355941.08</v>
      </c>
      <c r="I13" s="307">
        <f>ROUND(I10*$F10,2)</f>
        <v>2600.91</v>
      </c>
      <c r="J13" s="246">
        <f>J10*$F10</f>
        <v>0</v>
      </c>
      <c r="K13" s="307">
        <f>ROUND(K10*$F10,2)</f>
        <v>1355941.08</v>
      </c>
      <c r="L13" s="307">
        <f>ROUND(L10*$F10,2)</f>
        <v>1353340.17</v>
      </c>
      <c r="M13" s="377"/>
      <c r="N13" s="90" t="s">
        <v>164</v>
      </c>
      <c r="O13" s="252"/>
      <c r="P13" s="252"/>
      <c r="Q13" s="252"/>
      <c r="R13" s="252"/>
      <c r="S13" s="252"/>
      <c r="T13" s="252"/>
      <c r="U13" s="252">
        <f>U10*$F10</f>
        <v>2600.91</v>
      </c>
      <c r="V13" s="122"/>
      <c r="W13" s="94">
        <f>W10*$F10</f>
        <v>0</v>
      </c>
      <c r="X13" s="94">
        <f t="shared" ref="X13:AJ13" si="3">X10*$F10</f>
        <v>0</v>
      </c>
      <c r="Y13" s="94">
        <f t="shared" si="3"/>
        <v>135594.10999999999</v>
      </c>
      <c r="Z13" s="94">
        <f>Z10*$F10</f>
        <v>135594.10999999999</v>
      </c>
      <c r="AA13" s="94">
        <f>AA10*$F10</f>
        <v>135594.10999999999</v>
      </c>
      <c r="AB13" s="94">
        <f>AB10*$F10</f>
        <v>135594.10999999999</v>
      </c>
      <c r="AC13" s="94">
        <f t="shared" si="3"/>
        <v>0</v>
      </c>
      <c r="AD13" s="94">
        <f t="shared" si="3"/>
        <v>0</v>
      </c>
      <c r="AE13" s="94">
        <f t="shared" si="3"/>
        <v>0</v>
      </c>
      <c r="AF13" s="94">
        <f t="shared" si="3"/>
        <v>203391.16</v>
      </c>
      <c r="AG13" s="94">
        <f>AG10*$F10</f>
        <v>203391.16</v>
      </c>
      <c r="AH13" s="94">
        <f t="shared" si="3"/>
        <v>203391.16</v>
      </c>
      <c r="AI13" s="94">
        <f t="shared" si="3"/>
        <v>200790.25</v>
      </c>
      <c r="AJ13" s="94">
        <f t="shared" si="3"/>
        <v>0</v>
      </c>
      <c r="AK13" s="94"/>
      <c r="AL13" s="118"/>
      <c r="AM13" s="91"/>
      <c r="AN13" s="91"/>
      <c r="AO13" s="91"/>
      <c r="AQ13" s="69">
        <f>SUM(O13:AO13)</f>
        <v>1355941.08</v>
      </c>
      <c r="AR13" s="69">
        <f>+K13-AQ13</f>
        <v>0</v>
      </c>
      <c r="AT13" s="390"/>
      <c r="AV13" s="83"/>
      <c r="AW13" s="83"/>
      <c r="BA13" s="318"/>
    </row>
    <row r="14" spans="1:53" s="2" customFormat="1" ht="10.5" customHeight="1">
      <c r="A14" s="12"/>
      <c r="B14" s="15"/>
      <c r="C14" s="342">
        <v>2</v>
      </c>
      <c r="D14" s="339" t="s">
        <v>145</v>
      </c>
      <c r="E14" s="345" t="s">
        <v>233</v>
      </c>
      <c r="F14" s="372">
        <v>17.350000000000001</v>
      </c>
      <c r="G14" s="284">
        <v>757437</v>
      </c>
      <c r="H14" s="284">
        <v>840374.49</v>
      </c>
      <c r="I14" s="284">
        <v>325132.65000000002</v>
      </c>
      <c r="J14" s="220"/>
      <c r="K14" s="284">
        <f>H14+J14</f>
        <v>840374.49</v>
      </c>
      <c r="L14" s="284">
        <f>+H14-I14+J14</f>
        <v>515241.84</v>
      </c>
      <c r="M14" s="377"/>
      <c r="N14" s="85" t="s">
        <v>162</v>
      </c>
      <c r="O14" s="85"/>
      <c r="P14" s="85"/>
      <c r="Q14" s="85"/>
      <c r="R14" s="85"/>
      <c r="S14" s="85"/>
      <c r="T14" s="85"/>
      <c r="U14" s="253">
        <f>+I14</f>
        <v>325132.65000000002</v>
      </c>
      <c r="V14" s="122"/>
      <c r="W14" s="61">
        <v>25000</v>
      </c>
      <c r="X14" s="61">
        <v>25000</v>
      </c>
      <c r="Y14" s="61">
        <v>25000</v>
      </c>
      <c r="Z14" s="61">
        <v>25000</v>
      </c>
      <c r="AA14" s="61">
        <v>25000</v>
      </c>
      <c r="AB14" s="61">
        <v>25000</v>
      </c>
      <c r="AC14" s="61">
        <v>25000</v>
      </c>
      <c r="AD14" s="61">
        <v>50000</v>
      </c>
      <c r="AE14" s="61">
        <v>50000</v>
      </c>
      <c r="AF14" s="61">
        <v>60000</v>
      </c>
      <c r="AG14" s="61">
        <v>75000</v>
      </c>
      <c r="AH14" s="61">
        <v>60000</v>
      </c>
      <c r="AI14" s="61">
        <v>45241.84</v>
      </c>
      <c r="AJ14" s="61"/>
      <c r="AK14" s="61"/>
      <c r="AL14" s="119"/>
      <c r="AM14" s="86"/>
      <c r="AN14" s="86"/>
      <c r="AO14" s="86"/>
      <c r="AQ14" s="144">
        <f>SUM(O14:AO14)</f>
        <v>840374.49</v>
      </c>
      <c r="AR14" s="144">
        <f>+K14-AQ14</f>
        <v>0</v>
      </c>
      <c r="AT14" s="372">
        <f>+F14*K14</f>
        <v>14580497.4</v>
      </c>
      <c r="AV14" s="263">
        <f>SUM(W14:AO14)</f>
        <v>515241.84</v>
      </c>
      <c r="AW14" s="263">
        <f>+L14-AV14</f>
        <v>0</v>
      </c>
      <c r="BA14" s="318">
        <f t="shared" si="2"/>
        <v>325132.65000000002</v>
      </c>
    </row>
    <row r="15" spans="1:53" s="2" customFormat="1" ht="10.5" customHeight="1">
      <c r="A15" s="10" t="s">
        <v>12</v>
      </c>
      <c r="B15" s="15"/>
      <c r="C15" s="343"/>
      <c r="D15" s="340"/>
      <c r="E15" s="346"/>
      <c r="F15" s="389"/>
      <c r="G15" s="277"/>
      <c r="H15" s="277"/>
      <c r="I15" s="277"/>
      <c r="J15" s="221"/>
      <c r="K15" s="277"/>
      <c r="L15" s="277"/>
      <c r="M15" s="377"/>
      <c r="N15" s="87" t="s">
        <v>163</v>
      </c>
      <c r="O15" s="87"/>
      <c r="P15" s="87"/>
      <c r="Q15" s="87"/>
      <c r="R15" s="87"/>
      <c r="S15" s="87"/>
      <c r="T15" s="87"/>
      <c r="U15" s="254">
        <f>+U14/K14</f>
        <v>0.38690000000000002</v>
      </c>
      <c r="V15" s="120"/>
      <c r="W15" s="62">
        <f>+W14/$K14</f>
        <v>2.9700000000000001E-2</v>
      </c>
      <c r="X15" s="62">
        <f t="shared" ref="X15:AK15" si="4">+X14/$K14</f>
        <v>2.9700000000000001E-2</v>
      </c>
      <c r="Y15" s="62">
        <f t="shared" si="4"/>
        <v>2.9700000000000001E-2</v>
      </c>
      <c r="Z15" s="62">
        <f t="shared" si="4"/>
        <v>2.9700000000000001E-2</v>
      </c>
      <c r="AA15" s="62">
        <f t="shared" si="4"/>
        <v>2.9700000000000001E-2</v>
      </c>
      <c r="AB15" s="62">
        <f t="shared" si="4"/>
        <v>2.9700000000000001E-2</v>
      </c>
      <c r="AC15" s="62">
        <f t="shared" si="4"/>
        <v>2.9700000000000001E-2</v>
      </c>
      <c r="AD15" s="62">
        <f t="shared" si="4"/>
        <v>5.9499999999999997E-2</v>
      </c>
      <c r="AE15" s="62">
        <f t="shared" si="4"/>
        <v>5.9499999999999997E-2</v>
      </c>
      <c r="AF15" s="62">
        <f t="shared" si="4"/>
        <v>7.1400000000000005E-2</v>
      </c>
      <c r="AG15" s="62">
        <f t="shared" si="4"/>
        <v>8.9200000000000002E-2</v>
      </c>
      <c r="AH15" s="62">
        <f t="shared" si="4"/>
        <v>7.1400000000000005E-2</v>
      </c>
      <c r="AI15" s="62">
        <f t="shared" si="4"/>
        <v>5.3800000000000001E-2</v>
      </c>
      <c r="AJ15" s="62">
        <f t="shared" si="4"/>
        <v>0</v>
      </c>
      <c r="AK15" s="62">
        <f t="shared" si="4"/>
        <v>0</v>
      </c>
      <c r="AL15" s="116"/>
      <c r="AM15" s="88"/>
      <c r="AN15" s="88"/>
      <c r="AO15" s="88"/>
      <c r="AQ15" s="149">
        <f>SUM(O15:AO15)</f>
        <v>0.99960000000000004</v>
      </c>
      <c r="AR15" s="146"/>
      <c r="AT15" s="389"/>
      <c r="AU15" s="100"/>
      <c r="AV15" s="264"/>
      <c r="AW15" s="83"/>
      <c r="BA15" s="318"/>
    </row>
    <row r="16" spans="1:53" s="2" customFormat="1" ht="10.5" hidden="1" customHeight="1">
      <c r="A16" s="11" t="s">
        <v>13</v>
      </c>
      <c r="B16" s="15"/>
      <c r="C16" s="343"/>
      <c r="D16" s="340"/>
      <c r="E16" s="346"/>
      <c r="F16" s="389"/>
      <c r="G16" s="277"/>
      <c r="H16" s="277"/>
      <c r="I16" s="277"/>
      <c r="J16" s="221"/>
      <c r="K16" s="277"/>
      <c r="L16" s="277"/>
      <c r="M16" s="377"/>
      <c r="N16" s="89"/>
      <c r="O16" s="89"/>
      <c r="P16" s="89"/>
      <c r="Q16" s="89"/>
      <c r="R16" s="89"/>
      <c r="S16" s="89"/>
      <c r="T16" s="89"/>
      <c r="U16" s="255"/>
      <c r="V16" s="120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116"/>
      <c r="AM16" s="88"/>
      <c r="AN16" s="88"/>
      <c r="AO16" s="88"/>
      <c r="AQ16" s="145"/>
      <c r="AR16" s="146"/>
      <c r="AT16" s="389"/>
      <c r="AU16" s="114"/>
      <c r="AV16" s="83"/>
      <c r="AW16" s="83"/>
      <c r="BA16" s="318">
        <f t="shared" si="2"/>
        <v>0</v>
      </c>
    </row>
    <row r="17" spans="1:53" s="2" customFormat="1" ht="10.5" customHeight="1">
      <c r="A17" s="12">
        <v>1</v>
      </c>
      <c r="B17" s="15"/>
      <c r="C17" s="344"/>
      <c r="D17" s="341"/>
      <c r="E17" s="347"/>
      <c r="F17" s="390"/>
      <c r="G17" s="307">
        <f>ROUND(G14*$F14,2)</f>
        <v>13141531.949999999</v>
      </c>
      <c r="H17" s="307">
        <f>ROUND(H14*$F14,2)</f>
        <v>14580497.4</v>
      </c>
      <c r="I17" s="307">
        <f>ROUND(I14*$F14,2)</f>
        <v>5641051.4800000004</v>
      </c>
      <c r="J17" s="246">
        <f>J14*$F14</f>
        <v>0</v>
      </c>
      <c r="K17" s="307">
        <f>ROUND(K14*$F14,2)</f>
        <v>14580497.4</v>
      </c>
      <c r="L17" s="307">
        <f>ROUND(L14*$F14,2)</f>
        <v>8939445.9199999999</v>
      </c>
      <c r="M17" s="377"/>
      <c r="N17" s="90" t="s">
        <v>164</v>
      </c>
      <c r="O17" s="90"/>
      <c r="P17" s="90"/>
      <c r="Q17" s="90"/>
      <c r="R17" s="90"/>
      <c r="S17" s="90"/>
      <c r="T17" s="90"/>
      <c r="U17" s="256">
        <f>U14*$F14+0.01</f>
        <v>5641051.4900000002</v>
      </c>
      <c r="V17" s="122"/>
      <c r="W17" s="64">
        <f>W14*$F14</f>
        <v>433750</v>
      </c>
      <c r="X17" s="64">
        <f t="shared" ref="X17:AK17" si="5">X14*$F14</f>
        <v>433750</v>
      </c>
      <c r="Y17" s="64">
        <f t="shared" si="5"/>
        <v>433750</v>
      </c>
      <c r="Z17" s="64">
        <f t="shared" si="5"/>
        <v>433750</v>
      </c>
      <c r="AA17" s="64">
        <f t="shared" si="5"/>
        <v>433750</v>
      </c>
      <c r="AB17" s="64">
        <f t="shared" si="5"/>
        <v>433750</v>
      </c>
      <c r="AC17" s="64">
        <f t="shared" si="5"/>
        <v>433750</v>
      </c>
      <c r="AD17" s="64">
        <f t="shared" si="5"/>
        <v>867500</v>
      </c>
      <c r="AE17" s="64">
        <f t="shared" si="5"/>
        <v>867500</v>
      </c>
      <c r="AF17" s="64">
        <f t="shared" si="5"/>
        <v>1041000</v>
      </c>
      <c r="AG17" s="64">
        <f t="shared" si="5"/>
        <v>1301250</v>
      </c>
      <c r="AH17" s="64">
        <f t="shared" si="5"/>
        <v>1041000</v>
      </c>
      <c r="AI17" s="64">
        <f>AI14*$F14-0.01</f>
        <v>784945.91</v>
      </c>
      <c r="AJ17" s="64">
        <f t="shared" si="5"/>
        <v>0</v>
      </c>
      <c r="AK17" s="64">
        <f t="shared" si="5"/>
        <v>0</v>
      </c>
      <c r="AL17" s="118"/>
      <c r="AM17" s="91"/>
      <c r="AN17" s="91"/>
      <c r="AO17" s="91"/>
      <c r="AQ17" s="69">
        <f>SUM(O17:AO17)</f>
        <v>14580497.4</v>
      </c>
      <c r="AR17" s="69">
        <f>+K17-AQ17</f>
        <v>0</v>
      </c>
      <c r="AT17" s="390"/>
      <c r="AV17" s="83"/>
      <c r="AW17" s="83"/>
      <c r="BA17" s="318"/>
    </row>
    <row r="18" spans="1:53" s="2" customFormat="1" ht="10.5" customHeight="1">
      <c r="A18" s="12"/>
      <c r="B18" s="15"/>
      <c r="C18" s="342">
        <v>3</v>
      </c>
      <c r="D18" s="339" t="s">
        <v>146</v>
      </c>
      <c r="E18" s="345" t="s">
        <v>233</v>
      </c>
      <c r="F18" s="372">
        <v>26.97</v>
      </c>
      <c r="G18" s="284">
        <v>22724</v>
      </c>
      <c r="H18" s="284">
        <v>22724</v>
      </c>
      <c r="I18" s="284">
        <v>0</v>
      </c>
      <c r="J18" s="322">
        <v>-13395.106400000001</v>
      </c>
      <c r="K18" s="324">
        <f>H18+J18</f>
        <v>9328.8935999999994</v>
      </c>
      <c r="L18" s="284">
        <f>+H18-I18+J18</f>
        <v>9328.89</v>
      </c>
      <c r="M18" s="377"/>
      <c r="N18" s="85" t="s">
        <v>162</v>
      </c>
      <c r="O18" s="85"/>
      <c r="P18" s="85"/>
      <c r="Q18" s="85"/>
      <c r="R18" s="85"/>
      <c r="S18" s="85"/>
      <c r="T18" s="85"/>
      <c r="U18" s="253">
        <f>+I18</f>
        <v>0</v>
      </c>
      <c r="V18" s="122"/>
      <c r="W18" s="61"/>
      <c r="X18" s="61"/>
      <c r="Y18" s="61"/>
      <c r="Z18" s="61"/>
      <c r="AA18" s="61"/>
      <c r="AB18" s="61"/>
      <c r="AC18" s="61"/>
      <c r="AD18" s="61"/>
      <c r="AE18" s="61">
        <f t="shared" ref="AE18:AJ18" si="6">+AE19*$K18</f>
        <v>1865.78</v>
      </c>
      <c r="AF18" s="61">
        <f t="shared" si="6"/>
        <v>1865.78</v>
      </c>
      <c r="AG18" s="61">
        <f t="shared" si="6"/>
        <v>1865.78</v>
      </c>
      <c r="AH18" s="61">
        <f t="shared" si="6"/>
        <v>1865.78</v>
      </c>
      <c r="AI18" s="61">
        <v>1865.77</v>
      </c>
      <c r="AJ18" s="61">
        <f t="shared" si="6"/>
        <v>0</v>
      </c>
      <c r="AK18" s="61"/>
      <c r="AL18" s="119"/>
      <c r="AM18" s="86"/>
      <c r="AN18" s="86"/>
      <c r="AO18" s="86"/>
      <c r="AQ18" s="144">
        <f>SUM(O18:AO18)</f>
        <v>9328.89</v>
      </c>
      <c r="AR18" s="144">
        <f>+K18-AQ18</f>
        <v>0</v>
      </c>
      <c r="AT18" s="372">
        <f>+F18*K18</f>
        <v>251600.26</v>
      </c>
      <c r="AV18" s="263">
        <f>SUM(W18:AO18)</f>
        <v>9328.89</v>
      </c>
      <c r="AW18" s="263">
        <f>+L18-AV18</f>
        <v>0</v>
      </c>
      <c r="BA18" s="318">
        <f t="shared" si="2"/>
        <v>0</v>
      </c>
    </row>
    <row r="19" spans="1:53" s="2" customFormat="1" ht="10.5" customHeight="1">
      <c r="A19" s="10" t="s">
        <v>12</v>
      </c>
      <c r="B19" s="15"/>
      <c r="C19" s="343"/>
      <c r="D19" s="340"/>
      <c r="E19" s="346"/>
      <c r="F19" s="389"/>
      <c r="G19" s="277"/>
      <c r="H19" s="277"/>
      <c r="I19" s="277"/>
      <c r="J19" s="277"/>
      <c r="K19" s="277"/>
      <c r="L19" s="277"/>
      <c r="M19" s="377"/>
      <c r="N19" s="87" t="s">
        <v>163</v>
      </c>
      <c r="O19" s="87"/>
      <c r="P19" s="87"/>
      <c r="Q19" s="87"/>
      <c r="R19" s="87"/>
      <c r="S19" s="87"/>
      <c r="T19" s="87"/>
      <c r="U19" s="254">
        <f>+U18/K18</f>
        <v>0</v>
      </c>
      <c r="V19" s="120"/>
      <c r="W19" s="62"/>
      <c r="X19" s="62"/>
      <c r="Y19" s="62"/>
      <c r="Z19" s="62"/>
      <c r="AA19" s="62"/>
      <c r="AB19" s="62"/>
      <c r="AC19" s="62"/>
      <c r="AD19" s="62"/>
      <c r="AE19" s="62">
        <v>0.2</v>
      </c>
      <c r="AF19" s="62">
        <v>0.2</v>
      </c>
      <c r="AG19" s="62">
        <v>0.2</v>
      </c>
      <c r="AH19" s="62">
        <v>0.2</v>
      </c>
      <c r="AI19" s="62">
        <v>0.2</v>
      </c>
      <c r="AJ19" s="62"/>
      <c r="AK19" s="62"/>
      <c r="AL19" s="116"/>
      <c r="AM19" s="88"/>
      <c r="AN19" s="88"/>
      <c r="AO19" s="88"/>
      <c r="AQ19" s="149">
        <f>SUM(O19:AO19)</f>
        <v>1</v>
      </c>
      <c r="AR19" s="146"/>
      <c r="AT19" s="389"/>
      <c r="AV19" s="83"/>
      <c r="AW19" s="83"/>
      <c r="BA19" s="318">
        <f t="shared" si="2"/>
        <v>0</v>
      </c>
    </row>
    <row r="20" spans="1:53" s="2" customFormat="1" ht="10.5" hidden="1" customHeight="1">
      <c r="A20" s="11" t="s">
        <v>13</v>
      </c>
      <c r="B20" s="15"/>
      <c r="C20" s="343"/>
      <c r="D20" s="340"/>
      <c r="E20" s="346"/>
      <c r="F20" s="389"/>
      <c r="G20" s="277"/>
      <c r="H20" s="277"/>
      <c r="I20" s="277"/>
      <c r="J20" s="277"/>
      <c r="K20" s="277"/>
      <c r="L20" s="277"/>
      <c r="M20" s="377"/>
      <c r="N20" s="89"/>
      <c r="O20" s="89"/>
      <c r="P20" s="89"/>
      <c r="Q20" s="89"/>
      <c r="R20" s="89"/>
      <c r="S20" s="89"/>
      <c r="T20" s="89"/>
      <c r="U20" s="251"/>
      <c r="V20" s="120"/>
      <c r="W20" s="93"/>
      <c r="X20" s="93"/>
      <c r="Y20" s="93"/>
      <c r="Z20" s="93"/>
      <c r="AA20" s="93"/>
      <c r="AB20" s="93"/>
      <c r="AC20" s="93"/>
      <c r="AD20" s="93"/>
      <c r="AE20" s="63"/>
      <c r="AF20" s="63"/>
      <c r="AG20" s="63"/>
      <c r="AH20" s="63"/>
      <c r="AI20" s="63"/>
      <c r="AJ20" s="63"/>
      <c r="AK20" s="93"/>
      <c r="AL20" s="116"/>
      <c r="AM20" s="88"/>
      <c r="AN20" s="88"/>
      <c r="AO20" s="88"/>
      <c r="AQ20" s="145"/>
      <c r="AR20" s="146"/>
      <c r="AT20" s="389"/>
      <c r="AV20" s="83"/>
      <c r="AW20" s="83"/>
      <c r="BA20" s="318">
        <f t="shared" si="2"/>
        <v>0</v>
      </c>
    </row>
    <row r="21" spans="1:53" s="2" customFormat="1" ht="10.5" customHeight="1">
      <c r="A21" s="12">
        <v>1</v>
      </c>
      <c r="B21" s="15"/>
      <c r="C21" s="344"/>
      <c r="D21" s="341"/>
      <c r="E21" s="347"/>
      <c r="F21" s="390"/>
      <c r="G21" s="307">
        <f>ROUND(G18*$F18,2)</f>
        <v>612866.28</v>
      </c>
      <c r="H21" s="307">
        <f>ROUND(H18*$F18,2)</f>
        <v>612866.28</v>
      </c>
      <c r="I21" s="307">
        <f>ROUND(I18*$F18,2)</f>
        <v>0</v>
      </c>
      <c r="J21" s="307">
        <f>J18*$F18</f>
        <v>-361266.02</v>
      </c>
      <c r="K21" s="323">
        <f>ROUND(K18*$F18,4)</f>
        <v>251600.2604</v>
      </c>
      <c r="L21" s="307">
        <f>ROUND(L18*$F18,2)</f>
        <v>251600.16</v>
      </c>
      <c r="M21" s="377"/>
      <c r="N21" s="90" t="s">
        <v>164</v>
      </c>
      <c r="O21" s="90"/>
      <c r="P21" s="90"/>
      <c r="Q21" s="90"/>
      <c r="R21" s="90"/>
      <c r="S21" s="90"/>
      <c r="T21" s="90"/>
      <c r="U21" s="256">
        <f>U18*$F18</f>
        <v>0</v>
      </c>
      <c r="V21" s="122"/>
      <c r="W21" s="64"/>
      <c r="X21" s="64"/>
      <c r="Y21" s="64"/>
      <c r="Z21" s="64"/>
      <c r="AA21" s="64"/>
      <c r="AB21" s="64"/>
      <c r="AC21" s="64"/>
      <c r="AD21" s="64"/>
      <c r="AE21" s="294">
        <f t="shared" ref="AE21:AJ21" si="7">AE18*$F18</f>
        <v>50320.087</v>
      </c>
      <c r="AF21" s="294">
        <f t="shared" si="7"/>
        <v>50320.087</v>
      </c>
      <c r="AG21" s="294">
        <f t="shared" si="7"/>
        <v>50320.087</v>
      </c>
      <c r="AH21" s="294">
        <f t="shared" si="7"/>
        <v>50320.087</v>
      </c>
      <c r="AI21" s="294">
        <f>AI18*$F18+0.09</f>
        <v>50319.906999999999</v>
      </c>
      <c r="AJ21" s="64">
        <f t="shared" si="7"/>
        <v>0</v>
      </c>
      <c r="AK21" s="64"/>
      <c r="AL21" s="118"/>
      <c r="AM21" s="91"/>
      <c r="AN21" s="91"/>
      <c r="AO21" s="91"/>
      <c r="AQ21" s="69">
        <f>SUM(O21:AO21)</f>
        <v>251600.26</v>
      </c>
      <c r="AR21" s="69">
        <f>+K21-AQ21</f>
        <v>0</v>
      </c>
      <c r="AT21" s="390"/>
      <c r="AV21" s="83"/>
      <c r="AW21" s="83"/>
      <c r="BA21" s="318">
        <f t="shared" si="2"/>
        <v>0</v>
      </c>
    </row>
    <row r="22" spans="1:53" s="2" customFormat="1" ht="10.5" customHeight="1">
      <c r="A22" s="12"/>
      <c r="B22" s="15"/>
      <c r="C22" s="342">
        <v>4</v>
      </c>
      <c r="D22" s="339" t="s">
        <v>50</v>
      </c>
      <c r="E22" s="345" t="s">
        <v>233</v>
      </c>
      <c r="F22" s="372">
        <v>21.91</v>
      </c>
      <c r="G22" s="284">
        <v>201199</v>
      </c>
      <c r="H22" s="284">
        <v>203324.05</v>
      </c>
      <c r="I22" s="284">
        <v>106111.67</v>
      </c>
      <c r="J22" s="220"/>
      <c r="K22" s="284">
        <f>H22+J22</f>
        <v>203324.05</v>
      </c>
      <c r="L22" s="284">
        <f>+H22-I22+J22</f>
        <v>97212.38</v>
      </c>
      <c r="M22" s="377"/>
      <c r="N22" s="85" t="s">
        <v>162</v>
      </c>
      <c r="O22" s="85"/>
      <c r="P22" s="85"/>
      <c r="Q22" s="85"/>
      <c r="R22" s="85"/>
      <c r="S22" s="85"/>
      <c r="T22" s="85"/>
      <c r="U22" s="253">
        <f>+I22</f>
        <v>106111.67</v>
      </c>
      <c r="V22" s="122"/>
      <c r="W22" s="61">
        <v>1500</v>
      </c>
      <c r="X22" s="61">
        <v>1500</v>
      </c>
      <c r="Y22" s="61">
        <v>1500</v>
      </c>
      <c r="Z22" s="61">
        <v>1500</v>
      </c>
      <c r="AA22" s="61">
        <v>5000</v>
      </c>
      <c r="AB22" s="61">
        <v>5000</v>
      </c>
      <c r="AC22" s="61">
        <v>5000</v>
      </c>
      <c r="AD22" s="61">
        <v>10000</v>
      </c>
      <c r="AE22" s="61">
        <v>10000</v>
      </c>
      <c r="AF22" s="61">
        <v>10000</v>
      </c>
      <c r="AG22" s="61">
        <v>15000</v>
      </c>
      <c r="AH22" s="61">
        <v>15000</v>
      </c>
      <c r="AI22" s="61">
        <v>16212.38</v>
      </c>
      <c r="AJ22" s="61"/>
      <c r="AK22" s="61"/>
      <c r="AL22" s="119"/>
      <c r="AM22" s="86"/>
      <c r="AN22" s="86"/>
      <c r="AO22" s="86"/>
      <c r="AQ22" s="144">
        <f>SUM(O22:AO22)</f>
        <v>203324.05</v>
      </c>
      <c r="AR22" s="144">
        <f>+K22-AQ22</f>
        <v>0</v>
      </c>
      <c r="AT22" s="372">
        <f>+F22*K22</f>
        <v>4454829.9400000004</v>
      </c>
      <c r="AV22" s="263">
        <f>SUM(W22:AO22)</f>
        <v>97212.38</v>
      </c>
      <c r="AW22" s="263">
        <f>+L22-AV22</f>
        <v>0</v>
      </c>
      <c r="BA22" s="318">
        <f t="shared" si="2"/>
        <v>106111.67</v>
      </c>
    </row>
    <row r="23" spans="1:53" s="2" customFormat="1" ht="10.5" customHeight="1">
      <c r="A23" s="10" t="s">
        <v>12</v>
      </c>
      <c r="B23" s="15"/>
      <c r="C23" s="343"/>
      <c r="D23" s="340"/>
      <c r="E23" s="346"/>
      <c r="F23" s="389"/>
      <c r="G23" s="277"/>
      <c r="H23" s="277"/>
      <c r="I23" s="277"/>
      <c r="J23" s="221"/>
      <c r="K23" s="277"/>
      <c r="L23" s="277"/>
      <c r="M23" s="377"/>
      <c r="N23" s="87" t="s">
        <v>163</v>
      </c>
      <c r="O23" s="87"/>
      <c r="P23" s="87"/>
      <c r="Q23" s="87"/>
      <c r="R23" s="87"/>
      <c r="S23" s="87"/>
      <c r="T23" s="87"/>
      <c r="U23" s="254">
        <f>+U22/K22</f>
        <v>0.52190000000000003</v>
      </c>
      <c r="V23" s="120"/>
      <c r="W23" s="62">
        <f>+W22/$K22</f>
        <v>7.4000000000000003E-3</v>
      </c>
      <c r="X23" s="62">
        <f t="shared" ref="X23:AK23" si="8">+X22/$K22</f>
        <v>7.4000000000000003E-3</v>
      </c>
      <c r="Y23" s="62">
        <f t="shared" si="8"/>
        <v>7.4000000000000003E-3</v>
      </c>
      <c r="Z23" s="62">
        <f t="shared" si="8"/>
        <v>7.4000000000000003E-3</v>
      </c>
      <c r="AA23" s="62">
        <f t="shared" si="8"/>
        <v>2.46E-2</v>
      </c>
      <c r="AB23" s="62">
        <f t="shared" si="8"/>
        <v>2.46E-2</v>
      </c>
      <c r="AC23" s="62">
        <f t="shared" si="8"/>
        <v>2.46E-2</v>
      </c>
      <c r="AD23" s="62">
        <f t="shared" si="8"/>
        <v>4.9200000000000001E-2</v>
      </c>
      <c r="AE23" s="62">
        <f t="shared" si="8"/>
        <v>4.9200000000000001E-2</v>
      </c>
      <c r="AF23" s="62">
        <f t="shared" si="8"/>
        <v>4.9200000000000001E-2</v>
      </c>
      <c r="AG23" s="62">
        <f t="shared" si="8"/>
        <v>7.3800000000000004E-2</v>
      </c>
      <c r="AH23" s="62">
        <f t="shared" si="8"/>
        <v>7.3800000000000004E-2</v>
      </c>
      <c r="AI23" s="62">
        <f t="shared" si="8"/>
        <v>7.9699999999999993E-2</v>
      </c>
      <c r="AJ23" s="62">
        <f t="shared" si="8"/>
        <v>0</v>
      </c>
      <c r="AK23" s="62">
        <f t="shared" si="8"/>
        <v>0</v>
      </c>
      <c r="AL23" s="116"/>
      <c r="AM23" s="88"/>
      <c r="AN23" s="88"/>
      <c r="AO23" s="88"/>
      <c r="AQ23" s="149">
        <f>SUM(O23:AO23)</f>
        <v>1.0002</v>
      </c>
      <c r="AR23" s="146"/>
      <c r="AT23" s="389"/>
      <c r="AV23" s="83"/>
      <c r="AW23" s="83"/>
      <c r="BA23" s="318"/>
    </row>
    <row r="24" spans="1:53" s="2" customFormat="1" ht="10.5" hidden="1" customHeight="1">
      <c r="A24" s="11" t="s">
        <v>13</v>
      </c>
      <c r="B24" s="15"/>
      <c r="C24" s="343"/>
      <c r="D24" s="340"/>
      <c r="E24" s="346"/>
      <c r="F24" s="389"/>
      <c r="G24" s="277"/>
      <c r="H24" s="277"/>
      <c r="I24" s="277"/>
      <c r="J24" s="221"/>
      <c r="K24" s="277"/>
      <c r="L24" s="277"/>
      <c r="M24" s="377"/>
      <c r="N24" s="89"/>
      <c r="O24" s="89"/>
      <c r="P24" s="89"/>
      <c r="Q24" s="89"/>
      <c r="R24" s="89"/>
      <c r="S24" s="89"/>
      <c r="T24" s="89"/>
      <c r="U24" s="255"/>
      <c r="V24" s="120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116"/>
      <c r="AM24" s="88"/>
      <c r="AN24" s="88"/>
      <c r="AO24" s="88"/>
      <c r="AQ24" s="145"/>
      <c r="AR24" s="146"/>
      <c r="AT24" s="389"/>
      <c r="AV24" s="83"/>
      <c r="AW24" s="83"/>
      <c r="BA24" s="318">
        <f t="shared" si="2"/>
        <v>0</v>
      </c>
    </row>
    <row r="25" spans="1:53" s="2" customFormat="1" ht="10.5" customHeight="1">
      <c r="A25" s="12">
        <v>1</v>
      </c>
      <c r="B25" s="15"/>
      <c r="C25" s="344"/>
      <c r="D25" s="341"/>
      <c r="E25" s="347"/>
      <c r="F25" s="390"/>
      <c r="G25" s="307">
        <f>ROUND(G22*$F22,2)</f>
        <v>4408270.09</v>
      </c>
      <c r="H25" s="307">
        <f>ROUND(H22*$F22,2)</f>
        <v>4454829.9400000004</v>
      </c>
      <c r="I25" s="307">
        <f>ROUND(I22*$F22,2)</f>
        <v>2324906.69</v>
      </c>
      <c r="J25" s="246">
        <f>J22*$F22</f>
        <v>0</v>
      </c>
      <c r="K25" s="307">
        <f>ROUND(K22*$F22,2)</f>
        <v>4454829.9400000004</v>
      </c>
      <c r="L25" s="307">
        <f>ROUND(L22*$F22,2)</f>
        <v>2129923.25</v>
      </c>
      <c r="M25" s="377"/>
      <c r="N25" s="90" t="s">
        <v>164</v>
      </c>
      <c r="O25" s="90"/>
      <c r="P25" s="90"/>
      <c r="Q25" s="90"/>
      <c r="R25" s="90"/>
      <c r="S25" s="90"/>
      <c r="T25" s="90"/>
      <c r="U25" s="256">
        <f>U22*$F22</f>
        <v>2324906.69</v>
      </c>
      <c r="V25" s="122"/>
      <c r="W25" s="64">
        <f t="shared" ref="W25:AK25" si="9">W22*$F22</f>
        <v>32865</v>
      </c>
      <c r="X25" s="64">
        <f t="shared" si="9"/>
        <v>32865</v>
      </c>
      <c r="Y25" s="64">
        <f t="shared" si="9"/>
        <v>32865</v>
      </c>
      <c r="Z25" s="64">
        <f t="shared" si="9"/>
        <v>32865</v>
      </c>
      <c r="AA25" s="64">
        <f t="shared" si="9"/>
        <v>109550</v>
      </c>
      <c r="AB25" s="64">
        <f t="shared" si="9"/>
        <v>109550</v>
      </c>
      <c r="AC25" s="64">
        <f t="shared" si="9"/>
        <v>109550</v>
      </c>
      <c r="AD25" s="64">
        <f t="shared" si="9"/>
        <v>219100</v>
      </c>
      <c r="AE25" s="64">
        <f t="shared" si="9"/>
        <v>219100</v>
      </c>
      <c r="AF25" s="64">
        <f t="shared" si="9"/>
        <v>219100</v>
      </c>
      <c r="AG25" s="64">
        <f t="shared" si="9"/>
        <v>328650</v>
      </c>
      <c r="AH25" s="64">
        <f t="shared" si="9"/>
        <v>328650</v>
      </c>
      <c r="AI25" s="64">
        <f t="shared" si="9"/>
        <v>355213.25</v>
      </c>
      <c r="AJ25" s="64">
        <f t="shared" si="9"/>
        <v>0</v>
      </c>
      <c r="AK25" s="64">
        <f t="shared" si="9"/>
        <v>0</v>
      </c>
      <c r="AL25" s="118"/>
      <c r="AM25" s="91"/>
      <c r="AN25" s="91"/>
      <c r="AO25" s="91"/>
      <c r="AQ25" s="69">
        <f>SUM(O25:AO25)</f>
        <v>4454829.9400000004</v>
      </c>
      <c r="AR25" s="69">
        <f>+K25-AQ25</f>
        <v>0</v>
      </c>
      <c r="AT25" s="390"/>
      <c r="AV25" s="83"/>
      <c r="AW25" s="83"/>
      <c r="BA25" s="318"/>
    </row>
    <row r="26" spans="1:53" s="2" customFormat="1" ht="10.5" customHeight="1">
      <c r="A26" s="12"/>
      <c r="B26" s="15"/>
      <c r="C26" s="342">
        <v>5</v>
      </c>
      <c r="D26" s="339" t="s">
        <v>51</v>
      </c>
      <c r="E26" s="345" t="s">
        <v>233</v>
      </c>
      <c r="F26" s="372">
        <v>11.19</v>
      </c>
      <c r="G26" s="284">
        <v>299800</v>
      </c>
      <c r="H26" s="284">
        <v>323252</v>
      </c>
      <c r="I26" s="284">
        <v>47007.92</v>
      </c>
      <c r="J26" s="220"/>
      <c r="K26" s="284">
        <f>H26+J26</f>
        <v>323252</v>
      </c>
      <c r="L26" s="284">
        <f>+H26-I26+J26</f>
        <v>276244.08</v>
      </c>
      <c r="M26" s="377"/>
      <c r="N26" s="85" t="s">
        <v>162</v>
      </c>
      <c r="O26" s="85"/>
      <c r="P26" s="85"/>
      <c r="Q26" s="85"/>
      <c r="R26" s="85"/>
      <c r="S26" s="85"/>
      <c r="T26" s="85"/>
      <c r="U26" s="253">
        <f>+I26</f>
        <v>47007.92</v>
      </c>
      <c r="V26" s="122"/>
      <c r="W26" s="95">
        <v>15000</v>
      </c>
      <c r="X26" s="95">
        <v>20000</v>
      </c>
      <c r="Y26" s="95">
        <v>20000</v>
      </c>
      <c r="Z26" s="95">
        <v>25000</v>
      </c>
      <c r="AA26" s="95">
        <v>15000</v>
      </c>
      <c r="AB26" s="95">
        <v>25000</v>
      </c>
      <c r="AC26" s="95">
        <v>25000</v>
      </c>
      <c r="AD26" s="95">
        <v>25000</v>
      </c>
      <c r="AE26" s="95">
        <v>35000</v>
      </c>
      <c r="AF26" s="95">
        <v>35000</v>
      </c>
      <c r="AG26" s="95">
        <v>36244.080000000002</v>
      </c>
      <c r="AH26" s="95"/>
      <c r="AI26" s="95"/>
      <c r="AJ26" s="95"/>
      <c r="AK26" s="95"/>
      <c r="AL26" s="119"/>
      <c r="AM26" s="86"/>
      <c r="AN26" s="86"/>
      <c r="AO26" s="86"/>
      <c r="AQ26" s="144">
        <f>SUM(O26:AO26)</f>
        <v>323252</v>
      </c>
      <c r="AR26" s="144">
        <f>+K26-AQ26</f>
        <v>0</v>
      </c>
      <c r="AT26" s="372">
        <f>+F26*K26</f>
        <v>3617189.88</v>
      </c>
      <c r="AV26" s="263">
        <f>SUM(W26:AO26)</f>
        <v>276244.08</v>
      </c>
      <c r="AW26" s="263">
        <f>+L26-AV26</f>
        <v>0</v>
      </c>
      <c r="BA26" s="318">
        <f t="shared" si="2"/>
        <v>47007.92</v>
      </c>
    </row>
    <row r="27" spans="1:53" s="2" customFormat="1" ht="10.5" customHeight="1">
      <c r="A27" s="10" t="s">
        <v>12</v>
      </c>
      <c r="B27" s="15"/>
      <c r="C27" s="343"/>
      <c r="D27" s="340"/>
      <c r="E27" s="346"/>
      <c r="F27" s="389"/>
      <c r="G27" s="277"/>
      <c r="H27" s="277"/>
      <c r="I27" s="277"/>
      <c r="J27" s="221"/>
      <c r="K27" s="277"/>
      <c r="L27" s="277"/>
      <c r="M27" s="377"/>
      <c r="N27" s="87" t="s">
        <v>163</v>
      </c>
      <c r="O27" s="87"/>
      <c r="P27" s="87"/>
      <c r="Q27" s="87"/>
      <c r="R27" s="87"/>
      <c r="S27" s="87"/>
      <c r="T27" s="87"/>
      <c r="U27" s="254">
        <f>+U26/K26</f>
        <v>0.1454</v>
      </c>
      <c r="V27" s="120"/>
      <c r="W27" s="62">
        <f t="shared" ref="W27:AA27" si="10">+W26/$K26</f>
        <v>4.6399999999999997E-2</v>
      </c>
      <c r="X27" s="62">
        <f t="shared" si="10"/>
        <v>6.1899999999999997E-2</v>
      </c>
      <c r="Y27" s="62">
        <f t="shared" si="10"/>
        <v>6.1899999999999997E-2</v>
      </c>
      <c r="Z27" s="62">
        <f t="shared" si="10"/>
        <v>7.7299999999999994E-2</v>
      </c>
      <c r="AA27" s="62">
        <f t="shared" si="10"/>
        <v>4.6399999999999997E-2</v>
      </c>
      <c r="AB27" s="62">
        <f t="shared" ref="AB27:AI27" si="11">+AB26/$K26</f>
        <v>7.7299999999999994E-2</v>
      </c>
      <c r="AC27" s="62">
        <f t="shared" si="11"/>
        <v>7.7299999999999994E-2</v>
      </c>
      <c r="AD27" s="62">
        <f t="shared" si="11"/>
        <v>7.7299999999999994E-2</v>
      </c>
      <c r="AE27" s="62">
        <f t="shared" si="11"/>
        <v>0.10829999999999999</v>
      </c>
      <c r="AF27" s="62">
        <f t="shared" si="11"/>
        <v>0.10829999999999999</v>
      </c>
      <c r="AG27" s="62">
        <f t="shared" si="11"/>
        <v>0.11210000000000001</v>
      </c>
      <c r="AH27" s="62">
        <f t="shared" si="11"/>
        <v>0</v>
      </c>
      <c r="AI27" s="62">
        <f t="shared" si="11"/>
        <v>0</v>
      </c>
      <c r="AJ27" s="93"/>
      <c r="AK27" s="93"/>
      <c r="AL27" s="116"/>
      <c r="AM27" s="88"/>
      <c r="AN27" s="88"/>
      <c r="AO27" s="88"/>
      <c r="AQ27" s="149">
        <f>SUM(O27:AO27)</f>
        <v>0.99990000000000001</v>
      </c>
      <c r="AR27" s="146"/>
      <c r="AT27" s="389"/>
      <c r="AV27" s="83"/>
      <c r="AW27" s="83"/>
      <c r="BA27" s="318"/>
    </row>
    <row r="28" spans="1:53" s="2" customFormat="1" ht="10.5" hidden="1" customHeight="1">
      <c r="A28" s="11" t="s">
        <v>13</v>
      </c>
      <c r="B28" s="15"/>
      <c r="C28" s="343"/>
      <c r="D28" s="340"/>
      <c r="E28" s="346"/>
      <c r="F28" s="389"/>
      <c r="G28" s="277"/>
      <c r="H28" s="277"/>
      <c r="I28" s="277"/>
      <c r="J28" s="221"/>
      <c r="K28" s="277"/>
      <c r="L28" s="277"/>
      <c r="M28" s="377"/>
      <c r="N28" s="89"/>
      <c r="O28" s="89"/>
      <c r="P28" s="89"/>
      <c r="Q28" s="89"/>
      <c r="R28" s="89"/>
      <c r="S28" s="89"/>
      <c r="T28" s="89"/>
      <c r="U28" s="251"/>
      <c r="V28" s="120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93"/>
      <c r="AK28" s="93"/>
      <c r="AL28" s="116"/>
      <c r="AM28" s="88"/>
      <c r="AN28" s="88"/>
      <c r="AO28" s="88"/>
      <c r="AQ28" s="145"/>
      <c r="AR28" s="146"/>
      <c r="AT28" s="389"/>
      <c r="AV28" s="83"/>
      <c r="AW28" s="83"/>
      <c r="BA28" s="318">
        <f t="shared" si="2"/>
        <v>0</v>
      </c>
    </row>
    <row r="29" spans="1:53" s="2" customFormat="1" ht="10.5" customHeight="1">
      <c r="A29" s="12">
        <v>1</v>
      </c>
      <c r="B29" s="15"/>
      <c r="C29" s="344"/>
      <c r="D29" s="341"/>
      <c r="E29" s="347"/>
      <c r="F29" s="390"/>
      <c r="G29" s="307">
        <f>ROUND(G26*$F26,2)</f>
        <v>3354762</v>
      </c>
      <c r="H29" s="307">
        <f>ROUND(H26*$F26,2)</f>
        <v>3617189.88</v>
      </c>
      <c r="I29" s="307">
        <f>ROUND(I26*$F26,2)</f>
        <v>526018.62</v>
      </c>
      <c r="J29" s="246">
        <f>J26*$F26</f>
        <v>0</v>
      </c>
      <c r="K29" s="307">
        <f>ROUND(K26*$F26,2)</f>
        <v>3617189.88</v>
      </c>
      <c r="L29" s="307">
        <f>ROUND(L26*$F26,2)</f>
        <v>3091171.26</v>
      </c>
      <c r="M29" s="377"/>
      <c r="N29" s="90" t="s">
        <v>164</v>
      </c>
      <c r="O29" s="90"/>
      <c r="P29" s="90"/>
      <c r="Q29" s="90"/>
      <c r="R29" s="90"/>
      <c r="S29" s="90"/>
      <c r="T29" s="90"/>
      <c r="U29" s="256">
        <f>U26*$F26+0.02</f>
        <v>526018.64</v>
      </c>
      <c r="V29" s="122"/>
      <c r="W29" s="64">
        <f t="shared" ref="W29:AA29" si="12">W26*$F26</f>
        <v>167850</v>
      </c>
      <c r="X29" s="64">
        <f t="shared" si="12"/>
        <v>223800</v>
      </c>
      <c r="Y29" s="64">
        <f t="shared" si="12"/>
        <v>223800</v>
      </c>
      <c r="Z29" s="64">
        <f t="shared" si="12"/>
        <v>279750</v>
      </c>
      <c r="AA29" s="64">
        <f t="shared" si="12"/>
        <v>167850</v>
      </c>
      <c r="AB29" s="64">
        <f t="shared" ref="AB29:AH29" si="13">AB26*$F26</f>
        <v>279750</v>
      </c>
      <c r="AC29" s="64">
        <f t="shared" si="13"/>
        <v>279750</v>
      </c>
      <c r="AD29" s="64">
        <f t="shared" si="13"/>
        <v>279750</v>
      </c>
      <c r="AE29" s="64">
        <f t="shared" si="13"/>
        <v>391650</v>
      </c>
      <c r="AF29" s="64">
        <f t="shared" si="13"/>
        <v>391650</v>
      </c>
      <c r="AG29" s="64">
        <f>AG26*$F26-0.02</f>
        <v>405571.24</v>
      </c>
      <c r="AH29" s="64">
        <f t="shared" si="13"/>
        <v>0</v>
      </c>
      <c r="AI29" s="64">
        <f>AI26*$F26</f>
        <v>0</v>
      </c>
      <c r="AJ29" s="94"/>
      <c r="AK29" s="94"/>
      <c r="AL29" s="118"/>
      <c r="AM29" s="91"/>
      <c r="AN29" s="91"/>
      <c r="AO29" s="91"/>
      <c r="AQ29" s="69">
        <f>SUM(O29:AO29)</f>
        <v>3617189.88</v>
      </c>
      <c r="AR29" s="69">
        <f>+K29-AQ29</f>
        <v>0</v>
      </c>
      <c r="AT29" s="390"/>
      <c r="AV29" s="83"/>
      <c r="AW29" s="83"/>
      <c r="BA29" s="318"/>
    </row>
    <row r="30" spans="1:53" s="2" customFormat="1" ht="10.5" customHeight="1">
      <c r="A30" s="12"/>
      <c r="B30" s="15"/>
      <c r="C30" s="342">
        <v>6</v>
      </c>
      <c r="D30" s="339" t="s">
        <v>52</v>
      </c>
      <c r="E30" s="345" t="s">
        <v>233</v>
      </c>
      <c r="F30" s="372">
        <v>4.05</v>
      </c>
      <c r="G30" s="284">
        <v>409401</v>
      </c>
      <c r="H30" s="284">
        <v>471920.81</v>
      </c>
      <c r="I30" s="284">
        <v>165193.72</v>
      </c>
      <c r="J30" s="220"/>
      <c r="K30" s="284">
        <f>H30+J30</f>
        <v>471920.81</v>
      </c>
      <c r="L30" s="284">
        <f>+H30-I30+J30</f>
        <v>306727.09000000003</v>
      </c>
      <c r="M30" s="377"/>
      <c r="N30" s="85" t="s">
        <v>162</v>
      </c>
      <c r="O30" s="85"/>
      <c r="P30" s="85"/>
      <c r="Q30" s="85"/>
      <c r="R30" s="85"/>
      <c r="S30" s="85"/>
      <c r="T30" s="85"/>
      <c r="U30" s="253">
        <f>+I30</f>
        <v>165193.72</v>
      </c>
      <c r="V30" s="122"/>
      <c r="W30" s="61">
        <v>10000</v>
      </c>
      <c r="X30" s="61">
        <v>15000</v>
      </c>
      <c r="Y30" s="61">
        <v>15000</v>
      </c>
      <c r="Z30" s="61">
        <v>15000</v>
      </c>
      <c r="AA30" s="61">
        <v>15000</v>
      </c>
      <c r="AB30" s="61">
        <v>15000</v>
      </c>
      <c r="AC30" s="61">
        <v>15000</v>
      </c>
      <c r="AD30" s="61">
        <v>35000</v>
      </c>
      <c r="AE30" s="61">
        <v>35000</v>
      </c>
      <c r="AF30" s="61">
        <v>35000</v>
      </c>
      <c r="AG30" s="61">
        <v>35000</v>
      </c>
      <c r="AH30" s="61">
        <v>35000</v>
      </c>
      <c r="AI30" s="61">
        <v>31727.09</v>
      </c>
      <c r="AJ30" s="61"/>
      <c r="AK30" s="61"/>
      <c r="AL30" s="119"/>
      <c r="AM30" s="86"/>
      <c r="AN30" s="86"/>
      <c r="AO30" s="86"/>
      <c r="AQ30" s="144">
        <f>SUM(O30:AO30)</f>
        <v>471920.81</v>
      </c>
      <c r="AR30" s="144">
        <f>+K30-AQ30</f>
        <v>0</v>
      </c>
      <c r="AT30" s="372">
        <f>+F30*K30</f>
        <v>1911279.28</v>
      </c>
      <c r="AV30" s="263">
        <f>SUM(W30:AO30)</f>
        <v>306727.09000000003</v>
      </c>
      <c r="AW30" s="263">
        <f>+L30-AV30</f>
        <v>0</v>
      </c>
      <c r="BA30" s="318">
        <f t="shared" si="2"/>
        <v>165193.72</v>
      </c>
    </row>
    <row r="31" spans="1:53" s="2" customFormat="1" ht="10.5" customHeight="1">
      <c r="A31" s="10" t="s">
        <v>12</v>
      </c>
      <c r="B31" s="15"/>
      <c r="C31" s="343"/>
      <c r="D31" s="340"/>
      <c r="E31" s="346"/>
      <c r="F31" s="389"/>
      <c r="G31" s="277"/>
      <c r="H31" s="277"/>
      <c r="I31" s="277"/>
      <c r="J31" s="221"/>
      <c r="K31" s="277"/>
      <c r="L31" s="277"/>
      <c r="M31" s="377"/>
      <c r="N31" s="87" t="s">
        <v>163</v>
      </c>
      <c r="O31" s="87"/>
      <c r="P31" s="87"/>
      <c r="Q31" s="87"/>
      <c r="R31" s="87"/>
      <c r="S31" s="87"/>
      <c r="T31" s="87"/>
      <c r="U31" s="254">
        <f>+U30/K30</f>
        <v>0.35</v>
      </c>
      <c r="V31" s="120"/>
      <c r="W31" s="62">
        <f t="shared" ref="W31:AK31" si="14">+W30/$K30</f>
        <v>2.12E-2</v>
      </c>
      <c r="X31" s="62">
        <f t="shared" si="14"/>
        <v>3.1800000000000002E-2</v>
      </c>
      <c r="Y31" s="62">
        <f t="shared" si="14"/>
        <v>3.1800000000000002E-2</v>
      </c>
      <c r="Z31" s="62">
        <f t="shared" si="14"/>
        <v>3.1800000000000002E-2</v>
      </c>
      <c r="AA31" s="62">
        <f t="shared" si="14"/>
        <v>3.1800000000000002E-2</v>
      </c>
      <c r="AB31" s="62">
        <f t="shared" si="14"/>
        <v>3.1800000000000002E-2</v>
      </c>
      <c r="AC31" s="62">
        <f t="shared" si="14"/>
        <v>3.1800000000000002E-2</v>
      </c>
      <c r="AD31" s="62">
        <f t="shared" si="14"/>
        <v>7.4200000000000002E-2</v>
      </c>
      <c r="AE31" s="62">
        <f t="shared" si="14"/>
        <v>7.4200000000000002E-2</v>
      </c>
      <c r="AF31" s="62">
        <f t="shared" si="14"/>
        <v>7.4200000000000002E-2</v>
      </c>
      <c r="AG31" s="62">
        <f t="shared" si="14"/>
        <v>7.4200000000000002E-2</v>
      </c>
      <c r="AH31" s="62">
        <f t="shared" si="14"/>
        <v>7.4200000000000002E-2</v>
      </c>
      <c r="AI31" s="62">
        <f t="shared" si="14"/>
        <v>6.7199999999999996E-2</v>
      </c>
      <c r="AJ31" s="62">
        <f t="shared" si="14"/>
        <v>0</v>
      </c>
      <c r="AK31" s="62">
        <f t="shared" si="14"/>
        <v>0</v>
      </c>
      <c r="AL31" s="116"/>
      <c r="AM31" s="88"/>
      <c r="AN31" s="88"/>
      <c r="AO31" s="88"/>
      <c r="AQ31" s="149">
        <f>SUM(O31:AO31)</f>
        <v>1.0002</v>
      </c>
      <c r="AR31" s="146"/>
      <c r="AT31" s="389"/>
      <c r="AV31" s="83"/>
      <c r="AW31" s="83"/>
      <c r="BA31" s="318"/>
    </row>
    <row r="32" spans="1:53" s="2" customFormat="1" ht="10.5" hidden="1" customHeight="1">
      <c r="A32" s="11" t="s">
        <v>13</v>
      </c>
      <c r="B32" s="15"/>
      <c r="C32" s="343"/>
      <c r="D32" s="340"/>
      <c r="E32" s="346"/>
      <c r="F32" s="389"/>
      <c r="G32" s="277"/>
      <c r="H32" s="277"/>
      <c r="I32" s="277"/>
      <c r="J32" s="221"/>
      <c r="K32" s="277"/>
      <c r="L32" s="277"/>
      <c r="M32" s="377"/>
      <c r="N32" s="89"/>
      <c r="O32" s="89"/>
      <c r="P32" s="89"/>
      <c r="Q32" s="89"/>
      <c r="R32" s="89"/>
      <c r="S32" s="89"/>
      <c r="T32" s="89"/>
      <c r="U32" s="255"/>
      <c r="V32" s="120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116"/>
      <c r="AM32" s="88"/>
      <c r="AN32" s="88"/>
      <c r="AO32" s="88"/>
      <c r="AQ32" s="145"/>
      <c r="AR32" s="146"/>
      <c r="AT32" s="389"/>
      <c r="AV32" s="83"/>
      <c r="AW32" s="83"/>
      <c r="BA32" s="318">
        <f t="shared" si="2"/>
        <v>0</v>
      </c>
    </row>
    <row r="33" spans="1:53" s="2" customFormat="1" ht="10.5" customHeight="1">
      <c r="A33" s="12">
        <v>1</v>
      </c>
      <c r="B33" s="15"/>
      <c r="C33" s="344"/>
      <c r="D33" s="341"/>
      <c r="E33" s="347"/>
      <c r="F33" s="390"/>
      <c r="G33" s="307">
        <f>ROUND(G30*$F30,2)</f>
        <v>1658074.05</v>
      </c>
      <c r="H33" s="307">
        <f>ROUND(H30*$F30,2)</f>
        <v>1911279.28</v>
      </c>
      <c r="I33" s="307">
        <f>ROUND(I30*$F30,2)</f>
        <v>669034.56999999995</v>
      </c>
      <c r="J33" s="246">
        <f>J30*$F30</f>
        <v>0</v>
      </c>
      <c r="K33" s="307">
        <f>ROUND(K30*$F30,2)</f>
        <v>1911279.28</v>
      </c>
      <c r="L33" s="307">
        <f>ROUND(L30*$F30,2)</f>
        <v>1242244.71</v>
      </c>
      <c r="M33" s="377"/>
      <c r="N33" s="90" t="s">
        <v>164</v>
      </c>
      <c r="O33" s="90"/>
      <c r="P33" s="90"/>
      <c r="Q33" s="90"/>
      <c r="R33" s="90"/>
      <c r="S33" s="90"/>
      <c r="T33" s="90"/>
      <c r="U33" s="256">
        <f>U30*$F30</f>
        <v>669034.56999999995</v>
      </c>
      <c r="V33" s="122"/>
      <c r="W33" s="64">
        <f t="shared" ref="W33:AK33" si="15">W30*$F30</f>
        <v>40500</v>
      </c>
      <c r="X33" s="64">
        <f t="shared" si="15"/>
        <v>60750</v>
      </c>
      <c r="Y33" s="64">
        <f t="shared" si="15"/>
        <v>60750</v>
      </c>
      <c r="Z33" s="64">
        <f t="shared" si="15"/>
        <v>60750</v>
      </c>
      <c r="AA33" s="64">
        <f t="shared" si="15"/>
        <v>60750</v>
      </c>
      <c r="AB33" s="64">
        <f t="shared" si="15"/>
        <v>60750</v>
      </c>
      <c r="AC33" s="64">
        <f t="shared" si="15"/>
        <v>60750</v>
      </c>
      <c r="AD33" s="64">
        <f t="shared" si="15"/>
        <v>141750</v>
      </c>
      <c r="AE33" s="64">
        <f t="shared" si="15"/>
        <v>141750</v>
      </c>
      <c r="AF33" s="64">
        <f t="shared" si="15"/>
        <v>141750</v>
      </c>
      <c r="AG33" s="64">
        <f t="shared" si="15"/>
        <v>141750</v>
      </c>
      <c r="AH33" s="64">
        <f t="shared" si="15"/>
        <v>141750</v>
      </c>
      <c r="AI33" s="64">
        <f>AI30*$F30</f>
        <v>128494.71</v>
      </c>
      <c r="AJ33" s="64">
        <f t="shared" si="15"/>
        <v>0</v>
      </c>
      <c r="AK33" s="64">
        <f t="shared" si="15"/>
        <v>0</v>
      </c>
      <c r="AL33" s="118"/>
      <c r="AM33" s="91"/>
      <c r="AN33" s="91"/>
      <c r="AO33" s="91"/>
      <c r="AQ33" s="69">
        <f>SUM(O33:AO33)</f>
        <v>1911279.28</v>
      </c>
      <c r="AR33" s="69">
        <f>+K33-AQ33</f>
        <v>0</v>
      </c>
      <c r="AT33" s="390"/>
      <c r="AV33" s="83"/>
      <c r="AW33" s="83"/>
      <c r="BA33" s="318"/>
    </row>
    <row r="34" spans="1:53" s="2" customFormat="1" ht="10.5" customHeight="1">
      <c r="A34" s="12"/>
      <c r="B34" s="15"/>
      <c r="C34" s="342">
        <v>7</v>
      </c>
      <c r="D34" s="339" t="s">
        <v>53</v>
      </c>
      <c r="E34" s="345" t="s">
        <v>233</v>
      </c>
      <c r="F34" s="372">
        <v>19.71</v>
      </c>
      <c r="G34" s="284">
        <v>75744</v>
      </c>
      <c r="H34" s="284">
        <v>75744</v>
      </c>
      <c r="I34" s="284">
        <v>9913.26</v>
      </c>
      <c r="J34" s="220"/>
      <c r="K34" s="284">
        <f>H34+J34</f>
        <v>75744</v>
      </c>
      <c r="L34" s="284">
        <f>+H34-I34+J34</f>
        <v>65830.740000000005</v>
      </c>
      <c r="M34" s="377"/>
      <c r="N34" s="85" t="s">
        <v>162</v>
      </c>
      <c r="O34" s="85"/>
      <c r="P34" s="85"/>
      <c r="Q34" s="85"/>
      <c r="R34" s="85"/>
      <c r="S34" s="85"/>
      <c r="T34" s="85"/>
      <c r="U34" s="253">
        <f>+I34</f>
        <v>9913.26</v>
      </c>
      <c r="V34" s="122"/>
      <c r="W34" s="95"/>
      <c r="X34" s="95"/>
      <c r="Y34" s="95"/>
      <c r="Z34" s="95"/>
      <c r="AA34" s="95"/>
      <c r="AB34" s="95">
        <v>5000</v>
      </c>
      <c r="AC34" s="95">
        <v>10000</v>
      </c>
      <c r="AD34" s="95">
        <v>10000</v>
      </c>
      <c r="AE34" s="95">
        <v>15000</v>
      </c>
      <c r="AF34" s="95">
        <v>15000</v>
      </c>
      <c r="AG34" s="95">
        <v>6000</v>
      </c>
      <c r="AH34" s="95">
        <v>4830.74</v>
      </c>
      <c r="AI34" s="95"/>
      <c r="AJ34" s="95"/>
      <c r="AK34" s="95"/>
      <c r="AL34" s="119"/>
      <c r="AM34" s="86"/>
      <c r="AN34" s="86"/>
      <c r="AO34" s="86"/>
      <c r="AQ34" s="144">
        <f>SUM(O34:AO34)</f>
        <v>75744</v>
      </c>
      <c r="AR34" s="144">
        <f>+K34-AQ34</f>
        <v>0</v>
      </c>
      <c r="AT34" s="372">
        <f>+F34*K34</f>
        <v>1492914.24</v>
      </c>
      <c r="AV34" s="263">
        <f>SUM(W34:AO34)</f>
        <v>65830.740000000005</v>
      </c>
      <c r="AW34" s="263">
        <f>+L34-AV34</f>
        <v>0</v>
      </c>
      <c r="BA34" s="318">
        <f t="shared" si="2"/>
        <v>9913.26</v>
      </c>
    </row>
    <row r="35" spans="1:53" s="2" customFormat="1" ht="10.5" customHeight="1">
      <c r="A35" s="10" t="s">
        <v>12</v>
      </c>
      <c r="B35" s="15"/>
      <c r="C35" s="343"/>
      <c r="D35" s="340"/>
      <c r="E35" s="346"/>
      <c r="F35" s="389"/>
      <c r="G35" s="277"/>
      <c r="H35" s="277"/>
      <c r="I35" s="277"/>
      <c r="J35" s="221"/>
      <c r="K35" s="277"/>
      <c r="L35" s="277"/>
      <c r="M35" s="377"/>
      <c r="N35" s="87" t="s">
        <v>163</v>
      </c>
      <c r="O35" s="87"/>
      <c r="P35" s="87"/>
      <c r="Q35" s="87"/>
      <c r="R35" s="87"/>
      <c r="S35" s="87"/>
      <c r="T35" s="87"/>
      <c r="U35" s="254">
        <f>+U34/K34</f>
        <v>0.13089999999999999</v>
      </c>
      <c r="V35" s="120"/>
      <c r="W35" s="93"/>
      <c r="X35" s="93"/>
      <c r="Y35" s="93"/>
      <c r="Z35" s="93"/>
      <c r="AA35" s="93"/>
      <c r="AB35" s="62">
        <f t="shared" ref="AB35:AH35" si="16">+AB34/$K34</f>
        <v>6.6000000000000003E-2</v>
      </c>
      <c r="AC35" s="62">
        <f t="shared" si="16"/>
        <v>0.13200000000000001</v>
      </c>
      <c r="AD35" s="62">
        <f t="shared" si="16"/>
        <v>0.13200000000000001</v>
      </c>
      <c r="AE35" s="62">
        <f t="shared" si="16"/>
        <v>0.19800000000000001</v>
      </c>
      <c r="AF35" s="62">
        <f t="shared" si="16"/>
        <v>0.19800000000000001</v>
      </c>
      <c r="AG35" s="62">
        <f t="shared" si="16"/>
        <v>7.9200000000000007E-2</v>
      </c>
      <c r="AH35" s="62">
        <f t="shared" si="16"/>
        <v>6.3799999999999996E-2</v>
      </c>
      <c r="AI35" s="93"/>
      <c r="AJ35" s="93"/>
      <c r="AK35" s="62">
        <f>+AK34/$K34</f>
        <v>0</v>
      </c>
      <c r="AL35" s="116"/>
      <c r="AM35" s="88"/>
      <c r="AN35" s="88"/>
      <c r="AO35" s="88"/>
      <c r="AQ35" s="149">
        <f>SUM(O35:AO35)</f>
        <v>0.99990000000000001</v>
      </c>
      <c r="AR35" s="146"/>
      <c r="AT35" s="389"/>
      <c r="AV35" s="83"/>
      <c r="AW35" s="83"/>
      <c r="BA35" s="318"/>
    </row>
    <row r="36" spans="1:53" s="2" customFormat="1" ht="10.5" hidden="1" customHeight="1">
      <c r="A36" s="11" t="s">
        <v>13</v>
      </c>
      <c r="B36" s="15"/>
      <c r="C36" s="343"/>
      <c r="D36" s="340"/>
      <c r="E36" s="346"/>
      <c r="F36" s="389"/>
      <c r="G36" s="277"/>
      <c r="H36" s="277"/>
      <c r="I36" s="277"/>
      <c r="J36" s="221"/>
      <c r="K36" s="277"/>
      <c r="L36" s="277"/>
      <c r="M36" s="377"/>
      <c r="N36" s="89"/>
      <c r="O36" s="89"/>
      <c r="P36" s="89"/>
      <c r="Q36" s="89"/>
      <c r="R36" s="89"/>
      <c r="S36" s="89"/>
      <c r="T36" s="89"/>
      <c r="U36" s="255"/>
      <c r="V36" s="120"/>
      <c r="W36" s="93"/>
      <c r="X36" s="93"/>
      <c r="Y36" s="93"/>
      <c r="Z36" s="93"/>
      <c r="AA36" s="93"/>
      <c r="AB36" s="63"/>
      <c r="AC36" s="63"/>
      <c r="AD36" s="63"/>
      <c r="AE36" s="63"/>
      <c r="AF36" s="63"/>
      <c r="AG36" s="63"/>
      <c r="AH36" s="63"/>
      <c r="AI36" s="93"/>
      <c r="AJ36" s="93"/>
      <c r="AK36" s="63"/>
      <c r="AL36" s="116"/>
      <c r="AM36" s="88"/>
      <c r="AN36" s="88"/>
      <c r="AO36" s="88"/>
      <c r="AQ36" s="145"/>
      <c r="AR36" s="146"/>
      <c r="AT36" s="389"/>
      <c r="AV36" s="83"/>
      <c r="AW36" s="83"/>
      <c r="BA36" s="318">
        <f t="shared" si="2"/>
        <v>0</v>
      </c>
    </row>
    <row r="37" spans="1:53" s="2" customFormat="1" ht="10.5" customHeight="1">
      <c r="A37" s="12">
        <v>1</v>
      </c>
      <c r="B37" s="15"/>
      <c r="C37" s="344"/>
      <c r="D37" s="341"/>
      <c r="E37" s="347"/>
      <c r="F37" s="390"/>
      <c r="G37" s="307">
        <f>ROUND(G34*$F34,2)</f>
        <v>1492914.24</v>
      </c>
      <c r="H37" s="307">
        <f>ROUND(H34*$F34,2)</f>
        <v>1492914.24</v>
      </c>
      <c r="I37" s="307">
        <f>ROUND(I34*$F34,2)</f>
        <v>195390.35</v>
      </c>
      <c r="J37" s="246">
        <f>J34*$F34</f>
        <v>0</v>
      </c>
      <c r="K37" s="307">
        <f>ROUND(K34*$F34,2)</f>
        <v>1492914.24</v>
      </c>
      <c r="L37" s="307">
        <f>ROUND(L34*$F34,2)</f>
        <v>1297523.8899999999</v>
      </c>
      <c r="M37" s="377"/>
      <c r="N37" s="90" t="s">
        <v>164</v>
      </c>
      <c r="O37" s="90"/>
      <c r="P37" s="90"/>
      <c r="Q37" s="90"/>
      <c r="R37" s="90"/>
      <c r="S37" s="90"/>
      <c r="T37" s="90"/>
      <c r="U37" s="256">
        <f>U34*$F34</f>
        <v>195390.35</v>
      </c>
      <c r="V37" s="122"/>
      <c r="W37" s="94"/>
      <c r="X37" s="94"/>
      <c r="Y37" s="94"/>
      <c r="Z37" s="94"/>
      <c r="AA37" s="94"/>
      <c r="AB37" s="64">
        <f>AB34*$F34</f>
        <v>98550</v>
      </c>
      <c r="AC37" s="64">
        <f t="shared" ref="AC37:AH37" si="17">AC34*$F34</f>
        <v>197100</v>
      </c>
      <c r="AD37" s="64">
        <f t="shared" si="17"/>
        <v>197100</v>
      </c>
      <c r="AE37" s="64">
        <f t="shared" si="17"/>
        <v>295650</v>
      </c>
      <c r="AF37" s="64">
        <f t="shared" si="17"/>
        <v>295650</v>
      </c>
      <c r="AG37" s="64">
        <f t="shared" si="17"/>
        <v>118260</v>
      </c>
      <c r="AH37" s="64">
        <f t="shared" si="17"/>
        <v>95213.89</v>
      </c>
      <c r="AI37" s="94"/>
      <c r="AJ37" s="94"/>
      <c r="AK37" s="64">
        <f>AK34*$F34</f>
        <v>0</v>
      </c>
      <c r="AL37" s="118"/>
      <c r="AM37" s="91"/>
      <c r="AN37" s="91"/>
      <c r="AO37" s="91"/>
      <c r="AQ37" s="69">
        <f>SUM(O37:AO37)</f>
        <v>1492914.24</v>
      </c>
      <c r="AR37" s="69">
        <f>+K37-AQ37</f>
        <v>0</v>
      </c>
      <c r="AT37" s="390"/>
      <c r="AV37" s="83"/>
      <c r="AW37" s="83"/>
      <c r="BA37" s="318"/>
    </row>
    <row r="38" spans="1:53" s="2" customFormat="1" ht="10.5" customHeight="1">
      <c r="A38" s="12"/>
      <c r="B38" s="15"/>
      <c r="C38" s="342">
        <v>8</v>
      </c>
      <c r="D38" s="339" t="s">
        <v>54</v>
      </c>
      <c r="E38" s="345" t="s">
        <v>234</v>
      </c>
      <c r="F38" s="372">
        <v>2.48</v>
      </c>
      <c r="G38" s="284">
        <v>152240</v>
      </c>
      <c r="H38" s="284">
        <v>157482.35999999999</v>
      </c>
      <c r="I38" s="284">
        <v>9504.2800000000007</v>
      </c>
      <c r="J38" s="220"/>
      <c r="K38" s="284">
        <f>H38+J38</f>
        <v>157482.35999999999</v>
      </c>
      <c r="L38" s="284">
        <f>+H38-I38+J38</f>
        <v>147978.07999999999</v>
      </c>
      <c r="M38" s="377"/>
      <c r="N38" s="85" t="s">
        <v>162</v>
      </c>
      <c r="O38" s="85"/>
      <c r="P38" s="85"/>
      <c r="Q38" s="85"/>
      <c r="R38" s="85"/>
      <c r="S38" s="85"/>
      <c r="T38" s="85"/>
      <c r="U38" s="253">
        <f>+I38</f>
        <v>9504.2800000000007</v>
      </c>
      <c r="V38" s="122"/>
      <c r="W38" s="61">
        <v>1500</v>
      </c>
      <c r="X38" s="61">
        <v>1500</v>
      </c>
      <c r="Y38" s="61">
        <v>1500</v>
      </c>
      <c r="Z38" s="61">
        <v>1500</v>
      </c>
      <c r="AA38" s="61">
        <v>1500</v>
      </c>
      <c r="AB38" s="61">
        <v>1500</v>
      </c>
      <c r="AC38" s="61">
        <v>1500</v>
      </c>
      <c r="AD38" s="61">
        <v>23500</v>
      </c>
      <c r="AE38" s="61">
        <v>23500</v>
      </c>
      <c r="AF38" s="61">
        <v>23500</v>
      </c>
      <c r="AG38" s="61">
        <v>23500</v>
      </c>
      <c r="AH38" s="61">
        <v>23500</v>
      </c>
      <c r="AI38" s="61">
        <v>19978.080000000002</v>
      </c>
      <c r="AJ38" s="95"/>
      <c r="AK38" s="95"/>
      <c r="AL38" s="119"/>
      <c r="AM38" s="86"/>
      <c r="AN38" s="86"/>
      <c r="AO38" s="86"/>
      <c r="AQ38" s="144">
        <f>SUM(O38:AO38)</f>
        <v>157482.35999999999</v>
      </c>
      <c r="AR38" s="144">
        <f>+K38-AQ38</f>
        <v>0</v>
      </c>
      <c r="AT38" s="372">
        <f>+F38*K38</f>
        <v>390556.25</v>
      </c>
      <c r="AV38" s="263">
        <f>SUM(W38:AO38)</f>
        <v>147978.07999999999</v>
      </c>
      <c r="AW38" s="263">
        <f>+L38-AV38</f>
        <v>0</v>
      </c>
      <c r="BA38" s="318">
        <f t="shared" si="2"/>
        <v>9504.2800000000007</v>
      </c>
    </row>
    <row r="39" spans="1:53" s="2" customFormat="1" ht="10.5" customHeight="1">
      <c r="A39" s="10" t="s">
        <v>12</v>
      </c>
      <c r="B39" s="15"/>
      <c r="C39" s="343"/>
      <c r="D39" s="340"/>
      <c r="E39" s="346"/>
      <c r="F39" s="389"/>
      <c r="G39" s="277"/>
      <c r="H39" s="277"/>
      <c r="I39" s="277"/>
      <c r="J39" s="221"/>
      <c r="K39" s="277"/>
      <c r="L39" s="277"/>
      <c r="M39" s="377"/>
      <c r="N39" s="87" t="s">
        <v>163</v>
      </c>
      <c r="O39" s="87"/>
      <c r="P39" s="87"/>
      <c r="Q39" s="87"/>
      <c r="R39" s="87"/>
      <c r="S39" s="87"/>
      <c r="T39" s="87"/>
      <c r="U39" s="254">
        <f>+U38/K38</f>
        <v>6.0400000000000002E-2</v>
      </c>
      <c r="V39" s="120"/>
      <c r="W39" s="62">
        <f t="shared" ref="W39:AD39" si="18">+W38/$K38</f>
        <v>9.4999999999999998E-3</v>
      </c>
      <c r="X39" s="62">
        <f t="shared" si="18"/>
        <v>9.4999999999999998E-3</v>
      </c>
      <c r="Y39" s="62">
        <f t="shared" si="18"/>
        <v>9.4999999999999998E-3</v>
      </c>
      <c r="Z39" s="62">
        <f t="shared" si="18"/>
        <v>9.4999999999999998E-3</v>
      </c>
      <c r="AA39" s="62">
        <f t="shared" si="18"/>
        <v>9.4999999999999998E-3</v>
      </c>
      <c r="AB39" s="62">
        <f t="shared" si="18"/>
        <v>9.4999999999999998E-3</v>
      </c>
      <c r="AC39" s="62">
        <f t="shared" si="18"/>
        <v>9.4999999999999998E-3</v>
      </c>
      <c r="AD39" s="62">
        <f t="shared" si="18"/>
        <v>0.1492</v>
      </c>
      <c r="AE39" s="62">
        <f>+AE38/$K38</f>
        <v>0.1492</v>
      </c>
      <c r="AF39" s="62">
        <f>+AF38/$K38</f>
        <v>0.1492</v>
      </c>
      <c r="AG39" s="62">
        <f>+AG38/$K38</f>
        <v>0.1492</v>
      </c>
      <c r="AH39" s="62">
        <f>+AH38/$K38</f>
        <v>0.1492</v>
      </c>
      <c r="AI39" s="62">
        <f>+AI38/$K38</f>
        <v>0.12690000000000001</v>
      </c>
      <c r="AJ39" s="93"/>
      <c r="AK39" s="93"/>
      <c r="AL39" s="116"/>
      <c r="AM39" s="88"/>
      <c r="AN39" s="88"/>
      <c r="AO39" s="88"/>
      <c r="AQ39" s="149">
        <f>SUM(O39:AO39)</f>
        <v>0.99980000000000002</v>
      </c>
      <c r="AR39" s="146"/>
      <c r="AT39" s="389"/>
      <c r="AV39" s="83"/>
      <c r="AW39" s="83"/>
      <c r="BA39" s="318"/>
    </row>
    <row r="40" spans="1:53" s="2" customFormat="1" ht="10.5" hidden="1" customHeight="1">
      <c r="A40" s="11" t="s">
        <v>13</v>
      </c>
      <c r="B40" s="15"/>
      <c r="C40" s="343"/>
      <c r="D40" s="340"/>
      <c r="E40" s="346"/>
      <c r="F40" s="389"/>
      <c r="G40" s="277"/>
      <c r="H40" s="277"/>
      <c r="I40" s="277"/>
      <c r="J40" s="221"/>
      <c r="K40" s="277"/>
      <c r="L40" s="277"/>
      <c r="M40" s="377"/>
      <c r="N40" s="89"/>
      <c r="O40" s="89"/>
      <c r="P40" s="89"/>
      <c r="Q40" s="89"/>
      <c r="R40" s="89"/>
      <c r="S40" s="89"/>
      <c r="T40" s="89"/>
      <c r="U40" s="251"/>
      <c r="V40" s="120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93"/>
      <c r="AK40" s="93"/>
      <c r="AL40" s="116"/>
      <c r="AM40" s="88"/>
      <c r="AN40" s="88"/>
      <c r="AO40" s="88"/>
      <c r="AQ40" s="145"/>
      <c r="AR40" s="146"/>
      <c r="AT40" s="389"/>
      <c r="AV40" s="83"/>
      <c r="AW40" s="83"/>
      <c r="BA40" s="318">
        <f t="shared" si="2"/>
        <v>0</v>
      </c>
    </row>
    <row r="41" spans="1:53" s="2" customFormat="1" ht="10.5" customHeight="1">
      <c r="A41" s="12">
        <v>1</v>
      </c>
      <c r="B41" s="15"/>
      <c r="C41" s="344"/>
      <c r="D41" s="341"/>
      <c r="E41" s="347"/>
      <c r="F41" s="390"/>
      <c r="G41" s="307">
        <f>ROUND(G38*$F38,2)</f>
        <v>377555.20000000001</v>
      </c>
      <c r="H41" s="307">
        <f>ROUND(H38*$F38,2)</f>
        <v>390556.25</v>
      </c>
      <c r="I41" s="307">
        <f>ROUND(I38*$F38,2)</f>
        <v>23570.61</v>
      </c>
      <c r="J41" s="246">
        <f>J38*$F38</f>
        <v>0</v>
      </c>
      <c r="K41" s="307">
        <f>ROUND(K38*$F38,2)</f>
        <v>390556.25</v>
      </c>
      <c r="L41" s="307">
        <f>ROUND(L38*$F38,2)</f>
        <v>366985.64</v>
      </c>
      <c r="M41" s="377"/>
      <c r="N41" s="90" t="s">
        <v>164</v>
      </c>
      <c r="O41" s="90"/>
      <c r="P41" s="90"/>
      <c r="Q41" s="90"/>
      <c r="R41" s="90"/>
      <c r="S41" s="90"/>
      <c r="T41" s="90"/>
      <c r="U41" s="256">
        <f>U38*$F38</f>
        <v>23570.61</v>
      </c>
      <c r="V41" s="122"/>
      <c r="W41" s="64">
        <f>W38*$F38</f>
        <v>3720</v>
      </c>
      <c r="X41" s="64">
        <f t="shared" ref="X41:AC41" si="19">X38*$F38</f>
        <v>3720</v>
      </c>
      <c r="Y41" s="64">
        <f t="shared" si="19"/>
        <v>3720</v>
      </c>
      <c r="Z41" s="64">
        <f t="shared" si="19"/>
        <v>3720</v>
      </c>
      <c r="AA41" s="64">
        <f t="shared" si="19"/>
        <v>3720</v>
      </c>
      <c r="AB41" s="64">
        <f t="shared" si="19"/>
        <v>3720</v>
      </c>
      <c r="AC41" s="64">
        <f t="shared" si="19"/>
        <v>3720</v>
      </c>
      <c r="AD41" s="64">
        <f t="shared" ref="AD41:AI41" si="20">AD38*$F38</f>
        <v>58280</v>
      </c>
      <c r="AE41" s="64">
        <f t="shared" si="20"/>
        <v>58280</v>
      </c>
      <c r="AF41" s="64">
        <f t="shared" si="20"/>
        <v>58280</v>
      </c>
      <c r="AG41" s="64">
        <f t="shared" si="20"/>
        <v>58280</v>
      </c>
      <c r="AH41" s="64">
        <f t="shared" si="20"/>
        <v>58280</v>
      </c>
      <c r="AI41" s="64">
        <f t="shared" si="20"/>
        <v>49545.64</v>
      </c>
      <c r="AJ41" s="94"/>
      <c r="AK41" s="94"/>
      <c r="AL41" s="118"/>
      <c r="AM41" s="91"/>
      <c r="AN41" s="91"/>
      <c r="AO41" s="91"/>
      <c r="AQ41" s="69">
        <f>SUM(O41:AO41)</f>
        <v>390556.25</v>
      </c>
      <c r="AR41" s="69">
        <f>+K41-AQ41</f>
        <v>0</v>
      </c>
      <c r="AT41" s="390"/>
      <c r="AV41" s="83"/>
      <c r="AW41" s="83"/>
      <c r="BA41" s="318"/>
    </row>
    <row r="42" spans="1:53" s="2" customFormat="1" ht="10.5" customHeight="1">
      <c r="A42" s="12"/>
      <c r="B42" s="15"/>
      <c r="C42" s="342">
        <v>9</v>
      </c>
      <c r="D42" s="339" t="s">
        <v>55</v>
      </c>
      <c r="E42" s="345" t="s">
        <v>234</v>
      </c>
      <c r="F42" s="372">
        <v>2.2200000000000002</v>
      </c>
      <c r="G42" s="284">
        <v>1647249</v>
      </c>
      <c r="H42" s="284">
        <v>1650035.58</v>
      </c>
      <c r="I42" s="284">
        <v>172514.55</v>
      </c>
      <c r="J42" s="220"/>
      <c r="K42" s="284">
        <f>H42+J42</f>
        <v>1650035.58</v>
      </c>
      <c r="L42" s="284">
        <f>+H42-I42+J42</f>
        <v>1477521.03</v>
      </c>
      <c r="M42" s="377"/>
      <c r="N42" s="85" t="s">
        <v>162</v>
      </c>
      <c r="O42" s="85"/>
      <c r="P42" s="85"/>
      <c r="Q42" s="85"/>
      <c r="R42" s="85"/>
      <c r="S42" s="85"/>
      <c r="T42" s="85"/>
      <c r="U42" s="253">
        <f>+I42</f>
        <v>172514.55</v>
      </c>
      <c r="V42" s="122"/>
      <c r="W42" s="61">
        <v>3500</v>
      </c>
      <c r="X42" s="61">
        <v>4500</v>
      </c>
      <c r="Y42" s="61">
        <v>4500</v>
      </c>
      <c r="Z42" s="61">
        <v>5000</v>
      </c>
      <c r="AA42" s="61">
        <f>+AA22*5</f>
        <v>25000</v>
      </c>
      <c r="AB42" s="61">
        <f>+AB22*5</f>
        <v>25000</v>
      </c>
      <c r="AC42" s="61">
        <f>+AC22*5</f>
        <v>25000</v>
      </c>
      <c r="AD42" s="61">
        <v>250000</v>
      </c>
      <c r="AE42" s="61">
        <v>250000</v>
      </c>
      <c r="AF42" s="61">
        <v>250000</v>
      </c>
      <c r="AG42" s="61">
        <v>266000</v>
      </c>
      <c r="AH42" s="61">
        <v>369021.03</v>
      </c>
      <c r="AI42" s="61"/>
      <c r="AJ42" s="61">
        <f>+AJ22*10</f>
        <v>0</v>
      </c>
      <c r="AK42" s="61">
        <f>+AK22*10</f>
        <v>0</v>
      </c>
      <c r="AL42" s="119"/>
      <c r="AM42" s="86"/>
      <c r="AN42" s="86"/>
      <c r="AO42" s="86"/>
      <c r="AQ42" s="144">
        <f>SUM(O42:AO42)</f>
        <v>1650035.58</v>
      </c>
      <c r="AR42" s="144">
        <f>+K42-AQ42</f>
        <v>0</v>
      </c>
      <c r="AT42" s="372">
        <f>+F42*K42</f>
        <v>3663078.99</v>
      </c>
      <c r="AV42" s="263">
        <f>SUM(W42:AO42)</f>
        <v>1477521.03</v>
      </c>
      <c r="AW42" s="263">
        <f>+L42-AV42</f>
        <v>0</v>
      </c>
      <c r="BA42" s="318">
        <f t="shared" si="2"/>
        <v>172514.55</v>
      </c>
    </row>
    <row r="43" spans="1:53" s="2" customFormat="1" ht="10.5" customHeight="1">
      <c r="A43" s="10" t="s">
        <v>12</v>
      </c>
      <c r="B43" s="15"/>
      <c r="C43" s="343"/>
      <c r="D43" s="340"/>
      <c r="E43" s="346"/>
      <c r="F43" s="389"/>
      <c r="G43" s="277"/>
      <c r="H43" s="277"/>
      <c r="I43" s="277"/>
      <c r="J43" s="221"/>
      <c r="K43" s="277"/>
      <c r="L43" s="277"/>
      <c r="M43" s="377"/>
      <c r="N43" s="87" t="s">
        <v>163</v>
      </c>
      <c r="O43" s="87"/>
      <c r="P43" s="87"/>
      <c r="Q43" s="87"/>
      <c r="R43" s="87"/>
      <c r="S43" s="87"/>
      <c r="T43" s="87"/>
      <c r="U43" s="254">
        <f>+U42/K42</f>
        <v>0.1046</v>
      </c>
      <c r="V43" s="120"/>
      <c r="W43" s="62">
        <f t="shared" ref="W43:AK43" si="21">+W42/$K42</f>
        <v>2.0999999999999999E-3</v>
      </c>
      <c r="X43" s="62">
        <f t="shared" si="21"/>
        <v>2.7000000000000001E-3</v>
      </c>
      <c r="Y43" s="62">
        <f t="shared" si="21"/>
        <v>2.7000000000000001E-3</v>
      </c>
      <c r="Z43" s="62">
        <f t="shared" si="21"/>
        <v>3.0000000000000001E-3</v>
      </c>
      <c r="AA43" s="62">
        <f t="shared" si="21"/>
        <v>1.52E-2</v>
      </c>
      <c r="AB43" s="62">
        <f t="shared" si="21"/>
        <v>1.52E-2</v>
      </c>
      <c r="AC43" s="62">
        <f t="shared" si="21"/>
        <v>1.52E-2</v>
      </c>
      <c r="AD43" s="62">
        <f t="shared" ref="AD43:AI43" si="22">+AD42/$K42</f>
        <v>0.1515</v>
      </c>
      <c r="AE43" s="62">
        <f t="shared" si="22"/>
        <v>0.1515</v>
      </c>
      <c r="AF43" s="62">
        <f t="shared" si="22"/>
        <v>0.1515</v>
      </c>
      <c r="AG43" s="62">
        <f t="shared" si="22"/>
        <v>0.16120000000000001</v>
      </c>
      <c r="AH43" s="62">
        <f t="shared" si="22"/>
        <v>0.22359999999999999</v>
      </c>
      <c r="AI43" s="62">
        <f t="shared" si="22"/>
        <v>0</v>
      </c>
      <c r="AJ43" s="62">
        <f t="shared" si="21"/>
        <v>0</v>
      </c>
      <c r="AK43" s="62">
        <f t="shared" si="21"/>
        <v>0</v>
      </c>
      <c r="AL43" s="116"/>
      <c r="AM43" s="88"/>
      <c r="AN43" s="88"/>
      <c r="AO43" s="88"/>
      <c r="AQ43" s="149">
        <f>SUM(O43:AO43)</f>
        <v>1</v>
      </c>
      <c r="AR43" s="146"/>
      <c r="AT43" s="389"/>
      <c r="AV43" s="83"/>
      <c r="AW43" s="83"/>
      <c r="BA43" s="318"/>
    </row>
    <row r="44" spans="1:53" s="2" customFormat="1" ht="10.5" hidden="1" customHeight="1">
      <c r="A44" s="11" t="s">
        <v>13</v>
      </c>
      <c r="B44" s="15"/>
      <c r="C44" s="343"/>
      <c r="D44" s="340"/>
      <c r="E44" s="346"/>
      <c r="F44" s="389"/>
      <c r="G44" s="277"/>
      <c r="H44" s="277"/>
      <c r="I44" s="277"/>
      <c r="J44" s="221"/>
      <c r="K44" s="277"/>
      <c r="L44" s="277"/>
      <c r="M44" s="377"/>
      <c r="N44" s="89"/>
      <c r="O44" s="89"/>
      <c r="P44" s="89"/>
      <c r="Q44" s="89"/>
      <c r="R44" s="89"/>
      <c r="S44" s="89"/>
      <c r="T44" s="89"/>
      <c r="U44" s="255"/>
      <c r="V44" s="120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116"/>
      <c r="AM44" s="88"/>
      <c r="AN44" s="88"/>
      <c r="AO44" s="88"/>
      <c r="AQ44" s="145"/>
      <c r="AR44" s="146"/>
      <c r="AT44" s="389"/>
      <c r="AV44" s="83"/>
      <c r="AW44" s="83"/>
      <c r="BA44" s="318">
        <f t="shared" si="2"/>
        <v>0</v>
      </c>
    </row>
    <row r="45" spans="1:53" s="2" customFormat="1" ht="10.5" customHeight="1">
      <c r="A45" s="12">
        <v>1</v>
      </c>
      <c r="B45" s="15"/>
      <c r="C45" s="344"/>
      <c r="D45" s="341"/>
      <c r="E45" s="347"/>
      <c r="F45" s="390"/>
      <c r="G45" s="307">
        <f>ROUND(G42*$F42,2)</f>
        <v>3656892.78</v>
      </c>
      <c r="H45" s="307">
        <f>ROUND(H42*$F42,2)</f>
        <v>3663078.99</v>
      </c>
      <c r="I45" s="307">
        <f>ROUND(I42*$F42,2)</f>
        <v>382982.3</v>
      </c>
      <c r="J45" s="246">
        <f>J42*$F42</f>
        <v>0</v>
      </c>
      <c r="K45" s="307">
        <f>ROUND(K42*$F42,2)</f>
        <v>3663078.99</v>
      </c>
      <c r="L45" s="307">
        <f>ROUND(L42*$F42,2)</f>
        <v>3280096.69</v>
      </c>
      <c r="M45" s="377"/>
      <c r="N45" s="90" t="s">
        <v>164</v>
      </c>
      <c r="O45" s="90"/>
      <c r="P45" s="90"/>
      <c r="Q45" s="90"/>
      <c r="R45" s="90"/>
      <c r="S45" s="90"/>
      <c r="T45" s="90"/>
      <c r="U45" s="256">
        <f>U42*$F42</f>
        <v>382982.3</v>
      </c>
      <c r="V45" s="122"/>
      <c r="W45" s="64">
        <f t="shared" ref="W45:AK45" si="23">W42*$F42</f>
        <v>7770</v>
      </c>
      <c r="X45" s="64">
        <f t="shared" si="23"/>
        <v>9990</v>
      </c>
      <c r="Y45" s="64">
        <f t="shared" si="23"/>
        <v>9990</v>
      </c>
      <c r="Z45" s="64">
        <f t="shared" si="23"/>
        <v>11100</v>
      </c>
      <c r="AA45" s="64">
        <f t="shared" si="23"/>
        <v>55500</v>
      </c>
      <c r="AB45" s="64">
        <f t="shared" si="23"/>
        <v>55500</v>
      </c>
      <c r="AC45" s="64">
        <f t="shared" si="23"/>
        <v>55500</v>
      </c>
      <c r="AD45" s="64">
        <f t="shared" ref="AD45:AI45" si="24">AD42*$F42</f>
        <v>555000</v>
      </c>
      <c r="AE45" s="64">
        <f t="shared" si="24"/>
        <v>555000</v>
      </c>
      <c r="AF45" s="64">
        <f t="shared" si="24"/>
        <v>555000</v>
      </c>
      <c r="AG45" s="64">
        <f t="shared" si="24"/>
        <v>590520</v>
      </c>
      <c r="AH45" s="64">
        <f>AH42*$F42</f>
        <v>819226.69</v>
      </c>
      <c r="AI45" s="64">
        <f t="shared" si="24"/>
        <v>0</v>
      </c>
      <c r="AJ45" s="64">
        <f t="shared" si="23"/>
        <v>0</v>
      </c>
      <c r="AK45" s="64">
        <f t="shared" si="23"/>
        <v>0</v>
      </c>
      <c r="AL45" s="118"/>
      <c r="AM45" s="91"/>
      <c r="AN45" s="91"/>
      <c r="AO45" s="91"/>
      <c r="AQ45" s="69">
        <f>SUM(O45:AO45)</f>
        <v>3663078.99</v>
      </c>
      <c r="AR45" s="69">
        <f>+K45-AQ45</f>
        <v>0</v>
      </c>
      <c r="AT45" s="390"/>
      <c r="AV45" s="83"/>
      <c r="AW45" s="83"/>
      <c r="BA45" s="318"/>
    </row>
    <row r="46" spans="1:53" s="2" customFormat="1" ht="10.5" customHeight="1">
      <c r="A46" s="12"/>
      <c r="B46" s="15"/>
      <c r="C46" s="342">
        <v>10</v>
      </c>
      <c r="D46" s="339" t="s">
        <v>56</v>
      </c>
      <c r="E46" s="345" t="s">
        <v>234</v>
      </c>
      <c r="F46" s="372">
        <v>1.97</v>
      </c>
      <c r="G46" s="284">
        <v>1072633</v>
      </c>
      <c r="H46" s="284">
        <v>1147878.3500000001</v>
      </c>
      <c r="I46" s="284">
        <v>157798.82</v>
      </c>
      <c r="J46" s="220"/>
      <c r="K46" s="284">
        <f>H46+J46</f>
        <v>1147878.3500000001</v>
      </c>
      <c r="L46" s="284">
        <f>+H46-I46+J46</f>
        <v>990079.53</v>
      </c>
      <c r="M46" s="377"/>
      <c r="N46" s="85" t="s">
        <v>162</v>
      </c>
      <c r="O46" s="85"/>
      <c r="P46" s="85"/>
      <c r="Q46" s="85"/>
      <c r="R46" s="85"/>
      <c r="S46" s="85"/>
      <c r="T46" s="85"/>
      <c r="U46" s="253">
        <f>+I46</f>
        <v>157798.82</v>
      </c>
      <c r="V46" s="122"/>
      <c r="W46" s="61">
        <v>2500</v>
      </c>
      <c r="X46" s="61">
        <v>2500</v>
      </c>
      <c r="Y46" s="61">
        <v>7500</v>
      </c>
      <c r="Z46" s="61">
        <v>7500</v>
      </c>
      <c r="AA46" s="61">
        <v>7500</v>
      </c>
      <c r="AB46" s="61">
        <v>10000</v>
      </c>
      <c r="AC46" s="61">
        <v>10000</v>
      </c>
      <c r="AD46" s="61">
        <v>200000</v>
      </c>
      <c r="AE46" s="61">
        <v>200000</v>
      </c>
      <c r="AF46" s="61">
        <v>200000</v>
      </c>
      <c r="AG46" s="61">
        <v>200000</v>
      </c>
      <c r="AH46" s="61">
        <v>142579.53</v>
      </c>
      <c r="AI46" s="61"/>
      <c r="AJ46" s="61">
        <f>+AJ30*5*50%</f>
        <v>0</v>
      </c>
      <c r="AK46" s="61">
        <f>+AK30*5*50%</f>
        <v>0</v>
      </c>
      <c r="AL46" s="119"/>
      <c r="AM46" s="86"/>
      <c r="AN46" s="86"/>
      <c r="AO46" s="86"/>
      <c r="AQ46" s="144">
        <f>SUM(O46:AO46)</f>
        <v>1147878.3500000001</v>
      </c>
      <c r="AR46" s="144">
        <f>+K46-AQ46</f>
        <v>0</v>
      </c>
      <c r="AT46" s="372">
        <f>+F46*K46</f>
        <v>2261320.35</v>
      </c>
      <c r="AV46" s="263">
        <f>SUM(W46:AO46)</f>
        <v>990079.53</v>
      </c>
      <c r="AW46" s="263">
        <f>+L46-AV46</f>
        <v>0</v>
      </c>
      <c r="BA46" s="318">
        <f t="shared" si="2"/>
        <v>157798.82</v>
      </c>
    </row>
    <row r="47" spans="1:53" s="2" customFormat="1" ht="10.5" customHeight="1">
      <c r="A47" s="10" t="s">
        <v>12</v>
      </c>
      <c r="B47" s="15"/>
      <c r="C47" s="343"/>
      <c r="D47" s="340"/>
      <c r="E47" s="346"/>
      <c r="F47" s="389"/>
      <c r="G47" s="277"/>
      <c r="H47" s="277"/>
      <c r="I47" s="277"/>
      <c r="J47" s="221"/>
      <c r="K47" s="277"/>
      <c r="L47" s="277"/>
      <c r="M47" s="377"/>
      <c r="N47" s="87" t="s">
        <v>163</v>
      </c>
      <c r="O47" s="87"/>
      <c r="P47" s="87"/>
      <c r="Q47" s="87"/>
      <c r="R47" s="87"/>
      <c r="S47" s="87"/>
      <c r="T47" s="87"/>
      <c r="U47" s="254">
        <f>+U46/K46</f>
        <v>0.13750000000000001</v>
      </c>
      <c r="V47" s="120"/>
      <c r="W47" s="62">
        <f t="shared" ref="W47:AK47" si="25">+W46/$K46</f>
        <v>2.2000000000000001E-3</v>
      </c>
      <c r="X47" s="62">
        <f t="shared" si="25"/>
        <v>2.2000000000000001E-3</v>
      </c>
      <c r="Y47" s="62">
        <f t="shared" si="25"/>
        <v>6.4999999999999997E-3</v>
      </c>
      <c r="Z47" s="62">
        <f t="shared" si="25"/>
        <v>6.4999999999999997E-3</v>
      </c>
      <c r="AA47" s="62">
        <f t="shared" si="25"/>
        <v>6.4999999999999997E-3</v>
      </c>
      <c r="AB47" s="62">
        <f t="shared" si="25"/>
        <v>8.6999999999999994E-3</v>
      </c>
      <c r="AC47" s="62">
        <f t="shared" si="25"/>
        <v>8.6999999999999994E-3</v>
      </c>
      <c r="AD47" s="62">
        <f t="shared" ref="AD47:AI47" si="26">+AD46/$K46</f>
        <v>0.17419999999999999</v>
      </c>
      <c r="AE47" s="62">
        <f t="shared" si="26"/>
        <v>0.17419999999999999</v>
      </c>
      <c r="AF47" s="62">
        <f t="shared" si="26"/>
        <v>0.17419999999999999</v>
      </c>
      <c r="AG47" s="62">
        <f t="shared" si="26"/>
        <v>0.17419999999999999</v>
      </c>
      <c r="AH47" s="62">
        <f t="shared" si="26"/>
        <v>0.1242</v>
      </c>
      <c r="AI47" s="62">
        <f t="shared" si="26"/>
        <v>0</v>
      </c>
      <c r="AJ47" s="62">
        <f t="shared" si="25"/>
        <v>0</v>
      </c>
      <c r="AK47" s="62">
        <f t="shared" si="25"/>
        <v>0</v>
      </c>
      <c r="AL47" s="116"/>
      <c r="AM47" s="88"/>
      <c r="AN47" s="88"/>
      <c r="AO47" s="88"/>
      <c r="AQ47" s="149">
        <f>SUM(O47:AO47)</f>
        <v>0.99980000000000002</v>
      </c>
      <c r="AR47" s="146"/>
      <c r="AT47" s="389"/>
      <c r="AV47" s="83"/>
      <c r="AW47" s="83"/>
      <c r="BA47" s="318"/>
    </row>
    <row r="48" spans="1:53" s="2" customFormat="1" ht="10.5" hidden="1" customHeight="1">
      <c r="A48" s="11" t="s">
        <v>13</v>
      </c>
      <c r="B48" s="15"/>
      <c r="C48" s="343"/>
      <c r="D48" s="340"/>
      <c r="E48" s="346"/>
      <c r="F48" s="389"/>
      <c r="G48" s="277"/>
      <c r="H48" s="277"/>
      <c r="I48" s="277"/>
      <c r="J48" s="221"/>
      <c r="K48" s="277"/>
      <c r="L48" s="277"/>
      <c r="M48" s="377"/>
      <c r="N48" s="89"/>
      <c r="O48" s="89"/>
      <c r="P48" s="89"/>
      <c r="Q48" s="89"/>
      <c r="R48" s="89"/>
      <c r="S48" s="89"/>
      <c r="T48" s="89"/>
      <c r="U48" s="255"/>
      <c r="V48" s="120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116"/>
      <c r="AM48" s="88"/>
      <c r="AN48" s="88"/>
      <c r="AO48" s="88"/>
      <c r="AQ48" s="145"/>
      <c r="AR48" s="146"/>
      <c r="AT48" s="389"/>
      <c r="AV48" s="83"/>
      <c r="AW48" s="83"/>
      <c r="BA48" s="318">
        <f t="shared" si="2"/>
        <v>0</v>
      </c>
    </row>
    <row r="49" spans="1:56" s="2" customFormat="1" ht="10.5" customHeight="1">
      <c r="A49" s="12">
        <v>1</v>
      </c>
      <c r="B49" s="15"/>
      <c r="C49" s="344"/>
      <c r="D49" s="341"/>
      <c r="E49" s="347"/>
      <c r="F49" s="390"/>
      <c r="G49" s="307">
        <f>ROUND(G46*$F46,2)</f>
        <v>2113087.0099999998</v>
      </c>
      <c r="H49" s="307">
        <f>ROUND(H46*$F46,2)</f>
        <v>2261320.35</v>
      </c>
      <c r="I49" s="307">
        <f>ROUND(I46*$F46,2)</f>
        <v>310863.68</v>
      </c>
      <c r="J49" s="246">
        <f>J46*$F46</f>
        <v>0</v>
      </c>
      <c r="K49" s="307">
        <f>ROUND(K46*$F46,2)+0.12</f>
        <v>2261320.4700000002</v>
      </c>
      <c r="L49" s="307">
        <f>ROUND(L46*$F46,2)</f>
        <v>1950456.67</v>
      </c>
      <c r="M49" s="377"/>
      <c r="N49" s="90" t="s">
        <v>164</v>
      </c>
      <c r="O49" s="90"/>
      <c r="P49" s="90"/>
      <c r="Q49" s="90"/>
      <c r="R49" s="90"/>
      <c r="S49" s="90"/>
      <c r="T49" s="90"/>
      <c r="U49" s="256">
        <f>U46*$F46-0.01</f>
        <v>310863.67</v>
      </c>
      <c r="V49" s="122"/>
      <c r="W49" s="64">
        <f t="shared" ref="W49:AK49" si="27">W46*$F46</f>
        <v>4925</v>
      </c>
      <c r="X49" s="64">
        <f t="shared" si="27"/>
        <v>4925</v>
      </c>
      <c r="Y49" s="64">
        <f t="shared" si="27"/>
        <v>14775</v>
      </c>
      <c r="Z49" s="64">
        <f t="shared" si="27"/>
        <v>14775</v>
      </c>
      <c r="AA49" s="64">
        <f t="shared" si="27"/>
        <v>14775</v>
      </c>
      <c r="AB49" s="64">
        <f t="shared" si="27"/>
        <v>19700</v>
      </c>
      <c r="AC49" s="64">
        <f t="shared" si="27"/>
        <v>19700</v>
      </c>
      <c r="AD49" s="64">
        <f t="shared" ref="AD49:AI49" si="28">AD46*$F46</f>
        <v>394000</v>
      </c>
      <c r="AE49" s="64">
        <f t="shared" si="28"/>
        <v>394000</v>
      </c>
      <c r="AF49" s="64">
        <f t="shared" si="28"/>
        <v>394000</v>
      </c>
      <c r="AG49" s="64">
        <f t="shared" si="28"/>
        <v>394000</v>
      </c>
      <c r="AH49" s="64">
        <f>AH46*$F46+0.13</f>
        <v>280881.8</v>
      </c>
      <c r="AI49" s="64">
        <f t="shared" si="28"/>
        <v>0</v>
      </c>
      <c r="AJ49" s="64">
        <f t="shared" si="27"/>
        <v>0</v>
      </c>
      <c r="AK49" s="64">
        <f t="shared" si="27"/>
        <v>0</v>
      </c>
      <c r="AL49" s="118"/>
      <c r="AM49" s="91"/>
      <c r="AN49" s="91"/>
      <c r="AO49" s="91"/>
      <c r="AQ49" s="69">
        <f>SUM(O49:AO49)</f>
        <v>2261320.4700000002</v>
      </c>
      <c r="AR49" s="69">
        <f>+K49-AQ49</f>
        <v>0</v>
      </c>
      <c r="AT49" s="390"/>
      <c r="AV49" s="83"/>
      <c r="AW49" s="83"/>
      <c r="BA49" s="318"/>
    </row>
    <row r="50" spans="1:56" s="2" customFormat="1" ht="10.5" customHeight="1">
      <c r="A50" s="12"/>
      <c r="B50" s="15"/>
      <c r="C50" s="342">
        <v>11</v>
      </c>
      <c r="D50" s="339" t="s">
        <v>57</v>
      </c>
      <c r="E50" s="345" t="s">
        <v>233</v>
      </c>
      <c r="F50" s="372">
        <v>40.81</v>
      </c>
      <c r="G50" s="284">
        <v>22724</v>
      </c>
      <c r="H50" s="284">
        <v>22724</v>
      </c>
      <c r="I50" s="284">
        <v>554.52</v>
      </c>
      <c r="J50" s="220"/>
      <c r="K50" s="284">
        <f>H50+J50</f>
        <v>22724</v>
      </c>
      <c r="L50" s="284">
        <f>+H50-I50+J50</f>
        <v>22169.48</v>
      </c>
      <c r="M50" s="377"/>
      <c r="N50" s="85" t="s">
        <v>162</v>
      </c>
      <c r="O50" s="85"/>
      <c r="P50" s="85"/>
      <c r="Q50" s="85"/>
      <c r="R50" s="85"/>
      <c r="S50" s="85"/>
      <c r="T50" s="85"/>
      <c r="U50" s="253">
        <f>+I50</f>
        <v>554.52</v>
      </c>
      <c r="V50" s="122"/>
      <c r="W50" s="95"/>
      <c r="X50" s="95"/>
      <c r="Y50" s="95"/>
      <c r="Z50" s="61">
        <f>+Z34*5*50%</f>
        <v>0</v>
      </c>
      <c r="AA50" s="61">
        <v>3500</v>
      </c>
      <c r="AB50" s="61">
        <v>3500</v>
      </c>
      <c r="AC50" s="61">
        <v>3500</v>
      </c>
      <c r="AD50" s="61"/>
      <c r="AE50" s="61">
        <v>4000</v>
      </c>
      <c r="AF50" s="61">
        <v>4000</v>
      </c>
      <c r="AG50" s="61">
        <v>3669.48</v>
      </c>
      <c r="AH50" s="61"/>
      <c r="AI50" s="61"/>
      <c r="AJ50" s="95"/>
      <c r="AK50" s="61"/>
      <c r="AL50" s="119"/>
      <c r="AM50" s="86"/>
      <c r="AN50" s="86"/>
      <c r="AO50" s="86"/>
      <c r="AQ50" s="144">
        <f>SUM(O50:AO50)</f>
        <v>22724</v>
      </c>
      <c r="AR50" s="144">
        <f>+K50-AQ50</f>
        <v>0</v>
      </c>
      <c r="AT50" s="372">
        <f>+F50*K50</f>
        <v>927366.44</v>
      </c>
      <c r="AV50" s="263">
        <f>SUM(W50:AO50)</f>
        <v>22169.48</v>
      </c>
      <c r="AW50" s="263">
        <f>+L50-AV50</f>
        <v>0</v>
      </c>
      <c r="BA50" s="318">
        <f t="shared" si="2"/>
        <v>554.52</v>
      </c>
    </row>
    <row r="51" spans="1:56" s="2" customFormat="1" ht="10.5" customHeight="1">
      <c r="A51" s="10" t="s">
        <v>12</v>
      </c>
      <c r="B51" s="15"/>
      <c r="C51" s="343"/>
      <c r="D51" s="340"/>
      <c r="E51" s="346"/>
      <c r="F51" s="389"/>
      <c r="G51" s="277"/>
      <c r="H51" s="277"/>
      <c r="I51" s="277"/>
      <c r="J51" s="221"/>
      <c r="K51" s="277"/>
      <c r="L51" s="277"/>
      <c r="M51" s="377"/>
      <c r="N51" s="87" t="s">
        <v>163</v>
      </c>
      <c r="O51" s="87"/>
      <c r="P51" s="87"/>
      <c r="Q51" s="87"/>
      <c r="R51" s="87"/>
      <c r="S51" s="87"/>
      <c r="T51" s="87"/>
      <c r="U51" s="254">
        <f>+U50/K50</f>
        <v>2.4400000000000002E-2</v>
      </c>
      <c r="V51" s="120"/>
      <c r="W51" s="93"/>
      <c r="X51" s="93"/>
      <c r="Y51" s="93"/>
      <c r="Z51" s="62">
        <f>+Z50/$K50</f>
        <v>0</v>
      </c>
      <c r="AA51" s="62">
        <f>+AA50/$K50</f>
        <v>0.154</v>
      </c>
      <c r="AB51" s="62">
        <f>+AB50/$K50</f>
        <v>0.154</v>
      </c>
      <c r="AC51" s="62">
        <f>+AC50/$K50</f>
        <v>0.154</v>
      </c>
      <c r="AD51" s="62"/>
      <c r="AE51" s="62">
        <f>+AE50/$K50</f>
        <v>0.17599999999999999</v>
      </c>
      <c r="AF51" s="62">
        <f>+AF50/$K50</f>
        <v>0.17599999999999999</v>
      </c>
      <c r="AG51" s="62">
        <f>+AG50/$K50</f>
        <v>0.1615</v>
      </c>
      <c r="AH51" s="62"/>
      <c r="AI51" s="62"/>
      <c r="AJ51" s="93"/>
      <c r="AK51" s="62"/>
      <c r="AL51" s="116"/>
      <c r="AM51" s="88"/>
      <c r="AN51" s="88"/>
      <c r="AO51" s="88"/>
      <c r="AQ51" s="149">
        <f>SUM(O51:AO51)</f>
        <v>0.99990000000000001</v>
      </c>
      <c r="AR51" s="146"/>
      <c r="AT51" s="389"/>
      <c r="AV51" s="83"/>
      <c r="AW51" s="83"/>
      <c r="BA51" s="318"/>
    </row>
    <row r="52" spans="1:56" s="2" customFormat="1" ht="10.5" hidden="1" customHeight="1">
      <c r="A52" s="11" t="s">
        <v>13</v>
      </c>
      <c r="B52" s="15"/>
      <c r="C52" s="343"/>
      <c r="D52" s="340"/>
      <c r="E52" s="346"/>
      <c r="F52" s="389"/>
      <c r="G52" s="277"/>
      <c r="H52" s="277"/>
      <c r="I52" s="277"/>
      <c r="J52" s="221"/>
      <c r="K52" s="277"/>
      <c r="L52" s="277"/>
      <c r="M52" s="377"/>
      <c r="N52" s="89"/>
      <c r="O52" s="89"/>
      <c r="P52" s="89"/>
      <c r="Q52" s="89"/>
      <c r="R52" s="89"/>
      <c r="S52" s="89"/>
      <c r="T52" s="89"/>
      <c r="U52" s="251"/>
      <c r="V52" s="120"/>
      <c r="W52" s="93"/>
      <c r="X52" s="93"/>
      <c r="Y52" s="93"/>
      <c r="Z52" s="93"/>
      <c r="AA52" s="63"/>
      <c r="AB52" s="63"/>
      <c r="AC52" s="63"/>
      <c r="AD52" s="93"/>
      <c r="AE52" s="63"/>
      <c r="AF52" s="63"/>
      <c r="AG52" s="63"/>
      <c r="AH52" s="93"/>
      <c r="AI52" s="93"/>
      <c r="AJ52" s="93"/>
      <c r="AK52" s="93"/>
      <c r="AL52" s="116"/>
      <c r="AM52" s="88"/>
      <c r="AN52" s="88"/>
      <c r="AO52" s="88"/>
      <c r="AQ52" s="145"/>
      <c r="AR52" s="146"/>
      <c r="AT52" s="389"/>
      <c r="AV52" s="83"/>
      <c r="AW52" s="83"/>
      <c r="BA52" s="318">
        <f t="shared" si="2"/>
        <v>0</v>
      </c>
    </row>
    <row r="53" spans="1:56" s="2" customFormat="1" ht="10.5" customHeight="1">
      <c r="A53" s="12">
        <v>1</v>
      </c>
      <c r="B53" s="15"/>
      <c r="C53" s="344"/>
      <c r="D53" s="341"/>
      <c r="E53" s="347"/>
      <c r="F53" s="390"/>
      <c r="G53" s="307">
        <f>ROUND(G50*$F50,2)</f>
        <v>927366.44</v>
      </c>
      <c r="H53" s="307">
        <f>ROUND(H50*$F50,2)</f>
        <v>927366.44</v>
      </c>
      <c r="I53" s="307">
        <f>ROUND(I50*$F50,2)</f>
        <v>22629.96</v>
      </c>
      <c r="J53" s="246">
        <f>J50*$F50</f>
        <v>0</v>
      </c>
      <c r="K53" s="307">
        <f>ROUND(K50*$F50,2)</f>
        <v>927366.44</v>
      </c>
      <c r="L53" s="307">
        <f>ROUND(L50*$F50,2)</f>
        <v>904736.48</v>
      </c>
      <c r="M53" s="377"/>
      <c r="N53" s="90" t="s">
        <v>164</v>
      </c>
      <c r="O53" s="90"/>
      <c r="P53" s="90"/>
      <c r="Q53" s="90"/>
      <c r="R53" s="90"/>
      <c r="S53" s="90"/>
      <c r="T53" s="90"/>
      <c r="U53" s="256">
        <f>U50*$F50</f>
        <v>22629.96</v>
      </c>
      <c r="V53" s="225"/>
      <c r="W53" s="94"/>
      <c r="X53" s="94"/>
      <c r="Y53" s="94"/>
      <c r="Z53" s="64">
        <f>Z50*$F50</f>
        <v>0</v>
      </c>
      <c r="AA53" s="64">
        <f>AA50*$F50</f>
        <v>142835</v>
      </c>
      <c r="AB53" s="64">
        <f>AB50*$F50</f>
        <v>142835</v>
      </c>
      <c r="AC53" s="64">
        <f>AC50*$F50</f>
        <v>142835</v>
      </c>
      <c r="AD53" s="64"/>
      <c r="AE53" s="64">
        <f>AE50*$F50</f>
        <v>163240</v>
      </c>
      <c r="AF53" s="64">
        <f>AF50*$F50</f>
        <v>163240</v>
      </c>
      <c r="AG53" s="64">
        <f>AG50*$F50</f>
        <v>149751.48000000001</v>
      </c>
      <c r="AH53" s="64"/>
      <c r="AI53" s="64"/>
      <c r="AJ53" s="94"/>
      <c r="AK53" s="64"/>
      <c r="AL53" s="205"/>
      <c r="AM53" s="91"/>
      <c r="AN53" s="91"/>
      <c r="AO53" s="91"/>
      <c r="AQ53" s="69">
        <f>SUM(O53:AO53)</f>
        <v>927366.44</v>
      </c>
      <c r="AR53" s="69">
        <f>+K53-AQ53</f>
        <v>0</v>
      </c>
      <c r="AT53" s="390"/>
      <c r="AV53" s="83"/>
      <c r="AW53" s="83"/>
      <c r="BA53" s="318"/>
    </row>
    <row r="54" spans="1:56" s="2" customFormat="1" ht="7.5" customHeight="1">
      <c r="A54" s="12"/>
      <c r="B54" s="15"/>
      <c r="C54" s="208"/>
      <c r="D54" s="209"/>
      <c r="E54" s="200"/>
      <c r="F54" s="201"/>
      <c r="G54" s="201"/>
      <c r="H54" s="201"/>
      <c r="I54" s="201"/>
      <c r="J54" s="201"/>
      <c r="K54" s="201"/>
      <c r="L54" s="201"/>
      <c r="M54" s="222"/>
      <c r="N54" s="202"/>
      <c r="O54" s="202"/>
      <c r="P54" s="202"/>
      <c r="Q54" s="202"/>
      <c r="R54" s="202"/>
      <c r="S54" s="202"/>
      <c r="T54" s="202"/>
      <c r="U54" s="203"/>
      <c r="V54" s="194"/>
      <c r="W54" s="140"/>
      <c r="X54" s="140"/>
      <c r="Y54" s="140"/>
      <c r="Z54" s="203"/>
      <c r="AA54" s="203"/>
      <c r="AB54" s="203"/>
      <c r="AC54" s="203"/>
      <c r="AD54" s="140"/>
      <c r="AE54" s="140"/>
      <c r="AF54" s="140"/>
      <c r="AG54" s="140"/>
      <c r="AH54" s="140"/>
      <c r="AI54" s="140"/>
      <c r="AJ54" s="140"/>
      <c r="AK54" s="203"/>
      <c r="AL54" s="140"/>
      <c r="AM54" s="197"/>
      <c r="AN54" s="197"/>
      <c r="AO54" s="297"/>
      <c r="AP54" s="204"/>
      <c r="AQ54" s="197"/>
      <c r="AR54" s="197"/>
      <c r="AS54" s="204"/>
      <c r="AT54" s="198"/>
      <c r="AU54" s="204"/>
      <c r="AV54" s="243"/>
      <c r="AW54" s="243"/>
      <c r="AX54" s="204"/>
      <c r="AY54" s="204"/>
      <c r="AZ54" s="204"/>
      <c r="BA54" s="318"/>
      <c r="BB54" s="204"/>
      <c r="BC54" s="204"/>
      <c r="BD54" s="204"/>
    </row>
    <row r="55" spans="1:56" s="2" customFormat="1" ht="12" customHeight="1">
      <c r="A55" s="12"/>
      <c r="B55" s="15"/>
      <c r="C55" s="381" t="s">
        <v>222</v>
      </c>
      <c r="D55" s="382"/>
      <c r="E55" s="382"/>
      <c r="F55" s="382"/>
      <c r="G55" s="382"/>
      <c r="H55" s="382"/>
      <c r="I55" s="383"/>
      <c r="J55" s="212" t="s">
        <v>218</v>
      </c>
      <c r="K55" s="267">
        <f>SUM(U55:AO55)</f>
        <v>1.0002</v>
      </c>
      <c r="L55" s="265"/>
      <c r="M55" s="241"/>
      <c r="N55" s="215" t="s">
        <v>218</v>
      </c>
      <c r="O55" s="215"/>
      <c r="P55" s="215"/>
      <c r="Q55" s="215"/>
      <c r="R55" s="215"/>
      <c r="S55" s="215"/>
      <c r="T55" s="215"/>
      <c r="U55" s="248">
        <f>+U56/$K$56</f>
        <v>0.2893</v>
      </c>
      <c r="V55" s="291"/>
      <c r="W55" s="248">
        <f t="shared" ref="W55:AE55" si="29">+W56/$K$56</f>
        <v>1.9800000000000002E-2</v>
      </c>
      <c r="X55" s="248">
        <f t="shared" si="29"/>
        <v>2.2100000000000002E-2</v>
      </c>
      <c r="Y55" s="248">
        <f t="shared" si="29"/>
        <v>2.6200000000000001E-2</v>
      </c>
      <c r="Z55" s="248">
        <f t="shared" si="29"/>
        <v>2.7900000000000001E-2</v>
      </c>
      <c r="AA55" s="248">
        <f t="shared" si="29"/>
        <v>3.2199999999999999E-2</v>
      </c>
      <c r="AB55" s="248">
        <f t="shared" si="29"/>
        <v>3.8399999999999997E-2</v>
      </c>
      <c r="AC55" s="248">
        <f t="shared" si="29"/>
        <v>3.73E-2</v>
      </c>
      <c r="AD55" s="248">
        <f t="shared" si="29"/>
        <v>7.7700000000000005E-2</v>
      </c>
      <c r="AE55" s="248">
        <f t="shared" si="29"/>
        <v>8.9899999999999994E-2</v>
      </c>
      <c r="AF55" s="248">
        <f t="shared" ref="AF55:AO55" si="30">+AF56/$K$56</f>
        <v>0.1007</v>
      </c>
      <c r="AG55" s="248">
        <f t="shared" si="30"/>
        <v>0.1072</v>
      </c>
      <c r="AH55" s="248">
        <f t="shared" si="30"/>
        <v>8.6499999999999994E-2</v>
      </c>
      <c r="AI55" s="248">
        <f t="shared" si="30"/>
        <v>4.4999999999999998E-2</v>
      </c>
      <c r="AJ55" s="248">
        <f t="shared" si="30"/>
        <v>0</v>
      </c>
      <c r="AK55" s="248">
        <f t="shared" si="30"/>
        <v>0</v>
      </c>
      <c r="AL55" s="292">
        <f t="shared" si="30"/>
        <v>0</v>
      </c>
      <c r="AM55" s="248">
        <f t="shared" si="30"/>
        <v>0</v>
      </c>
      <c r="AN55" s="248">
        <f t="shared" si="30"/>
        <v>0</v>
      </c>
      <c r="AO55" s="248">
        <f t="shared" si="30"/>
        <v>0</v>
      </c>
      <c r="AP55" s="265"/>
      <c r="AQ55" s="265"/>
      <c r="AR55" s="265"/>
      <c r="AS55" s="265"/>
      <c r="AT55" s="265"/>
      <c r="AU55" s="265"/>
      <c r="AV55" s="265"/>
      <c r="AW55" s="265"/>
      <c r="AX55"/>
      <c r="AY55"/>
      <c r="AZ55"/>
      <c r="BA55" s="318"/>
    </row>
    <row r="56" spans="1:56" s="2" customFormat="1" ht="12" customHeight="1">
      <c r="A56" s="12"/>
      <c r="B56" s="15"/>
      <c r="C56" s="384"/>
      <c r="D56" s="385"/>
      <c r="E56" s="385"/>
      <c r="F56" s="385"/>
      <c r="G56" s="385"/>
      <c r="H56" s="385"/>
      <c r="I56" s="386"/>
      <c r="J56" s="213" t="s">
        <v>219</v>
      </c>
      <c r="K56" s="268">
        <f>+K13+K17+K21+K25+K29+K33+K37+K41+K45+K49+K53</f>
        <v>34906574.229999997</v>
      </c>
      <c r="L56" s="265"/>
      <c r="M56" s="241"/>
      <c r="N56" s="213" t="s">
        <v>219</v>
      </c>
      <c r="O56" s="213"/>
      <c r="P56" s="213"/>
      <c r="Q56" s="213"/>
      <c r="R56" s="213"/>
      <c r="S56" s="213"/>
      <c r="T56" s="213"/>
      <c r="U56" s="249">
        <f>+U13+U17+U21+U25+U29+U33+U37+U41+U45+U49+U53</f>
        <v>10099049.189999999</v>
      </c>
      <c r="V56" s="265"/>
      <c r="W56" s="249">
        <f t="shared" ref="W56:AE56" si="31">+W13+W17+W21+W25+W29+W33+W37+W41+W45+W49+W53</f>
        <v>691380</v>
      </c>
      <c r="X56" s="249">
        <f t="shared" si="31"/>
        <v>769800</v>
      </c>
      <c r="Y56" s="249">
        <f t="shared" si="31"/>
        <v>915244.11</v>
      </c>
      <c r="Z56" s="249">
        <f t="shared" si="31"/>
        <v>972304.11</v>
      </c>
      <c r="AA56" s="249">
        <f t="shared" si="31"/>
        <v>1124324.1100000001</v>
      </c>
      <c r="AB56" s="249">
        <f t="shared" si="31"/>
        <v>1339699.1100000001</v>
      </c>
      <c r="AC56" s="249">
        <f t="shared" si="31"/>
        <v>1302655</v>
      </c>
      <c r="AD56" s="249">
        <f t="shared" si="31"/>
        <v>2712480</v>
      </c>
      <c r="AE56" s="249">
        <f t="shared" si="31"/>
        <v>3136490.09</v>
      </c>
      <c r="AF56" s="249">
        <f t="shared" ref="AF56:AO56" si="32">+AF13+AF17+AF21+AF25+AF29+AF33+AF37+AF41+AF45+AF49+AF53</f>
        <v>3513381.25</v>
      </c>
      <c r="AG56" s="249">
        <f t="shared" si="32"/>
        <v>3741743.97</v>
      </c>
      <c r="AH56" s="249">
        <f t="shared" si="32"/>
        <v>3018713.63</v>
      </c>
      <c r="AI56" s="249">
        <f t="shared" si="32"/>
        <v>1569309.67</v>
      </c>
      <c r="AJ56" s="249">
        <f t="shared" si="32"/>
        <v>0</v>
      </c>
      <c r="AK56" s="249">
        <f t="shared" si="32"/>
        <v>0</v>
      </c>
      <c r="AL56" s="293">
        <f t="shared" si="32"/>
        <v>0</v>
      </c>
      <c r="AM56" s="249">
        <f t="shared" si="32"/>
        <v>0</v>
      </c>
      <c r="AN56" s="249">
        <f t="shared" si="32"/>
        <v>0</v>
      </c>
      <c r="AO56" s="249">
        <f t="shared" si="32"/>
        <v>0</v>
      </c>
      <c r="AP56" s="265"/>
      <c r="AQ56" s="265"/>
      <c r="AR56" s="265"/>
      <c r="AS56" s="265"/>
      <c r="AT56" s="265"/>
      <c r="AU56" s="265"/>
      <c r="AV56" s="265"/>
      <c r="AW56" s="265"/>
      <c r="AX56"/>
      <c r="AY56"/>
      <c r="AZ56"/>
      <c r="BA56" s="318"/>
    </row>
    <row r="57" spans="1:56" s="2" customFormat="1" ht="7.5" customHeight="1">
      <c r="A57" s="12"/>
      <c r="B57" s="15"/>
      <c r="C57" s="210"/>
      <c r="D57" s="211"/>
      <c r="E57" s="190"/>
      <c r="F57" s="191"/>
      <c r="G57" s="191"/>
      <c r="H57" s="191"/>
      <c r="I57" s="191"/>
      <c r="J57" s="191"/>
      <c r="K57" s="191"/>
      <c r="L57" s="191"/>
      <c r="M57" s="223"/>
      <c r="N57" s="192"/>
      <c r="O57" s="192"/>
      <c r="P57" s="192"/>
      <c r="Q57" s="192"/>
      <c r="R57" s="192"/>
      <c r="S57" s="192"/>
      <c r="T57" s="192"/>
      <c r="U57" s="193"/>
      <c r="V57" s="194"/>
      <c r="W57" s="195"/>
      <c r="X57" s="195"/>
      <c r="Y57" s="195"/>
      <c r="Z57" s="193"/>
      <c r="AA57" s="193"/>
      <c r="AB57" s="193"/>
      <c r="AC57" s="193"/>
      <c r="AD57" s="195"/>
      <c r="AE57" s="195"/>
      <c r="AF57" s="195"/>
      <c r="AG57" s="195"/>
      <c r="AH57" s="195"/>
      <c r="AI57" s="195"/>
      <c r="AJ57" s="195"/>
      <c r="AK57" s="193"/>
      <c r="AL57" s="140"/>
      <c r="AM57" s="196"/>
      <c r="AN57" s="196"/>
      <c r="AO57" s="297"/>
      <c r="AQ57" s="197"/>
      <c r="AR57" s="197"/>
      <c r="AT57" s="198"/>
      <c r="AV57" s="83"/>
      <c r="AW57" s="83"/>
      <c r="BA57" s="318">
        <f t="shared" si="2"/>
        <v>0</v>
      </c>
    </row>
    <row r="58" spans="1:56" s="25" customFormat="1" ht="15" customHeight="1">
      <c r="A58" s="15"/>
      <c r="B58" s="15"/>
      <c r="C58" s="28">
        <v>2</v>
      </c>
      <c r="D58" s="37" t="s">
        <v>17</v>
      </c>
      <c r="E58" s="157"/>
      <c r="F58" s="39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296"/>
      <c r="AR58" s="82"/>
      <c r="AT58" s="154">
        <f>SUM(AT10:AT53)</f>
        <v>34906574.109999999</v>
      </c>
      <c r="AU58" s="100">
        <v>35267840.130000003</v>
      </c>
      <c r="AV58" s="100">
        <f>+AU58-AT58</f>
        <v>361266.02</v>
      </c>
      <c r="AW58" s="82"/>
      <c r="BA58" s="318">
        <f t="shared" si="2"/>
        <v>0</v>
      </c>
    </row>
    <row r="59" spans="1:56" s="2" customFormat="1" ht="10.5" customHeight="1">
      <c r="A59" s="10" t="s">
        <v>12</v>
      </c>
      <c r="B59" s="15"/>
      <c r="C59" s="342">
        <v>12</v>
      </c>
      <c r="D59" s="348" t="s">
        <v>58</v>
      </c>
      <c r="E59" s="345" t="s">
        <v>233</v>
      </c>
      <c r="F59" s="372">
        <v>50.89</v>
      </c>
      <c r="G59" s="284">
        <v>312513</v>
      </c>
      <c r="H59" s="284">
        <v>327829.31</v>
      </c>
      <c r="I59" s="284">
        <v>89350.93</v>
      </c>
      <c r="J59" s="311">
        <v>-10000.39</v>
      </c>
      <c r="K59" s="284">
        <f>H59+J59</f>
        <v>317828.92</v>
      </c>
      <c r="L59" s="284">
        <f>+H59-I59+J59</f>
        <v>228477.99</v>
      </c>
      <c r="M59" s="376"/>
      <c r="N59" s="85" t="s">
        <v>162</v>
      </c>
      <c r="O59" s="85"/>
      <c r="P59" s="85"/>
      <c r="Q59" s="85"/>
      <c r="R59" s="85"/>
      <c r="S59" s="85"/>
      <c r="T59" s="85"/>
      <c r="U59" s="253">
        <f>+I59</f>
        <v>89350.93</v>
      </c>
      <c r="V59" s="122"/>
      <c r="W59" s="61">
        <v>15000</v>
      </c>
      <c r="X59" s="61">
        <v>20000</v>
      </c>
      <c r="Y59" s="61">
        <v>20000</v>
      </c>
      <c r="Z59" s="61">
        <v>20000</v>
      </c>
      <c r="AA59" s="61">
        <v>20000</v>
      </c>
      <c r="AB59" s="61">
        <v>15000</v>
      </c>
      <c r="AC59" s="61">
        <v>10000</v>
      </c>
      <c r="AD59" s="61">
        <v>10000</v>
      </c>
      <c r="AE59" s="61">
        <v>10000</v>
      </c>
      <c r="AF59" s="61">
        <v>25000</v>
      </c>
      <c r="AG59" s="61">
        <v>25000</v>
      </c>
      <c r="AH59" s="61">
        <v>25000</v>
      </c>
      <c r="AI59" s="61">
        <v>13477.99</v>
      </c>
      <c r="AJ59" s="61"/>
      <c r="AK59" s="61"/>
      <c r="AL59" s="117"/>
      <c r="AM59" s="92"/>
      <c r="AN59" s="92"/>
      <c r="AO59" s="92"/>
      <c r="AQ59" s="144">
        <f>SUM(O59:AO59)</f>
        <v>317828.92</v>
      </c>
      <c r="AR59" s="144">
        <f>+K59-AQ59</f>
        <v>0</v>
      </c>
      <c r="AT59" s="372">
        <f>+F59*K59</f>
        <v>16174313.74</v>
      </c>
      <c r="AV59" s="263">
        <f>SUM(W59:AO59)</f>
        <v>228477.99</v>
      </c>
      <c r="AW59" s="263">
        <f>+L59-AV59</f>
        <v>0</v>
      </c>
      <c r="BA59" s="318">
        <f t="shared" si="2"/>
        <v>89350.93</v>
      </c>
    </row>
    <row r="60" spans="1:56" s="2" customFormat="1" ht="10.5" customHeight="1">
      <c r="A60" s="10" t="s">
        <v>12</v>
      </c>
      <c r="B60" s="15"/>
      <c r="C60" s="343"/>
      <c r="D60" s="349"/>
      <c r="E60" s="346"/>
      <c r="F60" s="389"/>
      <c r="G60" s="277"/>
      <c r="H60" s="277"/>
      <c r="I60" s="277"/>
      <c r="J60" s="277"/>
      <c r="K60" s="277"/>
      <c r="L60" s="277"/>
      <c r="M60" s="377"/>
      <c r="N60" s="87" t="s">
        <v>163</v>
      </c>
      <c r="O60" s="87"/>
      <c r="P60" s="87"/>
      <c r="Q60" s="87"/>
      <c r="R60" s="87"/>
      <c r="S60" s="87"/>
      <c r="T60" s="87"/>
      <c r="U60" s="254">
        <f>+U59/K59</f>
        <v>0.28110000000000002</v>
      </c>
      <c r="V60" s="120"/>
      <c r="W60" s="62">
        <f t="shared" ref="W60:AK60" si="33">+W59/$K59</f>
        <v>4.7199999999999999E-2</v>
      </c>
      <c r="X60" s="62">
        <f t="shared" si="33"/>
        <v>6.2899999999999998E-2</v>
      </c>
      <c r="Y60" s="62">
        <f t="shared" si="33"/>
        <v>6.2899999999999998E-2</v>
      </c>
      <c r="Z60" s="62">
        <f t="shared" si="33"/>
        <v>6.2899999999999998E-2</v>
      </c>
      <c r="AA60" s="62">
        <f t="shared" si="33"/>
        <v>6.2899999999999998E-2</v>
      </c>
      <c r="AB60" s="62">
        <f t="shared" si="33"/>
        <v>4.7199999999999999E-2</v>
      </c>
      <c r="AC60" s="62">
        <f t="shared" si="33"/>
        <v>3.15E-2</v>
      </c>
      <c r="AD60" s="62">
        <f t="shared" si="33"/>
        <v>3.15E-2</v>
      </c>
      <c r="AE60" s="62">
        <f t="shared" si="33"/>
        <v>3.15E-2</v>
      </c>
      <c r="AF60" s="62">
        <f t="shared" si="33"/>
        <v>7.8700000000000006E-2</v>
      </c>
      <c r="AG60" s="62">
        <f t="shared" si="33"/>
        <v>7.8700000000000006E-2</v>
      </c>
      <c r="AH60" s="62">
        <f t="shared" si="33"/>
        <v>7.8700000000000006E-2</v>
      </c>
      <c r="AI60" s="62">
        <f t="shared" si="33"/>
        <v>4.24E-2</v>
      </c>
      <c r="AJ60" s="62">
        <f t="shared" si="33"/>
        <v>0</v>
      </c>
      <c r="AK60" s="62">
        <f t="shared" si="33"/>
        <v>0</v>
      </c>
      <c r="AL60" s="117"/>
      <c r="AM60" s="88"/>
      <c r="AN60" s="88"/>
      <c r="AO60" s="88"/>
      <c r="AQ60" s="149">
        <f>SUM(O60:AO60)</f>
        <v>1.0001</v>
      </c>
      <c r="AR60" s="146"/>
      <c r="AT60" s="389"/>
      <c r="AV60" s="83"/>
      <c r="AW60" s="83"/>
      <c r="BA60" s="318"/>
    </row>
    <row r="61" spans="1:56" s="2" customFormat="1" ht="10.5" hidden="1" customHeight="1">
      <c r="A61" s="11" t="s">
        <v>13</v>
      </c>
      <c r="B61" s="15"/>
      <c r="C61" s="343"/>
      <c r="D61" s="349"/>
      <c r="E61" s="346"/>
      <c r="F61" s="389"/>
      <c r="G61" s="277"/>
      <c r="H61" s="277"/>
      <c r="I61" s="277"/>
      <c r="J61" s="277"/>
      <c r="K61" s="277"/>
      <c r="L61" s="277"/>
      <c r="M61" s="377"/>
      <c r="N61" s="89"/>
      <c r="O61" s="89"/>
      <c r="P61" s="89"/>
      <c r="Q61" s="89"/>
      <c r="R61" s="89"/>
      <c r="S61" s="89"/>
      <c r="T61" s="89"/>
      <c r="U61" s="255"/>
      <c r="V61" s="121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117"/>
      <c r="AM61" s="88"/>
      <c r="AN61" s="88"/>
      <c r="AO61" s="88"/>
      <c r="AQ61" s="145"/>
      <c r="AR61" s="146"/>
      <c r="AT61" s="389"/>
      <c r="AV61" s="83"/>
      <c r="AW61" s="83"/>
      <c r="BA61" s="318"/>
    </row>
    <row r="62" spans="1:56" s="2" customFormat="1" ht="10.5" customHeight="1">
      <c r="A62" s="12">
        <v>1</v>
      </c>
      <c r="B62" s="15"/>
      <c r="C62" s="344"/>
      <c r="D62" s="350"/>
      <c r="E62" s="347"/>
      <c r="F62" s="390"/>
      <c r="G62" s="307">
        <f>ROUND(G59*$F59,2)</f>
        <v>15903786.57</v>
      </c>
      <c r="H62" s="307">
        <f>ROUND(H59*$F59,2)</f>
        <v>16683233.59</v>
      </c>
      <c r="I62" s="307">
        <f>ROUND(I59*$F59,2)</f>
        <v>4547068.83</v>
      </c>
      <c r="J62" s="307">
        <f>J59*$F59</f>
        <v>-508919.85</v>
      </c>
      <c r="K62" s="307">
        <f>ROUND(K59*$F59,2)</f>
        <v>16174313.74</v>
      </c>
      <c r="L62" s="307">
        <f>ROUND(L59*$F59,2)</f>
        <v>11627244.91</v>
      </c>
      <c r="M62" s="377"/>
      <c r="N62" s="90" t="s">
        <v>164</v>
      </c>
      <c r="O62" s="90"/>
      <c r="P62" s="90"/>
      <c r="Q62" s="90"/>
      <c r="R62" s="90"/>
      <c r="S62" s="90"/>
      <c r="T62" s="90"/>
      <c r="U62" s="256">
        <f>U59*$F59+0.01</f>
        <v>4547068.84</v>
      </c>
      <c r="V62" s="122"/>
      <c r="W62" s="64">
        <f t="shared" ref="W62:AK62" si="34">W59*$F59</f>
        <v>763350</v>
      </c>
      <c r="X62" s="64">
        <f t="shared" si="34"/>
        <v>1017800</v>
      </c>
      <c r="Y62" s="64">
        <f t="shared" si="34"/>
        <v>1017800</v>
      </c>
      <c r="Z62" s="64">
        <f t="shared" si="34"/>
        <v>1017800</v>
      </c>
      <c r="AA62" s="64">
        <f t="shared" si="34"/>
        <v>1017800</v>
      </c>
      <c r="AB62" s="64">
        <f t="shared" si="34"/>
        <v>763350</v>
      </c>
      <c r="AC62" s="64">
        <f t="shared" si="34"/>
        <v>508900</v>
      </c>
      <c r="AD62" s="64">
        <f t="shared" si="34"/>
        <v>508900</v>
      </c>
      <c r="AE62" s="64">
        <f t="shared" si="34"/>
        <v>508900</v>
      </c>
      <c r="AF62" s="64">
        <f t="shared" si="34"/>
        <v>1272250</v>
      </c>
      <c r="AG62" s="64">
        <f t="shared" si="34"/>
        <v>1272250</v>
      </c>
      <c r="AH62" s="64">
        <f t="shared" si="34"/>
        <v>1272250</v>
      </c>
      <c r="AI62" s="64">
        <f>AI59*$F59-0.01</f>
        <v>685894.9</v>
      </c>
      <c r="AJ62" s="64">
        <f t="shared" si="34"/>
        <v>0</v>
      </c>
      <c r="AK62" s="64">
        <f t="shared" si="34"/>
        <v>0</v>
      </c>
      <c r="AL62" s="123"/>
      <c r="AM62" s="91"/>
      <c r="AN62" s="91"/>
      <c r="AO62" s="91"/>
      <c r="AQ62" s="69">
        <f>SUM(O62:AO62)</f>
        <v>16174313.74</v>
      </c>
      <c r="AR62" s="69">
        <f>+K62-AQ62</f>
        <v>0</v>
      </c>
      <c r="AT62" s="390"/>
      <c r="AV62" s="83"/>
      <c r="AW62" s="83"/>
      <c r="BA62" s="318"/>
    </row>
    <row r="63" spans="1:56" s="2" customFormat="1" ht="10.5" customHeight="1">
      <c r="A63" s="12"/>
      <c r="B63" s="15"/>
      <c r="C63" s="342">
        <v>13</v>
      </c>
      <c r="D63" s="348" t="s">
        <v>59</v>
      </c>
      <c r="E63" s="345" t="s">
        <v>233</v>
      </c>
      <c r="F63" s="372">
        <v>102.45</v>
      </c>
      <c r="G63" s="284">
        <v>176706</v>
      </c>
      <c r="H63" s="284">
        <v>184750.72</v>
      </c>
      <c r="I63" s="284"/>
      <c r="J63" s="311">
        <v>-19450.810000000001</v>
      </c>
      <c r="K63" s="284">
        <f>H63+J63</f>
        <v>165299.91</v>
      </c>
      <c r="L63" s="284">
        <f>+H63-I63+J63</f>
        <v>165299.91</v>
      </c>
      <c r="M63" s="377"/>
      <c r="N63" s="85" t="s">
        <v>162</v>
      </c>
      <c r="O63" s="85"/>
      <c r="P63" s="85"/>
      <c r="Q63" s="85"/>
      <c r="R63" s="85"/>
      <c r="S63" s="85"/>
      <c r="T63" s="85"/>
      <c r="U63" s="250">
        <f>+I63</f>
        <v>0</v>
      </c>
      <c r="V63" s="122"/>
      <c r="W63" s="95">
        <v>2500</v>
      </c>
      <c r="X63" s="95">
        <v>10000</v>
      </c>
      <c r="Y63" s="95">
        <v>15000</v>
      </c>
      <c r="Z63" s="95">
        <v>15000</v>
      </c>
      <c r="AA63" s="95">
        <v>15000</v>
      </c>
      <c r="AB63" s="95">
        <v>15000</v>
      </c>
      <c r="AC63" s="95">
        <v>10000</v>
      </c>
      <c r="AD63" s="95">
        <v>10000</v>
      </c>
      <c r="AE63" s="95">
        <v>10000</v>
      </c>
      <c r="AF63" s="95">
        <v>15000</v>
      </c>
      <c r="AG63" s="95">
        <v>15000</v>
      </c>
      <c r="AH63" s="95">
        <v>15000</v>
      </c>
      <c r="AI63" s="95">
        <v>17799.91</v>
      </c>
      <c r="AJ63" s="95"/>
      <c r="AK63" s="95"/>
      <c r="AL63" s="117"/>
      <c r="AM63" s="92"/>
      <c r="AN63" s="92"/>
      <c r="AO63" s="92"/>
      <c r="AQ63" s="144">
        <f>SUM(O63:AO63)</f>
        <v>165299.91</v>
      </c>
      <c r="AR63" s="144">
        <f>+K63-AQ63</f>
        <v>0</v>
      </c>
      <c r="AT63" s="372">
        <f>+F63*K63</f>
        <v>16934975.780000001</v>
      </c>
      <c r="AV63" s="263">
        <f>SUM(W63:AO63)</f>
        <v>165299.91</v>
      </c>
      <c r="AW63" s="263">
        <f>+L63-AV63</f>
        <v>0</v>
      </c>
      <c r="BA63" s="318">
        <f t="shared" si="2"/>
        <v>0</v>
      </c>
    </row>
    <row r="64" spans="1:56" s="2" customFormat="1" ht="10.5" customHeight="1">
      <c r="A64" s="10" t="s">
        <v>12</v>
      </c>
      <c r="B64" s="15"/>
      <c r="C64" s="343"/>
      <c r="D64" s="349"/>
      <c r="E64" s="346"/>
      <c r="F64" s="389"/>
      <c r="G64" s="277"/>
      <c r="H64" s="277"/>
      <c r="I64" s="277"/>
      <c r="J64" s="277"/>
      <c r="K64" s="277"/>
      <c r="L64" s="277"/>
      <c r="M64" s="377"/>
      <c r="N64" s="87" t="s">
        <v>163</v>
      </c>
      <c r="O64" s="87"/>
      <c r="P64" s="87"/>
      <c r="Q64" s="87"/>
      <c r="R64" s="87"/>
      <c r="S64" s="87"/>
      <c r="T64" s="87"/>
      <c r="U64" s="251">
        <f>+U63/K63</f>
        <v>0</v>
      </c>
      <c r="V64" s="120"/>
      <c r="W64" s="62">
        <f t="shared" ref="W64:AK64" si="35">+W63/$K63</f>
        <v>1.5100000000000001E-2</v>
      </c>
      <c r="X64" s="62">
        <f t="shared" si="35"/>
        <v>6.0499999999999998E-2</v>
      </c>
      <c r="Y64" s="62">
        <f t="shared" si="35"/>
        <v>9.0700000000000003E-2</v>
      </c>
      <c r="Z64" s="62">
        <f t="shared" si="35"/>
        <v>9.0700000000000003E-2</v>
      </c>
      <c r="AA64" s="62">
        <f t="shared" si="35"/>
        <v>9.0700000000000003E-2</v>
      </c>
      <c r="AB64" s="62">
        <f t="shared" si="35"/>
        <v>9.0700000000000003E-2</v>
      </c>
      <c r="AC64" s="62">
        <f t="shared" si="35"/>
        <v>6.0499999999999998E-2</v>
      </c>
      <c r="AD64" s="62">
        <f t="shared" si="35"/>
        <v>6.0499999999999998E-2</v>
      </c>
      <c r="AE64" s="62">
        <f t="shared" si="35"/>
        <v>6.0499999999999998E-2</v>
      </c>
      <c r="AF64" s="62">
        <f t="shared" si="35"/>
        <v>9.0700000000000003E-2</v>
      </c>
      <c r="AG64" s="62">
        <f t="shared" si="35"/>
        <v>9.0700000000000003E-2</v>
      </c>
      <c r="AH64" s="62">
        <f t="shared" si="35"/>
        <v>9.0700000000000003E-2</v>
      </c>
      <c r="AI64" s="62">
        <f t="shared" si="35"/>
        <v>0.1077</v>
      </c>
      <c r="AJ64" s="62">
        <f t="shared" si="35"/>
        <v>0</v>
      </c>
      <c r="AK64" s="62">
        <f t="shared" si="35"/>
        <v>0</v>
      </c>
      <c r="AL64" s="117"/>
      <c r="AM64" s="88"/>
      <c r="AN64" s="88"/>
      <c r="AO64" s="88"/>
      <c r="AQ64" s="149">
        <f>SUM(O64:AO64)</f>
        <v>0.99970000000000003</v>
      </c>
      <c r="AR64" s="146"/>
      <c r="AT64" s="389"/>
      <c r="AV64" s="83"/>
      <c r="AW64" s="83"/>
      <c r="BA64" s="318">
        <f t="shared" si="2"/>
        <v>0</v>
      </c>
    </row>
    <row r="65" spans="1:53" s="2" customFormat="1" ht="10.5" hidden="1" customHeight="1">
      <c r="A65" s="11" t="s">
        <v>13</v>
      </c>
      <c r="B65" s="15"/>
      <c r="C65" s="343"/>
      <c r="D65" s="349"/>
      <c r="E65" s="346"/>
      <c r="F65" s="389"/>
      <c r="G65" s="277"/>
      <c r="H65" s="277"/>
      <c r="I65" s="277"/>
      <c r="J65" s="277"/>
      <c r="K65" s="277"/>
      <c r="L65" s="277"/>
      <c r="M65" s="377"/>
      <c r="N65" s="89"/>
      <c r="O65" s="89"/>
      <c r="P65" s="89"/>
      <c r="Q65" s="89"/>
      <c r="R65" s="89"/>
      <c r="S65" s="89"/>
      <c r="T65" s="89"/>
      <c r="U65" s="251"/>
      <c r="V65" s="121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117"/>
      <c r="AM65" s="88"/>
      <c r="AN65" s="88"/>
      <c r="AO65" s="88"/>
      <c r="AQ65" s="145"/>
      <c r="AR65" s="146"/>
      <c r="AT65" s="389"/>
      <c r="AV65" s="83"/>
      <c r="AW65" s="83"/>
      <c r="BA65" s="318">
        <f t="shared" si="2"/>
        <v>0</v>
      </c>
    </row>
    <row r="66" spans="1:53" s="2" customFormat="1" ht="10.5" customHeight="1">
      <c r="A66" s="12">
        <v>1</v>
      </c>
      <c r="B66" s="15"/>
      <c r="C66" s="344"/>
      <c r="D66" s="350"/>
      <c r="E66" s="347"/>
      <c r="F66" s="390"/>
      <c r="G66" s="307">
        <f>ROUND(G63*$F63,2)</f>
        <v>18103529.699999999</v>
      </c>
      <c r="H66" s="307">
        <f>ROUND(H63*$F63,2)</f>
        <v>18927711.260000002</v>
      </c>
      <c r="I66" s="307">
        <f>ROUND(I63*$F63,2)</f>
        <v>0</v>
      </c>
      <c r="J66" s="307">
        <f>J63*$F63</f>
        <v>-1992735.48</v>
      </c>
      <c r="K66" s="307">
        <f>ROUND(K63*$F63,2)</f>
        <v>16934975.780000001</v>
      </c>
      <c r="L66" s="307">
        <f>ROUND(L63*$F63,2)</f>
        <v>16934975.780000001</v>
      </c>
      <c r="M66" s="377"/>
      <c r="N66" s="90" t="s">
        <v>164</v>
      </c>
      <c r="O66" s="90"/>
      <c r="P66" s="90"/>
      <c r="Q66" s="90"/>
      <c r="R66" s="90"/>
      <c r="S66" s="90"/>
      <c r="T66" s="90"/>
      <c r="U66" s="252">
        <f>U63*$F63</f>
        <v>0</v>
      </c>
      <c r="V66" s="122"/>
      <c r="W66" s="64">
        <f>W63*$F63</f>
        <v>256125</v>
      </c>
      <c r="X66" s="64">
        <f>X63*$F63</f>
        <v>1024500</v>
      </c>
      <c r="Y66" s="64">
        <f>Y63*$F63</f>
        <v>1536750</v>
      </c>
      <c r="Z66" s="64">
        <f>Z63*$F63</f>
        <v>1536750</v>
      </c>
      <c r="AA66" s="64">
        <f>AA63*$F63</f>
        <v>1536750</v>
      </c>
      <c r="AB66" s="64">
        <f t="shared" ref="AB66:AK66" si="36">AB63*$F63</f>
        <v>1536750</v>
      </c>
      <c r="AC66" s="64">
        <f t="shared" si="36"/>
        <v>1024500</v>
      </c>
      <c r="AD66" s="64">
        <f t="shared" si="36"/>
        <v>1024500</v>
      </c>
      <c r="AE66" s="64">
        <f t="shared" si="36"/>
        <v>1024500</v>
      </c>
      <c r="AF66" s="64">
        <f t="shared" si="36"/>
        <v>1536750</v>
      </c>
      <c r="AG66" s="64">
        <f t="shared" si="36"/>
        <v>1536750</v>
      </c>
      <c r="AH66" s="64">
        <f t="shared" si="36"/>
        <v>1536750</v>
      </c>
      <c r="AI66" s="64">
        <f t="shared" si="36"/>
        <v>1823600.78</v>
      </c>
      <c r="AJ66" s="64">
        <f t="shared" si="36"/>
        <v>0</v>
      </c>
      <c r="AK66" s="64">
        <f t="shared" si="36"/>
        <v>0</v>
      </c>
      <c r="AL66" s="123"/>
      <c r="AM66" s="91"/>
      <c r="AN66" s="91"/>
      <c r="AO66" s="91"/>
      <c r="AQ66" s="69">
        <f>SUM(O66:AO66)</f>
        <v>16934975.780000001</v>
      </c>
      <c r="AR66" s="69">
        <f>+K66-AQ66</f>
        <v>0</v>
      </c>
      <c r="AT66" s="390"/>
      <c r="AV66" s="83"/>
      <c r="AW66" s="83"/>
      <c r="BA66" s="318">
        <f t="shared" si="2"/>
        <v>0</v>
      </c>
    </row>
    <row r="67" spans="1:53" s="2" customFormat="1" ht="10.5" customHeight="1">
      <c r="A67" s="12"/>
      <c r="B67" s="15"/>
      <c r="C67" s="342">
        <v>14</v>
      </c>
      <c r="D67" s="348" t="s">
        <v>60</v>
      </c>
      <c r="E67" s="357" t="s">
        <v>235</v>
      </c>
      <c r="F67" s="372">
        <v>0.83</v>
      </c>
      <c r="G67" s="284">
        <v>785875</v>
      </c>
      <c r="H67" s="284">
        <v>827538.15</v>
      </c>
      <c r="I67" s="284"/>
      <c r="J67" s="284"/>
      <c r="K67" s="284">
        <f>H67+J67</f>
        <v>827538.15</v>
      </c>
      <c r="L67" s="284">
        <f>+H67-I67+J67</f>
        <v>827538.15</v>
      </c>
      <c r="M67" s="377"/>
      <c r="N67" s="85" t="s">
        <v>162</v>
      </c>
      <c r="O67" s="85"/>
      <c r="P67" s="85"/>
      <c r="Q67" s="85"/>
      <c r="R67" s="85"/>
      <c r="S67" s="85"/>
      <c r="T67" s="85"/>
      <c r="U67" s="250">
        <f>+I67</f>
        <v>0</v>
      </c>
      <c r="V67" s="122"/>
      <c r="W67" s="95"/>
      <c r="X67" s="95"/>
      <c r="Y67" s="95">
        <v>11700</v>
      </c>
      <c r="Z67" s="95">
        <v>28000</v>
      </c>
      <c r="AA67" s="95">
        <v>70000</v>
      </c>
      <c r="AB67" s="95">
        <v>50000</v>
      </c>
      <c r="AC67" s="95">
        <v>40000</v>
      </c>
      <c r="AD67" s="95">
        <v>40000</v>
      </c>
      <c r="AE67" s="95">
        <v>40000</v>
      </c>
      <c r="AF67" s="95">
        <v>125000</v>
      </c>
      <c r="AG67" s="95">
        <v>125000</v>
      </c>
      <c r="AH67" s="95">
        <v>125000</v>
      </c>
      <c r="AI67" s="95">
        <v>125000</v>
      </c>
      <c r="AJ67" s="95">
        <v>47838.15</v>
      </c>
      <c r="AK67" s="95"/>
      <c r="AL67" s="117"/>
      <c r="AM67" s="92"/>
      <c r="AN67" s="92"/>
      <c r="AO67" s="92"/>
      <c r="AQ67" s="144">
        <f>SUM(O67:AO67)</f>
        <v>827538.15</v>
      </c>
      <c r="AR67" s="144">
        <f>+K67-AQ67</f>
        <v>0</v>
      </c>
      <c r="AT67" s="372">
        <f>+F67*K67</f>
        <v>686856.66</v>
      </c>
      <c r="AV67" s="263">
        <f>SUM(W67:AO67)</f>
        <v>827538.15</v>
      </c>
      <c r="AW67" s="263">
        <f>+L67-AV67</f>
        <v>0</v>
      </c>
      <c r="BA67" s="318">
        <f t="shared" si="2"/>
        <v>0</v>
      </c>
    </row>
    <row r="68" spans="1:53" s="2" customFormat="1" ht="10.5" customHeight="1">
      <c r="A68" s="10" t="s">
        <v>12</v>
      </c>
      <c r="B68" s="15"/>
      <c r="C68" s="343"/>
      <c r="D68" s="349"/>
      <c r="E68" s="358"/>
      <c r="F68" s="389"/>
      <c r="G68" s="277"/>
      <c r="H68" s="277"/>
      <c r="I68" s="277"/>
      <c r="J68" s="277"/>
      <c r="K68" s="277"/>
      <c r="L68" s="277"/>
      <c r="M68" s="377"/>
      <c r="N68" s="87" t="s">
        <v>163</v>
      </c>
      <c r="O68" s="87"/>
      <c r="P68" s="87"/>
      <c r="Q68" s="87"/>
      <c r="R68" s="87"/>
      <c r="S68" s="87"/>
      <c r="T68" s="87"/>
      <c r="U68" s="251">
        <f>+U67/K67</f>
        <v>0</v>
      </c>
      <c r="V68" s="120"/>
      <c r="W68" s="93"/>
      <c r="X68" s="62">
        <f t="shared" ref="X68:AK68" si="37">+X67/$K67</f>
        <v>0</v>
      </c>
      <c r="Y68" s="62">
        <f t="shared" si="37"/>
        <v>1.41E-2</v>
      </c>
      <c r="Z68" s="62">
        <f t="shared" si="37"/>
        <v>3.3799999999999997E-2</v>
      </c>
      <c r="AA68" s="62">
        <f t="shared" si="37"/>
        <v>8.4599999999999995E-2</v>
      </c>
      <c r="AB68" s="62">
        <f t="shared" si="37"/>
        <v>6.0400000000000002E-2</v>
      </c>
      <c r="AC68" s="62">
        <f t="shared" si="37"/>
        <v>4.8300000000000003E-2</v>
      </c>
      <c r="AD68" s="62">
        <f t="shared" si="37"/>
        <v>4.8300000000000003E-2</v>
      </c>
      <c r="AE68" s="62">
        <f t="shared" si="37"/>
        <v>4.8300000000000003E-2</v>
      </c>
      <c r="AF68" s="62">
        <f t="shared" si="37"/>
        <v>0.15110000000000001</v>
      </c>
      <c r="AG68" s="62">
        <f t="shared" si="37"/>
        <v>0.15110000000000001</v>
      </c>
      <c r="AH68" s="62">
        <f t="shared" si="37"/>
        <v>0.15110000000000001</v>
      </c>
      <c r="AI68" s="62">
        <f t="shared" si="37"/>
        <v>0.15110000000000001</v>
      </c>
      <c r="AJ68" s="62">
        <f t="shared" si="37"/>
        <v>5.7799999999999997E-2</v>
      </c>
      <c r="AK68" s="62">
        <f t="shared" si="37"/>
        <v>0</v>
      </c>
      <c r="AL68" s="117"/>
      <c r="AM68" s="88"/>
      <c r="AN68" s="88"/>
      <c r="AO68" s="88"/>
      <c r="AQ68" s="149">
        <f>SUM(O68:AO68)</f>
        <v>1</v>
      </c>
      <c r="AR68" s="146"/>
      <c r="AT68" s="389"/>
      <c r="AV68" s="266"/>
      <c r="AW68" s="266"/>
      <c r="BA68" s="318">
        <f t="shared" si="2"/>
        <v>0</v>
      </c>
    </row>
    <row r="69" spans="1:53" s="2" customFormat="1" ht="10.5" hidden="1" customHeight="1">
      <c r="A69" s="11" t="s">
        <v>13</v>
      </c>
      <c r="B69" s="15"/>
      <c r="C69" s="343"/>
      <c r="D69" s="349"/>
      <c r="E69" s="358" t="s">
        <v>191</v>
      </c>
      <c r="F69" s="389"/>
      <c r="G69" s="277"/>
      <c r="H69" s="277"/>
      <c r="I69" s="277"/>
      <c r="J69" s="277"/>
      <c r="K69" s="277"/>
      <c r="L69" s="277"/>
      <c r="M69" s="377"/>
      <c r="N69" s="89"/>
      <c r="O69" s="89"/>
      <c r="P69" s="89"/>
      <c r="Q69" s="89"/>
      <c r="R69" s="89"/>
      <c r="S69" s="89"/>
      <c r="T69" s="89"/>
      <c r="U69" s="251"/>
      <c r="V69" s="121"/>
      <c r="W69" s="96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117"/>
      <c r="AM69" s="88"/>
      <c r="AN69" s="88"/>
      <c r="AO69" s="88"/>
      <c r="AQ69" s="145"/>
      <c r="AR69" s="146"/>
      <c r="AT69" s="389"/>
      <c r="AV69" s="197"/>
      <c r="AW69" s="197"/>
      <c r="BA69" s="318">
        <f t="shared" si="2"/>
        <v>0</v>
      </c>
    </row>
    <row r="70" spans="1:53" s="2" customFormat="1" ht="10.5" customHeight="1">
      <c r="A70" s="12">
        <v>1</v>
      </c>
      <c r="B70" s="15"/>
      <c r="C70" s="344"/>
      <c r="D70" s="350"/>
      <c r="E70" s="359"/>
      <c r="F70" s="390"/>
      <c r="G70" s="307">
        <f>ROUND(G67*$F67,2)</f>
        <v>652276.25</v>
      </c>
      <c r="H70" s="307">
        <f>ROUND(H67*$F67,2)</f>
        <v>686856.66</v>
      </c>
      <c r="I70" s="307">
        <f>ROUND(I67*$F67,2)</f>
        <v>0</v>
      </c>
      <c r="J70" s="307">
        <f>J67*$F67</f>
        <v>0</v>
      </c>
      <c r="K70" s="307">
        <f>ROUND(K67*$F67,2)</f>
        <v>686856.66</v>
      </c>
      <c r="L70" s="307">
        <f>ROUND(L67*$F67,2)</f>
        <v>686856.66</v>
      </c>
      <c r="M70" s="377"/>
      <c r="N70" s="90" t="s">
        <v>164</v>
      </c>
      <c r="O70" s="90"/>
      <c r="P70" s="90"/>
      <c r="Q70" s="90"/>
      <c r="R70" s="90"/>
      <c r="S70" s="90"/>
      <c r="T70" s="90"/>
      <c r="U70" s="252">
        <f>U67*$F67</f>
        <v>0</v>
      </c>
      <c r="V70" s="122"/>
      <c r="W70" s="94"/>
      <c r="X70" s="64">
        <f>X67*$F67</f>
        <v>0</v>
      </c>
      <c r="Y70" s="64">
        <f>Y67*$F67</f>
        <v>9711</v>
      </c>
      <c r="Z70" s="64">
        <f t="shared" ref="Z70:AK70" si="38">Z67*$F67</f>
        <v>23240</v>
      </c>
      <c r="AA70" s="64">
        <f t="shared" si="38"/>
        <v>58100</v>
      </c>
      <c r="AB70" s="64">
        <f t="shared" si="38"/>
        <v>41500</v>
      </c>
      <c r="AC70" s="64">
        <f t="shared" si="38"/>
        <v>33200</v>
      </c>
      <c r="AD70" s="64">
        <f t="shared" si="38"/>
        <v>33200</v>
      </c>
      <c r="AE70" s="64">
        <f t="shared" si="38"/>
        <v>33200</v>
      </c>
      <c r="AF70" s="64">
        <f t="shared" si="38"/>
        <v>103750</v>
      </c>
      <c r="AG70" s="64">
        <f t="shared" si="38"/>
        <v>103750</v>
      </c>
      <c r="AH70" s="64">
        <f t="shared" si="38"/>
        <v>103750</v>
      </c>
      <c r="AI70" s="64">
        <f t="shared" si="38"/>
        <v>103750</v>
      </c>
      <c r="AJ70" s="64">
        <f t="shared" si="38"/>
        <v>39705.660000000003</v>
      </c>
      <c r="AK70" s="64">
        <f t="shared" si="38"/>
        <v>0</v>
      </c>
      <c r="AL70" s="123"/>
      <c r="AM70" s="91"/>
      <c r="AN70" s="91"/>
      <c r="AO70" s="91"/>
      <c r="AQ70" s="69">
        <f>SUM(O70:AO70)</f>
        <v>686856.66</v>
      </c>
      <c r="AR70" s="69">
        <f>+K70-AQ70</f>
        <v>0</v>
      </c>
      <c r="AT70" s="390"/>
      <c r="AV70" s="196"/>
      <c r="AW70" s="196"/>
      <c r="BA70" s="318">
        <f t="shared" si="2"/>
        <v>0</v>
      </c>
    </row>
    <row r="71" spans="1:53" s="2" customFormat="1" ht="10.5" customHeight="1">
      <c r="A71" s="12"/>
      <c r="B71" s="15"/>
      <c r="C71" s="342">
        <v>15</v>
      </c>
      <c r="D71" s="348" t="s">
        <v>61</v>
      </c>
      <c r="E71" s="357" t="s">
        <v>235</v>
      </c>
      <c r="F71" s="372">
        <v>0.99</v>
      </c>
      <c r="G71" s="284">
        <v>157175</v>
      </c>
      <c r="H71" s="284">
        <v>165508.39000000001</v>
      </c>
      <c r="I71" s="284"/>
      <c r="J71" s="284"/>
      <c r="K71" s="284">
        <f>H71+J71</f>
        <v>165508.39000000001</v>
      </c>
      <c r="L71" s="284">
        <f>+H71-I71+J71</f>
        <v>165508.39000000001</v>
      </c>
      <c r="M71" s="377"/>
      <c r="N71" s="85" t="s">
        <v>162</v>
      </c>
      <c r="O71" s="85"/>
      <c r="P71" s="85"/>
      <c r="Q71" s="85"/>
      <c r="R71" s="85"/>
      <c r="S71" s="85"/>
      <c r="T71" s="85"/>
      <c r="U71" s="250">
        <f>+I71</f>
        <v>0</v>
      </c>
      <c r="V71" s="122"/>
      <c r="W71" s="95"/>
      <c r="X71" s="95"/>
      <c r="Y71" s="95"/>
      <c r="Z71" s="95">
        <v>2700</v>
      </c>
      <c r="AA71" s="95">
        <v>6000</v>
      </c>
      <c r="AB71" s="95">
        <v>15000</v>
      </c>
      <c r="AC71" s="95">
        <v>10000</v>
      </c>
      <c r="AD71" s="95">
        <v>10000</v>
      </c>
      <c r="AE71" s="95">
        <v>10000</v>
      </c>
      <c r="AF71" s="95">
        <v>21000</v>
      </c>
      <c r="AG71" s="95">
        <v>25000</v>
      </c>
      <c r="AH71" s="95">
        <v>25000</v>
      </c>
      <c r="AI71" s="95">
        <v>25000</v>
      </c>
      <c r="AJ71" s="95">
        <v>15808.39</v>
      </c>
      <c r="AK71" s="95"/>
      <c r="AL71" s="117"/>
      <c r="AM71" s="147"/>
      <c r="AN71" s="147"/>
      <c r="AO71" s="147"/>
      <c r="AQ71" s="144">
        <f>SUM(O71:AO71)</f>
        <v>165508.39000000001</v>
      </c>
      <c r="AR71" s="144">
        <f>+K71-AQ71</f>
        <v>0</v>
      </c>
      <c r="AT71" s="372">
        <f>+F71*K71</f>
        <v>163853.31</v>
      </c>
      <c r="AV71" s="263">
        <f>SUM(W71:AO71)</f>
        <v>165508.39000000001</v>
      </c>
      <c r="AW71" s="263">
        <f>+L71-AV71</f>
        <v>0</v>
      </c>
      <c r="BA71" s="318">
        <f t="shared" si="2"/>
        <v>0</v>
      </c>
    </row>
    <row r="72" spans="1:53" s="2" customFormat="1" ht="10.5" customHeight="1">
      <c r="A72" s="10" t="s">
        <v>12</v>
      </c>
      <c r="B72" s="15"/>
      <c r="C72" s="343"/>
      <c r="D72" s="349"/>
      <c r="E72" s="358"/>
      <c r="F72" s="389"/>
      <c r="G72" s="277"/>
      <c r="H72" s="277"/>
      <c r="I72" s="277"/>
      <c r="J72" s="277"/>
      <c r="K72" s="277"/>
      <c r="L72" s="277"/>
      <c r="M72" s="377"/>
      <c r="N72" s="87" t="s">
        <v>163</v>
      </c>
      <c r="O72" s="87"/>
      <c r="P72" s="87"/>
      <c r="Q72" s="87"/>
      <c r="R72" s="87"/>
      <c r="S72" s="87"/>
      <c r="T72" s="87"/>
      <c r="U72" s="251">
        <f>+U71/K71</f>
        <v>0</v>
      </c>
      <c r="V72" s="120"/>
      <c r="W72" s="93"/>
      <c r="X72" s="62">
        <f t="shared" ref="X72:AD72" si="39">+X71/$K71</f>
        <v>0</v>
      </c>
      <c r="Y72" s="62">
        <f t="shared" ref="Y72" si="40">+Y71/$K71</f>
        <v>0</v>
      </c>
      <c r="Z72" s="62">
        <f t="shared" si="39"/>
        <v>1.6299999999999999E-2</v>
      </c>
      <c r="AA72" s="62">
        <f t="shared" si="39"/>
        <v>3.6299999999999999E-2</v>
      </c>
      <c r="AB72" s="62">
        <f t="shared" si="39"/>
        <v>9.06E-2</v>
      </c>
      <c r="AC72" s="62">
        <f t="shared" si="39"/>
        <v>6.0400000000000002E-2</v>
      </c>
      <c r="AD72" s="62">
        <f t="shared" si="39"/>
        <v>6.0400000000000002E-2</v>
      </c>
      <c r="AE72" s="62">
        <f t="shared" ref="AE72:AK72" si="41">+AE71/$K71</f>
        <v>6.0400000000000002E-2</v>
      </c>
      <c r="AF72" s="62">
        <f t="shared" si="41"/>
        <v>0.12690000000000001</v>
      </c>
      <c r="AG72" s="62">
        <f t="shared" si="41"/>
        <v>0.151</v>
      </c>
      <c r="AH72" s="62">
        <f t="shared" si="41"/>
        <v>0.151</v>
      </c>
      <c r="AI72" s="62">
        <f t="shared" si="41"/>
        <v>0.151</v>
      </c>
      <c r="AJ72" s="62">
        <f t="shared" si="41"/>
        <v>9.5500000000000002E-2</v>
      </c>
      <c r="AK72" s="62">
        <f t="shared" si="41"/>
        <v>0</v>
      </c>
      <c r="AL72" s="117"/>
      <c r="AM72" s="96"/>
      <c r="AN72" s="96"/>
      <c r="AO72" s="96"/>
      <c r="AQ72" s="149">
        <f>SUM(O72:AO72)</f>
        <v>0.99980000000000002</v>
      </c>
      <c r="AR72" s="146"/>
      <c r="AT72" s="389"/>
      <c r="AV72" s="266"/>
      <c r="AW72" s="266"/>
      <c r="BA72" s="318">
        <f t="shared" si="2"/>
        <v>0</v>
      </c>
    </row>
    <row r="73" spans="1:53" s="2" customFormat="1" ht="10.5" hidden="1" customHeight="1">
      <c r="A73" s="11" t="s">
        <v>13</v>
      </c>
      <c r="B73" s="15"/>
      <c r="C73" s="343"/>
      <c r="D73" s="349"/>
      <c r="E73" s="358" t="s">
        <v>191</v>
      </c>
      <c r="F73" s="389"/>
      <c r="G73" s="277"/>
      <c r="H73" s="277"/>
      <c r="I73" s="277"/>
      <c r="J73" s="277"/>
      <c r="K73" s="277"/>
      <c r="L73" s="277"/>
      <c r="M73" s="377"/>
      <c r="N73" s="89"/>
      <c r="O73" s="89"/>
      <c r="P73" s="89"/>
      <c r="Q73" s="89"/>
      <c r="R73" s="89"/>
      <c r="S73" s="89"/>
      <c r="T73" s="89"/>
      <c r="U73" s="251"/>
      <c r="V73" s="121"/>
      <c r="W73" s="96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117"/>
      <c r="AM73" s="96"/>
      <c r="AN73" s="96"/>
      <c r="AO73" s="96"/>
      <c r="AQ73" s="145"/>
      <c r="AR73" s="146"/>
      <c r="AT73" s="389"/>
      <c r="AV73" s="197"/>
      <c r="AW73" s="197"/>
      <c r="BA73" s="318">
        <f t="shared" si="2"/>
        <v>0</v>
      </c>
    </row>
    <row r="74" spans="1:53" s="2" customFormat="1" ht="10.5" customHeight="1">
      <c r="A74" s="12">
        <v>1</v>
      </c>
      <c r="B74" s="15"/>
      <c r="C74" s="344"/>
      <c r="D74" s="350"/>
      <c r="E74" s="359"/>
      <c r="F74" s="390"/>
      <c r="G74" s="307">
        <f>ROUND(G71*$F71,2)</f>
        <v>155603.25</v>
      </c>
      <c r="H74" s="307">
        <f>ROUND(H71*$F71,2)</f>
        <v>163853.31</v>
      </c>
      <c r="I74" s="307">
        <f>ROUND(I71*$F71,2)</f>
        <v>0</v>
      </c>
      <c r="J74" s="307">
        <f>J71*$F71</f>
        <v>0</v>
      </c>
      <c r="K74" s="307">
        <f>ROUND(K71*$F71,2)</f>
        <v>163853.31</v>
      </c>
      <c r="L74" s="307">
        <f>ROUND(L71*$F71,2)</f>
        <v>163853.31</v>
      </c>
      <c r="M74" s="377"/>
      <c r="N74" s="90" t="s">
        <v>164</v>
      </c>
      <c r="O74" s="90"/>
      <c r="P74" s="90"/>
      <c r="Q74" s="90"/>
      <c r="R74" s="90"/>
      <c r="S74" s="90"/>
      <c r="T74" s="90"/>
      <c r="U74" s="252">
        <f>U71*$F71</f>
        <v>0</v>
      </c>
      <c r="V74" s="122"/>
      <c r="W74" s="94"/>
      <c r="X74" s="64">
        <f t="shared" ref="X74:AD74" si="42">X71*$F71</f>
        <v>0</v>
      </c>
      <c r="Y74" s="64">
        <f t="shared" ref="Y74" si="43">Y71*$F71</f>
        <v>0</v>
      </c>
      <c r="Z74" s="64">
        <f t="shared" si="42"/>
        <v>2673</v>
      </c>
      <c r="AA74" s="64">
        <f t="shared" si="42"/>
        <v>5940</v>
      </c>
      <c r="AB74" s="64">
        <f t="shared" si="42"/>
        <v>14850</v>
      </c>
      <c r="AC74" s="64">
        <f t="shared" si="42"/>
        <v>9900</v>
      </c>
      <c r="AD74" s="64">
        <f t="shared" si="42"/>
        <v>9900</v>
      </c>
      <c r="AE74" s="64">
        <f t="shared" ref="AE74:AK74" si="44">AE71*$F71</f>
        <v>9900</v>
      </c>
      <c r="AF74" s="64">
        <f t="shared" si="44"/>
        <v>20790</v>
      </c>
      <c r="AG74" s="64">
        <f t="shared" si="44"/>
        <v>24750</v>
      </c>
      <c r="AH74" s="64">
        <f t="shared" si="44"/>
        <v>24750</v>
      </c>
      <c r="AI74" s="64">
        <f t="shared" si="44"/>
        <v>24750</v>
      </c>
      <c r="AJ74" s="64">
        <f t="shared" si="44"/>
        <v>15650.31</v>
      </c>
      <c r="AK74" s="64">
        <f t="shared" si="44"/>
        <v>0</v>
      </c>
      <c r="AL74" s="123"/>
      <c r="AM74" s="148"/>
      <c r="AN74" s="148"/>
      <c r="AO74" s="148"/>
      <c r="AQ74" s="69">
        <f>SUM(O74:AO74)</f>
        <v>163853.31</v>
      </c>
      <c r="AR74" s="69">
        <f>+K74-AQ74</f>
        <v>0</v>
      </c>
      <c r="AT74" s="390"/>
      <c r="AV74" s="196"/>
      <c r="AW74" s="196"/>
      <c r="BA74" s="318">
        <f t="shared" si="2"/>
        <v>0</v>
      </c>
    </row>
    <row r="75" spans="1:53" s="2" customFormat="1" ht="10.5" customHeight="1">
      <c r="A75" s="12"/>
      <c r="B75" s="15"/>
      <c r="C75" s="342">
        <v>16</v>
      </c>
      <c r="D75" s="348" t="s">
        <v>62</v>
      </c>
      <c r="E75" s="357" t="s">
        <v>235</v>
      </c>
      <c r="F75" s="372">
        <v>7.89</v>
      </c>
      <c r="G75" s="284">
        <v>785875</v>
      </c>
      <c r="H75" s="284">
        <v>827267.38</v>
      </c>
      <c r="I75" s="284"/>
      <c r="J75" s="284"/>
      <c r="K75" s="284">
        <f>H75+J75</f>
        <v>827267.38</v>
      </c>
      <c r="L75" s="284">
        <f>+H75-I75+J75</f>
        <v>827267.38</v>
      </c>
      <c r="M75" s="377"/>
      <c r="N75" s="85" t="s">
        <v>162</v>
      </c>
      <c r="O75" s="85"/>
      <c r="P75" s="85"/>
      <c r="Q75" s="85"/>
      <c r="R75" s="85"/>
      <c r="S75" s="85"/>
      <c r="T75" s="85"/>
      <c r="U75" s="250">
        <f>+I75</f>
        <v>0</v>
      </c>
      <c r="V75" s="122"/>
      <c r="W75" s="95"/>
      <c r="X75" s="95"/>
      <c r="Y75" s="262"/>
      <c r="Z75" s="262">
        <v>2700</v>
      </c>
      <c r="AA75" s="262">
        <v>30000</v>
      </c>
      <c r="AB75" s="262">
        <v>40000</v>
      </c>
      <c r="AC75" s="262">
        <v>30000</v>
      </c>
      <c r="AD75" s="262">
        <v>30000</v>
      </c>
      <c r="AE75" s="262">
        <v>100000</v>
      </c>
      <c r="AF75" s="95">
        <v>120000</v>
      </c>
      <c r="AG75" s="95">
        <v>120000</v>
      </c>
      <c r="AH75" s="95">
        <v>120000</v>
      </c>
      <c r="AI75" s="95">
        <v>120000</v>
      </c>
      <c r="AJ75" s="95">
        <v>114567.38</v>
      </c>
      <c r="AK75" s="95"/>
      <c r="AL75" s="119"/>
      <c r="AM75" s="92"/>
      <c r="AN75" s="92"/>
      <c r="AO75" s="92"/>
      <c r="AQ75" s="144">
        <f>SUM(O75:AO75)</f>
        <v>827267.38</v>
      </c>
      <c r="AR75" s="144">
        <f>+K75-AQ75</f>
        <v>0</v>
      </c>
      <c r="AT75" s="372">
        <f>+F75*K75</f>
        <v>6527139.6299999999</v>
      </c>
      <c r="AV75" s="263">
        <f>SUM(W75:AO75)</f>
        <v>827267.38</v>
      </c>
      <c r="AW75" s="263">
        <f>+L75-AV75</f>
        <v>0</v>
      </c>
      <c r="BA75" s="318">
        <f t="shared" ref="BA75:BA136" si="45">SUM(O75:U75)</f>
        <v>0</v>
      </c>
    </row>
    <row r="76" spans="1:53" s="2" customFormat="1" ht="10.5" customHeight="1">
      <c r="A76" s="10" t="s">
        <v>12</v>
      </c>
      <c r="B76" s="15"/>
      <c r="C76" s="343"/>
      <c r="D76" s="349"/>
      <c r="E76" s="358"/>
      <c r="F76" s="389"/>
      <c r="G76" s="277"/>
      <c r="H76" s="277"/>
      <c r="I76" s="277"/>
      <c r="J76" s="277"/>
      <c r="K76" s="277"/>
      <c r="L76" s="277"/>
      <c r="M76" s="377"/>
      <c r="N76" s="87" t="s">
        <v>163</v>
      </c>
      <c r="O76" s="87"/>
      <c r="P76" s="87"/>
      <c r="Q76" s="87"/>
      <c r="R76" s="87"/>
      <c r="S76" s="87"/>
      <c r="T76" s="87"/>
      <c r="U76" s="251">
        <f>+U75/K75</f>
        <v>0</v>
      </c>
      <c r="V76" s="120"/>
      <c r="W76" s="93"/>
      <c r="X76" s="93"/>
      <c r="Y76" s="62">
        <f t="shared" ref="Y76" si="46">+Y75/$K75</f>
        <v>0</v>
      </c>
      <c r="Z76" s="62">
        <f t="shared" ref="Z76:AK76" si="47">+Z75/$K75</f>
        <v>3.3E-3</v>
      </c>
      <c r="AA76" s="62">
        <f t="shared" si="47"/>
        <v>3.6299999999999999E-2</v>
      </c>
      <c r="AB76" s="62">
        <f t="shared" si="47"/>
        <v>4.8399999999999999E-2</v>
      </c>
      <c r="AC76" s="62">
        <f t="shared" si="47"/>
        <v>3.6299999999999999E-2</v>
      </c>
      <c r="AD76" s="62">
        <f t="shared" si="47"/>
        <v>3.6299999999999999E-2</v>
      </c>
      <c r="AE76" s="62">
        <f t="shared" si="47"/>
        <v>0.12089999999999999</v>
      </c>
      <c r="AF76" s="62">
        <f t="shared" si="47"/>
        <v>0.14510000000000001</v>
      </c>
      <c r="AG76" s="62">
        <f t="shared" si="47"/>
        <v>0.14510000000000001</v>
      </c>
      <c r="AH76" s="62">
        <f t="shared" si="47"/>
        <v>0.14510000000000001</v>
      </c>
      <c r="AI76" s="62">
        <f t="shared" si="47"/>
        <v>0.14510000000000001</v>
      </c>
      <c r="AJ76" s="62">
        <f t="shared" si="47"/>
        <v>0.13850000000000001</v>
      </c>
      <c r="AK76" s="62">
        <f t="shared" si="47"/>
        <v>0</v>
      </c>
      <c r="AL76" s="116"/>
      <c r="AM76" s="88"/>
      <c r="AN76" s="88"/>
      <c r="AO76" s="88"/>
      <c r="AQ76" s="149">
        <f>SUM(O76:AO76)</f>
        <v>1.0004</v>
      </c>
      <c r="AR76" s="146"/>
      <c r="AT76" s="389"/>
      <c r="AV76" s="266"/>
      <c r="AW76" s="266"/>
      <c r="BA76" s="318">
        <f t="shared" si="45"/>
        <v>0</v>
      </c>
    </row>
    <row r="77" spans="1:53" s="2" customFormat="1" ht="10.5" hidden="1" customHeight="1">
      <c r="A77" s="11" t="s">
        <v>13</v>
      </c>
      <c r="B77" s="15"/>
      <c r="C77" s="343"/>
      <c r="D77" s="349"/>
      <c r="E77" s="358" t="s">
        <v>191</v>
      </c>
      <c r="F77" s="389"/>
      <c r="G77" s="277"/>
      <c r="H77" s="277"/>
      <c r="I77" s="277"/>
      <c r="J77" s="277"/>
      <c r="K77" s="277"/>
      <c r="L77" s="277"/>
      <c r="M77" s="377"/>
      <c r="N77" s="89"/>
      <c r="O77" s="89"/>
      <c r="P77" s="89"/>
      <c r="Q77" s="89"/>
      <c r="R77" s="89"/>
      <c r="S77" s="89"/>
      <c r="T77" s="89"/>
      <c r="U77" s="251"/>
      <c r="V77" s="121"/>
      <c r="W77" s="96"/>
      <c r="X77" s="96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117"/>
      <c r="AM77" s="88"/>
      <c r="AN77" s="88"/>
      <c r="AO77" s="88"/>
      <c r="AQ77" s="145"/>
      <c r="AR77" s="146"/>
      <c r="AT77" s="389"/>
      <c r="AV77" s="197"/>
      <c r="AW77" s="197"/>
      <c r="BA77" s="318">
        <f t="shared" si="45"/>
        <v>0</v>
      </c>
    </row>
    <row r="78" spans="1:53" s="2" customFormat="1" ht="10.5" customHeight="1">
      <c r="A78" s="12">
        <v>1</v>
      </c>
      <c r="B78" s="15"/>
      <c r="C78" s="344"/>
      <c r="D78" s="350"/>
      <c r="E78" s="359"/>
      <c r="F78" s="390"/>
      <c r="G78" s="307">
        <f>ROUND(G75*$F75,2)</f>
        <v>6200553.75</v>
      </c>
      <c r="H78" s="307">
        <f>ROUND(H75*$F75,2)</f>
        <v>6527139.6299999999</v>
      </c>
      <c r="I78" s="307">
        <f>ROUND(I75*$F75,2)</f>
        <v>0</v>
      </c>
      <c r="J78" s="307">
        <f>J75*$F75</f>
        <v>0</v>
      </c>
      <c r="K78" s="307">
        <f>ROUND(K75*$F75,2)</f>
        <v>6527139.6299999999</v>
      </c>
      <c r="L78" s="307">
        <f>ROUND(L75*$F75,2)</f>
        <v>6527139.6299999999</v>
      </c>
      <c r="M78" s="377"/>
      <c r="N78" s="90" t="s">
        <v>164</v>
      </c>
      <c r="O78" s="90"/>
      <c r="P78" s="90"/>
      <c r="Q78" s="90"/>
      <c r="R78" s="90"/>
      <c r="S78" s="90"/>
      <c r="T78" s="90"/>
      <c r="U78" s="252">
        <f>U75*$F75</f>
        <v>0</v>
      </c>
      <c r="V78" s="122"/>
      <c r="W78" s="64"/>
      <c r="X78" s="64"/>
      <c r="Y78" s="64">
        <f>Y75*$F75</f>
        <v>0</v>
      </c>
      <c r="Z78" s="64">
        <f>Z75*$F75</f>
        <v>21303</v>
      </c>
      <c r="AA78" s="64">
        <f t="shared" ref="AA78:AK78" si="48">AA75*$F75</f>
        <v>236700</v>
      </c>
      <c r="AB78" s="64">
        <f>AB75*$F75</f>
        <v>315600</v>
      </c>
      <c r="AC78" s="64">
        <f>AC75*$F75</f>
        <v>236700</v>
      </c>
      <c r="AD78" s="64">
        <f>AD75*$F75</f>
        <v>236700</v>
      </c>
      <c r="AE78" s="64">
        <f t="shared" si="48"/>
        <v>789000</v>
      </c>
      <c r="AF78" s="64">
        <f t="shared" si="48"/>
        <v>946800</v>
      </c>
      <c r="AG78" s="64">
        <f t="shared" si="48"/>
        <v>946800</v>
      </c>
      <c r="AH78" s="64">
        <f t="shared" si="48"/>
        <v>946800</v>
      </c>
      <c r="AI78" s="64">
        <f t="shared" si="48"/>
        <v>946800</v>
      </c>
      <c r="AJ78" s="64">
        <f t="shared" si="48"/>
        <v>903936.63</v>
      </c>
      <c r="AK78" s="64">
        <f t="shared" si="48"/>
        <v>0</v>
      </c>
      <c r="AL78" s="118"/>
      <c r="AM78" s="91"/>
      <c r="AN78" s="91"/>
      <c r="AO78" s="91"/>
      <c r="AQ78" s="69">
        <f>SUM(O78:AO78)</f>
        <v>6527139.6299999999</v>
      </c>
      <c r="AR78" s="69">
        <f>+K78-AQ78</f>
        <v>0</v>
      </c>
      <c r="AT78" s="390"/>
      <c r="AV78" s="196"/>
      <c r="AW78" s="196"/>
      <c r="BA78" s="318">
        <f t="shared" si="45"/>
        <v>0</v>
      </c>
    </row>
    <row r="79" spans="1:53" s="2" customFormat="1" ht="10.5" customHeight="1">
      <c r="A79" s="12"/>
      <c r="B79" s="15"/>
      <c r="C79" s="342">
        <v>17</v>
      </c>
      <c r="D79" s="348" t="s">
        <v>63</v>
      </c>
      <c r="E79" s="345" t="s">
        <v>236</v>
      </c>
      <c r="F79" s="372">
        <v>7.51</v>
      </c>
      <c r="G79" s="284">
        <v>943050</v>
      </c>
      <c r="H79" s="284">
        <v>991642.34</v>
      </c>
      <c r="I79" s="284"/>
      <c r="J79" s="284"/>
      <c r="K79" s="284">
        <f>H79+J79</f>
        <v>991642.34</v>
      </c>
      <c r="L79" s="284">
        <f>+H79-I79+J79</f>
        <v>991642.34</v>
      </c>
      <c r="M79" s="377"/>
      <c r="N79" s="85" t="s">
        <v>162</v>
      </c>
      <c r="O79" s="85"/>
      <c r="P79" s="85"/>
      <c r="Q79" s="85"/>
      <c r="R79" s="85"/>
      <c r="S79" s="85"/>
      <c r="T79" s="85"/>
      <c r="U79" s="250">
        <f>+I79</f>
        <v>0</v>
      </c>
      <c r="V79" s="122"/>
      <c r="W79" s="95"/>
      <c r="X79" s="95"/>
      <c r="Y79" s="95">
        <f t="shared" ref="Y79:AI79" si="49">ROUND(Y67*1.2,2)</f>
        <v>14040</v>
      </c>
      <c r="Z79" s="95">
        <f t="shared" si="49"/>
        <v>33600</v>
      </c>
      <c r="AA79" s="95">
        <f t="shared" si="49"/>
        <v>84000</v>
      </c>
      <c r="AB79" s="95">
        <f t="shared" si="49"/>
        <v>60000</v>
      </c>
      <c r="AC79" s="95">
        <f t="shared" si="49"/>
        <v>48000</v>
      </c>
      <c r="AD79" s="95">
        <f t="shared" si="49"/>
        <v>48000</v>
      </c>
      <c r="AE79" s="95">
        <f t="shared" si="49"/>
        <v>48000</v>
      </c>
      <c r="AF79" s="95">
        <f t="shared" si="49"/>
        <v>150000</v>
      </c>
      <c r="AG79" s="95">
        <f t="shared" si="49"/>
        <v>150000</v>
      </c>
      <c r="AH79" s="95">
        <f t="shared" si="49"/>
        <v>150000</v>
      </c>
      <c r="AI79" s="95">
        <f t="shared" si="49"/>
        <v>150000</v>
      </c>
      <c r="AJ79" s="95">
        <v>56002.34</v>
      </c>
      <c r="AK79" s="95">
        <f t="shared" ref="AK79" si="50">+AK67*1.2</f>
        <v>0</v>
      </c>
      <c r="AL79" s="117"/>
      <c r="AM79" s="92"/>
      <c r="AN79" s="92"/>
      <c r="AO79" s="92"/>
      <c r="AQ79" s="144">
        <f>SUM(O79:AO79)</f>
        <v>991642.34</v>
      </c>
      <c r="AR79" s="144">
        <f>+K79-AQ79</f>
        <v>0</v>
      </c>
      <c r="AT79" s="372">
        <f>+F79*K79</f>
        <v>7447233.9699999997</v>
      </c>
      <c r="AV79" s="263">
        <f>SUM(W79:AO79)</f>
        <v>991642.34</v>
      </c>
      <c r="AW79" s="263">
        <f>+L79-AV79</f>
        <v>0</v>
      </c>
      <c r="BA79" s="318">
        <f t="shared" si="45"/>
        <v>0</v>
      </c>
    </row>
    <row r="80" spans="1:53" s="2" customFormat="1" ht="10.5" customHeight="1">
      <c r="A80" s="10" t="s">
        <v>12</v>
      </c>
      <c r="B80" s="15"/>
      <c r="C80" s="343"/>
      <c r="D80" s="349"/>
      <c r="E80" s="346"/>
      <c r="F80" s="389"/>
      <c r="G80" s="277"/>
      <c r="H80" s="277"/>
      <c r="I80" s="277"/>
      <c r="J80" s="277"/>
      <c r="K80" s="277"/>
      <c r="L80" s="277"/>
      <c r="M80" s="377"/>
      <c r="N80" s="87" t="s">
        <v>163</v>
      </c>
      <c r="O80" s="87"/>
      <c r="P80" s="87"/>
      <c r="Q80" s="87"/>
      <c r="R80" s="87"/>
      <c r="S80" s="87"/>
      <c r="T80" s="87"/>
      <c r="U80" s="251">
        <f>+U79/K79</f>
        <v>0</v>
      </c>
      <c r="V80" s="120"/>
      <c r="W80" s="93"/>
      <c r="X80" s="62">
        <f t="shared" ref="X80:AK80" si="51">+X79/$K79</f>
        <v>0</v>
      </c>
      <c r="Y80" s="62">
        <f t="shared" si="51"/>
        <v>1.4200000000000001E-2</v>
      </c>
      <c r="Z80" s="62">
        <f t="shared" si="51"/>
        <v>3.39E-2</v>
      </c>
      <c r="AA80" s="62">
        <f t="shared" si="51"/>
        <v>8.4699999999999998E-2</v>
      </c>
      <c r="AB80" s="62">
        <f t="shared" si="51"/>
        <v>6.0499999999999998E-2</v>
      </c>
      <c r="AC80" s="62">
        <f t="shared" si="51"/>
        <v>4.8399999999999999E-2</v>
      </c>
      <c r="AD80" s="62">
        <f t="shared" si="51"/>
        <v>4.8399999999999999E-2</v>
      </c>
      <c r="AE80" s="62">
        <f t="shared" si="51"/>
        <v>4.8399999999999999E-2</v>
      </c>
      <c r="AF80" s="62">
        <f t="shared" si="51"/>
        <v>0.15129999999999999</v>
      </c>
      <c r="AG80" s="62">
        <f t="shared" si="51"/>
        <v>0.15129999999999999</v>
      </c>
      <c r="AH80" s="62">
        <f t="shared" si="51"/>
        <v>0.15129999999999999</v>
      </c>
      <c r="AI80" s="62">
        <f t="shared" si="51"/>
        <v>0.15129999999999999</v>
      </c>
      <c r="AJ80" s="62">
        <f t="shared" si="51"/>
        <v>5.6500000000000002E-2</v>
      </c>
      <c r="AK80" s="62">
        <f t="shared" si="51"/>
        <v>0</v>
      </c>
      <c r="AL80" s="117"/>
      <c r="AM80" s="88"/>
      <c r="AN80" s="88"/>
      <c r="AO80" s="88"/>
      <c r="AQ80" s="149">
        <f>SUM(O80:AO80)</f>
        <v>1.0002</v>
      </c>
      <c r="AR80" s="146"/>
      <c r="AT80" s="389"/>
      <c r="AV80" s="266"/>
      <c r="AW80" s="266"/>
      <c r="BA80" s="318">
        <f t="shared" si="45"/>
        <v>0</v>
      </c>
    </row>
    <row r="81" spans="1:54" s="2" customFormat="1" ht="10.5" hidden="1" customHeight="1">
      <c r="A81" s="11" t="s">
        <v>13</v>
      </c>
      <c r="B81" s="15"/>
      <c r="C81" s="343"/>
      <c r="D81" s="349"/>
      <c r="E81" s="346"/>
      <c r="F81" s="389"/>
      <c r="G81" s="277"/>
      <c r="H81" s="277"/>
      <c r="I81" s="277"/>
      <c r="J81" s="277"/>
      <c r="K81" s="277"/>
      <c r="L81" s="277"/>
      <c r="M81" s="377"/>
      <c r="N81" s="89"/>
      <c r="O81" s="89"/>
      <c r="P81" s="89"/>
      <c r="Q81" s="89"/>
      <c r="R81" s="89"/>
      <c r="S81" s="89"/>
      <c r="T81" s="89"/>
      <c r="U81" s="251"/>
      <c r="V81" s="121"/>
      <c r="W81" s="96"/>
      <c r="X81" s="93"/>
      <c r="Y81" s="9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117"/>
      <c r="AM81" s="88"/>
      <c r="AN81" s="88"/>
      <c r="AO81" s="88"/>
      <c r="AQ81" s="145"/>
      <c r="AR81" s="146"/>
      <c r="AT81" s="389"/>
      <c r="AV81" s="197"/>
      <c r="AW81" s="197"/>
      <c r="BA81" s="318">
        <f t="shared" si="45"/>
        <v>0</v>
      </c>
    </row>
    <row r="82" spans="1:54" s="2" customFormat="1" ht="10.5" customHeight="1">
      <c r="A82" s="12">
        <v>1</v>
      </c>
      <c r="B82" s="15"/>
      <c r="C82" s="344"/>
      <c r="D82" s="350"/>
      <c r="E82" s="347"/>
      <c r="F82" s="390"/>
      <c r="G82" s="307">
        <f>ROUND(G79*$F79,2)</f>
        <v>7082305.5</v>
      </c>
      <c r="H82" s="307">
        <f>ROUND(H79*$F79,2)</f>
        <v>7447233.9699999997</v>
      </c>
      <c r="I82" s="307">
        <f>ROUND(I79*$F79,2)</f>
        <v>0</v>
      </c>
      <c r="J82" s="307">
        <f>J79*$F79</f>
        <v>0</v>
      </c>
      <c r="K82" s="307">
        <f>ROUND(K79*$F79,2)</f>
        <v>7447233.9699999997</v>
      </c>
      <c r="L82" s="307">
        <f>ROUND(L79*$F79,2)</f>
        <v>7447233.9699999997</v>
      </c>
      <c r="M82" s="377"/>
      <c r="N82" s="90" t="s">
        <v>164</v>
      </c>
      <c r="O82" s="90"/>
      <c r="P82" s="90"/>
      <c r="Q82" s="90"/>
      <c r="R82" s="90"/>
      <c r="S82" s="90"/>
      <c r="T82" s="90"/>
      <c r="U82" s="252">
        <f>U79*$F79</f>
        <v>0</v>
      </c>
      <c r="V82" s="122"/>
      <c r="W82" s="94"/>
      <c r="X82" s="64">
        <f>X79*$F79</f>
        <v>0</v>
      </c>
      <c r="Y82" s="64">
        <f t="shared" ref="Y82:AK82" si="52">Y79*$F79</f>
        <v>105440.4</v>
      </c>
      <c r="Z82" s="64">
        <f t="shared" si="52"/>
        <v>252336</v>
      </c>
      <c r="AA82" s="64">
        <f t="shared" si="52"/>
        <v>630840</v>
      </c>
      <c r="AB82" s="64">
        <f t="shared" si="52"/>
        <v>450600</v>
      </c>
      <c r="AC82" s="64">
        <f t="shared" si="52"/>
        <v>360480</v>
      </c>
      <c r="AD82" s="64">
        <f t="shared" si="52"/>
        <v>360480</v>
      </c>
      <c r="AE82" s="64">
        <f t="shared" si="52"/>
        <v>360480</v>
      </c>
      <c r="AF82" s="64">
        <f t="shared" si="52"/>
        <v>1126500</v>
      </c>
      <c r="AG82" s="64">
        <f t="shared" si="52"/>
        <v>1126500</v>
      </c>
      <c r="AH82" s="64">
        <f t="shared" si="52"/>
        <v>1126500</v>
      </c>
      <c r="AI82" s="64">
        <f t="shared" si="52"/>
        <v>1126500</v>
      </c>
      <c r="AJ82" s="64">
        <f t="shared" si="52"/>
        <v>420577.57</v>
      </c>
      <c r="AK82" s="64">
        <f t="shared" si="52"/>
        <v>0</v>
      </c>
      <c r="AL82" s="123"/>
      <c r="AM82" s="91"/>
      <c r="AN82" s="91"/>
      <c r="AO82" s="91"/>
      <c r="AQ82" s="69">
        <f>SUM(O82:AO82)</f>
        <v>7447233.9699999997</v>
      </c>
      <c r="AR82" s="69">
        <f>+K82-AQ82</f>
        <v>0</v>
      </c>
      <c r="AT82" s="390"/>
      <c r="AV82" s="196"/>
      <c r="AW82" s="196"/>
      <c r="BA82" s="318">
        <f t="shared" si="45"/>
        <v>0</v>
      </c>
    </row>
    <row r="83" spans="1:54" s="2" customFormat="1" ht="10.5" customHeight="1">
      <c r="A83" s="12"/>
      <c r="B83" s="15"/>
      <c r="C83" s="342">
        <v>18</v>
      </c>
      <c r="D83" s="348" t="s">
        <v>64</v>
      </c>
      <c r="E83" s="345" t="s">
        <v>236</v>
      </c>
      <c r="F83" s="372">
        <v>8.4</v>
      </c>
      <c r="G83" s="284">
        <v>94305</v>
      </c>
      <c r="H83" s="284">
        <v>99164.18</v>
      </c>
      <c r="I83" s="284"/>
      <c r="J83" s="284"/>
      <c r="K83" s="284">
        <f>H83+J83</f>
        <v>99164.18</v>
      </c>
      <c r="L83" s="284">
        <f>+H83-I83+J83</f>
        <v>99164.18</v>
      </c>
      <c r="M83" s="377"/>
      <c r="N83" s="85" t="s">
        <v>162</v>
      </c>
      <c r="O83" s="85"/>
      <c r="P83" s="85"/>
      <c r="Q83" s="85"/>
      <c r="R83" s="85"/>
      <c r="S83" s="85"/>
      <c r="T83" s="85"/>
      <c r="U83" s="250">
        <f>+I83</f>
        <v>0</v>
      </c>
      <c r="V83" s="122"/>
      <c r="W83" s="61"/>
      <c r="X83" s="95">
        <f>ROUND(0.6*X71,2)</f>
        <v>0</v>
      </c>
      <c r="Y83" s="95">
        <f t="shared" ref="Y83:AK83" si="53">ROUND(0.6*Y71,2)</f>
        <v>0</v>
      </c>
      <c r="Z83" s="95">
        <f t="shared" si="53"/>
        <v>1620</v>
      </c>
      <c r="AA83" s="95">
        <f t="shared" si="53"/>
        <v>3600</v>
      </c>
      <c r="AB83" s="95">
        <f t="shared" si="53"/>
        <v>9000</v>
      </c>
      <c r="AC83" s="95">
        <f t="shared" si="53"/>
        <v>6000</v>
      </c>
      <c r="AD83" s="95">
        <f t="shared" si="53"/>
        <v>6000</v>
      </c>
      <c r="AE83" s="95">
        <f t="shared" si="53"/>
        <v>6000</v>
      </c>
      <c r="AF83" s="95">
        <f t="shared" si="53"/>
        <v>12600</v>
      </c>
      <c r="AG83" s="95">
        <f t="shared" si="53"/>
        <v>15000</v>
      </c>
      <c r="AH83" s="95">
        <f t="shared" si="53"/>
        <v>15000</v>
      </c>
      <c r="AI83" s="95">
        <f t="shared" si="53"/>
        <v>15000</v>
      </c>
      <c r="AJ83" s="95">
        <f>ROUND(0.6*AJ71,2)-140.85</f>
        <v>9344.18</v>
      </c>
      <c r="AK83" s="95">
        <f t="shared" si="53"/>
        <v>0</v>
      </c>
      <c r="AL83" s="117"/>
      <c r="AM83" s="92"/>
      <c r="AN83" s="92"/>
      <c r="AO83" s="92"/>
      <c r="AQ83" s="144">
        <f>SUM(O83:AO83)</f>
        <v>99164.18</v>
      </c>
      <c r="AR83" s="144">
        <f>+K83-AQ83</f>
        <v>0</v>
      </c>
      <c r="AT83" s="372">
        <f>+F83*K83</f>
        <v>832979.11</v>
      </c>
      <c r="AV83" s="263">
        <f>SUM(W83:AO83)</f>
        <v>99164.18</v>
      </c>
      <c r="AW83" s="263">
        <f>+L83-AV83</f>
        <v>0</v>
      </c>
      <c r="BA83" s="318">
        <f t="shared" si="45"/>
        <v>0</v>
      </c>
    </row>
    <row r="84" spans="1:54" s="2" customFormat="1" ht="10.5" customHeight="1">
      <c r="A84" s="10" t="s">
        <v>12</v>
      </c>
      <c r="B84" s="15"/>
      <c r="C84" s="343"/>
      <c r="D84" s="349"/>
      <c r="E84" s="346"/>
      <c r="F84" s="389"/>
      <c r="G84" s="277"/>
      <c r="H84" s="277"/>
      <c r="I84" s="277"/>
      <c r="J84" s="277"/>
      <c r="K84" s="277"/>
      <c r="L84" s="277"/>
      <c r="M84" s="377"/>
      <c r="N84" s="87" t="s">
        <v>163</v>
      </c>
      <c r="O84" s="87"/>
      <c r="P84" s="87"/>
      <c r="Q84" s="87"/>
      <c r="R84" s="87"/>
      <c r="S84" s="87"/>
      <c r="T84" s="87"/>
      <c r="U84" s="251">
        <f>+U83/K83</f>
        <v>0</v>
      </c>
      <c r="V84" s="120"/>
      <c r="W84" s="62"/>
      <c r="X84" s="93">
        <f>+X83/$K83</f>
        <v>0</v>
      </c>
      <c r="Y84" s="93">
        <f>+Y83/$K83</f>
        <v>0</v>
      </c>
      <c r="Z84" s="93">
        <f t="shared" ref="Z84:AK84" si="54">+Z83/$K83</f>
        <v>1.6299999999999999E-2</v>
      </c>
      <c r="AA84" s="62">
        <f t="shared" si="54"/>
        <v>3.6299999999999999E-2</v>
      </c>
      <c r="AB84" s="62">
        <f t="shared" si="54"/>
        <v>9.0800000000000006E-2</v>
      </c>
      <c r="AC84" s="62">
        <f t="shared" si="54"/>
        <v>6.0499999999999998E-2</v>
      </c>
      <c r="AD84" s="62">
        <f t="shared" si="54"/>
        <v>6.0499999999999998E-2</v>
      </c>
      <c r="AE84" s="62">
        <f t="shared" si="54"/>
        <v>6.0499999999999998E-2</v>
      </c>
      <c r="AF84" s="62">
        <f t="shared" si="54"/>
        <v>0.12709999999999999</v>
      </c>
      <c r="AG84" s="62">
        <f t="shared" si="54"/>
        <v>0.15129999999999999</v>
      </c>
      <c r="AH84" s="62">
        <f t="shared" si="54"/>
        <v>0.15129999999999999</v>
      </c>
      <c r="AI84" s="62">
        <f t="shared" si="54"/>
        <v>0.15129999999999999</v>
      </c>
      <c r="AJ84" s="62">
        <f t="shared" si="54"/>
        <v>9.4200000000000006E-2</v>
      </c>
      <c r="AK84" s="62">
        <f t="shared" si="54"/>
        <v>0</v>
      </c>
      <c r="AL84" s="117"/>
      <c r="AM84" s="88"/>
      <c r="AN84" s="88"/>
      <c r="AO84" s="88"/>
      <c r="AQ84" s="149">
        <f>SUM(O84:AO84)</f>
        <v>1.0001</v>
      </c>
      <c r="AR84" s="146"/>
      <c r="AT84" s="389"/>
      <c r="AV84" s="266"/>
      <c r="AW84" s="266"/>
      <c r="BA84" s="318">
        <f t="shared" si="45"/>
        <v>0</v>
      </c>
    </row>
    <row r="85" spans="1:54" s="2" customFormat="1" ht="10.5" hidden="1" customHeight="1">
      <c r="A85" s="11" t="s">
        <v>13</v>
      </c>
      <c r="B85" s="15"/>
      <c r="C85" s="343"/>
      <c r="D85" s="349"/>
      <c r="E85" s="346"/>
      <c r="F85" s="389"/>
      <c r="G85" s="277"/>
      <c r="H85" s="277"/>
      <c r="I85" s="277"/>
      <c r="J85" s="277"/>
      <c r="K85" s="277"/>
      <c r="L85" s="277"/>
      <c r="M85" s="377"/>
      <c r="N85" s="89"/>
      <c r="O85" s="89"/>
      <c r="P85" s="89"/>
      <c r="Q85" s="89"/>
      <c r="R85" s="89"/>
      <c r="S85" s="89"/>
      <c r="T85" s="89"/>
      <c r="U85" s="251"/>
      <c r="V85" s="121"/>
      <c r="W85" s="96"/>
      <c r="X85" s="93"/>
      <c r="Y85" s="93"/>
      <c r="Z85" s="93"/>
      <c r="AA85" s="93"/>
      <c r="AB85" s="93"/>
      <c r="AC85" s="93"/>
      <c r="AD85" s="93"/>
      <c r="AE85" s="63"/>
      <c r="AF85" s="63"/>
      <c r="AG85" s="63"/>
      <c r="AH85" s="63"/>
      <c r="AI85" s="63"/>
      <c r="AJ85" s="63"/>
      <c r="AK85" s="63"/>
      <c r="AL85" s="117"/>
      <c r="AM85" s="88"/>
      <c r="AN85" s="88"/>
      <c r="AO85" s="88"/>
      <c r="AQ85" s="145"/>
      <c r="AR85" s="146"/>
      <c r="AT85" s="389"/>
      <c r="AV85" s="197"/>
      <c r="AW85" s="197"/>
      <c r="BA85" s="318">
        <f t="shared" si="45"/>
        <v>0</v>
      </c>
    </row>
    <row r="86" spans="1:54" s="2" customFormat="1" ht="10.5" customHeight="1">
      <c r="A86" s="12">
        <v>1</v>
      </c>
      <c r="B86" s="15"/>
      <c r="C86" s="344"/>
      <c r="D86" s="350"/>
      <c r="E86" s="347"/>
      <c r="F86" s="390"/>
      <c r="G86" s="307">
        <f>ROUND(G83*$F83,2)</f>
        <v>792162</v>
      </c>
      <c r="H86" s="307">
        <f>ROUND(H83*$F83,2)</f>
        <v>832979.11</v>
      </c>
      <c r="I86" s="307">
        <f>ROUND(I83*$F83,2)</f>
        <v>0</v>
      </c>
      <c r="J86" s="307">
        <f>J83*$F83</f>
        <v>0</v>
      </c>
      <c r="K86" s="307">
        <f>ROUND(K83*$F83,2)</f>
        <v>832979.11</v>
      </c>
      <c r="L86" s="307">
        <f>ROUND(L83*$F83,2)</f>
        <v>832979.11</v>
      </c>
      <c r="M86" s="377"/>
      <c r="N86" s="90" t="s">
        <v>164</v>
      </c>
      <c r="O86" s="90"/>
      <c r="P86" s="90"/>
      <c r="Q86" s="90"/>
      <c r="R86" s="90"/>
      <c r="S86" s="90"/>
      <c r="T86" s="90"/>
      <c r="U86" s="252">
        <f>U83*$F83</f>
        <v>0</v>
      </c>
      <c r="V86" s="122"/>
      <c r="W86" s="94"/>
      <c r="X86" s="94">
        <f>X83*$F83</f>
        <v>0</v>
      </c>
      <c r="Y86" s="94">
        <f>Y83*$F83</f>
        <v>0</v>
      </c>
      <c r="Z86" s="94">
        <f t="shared" ref="Z86:AK86" si="55">Z83*$F83</f>
        <v>13608</v>
      </c>
      <c r="AA86" s="64">
        <f t="shared" si="55"/>
        <v>30240</v>
      </c>
      <c r="AB86" s="64">
        <f t="shared" si="55"/>
        <v>75600</v>
      </c>
      <c r="AC86" s="64">
        <f t="shared" si="55"/>
        <v>50400</v>
      </c>
      <c r="AD86" s="64">
        <f t="shared" si="55"/>
        <v>50400</v>
      </c>
      <c r="AE86" s="64">
        <f t="shared" si="55"/>
        <v>50400</v>
      </c>
      <c r="AF86" s="64">
        <f t="shared" si="55"/>
        <v>105840</v>
      </c>
      <c r="AG86" s="64">
        <f t="shared" si="55"/>
        <v>126000</v>
      </c>
      <c r="AH86" s="64">
        <f t="shared" si="55"/>
        <v>126000</v>
      </c>
      <c r="AI86" s="64">
        <f t="shared" si="55"/>
        <v>126000</v>
      </c>
      <c r="AJ86" s="64">
        <f t="shared" si="55"/>
        <v>78491.11</v>
      </c>
      <c r="AK86" s="64">
        <f t="shared" si="55"/>
        <v>0</v>
      </c>
      <c r="AL86" s="123"/>
      <c r="AM86" s="91"/>
      <c r="AN86" s="91"/>
      <c r="AO86" s="91"/>
      <c r="AQ86" s="69">
        <f>SUM(O86:AO86)</f>
        <v>832979.11</v>
      </c>
      <c r="AR86" s="69">
        <f>+K86-AQ86</f>
        <v>0</v>
      </c>
      <c r="AT86" s="390"/>
      <c r="AV86" s="196"/>
      <c r="AW86" s="196"/>
      <c r="BA86" s="318">
        <f t="shared" si="45"/>
        <v>0</v>
      </c>
    </row>
    <row r="87" spans="1:54" s="2" customFormat="1" ht="10.5" customHeight="1">
      <c r="A87" s="12"/>
      <c r="B87" s="15"/>
      <c r="C87" s="342">
        <v>19</v>
      </c>
      <c r="D87" s="348" t="s">
        <v>65</v>
      </c>
      <c r="E87" s="345" t="s">
        <v>236</v>
      </c>
      <c r="F87" s="372">
        <v>8.4</v>
      </c>
      <c r="G87" s="284">
        <v>2750563</v>
      </c>
      <c r="H87" s="284">
        <v>2891388.06</v>
      </c>
      <c r="I87" s="284"/>
      <c r="J87" s="284"/>
      <c r="K87" s="284">
        <f>H87+J87</f>
        <v>2891388.06</v>
      </c>
      <c r="L87" s="284">
        <f>+H87-I87+J87</f>
        <v>2891388.06</v>
      </c>
      <c r="M87" s="377"/>
      <c r="N87" s="85" t="s">
        <v>162</v>
      </c>
      <c r="O87" s="85"/>
      <c r="P87" s="85"/>
      <c r="Q87" s="85"/>
      <c r="R87" s="85"/>
      <c r="S87" s="85"/>
      <c r="T87" s="85"/>
      <c r="U87" s="250">
        <f>+I87</f>
        <v>0</v>
      </c>
      <c r="V87" s="122"/>
      <c r="W87" s="95"/>
      <c r="X87" s="95">
        <f>ROUND(X75*3.5,2)</f>
        <v>0</v>
      </c>
      <c r="Y87" s="95">
        <f t="shared" ref="Y87:AK87" si="56">ROUND(Y75*3.5,2)</f>
        <v>0</v>
      </c>
      <c r="Z87" s="95">
        <f t="shared" si="56"/>
        <v>9450</v>
      </c>
      <c r="AA87" s="95">
        <f t="shared" si="56"/>
        <v>105000</v>
      </c>
      <c r="AB87" s="95">
        <f t="shared" si="56"/>
        <v>140000</v>
      </c>
      <c r="AC87" s="95">
        <f t="shared" si="56"/>
        <v>105000</v>
      </c>
      <c r="AD87" s="95">
        <f t="shared" si="56"/>
        <v>105000</v>
      </c>
      <c r="AE87" s="95">
        <f t="shared" si="56"/>
        <v>350000</v>
      </c>
      <c r="AF87" s="95">
        <f t="shared" si="56"/>
        <v>420000</v>
      </c>
      <c r="AG87" s="95">
        <f t="shared" si="56"/>
        <v>420000</v>
      </c>
      <c r="AH87" s="95">
        <f t="shared" si="56"/>
        <v>420000</v>
      </c>
      <c r="AI87" s="95">
        <f t="shared" si="56"/>
        <v>420000</v>
      </c>
      <c r="AJ87" s="95">
        <f>ROUND(AJ75*3.5,2)-4047.77</f>
        <v>396938.06</v>
      </c>
      <c r="AK87" s="95">
        <f t="shared" si="56"/>
        <v>0</v>
      </c>
      <c r="AL87" s="119"/>
      <c r="AM87" s="92"/>
      <c r="AN87" s="92"/>
      <c r="AO87" s="92"/>
      <c r="AQ87" s="144">
        <f>SUM(O87:AO87)</f>
        <v>2891388.06</v>
      </c>
      <c r="AR87" s="144">
        <f>+K87-AQ87</f>
        <v>0</v>
      </c>
      <c r="AT87" s="372">
        <f>+F87*K87</f>
        <v>24287659.699999999</v>
      </c>
      <c r="AV87" s="263">
        <f>SUM(W87:AO87)</f>
        <v>2891388.06</v>
      </c>
      <c r="AW87" s="263">
        <f>+L87-AV87</f>
        <v>0</v>
      </c>
      <c r="BA87" s="318">
        <f t="shared" si="45"/>
        <v>0</v>
      </c>
    </row>
    <row r="88" spans="1:54" s="2" customFormat="1" ht="10.5" customHeight="1">
      <c r="A88" s="10" t="s">
        <v>12</v>
      </c>
      <c r="B88" s="15"/>
      <c r="C88" s="343"/>
      <c r="D88" s="349"/>
      <c r="E88" s="346"/>
      <c r="F88" s="389"/>
      <c r="G88" s="277"/>
      <c r="H88" s="277"/>
      <c r="I88" s="277"/>
      <c r="J88" s="277"/>
      <c r="K88" s="277"/>
      <c r="L88" s="277"/>
      <c r="M88" s="377"/>
      <c r="N88" s="87" t="s">
        <v>163</v>
      </c>
      <c r="O88" s="87"/>
      <c r="P88" s="87"/>
      <c r="Q88" s="87"/>
      <c r="R88" s="87"/>
      <c r="S88" s="87"/>
      <c r="T88" s="87"/>
      <c r="U88" s="251">
        <f>+U87/K87</f>
        <v>0</v>
      </c>
      <c r="V88" s="120"/>
      <c r="W88" s="93"/>
      <c r="X88" s="93">
        <f t="shared" ref="X88:AK88" si="57">+X87/$K87</f>
        <v>0</v>
      </c>
      <c r="Y88" s="93">
        <f t="shared" si="57"/>
        <v>0</v>
      </c>
      <c r="Z88" s="93">
        <f t="shared" si="57"/>
        <v>3.3E-3</v>
      </c>
      <c r="AA88" s="62">
        <f t="shared" si="57"/>
        <v>3.6299999999999999E-2</v>
      </c>
      <c r="AB88" s="62">
        <f t="shared" si="57"/>
        <v>4.8399999999999999E-2</v>
      </c>
      <c r="AC88" s="62">
        <f t="shared" si="57"/>
        <v>3.6299999999999999E-2</v>
      </c>
      <c r="AD88" s="62">
        <f t="shared" si="57"/>
        <v>3.6299999999999999E-2</v>
      </c>
      <c r="AE88" s="62">
        <f t="shared" si="57"/>
        <v>0.121</v>
      </c>
      <c r="AF88" s="62">
        <f t="shared" si="57"/>
        <v>0.14530000000000001</v>
      </c>
      <c r="AG88" s="62">
        <f t="shared" si="57"/>
        <v>0.14530000000000001</v>
      </c>
      <c r="AH88" s="62">
        <f t="shared" si="57"/>
        <v>0.14530000000000001</v>
      </c>
      <c r="AI88" s="62">
        <f t="shared" si="57"/>
        <v>0.14530000000000001</v>
      </c>
      <c r="AJ88" s="62">
        <f t="shared" si="57"/>
        <v>0.13730000000000001</v>
      </c>
      <c r="AK88" s="62">
        <f t="shared" si="57"/>
        <v>0</v>
      </c>
      <c r="AL88" s="116"/>
      <c r="AM88" s="88"/>
      <c r="AN88" s="88"/>
      <c r="AO88" s="88"/>
      <c r="AQ88" s="149">
        <f>SUM(O88:AO88)</f>
        <v>1.0001</v>
      </c>
      <c r="AR88" s="146"/>
      <c r="AT88" s="389"/>
      <c r="AV88" s="266"/>
      <c r="AW88" s="266"/>
      <c r="BA88" s="318">
        <f t="shared" si="45"/>
        <v>0</v>
      </c>
    </row>
    <row r="89" spans="1:54" s="2" customFormat="1" ht="10.5" hidden="1" customHeight="1">
      <c r="A89" s="11" t="s">
        <v>13</v>
      </c>
      <c r="B89" s="15"/>
      <c r="C89" s="343"/>
      <c r="D89" s="349"/>
      <c r="E89" s="346"/>
      <c r="F89" s="389"/>
      <c r="G89" s="277"/>
      <c r="H89" s="277"/>
      <c r="I89" s="277"/>
      <c r="J89" s="277"/>
      <c r="K89" s="277"/>
      <c r="L89" s="277"/>
      <c r="M89" s="377"/>
      <c r="N89" s="89"/>
      <c r="O89" s="89"/>
      <c r="P89" s="89"/>
      <c r="Q89" s="89"/>
      <c r="R89" s="89"/>
      <c r="S89" s="89"/>
      <c r="T89" s="89"/>
      <c r="U89" s="251"/>
      <c r="V89" s="121"/>
      <c r="W89" s="96"/>
      <c r="X89" s="93"/>
      <c r="Y89" s="93"/>
      <c r="Z89" s="93"/>
      <c r="AA89" s="93"/>
      <c r="AB89" s="93"/>
      <c r="AC89" s="93"/>
      <c r="AD89" s="93"/>
      <c r="AE89" s="63"/>
      <c r="AF89" s="63"/>
      <c r="AG89" s="63"/>
      <c r="AH89" s="63"/>
      <c r="AI89" s="63"/>
      <c r="AJ89" s="63"/>
      <c r="AK89" s="63"/>
      <c r="AL89" s="117"/>
      <c r="AM89" s="88"/>
      <c r="AN89" s="88"/>
      <c r="AO89" s="88"/>
      <c r="AQ89" s="145"/>
      <c r="AR89" s="146"/>
      <c r="AT89" s="389"/>
      <c r="AV89" s="197"/>
      <c r="AW89" s="197"/>
      <c r="BA89" s="318">
        <f t="shared" si="45"/>
        <v>0</v>
      </c>
    </row>
    <row r="90" spans="1:54" s="2" customFormat="1" ht="10.5" customHeight="1">
      <c r="A90" s="12">
        <v>1</v>
      </c>
      <c r="B90" s="15"/>
      <c r="C90" s="344"/>
      <c r="D90" s="350"/>
      <c r="E90" s="347"/>
      <c r="F90" s="390"/>
      <c r="G90" s="307">
        <f>ROUND(G87*$F87,2)</f>
        <v>23104729.199999999</v>
      </c>
      <c r="H90" s="307">
        <f>ROUND(H87*$F87,2)</f>
        <v>24287659.699999999</v>
      </c>
      <c r="I90" s="307">
        <f>ROUND(I87*$F87,2)</f>
        <v>0</v>
      </c>
      <c r="J90" s="307">
        <f>J87*$F87</f>
        <v>0</v>
      </c>
      <c r="K90" s="307">
        <f>ROUND(K87*$F87,2)</f>
        <v>24287659.699999999</v>
      </c>
      <c r="L90" s="307">
        <f>ROUND(L87*$F87,2)</f>
        <v>24287659.699999999</v>
      </c>
      <c r="M90" s="377"/>
      <c r="N90" s="90" t="s">
        <v>164</v>
      </c>
      <c r="O90" s="90"/>
      <c r="P90" s="90"/>
      <c r="Q90" s="90"/>
      <c r="R90" s="90"/>
      <c r="S90" s="90"/>
      <c r="T90" s="90"/>
      <c r="U90" s="252">
        <f>U87*$F87</f>
        <v>0</v>
      </c>
      <c r="V90" s="122"/>
      <c r="W90" s="64"/>
      <c r="X90" s="94">
        <f>X87*$F87</f>
        <v>0</v>
      </c>
      <c r="Y90" s="94">
        <f>Y87*$F87</f>
        <v>0</v>
      </c>
      <c r="Z90" s="94">
        <f t="shared" ref="Z90:AK90" si="58">Z87*$F87</f>
        <v>79380</v>
      </c>
      <c r="AA90" s="64">
        <f t="shared" si="58"/>
        <v>882000</v>
      </c>
      <c r="AB90" s="64">
        <f t="shared" si="58"/>
        <v>1176000</v>
      </c>
      <c r="AC90" s="64">
        <f t="shared" si="58"/>
        <v>882000</v>
      </c>
      <c r="AD90" s="64">
        <f t="shared" si="58"/>
        <v>882000</v>
      </c>
      <c r="AE90" s="64">
        <f t="shared" si="58"/>
        <v>2940000</v>
      </c>
      <c r="AF90" s="64">
        <f t="shared" si="58"/>
        <v>3528000</v>
      </c>
      <c r="AG90" s="64">
        <f t="shared" si="58"/>
        <v>3528000</v>
      </c>
      <c r="AH90" s="64">
        <f t="shared" si="58"/>
        <v>3528000</v>
      </c>
      <c r="AI90" s="64">
        <f t="shared" si="58"/>
        <v>3528000</v>
      </c>
      <c r="AJ90" s="64">
        <f t="shared" si="58"/>
        <v>3334279.7</v>
      </c>
      <c r="AK90" s="64">
        <f t="shared" si="58"/>
        <v>0</v>
      </c>
      <c r="AL90" s="118"/>
      <c r="AM90" s="91"/>
      <c r="AN90" s="91"/>
      <c r="AO90" s="91"/>
      <c r="AQ90" s="69">
        <f>SUM(O90:AO90)</f>
        <v>24287659.699999999</v>
      </c>
      <c r="AR90" s="69">
        <f>+K90-AQ90</f>
        <v>0</v>
      </c>
      <c r="AT90" s="390"/>
      <c r="AV90" s="196"/>
      <c r="AW90" s="196"/>
      <c r="BA90" s="318">
        <f t="shared" si="45"/>
        <v>0</v>
      </c>
    </row>
    <row r="91" spans="1:54" s="2" customFormat="1" ht="10.5" customHeight="1">
      <c r="A91" s="12"/>
      <c r="B91" s="15"/>
      <c r="C91" s="342">
        <v>20</v>
      </c>
      <c r="D91" s="348" t="s">
        <v>66</v>
      </c>
      <c r="E91" s="345" t="s">
        <v>234</v>
      </c>
      <c r="F91" s="372">
        <v>2.2200000000000002</v>
      </c>
      <c r="G91" s="284">
        <v>5374508</v>
      </c>
      <c r="H91" s="284">
        <v>5797215.0599999996</v>
      </c>
      <c r="I91" s="284">
        <v>714755.13</v>
      </c>
      <c r="J91" s="317"/>
      <c r="K91" s="284">
        <f>H91+J91</f>
        <v>5797215.0599999996</v>
      </c>
      <c r="L91" s="284">
        <f>+H91-I91+J91</f>
        <v>5082459.93</v>
      </c>
      <c r="M91" s="377"/>
      <c r="N91" s="85" t="s">
        <v>162</v>
      </c>
      <c r="O91" s="85"/>
      <c r="P91" s="85"/>
      <c r="Q91" s="85"/>
      <c r="R91" s="85"/>
      <c r="S91" s="85"/>
      <c r="T91" s="85"/>
      <c r="U91" s="253">
        <f>+I91</f>
        <v>714755.13</v>
      </c>
      <c r="V91" s="122"/>
      <c r="W91" s="61">
        <f t="shared" ref="W91:AK91" si="59">ROUND(+W59*8.5*100%+W63*17.5*100%+W75*0.02*17.5*100%,2)</f>
        <v>171250</v>
      </c>
      <c r="X91" s="61">
        <f t="shared" si="59"/>
        <v>345000</v>
      </c>
      <c r="Y91" s="61">
        <f t="shared" si="59"/>
        <v>432500</v>
      </c>
      <c r="Z91" s="61">
        <f t="shared" si="59"/>
        <v>433445</v>
      </c>
      <c r="AA91" s="61">
        <f t="shared" si="59"/>
        <v>443000</v>
      </c>
      <c r="AB91" s="61">
        <f t="shared" si="59"/>
        <v>404000</v>
      </c>
      <c r="AC91" s="61">
        <f t="shared" si="59"/>
        <v>270500</v>
      </c>
      <c r="AD91" s="61">
        <f t="shared" si="59"/>
        <v>270500</v>
      </c>
      <c r="AE91" s="61">
        <f t="shared" si="59"/>
        <v>295000</v>
      </c>
      <c r="AF91" s="61">
        <f t="shared" si="59"/>
        <v>517000</v>
      </c>
      <c r="AG91" s="61">
        <f t="shared" si="59"/>
        <v>517000</v>
      </c>
      <c r="AH91" s="61">
        <f t="shared" si="59"/>
        <v>517000</v>
      </c>
      <c r="AI91" s="61">
        <f>ROUND(+AI59*8.5*100%+AI63*17.5*100%+AI75*0.02*17.5*100%,2)-41894.99</f>
        <v>426166.35</v>
      </c>
      <c r="AJ91" s="61">
        <f>ROUND(+AJ59*8.5*100%+AJ63*17.5*100%+AJ75*0.02*17.5*100%,2)</f>
        <v>40098.58</v>
      </c>
      <c r="AK91" s="61">
        <f t="shared" si="59"/>
        <v>0</v>
      </c>
      <c r="AL91" s="119"/>
      <c r="AM91" s="92"/>
      <c r="AN91" s="92"/>
      <c r="AO91" s="92"/>
      <c r="AQ91" s="144">
        <f>SUM(O91:AO91)</f>
        <v>5797215.0599999996</v>
      </c>
      <c r="AR91" s="144">
        <f>+K91-AQ91</f>
        <v>0</v>
      </c>
      <c r="AT91" s="372">
        <f>+F91*K91</f>
        <v>12869817.43</v>
      </c>
      <c r="AV91" s="263">
        <f>SUM(W91:AO91)</f>
        <v>5082459.93</v>
      </c>
      <c r="AW91" s="263">
        <f>+L91-AV91</f>
        <v>0</v>
      </c>
      <c r="BA91" s="318">
        <f t="shared" si="45"/>
        <v>714755.13</v>
      </c>
    </row>
    <row r="92" spans="1:54" s="2" customFormat="1" ht="10.5" customHeight="1">
      <c r="A92" s="10" t="s">
        <v>12</v>
      </c>
      <c r="B92" s="15"/>
      <c r="C92" s="343"/>
      <c r="D92" s="349"/>
      <c r="E92" s="346"/>
      <c r="F92" s="389"/>
      <c r="G92" s="277"/>
      <c r="H92" s="277"/>
      <c r="I92" s="277"/>
      <c r="J92" s="277"/>
      <c r="K92" s="277"/>
      <c r="L92" s="277"/>
      <c r="M92" s="377"/>
      <c r="N92" s="87" t="s">
        <v>163</v>
      </c>
      <c r="O92" s="87"/>
      <c r="P92" s="87"/>
      <c r="Q92" s="87"/>
      <c r="R92" s="87"/>
      <c r="S92" s="87"/>
      <c r="T92" s="87"/>
      <c r="U92" s="254">
        <f>+U91/K91</f>
        <v>0.12330000000000001</v>
      </c>
      <c r="V92" s="120"/>
      <c r="W92" s="62">
        <f t="shared" ref="W92:AK92" si="60">+W91/$K$91</f>
        <v>2.9499999999999998E-2</v>
      </c>
      <c r="X92" s="62">
        <f t="shared" si="60"/>
        <v>5.9499999999999997E-2</v>
      </c>
      <c r="Y92" s="62">
        <f t="shared" si="60"/>
        <v>7.46E-2</v>
      </c>
      <c r="Z92" s="62">
        <f t="shared" si="60"/>
        <v>7.4800000000000005E-2</v>
      </c>
      <c r="AA92" s="62">
        <f t="shared" si="60"/>
        <v>7.6399999999999996E-2</v>
      </c>
      <c r="AB92" s="62">
        <f t="shared" si="60"/>
        <v>6.9699999999999998E-2</v>
      </c>
      <c r="AC92" s="62">
        <f t="shared" si="60"/>
        <v>4.6699999999999998E-2</v>
      </c>
      <c r="AD92" s="62">
        <f t="shared" si="60"/>
        <v>4.6699999999999998E-2</v>
      </c>
      <c r="AE92" s="62">
        <f t="shared" si="60"/>
        <v>5.0900000000000001E-2</v>
      </c>
      <c r="AF92" s="62">
        <f t="shared" si="60"/>
        <v>8.9200000000000002E-2</v>
      </c>
      <c r="AG92" s="62">
        <f t="shared" si="60"/>
        <v>8.9200000000000002E-2</v>
      </c>
      <c r="AH92" s="62">
        <f t="shared" si="60"/>
        <v>8.9200000000000002E-2</v>
      </c>
      <c r="AI92" s="62">
        <f t="shared" si="60"/>
        <v>7.3499999999999996E-2</v>
      </c>
      <c r="AJ92" s="62">
        <f>+AJ91/$K$91</f>
        <v>6.8999999999999999E-3</v>
      </c>
      <c r="AK92" s="62">
        <f t="shared" si="60"/>
        <v>0</v>
      </c>
      <c r="AL92" s="116"/>
      <c r="AM92" s="88"/>
      <c r="AN92" s="88"/>
      <c r="AO92" s="88"/>
      <c r="AQ92" s="149">
        <f>SUM(O92:AO92)</f>
        <v>1.0001</v>
      </c>
      <c r="AR92" s="146"/>
      <c r="AT92" s="389"/>
      <c r="AV92" s="266"/>
      <c r="AW92" s="266"/>
      <c r="BA92" s="318"/>
    </row>
    <row r="93" spans="1:54" s="2" customFormat="1" ht="10.5" hidden="1" customHeight="1">
      <c r="A93" s="11" t="s">
        <v>13</v>
      </c>
      <c r="B93" s="15"/>
      <c r="C93" s="343"/>
      <c r="D93" s="349"/>
      <c r="E93" s="346"/>
      <c r="F93" s="389"/>
      <c r="G93" s="277"/>
      <c r="H93" s="277"/>
      <c r="I93" s="277"/>
      <c r="J93" s="277"/>
      <c r="K93" s="277"/>
      <c r="L93" s="277"/>
      <c r="M93" s="377"/>
      <c r="N93" s="89"/>
      <c r="O93" s="89"/>
      <c r="P93" s="89"/>
      <c r="Q93" s="89"/>
      <c r="R93" s="89"/>
      <c r="S93" s="89"/>
      <c r="T93" s="89"/>
      <c r="U93" s="255"/>
      <c r="V93" s="121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117"/>
      <c r="AM93" s="88"/>
      <c r="AN93" s="88"/>
      <c r="AO93" s="88"/>
      <c r="AQ93" s="145"/>
      <c r="AR93" s="146"/>
      <c r="AT93" s="389"/>
      <c r="AV93" s="197"/>
      <c r="AW93" s="197"/>
      <c r="BA93" s="318"/>
    </row>
    <row r="94" spans="1:54" s="2" customFormat="1" ht="10.5" customHeight="1">
      <c r="A94" s="12">
        <v>1</v>
      </c>
      <c r="B94" s="15"/>
      <c r="C94" s="344"/>
      <c r="D94" s="350"/>
      <c r="E94" s="347"/>
      <c r="F94" s="390"/>
      <c r="G94" s="307">
        <f>ROUND(G91*$F91,2)</f>
        <v>11931407.76</v>
      </c>
      <c r="H94" s="307">
        <f>ROUND(H91*$F91,2)</f>
        <v>12869817.43</v>
      </c>
      <c r="I94" s="307">
        <f>ROUND(I91*$F91,2)</f>
        <v>1586756.39</v>
      </c>
      <c r="J94" s="307">
        <f>J91*$F91</f>
        <v>0</v>
      </c>
      <c r="K94" s="307">
        <f>ROUND(K91*$F91,2)</f>
        <v>12869817.43</v>
      </c>
      <c r="L94" s="307">
        <f>ROUND(L91*$F91,2)</f>
        <v>11283061.039999999</v>
      </c>
      <c r="M94" s="380"/>
      <c r="N94" s="90" t="s">
        <v>164</v>
      </c>
      <c r="O94" s="90"/>
      <c r="P94" s="90"/>
      <c r="Q94" s="90"/>
      <c r="R94" s="90"/>
      <c r="S94" s="90"/>
      <c r="T94" s="90"/>
      <c r="U94" s="256">
        <f>U91*$F91</f>
        <v>1586756.39</v>
      </c>
      <c r="V94" s="122"/>
      <c r="W94" s="64">
        <f t="shared" ref="W94:AK94" si="61">W91*$F91</f>
        <v>380175</v>
      </c>
      <c r="X94" s="64">
        <f t="shared" si="61"/>
        <v>765900</v>
      </c>
      <c r="Y94" s="64">
        <f t="shared" si="61"/>
        <v>960150</v>
      </c>
      <c r="Z94" s="64">
        <f t="shared" si="61"/>
        <v>962247.9</v>
      </c>
      <c r="AA94" s="64">
        <f t="shared" si="61"/>
        <v>983460</v>
      </c>
      <c r="AB94" s="64">
        <f t="shared" si="61"/>
        <v>896880</v>
      </c>
      <c r="AC94" s="64">
        <f t="shared" si="61"/>
        <v>600510</v>
      </c>
      <c r="AD94" s="64">
        <f t="shared" si="61"/>
        <v>600510</v>
      </c>
      <c r="AE94" s="64">
        <f t="shared" si="61"/>
        <v>654900</v>
      </c>
      <c r="AF94" s="64">
        <f t="shared" si="61"/>
        <v>1147740</v>
      </c>
      <c r="AG94" s="64">
        <f t="shared" si="61"/>
        <v>1147740</v>
      </c>
      <c r="AH94" s="64">
        <f t="shared" si="61"/>
        <v>1147740</v>
      </c>
      <c r="AI94" s="64">
        <f t="shared" si="61"/>
        <v>946089.3</v>
      </c>
      <c r="AJ94" s="64">
        <f>AJ91*$F91-0.01</f>
        <v>89018.84</v>
      </c>
      <c r="AK94" s="64">
        <f t="shared" si="61"/>
        <v>0</v>
      </c>
      <c r="AL94" s="118"/>
      <c r="AM94" s="91"/>
      <c r="AN94" s="91"/>
      <c r="AO94" s="91"/>
      <c r="AQ94" s="69">
        <f>SUM(O94:AO94)</f>
        <v>12869817.43</v>
      </c>
      <c r="AR94" s="69">
        <f>+K94-AQ94</f>
        <v>0</v>
      </c>
      <c r="AT94" s="390"/>
      <c r="AV94" s="197"/>
      <c r="AW94" s="197"/>
      <c r="BA94" s="318"/>
    </row>
    <row r="95" spans="1:54" s="2" customFormat="1" ht="7.5" customHeight="1">
      <c r="A95" s="12"/>
      <c r="B95" s="15"/>
      <c r="C95" s="199"/>
      <c r="D95" s="217"/>
      <c r="E95" s="200"/>
      <c r="F95" s="201"/>
      <c r="G95" s="218"/>
      <c r="H95" s="218"/>
      <c r="I95" s="218"/>
      <c r="J95" s="218"/>
      <c r="K95" s="201"/>
      <c r="L95" s="201"/>
      <c r="M95" s="222"/>
      <c r="N95" s="202"/>
      <c r="O95" s="202"/>
      <c r="P95" s="202"/>
      <c r="Q95" s="202"/>
      <c r="R95" s="202"/>
      <c r="S95" s="202"/>
      <c r="T95" s="202"/>
      <c r="U95" s="257"/>
      <c r="V95" s="194"/>
      <c r="W95" s="203"/>
      <c r="X95" s="203"/>
      <c r="Y95" s="203"/>
      <c r="Z95" s="203"/>
      <c r="AA95" s="203"/>
      <c r="AB95" s="203"/>
      <c r="AC95" s="203"/>
      <c r="AD95" s="203"/>
      <c r="AE95" s="203"/>
      <c r="AF95" s="203"/>
      <c r="AG95" s="203"/>
      <c r="AH95" s="203"/>
      <c r="AI95" s="203"/>
      <c r="AJ95" s="203"/>
      <c r="AK95" s="203"/>
      <c r="AL95" s="140"/>
      <c r="AM95" s="197"/>
      <c r="AN95" s="197"/>
      <c r="AO95" s="298"/>
      <c r="AP95" s="204"/>
      <c r="AQ95" s="197"/>
      <c r="AR95" s="197"/>
      <c r="AS95" s="204"/>
      <c r="AT95" s="198"/>
      <c r="AU95" s="204"/>
      <c r="AV95" s="243"/>
      <c r="AW95" s="243"/>
      <c r="AX95" s="204"/>
      <c r="AY95" s="204"/>
      <c r="AZ95" s="204"/>
      <c r="BA95" s="318"/>
      <c r="BB95" s="204"/>
    </row>
    <row r="96" spans="1:54" s="2" customFormat="1" ht="10.5" customHeight="1">
      <c r="A96" s="12"/>
      <c r="B96" s="15"/>
      <c r="C96" s="381" t="s">
        <v>221</v>
      </c>
      <c r="D96" s="382"/>
      <c r="E96" s="382"/>
      <c r="F96" s="382"/>
      <c r="G96" s="382"/>
      <c r="H96" s="382"/>
      <c r="I96" s="383"/>
      <c r="J96" s="212" t="s">
        <v>218</v>
      </c>
      <c r="K96" s="267">
        <f>SUM(U96:AO96)</f>
        <v>0.99980000000000002</v>
      </c>
      <c r="L96" s="265"/>
      <c r="M96" s="241"/>
      <c r="N96" s="215" t="s">
        <v>218</v>
      </c>
      <c r="O96" s="215"/>
      <c r="P96" s="215"/>
      <c r="Q96" s="215"/>
      <c r="R96" s="215"/>
      <c r="S96" s="215"/>
      <c r="T96" s="215"/>
      <c r="U96" s="258">
        <f>+U97/$K$97</f>
        <v>7.1400000000000005E-2</v>
      </c>
      <c r="V96" s="194"/>
      <c r="W96" s="248">
        <f t="shared" ref="W96:AF96" si="62">+W97/$K$97</f>
        <v>1.6299999999999999E-2</v>
      </c>
      <c r="X96" s="248">
        <f t="shared" si="62"/>
        <v>3.27E-2</v>
      </c>
      <c r="Y96" s="248">
        <f t="shared" si="62"/>
        <v>4.2200000000000001E-2</v>
      </c>
      <c r="Z96" s="248">
        <f t="shared" si="62"/>
        <v>4.5499999999999999E-2</v>
      </c>
      <c r="AA96" s="248">
        <f t="shared" si="62"/>
        <v>6.2600000000000003E-2</v>
      </c>
      <c r="AB96" s="248">
        <f t="shared" si="62"/>
        <v>6.13E-2</v>
      </c>
      <c r="AC96" s="248">
        <f t="shared" si="62"/>
        <v>4.3099999999999999E-2</v>
      </c>
      <c r="AD96" s="248">
        <f t="shared" si="62"/>
        <v>4.3099999999999999E-2</v>
      </c>
      <c r="AE96" s="248">
        <f t="shared" si="62"/>
        <v>7.4099999999999999E-2</v>
      </c>
      <c r="AF96" s="248">
        <f t="shared" si="62"/>
        <v>0.1139</v>
      </c>
      <c r="AG96" s="248">
        <f>+AG97/$K$97</f>
        <v>0.1142</v>
      </c>
      <c r="AH96" s="248">
        <f>+AH97/$K$97</f>
        <v>0.1142</v>
      </c>
      <c r="AI96" s="248">
        <f>+AI97/$K$97</f>
        <v>0.1084</v>
      </c>
      <c r="AJ96" s="248">
        <f>+AJ97/$K$97</f>
        <v>5.6800000000000003E-2</v>
      </c>
      <c r="AK96" s="248">
        <f>+AK97/$K$97</f>
        <v>0</v>
      </c>
      <c r="AL96" s="140"/>
      <c r="AM96" s="197"/>
      <c r="AN96" s="197"/>
      <c r="AO96" s="299"/>
      <c r="AP96" s="243"/>
      <c r="AQ96" s="197"/>
      <c r="AR96" s="197"/>
      <c r="AS96" s="243"/>
      <c r="AT96" s="198"/>
      <c r="AU96" s="243"/>
      <c r="AV96" s="243"/>
      <c r="AW96" s="243"/>
      <c r="AX96" s="243"/>
      <c r="AY96" s="243"/>
      <c r="AZ96" s="243"/>
      <c r="BA96" s="318"/>
      <c r="BB96" s="204"/>
    </row>
    <row r="97" spans="1:54" s="2" customFormat="1" ht="10.5" customHeight="1">
      <c r="A97" s="12"/>
      <c r="B97" s="15"/>
      <c r="C97" s="384"/>
      <c r="D97" s="385"/>
      <c r="E97" s="385"/>
      <c r="F97" s="385"/>
      <c r="G97" s="385"/>
      <c r="H97" s="385"/>
      <c r="I97" s="386"/>
      <c r="J97" s="213" t="s">
        <v>219</v>
      </c>
      <c r="K97" s="268">
        <f>+K62+K66+K70+K74+K78+K82+K86+K90+K94</f>
        <v>85924829.329999998</v>
      </c>
      <c r="L97" s="265"/>
      <c r="M97" s="241"/>
      <c r="N97" s="213" t="s">
        <v>219</v>
      </c>
      <c r="O97" s="213"/>
      <c r="P97" s="213"/>
      <c r="Q97" s="213"/>
      <c r="R97" s="213"/>
      <c r="S97" s="213"/>
      <c r="T97" s="213"/>
      <c r="U97" s="259">
        <f>+U62+U66+U70+U74+U78+U82+U86+U90+U94</f>
        <v>6133825.2300000004</v>
      </c>
      <c r="V97" s="194"/>
      <c r="W97" s="249">
        <f t="shared" ref="W97:AF97" si="63">+W62+W66+W70+W74+W78+W82+W86+W90+W94</f>
        <v>1399650</v>
      </c>
      <c r="X97" s="249">
        <f t="shared" si="63"/>
        <v>2808200</v>
      </c>
      <c r="Y97" s="249">
        <f t="shared" si="63"/>
        <v>3629851.4</v>
      </c>
      <c r="Z97" s="249">
        <f t="shared" si="63"/>
        <v>3909337.9</v>
      </c>
      <c r="AA97" s="249">
        <f t="shared" si="63"/>
        <v>5381830</v>
      </c>
      <c r="AB97" s="249">
        <f t="shared" si="63"/>
        <v>5271130</v>
      </c>
      <c r="AC97" s="249">
        <f t="shared" si="63"/>
        <v>3706590</v>
      </c>
      <c r="AD97" s="249">
        <f t="shared" si="63"/>
        <v>3706590</v>
      </c>
      <c r="AE97" s="249">
        <f t="shared" si="63"/>
        <v>6371280</v>
      </c>
      <c r="AF97" s="249">
        <f t="shared" si="63"/>
        <v>9788420</v>
      </c>
      <c r="AG97" s="249">
        <f>+AG62+AG66+AG70+AG74+AG78+AG82+AG86+AG90+AG94</f>
        <v>9812540</v>
      </c>
      <c r="AH97" s="249">
        <f>+AH62+AH66+AH70+AH74+AH78+AH82+AH86+AH90+AH94</f>
        <v>9812540</v>
      </c>
      <c r="AI97" s="249">
        <f>+AI62+AI66+AI70+AI74+AI78+AI82+AI86+AI90+AI94</f>
        <v>9311384.9800000004</v>
      </c>
      <c r="AJ97" s="249">
        <f>+AJ62+AJ66+AJ70+AJ74+AJ78+AJ82+AJ86+AJ90+AJ94</f>
        <v>4881659.82</v>
      </c>
      <c r="AK97" s="249">
        <f>+AK62+AK66+AK70+AK74+AK78+AK82+AK86+AK90+AK94</f>
        <v>0</v>
      </c>
      <c r="AL97" s="140"/>
      <c r="AM97" s="197"/>
      <c r="AN97" s="197"/>
      <c r="AO97" s="299"/>
      <c r="AP97" s="243"/>
      <c r="AQ97" s="197"/>
      <c r="AR97" s="197"/>
      <c r="AS97" s="243"/>
      <c r="AT97" s="198"/>
      <c r="AU97" s="243"/>
      <c r="AV97" s="243"/>
      <c r="AW97" s="243"/>
      <c r="AX97" s="243"/>
      <c r="AY97" s="243"/>
      <c r="AZ97" s="243"/>
      <c r="BA97" s="318"/>
      <c r="BB97" s="204"/>
    </row>
    <row r="98" spans="1:54" s="2" customFormat="1" ht="7.5" customHeight="1">
      <c r="A98" s="12"/>
      <c r="B98" s="15"/>
      <c r="C98" s="207"/>
      <c r="D98" s="219"/>
      <c r="E98" s="190"/>
      <c r="F98" s="191"/>
      <c r="G98" s="216"/>
      <c r="H98" s="216"/>
      <c r="I98" s="216"/>
      <c r="J98" s="216"/>
      <c r="K98" s="191"/>
      <c r="L98" s="191"/>
      <c r="M98" s="223"/>
      <c r="N98" s="192"/>
      <c r="O98" s="192"/>
      <c r="P98" s="192"/>
      <c r="Q98" s="192"/>
      <c r="R98" s="192"/>
      <c r="S98" s="192"/>
      <c r="T98" s="192"/>
      <c r="U98" s="193"/>
      <c r="V98" s="194"/>
      <c r="W98" s="193"/>
      <c r="X98" s="193"/>
      <c r="Y98" s="193"/>
      <c r="Z98" s="193"/>
      <c r="AA98" s="193"/>
      <c r="AB98" s="193"/>
      <c r="AC98" s="193"/>
      <c r="AD98" s="193"/>
      <c r="AE98" s="193"/>
      <c r="AF98" s="193"/>
      <c r="AG98" s="193"/>
      <c r="AH98" s="193"/>
      <c r="AI98" s="193"/>
      <c r="AJ98" s="193"/>
      <c r="AK98" s="193"/>
      <c r="AL98" s="140"/>
      <c r="AM98" s="196"/>
      <c r="AN98" s="196"/>
      <c r="AO98" s="300"/>
      <c r="AP98" s="204"/>
      <c r="AQ98" s="197"/>
      <c r="AR98" s="197"/>
      <c r="AS98" s="204"/>
      <c r="AT98" s="198"/>
      <c r="AU98" s="204"/>
      <c r="AV98" s="243"/>
      <c r="AW98" s="243"/>
      <c r="AX98" s="204"/>
      <c r="AY98" s="204"/>
      <c r="AZ98" s="204"/>
      <c r="BA98" s="318">
        <f t="shared" si="45"/>
        <v>0</v>
      </c>
      <c r="BB98" s="204"/>
    </row>
    <row r="99" spans="1:54" s="25" customFormat="1" ht="15" customHeight="1">
      <c r="A99" s="15"/>
      <c r="B99" s="15"/>
      <c r="C99" s="28">
        <v>3</v>
      </c>
      <c r="D99" s="37" t="s">
        <v>18</v>
      </c>
      <c r="E99" s="158"/>
      <c r="F99" s="40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296"/>
      <c r="AR99" s="82"/>
      <c r="AT99" s="154">
        <f>SUM(AT59:AT94)</f>
        <v>85924829.329999998</v>
      </c>
      <c r="AU99" s="100">
        <v>88426484.659999996</v>
      </c>
      <c r="AV99" s="100">
        <f>+AU99-AT99</f>
        <v>2501655.33</v>
      </c>
      <c r="AW99" s="82" t="s">
        <v>192</v>
      </c>
      <c r="BA99" s="318">
        <f t="shared" si="45"/>
        <v>0</v>
      </c>
    </row>
    <row r="100" spans="1:54" s="2" customFormat="1" ht="10.5" customHeight="1">
      <c r="A100" s="12"/>
      <c r="B100" s="15"/>
      <c r="C100" s="342">
        <v>21</v>
      </c>
      <c r="D100" s="354" t="s">
        <v>67</v>
      </c>
      <c r="E100" s="345" t="s">
        <v>237</v>
      </c>
      <c r="F100" s="372">
        <v>124.34</v>
      </c>
      <c r="G100" s="284">
        <v>11394.6</v>
      </c>
      <c r="H100" s="284">
        <v>12699.09</v>
      </c>
      <c r="I100" s="284"/>
      <c r="J100" s="311"/>
      <c r="K100" s="284">
        <f>H100+J100</f>
        <v>12699.09</v>
      </c>
      <c r="L100" s="284">
        <f>+H100-I100+J100</f>
        <v>12699.09</v>
      </c>
      <c r="M100" s="58"/>
      <c r="N100" s="85" t="s">
        <v>162</v>
      </c>
      <c r="O100" s="85"/>
      <c r="P100" s="85"/>
      <c r="Q100" s="85"/>
      <c r="R100" s="85"/>
      <c r="S100" s="85"/>
      <c r="T100" s="85"/>
      <c r="U100" s="253">
        <f>+I100</f>
        <v>0</v>
      </c>
      <c r="V100" s="121"/>
      <c r="W100" s="92"/>
      <c r="X100" s="61">
        <v>300</v>
      </c>
      <c r="Y100" s="61">
        <v>700</v>
      </c>
      <c r="Z100" s="61">
        <v>1000</v>
      </c>
      <c r="AA100" s="61">
        <v>1000</v>
      </c>
      <c r="AB100" s="61">
        <v>1500</v>
      </c>
      <c r="AC100" s="61">
        <v>1000</v>
      </c>
      <c r="AD100" s="61">
        <v>1000</v>
      </c>
      <c r="AE100" s="61">
        <v>1000</v>
      </c>
      <c r="AF100" s="61">
        <v>1000</v>
      </c>
      <c r="AG100" s="61">
        <v>1000</v>
      </c>
      <c r="AH100" s="61">
        <v>1000</v>
      </c>
      <c r="AI100" s="61">
        <v>1000</v>
      </c>
      <c r="AJ100" s="61">
        <v>1199.0899999999999</v>
      </c>
      <c r="AK100" s="61"/>
      <c r="AL100" s="119"/>
      <c r="AM100" s="92"/>
      <c r="AN100" s="92"/>
      <c r="AO100" s="92"/>
      <c r="AQ100" s="144">
        <f>SUM(O100:AO100)</f>
        <v>12699.09</v>
      </c>
      <c r="AR100" s="144">
        <f>+K100-AQ100</f>
        <v>0</v>
      </c>
      <c r="AT100" s="372">
        <f>+F100*K100</f>
        <v>1579004.85</v>
      </c>
      <c r="AV100" s="263">
        <f>SUM(W100:AO100)</f>
        <v>12699.09</v>
      </c>
      <c r="AW100" s="263">
        <f>+L100-AV100</f>
        <v>0</v>
      </c>
      <c r="BA100" s="318">
        <f t="shared" si="45"/>
        <v>0</v>
      </c>
    </row>
    <row r="101" spans="1:54" s="2" customFormat="1" ht="10.5" customHeight="1">
      <c r="A101" s="10" t="s">
        <v>12</v>
      </c>
      <c r="B101" s="15"/>
      <c r="C101" s="343"/>
      <c r="D101" s="355"/>
      <c r="E101" s="346"/>
      <c r="F101" s="373"/>
      <c r="G101" s="277"/>
      <c r="H101" s="277"/>
      <c r="I101" s="277"/>
      <c r="J101" s="277"/>
      <c r="K101" s="277"/>
      <c r="L101" s="277"/>
      <c r="M101" s="59"/>
      <c r="N101" s="87" t="s">
        <v>163</v>
      </c>
      <c r="O101" s="87"/>
      <c r="P101" s="87"/>
      <c r="Q101" s="87"/>
      <c r="R101" s="87"/>
      <c r="S101" s="87"/>
      <c r="T101" s="87"/>
      <c r="U101" s="254">
        <f>+U100/$K100</f>
        <v>0</v>
      </c>
      <c r="V101" s="121"/>
      <c r="W101" s="88"/>
      <c r="X101" s="62">
        <f>+X100/$K100</f>
        <v>2.3599999999999999E-2</v>
      </c>
      <c r="Y101" s="62">
        <f>+Y100/$K100</f>
        <v>5.5100000000000003E-2</v>
      </c>
      <c r="Z101" s="62">
        <f>+Z100/$K100</f>
        <v>7.8700000000000006E-2</v>
      </c>
      <c r="AA101" s="62">
        <f>+AA100/$K100</f>
        <v>7.8700000000000006E-2</v>
      </c>
      <c r="AB101" s="62">
        <f t="shared" ref="AB101:AK101" si="64">+AB100/$K100</f>
        <v>0.1181</v>
      </c>
      <c r="AC101" s="62">
        <f t="shared" si="64"/>
        <v>7.8700000000000006E-2</v>
      </c>
      <c r="AD101" s="62">
        <f t="shared" si="64"/>
        <v>7.8700000000000006E-2</v>
      </c>
      <c r="AE101" s="62">
        <f t="shared" si="64"/>
        <v>7.8700000000000006E-2</v>
      </c>
      <c r="AF101" s="62">
        <f t="shared" si="64"/>
        <v>7.8700000000000006E-2</v>
      </c>
      <c r="AG101" s="62">
        <f t="shared" si="64"/>
        <v>7.8700000000000006E-2</v>
      </c>
      <c r="AH101" s="62">
        <f t="shared" si="64"/>
        <v>7.8700000000000006E-2</v>
      </c>
      <c r="AI101" s="62">
        <f t="shared" si="64"/>
        <v>7.8700000000000006E-2</v>
      </c>
      <c r="AJ101" s="62">
        <f t="shared" si="64"/>
        <v>9.4399999999999998E-2</v>
      </c>
      <c r="AK101" s="62">
        <f t="shared" si="64"/>
        <v>0</v>
      </c>
      <c r="AL101" s="116"/>
      <c r="AM101" s="88"/>
      <c r="AN101" s="88"/>
      <c r="AO101" s="88"/>
      <c r="AQ101" s="149">
        <f>SUM(O101:AO101)-0.0003</f>
        <v>0.99919999999999998</v>
      </c>
      <c r="AR101" s="146"/>
      <c r="AT101" s="389"/>
      <c r="AV101" s="266"/>
      <c r="AW101" s="266"/>
      <c r="BA101" s="318">
        <f t="shared" si="45"/>
        <v>0</v>
      </c>
    </row>
    <row r="102" spans="1:54" s="2" customFormat="1" ht="10.5" hidden="1" customHeight="1">
      <c r="A102" s="11" t="s">
        <v>13</v>
      </c>
      <c r="B102" s="15"/>
      <c r="C102" s="343"/>
      <c r="D102" s="355"/>
      <c r="E102" s="346"/>
      <c r="F102" s="373"/>
      <c r="G102" s="277"/>
      <c r="H102" s="277"/>
      <c r="I102" s="277"/>
      <c r="J102" s="277"/>
      <c r="K102" s="277"/>
      <c r="L102" s="277"/>
      <c r="M102" s="59"/>
      <c r="N102" s="89"/>
      <c r="O102" s="89"/>
      <c r="P102" s="89"/>
      <c r="Q102" s="89"/>
      <c r="R102" s="89"/>
      <c r="S102" s="89"/>
      <c r="T102" s="89"/>
      <c r="U102" s="251"/>
      <c r="V102" s="121"/>
      <c r="W102" s="88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117"/>
      <c r="AM102" s="88"/>
      <c r="AN102" s="88"/>
      <c r="AO102" s="88"/>
      <c r="AQ102" s="145"/>
      <c r="AR102" s="146"/>
      <c r="AT102" s="389"/>
      <c r="AV102" s="197"/>
      <c r="AW102" s="197"/>
      <c r="BA102" s="318">
        <f t="shared" si="45"/>
        <v>0</v>
      </c>
    </row>
    <row r="103" spans="1:54" s="2" customFormat="1" ht="10.5" customHeight="1">
      <c r="A103" s="12">
        <v>1</v>
      </c>
      <c r="B103" s="15"/>
      <c r="C103" s="344"/>
      <c r="D103" s="356"/>
      <c r="E103" s="347"/>
      <c r="F103" s="374"/>
      <c r="G103" s="307">
        <f>ROUND(G100*$F100,2)</f>
        <v>1416804.56</v>
      </c>
      <c r="H103" s="307">
        <f>ROUND(H100*$F100,2)</f>
        <v>1579004.85</v>
      </c>
      <c r="I103" s="307">
        <f>ROUND(I100*$F100,2)</f>
        <v>0</v>
      </c>
      <c r="J103" s="307">
        <f>J100*$F100</f>
        <v>0</v>
      </c>
      <c r="K103" s="307">
        <f>ROUND(K100*$F100,2)</f>
        <v>1579004.85</v>
      </c>
      <c r="L103" s="307">
        <f>ROUND(L100*$F100,2)</f>
        <v>1579004.85</v>
      </c>
      <c r="M103" s="59"/>
      <c r="N103" s="90" t="s">
        <v>164</v>
      </c>
      <c r="O103" s="90"/>
      <c r="P103" s="90"/>
      <c r="Q103" s="90"/>
      <c r="R103" s="90"/>
      <c r="S103" s="90"/>
      <c r="T103" s="90"/>
      <c r="U103" s="256">
        <f>U100*$F100</f>
        <v>0</v>
      </c>
      <c r="V103" s="132"/>
      <c r="W103" s="91"/>
      <c r="X103" s="64">
        <f>X100*$F100</f>
        <v>37302</v>
      </c>
      <c r="Y103" s="64">
        <f>Y100*$F100</f>
        <v>87038</v>
      </c>
      <c r="Z103" s="64">
        <f>Z100*$F100</f>
        <v>124340</v>
      </c>
      <c r="AA103" s="64">
        <f t="shared" ref="AA103:AK103" si="65">AA100*$F100</f>
        <v>124340</v>
      </c>
      <c r="AB103" s="64">
        <f t="shared" si="65"/>
        <v>186510</v>
      </c>
      <c r="AC103" s="64">
        <f t="shared" si="65"/>
        <v>124340</v>
      </c>
      <c r="AD103" s="64">
        <f t="shared" si="65"/>
        <v>124340</v>
      </c>
      <c r="AE103" s="64">
        <f t="shared" si="65"/>
        <v>124340</v>
      </c>
      <c r="AF103" s="64">
        <f t="shared" si="65"/>
        <v>124340</v>
      </c>
      <c r="AG103" s="64">
        <f t="shared" si="65"/>
        <v>124340</v>
      </c>
      <c r="AH103" s="64">
        <f t="shared" si="65"/>
        <v>124340</v>
      </c>
      <c r="AI103" s="64">
        <f t="shared" si="65"/>
        <v>124340</v>
      </c>
      <c r="AJ103" s="64">
        <f t="shared" si="65"/>
        <v>149094.85</v>
      </c>
      <c r="AK103" s="64">
        <f t="shared" si="65"/>
        <v>0</v>
      </c>
      <c r="AL103" s="118"/>
      <c r="AM103" s="91"/>
      <c r="AN103" s="91"/>
      <c r="AO103" s="91"/>
      <c r="AQ103" s="69">
        <f>SUM(O103:AO103)</f>
        <v>1579004.85</v>
      </c>
      <c r="AR103" s="69">
        <f>+K103-AQ103</f>
        <v>0</v>
      </c>
      <c r="AT103" s="390"/>
      <c r="AV103" s="196"/>
      <c r="AW103" s="196"/>
      <c r="BA103" s="318">
        <f t="shared" si="45"/>
        <v>0</v>
      </c>
    </row>
    <row r="104" spans="1:54" s="2" customFormat="1" ht="10.5" customHeight="1">
      <c r="A104" s="12"/>
      <c r="B104" s="15"/>
      <c r="C104" s="342">
        <v>22</v>
      </c>
      <c r="D104" s="339" t="s">
        <v>68</v>
      </c>
      <c r="E104" s="345" t="s">
        <v>237</v>
      </c>
      <c r="F104" s="372">
        <v>26.33</v>
      </c>
      <c r="G104" s="284">
        <v>2426.5500000000002</v>
      </c>
      <c r="H104" s="284">
        <v>2426.5500000000002</v>
      </c>
      <c r="I104" s="284"/>
      <c r="J104" s="284"/>
      <c r="K104" s="284">
        <f>H104+J104</f>
        <v>2426.5500000000002</v>
      </c>
      <c r="L104" s="284">
        <f>+H104-I104+J104</f>
        <v>2426.5500000000002</v>
      </c>
      <c r="M104" s="59"/>
      <c r="N104" s="85" t="s">
        <v>162</v>
      </c>
      <c r="O104" s="85"/>
      <c r="P104" s="85"/>
      <c r="Q104" s="85"/>
      <c r="R104" s="85"/>
      <c r="S104" s="85"/>
      <c r="T104" s="85"/>
      <c r="U104" s="253">
        <f>+I104</f>
        <v>0</v>
      </c>
      <c r="V104" s="121"/>
      <c r="W104" s="92"/>
      <c r="X104" s="92"/>
      <c r="Y104" s="61">
        <v>180</v>
      </c>
      <c r="Z104" s="61">
        <v>180</v>
      </c>
      <c r="AA104" s="61">
        <v>190</v>
      </c>
      <c r="AB104" s="61">
        <v>190</v>
      </c>
      <c r="AC104" s="61">
        <v>190</v>
      </c>
      <c r="AD104" s="61">
        <v>190</v>
      </c>
      <c r="AE104" s="61">
        <v>190</v>
      </c>
      <c r="AF104" s="61">
        <v>190</v>
      </c>
      <c r="AG104" s="61">
        <v>190</v>
      </c>
      <c r="AH104" s="61">
        <v>190</v>
      </c>
      <c r="AI104" s="61">
        <v>190</v>
      </c>
      <c r="AJ104" s="61">
        <v>190</v>
      </c>
      <c r="AK104" s="61">
        <v>166.55</v>
      </c>
      <c r="AL104" s="119"/>
      <c r="AM104" s="92"/>
      <c r="AN104" s="92"/>
      <c r="AO104" s="92"/>
      <c r="AQ104" s="144">
        <f>SUM(O104:AO104)</f>
        <v>2426.5500000000002</v>
      </c>
      <c r="AR104" s="144">
        <f>+K104-AQ104</f>
        <v>0</v>
      </c>
      <c r="AT104" s="372">
        <f>+F104*K104</f>
        <v>63891.06</v>
      </c>
      <c r="AV104" s="263">
        <f>SUM(W104:AO104)</f>
        <v>2426.5500000000002</v>
      </c>
      <c r="AW104" s="263">
        <f>+L104-AV104</f>
        <v>0</v>
      </c>
      <c r="BA104" s="318">
        <f t="shared" si="45"/>
        <v>0</v>
      </c>
    </row>
    <row r="105" spans="1:54" s="2" customFormat="1" ht="10.5" customHeight="1">
      <c r="A105" s="10" t="s">
        <v>12</v>
      </c>
      <c r="B105" s="15"/>
      <c r="C105" s="343"/>
      <c r="D105" s="340"/>
      <c r="E105" s="346"/>
      <c r="F105" s="373"/>
      <c r="G105" s="277"/>
      <c r="H105" s="277"/>
      <c r="I105" s="277"/>
      <c r="J105" s="277"/>
      <c r="K105" s="277"/>
      <c r="L105" s="277"/>
      <c r="M105" s="59"/>
      <c r="N105" s="87" t="s">
        <v>163</v>
      </c>
      <c r="O105" s="87"/>
      <c r="P105" s="87"/>
      <c r="Q105" s="87"/>
      <c r="R105" s="87"/>
      <c r="S105" s="87"/>
      <c r="T105" s="87"/>
      <c r="U105" s="254">
        <f>+U104/$K104</f>
        <v>0</v>
      </c>
      <c r="V105" s="121"/>
      <c r="W105" s="88"/>
      <c r="X105" s="88"/>
      <c r="Y105" s="62">
        <f>+Y104/$K104</f>
        <v>7.4200000000000002E-2</v>
      </c>
      <c r="Z105" s="62">
        <f>+Z104/$K104</f>
        <v>7.4200000000000002E-2</v>
      </c>
      <c r="AA105" s="62">
        <f>+AA104/$K104</f>
        <v>7.8299999999999995E-2</v>
      </c>
      <c r="AB105" s="62">
        <f t="shared" ref="AB105:AK105" si="66">+AB104/$K104</f>
        <v>7.8299999999999995E-2</v>
      </c>
      <c r="AC105" s="62">
        <f t="shared" si="66"/>
        <v>7.8299999999999995E-2</v>
      </c>
      <c r="AD105" s="62">
        <f t="shared" si="66"/>
        <v>7.8299999999999995E-2</v>
      </c>
      <c r="AE105" s="62">
        <f t="shared" si="66"/>
        <v>7.8299999999999995E-2</v>
      </c>
      <c r="AF105" s="62">
        <f t="shared" si="66"/>
        <v>7.8299999999999995E-2</v>
      </c>
      <c r="AG105" s="62">
        <f t="shared" si="66"/>
        <v>7.8299999999999995E-2</v>
      </c>
      <c r="AH105" s="62">
        <f t="shared" si="66"/>
        <v>7.8299999999999995E-2</v>
      </c>
      <c r="AI105" s="62">
        <f t="shared" si="66"/>
        <v>7.8299999999999995E-2</v>
      </c>
      <c r="AJ105" s="62">
        <f t="shared" si="66"/>
        <v>7.8299999999999995E-2</v>
      </c>
      <c r="AK105" s="62">
        <f t="shared" si="66"/>
        <v>6.8599999999999994E-2</v>
      </c>
      <c r="AL105" s="116"/>
      <c r="AM105" s="88"/>
      <c r="AN105" s="88"/>
      <c r="AO105" s="88"/>
      <c r="AQ105" s="149">
        <f>SUM(O105:AO105)</f>
        <v>1</v>
      </c>
      <c r="AR105" s="146"/>
      <c r="AT105" s="389"/>
      <c r="AV105" s="266"/>
      <c r="AW105" s="266"/>
      <c r="BA105" s="318">
        <f t="shared" si="45"/>
        <v>0</v>
      </c>
    </row>
    <row r="106" spans="1:54" s="2" customFormat="1" ht="10.5" hidden="1" customHeight="1">
      <c r="A106" s="11" t="s">
        <v>13</v>
      </c>
      <c r="B106" s="15"/>
      <c r="C106" s="343"/>
      <c r="D106" s="340"/>
      <c r="E106" s="346"/>
      <c r="F106" s="373"/>
      <c r="G106" s="277"/>
      <c r="H106" s="277"/>
      <c r="I106" s="277"/>
      <c r="J106" s="277"/>
      <c r="K106" s="277"/>
      <c r="L106" s="277"/>
      <c r="M106" s="59"/>
      <c r="N106" s="89"/>
      <c r="O106" s="89"/>
      <c r="P106" s="89"/>
      <c r="Q106" s="89"/>
      <c r="R106" s="89"/>
      <c r="S106" s="89"/>
      <c r="T106" s="89"/>
      <c r="U106" s="251"/>
      <c r="V106" s="121"/>
      <c r="W106" s="88"/>
      <c r="X106" s="88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117"/>
      <c r="AM106" s="88"/>
      <c r="AN106" s="88"/>
      <c r="AO106" s="88"/>
      <c r="AQ106" s="145"/>
      <c r="AR106" s="146"/>
      <c r="AT106" s="389"/>
      <c r="AV106" s="197"/>
      <c r="AW106" s="197"/>
      <c r="BA106" s="318">
        <f t="shared" si="45"/>
        <v>0</v>
      </c>
    </row>
    <row r="107" spans="1:54" s="2" customFormat="1" ht="10.5" customHeight="1">
      <c r="A107" s="12">
        <v>1</v>
      </c>
      <c r="B107" s="15"/>
      <c r="C107" s="344"/>
      <c r="D107" s="341"/>
      <c r="E107" s="347"/>
      <c r="F107" s="374"/>
      <c r="G107" s="307">
        <f>ROUND(G104*$F104,2)</f>
        <v>63891.06</v>
      </c>
      <c r="H107" s="307">
        <f>ROUND(H104*$F104,2)</f>
        <v>63891.06</v>
      </c>
      <c r="I107" s="307">
        <f>ROUND(I104*$F104,2)</f>
        <v>0</v>
      </c>
      <c r="J107" s="307">
        <f>J104*$F104</f>
        <v>0</v>
      </c>
      <c r="K107" s="307">
        <f>ROUND(K104*$F104,2)</f>
        <v>63891.06</v>
      </c>
      <c r="L107" s="307">
        <f>ROUND(L104*$F104,2)</f>
        <v>63891.06</v>
      </c>
      <c r="M107" s="59"/>
      <c r="N107" s="90" t="s">
        <v>164</v>
      </c>
      <c r="O107" s="90"/>
      <c r="P107" s="90"/>
      <c r="Q107" s="90"/>
      <c r="R107" s="90"/>
      <c r="S107" s="90"/>
      <c r="T107" s="90"/>
      <c r="U107" s="256">
        <f>U104*$F104</f>
        <v>0</v>
      </c>
      <c r="V107" s="132"/>
      <c r="W107" s="91"/>
      <c r="X107" s="91"/>
      <c r="Y107" s="64">
        <f>Y104*$F104</f>
        <v>4739.3999999999996</v>
      </c>
      <c r="Z107" s="64">
        <f>Z104*$F104</f>
        <v>4739.3999999999996</v>
      </c>
      <c r="AA107" s="64">
        <f t="shared" ref="AA107:AK107" si="67">AA104*$F104</f>
        <v>5002.7</v>
      </c>
      <c r="AB107" s="64">
        <f t="shared" si="67"/>
        <v>5002.7</v>
      </c>
      <c r="AC107" s="64">
        <f t="shared" si="67"/>
        <v>5002.7</v>
      </c>
      <c r="AD107" s="64">
        <f t="shared" si="67"/>
        <v>5002.7</v>
      </c>
      <c r="AE107" s="64">
        <f t="shared" si="67"/>
        <v>5002.7</v>
      </c>
      <c r="AF107" s="64">
        <f t="shared" si="67"/>
        <v>5002.7</v>
      </c>
      <c r="AG107" s="64">
        <f t="shared" si="67"/>
        <v>5002.7</v>
      </c>
      <c r="AH107" s="64">
        <f t="shared" si="67"/>
        <v>5002.7</v>
      </c>
      <c r="AI107" s="64">
        <f t="shared" si="67"/>
        <v>5002.7</v>
      </c>
      <c r="AJ107" s="64">
        <f t="shared" si="67"/>
        <v>5002.7</v>
      </c>
      <c r="AK107" s="64">
        <f t="shared" si="67"/>
        <v>4385.26</v>
      </c>
      <c r="AL107" s="118"/>
      <c r="AM107" s="91"/>
      <c r="AN107" s="91"/>
      <c r="AO107" s="91"/>
      <c r="AQ107" s="69">
        <f>SUM(O107:AO107)</f>
        <v>63891.06</v>
      </c>
      <c r="AR107" s="69">
        <f>+K107-AQ107</f>
        <v>0</v>
      </c>
      <c r="AT107" s="390"/>
      <c r="AV107" s="196"/>
      <c r="AW107" s="196"/>
      <c r="BA107" s="318">
        <f t="shared" si="45"/>
        <v>0</v>
      </c>
    </row>
    <row r="108" spans="1:54" s="2" customFormat="1" ht="10.5" customHeight="1">
      <c r="A108" s="12"/>
      <c r="B108" s="15"/>
      <c r="C108" s="342">
        <v>23</v>
      </c>
      <c r="D108" s="339" t="s">
        <v>69</v>
      </c>
      <c r="E108" s="345" t="s">
        <v>237</v>
      </c>
      <c r="F108" s="372">
        <v>124.03</v>
      </c>
      <c r="G108" s="284">
        <v>66394.649999999994</v>
      </c>
      <c r="H108" s="284">
        <v>68583.27</v>
      </c>
      <c r="I108" s="284"/>
      <c r="J108" s="322">
        <v>20169.759999999998</v>
      </c>
      <c r="K108" s="324">
        <f>H108+J108</f>
        <v>88753.03</v>
      </c>
      <c r="L108" s="284">
        <f>+H108-I108+J108</f>
        <v>88753.03</v>
      </c>
      <c r="M108" s="59"/>
      <c r="N108" s="85" t="s">
        <v>162</v>
      </c>
      <c r="O108" s="85"/>
      <c r="P108" s="85"/>
      <c r="Q108" s="85"/>
      <c r="R108" s="85"/>
      <c r="S108" s="85"/>
      <c r="T108" s="85"/>
      <c r="U108" s="253">
        <f>+I108</f>
        <v>0</v>
      </c>
      <c r="V108" s="121"/>
      <c r="W108" s="92"/>
      <c r="X108" s="92"/>
      <c r="Y108" s="61">
        <v>5000</v>
      </c>
      <c r="Z108" s="61">
        <v>9000</v>
      </c>
      <c r="AA108" s="61">
        <v>9000</v>
      </c>
      <c r="AB108" s="61">
        <v>4500</v>
      </c>
      <c r="AC108" s="61">
        <v>4500</v>
      </c>
      <c r="AD108" s="61">
        <v>4500</v>
      </c>
      <c r="AE108" s="61">
        <v>4500</v>
      </c>
      <c r="AF108" s="61">
        <v>4500</v>
      </c>
      <c r="AG108" s="61">
        <v>9000</v>
      </c>
      <c r="AH108" s="61">
        <v>11500</v>
      </c>
      <c r="AI108" s="61">
        <v>11500</v>
      </c>
      <c r="AJ108" s="61">
        <v>11253.03</v>
      </c>
      <c r="AK108" s="61"/>
      <c r="AL108" s="119"/>
      <c r="AM108" s="92"/>
      <c r="AN108" s="92"/>
      <c r="AO108" s="92"/>
      <c r="AQ108" s="144">
        <f>SUM(O108:AO108)</f>
        <v>88753.03</v>
      </c>
      <c r="AR108" s="144">
        <f>+K108-AQ108</f>
        <v>0</v>
      </c>
      <c r="AT108" s="372">
        <f>+F108*K108</f>
        <v>11008038.310000001</v>
      </c>
      <c r="AV108" s="263">
        <f>SUM(W108:AO108)</f>
        <v>88753.03</v>
      </c>
      <c r="AW108" s="263">
        <f>+L108-AV108</f>
        <v>0</v>
      </c>
      <c r="BA108" s="318">
        <f t="shared" si="45"/>
        <v>0</v>
      </c>
    </row>
    <row r="109" spans="1:54" s="2" customFormat="1" ht="10.5" customHeight="1">
      <c r="A109" s="10" t="s">
        <v>12</v>
      </c>
      <c r="B109" s="15"/>
      <c r="C109" s="343"/>
      <c r="D109" s="340"/>
      <c r="E109" s="346"/>
      <c r="F109" s="373"/>
      <c r="G109" s="277"/>
      <c r="H109" s="277"/>
      <c r="I109" s="277"/>
      <c r="J109" s="277"/>
      <c r="K109" s="277"/>
      <c r="L109" s="277"/>
      <c r="M109" s="59"/>
      <c r="N109" s="87" t="s">
        <v>163</v>
      </c>
      <c r="O109" s="87"/>
      <c r="P109" s="87"/>
      <c r="Q109" s="87"/>
      <c r="R109" s="87"/>
      <c r="S109" s="87"/>
      <c r="T109" s="87"/>
      <c r="U109" s="254">
        <f>+U108/$K108</f>
        <v>0</v>
      </c>
      <c r="V109" s="121"/>
      <c r="W109" s="88"/>
      <c r="X109" s="88"/>
      <c r="Y109" s="62">
        <f>ROUND(Y108/$K108,2)</f>
        <v>0.06</v>
      </c>
      <c r="Z109" s="62">
        <f t="shared" ref="Z109:AJ109" si="68">ROUND(Z108/$K108,2)</f>
        <v>0.1</v>
      </c>
      <c r="AA109" s="62">
        <f t="shared" si="68"/>
        <v>0.1</v>
      </c>
      <c r="AB109" s="62">
        <f t="shared" si="68"/>
        <v>0.05</v>
      </c>
      <c r="AC109" s="62">
        <f t="shared" si="68"/>
        <v>0.05</v>
      </c>
      <c r="AD109" s="62">
        <f t="shared" si="68"/>
        <v>0.05</v>
      </c>
      <c r="AE109" s="62">
        <f t="shared" si="68"/>
        <v>0.05</v>
      </c>
      <c r="AF109" s="62">
        <f t="shared" si="68"/>
        <v>0.05</v>
      </c>
      <c r="AG109" s="62">
        <f t="shared" si="68"/>
        <v>0.1</v>
      </c>
      <c r="AH109" s="62">
        <f t="shared" si="68"/>
        <v>0.13</v>
      </c>
      <c r="AI109" s="62">
        <f t="shared" si="68"/>
        <v>0.13</v>
      </c>
      <c r="AJ109" s="62">
        <f t="shared" si="68"/>
        <v>0.13</v>
      </c>
      <c r="AK109" s="62">
        <f t="shared" ref="AK109" si="69">+AK108/$K108</f>
        <v>0</v>
      </c>
      <c r="AL109" s="116"/>
      <c r="AM109" s="88"/>
      <c r="AN109" s="88"/>
      <c r="AO109" s="88"/>
      <c r="AQ109" s="149">
        <f>SUM(O109:AO109)</f>
        <v>1</v>
      </c>
      <c r="AR109" s="146"/>
      <c r="AT109" s="389"/>
      <c r="AV109" s="266"/>
      <c r="AW109" s="266"/>
      <c r="BA109" s="318">
        <f t="shared" si="45"/>
        <v>0</v>
      </c>
    </row>
    <row r="110" spans="1:54" s="2" customFormat="1" ht="10.5" hidden="1" customHeight="1">
      <c r="A110" s="11" t="s">
        <v>13</v>
      </c>
      <c r="B110" s="15"/>
      <c r="C110" s="343"/>
      <c r="D110" s="340"/>
      <c r="E110" s="346"/>
      <c r="F110" s="373"/>
      <c r="G110" s="277"/>
      <c r="H110" s="277"/>
      <c r="I110" s="277"/>
      <c r="J110" s="277"/>
      <c r="K110" s="277"/>
      <c r="L110" s="277"/>
      <c r="M110" s="59"/>
      <c r="N110" s="89"/>
      <c r="O110" s="89"/>
      <c r="P110" s="89"/>
      <c r="Q110" s="89"/>
      <c r="R110" s="89"/>
      <c r="S110" s="89"/>
      <c r="T110" s="89"/>
      <c r="U110" s="251"/>
      <c r="V110" s="121"/>
      <c r="W110" s="88"/>
      <c r="X110" s="88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117"/>
      <c r="AM110" s="88"/>
      <c r="AN110" s="88"/>
      <c r="AO110" s="88"/>
      <c r="AQ110" s="145"/>
      <c r="AR110" s="146"/>
      <c r="AT110" s="389"/>
      <c r="AV110" s="197"/>
      <c r="AW110" s="197"/>
      <c r="BA110" s="318">
        <f t="shared" si="45"/>
        <v>0</v>
      </c>
    </row>
    <row r="111" spans="1:54" s="2" customFormat="1" ht="10.5" customHeight="1">
      <c r="A111" s="12">
        <v>1</v>
      </c>
      <c r="B111" s="15"/>
      <c r="C111" s="344"/>
      <c r="D111" s="341"/>
      <c r="E111" s="347"/>
      <c r="F111" s="374"/>
      <c r="G111" s="307">
        <f>ROUND(G108*$F108,2)</f>
        <v>8234928.4400000004</v>
      </c>
      <c r="H111" s="307">
        <f>ROUND(H108*$F108,2)</f>
        <v>8506382.9800000004</v>
      </c>
      <c r="I111" s="307">
        <f>ROUND(I108*$F108,2)</f>
        <v>0</v>
      </c>
      <c r="J111" s="323">
        <f>J108*$F108</f>
        <v>2501655.3328</v>
      </c>
      <c r="K111" s="321">
        <f>ROUND(K108*$F108,4)</f>
        <v>11008038.311000001</v>
      </c>
      <c r="L111" s="307">
        <f>ROUND(L108*$F108,2)</f>
        <v>11008038.310000001</v>
      </c>
      <c r="M111" s="59"/>
      <c r="N111" s="90" t="s">
        <v>164</v>
      </c>
      <c r="O111" s="90"/>
      <c r="P111" s="90"/>
      <c r="Q111" s="90"/>
      <c r="R111" s="90"/>
      <c r="S111" s="90"/>
      <c r="T111" s="90"/>
      <c r="U111" s="256">
        <f>U108*$F108</f>
        <v>0</v>
      </c>
      <c r="V111" s="132"/>
      <c r="W111" s="91"/>
      <c r="X111" s="91"/>
      <c r="Y111" s="64">
        <f>ROUND(Y108*$F108,2)</f>
        <v>620150</v>
      </c>
      <c r="Z111" s="64">
        <f t="shared" ref="Z111:AK111" si="70">ROUND(Z108*$F108,2)</f>
        <v>1116270</v>
      </c>
      <c r="AA111" s="64">
        <f t="shared" si="70"/>
        <v>1116270</v>
      </c>
      <c r="AB111" s="64">
        <f t="shared" si="70"/>
        <v>558135</v>
      </c>
      <c r="AC111" s="64">
        <f t="shared" si="70"/>
        <v>558135</v>
      </c>
      <c r="AD111" s="64">
        <f t="shared" si="70"/>
        <v>558135</v>
      </c>
      <c r="AE111" s="64">
        <f t="shared" si="70"/>
        <v>558135</v>
      </c>
      <c r="AF111" s="64">
        <f t="shared" si="70"/>
        <v>558135</v>
      </c>
      <c r="AG111" s="64">
        <f t="shared" si="70"/>
        <v>1116270</v>
      </c>
      <c r="AH111" s="64">
        <f t="shared" si="70"/>
        <v>1426345</v>
      </c>
      <c r="AI111" s="64">
        <f t="shared" si="70"/>
        <v>1426345</v>
      </c>
      <c r="AJ111" s="326">
        <f>ROUND(AJ108*$F108,2)</f>
        <v>1395713.31</v>
      </c>
      <c r="AK111" s="64">
        <f t="shared" si="70"/>
        <v>0</v>
      </c>
      <c r="AL111" s="118"/>
      <c r="AM111" s="91"/>
      <c r="AN111" s="91"/>
      <c r="AO111" s="91"/>
      <c r="AQ111" s="325">
        <f>ROUND(SUM(O111:AO111),4)</f>
        <v>11008038.310000001</v>
      </c>
      <c r="AR111" s="69">
        <f>+K111-AQ111</f>
        <v>0</v>
      </c>
      <c r="AT111" s="390"/>
      <c r="AV111" s="196"/>
      <c r="AW111" s="196"/>
      <c r="BA111" s="318">
        <f t="shared" si="45"/>
        <v>0</v>
      </c>
    </row>
    <row r="112" spans="1:54" s="2" customFormat="1" ht="10.5" customHeight="1">
      <c r="A112" s="12"/>
      <c r="B112" s="15"/>
      <c r="C112" s="342">
        <v>24</v>
      </c>
      <c r="D112" s="339" t="s">
        <v>70</v>
      </c>
      <c r="E112" s="345" t="s">
        <v>237</v>
      </c>
      <c r="F112" s="372">
        <v>124.34</v>
      </c>
      <c r="G112" s="284">
        <v>9274.65</v>
      </c>
      <c r="H112" s="284">
        <v>9715.65</v>
      </c>
      <c r="I112" s="284"/>
      <c r="J112" s="284"/>
      <c r="K112" s="284">
        <f>H112+J112</f>
        <v>9715.65</v>
      </c>
      <c r="L112" s="284">
        <f>+H112-I112+J112</f>
        <v>9715.65</v>
      </c>
      <c r="M112" s="59"/>
      <c r="N112" s="85" t="s">
        <v>162</v>
      </c>
      <c r="O112" s="85"/>
      <c r="P112" s="85"/>
      <c r="Q112" s="85"/>
      <c r="R112" s="85"/>
      <c r="S112" s="85"/>
      <c r="T112" s="85"/>
      <c r="U112" s="253">
        <f>+I112</f>
        <v>0</v>
      </c>
      <c r="V112" s="121"/>
      <c r="W112" s="92"/>
      <c r="X112" s="92"/>
      <c r="Y112" s="61">
        <v>740</v>
      </c>
      <c r="Z112" s="61">
        <v>740</v>
      </c>
      <c r="AA112" s="61">
        <v>740</v>
      </c>
      <c r="AB112" s="61">
        <v>740</v>
      </c>
      <c r="AC112" s="61">
        <v>740</v>
      </c>
      <c r="AD112" s="61">
        <v>740</v>
      </c>
      <c r="AE112" s="61">
        <v>750</v>
      </c>
      <c r="AF112" s="61">
        <v>750</v>
      </c>
      <c r="AG112" s="61">
        <v>750</v>
      </c>
      <c r="AH112" s="61">
        <v>750</v>
      </c>
      <c r="AI112" s="61">
        <v>750</v>
      </c>
      <c r="AJ112" s="61">
        <v>750</v>
      </c>
      <c r="AK112" s="61">
        <v>775.65</v>
      </c>
      <c r="AL112" s="119"/>
      <c r="AM112" s="92"/>
      <c r="AN112" s="92"/>
      <c r="AO112" s="92"/>
      <c r="AQ112" s="144">
        <f>SUM(O112:AO112)</f>
        <v>9715.65</v>
      </c>
      <c r="AR112" s="144">
        <f>+K112-AQ112</f>
        <v>0</v>
      </c>
      <c r="AT112" s="372">
        <f>+F112*K112</f>
        <v>1208043.92</v>
      </c>
      <c r="AV112" s="263">
        <f>SUM(W112:AO112)</f>
        <v>9715.65</v>
      </c>
      <c r="AW112" s="263">
        <f>+L112-AV112</f>
        <v>0</v>
      </c>
      <c r="BA112" s="318">
        <f t="shared" si="45"/>
        <v>0</v>
      </c>
    </row>
    <row r="113" spans="1:53" s="2" customFormat="1" ht="10.5" customHeight="1">
      <c r="A113" s="10" t="s">
        <v>12</v>
      </c>
      <c r="B113" s="15"/>
      <c r="C113" s="343"/>
      <c r="D113" s="340"/>
      <c r="E113" s="346"/>
      <c r="F113" s="373"/>
      <c r="G113" s="277"/>
      <c r="H113" s="277"/>
      <c r="I113" s="277"/>
      <c r="J113" s="277"/>
      <c r="K113" s="277"/>
      <c r="L113" s="277"/>
      <c r="M113" s="59"/>
      <c r="N113" s="87" t="s">
        <v>163</v>
      </c>
      <c r="O113" s="87"/>
      <c r="P113" s="87"/>
      <c r="Q113" s="87"/>
      <c r="R113" s="87"/>
      <c r="S113" s="87"/>
      <c r="T113" s="87"/>
      <c r="U113" s="254">
        <f>+U112/$K112</f>
        <v>0</v>
      </c>
      <c r="V113" s="121"/>
      <c r="W113" s="88"/>
      <c r="X113" s="88"/>
      <c r="Y113" s="62">
        <f>+Y112/$K112</f>
        <v>7.6200000000000004E-2</v>
      </c>
      <c r="Z113" s="62">
        <f>+Z112/$K112</f>
        <v>7.6200000000000004E-2</v>
      </c>
      <c r="AA113" s="62">
        <f>+AA112/$K112</f>
        <v>7.6200000000000004E-2</v>
      </c>
      <c r="AB113" s="62">
        <f t="shared" ref="AB113:AK113" si="71">+AB112/$K112</f>
        <v>7.6200000000000004E-2</v>
      </c>
      <c r="AC113" s="62">
        <f t="shared" si="71"/>
        <v>7.6200000000000004E-2</v>
      </c>
      <c r="AD113" s="62">
        <f t="shared" si="71"/>
        <v>7.6200000000000004E-2</v>
      </c>
      <c r="AE113" s="62">
        <f t="shared" si="71"/>
        <v>7.7200000000000005E-2</v>
      </c>
      <c r="AF113" s="62">
        <f t="shared" si="71"/>
        <v>7.7200000000000005E-2</v>
      </c>
      <c r="AG113" s="62">
        <f t="shared" si="71"/>
        <v>7.7200000000000005E-2</v>
      </c>
      <c r="AH113" s="62">
        <f t="shared" si="71"/>
        <v>7.7200000000000005E-2</v>
      </c>
      <c r="AI113" s="62">
        <f t="shared" si="71"/>
        <v>7.7200000000000005E-2</v>
      </c>
      <c r="AJ113" s="62">
        <f t="shared" si="71"/>
        <v>7.7200000000000005E-2</v>
      </c>
      <c r="AK113" s="62">
        <f t="shared" si="71"/>
        <v>7.9799999999999996E-2</v>
      </c>
      <c r="AL113" s="116"/>
      <c r="AM113" s="88"/>
      <c r="AN113" s="88"/>
      <c r="AO113" s="88"/>
      <c r="AQ113" s="149">
        <f>SUM(O113:AO113)-0.0002</f>
        <v>1</v>
      </c>
      <c r="AR113" s="146"/>
      <c r="AT113" s="389"/>
      <c r="AV113" s="266"/>
      <c r="AW113" s="266"/>
      <c r="BA113" s="318">
        <f t="shared" si="45"/>
        <v>0</v>
      </c>
    </row>
    <row r="114" spans="1:53" s="2" customFormat="1" ht="10.5" hidden="1" customHeight="1">
      <c r="A114" s="11" t="s">
        <v>13</v>
      </c>
      <c r="B114" s="15"/>
      <c r="C114" s="343"/>
      <c r="D114" s="340"/>
      <c r="E114" s="346"/>
      <c r="F114" s="373"/>
      <c r="G114" s="277"/>
      <c r="H114" s="277"/>
      <c r="I114" s="277"/>
      <c r="J114" s="277"/>
      <c r="K114" s="277"/>
      <c r="L114" s="277"/>
      <c r="M114" s="59"/>
      <c r="N114" s="89"/>
      <c r="O114" s="89"/>
      <c r="P114" s="89"/>
      <c r="Q114" s="89"/>
      <c r="R114" s="89"/>
      <c r="S114" s="89"/>
      <c r="T114" s="89"/>
      <c r="U114" s="251"/>
      <c r="V114" s="121"/>
      <c r="W114" s="88"/>
      <c r="X114" s="88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117"/>
      <c r="AM114" s="88"/>
      <c r="AN114" s="88"/>
      <c r="AO114" s="88"/>
      <c r="AQ114" s="145"/>
      <c r="AR114" s="146"/>
      <c r="AT114" s="389"/>
      <c r="AV114" s="197"/>
      <c r="AW114" s="197"/>
      <c r="BA114" s="318">
        <f t="shared" si="45"/>
        <v>0</v>
      </c>
    </row>
    <row r="115" spans="1:53" s="2" customFormat="1" ht="10.5" customHeight="1">
      <c r="A115" s="12">
        <v>1</v>
      </c>
      <c r="B115" s="15"/>
      <c r="C115" s="344"/>
      <c r="D115" s="341"/>
      <c r="E115" s="347"/>
      <c r="F115" s="374"/>
      <c r="G115" s="307">
        <f>ROUND(G112*$F112,2)</f>
        <v>1153209.98</v>
      </c>
      <c r="H115" s="307">
        <f>ROUND(H112*$F112,2)</f>
        <v>1208043.92</v>
      </c>
      <c r="I115" s="307">
        <f>ROUND(I112*$F112,2)</f>
        <v>0</v>
      </c>
      <c r="J115" s="307">
        <f>J112*$F112</f>
        <v>0</v>
      </c>
      <c r="K115" s="307">
        <f>ROUND(K112*$F112,2)</f>
        <v>1208043.92</v>
      </c>
      <c r="L115" s="307">
        <f>ROUND(L112*$F112,2)</f>
        <v>1208043.92</v>
      </c>
      <c r="M115" s="59"/>
      <c r="N115" s="90" t="s">
        <v>164</v>
      </c>
      <c r="O115" s="90"/>
      <c r="P115" s="90"/>
      <c r="Q115" s="90"/>
      <c r="R115" s="90"/>
      <c r="S115" s="90"/>
      <c r="T115" s="90"/>
      <c r="U115" s="256">
        <f>U112*$F112</f>
        <v>0</v>
      </c>
      <c r="V115" s="132"/>
      <c r="W115" s="91"/>
      <c r="X115" s="91"/>
      <c r="Y115" s="64">
        <f>Y112*$F112</f>
        <v>92011.6</v>
      </c>
      <c r="Z115" s="64">
        <f>Z112*$F112</f>
        <v>92011.6</v>
      </c>
      <c r="AA115" s="64">
        <f t="shared" ref="AA115:AK115" si="72">AA112*$F112</f>
        <v>92011.6</v>
      </c>
      <c r="AB115" s="64">
        <f t="shared" si="72"/>
        <v>92011.6</v>
      </c>
      <c r="AC115" s="64">
        <f t="shared" si="72"/>
        <v>92011.6</v>
      </c>
      <c r="AD115" s="64">
        <f t="shared" si="72"/>
        <v>92011.6</v>
      </c>
      <c r="AE115" s="64">
        <f t="shared" si="72"/>
        <v>93255</v>
      </c>
      <c r="AF115" s="64">
        <f t="shared" si="72"/>
        <v>93255</v>
      </c>
      <c r="AG115" s="64">
        <f t="shared" si="72"/>
        <v>93255</v>
      </c>
      <c r="AH115" s="64">
        <f t="shared" si="72"/>
        <v>93255</v>
      </c>
      <c r="AI115" s="64">
        <f t="shared" si="72"/>
        <v>93255</v>
      </c>
      <c r="AJ115" s="64">
        <f t="shared" si="72"/>
        <v>93255</v>
      </c>
      <c r="AK115" s="64">
        <f t="shared" si="72"/>
        <v>96444.32</v>
      </c>
      <c r="AL115" s="118"/>
      <c r="AM115" s="91"/>
      <c r="AN115" s="91"/>
      <c r="AO115" s="91"/>
      <c r="AQ115" s="69">
        <f>SUM(O115:AO115)</f>
        <v>1208043.92</v>
      </c>
      <c r="AR115" s="69">
        <f>+K115-AQ115</f>
        <v>0</v>
      </c>
      <c r="AT115" s="390"/>
      <c r="AV115" s="196"/>
      <c r="AW115" s="196"/>
      <c r="BA115" s="318">
        <f t="shared" si="45"/>
        <v>0</v>
      </c>
    </row>
    <row r="116" spans="1:53" s="2" customFormat="1" ht="10.5" customHeight="1">
      <c r="A116" s="12"/>
      <c r="B116" s="15"/>
      <c r="C116" s="342">
        <v>25</v>
      </c>
      <c r="D116" s="339" t="s">
        <v>71</v>
      </c>
      <c r="E116" s="345" t="s">
        <v>237</v>
      </c>
      <c r="F116" s="372">
        <v>124.34</v>
      </c>
      <c r="G116" s="284">
        <v>8429.4</v>
      </c>
      <c r="H116" s="284">
        <v>8754.4</v>
      </c>
      <c r="I116" s="284"/>
      <c r="J116" s="284"/>
      <c r="K116" s="284">
        <f>H116+J116</f>
        <v>8754.4</v>
      </c>
      <c r="L116" s="284">
        <f>+H116-I116+J116</f>
        <v>8754.4</v>
      </c>
      <c r="M116" s="59"/>
      <c r="N116" s="85" t="s">
        <v>162</v>
      </c>
      <c r="O116" s="85"/>
      <c r="P116" s="85"/>
      <c r="Q116" s="85"/>
      <c r="R116" s="85"/>
      <c r="S116" s="85"/>
      <c r="T116" s="85"/>
      <c r="U116" s="253">
        <f>+I116</f>
        <v>0</v>
      </c>
      <c r="V116" s="121"/>
      <c r="W116" s="92"/>
      <c r="X116" s="92"/>
      <c r="Y116" s="61">
        <v>670</v>
      </c>
      <c r="Z116" s="61">
        <v>670</v>
      </c>
      <c r="AA116" s="61">
        <v>670</v>
      </c>
      <c r="AB116" s="61">
        <v>670</v>
      </c>
      <c r="AC116" s="61">
        <v>670</v>
      </c>
      <c r="AD116" s="61">
        <v>670</v>
      </c>
      <c r="AE116" s="61">
        <v>675</v>
      </c>
      <c r="AF116" s="61">
        <v>675</v>
      </c>
      <c r="AG116" s="61">
        <v>675</v>
      </c>
      <c r="AH116" s="61">
        <v>675</v>
      </c>
      <c r="AI116" s="61">
        <v>675</v>
      </c>
      <c r="AJ116" s="61">
        <v>675</v>
      </c>
      <c r="AK116" s="61">
        <v>684.4</v>
      </c>
      <c r="AL116" s="119"/>
      <c r="AM116" s="92"/>
      <c r="AN116" s="92"/>
      <c r="AO116" s="92"/>
      <c r="AQ116" s="144">
        <f>SUM(O116:AO116)</f>
        <v>8754.4</v>
      </c>
      <c r="AR116" s="144">
        <f>+K116-AQ116</f>
        <v>0</v>
      </c>
      <c r="AT116" s="372">
        <f>+F116*K116</f>
        <v>1088522.1000000001</v>
      </c>
      <c r="AV116" s="263">
        <f>SUM(W116:AO116)</f>
        <v>8754.4</v>
      </c>
      <c r="AW116" s="263">
        <f>+L116-AV116</f>
        <v>0</v>
      </c>
      <c r="BA116" s="318">
        <f t="shared" si="45"/>
        <v>0</v>
      </c>
    </row>
    <row r="117" spans="1:53" s="2" customFormat="1" ht="10.5" customHeight="1">
      <c r="A117" s="10" t="s">
        <v>12</v>
      </c>
      <c r="B117" s="15"/>
      <c r="C117" s="343"/>
      <c r="D117" s="340"/>
      <c r="E117" s="346"/>
      <c r="F117" s="373"/>
      <c r="G117" s="277"/>
      <c r="H117" s="277"/>
      <c r="I117" s="277"/>
      <c r="J117" s="277"/>
      <c r="K117" s="277"/>
      <c r="L117" s="277"/>
      <c r="M117" s="59"/>
      <c r="N117" s="87" t="s">
        <v>163</v>
      </c>
      <c r="O117" s="87"/>
      <c r="P117" s="87"/>
      <c r="Q117" s="87"/>
      <c r="R117" s="87"/>
      <c r="S117" s="87"/>
      <c r="T117" s="87"/>
      <c r="U117" s="254">
        <f>+U116/$K116</f>
        <v>0</v>
      </c>
      <c r="V117" s="121"/>
      <c r="W117" s="88"/>
      <c r="X117" s="88"/>
      <c r="Y117" s="62">
        <f>+Y116/$K116</f>
        <v>7.6499999999999999E-2</v>
      </c>
      <c r="Z117" s="62">
        <f>+Z116/$K116</f>
        <v>7.6499999999999999E-2</v>
      </c>
      <c r="AA117" s="62">
        <f>+AA116/$K116</f>
        <v>7.6499999999999999E-2</v>
      </c>
      <c r="AB117" s="62">
        <f t="shared" ref="AB117:AK117" si="73">+AB116/$K116</f>
        <v>7.6499999999999999E-2</v>
      </c>
      <c r="AC117" s="62">
        <f t="shared" si="73"/>
        <v>7.6499999999999999E-2</v>
      </c>
      <c r="AD117" s="62">
        <f t="shared" si="73"/>
        <v>7.6499999999999999E-2</v>
      </c>
      <c r="AE117" s="62">
        <f t="shared" si="73"/>
        <v>7.7100000000000002E-2</v>
      </c>
      <c r="AF117" s="62">
        <f t="shared" si="73"/>
        <v>7.7100000000000002E-2</v>
      </c>
      <c r="AG117" s="62">
        <f t="shared" si="73"/>
        <v>7.7100000000000002E-2</v>
      </c>
      <c r="AH117" s="62">
        <f t="shared" si="73"/>
        <v>7.7100000000000002E-2</v>
      </c>
      <c r="AI117" s="62">
        <f t="shared" si="73"/>
        <v>7.7100000000000002E-2</v>
      </c>
      <c r="AJ117" s="62">
        <f t="shared" si="73"/>
        <v>7.7100000000000002E-2</v>
      </c>
      <c r="AK117" s="62">
        <f t="shared" si="73"/>
        <v>7.8200000000000006E-2</v>
      </c>
      <c r="AL117" s="116"/>
      <c r="AM117" s="88"/>
      <c r="AN117" s="88"/>
      <c r="AO117" s="88"/>
      <c r="AQ117" s="149">
        <f>SUM(O117:AO117)+0.0002</f>
        <v>1</v>
      </c>
      <c r="AR117" s="146"/>
      <c r="AT117" s="389"/>
      <c r="AV117" s="266"/>
      <c r="AW117" s="266"/>
      <c r="BA117" s="318">
        <f t="shared" si="45"/>
        <v>0</v>
      </c>
    </row>
    <row r="118" spans="1:53" s="2" customFormat="1" ht="10.5" hidden="1" customHeight="1">
      <c r="A118" s="11" t="s">
        <v>13</v>
      </c>
      <c r="B118" s="15"/>
      <c r="C118" s="343"/>
      <c r="D118" s="340"/>
      <c r="E118" s="346"/>
      <c r="F118" s="373"/>
      <c r="G118" s="277"/>
      <c r="H118" s="277"/>
      <c r="I118" s="277"/>
      <c r="J118" s="277"/>
      <c r="K118" s="277"/>
      <c r="L118" s="277"/>
      <c r="M118" s="59"/>
      <c r="N118" s="89"/>
      <c r="O118" s="89"/>
      <c r="P118" s="89"/>
      <c r="Q118" s="89"/>
      <c r="R118" s="89"/>
      <c r="S118" s="89"/>
      <c r="T118" s="89"/>
      <c r="U118" s="251"/>
      <c r="V118" s="121"/>
      <c r="W118" s="88"/>
      <c r="X118" s="88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117"/>
      <c r="AM118" s="88"/>
      <c r="AN118" s="88"/>
      <c r="AO118" s="88"/>
      <c r="AQ118" s="145"/>
      <c r="AR118" s="146"/>
      <c r="AT118" s="389"/>
      <c r="AV118" s="197"/>
      <c r="AW118" s="197"/>
      <c r="BA118" s="318">
        <f t="shared" si="45"/>
        <v>0</v>
      </c>
    </row>
    <row r="119" spans="1:53" s="2" customFormat="1" ht="10.5" customHeight="1">
      <c r="A119" s="12">
        <v>1</v>
      </c>
      <c r="B119" s="15"/>
      <c r="C119" s="344"/>
      <c r="D119" s="341"/>
      <c r="E119" s="347"/>
      <c r="F119" s="374"/>
      <c r="G119" s="307">
        <f>ROUND(G116*$F116,2)</f>
        <v>1048111.6</v>
      </c>
      <c r="H119" s="307">
        <f>ROUND(H116*$F116,2)</f>
        <v>1088522.1000000001</v>
      </c>
      <c r="I119" s="307">
        <f>ROUND(I116*$F116,2)</f>
        <v>0</v>
      </c>
      <c r="J119" s="307">
        <f>J116*$F116</f>
        <v>0</v>
      </c>
      <c r="K119" s="307">
        <f>ROUND(K116*$F116,2)</f>
        <v>1088522.1000000001</v>
      </c>
      <c r="L119" s="307">
        <f>ROUND(L116*$F116,2)</f>
        <v>1088522.1000000001</v>
      </c>
      <c r="M119" s="59"/>
      <c r="N119" s="90" t="s">
        <v>164</v>
      </c>
      <c r="O119" s="90"/>
      <c r="P119" s="90"/>
      <c r="Q119" s="90"/>
      <c r="R119" s="90"/>
      <c r="S119" s="90"/>
      <c r="T119" s="90"/>
      <c r="U119" s="256">
        <f>U116*$F116</f>
        <v>0</v>
      </c>
      <c r="V119" s="132"/>
      <c r="W119" s="91"/>
      <c r="X119" s="91"/>
      <c r="Y119" s="64">
        <f>Y116*$F116</f>
        <v>83307.8</v>
      </c>
      <c r="Z119" s="64">
        <f>Z116*$F116</f>
        <v>83307.8</v>
      </c>
      <c r="AA119" s="64">
        <f t="shared" ref="AA119:AK119" si="74">AA116*$F116</f>
        <v>83307.8</v>
      </c>
      <c r="AB119" s="64">
        <f t="shared" si="74"/>
        <v>83307.8</v>
      </c>
      <c r="AC119" s="64">
        <f t="shared" si="74"/>
        <v>83307.8</v>
      </c>
      <c r="AD119" s="64">
        <f t="shared" si="74"/>
        <v>83307.8</v>
      </c>
      <c r="AE119" s="64">
        <f t="shared" si="74"/>
        <v>83929.5</v>
      </c>
      <c r="AF119" s="64">
        <f t="shared" si="74"/>
        <v>83929.5</v>
      </c>
      <c r="AG119" s="64">
        <f t="shared" si="74"/>
        <v>83929.5</v>
      </c>
      <c r="AH119" s="64">
        <f t="shared" si="74"/>
        <v>83929.5</v>
      </c>
      <c r="AI119" s="64">
        <f t="shared" si="74"/>
        <v>83929.5</v>
      </c>
      <c r="AJ119" s="64">
        <f t="shared" si="74"/>
        <v>83929.5</v>
      </c>
      <c r="AK119" s="64">
        <f t="shared" si="74"/>
        <v>85098.3</v>
      </c>
      <c r="AL119" s="118"/>
      <c r="AM119" s="91"/>
      <c r="AN119" s="91"/>
      <c r="AO119" s="91"/>
      <c r="AQ119" s="69">
        <f>SUM(O119:AO119)</f>
        <v>1088522.1000000001</v>
      </c>
      <c r="AR119" s="69">
        <f>+K119-AQ119</f>
        <v>0</v>
      </c>
      <c r="AT119" s="390"/>
      <c r="AV119" s="196"/>
      <c r="AW119" s="196"/>
      <c r="BA119" s="318">
        <f t="shared" si="45"/>
        <v>0</v>
      </c>
    </row>
    <row r="120" spans="1:53" s="2" customFormat="1" ht="10.5" customHeight="1">
      <c r="A120" s="12"/>
      <c r="B120" s="15"/>
      <c r="C120" s="342">
        <v>26</v>
      </c>
      <c r="D120" s="339" t="s">
        <v>72</v>
      </c>
      <c r="E120" s="345" t="s">
        <v>237</v>
      </c>
      <c r="F120" s="372">
        <v>136.87</v>
      </c>
      <c r="G120" s="284">
        <v>27269.55</v>
      </c>
      <c r="H120" s="284">
        <v>27610.799999999999</v>
      </c>
      <c r="I120" s="284"/>
      <c r="J120" s="284"/>
      <c r="K120" s="284">
        <f>H120+J120</f>
        <v>27610.799999999999</v>
      </c>
      <c r="L120" s="284">
        <f>+H120-I120+J120</f>
        <v>27610.799999999999</v>
      </c>
      <c r="M120" s="59"/>
      <c r="N120" s="85" t="s">
        <v>162</v>
      </c>
      <c r="O120" s="85"/>
      <c r="P120" s="85"/>
      <c r="Q120" s="85"/>
      <c r="R120" s="85"/>
      <c r="S120" s="85"/>
      <c r="T120" s="85"/>
      <c r="U120" s="253">
        <f>+I120</f>
        <v>0</v>
      </c>
      <c r="V120" s="121"/>
      <c r="W120" s="92"/>
      <c r="X120" s="92"/>
      <c r="Y120" s="61">
        <v>2120</v>
      </c>
      <c r="Z120" s="61">
        <v>2120</v>
      </c>
      <c r="AA120" s="61">
        <v>2120</v>
      </c>
      <c r="AB120" s="61">
        <v>2120</v>
      </c>
      <c r="AC120" s="61">
        <v>2120</v>
      </c>
      <c r="AD120" s="61">
        <v>2120</v>
      </c>
      <c r="AE120" s="61">
        <v>2120</v>
      </c>
      <c r="AF120" s="61">
        <v>2120</v>
      </c>
      <c r="AG120" s="61">
        <v>2120</v>
      </c>
      <c r="AH120" s="61">
        <v>2120</v>
      </c>
      <c r="AI120" s="61">
        <v>2120</v>
      </c>
      <c r="AJ120" s="61">
        <v>2120</v>
      </c>
      <c r="AK120" s="61">
        <v>2170.8000000000002</v>
      </c>
      <c r="AL120" s="119"/>
      <c r="AM120" s="92"/>
      <c r="AN120" s="92"/>
      <c r="AO120" s="92"/>
      <c r="AQ120" s="144">
        <f>SUM(O120:AO120)</f>
        <v>27610.799999999999</v>
      </c>
      <c r="AR120" s="144">
        <f>+K120-AQ120</f>
        <v>0</v>
      </c>
      <c r="AT120" s="372">
        <f>+F120*K120</f>
        <v>3779090.2</v>
      </c>
      <c r="AV120" s="263">
        <f>SUM(W120:AO120)</f>
        <v>27610.799999999999</v>
      </c>
      <c r="AW120" s="263">
        <f>+L120-AV120</f>
        <v>0</v>
      </c>
      <c r="BA120" s="318">
        <f t="shared" si="45"/>
        <v>0</v>
      </c>
    </row>
    <row r="121" spans="1:53" s="2" customFormat="1" ht="10.5" customHeight="1">
      <c r="A121" s="10" t="s">
        <v>12</v>
      </c>
      <c r="B121" s="15"/>
      <c r="C121" s="343"/>
      <c r="D121" s="340"/>
      <c r="E121" s="346"/>
      <c r="F121" s="373"/>
      <c r="G121" s="277"/>
      <c r="H121" s="277"/>
      <c r="I121" s="277"/>
      <c r="J121" s="277"/>
      <c r="K121" s="277"/>
      <c r="L121" s="277"/>
      <c r="M121" s="59"/>
      <c r="N121" s="87" t="s">
        <v>163</v>
      </c>
      <c r="O121" s="87"/>
      <c r="P121" s="87"/>
      <c r="Q121" s="87"/>
      <c r="R121" s="87"/>
      <c r="S121" s="87"/>
      <c r="T121" s="87"/>
      <c r="U121" s="254">
        <f>+U120/$K120</f>
        <v>0</v>
      </c>
      <c r="V121" s="121"/>
      <c r="W121" s="88"/>
      <c r="X121" s="88"/>
      <c r="Y121" s="62">
        <f>+Y120/$K120</f>
        <v>7.6799999999999993E-2</v>
      </c>
      <c r="Z121" s="62">
        <f>+Z120/$K120</f>
        <v>7.6799999999999993E-2</v>
      </c>
      <c r="AA121" s="62">
        <f>+AA120/$K120</f>
        <v>7.6799999999999993E-2</v>
      </c>
      <c r="AB121" s="62">
        <f t="shared" ref="AB121:AK121" si="75">+AB120/$K120</f>
        <v>7.6799999999999993E-2</v>
      </c>
      <c r="AC121" s="62">
        <f t="shared" si="75"/>
        <v>7.6799999999999993E-2</v>
      </c>
      <c r="AD121" s="62">
        <f t="shared" si="75"/>
        <v>7.6799999999999993E-2</v>
      </c>
      <c r="AE121" s="62">
        <f t="shared" si="75"/>
        <v>7.6799999999999993E-2</v>
      </c>
      <c r="AF121" s="62">
        <f t="shared" si="75"/>
        <v>7.6799999999999993E-2</v>
      </c>
      <c r="AG121" s="62">
        <f t="shared" si="75"/>
        <v>7.6799999999999993E-2</v>
      </c>
      <c r="AH121" s="62">
        <f t="shared" si="75"/>
        <v>7.6799999999999993E-2</v>
      </c>
      <c r="AI121" s="62">
        <f t="shared" si="75"/>
        <v>7.6799999999999993E-2</v>
      </c>
      <c r="AJ121" s="62">
        <f t="shared" si="75"/>
        <v>7.6799999999999993E-2</v>
      </c>
      <c r="AK121" s="62">
        <f t="shared" si="75"/>
        <v>7.8600000000000003E-2</v>
      </c>
      <c r="AL121" s="116"/>
      <c r="AM121" s="88"/>
      <c r="AN121" s="88"/>
      <c r="AO121" s="88"/>
      <c r="AQ121" s="149">
        <f>SUM(O121:AO121)-0.0002</f>
        <v>1</v>
      </c>
      <c r="AR121" s="146"/>
      <c r="AT121" s="389"/>
      <c r="AV121" s="266"/>
      <c r="AW121" s="266"/>
      <c r="BA121" s="318">
        <f t="shared" si="45"/>
        <v>0</v>
      </c>
    </row>
    <row r="122" spans="1:53" s="2" customFormat="1" ht="10.5" hidden="1" customHeight="1">
      <c r="A122" s="11" t="s">
        <v>13</v>
      </c>
      <c r="B122" s="15"/>
      <c r="C122" s="343"/>
      <c r="D122" s="340"/>
      <c r="E122" s="346"/>
      <c r="F122" s="373"/>
      <c r="G122" s="277"/>
      <c r="H122" s="277"/>
      <c r="I122" s="277"/>
      <c r="J122" s="277"/>
      <c r="K122" s="277"/>
      <c r="L122" s="277"/>
      <c r="M122" s="59"/>
      <c r="N122" s="89"/>
      <c r="O122" s="89"/>
      <c r="P122" s="89"/>
      <c r="Q122" s="89"/>
      <c r="R122" s="89"/>
      <c r="S122" s="89"/>
      <c r="T122" s="89"/>
      <c r="U122" s="251"/>
      <c r="V122" s="121"/>
      <c r="W122" s="88"/>
      <c r="X122" s="88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117"/>
      <c r="AM122" s="88"/>
      <c r="AN122" s="88"/>
      <c r="AO122" s="88"/>
      <c r="AQ122" s="145"/>
      <c r="AR122" s="146"/>
      <c r="AT122" s="389"/>
      <c r="AV122" s="197"/>
      <c r="AW122" s="197"/>
      <c r="BA122" s="318">
        <f t="shared" si="45"/>
        <v>0</v>
      </c>
    </row>
    <row r="123" spans="1:53" s="25" customFormat="1" ht="10.5" customHeight="1">
      <c r="A123" s="15">
        <v>1</v>
      </c>
      <c r="B123" s="15"/>
      <c r="C123" s="344"/>
      <c r="D123" s="341"/>
      <c r="E123" s="347"/>
      <c r="F123" s="374"/>
      <c r="G123" s="290">
        <f>ROUND(G120*$F120,2)</f>
        <v>3732383.31</v>
      </c>
      <c r="H123" s="290">
        <f>ROUND(H120*$F120,2)</f>
        <v>3779090.2</v>
      </c>
      <c r="I123" s="320">
        <f>ROUND(I120*$F120,2)</f>
        <v>0</v>
      </c>
      <c r="J123" s="290">
        <f>J120*$F120</f>
        <v>0</v>
      </c>
      <c r="K123" s="290">
        <f>ROUND(K120*$F120,2)</f>
        <v>3779090.2</v>
      </c>
      <c r="L123" s="290">
        <f>ROUND(L120*$F120,2)</f>
        <v>3779090.2</v>
      </c>
      <c r="M123" s="221"/>
      <c r="N123" s="286" t="s">
        <v>164</v>
      </c>
      <c r="O123" s="286"/>
      <c r="P123" s="286"/>
      <c r="Q123" s="286"/>
      <c r="R123" s="286"/>
      <c r="S123" s="286"/>
      <c r="T123" s="286"/>
      <c r="U123" s="273">
        <f>U120*$F120</f>
        <v>0</v>
      </c>
      <c r="V123" s="287"/>
      <c r="W123" s="276"/>
      <c r="X123" s="276"/>
      <c r="Y123" s="275">
        <f>Y120*$F120</f>
        <v>290164.40000000002</v>
      </c>
      <c r="Z123" s="275">
        <f>Z120*$F120</f>
        <v>290164.40000000002</v>
      </c>
      <c r="AA123" s="275">
        <f t="shared" ref="AA123:AK123" si="76">AA120*$F120</f>
        <v>290164.40000000002</v>
      </c>
      <c r="AB123" s="275">
        <f t="shared" si="76"/>
        <v>290164.40000000002</v>
      </c>
      <c r="AC123" s="275">
        <f t="shared" si="76"/>
        <v>290164.40000000002</v>
      </c>
      <c r="AD123" s="275">
        <f t="shared" si="76"/>
        <v>290164.40000000002</v>
      </c>
      <c r="AE123" s="275">
        <f t="shared" si="76"/>
        <v>290164.40000000002</v>
      </c>
      <c r="AF123" s="275">
        <f t="shared" si="76"/>
        <v>290164.40000000002</v>
      </c>
      <c r="AG123" s="275">
        <f t="shared" si="76"/>
        <v>290164.40000000002</v>
      </c>
      <c r="AH123" s="275">
        <f t="shared" si="76"/>
        <v>290164.40000000002</v>
      </c>
      <c r="AI123" s="275">
        <f t="shared" si="76"/>
        <v>290164.40000000002</v>
      </c>
      <c r="AJ123" s="275">
        <f t="shared" si="76"/>
        <v>290164.40000000002</v>
      </c>
      <c r="AK123" s="275">
        <f t="shared" si="76"/>
        <v>297117.40000000002</v>
      </c>
      <c r="AL123" s="274"/>
      <c r="AM123" s="276"/>
      <c r="AN123" s="276"/>
      <c r="AO123" s="276"/>
      <c r="AQ123" s="69">
        <f>SUM(O123:AO123)</f>
        <v>3779090.2</v>
      </c>
      <c r="AR123" s="278">
        <f>+K123-AQ123</f>
        <v>0</v>
      </c>
      <c r="AT123" s="390"/>
      <c r="AV123" s="279"/>
      <c r="AW123" s="279"/>
      <c r="BA123" s="318">
        <f t="shared" si="45"/>
        <v>0</v>
      </c>
    </row>
    <row r="124" spans="1:53" s="25" customFormat="1" ht="10.5" customHeight="1">
      <c r="A124" s="15"/>
      <c r="B124" s="15"/>
      <c r="C124" s="342">
        <v>27</v>
      </c>
      <c r="D124" s="339" t="s">
        <v>73</v>
      </c>
      <c r="E124" s="345" t="s">
        <v>238</v>
      </c>
      <c r="F124" s="372">
        <v>12.56</v>
      </c>
      <c r="G124" s="284">
        <v>460683</v>
      </c>
      <c r="H124" s="284">
        <v>501474.62</v>
      </c>
      <c r="I124" s="284">
        <v>66164.179999999993</v>
      </c>
      <c r="J124" s="284"/>
      <c r="K124" s="284">
        <f>H124+J124</f>
        <v>501474.62</v>
      </c>
      <c r="L124" s="284">
        <f>+H124-I124+J124</f>
        <v>435310.44</v>
      </c>
      <c r="M124" s="221"/>
      <c r="N124" s="288" t="s">
        <v>162</v>
      </c>
      <c r="O124" s="262"/>
      <c r="P124" s="262"/>
      <c r="Q124" s="262"/>
      <c r="R124" s="262"/>
      <c r="S124" s="262"/>
      <c r="T124" s="262"/>
      <c r="U124" s="262">
        <v>102900</v>
      </c>
      <c r="V124" s="289"/>
      <c r="W124" s="262">
        <f t="shared" ref="W124:AD124" si="77">+W128*70</f>
        <v>21000</v>
      </c>
      <c r="X124" s="262">
        <f t="shared" si="77"/>
        <v>31500</v>
      </c>
      <c r="Y124" s="262">
        <f t="shared" si="77"/>
        <v>31500</v>
      </c>
      <c r="Z124" s="262">
        <f t="shared" si="77"/>
        <v>31500</v>
      </c>
      <c r="AA124" s="262">
        <f t="shared" si="77"/>
        <v>31500</v>
      </c>
      <c r="AB124" s="262">
        <f t="shared" si="77"/>
        <v>31500</v>
      </c>
      <c r="AC124" s="262">
        <f t="shared" si="77"/>
        <v>31500</v>
      </c>
      <c r="AD124" s="262">
        <f t="shared" si="77"/>
        <v>31500</v>
      </c>
      <c r="AE124" s="262">
        <f>+AE128*70+5400</f>
        <v>36900</v>
      </c>
      <c r="AF124" s="262">
        <f>+AF128*70+5400</f>
        <v>36900</v>
      </c>
      <c r="AG124" s="262">
        <f>+AG128*70+6120</f>
        <v>41820</v>
      </c>
      <c r="AH124" s="262">
        <f>+AH128*70+5219.12</f>
        <v>41454.620000000003</v>
      </c>
      <c r="AI124" s="262">
        <f>+AI128*70</f>
        <v>0</v>
      </c>
      <c r="AJ124" s="262">
        <f>+AJ128*70</f>
        <v>0</v>
      </c>
      <c r="AK124" s="262">
        <f>+AK128*70</f>
        <v>0</v>
      </c>
      <c r="AL124" s="283"/>
      <c r="AM124" s="282"/>
      <c r="AN124" s="282"/>
      <c r="AO124" s="282"/>
      <c r="AQ124" s="144">
        <f>SUM(O124:AO124)</f>
        <v>501474.62</v>
      </c>
      <c r="AR124" s="284">
        <f>+K124-AQ124</f>
        <v>0</v>
      </c>
      <c r="AT124" s="372">
        <f>+F124*K124</f>
        <v>6298521.2300000004</v>
      </c>
      <c r="AV124" s="285">
        <f>SUM(W124:AO124)</f>
        <v>398574.62</v>
      </c>
      <c r="AW124" s="285">
        <f>+L124-AV124</f>
        <v>36735.82</v>
      </c>
      <c r="BA124" s="318">
        <f t="shared" si="45"/>
        <v>102900</v>
      </c>
    </row>
    <row r="125" spans="1:53" s="2" customFormat="1" ht="10.5" customHeight="1">
      <c r="A125" s="10" t="s">
        <v>12</v>
      </c>
      <c r="B125" s="15"/>
      <c r="C125" s="343"/>
      <c r="D125" s="340"/>
      <c r="E125" s="346"/>
      <c r="F125" s="373"/>
      <c r="G125" s="277"/>
      <c r="H125" s="277"/>
      <c r="I125" s="277"/>
      <c r="J125" s="277"/>
      <c r="K125" s="277"/>
      <c r="L125" s="277"/>
      <c r="M125" s="59"/>
      <c r="N125" s="87" t="s">
        <v>163</v>
      </c>
      <c r="O125" s="62">
        <f t="shared" ref="O125:U125" si="78">+O124/$K124</f>
        <v>0</v>
      </c>
      <c r="P125" s="62">
        <f t="shared" si="78"/>
        <v>0</v>
      </c>
      <c r="Q125" s="62">
        <f t="shared" si="78"/>
        <v>0</v>
      </c>
      <c r="R125" s="62">
        <f t="shared" si="78"/>
        <v>0</v>
      </c>
      <c r="S125" s="62">
        <f t="shared" si="78"/>
        <v>0</v>
      </c>
      <c r="T125" s="62">
        <f t="shared" si="78"/>
        <v>0</v>
      </c>
      <c r="U125" s="62">
        <f t="shared" si="78"/>
        <v>0.20519999999999999</v>
      </c>
      <c r="V125" s="121"/>
      <c r="W125" s="62">
        <f>+W124/$K124</f>
        <v>4.19E-2</v>
      </c>
      <c r="X125" s="62">
        <f>+X124/$K124</f>
        <v>6.2799999999999995E-2</v>
      </c>
      <c r="Y125" s="62">
        <f t="shared" ref="Y125:AK125" si="79">+Y124/$K124</f>
        <v>6.2799999999999995E-2</v>
      </c>
      <c r="Z125" s="62">
        <f t="shared" si="79"/>
        <v>6.2799999999999995E-2</v>
      </c>
      <c r="AA125" s="62">
        <f t="shared" si="79"/>
        <v>6.2799999999999995E-2</v>
      </c>
      <c r="AB125" s="62">
        <f t="shared" si="79"/>
        <v>6.2799999999999995E-2</v>
      </c>
      <c r="AC125" s="62">
        <f t="shared" si="79"/>
        <v>6.2799999999999995E-2</v>
      </c>
      <c r="AD125" s="62">
        <f t="shared" si="79"/>
        <v>6.2799999999999995E-2</v>
      </c>
      <c r="AE125" s="62">
        <f t="shared" si="79"/>
        <v>7.3599999999999999E-2</v>
      </c>
      <c r="AF125" s="62">
        <f t="shared" si="79"/>
        <v>7.3599999999999999E-2</v>
      </c>
      <c r="AG125" s="62">
        <f t="shared" si="79"/>
        <v>8.3400000000000002E-2</v>
      </c>
      <c r="AH125" s="62">
        <f t="shared" si="79"/>
        <v>8.2699999999999996E-2</v>
      </c>
      <c r="AI125" s="62">
        <f t="shared" si="79"/>
        <v>0</v>
      </c>
      <c r="AJ125" s="62">
        <f t="shared" si="79"/>
        <v>0</v>
      </c>
      <c r="AK125" s="62">
        <f t="shared" si="79"/>
        <v>0</v>
      </c>
      <c r="AL125" s="117"/>
      <c r="AM125" s="88"/>
      <c r="AN125" s="88"/>
      <c r="AO125" s="88"/>
      <c r="AQ125" s="149">
        <f>SUM(O125:AO125)</f>
        <v>1</v>
      </c>
      <c r="AR125" s="146"/>
      <c r="AT125" s="389"/>
      <c r="AV125" s="266"/>
      <c r="AW125" s="266"/>
      <c r="BA125" s="318"/>
    </row>
    <row r="126" spans="1:53" s="2" customFormat="1" ht="10.5" hidden="1" customHeight="1">
      <c r="A126" s="11" t="s">
        <v>13</v>
      </c>
      <c r="B126" s="15"/>
      <c r="C126" s="343"/>
      <c r="D126" s="340"/>
      <c r="E126" s="346"/>
      <c r="F126" s="373"/>
      <c r="G126" s="277"/>
      <c r="H126" s="277"/>
      <c r="I126" s="277"/>
      <c r="J126" s="277"/>
      <c r="K126" s="277"/>
      <c r="L126" s="277"/>
      <c r="M126" s="59"/>
      <c r="N126" s="89"/>
      <c r="O126" s="63"/>
      <c r="P126" s="63"/>
      <c r="Q126" s="63"/>
      <c r="R126" s="63"/>
      <c r="S126" s="63"/>
      <c r="T126" s="63"/>
      <c r="U126" s="63"/>
      <c r="V126" s="121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117"/>
      <c r="AM126" s="88"/>
      <c r="AN126" s="88"/>
      <c r="AO126" s="88"/>
      <c r="AQ126" s="145"/>
      <c r="AR126" s="146"/>
      <c r="AT126" s="389"/>
      <c r="AU126" s="156" t="s">
        <v>195</v>
      </c>
      <c r="AV126" s="197"/>
      <c r="AW126" s="197"/>
      <c r="BA126" s="318"/>
    </row>
    <row r="127" spans="1:53" s="2" customFormat="1" ht="10.5" customHeight="1">
      <c r="A127" s="12">
        <v>1</v>
      </c>
      <c r="B127" s="15"/>
      <c r="C127" s="344"/>
      <c r="D127" s="341"/>
      <c r="E127" s="347"/>
      <c r="F127" s="374"/>
      <c r="G127" s="307">
        <f>ROUND(G124*$F124,2)</f>
        <v>5786178.4800000004</v>
      </c>
      <c r="H127" s="307">
        <f>ROUND(H124*$F124,2)</f>
        <v>6298521.2300000004</v>
      </c>
      <c r="I127" s="307">
        <f>ROUND(I124*$F124,2)</f>
        <v>831022.1</v>
      </c>
      <c r="J127" s="307">
        <f>J124*$F124</f>
        <v>0</v>
      </c>
      <c r="K127" s="307">
        <f>ROUND(K124*$F124,2)</f>
        <v>6298521.2300000004</v>
      </c>
      <c r="L127" s="307">
        <f>ROUND(L124*$F124,2)</f>
        <v>5467499.1299999999</v>
      </c>
      <c r="M127" s="59"/>
      <c r="N127" s="90" t="s">
        <v>164</v>
      </c>
      <c r="O127" s="64">
        <f t="shared" ref="O127:U127" si="80">O124*$F124</f>
        <v>0</v>
      </c>
      <c r="P127" s="64">
        <f t="shared" si="80"/>
        <v>0</v>
      </c>
      <c r="Q127" s="64">
        <f t="shared" si="80"/>
        <v>0</v>
      </c>
      <c r="R127" s="64">
        <f t="shared" si="80"/>
        <v>0</v>
      </c>
      <c r="S127" s="64">
        <f t="shared" si="80"/>
        <v>0</v>
      </c>
      <c r="T127" s="64">
        <f t="shared" si="80"/>
        <v>0</v>
      </c>
      <c r="U127" s="64">
        <f t="shared" si="80"/>
        <v>1292424</v>
      </c>
      <c r="V127" s="132"/>
      <c r="W127" s="64">
        <f>W124*$F124</f>
        <v>263760</v>
      </c>
      <c r="X127" s="64">
        <f t="shared" ref="X127:AJ127" si="81">X124*$F124</f>
        <v>395640</v>
      </c>
      <c r="Y127" s="64">
        <f t="shared" si="81"/>
        <v>395640</v>
      </c>
      <c r="Z127" s="64">
        <f t="shared" si="81"/>
        <v>395640</v>
      </c>
      <c r="AA127" s="64">
        <f t="shared" si="81"/>
        <v>395640</v>
      </c>
      <c r="AB127" s="64">
        <f t="shared" si="81"/>
        <v>395640</v>
      </c>
      <c r="AC127" s="64">
        <f t="shared" si="81"/>
        <v>395640</v>
      </c>
      <c r="AD127" s="64">
        <f t="shared" si="81"/>
        <v>395640</v>
      </c>
      <c r="AE127" s="64">
        <f t="shared" si="81"/>
        <v>463464</v>
      </c>
      <c r="AF127" s="64">
        <f t="shared" si="81"/>
        <v>463464</v>
      </c>
      <c r="AG127" s="64">
        <f t="shared" si="81"/>
        <v>525259.19999999995</v>
      </c>
      <c r="AH127" s="64">
        <f t="shared" si="81"/>
        <v>520670.03</v>
      </c>
      <c r="AI127" s="64">
        <f t="shared" si="81"/>
        <v>0</v>
      </c>
      <c r="AJ127" s="64">
        <f t="shared" si="81"/>
        <v>0</v>
      </c>
      <c r="AK127" s="64">
        <f>AK124*$F124</f>
        <v>0</v>
      </c>
      <c r="AL127" s="123"/>
      <c r="AM127" s="91"/>
      <c r="AN127" s="91"/>
      <c r="AO127" s="91"/>
      <c r="AQ127" s="69">
        <f>SUM(O127:AO127)</f>
        <v>6298521.2300000004</v>
      </c>
      <c r="AR127" s="69">
        <f>+K127-AQ127</f>
        <v>0</v>
      </c>
      <c r="AT127" s="390"/>
      <c r="AV127" s="196"/>
      <c r="AW127" s="196"/>
      <c r="BA127" s="318"/>
    </row>
    <row r="128" spans="1:53" s="2" customFormat="1" ht="10.5" customHeight="1">
      <c r="A128" s="12"/>
      <c r="B128" s="15"/>
      <c r="C128" s="342">
        <v>28</v>
      </c>
      <c r="D128" s="339" t="s">
        <v>74</v>
      </c>
      <c r="E128" s="345" t="s">
        <v>233</v>
      </c>
      <c r="F128" s="372">
        <v>1417.95</v>
      </c>
      <c r="G128" s="284">
        <v>5713</v>
      </c>
      <c r="H128" s="284">
        <v>6847.65</v>
      </c>
      <c r="I128" s="284">
        <v>698.97</v>
      </c>
      <c r="J128" s="284"/>
      <c r="K128" s="284">
        <f>H128+J128</f>
        <v>6847.65</v>
      </c>
      <c r="L128" s="284">
        <f>+H128-I128+J128</f>
        <v>6148.68</v>
      </c>
      <c r="M128" s="59"/>
      <c r="N128" s="85" t="s">
        <v>162</v>
      </c>
      <c r="O128" s="95"/>
      <c r="P128" s="95"/>
      <c r="Q128" s="95"/>
      <c r="R128" s="95"/>
      <c r="S128" s="95"/>
      <c r="T128" s="95"/>
      <c r="U128" s="95">
        <v>1470</v>
      </c>
      <c r="V128" s="121"/>
      <c r="W128" s="95">
        <v>300</v>
      </c>
      <c r="X128" s="95">
        <v>450</v>
      </c>
      <c r="Y128" s="95">
        <v>450</v>
      </c>
      <c r="Z128" s="95">
        <v>450</v>
      </c>
      <c r="AA128" s="95">
        <v>450</v>
      </c>
      <c r="AB128" s="95">
        <v>450</v>
      </c>
      <c r="AC128" s="95">
        <v>450</v>
      </c>
      <c r="AD128" s="95">
        <v>450</v>
      </c>
      <c r="AE128" s="95">
        <v>450</v>
      </c>
      <c r="AF128" s="95">
        <v>450</v>
      </c>
      <c r="AG128" s="95">
        <v>510</v>
      </c>
      <c r="AH128" s="95">
        <v>517.65</v>
      </c>
      <c r="AI128" s="95"/>
      <c r="AJ128" s="95"/>
      <c r="AK128" s="95"/>
      <c r="AL128" s="117"/>
      <c r="AM128" s="92"/>
      <c r="AN128" s="92"/>
      <c r="AO128" s="92"/>
      <c r="AQ128" s="144">
        <f>SUM(O128:AO128)</f>
        <v>6847.65</v>
      </c>
      <c r="AR128" s="144">
        <f>+K128-AQ128</f>
        <v>0</v>
      </c>
      <c r="AT128" s="372">
        <f>+F128*K128</f>
        <v>9709625.3200000003</v>
      </c>
      <c r="AV128" s="263">
        <f>SUM(W128:AO128)</f>
        <v>5377.65</v>
      </c>
      <c r="AW128" s="263">
        <f>+L128-AV128</f>
        <v>771.03</v>
      </c>
      <c r="BA128" s="318">
        <f t="shared" si="45"/>
        <v>1470</v>
      </c>
    </row>
    <row r="129" spans="1:53" s="2" customFormat="1" ht="10.5" customHeight="1">
      <c r="A129" s="10" t="s">
        <v>12</v>
      </c>
      <c r="B129" s="15"/>
      <c r="C129" s="343"/>
      <c r="D129" s="340"/>
      <c r="E129" s="346"/>
      <c r="F129" s="373"/>
      <c r="G129" s="277"/>
      <c r="H129" s="277"/>
      <c r="I129" s="277"/>
      <c r="J129" s="277"/>
      <c r="K129" s="277"/>
      <c r="L129" s="277"/>
      <c r="M129" s="59"/>
      <c r="N129" s="87" t="s">
        <v>163</v>
      </c>
      <c r="O129" s="62">
        <f t="shared" ref="O129:T129" si="82">+O128/$K128</f>
        <v>0</v>
      </c>
      <c r="P129" s="62">
        <f t="shared" si="82"/>
        <v>0</v>
      </c>
      <c r="Q129" s="62">
        <f t="shared" si="82"/>
        <v>0</v>
      </c>
      <c r="R129" s="62">
        <f t="shared" si="82"/>
        <v>0</v>
      </c>
      <c r="S129" s="62">
        <f t="shared" si="82"/>
        <v>0</v>
      </c>
      <c r="T129" s="62">
        <f t="shared" si="82"/>
        <v>0</v>
      </c>
      <c r="U129" s="62">
        <f>+U128/$K128</f>
        <v>0.2147</v>
      </c>
      <c r="V129" s="121"/>
      <c r="W129" s="62">
        <f>+W128/$K128</f>
        <v>4.3799999999999999E-2</v>
      </c>
      <c r="X129" s="62">
        <f>+X128/$K128</f>
        <v>6.5699999999999995E-2</v>
      </c>
      <c r="Y129" s="62">
        <f t="shared" ref="Y129:AK129" si="83">+Y128/$K128</f>
        <v>6.5699999999999995E-2</v>
      </c>
      <c r="Z129" s="62">
        <f t="shared" si="83"/>
        <v>6.5699999999999995E-2</v>
      </c>
      <c r="AA129" s="62">
        <f t="shared" si="83"/>
        <v>6.5699999999999995E-2</v>
      </c>
      <c r="AB129" s="62">
        <f t="shared" si="83"/>
        <v>6.5699999999999995E-2</v>
      </c>
      <c r="AC129" s="62">
        <f t="shared" si="83"/>
        <v>6.5699999999999995E-2</v>
      </c>
      <c r="AD129" s="62">
        <f t="shared" si="83"/>
        <v>6.5699999999999995E-2</v>
      </c>
      <c r="AE129" s="62">
        <f t="shared" si="83"/>
        <v>6.5699999999999995E-2</v>
      </c>
      <c r="AF129" s="62">
        <f t="shared" si="83"/>
        <v>6.5699999999999995E-2</v>
      </c>
      <c r="AG129" s="62">
        <f t="shared" si="83"/>
        <v>7.4499999999999997E-2</v>
      </c>
      <c r="AH129" s="62">
        <f t="shared" si="83"/>
        <v>7.5600000000000001E-2</v>
      </c>
      <c r="AI129" s="62">
        <f t="shared" si="83"/>
        <v>0</v>
      </c>
      <c r="AJ129" s="62">
        <f t="shared" si="83"/>
        <v>0</v>
      </c>
      <c r="AK129" s="62">
        <f t="shared" si="83"/>
        <v>0</v>
      </c>
      <c r="AL129" s="117"/>
      <c r="AM129" s="88"/>
      <c r="AN129" s="88"/>
      <c r="AO129" s="88"/>
      <c r="AQ129" s="149">
        <f>SUM(O129:AO129)</f>
        <v>0.99990000000000001</v>
      </c>
      <c r="AR129" s="146"/>
      <c r="AT129" s="389"/>
      <c r="AV129" s="266"/>
      <c r="AW129" s="266"/>
      <c r="BA129" s="318"/>
    </row>
    <row r="130" spans="1:53" s="2" customFormat="1" ht="10.5" hidden="1" customHeight="1">
      <c r="A130" s="11" t="s">
        <v>13</v>
      </c>
      <c r="B130" s="15"/>
      <c r="C130" s="343"/>
      <c r="D130" s="340"/>
      <c r="E130" s="346"/>
      <c r="F130" s="373"/>
      <c r="G130" s="277"/>
      <c r="H130" s="277"/>
      <c r="I130" s="277"/>
      <c r="J130" s="277"/>
      <c r="K130" s="277"/>
      <c r="L130" s="277"/>
      <c r="M130" s="59"/>
      <c r="N130" s="89"/>
      <c r="O130" s="63"/>
      <c r="P130" s="63"/>
      <c r="Q130" s="63"/>
      <c r="R130" s="63"/>
      <c r="S130" s="63"/>
      <c r="T130" s="63"/>
      <c r="U130" s="251"/>
      <c r="V130" s="121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117"/>
      <c r="AM130" s="88"/>
      <c r="AN130" s="88"/>
      <c r="AO130" s="88"/>
      <c r="AQ130" s="145"/>
      <c r="AR130" s="146"/>
      <c r="AT130" s="389"/>
      <c r="AV130" s="197"/>
      <c r="AW130" s="197"/>
      <c r="BA130" s="318"/>
    </row>
    <row r="131" spans="1:53" s="2" customFormat="1" ht="10.5" customHeight="1">
      <c r="A131" s="12">
        <v>1</v>
      </c>
      <c r="B131" s="15"/>
      <c r="C131" s="344"/>
      <c r="D131" s="341"/>
      <c r="E131" s="347"/>
      <c r="F131" s="374"/>
      <c r="G131" s="307">
        <f>ROUND(G128*$F128,2)</f>
        <v>8100748.3499999996</v>
      </c>
      <c r="H131" s="307">
        <f>ROUND(H128*$F128,2)</f>
        <v>9709625.3200000003</v>
      </c>
      <c r="I131" s="307">
        <f>ROUND(I128*$F128,2)</f>
        <v>991104.51</v>
      </c>
      <c r="J131" s="307">
        <f>J128*$F128</f>
        <v>0</v>
      </c>
      <c r="K131" s="307">
        <f>ROUND(K128*$F128,2)</f>
        <v>9709625.3200000003</v>
      </c>
      <c r="L131" s="307">
        <f>ROUND(L128*$F128,2)</f>
        <v>8718520.8100000005</v>
      </c>
      <c r="M131" s="59"/>
      <c r="N131" s="90" t="s">
        <v>164</v>
      </c>
      <c r="O131" s="64">
        <f t="shared" ref="O131:T131" si="84">O128*$F128</f>
        <v>0</v>
      </c>
      <c r="P131" s="64">
        <f t="shared" si="84"/>
        <v>0</v>
      </c>
      <c r="Q131" s="64">
        <f t="shared" si="84"/>
        <v>0</v>
      </c>
      <c r="R131" s="64">
        <f t="shared" si="84"/>
        <v>0</v>
      </c>
      <c r="S131" s="64">
        <f t="shared" si="84"/>
        <v>0</v>
      </c>
      <c r="T131" s="64">
        <f t="shared" si="84"/>
        <v>0</v>
      </c>
      <c r="U131" s="64">
        <f>U128*$F128+0.01</f>
        <v>2084386.51</v>
      </c>
      <c r="V131" s="132"/>
      <c r="W131" s="64">
        <f>W128*$F128</f>
        <v>425385</v>
      </c>
      <c r="X131" s="64">
        <f t="shared" ref="X131:AJ131" si="85">X128*$F128</f>
        <v>638077.5</v>
      </c>
      <c r="Y131" s="64">
        <f t="shared" si="85"/>
        <v>638077.5</v>
      </c>
      <c r="Z131" s="64">
        <f t="shared" si="85"/>
        <v>638077.5</v>
      </c>
      <c r="AA131" s="64">
        <f t="shared" si="85"/>
        <v>638077.5</v>
      </c>
      <c r="AB131" s="64">
        <f t="shared" si="85"/>
        <v>638077.5</v>
      </c>
      <c r="AC131" s="64">
        <f t="shared" si="85"/>
        <v>638077.5</v>
      </c>
      <c r="AD131" s="64">
        <f t="shared" si="85"/>
        <v>638077.5</v>
      </c>
      <c r="AE131" s="64">
        <f t="shared" si="85"/>
        <v>638077.5</v>
      </c>
      <c r="AF131" s="64">
        <f t="shared" si="85"/>
        <v>638077.5</v>
      </c>
      <c r="AG131" s="64">
        <f t="shared" si="85"/>
        <v>723154.5</v>
      </c>
      <c r="AH131" s="64">
        <f>AH128*$F128-0.01</f>
        <v>734001.81</v>
      </c>
      <c r="AI131" s="64">
        <f t="shared" si="85"/>
        <v>0</v>
      </c>
      <c r="AJ131" s="64">
        <f t="shared" si="85"/>
        <v>0</v>
      </c>
      <c r="AK131" s="64">
        <f>AK128*$F128</f>
        <v>0</v>
      </c>
      <c r="AL131" s="123"/>
      <c r="AM131" s="91"/>
      <c r="AN131" s="91"/>
      <c r="AO131" s="91"/>
      <c r="AQ131" s="69">
        <f>SUM(O131:AO131)</f>
        <v>9709625.3200000003</v>
      </c>
      <c r="AR131" s="69">
        <f>+K131-AQ131</f>
        <v>0</v>
      </c>
      <c r="AT131" s="390"/>
      <c r="AV131" s="196"/>
      <c r="AW131" s="196"/>
      <c r="BA131" s="318"/>
    </row>
    <row r="132" spans="1:53" s="2" customFormat="1" ht="10.5" customHeight="1">
      <c r="A132" s="12"/>
      <c r="B132" s="15"/>
      <c r="C132" s="342">
        <v>29</v>
      </c>
      <c r="D132" s="339" t="s">
        <v>75</v>
      </c>
      <c r="E132" s="345" t="s">
        <v>233</v>
      </c>
      <c r="F132" s="372">
        <v>743.48</v>
      </c>
      <c r="G132" s="284">
        <v>422</v>
      </c>
      <c r="H132" s="284">
        <v>429.6</v>
      </c>
      <c r="I132" s="284">
        <v>68.650000000000006</v>
      </c>
      <c r="J132" s="284"/>
      <c r="K132" s="284">
        <f>H132+J132</f>
        <v>429.6</v>
      </c>
      <c r="L132" s="284">
        <f>+H132-I132+J132</f>
        <v>360.95</v>
      </c>
      <c r="M132" s="59"/>
      <c r="N132" s="85" t="s">
        <v>162</v>
      </c>
      <c r="O132" s="61">
        <f>+O128*0.063</f>
        <v>0</v>
      </c>
      <c r="P132" s="61">
        <f t="shared" ref="P132:T132" si="86">+P128*0.063</f>
        <v>0</v>
      </c>
      <c r="Q132" s="61">
        <f t="shared" si="86"/>
        <v>0</v>
      </c>
      <c r="R132" s="61">
        <f t="shared" si="86"/>
        <v>0</v>
      </c>
      <c r="S132" s="61">
        <f t="shared" si="86"/>
        <v>0</v>
      </c>
      <c r="T132" s="61">
        <f t="shared" si="86"/>
        <v>0</v>
      </c>
      <c r="U132" s="61">
        <f>+U128*0.063</f>
        <v>92.61</v>
      </c>
      <c r="V132" s="121"/>
      <c r="W132" s="61">
        <f t="shared" ref="W132:AF132" si="87">+W128*0.06</f>
        <v>18</v>
      </c>
      <c r="X132" s="61">
        <f t="shared" si="87"/>
        <v>27</v>
      </c>
      <c r="Y132" s="61">
        <f t="shared" si="87"/>
        <v>27</v>
      </c>
      <c r="Z132" s="61">
        <f t="shared" si="87"/>
        <v>27</v>
      </c>
      <c r="AA132" s="61">
        <f t="shared" si="87"/>
        <v>27</v>
      </c>
      <c r="AB132" s="61">
        <f t="shared" si="87"/>
        <v>27</v>
      </c>
      <c r="AC132" s="61">
        <f t="shared" si="87"/>
        <v>27</v>
      </c>
      <c r="AD132" s="61">
        <f t="shared" si="87"/>
        <v>27</v>
      </c>
      <c r="AE132" s="61">
        <f t="shared" si="87"/>
        <v>27</v>
      </c>
      <c r="AF132" s="61">
        <f t="shared" si="87"/>
        <v>27</v>
      </c>
      <c r="AG132" s="61">
        <f>+AG128*0.06</f>
        <v>30.6</v>
      </c>
      <c r="AH132" s="61">
        <f>+AH128*0.06+14.33</f>
        <v>45.39</v>
      </c>
      <c r="AI132" s="61">
        <f>+AI128*0.06</f>
        <v>0</v>
      </c>
      <c r="AJ132" s="61">
        <f>+AJ128*0.06</f>
        <v>0</v>
      </c>
      <c r="AK132" s="61"/>
      <c r="AL132" s="117"/>
      <c r="AM132" s="92"/>
      <c r="AN132" s="92"/>
      <c r="AO132" s="92"/>
      <c r="AQ132" s="144">
        <f>SUM(O132:AO132)</f>
        <v>429.6</v>
      </c>
      <c r="AR132" s="144">
        <f>+K132-AQ132</f>
        <v>0</v>
      </c>
      <c r="AT132" s="372">
        <f>+F132*K132</f>
        <v>319399.01</v>
      </c>
      <c r="AV132" s="263">
        <f>SUM(W132:AO132)</f>
        <v>336.99</v>
      </c>
      <c r="AW132" s="263">
        <f>+L132-AV132</f>
        <v>23.96</v>
      </c>
      <c r="BA132" s="318">
        <f t="shared" si="45"/>
        <v>92.61</v>
      </c>
    </row>
    <row r="133" spans="1:53" s="2" customFormat="1" ht="10.5" customHeight="1">
      <c r="A133" s="10" t="s">
        <v>12</v>
      </c>
      <c r="B133" s="15"/>
      <c r="C133" s="343"/>
      <c r="D133" s="340"/>
      <c r="E133" s="346"/>
      <c r="F133" s="373"/>
      <c r="G133" s="277"/>
      <c r="H133" s="277"/>
      <c r="I133" s="277"/>
      <c r="J133" s="277"/>
      <c r="K133" s="277"/>
      <c r="L133" s="277"/>
      <c r="M133" s="59"/>
      <c r="N133" s="87" t="s">
        <v>163</v>
      </c>
      <c r="O133" s="62">
        <f t="shared" ref="O133:T133" si="88">+O132/$K132</f>
        <v>0</v>
      </c>
      <c r="P133" s="62">
        <f t="shared" si="88"/>
        <v>0</v>
      </c>
      <c r="Q133" s="62">
        <f t="shared" si="88"/>
        <v>0</v>
      </c>
      <c r="R133" s="62">
        <f t="shared" si="88"/>
        <v>0</v>
      </c>
      <c r="S133" s="62">
        <f t="shared" si="88"/>
        <v>0</v>
      </c>
      <c r="T133" s="62">
        <f t="shared" si="88"/>
        <v>0</v>
      </c>
      <c r="U133" s="62">
        <f>+U132/$K132</f>
        <v>0.21560000000000001</v>
      </c>
      <c r="V133" s="121"/>
      <c r="W133" s="62">
        <f>+W132/$K132</f>
        <v>4.19E-2</v>
      </c>
      <c r="X133" s="62">
        <f>+X132/$K132</f>
        <v>6.2799999999999995E-2</v>
      </c>
      <c r="Y133" s="62">
        <f t="shared" ref="Y133:AK133" si="89">+Y132/$K132</f>
        <v>6.2799999999999995E-2</v>
      </c>
      <c r="Z133" s="62">
        <f t="shared" si="89"/>
        <v>6.2799999999999995E-2</v>
      </c>
      <c r="AA133" s="62">
        <f t="shared" si="89"/>
        <v>6.2799999999999995E-2</v>
      </c>
      <c r="AB133" s="62">
        <f t="shared" si="89"/>
        <v>6.2799999999999995E-2</v>
      </c>
      <c r="AC133" s="62">
        <f t="shared" si="89"/>
        <v>6.2799999999999995E-2</v>
      </c>
      <c r="AD133" s="62">
        <f t="shared" si="89"/>
        <v>6.2799999999999995E-2</v>
      </c>
      <c r="AE133" s="62">
        <f t="shared" si="89"/>
        <v>6.2799999999999995E-2</v>
      </c>
      <c r="AF133" s="62">
        <f t="shared" si="89"/>
        <v>6.2799999999999995E-2</v>
      </c>
      <c r="AG133" s="62">
        <f t="shared" si="89"/>
        <v>7.1199999999999999E-2</v>
      </c>
      <c r="AH133" s="62">
        <f t="shared" si="89"/>
        <v>0.1057</v>
      </c>
      <c r="AI133" s="62">
        <f t="shared" si="89"/>
        <v>0</v>
      </c>
      <c r="AJ133" s="62">
        <f t="shared" si="89"/>
        <v>0</v>
      </c>
      <c r="AK133" s="62">
        <f t="shared" si="89"/>
        <v>0</v>
      </c>
      <c r="AL133" s="117"/>
      <c r="AM133" s="88"/>
      <c r="AN133" s="88"/>
      <c r="AO133" s="88"/>
      <c r="AQ133" s="149">
        <f>SUM(O133:AO133)</f>
        <v>0.99960000000000004</v>
      </c>
      <c r="AR133" s="146"/>
      <c r="AT133" s="389"/>
      <c r="AV133" s="266"/>
      <c r="AW133" s="266"/>
      <c r="BA133" s="318"/>
    </row>
    <row r="134" spans="1:53" s="2" customFormat="1" ht="10.5" hidden="1" customHeight="1">
      <c r="A134" s="11" t="s">
        <v>13</v>
      </c>
      <c r="B134" s="15"/>
      <c r="C134" s="343"/>
      <c r="D134" s="340"/>
      <c r="E134" s="346"/>
      <c r="F134" s="373"/>
      <c r="G134" s="277"/>
      <c r="H134" s="277"/>
      <c r="I134" s="277"/>
      <c r="J134" s="277"/>
      <c r="K134" s="277"/>
      <c r="L134" s="277"/>
      <c r="M134" s="59"/>
      <c r="N134" s="89"/>
      <c r="O134" s="63"/>
      <c r="P134" s="63"/>
      <c r="Q134" s="63"/>
      <c r="R134" s="63"/>
      <c r="S134" s="63"/>
      <c r="T134" s="63"/>
      <c r="U134" s="251"/>
      <c r="V134" s="121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117"/>
      <c r="AM134" s="88"/>
      <c r="AN134" s="88"/>
      <c r="AO134" s="88"/>
      <c r="AQ134" s="145"/>
      <c r="AR134" s="146"/>
      <c r="AT134" s="389"/>
      <c r="AV134" s="197"/>
      <c r="AW134" s="197"/>
      <c r="BA134" s="318"/>
    </row>
    <row r="135" spans="1:53" s="2" customFormat="1" ht="10.5" customHeight="1">
      <c r="A135" s="12">
        <v>1</v>
      </c>
      <c r="B135" s="15"/>
      <c r="C135" s="344"/>
      <c r="D135" s="341"/>
      <c r="E135" s="347"/>
      <c r="F135" s="374"/>
      <c r="G135" s="307">
        <f>ROUND(G132*$F132,2)</f>
        <v>313748.56</v>
      </c>
      <c r="H135" s="307">
        <f>ROUND(H132*$F132,2)</f>
        <v>319399.01</v>
      </c>
      <c r="I135" s="307">
        <f>ROUND(I132*$F132,2)</f>
        <v>51039.9</v>
      </c>
      <c r="J135" s="307">
        <f>J132*$F132</f>
        <v>0</v>
      </c>
      <c r="K135" s="307">
        <f>ROUND(K132*$F132,2)</f>
        <v>319399.01</v>
      </c>
      <c r="L135" s="307">
        <f>ROUND(L132*$F132,2)</f>
        <v>268359.11</v>
      </c>
      <c r="M135" s="59"/>
      <c r="N135" s="90" t="s">
        <v>164</v>
      </c>
      <c r="O135" s="64">
        <f t="shared" ref="O135:T135" si="90">O132*$F132</f>
        <v>0</v>
      </c>
      <c r="P135" s="64">
        <f t="shared" si="90"/>
        <v>0</v>
      </c>
      <c r="Q135" s="64">
        <f t="shared" si="90"/>
        <v>0</v>
      </c>
      <c r="R135" s="64">
        <f t="shared" si="90"/>
        <v>0</v>
      </c>
      <c r="S135" s="64">
        <f t="shared" si="90"/>
        <v>0</v>
      </c>
      <c r="T135" s="64">
        <f t="shared" si="90"/>
        <v>0</v>
      </c>
      <c r="U135" s="64">
        <f>U132*$F132</f>
        <v>68853.679999999993</v>
      </c>
      <c r="V135" s="132"/>
      <c r="W135" s="64">
        <f>W132*$F132</f>
        <v>13382.64</v>
      </c>
      <c r="X135" s="64">
        <f t="shared" ref="X135:AJ135" si="91">X132*$F132</f>
        <v>20073.96</v>
      </c>
      <c r="Y135" s="64">
        <f t="shared" si="91"/>
        <v>20073.96</v>
      </c>
      <c r="Z135" s="64">
        <f t="shared" si="91"/>
        <v>20073.96</v>
      </c>
      <c r="AA135" s="64">
        <f t="shared" si="91"/>
        <v>20073.96</v>
      </c>
      <c r="AB135" s="64">
        <f t="shared" si="91"/>
        <v>20073.96</v>
      </c>
      <c r="AC135" s="64">
        <f t="shared" si="91"/>
        <v>20073.96</v>
      </c>
      <c r="AD135" s="64">
        <f t="shared" si="91"/>
        <v>20073.96</v>
      </c>
      <c r="AE135" s="64">
        <f t="shared" si="91"/>
        <v>20073.96</v>
      </c>
      <c r="AF135" s="64">
        <f t="shared" si="91"/>
        <v>20073.96</v>
      </c>
      <c r="AG135" s="64">
        <f t="shared" si="91"/>
        <v>22750.49</v>
      </c>
      <c r="AH135" s="64">
        <f t="shared" si="91"/>
        <v>33746.559999999998</v>
      </c>
      <c r="AI135" s="64">
        <f t="shared" si="91"/>
        <v>0</v>
      </c>
      <c r="AJ135" s="64">
        <f t="shared" si="91"/>
        <v>0</v>
      </c>
      <c r="AK135" s="64">
        <f>AK132*$F132</f>
        <v>0</v>
      </c>
      <c r="AL135" s="123"/>
      <c r="AM135" s="91"/>
      <c r="AN135" s="91"/>
      <c r="AO135" s="91"/>
      <c r="AQ135" s="69">
        <f>SUM(O135:AO135)</f>
        <v>319399.01</v>
      </c>
      <c r="AR135" s="69">
        <f>+K135-AQ135</f>
        <v>0</v>
      </c>
      <c r="AT135" s="390"/>
      <c r="AV135" s="196"/>
      <c r="AW135" s="196"/>
      <c r="BA135" s="318"/>
    </row>
    <row r="136" spans="1:53" s="2" customFormat="1" ht="10.5" customHeight="1">
      <c r="A136" s="12"/>
      <c r="B136" s="15"/>
      <c r="C136" s="342">
        <v>30</v>
      </c>
      <c r="D136" s="339" t="s">
        <v>76</v>
      </c>
      <c r="E136" s="345" t="s">
        <v>233</v>
      </c>
      <c r="F136" s="372">
        <v>938.19</v>
      </c>
      <c r="G136" s="284">
        <v>1011</v>
      </c>
      <c r="H136" s="284">
        <v>1074.03</v>
      </c>
      <c r="I136" s="284">
        <v>233.35</v>
      </c>
      <c r="J136" s="284"/>
      <c r="K136" s="284">
        <f>H136+J136</f>
        <v>1074.03</v>
      </c>
      <c r="L136" s="284">
        <f>+H136-I136+J136</f>
        <v>840.68</v>
      </c>
      <c r="M136" s="59"/>
      <c r="N136" s="85" t="s">
        <v>162</v>
      </c>
      <c r="O136" s="95"/>
      <c r="P136" s="61"/>
      <c r="Q136" s="61"/>
      <c r="R136" s="61"/>
      <c r="S136" s="61"/>
      <c r="T136" s="61"/>
      <c r="U136" s="61">
        <v>255</v>
      </c>
      <c r="V136" s="121"/>
      <c r="W136" s="61">
        <v>60</v>
      </c>
      <c r="X136" s="61">
        <v>60</v>
      </c>
      <c r="Y136" s="61">
        <v>70</v>
      </c>
      <c r="Z136" s="61">
        <v>70</v>
      </c>
      <c r="AA136" s="61">
        <v>70</v>
      </c>
      <c r="AB136" s="61">
        <v>70</v>
      </c>
      <c r="AC136" s="61">
        <v>70</v>
      </c>
      <c r="AD136" s="61">
        <v>70</v>
      </c>
      <c r="AE136" s="61">
        <v>70</v>
      </c>
      <c r="AF136" s="61">
        <v>70</v>
      </c>
      <c r="AG136" s="61">
        <v>70</v>
      </c>
      <c r="AH136" s="61">
        <v>69.03</v>
      </c>
      <c r="AI136" s="92"/>
      <c r="AJ136" s="92"/>
      <c r="AK136" s="92"/>
      <c r="AL136" s="117"/>
      <c r="AM136" s="92"/>
      <c r="AN136" s="92"/>
      <c r="AO136" s="92"/>
      <c r="AQ136" s="144">
        <f>SUM(O136:AO136)</f>
        <v>1074.03</v>
      </c>
      <c r="AR136" s="144">
        <f>+K136-AQ136</f>
        <v>0</v>
      </c>
      <c r="AT136" s="372">
        <f>+F136*K136</f>
        <v>1007644.21</v>
      </c>
      <c r="AV136" s="263">
        <f>SUM(W136:AO136)</f>
        <v>819.03</v>
      </c>
      <c r="AW136" s="263">
        <f>+L136-AV136</f>
        <v>21.65</v>
      </c>
      <c r="BA136" s="318">
        <f t="shared" si="45"/>
        <v>255</v>
      </c>
    </row>
    <row r="137" spans="1:53" s="2" customFormat="1" ht="10.5" customHeight="1">
      <c r="A137" s="10" t="s">
        <v>12</v>
      </c>
      <c r="B137" s="15"/>
      <c r="C137" s="343"/>
      <c r="D137" s="340"/>
      <c r="E137" s="346"/>
      <c r="F137" s="373"/>
      <c r="G137" s="277"/>
      <c r="H137" s="277"/>
      <c r="I137" s="277"/>
      <c r="J137" s="277"/>
      <c r="K137" s="277"/>
      <c r="L137" s="277"/>
      <c r="M137" s="59"/>
      <c r="N137" s="87" t="s">
        <v>163</v>
      </c>
      <c r="O137" s="62">
        <f t="shared" ref="O137:T137" si="92">+O136/$K136</f>
        <v>0</v>
      </c>
      <c r="P137" s="62">
        <f t="shared" si="92"/>
        <v>0</v>
      </c>
      <c r="Q137" s="62">
        <f t="shared" si="92"/>
        <v>0</v>
      </c>
      <c r="R137" s="62">
        <f t="shared" si="92"/>
        <v>0</v>
      </c>
      <c r="S137" s="62">
        <f t="shared" si="92"/>
        <v>0</v>
      </c>
      <c r="T137" s="62">
        <f t="shared" si="92"/>
        <v>0</v>
      </c>
      <c r="U137" s="62">
        <f>+U136/$K136</f>
        <v>0.2374</v>
      </c>
      <c r="V137" s="121"/>
      <c r="W137" s="62">
        <f>+W136/$K136</f>
        <v>5.5899999999999998E-2</v>
      </c>
      <c r="X137" s="62">
        <f>+X136/$K136</f>
        <v>5.5899999999999998E-2</v>
      </c>
      <c r="Y137" s="62">
        <f t="shared" ref="Y137:AK137" si="93">+Y136/$K136</f>
        <v>6.5199999999999994E-2</v>
      </c>
      <c r="Z137" s="62">
        <f t="shared" si="93"/>
        <v>6.5199999999999994E-2</v>
      </c>
      <c r="AA137" s="62">
        <f t="shared" si="93"/>
        <v>6.5199999999999994E-2</v>
      </c>
      <c r="AB137" s="62">
        <f t="shared" si="93"/>
        <v>6.5199999999999994E-2</v>
      </c>
      <c r="AC137" s="62">
        <f t="shared" si="93"/>
        <v>6.5199999999999994E-2</v>
      </c>
      <c r="AD137" s="62">
        <f t="shared" si="93"/>
        <v>6.5199999999999994E-2</v>
      </c>
      <c r="AE137" s="62">
        <f t="shared" si="93"/>
        <v>6.5199999999999994E-2</v>
      </c>
      <c r="AF137" s="62">
        <f t="shared" si="93"/>
        <v>6.5199999999999994E-2</v>
      </c>
      <c r="AG137" s="62">
        <f t="shared" si="93"/>
        <v>6.5199999999999994E-2</v>
      </c>
      <c r="AH137" s="62">
        <f t="shared" si="93"/>
        <v>6.4299999999999996E-2</v>
      </c>
      <c r="AI137" s="62">
        <f t="shared" si="93"/>
        <v>0</v>
      </c>
      <c r="AJ137" s="62">
        <f t="shared" si="93"/>
        <v>0</v>
      </c>
      <c r="AK137" s="62">
        <f t="shared" si="93"/>
        <v>0</v>
      </c>
      <c r="AL137" s="117"/>
      <c r="AM137" s="88"/>
      <c r="AN137" s="88"/>
      <c r="AO137" s="88"/>
      <c r="AQ137" s="149">
        <f>SUM(O137:AO137)</f>
        <v>1.0003</v>
      </c>
      <c r="AR137" s="146"/>
      <c r="AT137" s="389"/>
      <c r="AV137" s="266"/>
      <c r="AW137" s="266"/>
      <c r="BA137" s="318"/>
    </row>
    <row r="138" spans="1:53" s="2" customFormat="1" ht="10.5" hidden="1" customHeight="1">
      <c r="A138" s="11" t="s">
        <v>13</v>
      </c>
      <c r="B138" s="15"/>
      <c r="C138" s="343"/>
      <c r="D138" s="340"/>
      <c r="E138" s="346"/>
      <c r="F138" s="373"/>
      <c r="G138" s="277"/>
      <c r="H138" s="277"/>
      <c r="I138" s="277"/>
      <c r="J138" s="277"/>
      <c r="K138" s="277"/>
      <c r="L138" s="277"/>
      <c r="M138" s="59"/>
      <c r="N138" s="89"/>
      <c r="O138" s="63"/>
      <c r="P138" s="63"/>
      <c r="Q138" s="63"/>
      <c r="R138" s="63"/>
      <c r="S138" s="63"/>
      <c r="T138" s="63"/>
      <c r="U138" s="93"/>
      <c r="V138" s="121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117"/>
      <c r="AM138" s="88"/>
      <c r="AN138" s="88"/>
      <c r="AO138" s="88"/>
      <c r="AQ138" s="145"/>
      <c r="AR138" s="146"/>
      <c r="AT138" s="389"/>
      <c r="AV138" s="197"/>
      <c r="AW138" s="197"/>
      <c r="BA138" s="318"/>
    </row>
    <row r="139" spans="1:53" s="2" customFormat="1" ht="10.5" customHeight="1">
      <c r="A139" s="12">
        <v>1</v>
      </c>
      <c r="B139" s="15"/>
      <c r="C139" s="344"/>
      <c r="D139" s="341"/>
      <c r="E139" s="347"/>
      <c r="F139" s="374"/>
      <c r="G139" s="307">
        <f>ROUND(G136*$F136,2)</f>
        <v>948510.09</v>
      </c>
      <c r="H139" s="307">
        <f>ROUND(H136*$F136,2)</f>
        <v>1007644.21</v>
      </c>
      <c r="I139" s="307">
        <f>ROUND(I136*$F136,2)</f>
        <v>218926.64</v>
      </c>
      <c r="J139" s="307">
        <f>J136*$F136</f>
        <v>0</v>
      </c>
      <c r="K139" s="307">
        <f>ROUND(K136*$F136,2)</f>
        <v>1007644.21</v>
      </c>
      <c r="L139" s="307">
        <f>ROUND(L136*$F136,2)</f>
        <v>788717.57</v>
      </c>
      <c r="M139" s="59"/>
      <c r="N139" s="90" t="s">
        <v>164</v>
      </c>
      <c r="O139" s="64">
        <f t="shared" ref="O139:T139" si="94">O136*$F136</f>
        <v>0</v>
      </c>
      <c r="P139" s="64">
        <f t="shared" si="94"/>
        <v>0</v>
      </c>
      <c r="Q139" s="64">
        <f t="shared" si="94"/>
        <v>0</v>
      </c>
      <c r="R139" s="64">
        <f t="shared" si="94"/>
        <v>0</v>
      </c>
      <c r="S139" s="64">
        <f t="shared" si="94"/>
        <v>0</v>
      </c>
      <c r="T139" s="64">
        <f t="shared" si="94"/>
        <v>0</v>
      </c>
      <c r="U139" s="64">
        <f>U136*$F136+0.01</f>
        <v>239238.46</v>
      </c>
      <c r="V139" s="132"/>
      <c r="W139" s="64">
        <f>W136*$F136</f>
        <v>56291.4</v>
      </c>
      <c r="X139" s="64">
        <f>X136*$F136</f>
        <v>56291.4</v>
      </c>
      <c r="Y139" s="64">
        <f t="shared" ref="Y139:AJ139" si="95">Y136*$F136</f>
        <v>65673.3</v>
      </c>
      <c r="Z139" s="64">
        <f t="shared" si="95"/>
        <v>65673.3</v>
      </c>
      <c r="AA139" s="64">
        <f t="shared" si="95"/>
        <v>65673.3</v>
      </c>
      <c r="AB139" s="64">
        <f t="shared" si="95"/>
        <v>65673.3</v>
      </c>
      <c r="AC139" s="64">
        <f t="shared" si="95"/>
        <v>65673.3</v>
      </c>
      <c r="AD139" s="64">
        <f t="shared" si="95"/>
        <v>65673.3</v>
      </c>
      <c r="AE139" s="64">
        <f t="shared" si="95"/>
        <v>65673.3</v>
      </c>
      <c r="AF139" s="64">
        <f t="shared" si="95"/>
        <v>65673.3</v>
      </c>
      <c r="AG139" s="64">
        <f t="shared" si="95"/>
        <v>65673.3</v>
      </c>
      <c r="AH139" s="64">
        <f>AH136*$F136-0.01</f>
        <v>64763.25</v>
      </c>
      <c r="AI139" s="64">
        <f t="shared" si="95"/>
        <v>0</v>
      </c>
      <c r="AJ139" s="64">
        <f t="shared" si="95"/>
        <v>0</v>
      </c>
      <c r="AK139" s="64">
        <f>AK136*$F136</f>
        <v>0</v>
      </c>
      <c r="AL139" s="123"/>
      <c r="AM139" s="91"/>
      <c r="AN139" s="91"/>
      <c r="AO139" s="91"/>
      <c r="AQ139" s="69">
        <f>SUM(O139:AO139)</f>
        <v>1007644.21</v>
      </c>
      <c r="AR139" s="69">
        <f>+K139-AQ139</f>
        <v>0</v>
      </c>
      <c r="AT139" s="390"/>
      <c r="AV139" s="196"/>
      <c r="AW139" s="196"/>
      <c r="BA139" s="318"/>
    </row>
    <row r="140" spans="1:53" s="2" customFormat="1" ht="10.5" customHeight="1">
      <c r="A140" s="12"/>
      <c r="B140" s="15"/>
      <c r="C140" s="342">
        <v>31</v>
      </c>
      <c r="D140" s="339" t="s">
        <v>77</v>
      </c>
      <c r="E140" s="345" t="s">
        <v>233</v>
      </c>
      <c r="F140" s="372">
        <v>18.579999999999998</v>
      </c>
      <c r="G140" s="284">
        <v>58674</v>
      </c>
      <c r="H140" s="284">
        <v>59503.18</v>
      </c>
      <c r="I140" s="284">
        <v>3102.06</v>
      </c>
      <c r="J140" s="284"/>
      <c r="K140" s="284">
        <f>H140+J140</f>
        <v>59503.18</v>
      </c>
      <c r="L140" s="284">
        <f>+H140-I140+J140</f>
        <v>56401.120000000003</v>
      </c>
      <c r="M140" s="59"/>
      <c r="N140" s="85" t="s">
        <v>162</v>
      </c>
      <c r="O140" s="61">
        <f t="shared" ref="O140:T140" si="96">+O129*$K$140</f>
        <v>0</v>
      </c>
      <c r="P140" s="61">
        <f t="shared" si="96"/>
        <v>0</v>
      </c>
      <c r="Q140" s="61">
        <f t="shared" si="96"/>
        <v>0</v>
      </c>
      <c r="R140" s="61">
        <f t="shared" si="96"/>
        <v>0</v>
      </c>
      <c r="S140" s="61">
        <f t="shared" si="96"/>
        <v>0</v>
      </c>
      <c r="T140" s="61">
        <f t="shared" si="96"/>
        <v>0</v>
      </c>
      <c r="U140" s="61">
        <v>12763.42</v>
      </c>
      <c r="V140" s="121"/>
      <c r="W140" s="61">
        <f>+W129*$K$140</f>
        <v>2606.2399999999998</v>
      </c>
      <c r="X140" s="61">
        <f>+X129*$K$140</f>
        <v>3909.36</v>
      </c>
      <c r="Y140" s="61">
        <f t="shared" ref="Y140:AE140" si="97">+Y129*$K$140</f>
        <v>3909.36</v>
      </c>
      <c r="Z140" s="61">
        <f t="shared" si="97"/>
        <v>3909.36</v>
      </c>
      <c r="AA140" s="61">
        <f t="shared" si="97"/>
        <v>3909.36</v>
      </c>
      <c r="AB140" s="61">
        <f t="shared" si="97"/>
        <v>3909.36</v>
      </c>
      <c r="AC140" s="61">
        <f t="shared" si="97"/>
        <v>3909.36</v>
      </c>
      <c r="AD140" s="61">
        <f t="shared" si="97"/>
        <v>3909.36</v>
      </c>
      <c r="AE140" s="61">
        <f t="shared" si="97"/>
        <v>3909.36</v>
      </c>
      <c r="AF140" s="61">
        <f>+AF129*$K$140</f>
        <v>3909.36</v>
      </c>
      <c r="AG140" s="61">
        <f>+AG129*$K$140</f>
        <v>4432.99</v>
      </c>
      <c r="AH140" s="61">
        <f>+AH129*$K$140+17.85</f>
        <v>4516.29</v>
      </c>
      <c r="AI140" s="61">
        <f>+AI129*$K$140</f>
        <v>0</v>
      </c>
      <c r="AJ140" s="61">
        <f>+AJ129*$K$140</f>
        <v>0</v>
      </c>
      <c r="AK140" s="61"/>
      <c r="AL140" s="117"/>
      <c r="AM140" s="92"/>
      <c r="AN140" s="92"/>
      <c r="AO140" s="92"/>
      <c r="AQ140" s="144">
        <f>SUM(O140:AO140)</f>
        <v>59503.18</v>
      </c>
      <c r="AR140" s="144">
        <f>+K140-AQ140</f>
        <v>0</v>
      </c>
      <c r="AT140" s="372">
        <f>+F140*K140</f>
        <v>1105569.08</v>
      </c>
      <c r="AV140" s="263">
        <f>SUM(W140:AO140)</f>
        <v>46739.76</v>
      </c>
      <c r="AW140" s="263">
        <f>+L140-AV140</f>
        <v>9661.36</v>
      </c>
      <c r="BA140" s="318">
        <f t="shared" ref="BA140:BA200" si="98">SUM(O140:U140)</f>
        <v>12763.42</v>
      </c>
    </row>
    <row r="141" spans="1:53" s="2" customFormat="1" ht="10.5" customHeight="1">
      <c r="A141" s="10" t="s">
        <v>12</v>
      </c>
      <c r="B141" s="15"/>
      <c r="C141" s="343"/>
      <c r="D141" s="340"/>
      <c r="E141" s="346"/>
      <c r="F141" s="373"/>
      <c r="G141" s="277"/>
      <c r="H141" s="277"/>
      <c r="I141" s="277"/>
      <c r="J141" s="277"/>
      <c r="K141" s="277"/>
      <c r="L141" s="277"/>
      <c r="M141" s="59"/>
      <c r="N141" s="87" t="s">
        <v>163</v>
      </c>
      <c r="O141" s="62">
        <f t="shared" ref="O141:U141" si="99">+O140/$K140</f>
        <v>0</v>
      </c>
      <c r="P141" s="62">
        <f t="shared" si="99"/>
        <v>0</v>
      </c>
      <c r="Q141" s="62">
        <f t="shared" si="99"/>
        <v>0</v>
      </c>
      <c r="R141" s="62">
        <f t="shared" si="99"/>
        <v>0</v>
      </c>
      <c r="S141" s="62">
        <f t="shared" si="99"/>
        <v>0</v>
      </c>
      <c r="T141" s="62">
        <f t="shared" si="99"/>
        <v>0</v>
      </c>
      <c r="U141" s="62">
        <f t="shared" si="99"/>
        <v>0.2145</v>
      </c>
      <c r="V141" s="121"/>
      <c r="W141" s="62">
        <f>+W140/$K140</f>
        <v>4.3799999999999999E-2</v>
      </c>
      <c r="X141" s="62">
        <f>+X140/$K140</f>
        <v>6.5699999999999995E-2</v>
      </c>
      <c r="Y141" s="62">
        <f t="shared" ref="Y141:AK141" si="100">+Y140/$K140</f>
        <v>6.5699999999999995E-2</v>
      </c>
      <c r="Z141" s="62">
        <f t="shared" si="100"/>
        <v>6.5699999999999995E-2</v>
      </c>
      <c r="AA141" s="62">
        <f t="shared" si="100"/>
        <v>6.5699999999999995E-2</v>
      </c>
      <c r="AB141" s="62">
        <f t="shared" si="100"/>
        <v>6.5699999999999995E-2</v>
      </c>
      <c r="AC141" s="62">
        <f t="shared" si="100"/>
        <v>6.5699999999999995E-2</v>
      </c>
      <c r="AD141" s="62">
        <f t="shared" si="100"/>
        <v>6.5699999999999995E-2</v>
      </c>
      <c r="AE141" s="62">
        <f t="shared" si="100"/>
        <v>6.5699999999999995E-2</v>
      </c>
      <c r="AF141" s="62">
        <f t="shared" si="100"/>
        <v>6.5699999999999995E-2</v>
      </c>
      <c r="AG141" s="62">
        <f t="shared" si="100"/>
        <v>7.4499999999999997E-2</v>
      </c>
      <c r="AH141" s="62">
        <f t="shared" si="100"/>
        <v>7.5899999999999995E-2</v>
      </c>
      <c r="AI141" s="62">
        <f t="shared" si="100"/>
        <v>0</v>
      </c>
      <c r="AJ141" s="62">
        <f t="shared" si="100"/>
        <v>0</v>
      </c>
      <c r="AK141" s="62">
        <f t="shared" si="100"/>
        <v>0</v>
      </c>
      <c r="AL141" s="117"/>
      <c r="AM141" s="88"/>
      <c r="AN141" s="88"/>
      <c r="AO141" s="88"/>
      <c r="AQ141" s="149">
        <f>SUM(O141:AO141)</f>
        <v>1</v>
      </c>
      <c r="AR141" s="146"/>
      <c r="AT141" s="389"/>
      <c r="AV141" s="266"/>
      <c r="AW141" s="266"/>
      <c r="BA141" s="318"/>
    </row>
    <row r="142" spans="1:53" s="2" customFormat="1" ht="10.5" hidden="1" customHeight="1">
      <c r="A142" s="11" t="s">
        <v>13</v>
      </c>
      <c r="B142" s="15"/>
      <c r="C142" s="343"/>
      <c r="D142" s="340"/>
      <c r="E142" s="346"/>
      <c r="F142" s="373"/>
      <c r="G142" s="277"/>
      <c r="H142" s="277"/>
      <c r="I142" s="277"/>
      <c r="J142" s="277"/>
      <c r="K142" s="277"/>
      <c r="L142" s="277"/>
      <c r="M142" s="59"/>
      <c r="N142" s="89"/>
      <c r="O142" s="63"/>
      <c r="P142" s="63"/>
      <c r="Q142" s="63"/>
      <c r="R142" s="63"/>
      <c r="S142" s="63"/>
      <c r="T142" s="63"/>
      <c r="U142" s="63"/>
      <c r="V142" s="121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117"/>
      <c r="AM142" s="88"/>
      <c r="AN142" s="88"/>
      <c r="AO142" s="88"/>
      <c r="AQ142" s="145"/>
      <c r="AR142" s="146"/>
      <c r="AT142" s="389"/>
      <c r="AV142" s="197"/>
      <c r="AW142" s="197"/>
      <c r="BA142" s="318"/>
    </row>
    <row r="143" spans="1:53" s="2" customFormat="1" ht="10.5" customHeight="1">
      <c r="A143" s="12">
        <v>1</v>
      </c>
      <c r="B143" s="15"/>
      <c r="C143" s="344"/>
      <c r="D143" s="341"/>
      <c r="E143" s="347"/>
      <c r="F143" s="374"/>
      <c r="G143" s="307">
        <f>ROUND(G140*$F140,2)</f>
        <v>1090162.92</v>
      </c>
      <c r="H143" s="307">
        <f>ROUND(H140*$F140,2)</f>
        <v>1105569.08</v>
      </c>
      <c r="I143" s="307">
        <f>ROUND(I140*$F140,2)</f>
        <v>57636.27</v>
      </c>
      <c r="J143" s="307">
        <f>J140*$F140</f>
        <v>0</v>
      </c>
      <c r="K143" s="307">
        <f>ROUND(K140*$F140,2)</f>
        <v>1105569.08</v>
      </c>
      <c r="L143" s="307">
        <f>ROUND(L140*$F140,2)</f>
        <v>1047932.81</v>
      </c>
      <c r="M143" s="59"/>
      <c r="N143" s="90" t="s">
        <v>164</v>
      </c>
      <c r="O143" s="64">
        <f t="shared" ref="O143:U143" si="101">O140*$F140</f>
        <v>0</v>
      </c>
      <c r="P143" s="64">
        <f t="shared" si="101"/>
        <v>0</v>
      </c>
      <c r="Q143" s="64">
        <f t="shared" si="101"/>
        <v>0</v>
      </c>
      <c r="R143" s="64">
        <f t="shared" si="101"/>
        <v>0</v>
      </c>
      <c r="S143" s="64">
        <f t="shared" si="101"/>
        <v>0</v>
      </c>
      <c r="T143" s="64">
        <f t="shared" si="101"/>
        <v>0</v>
      </c>
      <c r="U143" s="64">
        <f t="shared" si="101"/>
        <v>237144.34</v>
      </c>
      <c r="V143" s="122"/>
      <c r="W143" s="64">
        <f>W140*$F140</f>
        <v>48423.94</v>
      </c>
      <c r="X143" s="64">
        <f t="shared" ref="X143:AJ143" si="102">X140*$F140</f>
        <v>72635.91</v>
      </c>
      <c r="Y143" s="64">
        <f t="shared" si="102"/>
        <v>72635.91</v>
      </c>
      <c r="Z143" s="64">
        <f t="shared" si="102"/>
        <v>72635.91</v>
      </c>
      <c r="AA143" s="64">
        <f t="shared" si="102"/>
        <v>72635.91</v>
      </c>
      <c r="AB143" s="64">
        <f t="shared" si="102"/>
        <v>72635.91</v>
      </c>
      <c r="AC143" s="64">
        <f t="shared" si="102"/>
        <v>72635.91</v>
      </c>
      <c r="AD143" s="64">
        <f t="shared" si="102"/>
        <v>72635.91</v>
      </c>
      <c r="AE143" s="64">
        <f t="shared" si="102"/>
        <v>72635.91</v>
      </c>
      <c r="AF143" s="64">
        <f t="shared" si="102"/>
        <v>72635.91</v>
      </c>
      <c r="AG143" s="64">
        <f t="shared" si="102"/>
        <v>82364.95</v>
      </c>
      <c r="AH143" s="64">
        <f>AH140*$F140-0.01</f>
        <v>83912.66</v>
      </c>
      <c r="AI143" s="64">
        <f t="shared" si="102"/>
        <v>0</v>
      </c>
      <c r="AJ143" s="64">
        <f t="shared" si="102"/>
        <v>0</v>
      </c>
      <c r="AK143" s="64">
        <f>AK140*$F140</f>
        <v>0</v>
      </c>
      <c r="AL143" s="123"/>
      <c r="AM143" s="91"/>
      <c r="AN143" s="91"/>
      <c r="AO143" s="91"/>
      <c r="AQ143" s="69">
        <f>SUM(O143:AO143)</f>
        <v>1105569.08</v>
      </c>
      <c r="AR143" s="69">
        <f>+K143-AQ143</f>
        <v>0</v>
      </c>
      <c r="AT143" s="390"/>
      <c r="AV143" s="196"/>
      <c r="AW143" s="196"/>
      <c r="BA143" s="318"/>
    </row>
    <row r="144" spans="1:53" s="2" customFormat="1" ht="10.5" customHeight="1">
      <c r="A144" s="12"/>
      <c r="B144" s="15"/>
      <c r="C144" s="342">
        <v>32</v>
      </c>
      <c r="D144" s="339" t="s">
        <v>78</v>
      </c>
      <c r="E144" s="345" t="s">
        <v>233</v>
      </c>
      <c r="F144" s="372">
        <v>16.899999999999999</v>
      </c>
      <c r="G144" s="284">
        <v>12252</v>
      </c>
      <c r="H144" s="284">
        <v>12252</v>
      </c>
      <c r="I144" s="284"/>
      <c r="J144" s="284"/>
      <c r="K144" s="284">
        <f>H144+J144</f>
        <v>12252</v>
      </c>
      <c r="L144" s="284">
        <f>+H144-I144+J144</f>
        <v>12252</v>
      </c>
      <c r="M144" s="59"/>
      <c r="N144" s="85" t="s">
        <v>162</v>
      </c>
      <c r="O144" s="95"/>
      <c r="P144" s="95"/>
      <c r="Q144" s="95"/>
      <c r="R144" s="95"/>
      <c r="S144" s="95"/>
      <c r="T144" s="95"/>
      <c r="U144" s="61">
        <v>3000</v>
      </c>
      <c r="V144" s="119"/>
      <c r="W144" s="95"/>
      <c r="X144" s="95">
        <v>600</v>
      </c>
      <c r="Y144" s="95">
        <v>600</v>
      </c>
      <c r="Z144" s="95">
        <v>600</v>
      </c>
      <c r="AA144" s="95">
        <v>600</v>
      </c>
      <c r="AB144" s="95">
        <v>600</v>
      </c>
      <c r="AC144" s="95">
        <v>600</v>
      </c>
      <c r="AD144" s="95">
        <v>600</v>
      </c>
      <c r="AE144" s="95">
        <v>600</v>
      </c>
      <c r="AF144" s="95">
        <v>600</v>
      </c>
      <c r="AG144" s="95">
        <v>600</v>
      </c>
      <c r="AH144" s="95">
        <v>1200</v>
      </c>
      <c r="AI144" s="95">
        <v>1200</v>
      </c>
      <c r="AJ144" s="95">
        <v>852</v>
      </c>
      <c r="AK144" s="95"/>
      <c r="AL144" s="117"/>
      <c r="AM144" s="92"/>
      <c r="AN144" s="92"/>
      <c r="AO144" s="92"/>
      <c r="AQ144" s="144">
        <f>SUM(O144:AO144)</f>
        <v>12252</v>
      </c>
      <c r="AR144" s="144">
        <f>+K144-AQ144</f>
        <v>0</v>
      </c>
      <c r="AT144" s="372">
        <f>+F144*K144</f>
        <v>207058.8</v>
      </c>
      <c r="AV144" s="263">
        <f>SUM(W144:AO144)</f>
        <v>9252</v>
      </c>
      <c r="AW144" s="263">
        <f>+L144-AV144</f>
        <v>3000</v>
      </c>
      <c r="BA144" s="318">
        <f t="shared" si="98"/>
        <v>3000</v>
      </c>
    </row>
    <row r="145" spans="1:53" s="2" customFormat="1" ht="10.5" customHeight="1">
      <c r="A145" s="10" t="s">
        <v>12</v>
      </c>
      <c r="B145" s="15"/>
      <c r="C145" s="343"/>
      <c r="D145" s="340"/>
      <c r="E145" s="346"/>
      <c r="F145" s="373"/>
      <c r="G145" s="277"/>
      <c r="H145" s="277"/>
      <c r="I145" s="277"/>
      <c r="J145" s="277"/>
      <c r="K145" s="277"/>
      <c r="L145" s="277"/>
      <c r="M145" s="59"/>
      <c r="N145" s="87" t="s">
        <v>163</v>
      </c>
      <c r="O145" s="62">
        <f t="shared" ref="O145:T145" si="103">+O144/$K144</f>
        <v>0</v>
      </c>
      <c r="P145" s="62">
        <f t="shared" si="103"/>
        <v>0</v>
      </c>
      <c r="Q145" s="62">
        <f t="shared" si="103"/>
        <v>0</v>
      </c>
      <c r="R145" s="62">
        <f t="shared" si="103"/>
        <v>0</v>
      </c>
      <c r="S145" s="62">
        <f t="shared" si="103"/>
        <v>0</v>
      </c>
      <c r="T145" s="62">
        <f t="shared" si="103"/>
        <v>0</v>
      </c>
      <c r="U145" s="62">
        <f>+U144/$K144</f>
        <v>0.24490000000000001</v>
      </c>
      <c r="V145" s="116"/>
      <c r="W145" s="62">
        <f t="shared" ref="W145:AK145" si="104">+W144/$K144</f>
        <v>0</v>
      </c>
      <c r="X145" s="62">
        <f t="shared" si="104"/>
        <v>4.9000000000000002E-2</v>
      </c>
      <c r="Y145" s="62">
        <f t="shared" si="104"/>
        <v>4.9000000000000002E-2</v>
      </c>
      <c r="Z145" s="62">
        <f t="shared" si="104"/>
        <v>4.9000000000000002E-2</v>
      </c>
      <c r="AA145" s="62">
        <f t="shared" si="104"/>
        <v>4.9000000000000002E-2</v>
      </c>
      <c r="AB145" s="62">
        <f t="shared" si="104"/>
        <v>4.9000000000000002E-2</v>
      </c>
      <c r="AC145" s="62">
        <f t="shared" si="104"/>
        <v>4.9000000000000002E-2</v>
      </c>
      <c r="AD145" s="62">
        <f t="shared" si="104"/>
        <v>4.9000000000000002E-2</v>
      </c>
      <c r="AE145" s="62">
        <f t="shared" si="104"/>
        <v>4.9000000000000002E-2</v>
      </c>
      <c r="AF145" s="62">
        <f t="shared" si="104"/>
        <v>4.9000000000000002E-2</v>
      </c>
      <c r="AG145" s="62">
        <f t="shared" si="104"/>
        <v>4.9000000000000002E-2</v>
      </c>
      <c r="AH145" s="62">
        <f t="shared" si="104"/>
        <v>9.7900000000000001E-2</v>
      </c>
      <c r="AI145" s="62">
        <f t="shared" si="104"/>
        <v>9.7900000000000001E-2</v>
      </c>
      <c r="AJ145" s="62">
        <f t="shared" si="104"/>
        <v>6.9500000000000006E-2</v>
      </c>
      <c r="AK145" s="62">
        <f t="shared" si="104"/>
        <v>0</v>
      </c>
      <c r="AL145" s="117"/>
      <c r="AM145" s="88"/>
      <c r="AN145" s="88"/>
      <c r="AO145" s="88"/>
      <c r="AQ145" s="149">
        <f>SUM(O145:AO145)</f>
        <v>1.0002</v>
      </c>
      <c r="AR145" s="146"/>
      <c r="AT145" s="389"/>
      <c r="AV145" s="266"/>
      <c r="AW145" s="266"/>
      <c r="BA145" s="318">
        <f t="shared" si="98"/>
        <v>0.24</v>
      </c>
    </row>
    <row r="146" spans="1:53" s="2" customFormat="1" ht="10.5" hidden="1" customHeight="1">
      <c r="A146" s="11" t="s">
        <v>13</v>
      </c>
      <c r="B146" s="15"/>
      <c r="C146" s="343"/>
      <c r="D146" s="340"/>
      <c r="E146" s="346"/>
      <c r="F146" s="373"/>
      <c r="G146" s="277"/>
      <c r="H146" s="277"/>
      <c r="I146" s="277"/>
      <c r="J146" s="277"/>
      <c r="K146" s="277"/>
      <c r="L146" s="277"/>
      <c r="M146" s="59"/>
      <c r="N146" s="89"/>
      <c r="O146" s="63"/>
      <c r="P146" s="63"/>
      <c r="Q146" s="63"/>
      <c r="R146" s="63"/>
      <c r="S146" s="63"/>
      <c r="T146" s="63"/>
      <c r="U146" s="93"/>
      <c r="V146" s="117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117"/>
      <c r="AM146" s="88"/>
      <c r="AN146" s="88"/>
      <c r="AO146" s="88"/>
      <c r="AQ146" s="145"/>
      <c r="AR146" s="146"/>
      <c r="AT146" s="389"/>
      <c r="AV146" s="145"/>
      <c r="AW146" s="145"/>
      <c r="BA146" s="318">
        <f t="shared" si="98"/>
        <v>0</v>
      </c>
    </row>
    <row r="147" spans="1:53" s="2" customFormat="1" ht="10.5" customHeight="1">
      <c r="A147" s="12">
        <v>1</v>
      </c>
      <c r="B147" s="15"/>
      <c r="C147" s="344"/>
      <c r="D147" s="341"/>
      <c r="E147" s="347"/>
      <c r="F147" s="374"/>
      <c r="G147" s="307">
        <f>ROUND(G144*$F144,2)</f>
        <v>207058.8</v>
      </c>
      <c r="H147" s="307">
        <f>ROUND(H144*$F144,2)</f>
        <v>207058.8</v>
      </c>
      <c r="I147" s="307">
        <f>ROUND(I144*$F144,2)</f>
        <v>0</v>
      </c>
      <c r="J147" s="307">
        <f>J144*$F144</f>
        <v>0</v>
      </c>
      <c r="K147" s="307">
        <f>ROUND(K144*$F144,2)</f>
        <v>207058.8</v>
      </c>
      <c r="L147" s="307">
        <f>ROUND(L144*$F144,2)</f>
        <v>207058.8</v>
      </c>
      <c r="M147" s="59"/>
      <c r="N147" s="90" t="s">
        <v>164</v>
      </c>
      <c r="O147" s="64">
        <f t="shared" ref="O147:T147" si="105">O144*$F144</f>
        <v>0</v>
      </c>
      <c r="P147" s="64">
        <f t="shared" si="105"/>
        <v>0</v>
      </c>
      <c r="Q147" s="64">
        <f t="shared" si="105"/>
        <v>0</v>
      </c>
      <c r="R147" s="64">
        <f t="shared" si="105"/>
        <v>0</v>
      </c>
      <c r="S147" s="64">
        <f t="shared" si="105"/>
        <v>0</v>
      </c>
      <c r="T147" s="64">
        <f t="shared" si="105"/>
        <v>0</v>
      </c>
      <c r="U147" s="64">
        <f>U144*$F144</f>
        <v>50700</v>
      </c>
      <c r="V147" s="118"/>
      <c r="W147" s="64">
        <f>W144*$F144</f>
        <v>0</v>
      </c>
      <c r="X147" s="64">
        <f>X144*$F144</f>
        <v>10140</v>
      </c>
      <c r="Y147" s="64">
        <f>Y144*$F144</f>
        <v>10140</v>
      </c>
      <c r="Z147" s="64">
        <f>Z144*$F144</f>
        <v>10140</v>
      </c>
      <c r="AA147" s="64">
        <f t="shared" ref="AA147:AK147" si="106">AA144*$F144</f>
        <v>10140</v>
      </c>
      <c r="AB147" s="64">
        <f t="shared" si="106"/>
        <v>10140</v>
      </c>
      <c r="AC147" s="64">
        <f t="shared" si="106"/>
        <v>10140</v>
      </c>
      <c r="AD147" s="64">
        <f t="shared" si="106"/>
        <v>10140</v>
      </c>
      <c r="AE147" s="64">
        <f t="shared" si="106"/>
        <v>10140</v>
      </c>
      <c r="AF147" s="64">
        <f t="shared" si="106"/>
        <v>10140</v>
      </c>
      <c r="AG147" s="64">
        <f t="shared" si="106"/>
        <v>10140</v>
      </c>
      <c r="AH147" s="64">
        <f t="shared" si="106"/>
        <v>20280</v>
      </c>
      <c r="AI147" s="64">
        <f t="shared" si="106"/>
        <v>20280</v>
      </c>
      <c r="AJ147" s="64">
        <f t="shared" si="106"/>
        <v>14398.8</v>
      </c>
      <c r="AK147" s="64">
        <f t="shared" si="106"/>
        <v>0</v>
      </c>
      <c r="AL147" s="123"/>
      <c r="AM147" s="91"/>
      <c r="AN147" s="91"/>
      <c r="AO147" s="91"/>
      <c r="AQ147" s="69">
        <f>SUM(O147:AO147)</f>
        <v>207058.8</v>
      </c>
      <c r="AR147" s="69">
        <f>+K147-AQ147</f>
        <v>0</v>
      </c>
      <c r="AT147" s="390"/>
      <c r="AV147" s="196"/>
      <c r="AW147" s="196"/>
      <c r="BA147" s="318">
        <f t="shared" si="98"/>
        <v>50700</v>
      </c>
    </row>
    <row r="148" spans="1:53" s="2" customFormat="1" ht="10.5" customHeight="1">
      <c r="A148" s="12"/>
      <c r="B148" s="15"/>
      <c r="C148" s="342">
        <v>33</v>
      </c>
      <c r="D148" s="339" t="s">
        <v>79</v>
      </c>
      <c r="E148" s="345" t="s">
        <v>233</v>
      </c>
      <c r="F148" s="372">
        <v>16.899999999999999</v>
      </c>
      <c r="G148" s="284">
        <v>2934</v>
      </c>
      <c r="H148" s="284">
        <v>2934</v>
      </c>
      <c r="I148" s="284">
        <v>1960.1</v>
      </c>
      <c r="J148" s="284"/>
      <c r="K148" s="284">
        <f>H148+J148</f>
        <v>2934</v>
      </c>
      <c r="L148" s="284">
        <f>+H148-I148+J148</f>
        <v>973.9</v>
      </c>
      <c r="M148" s="59"/>
      <c r="N148" s="85" t="s">
        <v>162</v>
      </c>
      <c r="O148" s="95"/>
      <c r="P148" s="95"/>
      <c r="Q148" s="95"/>
      <c r="R148" s="95"/>
      <c r="S148" s="95"/>
      <c r="T148" s="95"/>
      <c r="U148" s="61">
        <f>+I148</f>
        <v>1960.1</v>
      </c>
      <c r="V148" s="119"/>
      <c r="W148" s="95"/>
      <c r="X148" s="95"/>
      <c r="Y148" s="95">
        <v>152</v>
      </c>
      <c r="Z148" s="95">
        <v>153</v>
      </c>
      <c r="AA148" s="95">
        <v>154</v>
      </c>
      <c r="AB148" s="95">
        <v>155</v>
      </c>
      <c r="AC148" s="95">
        <v>156</v>
      </c>
      <c r="AD148" s="95">
        <v>157</v>
      </c>
      <c r="AE148" s="95">
        <v>46.9</v>
      </c>
      <c r="AF148" s="95"/>
      <c r="AG148" s="95"/>
      <c r="AH148" s="95"/>
      <c r="AI148" s="95"/>
      <c r="AJ148" s="95"/>
      <c r="AK148" s="95"/>
      <c r="AL148" s="117"/>
      <c r="AM148" s="92"/>
      <c r="AN148" s="92"/>
      <c r="AO148" s="92"/>
      <c r="AQ148" s="144">
        <f>SUM(O148:AO148)</f>
        <v>2934</v>
      </c>
      <c r="AR148" s="144">
        <f>+K148-AQ148</f>
        <v>0</v>
      </c>
      <c r="AT148" s="372">
        <f>+F148*K148</f>
        <v>49584.6</v>
      </c>
      <c r="AV148" s="263">
        <f>SUM(W148:AO148)</f>
        <v>973.9</v>
      </c>
      <c r="AW148" s="263">
        <f>+L148-AV148</f>
        <v>0</v>
      </c>
      <c r="BA148" s="318">
        <f t="shared" si="98"/>
        <v>1960.1</v>
      </c>
    </row>
    <row r="149" spans="1:53" s="2" customFormat="1" ht="10.5" customHeight="1">
      <c r="A149" s="10" t="s">
        <v>12</v>
      </c>
      <c r="B149" s="15"/>
      <c r="C149" s="343"/>
      <c r="D149" s="340"/>
      <c r="E149" s="346"/>
      <c r="F149" s="373"/>
      <c r="G149" s="277"/>
      <c r="H149" s="277"/>
      <c r="I149" s="277"/>
      <c r="J149" s="277"/>
      <c r="K149" s="277"/>
      <c r="L149" s="277"/>
      <c r="M149" s="59"/>
      <c r="N149" s="87" t="s">
        <v>163</v>
      </c>
      <c r="O149" s="62">
        <f t="shared" ref="O149:T149" si="107">+O148/$K148</f>
        <v>0</v>
      </c>
      <c r="P149" s="62">
        <f t="shared" si="107"/>
        <v>0</v>
      </c>
      <c r="Q149" s="62">
        <f t="shared" si="107"/>
        <v>0</v>
      </c>
      <c r="R149" s="62">
        <f t="shared" si="107"/>
        <v>0</v>
      </c>
      <c r="S149" s="62">
        <f t="shared" si="107"/>
        <v>0</v>
      </c>
      <c r="T149" s="62">
        <f t="shared" si="107"/>
        <v>0</v>
      </c>
      <c r="U149" s="62">
        <f>+U148/$K148</f>
        <v>0.66810000000000003</v>
      </c>
      <c r="V149" s="116"/>
      <c r="W149" s="62">
        <f t="shared" ref="W149:AK149" si="108">+W148/$K148</f>
        <v>0</v>
      </c>
      <c r="X149" s="62">
        <f t="shared" si="108"/>
        <v>0</v>
      </c>
      <c r="Y149" s="62">
        <f t="shared" si="108"/>
        <v>5.1799999999999999E-2</v>
      </c>
      <c r="Z149" s="62">
        <f t="shared" si="108"/>
        <v>5.21E-2</v>
      </c>
      <c r="AA149" s="62">
        <f t="shared" si="108"/>
        <v>5.2499999999999998E-2</v>
      </c>
      <c r="AB149" s="62">
        <f t="shared" si="108"/>
        <v>5.28E-2</v>
      </c>
      <c r="AC149" s="62">
        <f t="shared" si="108"/>
        <v>5.3199999999999997E-2</v>
      </c>
      <c r="AD149" s="62">
        <f t="shared" si="108"/>
        <v>5.3499999999999999E-2</v>
      </c>
      <c r="AE149" s="62">
        <f t="shared" si="108"/>
        <v>1.6E-2</v>
      </c>
      <c r="AF149" s="62">
        <f t="shared" si="108"/>
        <v>0</v>
      </c>
      <c r="AG149" s="62">
        <f t="shared" si="108"/>
        <v>0</v>
      </c>
      <c r="AH149" s="62">
        <f t="shared" si="108"/>
        <v>0</v>
      </c>
      <c r="AI149" s="62">
        <f t="shared" si="108"/>
        <v>0</v>
      </c>
      <c r="AJ149" s="62">
        <f t="shared" si="108"/>
        <v>0</v>
      </c>
      <c r="AK149" s="62">
        <f t="shared" si="108"/>
        <v>0</v>
      </c>
      <c r="AL149" s="117"/>
      <c r="AM149" s="88"/>
      <c r="AN149" s="88"/>
      <c r="AO149" s="88"/>
      <c r="AQ149" s="149">
        <f>SUM(O149:AO149)</f>
        <v>1</v>
      </c>
      <c r="AR149" s="146"/>
      <c r="AT149" s="389"/>
      <c r="AV149" s="266"/>
      <c r="AW149" s="266"/>
      <c r="BA149" s="318"/>
    </row>
    <row r="150" spans="1:53" s="2" customFormat="1" ht="10.5" hidden="1" customHeight="1">
      <c r="A150" s="11" t="s">
        <v>13</v>
      </c>
      <c r="B150" s="15"/>
      <c r="C150" s="343"/>
      <c r="D150" s="340"/>
      <c r="E150" s="346"/>
      <c r="F150" s="373"/>
      <c r="G150" s="277"/>
      <c r="H150" s="277"/>
      <c r="I150" s="277"/>
      <c r="J150" s="277"/>
      <c r="K150" s="277"/>
      <c r="L150" s="277"/>
      <c r="M150" s="59"/>
      <c r="N150" s="89"/>
      <c r="O150" s="63"/>
      <c r="P150" s="63"/>
      <c r="Q150" s="63"/>
      <c r="R150" s="63"/>
      <c r="S150" s="63"/>
      <c r="T150" s="63"/>
      <c r="U150" s="93"/>
      <c r="V150" s="117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117"/>
      <c r="AM150" s="88"/>
      <c r="AN150" s="88"/>
      <c r="AO150" s="88"/>
      <c r="AQ150" s="145"/>
      <c r="AR150" s="146"/>
      <c r="AT150" s="389"/>
      <c r="AV150" s="197"/>
      <c r="AW150" s="197"/>
      <c r="BA150" s="318"/>
    </row>
    <row r="151" spans="1:53" s="2" customFormat="1" ht="10.5" customHeight="1">
      <c r="A151" s="12">
        <v>1</v>
      </c>
      <c r="B151" s="15"/>
      <c r="C151" s="344"/>
      <c r="D151" s="341"/>
      <c r="E151" s="347"/>
      <c r="F151" s="374"/>
      <c r="G151" s="307">
        <f>ROUND(G148*$F148,2)</f>
        <v>49584.6</v>
      </c>
      <c r="H151" s="307">
        <f>ROUND(H148*$F148,2)</f>
        <v>49584.6</v>
      </c>
      <c r="I151" s="307">
        <f>ROUND(I148*$F148,2)</f>
        <v>33125.69</v>
      </c>
      <c r="J151" s="307">
        <f>J148*$F148</f>
        <v>0</v>
      </c>
      <c r="K151" s="307">
        <f>ROUND(K148*$F148,2)</f>
        <v>49584.6</v>
      </c>
      <c r="L151" s="307">
        <f>ROUND(L148*$F148,2)</f>
        <v>16458.91</v>
      </c>
      <c r="M151" s="59"/>
      <c r="N151" s="90" t="s">
        <v>164</v>
      </c>
      <c r="O151" s="64">
        <f t="shared" ref="O151:T151" si="109">O148*$F148</f>
        <v>0</v>
      </c>
      <c r="P151" s="64">
        <f t="shared" si="109"/>
        <v>0</v>
      </c>
      <c r="Q151" s="64">
        <f t="shared" si="109"/>
        <v>0</v>
      </c>
      <c r="R151" s="64">
        <f t="shared" si="109"/>
        <v>0</v>
      </c>
      <c r="S151" s="64">
        <f t="shared" si="109"/>
        <v>0</v>
      </c>
      <c r="T151" s="64">
        <f t="shared" si="109"/>
        <v>0</v>
      </c>
      <c r="U151" s="64">
        <f>U148*$F148</f>
        <v>33125.69</v>
      </c>
      <c r="V151" s="118"/>
      <c r="W151" s="64">
        <f>W148*$F148</f>
        <v>0</v>
      </c>
      <c r="X151" s="64">
        <f>X148*$F148</f>
        <v>0</v>
      </c>
      <c r="Y151" s="64">
        <f>Y148*$F148</f>
        <v>2568.8000000000002</v>
      </c>
      <c r="Z151" s="64">
        <f>Z148*$F148</f>
        <v>2585.6999999999998</v>
      </c>
      <c r="AA151" s="64">
        <f t="shared" ref="AA151:AK151" si="110">AA148*$F148</f>
        <v>2602.6</v>
      </c>
      <c r="AB151" s="64">
        <f t="shared" si="110"/>
        <v>2619.5</v>
      </c>
      <c r="AC151" s="64">
        <f t="shared" si="110"/>
        <v>2636.4</v>
      </c>
      <c r="AD151" s="64">
        <f t="shared" si="110"/>
        <v>2653.3</v>
      </c>
      <c r="AE151" s="64">
        <f t="shared" si="110"/>
        <v>792.61</v>
      </c>
      <c r="AF151" s="64">
        <f t="shared" si="110"/>
        <v>0</v>
      </c>
      <c r="AG151" s="64">
        <f t="shared" si="110"/>
        <v>0</v>
      </c>
      <c r="AH151" s="64">
        <f t="shared" si="110"/>
        <v>0</v>
      </c>
      <c r="AI151" s="64">
        <f t="shared" si="110"/>
        <v>0</v>
      </c>
      <c r="AJ151" s="64">
        <f t="shared" si="110"/>
        <v>0</v>
      </c>
      <c r="AK151" s="64">
        <f t="shared" si="110"/>
        <v>0</v>
      </c>
      <c r="AL151" s="123"/>
      <c r="AM151" s="91"/>
      <c r="AN151" s="91"/>
      <c r="AO151" s="91"/>
      <c r="AQ151" s="69">
        <f>SUM(O151:AO151)</f>
        <v>49584.6</v>
      </c>
      <c r="AR151" s="69">
        <f>+K151-AQ151</f>
        <v>0</v>
      </c>
      <c r="AT151" s="390"/>
      <c r="AV151" s="196"/>
      <c r="AW151" s="196"/>
      <c r="BA151" s="318"/>
    </row>
    <row r="152" spans="1:53" s="2" customFormat="1" ht="10.5" customHeight="1">
      <c r="A152" s="12"/>
      <c r="B152" s="15"/>
      <c r="C152" s="342">
        <v>34</v>
      </c>
      <c r="D152" s="339" t="s">
        <v>80</v>
      </c>
      <c r="E152" s="345" t="s">
        <v>233</v>
      </c>
      <c r="F152" s="372">
        <v>39.619999999999997</v>
      </c>
      <c r="G152" s="284">
        <v>12302</v>
      </c>
      <c r="H152" s="284">
        <v>12430</v>
      </c>
      <c r="I152" s="284">
        <v>82.66</v>
      </c>
      <c r="J152" s="284"/>
      <c r="K152" s="284">
        <f>H152+J152</f>
        <v>12430</v>
      </c>
      <c r="L152" s="284">
        <f>+H152-I152+J152</f>
        <v>12347.34</v>
      </c>
      <c r="M152" s="59"/>
      <c r="N152" s="85" t="s">
        <v>162</v>
      </c>
      <c r="O152" s="95">
        <f t="shared" ref="O152:T152" si="111">+O141*$K$152</f>
        <v>0</v>
      </c>
      <c r="P152" s="95">
        <f t="shared" si="111"/>
        <v>0</v>
      </c>
      <c r="Q152" s="95">
        <f t="shared" si="111"/>
        <v>0</v>
      </c>
      <c r="R152" s="95">
        <f t="shared" si="111"/>
        <v>0</v>
      </c>
      <c r="S152" s="95">
        <f t="shared" si="111"/>
        <v>0</v>
      </c>
      <c r="T152" s="95">
        <f t="shared" si="111"/>
        <v>0</v>
      </c>
      <c r="U152" s="61">
        <v>2666.23</v>
      </c>
      <c r="V152" s="119"/>
      <c r="W152" s="95">
        <f>+W141*$K$152</f>
        <v>544.42999999999995</v>
      </c>
      <c r="X152" s="95">
        <f>+X141*$K$152</f>
        <v>816.65</v>
      </c>
      <c r="Y152" s="95">
        <f t="shared" ref="Y152:AF152" si="112">+Y141*$K$152</f>
        <v>816.65</v>
      </c>
      <c r="Z152" s="95">
        <f>+Z141*$K$152</f>
        <v>816.65</v>
      </c>
      <c r="AA152" s="95">
        <f t="shared" si="112"/>
        <v>816.65</v>
      </c>
      <c r="AB152" s="95">
        <f t="shared" si="112"/>
        <v>816.65</v>
      </c>
      <c r="AC152" s="95">
        <f t="shared" si="112"/>
        <v>816.65</v>
      </c>
      <c r="AD152" s="95">
        <f t="shared" si="112"/>
        <v>816.65</v>
      </c>
      <c r="AE152" s="95">
        <f t="shared" si="112"/>
        <v>816.65</v>
      </c>
      <c r="AF152" s="95">
        <f t="shared" si="112"/>
        <v>816.65</v>
      </c>
      <c r="AG152" s="95">
        <f>+AG141*$K$152</f>
        <v>926.04</v>
      </c>
      <c r="AH152" s="95">
        <f>+AH141*$K$152+0.01</f>
        <v>943.45</v>
      </c>
      <c r="AI152" s="95">
        <f>+AI141*$K$152</f>
        <v>0</v>
      </c>
      <c r="AJ152" s="95">
        <f>+AJ141*$K$152</f>
        <v>0</v>
      </c>
      <c r="AK152" s="95">
        <f>+AK141*$K$152</f>
        <v>0</v>
      </c>
      <c r="AL152" s="117"/>
      <c r="AM152" s="92"/>
      <c r="AN152" s="92"/>
      <c r="AO152" s="92"/>
      <c r="AQ152" s="144">
        <f>SUM(O152:AO152)</f>
        <v>12430</v>
      </c>
      <c r="AR152" s="144">
        <f>+K152-AQ152</f>
        <v>0</v>
      </c>
      <c r="AT152" s="372">
        <f>+F152*K152</f>
        <v>492476.6</v>
      </c>
      <c r="AV152" s="263">
        <f>SUM(W152:AO152)</f>
        <v>9763.77</v>
      </c>
      <c r="AW152" s="263">
        <f>+L152-AV152</f>
        <v>2583.5700000000002</v>
      </c>
      <c r="BA152" s="318">
        <f>SUM(O152:U152)</f>
        <v>2666.23</v>
      </c>
    </row>
    <row r="153" spans="1:53" s="2" customFormat="1" ht="10.5" customHeight="1">
      <c r="A153" s="10" t="s">
        <v>12</v>
      </c>
      <c r="B153" s="15"/>
      <c r="C153" s="343"/>
      <c r="D153" s="340"/>
      <c r="E153" s="346"/>
      <c r="F153" s="373"/>
      <c r="G153" s="277"/>
      <c r="H153" s="277"/>
      <c r="I153" s="277"/>
      <c r="J153" s="277"/>
      <c r="K153" s="277"/>
      <c r="L153" s="277"/>
      <c r="M153" s="59"/>
      <c r="N153" s="87" t="s">
        <v>163</v>
      </c>
      <c r="O153" s="62">
        <f t="shared" ref="O153:U153" si="113">+O152/$K152</f>
        <v>0</v>
      </c>
      <c r="P153" s="62">
        <f t="shared" si="113"/>
        <v>0</v>
      </c>
      <c r="Q153" s="62">
        <f t="shared" si="113"/>
        <v>0</v>
      </c>
      <c r="R153" s="62">
        <f t="shared" si="113"/>
        <v>0</v>
      </c>
      <c r="S153" s="62">
        <f t="shared" si="113"/>
        <v>0</v>
      </c>
      <c r="T153" s="62">
        <f t="shared" si="113"/>
        <v>0</v>
      </c>
      <c r="U153" s="62">
        <f t="shared" si="113"/>
        <v>0.2145</v>
      </c>
      <c r="V153" s="116"/>
      <c r="W153" s="62">
        <f t="shared" ref="W153:AK153" si="114">+W152/$K152</f>
        <v>4.3799999999999999E-2</v>
      </c>
      <c r="X153" s="62">
        <f t="shared" si="114"/>
        <v>6.5699999999999995E-2</v>
      </c>
      <c r="Y153" s="62">
        <f t="shared" si="114"/>
        <v>6.5699999999999995E-2</v>
      </c>
      <c r="Z153" s="62">
        <f t="shared" si="114"/>
        <v>6.5699999999999995E-2</v>
      </c>
      <c r="AA153" s="62">
        <f t="shared" si="114"/>
        <v>6.5699999999999995E-2</v>
      </c>
      <c r="AB153" s="62">
        <f t="shared" si="114"/>
        <v>6.5699999999999995E-2</v>
      </c>
      <c r="AC153" s="62">
        <f t="shared" si="114"/>
        <v>6.5699999999999995E-2</v>
      </c>
      <c r="AD153" s="62">
        <f t="shared" si="114"/>
        <v>6.5699999999999995E-2</v>
      </c>
      <c r="AE153" s="62">
        <f t="shared" si="114"/>
        <v>6.5699999999999995E-2</v>
      </c>
      <c r="AF153" s="62">
        <f t="shared" si="114"/>
        <v>6.5699999999999995E-2</v>
      </c>
      <c r="AG153" s="62">
        <f t="shared" si="114"/>
        <v>7.4499999999999997E-2</v>
      </c>
      <c r="AH153" s="62">
        <f t="shared" si="114"/>
        <v>7.5899999999999995E-2</v>
      </c>
      <c r="AI153" s="62">
        <f t="shared" si="114"/>
        <v>0</v>
      </c>
      <c r="AJ153" s="62">
        <f t="shared" si="114"/>
        <v>0</v>
      </c>
      <c r="AK153" s="62">
        <f t="shared" si="114"/>
        <v>0</v>
      </c>
      <c r="AL153" s="117"/>
      <c r="AM153" s="88"/>
      <c r="AN153" s="88"/>
      <c r="AO153" s="88"/>
      <c r="AQ153" s="149">
        <f>SUM(O153:AO153)</f>
        <v>1</v>
      </c>
      <c r="AR153" s="146"/>
      <c r="AT153" s="389"/>
      <c r="AV153" s="266"/>
      <c r="AW153" s="266"/>
      <c r="BA153" s="318"/>
    </row>
    <row r="154" spans="1:53" s="2" customFormat="1" ht="10.5" hidden="1" customHeight="1">
      <c r="A154" s="11" t="s">
        <v>13</v>
      </c>
      <c r="B154" s="15"/>
      <c r="C154" s="343"/>
      <c r="D154" s="340"/>
      <c r="E154" s="346"/>
      <c r="F154" s="373"/>
      <c r="G154" s="277"/>
      <c r="H154" s="277"/>
      <c r="I154" s="277"/>
      <c r="J154" s="277"/>
      <c r="K154" s="277"/>
      <c r="L154" s="277"/>
      <c r="M154" s="59"/>
      <c r="N154" s="89"/>
      <c r="O154" s="63"/>
      <c r="P154" s="63"/>
      <c r="Q154" s="63"/>
      <c r="R154" s="63"/>
      <c r="S154" s="63"/>
      <c r="T154" s="63"/>
      <c r="U154" s="93"/>
      <c r="V154" s="117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117"/>
      <c r="AM154" s="88"/>
      <c r="AN154" s="88"/>
      <c r="AO154" s="88"/>
      <c r="AQ154" s="145"/>
      <c r="AR154" s="146"/>
      <c r="AT154" s="389"/>
      <c r="AV154" s="197"/>
      <c r="AW154" s="197"/>
      <c r="BA154" s="318"/>
    </row>
    <row r="155" spans="1:53" s="2" customFormat="1" ht="10.5" customHeight="1">
      <c r="A155" s="12">
        <v>1</v>
      </c>
      <c r="B155" s="15"/>
      <c r="C155" s="344"/>
      <c r="D155" s="341"/>
      <c r="E155" s="347"/>
      <c r="F155" s="374"/>
      <c r="G155" s="307">
        <f>ROUND(G152*$F152,2)</f>
        <v>487405.24</v>
      </c>
      <c r="H155" s="307">
        <f>ROUND(H152*$F152,2)</f>
        <v>492476.6</v>
      </c>
      <c r="I155" s="307">
        <f>ROUND(I152*$F152,2)</f>
        <v>3274.99</v>
      </c>
      <c r="J155" s="307">
        <f>J152*$F152</f>
        <v>0</v>
      </c>
      <c r="K155" s="307">
        <f>ROUND(K152*$F152,2)</f>
        <v>492476.6</v>
      </c>
      <c r="L155" s="307">
        <f>ROUND(L152*$F152,2)</f>
        <v>489201.61</v>
      </c>
      <c r="M155" s="59"/>
      <c r="N155" s="90" t="s">
        <v>164</v>
      </c>
      <c r="O155" s="64">
        <f t="shared" ref="O155:U155" si="115">O152*$F152</f>
        <v>0</v>
      </c>
      <c r="P155" s="64">
        <f t="shared" si="115"/>
        <v>0</v>
      </c>
      <c r="Q155" s="64">
        <f t="shared" si="115"/>
        <v>0</v>
      </c>
      <c r="R155" s="64">
        <f t="shared" si="115"/>
        <v>0</v>
      </c>
      <c r="S155" s="64">
        <f t="shared" si="115"/>
        <v>0</v>
      </c>
      <c r="T155" s="64">
        <f t="shared" si="115"/>
        <v>0</v>
      </c>
      <c r="U155" s="64">
        <f t="shared" si="115"/>
        <v>105636.03</v>
      </c>
      <c r="V155" s="118"/>
      <c r="W155" s="64">
        <f>W152*$F152</f>
        <v>21570.32</v>
      </c>
      <c r="X155" s="64">
        <f t="shared" ref="X155:AJ155" si="116">X152*$F152</f>
        <v>32355.67</v>
      </c>
      <c r="Y155" s="64">
        <f t="shared" si="116"/>
        <v>32355.67</v>
      </c>
      <c r="Z155" s="64">
        <f t="shared" si="116"/>
        <v>32355.67</v>
      </c>
      <c r="AA155" s="64">
        <f t="shared" si="116"/>
        <v>32355.67</v>
      </c>
      <c r="AB155" s="64">
        <f t="shared" si="116"/>
        <v>32355.67</v>
      </c>
      <c r="AC155" s="64">
        <f t="shared" si="116"/>
        <v>32355.67</v>
      </c>
      <c r="AD155" s="64">
        <f t="shared" si="116"/>
        <v>32355.67</v>
      </c>
      <c r="AE155" s="64">
        <f t="shared" si="116"/>
        <v>32355.67</v>
      </c>
      <c r="AF155" s="64">
        <f t="shared" si="116"/>
        <v>32355.67</v>
      </c>
      <c r="AG155" s="64">
        <f t="shared" si="116"/>
        <v>36689.699999999997</v>
      </c>
      <c r="AH155" s="64">
        <f>AH152*$F152+0.03</f>
        <v>37379.519999999997</v>
      </c>
      <c r="AI155" s="64">
        <f t="shared" si="116"/>
        <v>0</v>
      </c>
      <c r="AJ155" s="64">
        <f t="shared" si="116"/>
        <v>0</v>
      </c>
      <c r="AK155" s="64">
        <f>AK152*$F152</f>
        <v>0</v>
      </c>
      <c r="AL155" s="123"/>
      <c r="AM155" s="91"/>
      <c r="AN155" s="91"/>
      <c r="AO155" s="91"/>
      <c r="AQ155" s="69">
        <f>SUM(O155:AO155)</f>
        <v>492476.6</v>
      </c>
      <c r="AR155" s="69">
        <f>+K155-AQ155</f>
        <v>0</v>
      </c>
      <c r="AT155" s="390"/>
      <c r="AV155" s="196"/>
      <c r="AW155" s="196"/>
      <c r="BA155" s="318"/>
    </row>
    <row r="156" spans="1:53" s="2" customFormat="1" ht="10.5" customHeight="1">
      <c r="A156" s="12"/>
      <c r="B156" s="15"/>
      <c r="C156" s="342">
        <v>35</v>
      </c>
      <c r="D156" s="339" t="s">
        <v>81</v>
      </c>
      <c r="E156" s="345" t="s">
        <v>233</v>
      </c>
      <c r="F156" s="372">
        <v>49.26</v>
      </c>
      <c r="G156" s="284">
        <v>14956</v>
      </c>
      <c r="H156" s="284">
        <v>15320.68</v>
      </c>
      <c r="I156" s="284">
        <v>904.55</v>
      </c>
      <c r="J156" s="284"/>
      <c r="K156" s="284">
        <f>H156+J156</f>
        <v>15320.68</v>
      </c>
      <c r="L156" s="284">
        <f>+H156-I156+J156</f>
        <v>14416.13</v>
      </c>
      <c r="M156" s="59"/>
      <c r="N156" s="85" t="s">
        <v>162</v>
      </c>
      <c r="O156" s="95">
        <f t="shared" ref="O156:T156" si="117">+O141*$K$156</f>
        <v>0</v>
      </c>
      <c r="P156" s="95">
        <f t="shared" si="117"/>
        <v>0</v>
      </c>
      <c r="Q156" s="95">
        <f t="shared" si="117"/>
        <v>0</v>
      </c>
      <c r="R156" s="95">
        <f t="shared" si="117"/>
        <v>0</v>
      </c>
      <c r="S156" s="95">
        <f t="shared" si="117"/>
        <v>0</v>
      </c>
      <c r="T156" s="95">
        <f t="shared" si="117"/>
        <v>0</v>
      </c>
      <c r="U156" s="61">
        <v>3286.28</v>
      </c>
      <c r="V156" s="119"/>
      <c r="W156" s="95">
        <f t="shared" ref="W156:AK156" si="118">ROUND(W141*$K$156,2)</f>
        <v>671.05</v>
      </c>
      <c r="X156" s="95">
        <f t="shared" si="118"/>
        <v>1006.57</v>
      </c>
      <c r="Y156" s="95">
        <f t="shared" si="118"/>
        <v>1006.57</v>
      </c>
      <c r="Z156" s="95">
        <f t="shared" si="118"/>
        <v>1006.57</v>
      </c>
      <c r="AA156" s="95">
        <f t="shared" si="118"/>
        <v>1006.57</v>
      </c>
      <c r="AB156" s="95">
        <f t="shared" si="118"/>
        <v>1006.57</v>
      </c>
      <c r="AC156" s="95">
        <f t="shared" si="118"/>
        <v>1006.57</v>
      </c>
      <c r="AD156" s="95">
        <f t="shared" si="118"/>
        <v>1006.57</v>
      </c>
      <c r="AE156" s="95">
        <f t="shared" si="118"/>
        <v>1006.57</v>
      </c>
      <c r="AF156" s="95">
        <f t="shared" si="118"/>
        <v>1006.57</v>
      </c>
      <c r="AG156" s="95">
        <f t="shared" si="118"/>
        <v>1141.3900000000001</v>
      </c>
      <c r="AH156" s="95">
        <f>ROUND(AH141*$K$156,2)-0.01</f>
        <v>1162.83</v>
      </c>
      <c r="AI156" s="95">
        <f t="shared" si="118"/>
        <v>0</v>
      </c>
      <c r="AJ156" s="95">
        <f t="shared" si="118"/>
        <v>0</v>
      </c>
      <c r="AK156" s="95">
        <f t="shared" si="118"/>
        <v>0</v>
      </c>
      <c r="AL156" s="117"/>
      <c r="AM156" s="92"/>
      <c r="AN156" s="92"/>
      <c r="AO156" s="92"/>
      <c r="AQ156" s="144">
        <f>SUM(O156:AO156)</f>
        <v>15320.68</v>
      </c>
      <c r="AR156" s="144">
        <f>+K156-AQ156</f>
        <v>0</v>
      </c>
      <c r="AT156" s="372">
        <f>+F156*K156</f>
        <v>754696.7</v>
      </c>
      <c r="AV156" s="263">
        <f>SUM(W156:AO156)</f>
        <v>12034.4</v>
      </c>
      <c r="AW156" s="263">
        <f>+L156-AV156</f>
        <v>2381.73</v>
      </c>
      <c r="BA156" s="318">
        <f t="shared" si="98"/>
        <v>3286.28</v>
      </c>
    </row>
    <row r="157" spans="1:53" s="2" customFormat="1" ht="10.5" customHeight="1">
      <c r="A157" s="10" t="s">
        <v>12</v>
      </c>
      <c r="B157" s="15"/>
      <c r="C157" s="343"/>
      <c r="D157" s="340"/>
      <c r="E157" s="346"/>
      <c r="F157" s="373"/>
      <c r="G157" s="277"/>
      <c r="H157" s="277"/>
      <c r="I157" s="277"/>
      <c r="J157" s="277"/>
      <c r="K157" s="277"/>
      <c r="L157" s="277"/>
      <c r="M157" s="59"/>
      <c r="N157" s="87" t="s">
        <v>163</v>
      </c>
      <c r="O157" s="62">
        <f t="shared" ref="O157:U157" si="119">+O156/$K156</f>
        <v>0</v>
      </c>
      <c r="P157" s="62">
        <f t="shared" si="119"/>
        <v>0</v>
      </c>
      <c r="Q157" s="62">
        <f t="shared" si="119"/>
        <v>0</v>
      </c>
      <c r="R157" s="62">
        <f t="shared" si="119"/>
        <v>0</v>
      </c>
      <c r="S157" s="62">
        <f t="shared" si="119"/>
        <v>0</v>
      </c>
      <c r="T157" s="62">
        <f t="shared" si="119"/>
        <v>0</v>
      </c>
      <c r="U157" s="62">
        <f t="shared" si="119"/>
        <v>0.2145</v>
      </c>
      <c r="V157" s="116"/>
      <c r="W157" s="62">
        <f t="shared" ref="W157:AK157" si="120">+W156/$K156</f>
        <v>4.3799999999999999E-2</v>
      </c>
      <c r="X157" s="62">
        <f t="shared" si="120"/>
        <v>6.5699999999999995E-2</v>
      </c>
      <c r="Y157" s="62">
        <f t="shared" si="120"/>
        <v>6.5699999999999995E-2</v>
      </c>
      <c r="Z157" s="62">
        <f t="shared" si="120"/>
        <v>6.5699999999999995E-2</v>
      </c>
      <c r="AA157" s="62">
        <f t="shared" si="120"/>
        <v>6.5699999999999995E-2</v>
      </c>
      <c r="AB157" s="62">
        <f t="shared" si="120"/>
        <v>6.5699999999999995E-2</v>
      </c>
      <c r="AC157" s="62">
        <f t="shared" si="120"/>
        <v>6.5699999999999995E-2</v>
      </c>
      <c r="AD157" s="62">
        <f t="shared" si="120"/>
        <v>6.5699999999999995E-2</v>
      </c>
      <c r="AE157" s="62">
        <f t="shared" si="120"/>
        <v>6.5699999999999995E-2</v>
      </c>
      <c r="AF157" s="62">
        <f t="shared" si="120"/>
        <v>6.5699999999999995E-2</v>
      </c>
      <c r="AG157" s="62">
        <f t="shared" si="120"/>
        <v>7.4499999999999997E-2</v>
      </c>
      <c r="AH157" s="62">
        <f t="shared" si="120"/>
        <v>7.5899999999999995E-2</v>
      </c>
      <c r="AI157" s="62">
        <f t="shared" si="120"/>
        <v>0</v>
      </c>
      <c r="AJ157" s="62">
        <f t="shared" si="120"/>
        <v>0</v>
      </c>
      <c r="AK157" s="62">
        <f t="shared" si="120"/>
        <v>0</v>
      </c>
      <c r="AL157" s="117"/>
      <c r="AM157" s="88"/>
      <c r="AN157" s="88"/>
      <c r="AO157" s="88"/>
      <c r="AQ157" s="149">
        <f>SUM(O157:AO157)</f>
        <v>1</v>
      </c>
      <c r="AR157" s="146"/>
      <c r="AT157" s="389"/>
      <c r="AV157" s="266"/>
      <c r="AW157" s="266"/>
      <c r="BA157" s="318"/>
    </row>
    <row r="158" spans="1:53" s="2" customFormat="1" ht="10.5" hidden="1" customHeight="1">
      <c r="A158" s="11" t="s">
        <v>13</v>
      </c>
      <c r="B158" s="15"/>
      <c r="C158" s="343"/>
      <c r="D158" s="340"/>
      <c r="E158" s="346"/>
      <c r="F158" s="373"/>
      <c r="G158" s="277"/>
      <c r="H158" s="277"/>
      <c r="I158" s="277"/>
      <c r="J158" s="277"/>
      <c r="K158" s="277"/>
      <c r="L158" s="277"/>
      <c r="M158" s="59"/>
      <c r="N158" s="89"/>
      <c r="O158" s="63"/>
      <c r="P158" s="63"/>
      <c r="Q158" s="63"/>
      <c r="R158" s="63"/>
      <c r="S158" s="63"/>
      <c r="T158" s="63"/>
      <c r="U158" s="93"/>
      <c r="V158" s="117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117"/>
      <c r="AM158" s="88"/>
      <c r="AN158" s="88"/>
      <c r="AO158" s="88"/>
      <c r="AQ158" s="145"/>
      <c r="AR158" s="146"/>
      <c r="AT158" s="389"/>
      <c r="AV158" s="197"/>
      <c r="AW158" s="197"/>
      <c r="BA158" s="318"/>
    </row>
    <row r="159" spans="1:53" s="2" customFormat="1" ht="10.5" customHeight="1">
      <c r="A159" s="12">
        <v>1</v>
      </c>
      <c r="B159" s="15"/>
      <c r="C159" s="344"/>
      <c r="D159" s="341"/>
      <c r="E159" s="347"/>
      <c r="F159" s="374"/>
      <c r="G159" s="307">
        <f>ROUND(G156*$F156,2)</f>
        <v>736732.56</v>
      </c>
      <c r="H159" s="307">
        <f>ROUND(H156*$F156,2)</f>
        <v>754696.7</v>
      </c>
      <c r="I159" s="307">
        <f>ROUND(I156*$F156,2)</f>
        <v>44558.13</v>
      </c>
      <c r="J159" s="307">
        <f>J156*$F156</f>
        <v>0</v>
      </c>
      <c r="K159" s="307">
        <f>ROUND(K156*$F156,2)</f>
        <v>754696.7</v>
      </c>
      <c r="L159" s="307">
        <f>ROUND(L156*$F156,2)</f>
        <v>710138.56</v>
      </c>
      <c r="M159" s="59"/>
      <c r="N159" s="90" t="s">
        <v>164</v>
      </c>
      <c r="O159" s="64">
        <f t="shared" ref="O159:U159" si="121">O156*$F156</f>
        <v>0</v>
      </c>
      <c r="P159" s="64">
        <f t="shared" si="121"/>
        <v>0</v>
      </c>
      <c r="Q159" s="64">
        <f t="shared" si="121"/>
        <v>0</v>
      </c>
      <c r="R159" s="64">
        <f t="shared" si="121"/>
        <v>0</v>
      </c>
      <c r="S159" s="64">
        <f t="shared" si="121"/>
        <v>0</v>
      </c>
      <c r="T159" s="64">
        <f t="shared" si="121"/>
        <v>0</v>
      </c>
      <c r="U159" s="64">
        <f t="shared" si="121"/>
        <v>161882.15</v>
      </c>
      <c r="V159" s="118"/>
      <c r="W159" s="64">
        <f>W156*$F156</f>
        <v>33055.919999999998</v>
      </c>
      <c r="X159" s="64">
        <f t="shared" ref="X159:AI159" si="122">X156*$F156</f>
        <v>49583.64</v>
      </c>
      <c r="Y159" s="64">
        <f t="shared" si="122"/>
        <v>49583.64</v>
      </c>
      <c r="Z159" s="64">
        <f t="shared" si="122"/>
        <v>49583.64</v>
      </c>
      <c r="AA159" s="64">
        <f t="shared" si="122"/>
        <v>49583.64</v>
      </c>
      <c r="AB159" s="64">
        <f t="shared" si="122"/>
        <v>49583.64</v>
      </c>
      <c r="AC159" s="64">
        <f t="shared" si="122"/>
        <v>49583.64</v>
      </c>
      <c r="AD159" s="64">
        <f t="shared" si="122"/>
        <v>49583.64</v>
      </c>
      <c r="AE159" s="64">
        <f t="shared" si="122"/>
        <v>49583.64</v>
      </c>
      <c r="AF159" s="64">
        <f t="shared" si="122"/>
        <v>49583.64</v>
      </c>
      <c r="AG159" s="64">
        <f t="shared" si="122"/>
        <v>56224.87</v>
      </c>
      <c r="AH159" s="64">
        <f>AH156*$F156-0.01</f>
        <v>57281</v>
      </c>
      <c r="AI159" s="64">
        <f t="shared" si="122"/>
        <v>0</v>
      </c>
      <c r="AJ159" s="64">
        <f>AJ156*$F156</f>
        <v>0</v>
      </c>
      <c r="AK159" s="64">
        <f>AK156*$F156</f>
        <v>0</v>
      </c>
      <c r="AL159" s="123"/>
      <c r="AM159" s="91"/>
      <c r="AN159" s="91"/>
      <c r="AO159" s="91"/>
      <c r="AQ159" s="69">
        <f>SUM(O159:AO159)</f>
        <v>754696.7</v>
      </c>
      <c r="AR159" s="69">
        <f>+K159-AQ159</f>
        <v>0</v>
      </c>
      <c r="AT159" s="390"/>
      <c r="AV159" s="196"/>
      <c r="AW159" s="196"/>
      <c r="BA159" s="318"/>
    </row>
    <row r="160" spans="1:53" s="2" customFormat="1" ht="10.5" customHeight="1">
      <c r="A160" s="12"/>
      <c r="B160" s="15"/>
      <c r="C160" s="342">
        <v>36</v>
      </c>
      <c r="D160" s="339" t="s">
        <v>82</v>
      </c>
      <c r="E160" s="345" t="s">
        <v>237</v>
      </c>
      <c r="F160" s="372">
        <v>1568.32</v>
      </c>
      <c r="G160" s="284">
        <v>1109</v>
      </c>
      <c r="H160" s="284">
        <v>1164</v>
      </c>
      <c r="I160" s="284">
        <v>251</v>
      </c>
      <c r="J160" s="284"/>
      <c r="K160" s="284">
        <f>H160+J160</f>
        <v>1164</v>
      </c>
      <c r="L160" s="284">
        <f>+H160-I160+J160</f>
        <v>913</v>
      </c>
      <c r="M160" s="59"/>
      <c r="N160" s="85" t="s">
        <v>162</v>
      </c>
      <c r="O160" s="95"/>
      <c r="P160" s="95"/>
      <c r="Q160" s="95"/>
      <c r="R160" s="95"/>
      <c r="S160" s="95"/>
      <c r="T160" s="95"/>
      <c r="U160" s="61">
        <v>435</v>
      </c>
      <c r="V160" s="119"/>
      <c r="W160" s="95">
        <v>60</v>
      </c>
      <c r="X160" s="95">
        <v>60</v>
      </c>
      <c r="Y160" s="95">
        <v>60</v>
      </c>
      <c r="Z160" s="95">
        <v>60</v>
      </c>
      <c r="AA160" s="95">
        <v>60</v>
      </c>
      <c r="AB160" s="95">
        <v>60</v>
      </c>
      <c r="AC160" s="95">
        <v>60</v>
      </c>
      <c r="AD160" s="95">
        <v>60</v>
      </c>
      <c r="AE160" s="95">
        <v>60</v>
      </c>
      <c r="AF160" s="95">
        <v>60</v>
      </c>
      <c r="AG160" s="95">
        <v>60</v>
      </c>
      <c r="AH160" s="95">
        <v>69</v>
      </c>
      <c r="AI160" s="147"/>
      <c r="AJ160" s="147"/>
      <c r="AK160" s="147"/>
      <c r="AL160" s="117"/>
      <c r="AM160" s="92"/>
      <c r="AN160" s="92"/>
      <c r="AO160" s="92"/>
      <c r="AQ160" s="144">
        <f>SUM(O160:AO160)</f>
        <v>1164</v>
      </c>
      <c r="AR160" s="144">
        <f>+K160-AQ160</f>
        <v>0</v>
      </c>
      <c r="AT160" s="372">
        <f>+F160*K160</f>
        <v>1825524.48</v>
      </c>
      <c r="AV160" s="263">
        <f>SUM(W160:AO160)</f>
        <v>729</v>
      </c>
      <c r="AW160" s="263">
        <f>+L160-AV160</f>
        <v>184</v>
      </c>
      <c r="BA160" s="318">
        <f t="shared" si="98"/>
        <v>435</v>
      </c>
    </row>
    <row r="161" spans="1:53" s="2" customFormat="1" ht="10.5" customHeight="1">
      <c r="A161" s="10" t="s">
        <v>12</v>
      </c>
      <c r="B161" s="15"/>
      <c r="C161" s="343"/>
      <c r="D161" s="340"/>
      <c r="E161" s="346"/>
      <c r="F161" s="373"/>
      <c r="G161" s="277"/>
      <c r="H161" s="277"/>
      <c r="I161" s="277"/>
      <c r="J161" s="277"/>
      <c r="K161" s="277"/>
      <c r="L161" s="277"/>
      <c r="M161" s="59"/>
      <c r="N161" s="87" t="s">
        <v>163</v>
      </c>
      <c r="O161" s="62">
        <f t="shared" ref="O161:U161" si="123">+O160/$K160</f>
        <v>0</v>
      </c>
      <c r="P161" s="62">
        <f t="shared" si="123"/>
        <v>0</v>
      </c>
      <c r="Q161" s="62">
        <f t="shared" si="123"/>
        <v>0</v>
      </c>
      <c r="R161" s="62">
        <f t="shared" si="123"/>
        <v>0</v>
      </c>
      <c r="S161" s="62">
        <f t="shared" si="123"/>
        <v>0</v>
      </c>
      <c r="T161" s="62">
        <f t="shared" si="123"/>
        <v>0</v>
      </c>
      <c r="U161" s="62">
        <f t="shared" si="123"/>
        <v>0.37369999999999998</v>
      </c>
      <c r="V161" s="116"/>
      <c r="W161" s="62">
        <f t="shared" ref="W161:AK161" si="124">+W160/$K160</f>
        <v>5.1499999999999997E-2</v>
      </c>
      <c r="X161" s="62">
        <f t="shared" si="124"/>
        <v>5.1499999999999997E-2</v>
      </c>
      <c r="Y161" s="62">
        <f t="shared" si="124"/>
        <v>5.1499999999999997E-2</v>
      </c>
      <c r="Z161" s="62">
        <f t="shared" si="124"/>
        <v>5.1499999999999997E-2</v>
      </c>
      <c r="AA161" s="62">
        <f t="shared" si="124"/>
        <v>5.1499999999999997E-2</v>
      </c>
      <c r="AB161" s="62">
        <f t="shared" si="124"/>
        <v>5.1499999999999997E-2</v>
      </c>
      <c r="AC161" s="62">
        <f t="shared" si="124"/>
        <v>5.1499999999999997E-2</v>
      </c>
      <c r="AD161" s="62">
        <f t="shared" si="124"/>
        <v>5.1499999999999997E-2</v>
      </c>
      <c r="AE161" s="62">
        <f t="shared" si="124"/>
        <v>5.1499999999999997E-2</v>
      </c>
      <c r="AF161" s="62">
        <f t="shared" si="124"/>
        <v>5.1499999999999997E-2</v>
      </c>
      <c r="AG161" s="62">
        <f t="shared" si="124"/>
        <v>5.1499999999999997E-2</v>
      </c>
      <c r="AH161" s="62">
        <f t="shared" si="124"/>
        <v>5.9299999999999999E-2</v>
      </c>
      <c r="AI161" s="62">
        <f t="shared" si="124"/>
        <v>0</v>
      </c>
      <c r="AJ161" s="62">
        <f t="shared" si="124"/>
        <v>0</v>
      </c>
      <c r="AK161" s="62">
        <f t="shared" si="124"/>
        <v>0</v>
      </c>
      <c r="AL161" s="117"/>
      <c r="AM161" s="88"/>
      <c r="AN161" s="88"/>
      <c r="AO161" s="88"/>
      <c r="AQ161" s="149">
        <f>SUM(O161:AO161)</f>
        <v>0.99950000000000006</v>
      </c>
      <c r="AR161" s="146"/>
      <c r="AT161" s="389"/>
      <c r="AV161" s="266"/>
      <c r="AW161" s="266"/>
      <c r="BA161" s="318"/>
    </row>
    <row r="162" spans="1:53" s="2" customFormat="1" ht="10.5" hidden="1" customHeight="1">
      <c r="A162" s="11" t="s">
        <v>13</v>
      </c>
      <c r="B162" s="15"/>
      <c r="C162" s="343"/>
      <c r="D162" s="340"/>
      <c r="E162" s="346"/>
      <c r="F162" s="373"/>
      <c r="G162" s="277"/>
      <c r="H162" s="277"/>
      <c r="I162" s="277"/>
      <c r="J162" s="277"/>
      <c r="K162" s="277"/>
      <c r="L162" s="277"/>
      <c r="M162" s="59"/>
      <c r="N162" s="89"/>
      <c r="O162" s="63"/>
      <c r="P162" s="63"/>
      <c r="Q162" s="63"/>
      <c r="R162" s="63"/>
      <c r="S162" s="63"/>
      <c r="T162" s="63"/>
      <c r="U162" s="93"/>
      <c r="V162" s="117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117"/>
      <c r="AM162" s="88"/>
      <c r="AN162" s="88"/>
      <c r="AO162" s="88"/>
      <c r="AQ162" s="145"/>
      <c r="AR162" s="146"/>
      <c r="AT162" s="389"/>
      <c r="AV162" s="197"/>
      <c r="AW162" s="197"/>
      <c r="BA162" s="318"/>
    </row>
    <row r="163" spans="1:53" s="2" customFormat="1" ht="10.5" customHeight="1">
      <c r="A163" s="12">
        <v>1</v>
      </c>
      <c r="B163" s="15"/>
      <c r="C163" s="344"/>
      <c r="D163" s="341"/>
      <c r="E163" s="347"/>
      <c r="F163" s="374"/>
      <c r="G163" s="307">
        <f>ROUND(G160*$F160,2)</f>
        <v>1739266.88</v>
      </c>
      <c r="H163" s="307">
        <f>ROUND(H160*$F160,2)</f>
        <v>1825524.48</v>
      </c>
      <c r="I163" s="307">
        <f>ROUND(I160*$F160,2)</f>
        <v>393648.32</v>
      </c>
      <c r="J163" s="307">
        <f>J160*$F160</f>
        <v>0</v>
      </c>
      <c r="K163" s="307">
        <f>ROUND(K160*$F160,2)</f>
        <v>1825524.48</v>
      </c>
      <c r="L163" s="307">
        <f>ROUND(L160*$F160,2)</f>
        <v>1431876.16</v>
      </c>
      <c r="M163" s="59"/>
      <c r="N163" s="90" t="s">
        <v>164</v>
      </c>
      <c r="O163" s="64">
        <f t="shared" ref="O163:U163" si="125">O160*$F160</f>
        <v>0</v>
      </c>
      <c r="P163" s="64">
        <f t="shared" si="125"/>
        <v>0</v>
      </c>
      <c r="Q163" s="64">
        <f t="shared" si="125"/>
        <v>0</v>
      </c>
      <c r="R163" s="64">
        <f t="shared" si="125"/>
        <v>0</v>
      </c>
      <c r="S163" s="64">
        <f t="shared" si="125"/>
        <v>0</v>
      </c>
      <c r="T163" s="64">
        <f t="shared" si="125"/>
        <v>0</v>
      </c>
      <c r="U163" s="64">
        <f t="shared" si="125"/>
        <v>682219.2</v>
      </c>
      <c r="V163" s="118"/>
      <c r="W163" s="64">
        <f>W160*$F160</f>
        <v>94099.199999999997</v>
      </c>
      <c r="X163" s="64">
        <f>X160*$F160</f>
        <v>94099.199999999997</v>
      </c>
      <c r="Y163" s="64">
        <f>Y160*$F160</f>
        <v>94099.199999999997</v>
      </c>
      <c r="Z163" s="64">
        <f>Z160*$F160</f>
        <v>94099.199999999997</v>
      </c>
      <c r="AA163" s="64">
        <f t="shared" ref="AA163:AK163" si="126">AA160*$F160</f>
        <v>94099.199999999997</v>
      </c>
      <c r="AB163" s="64">
        <f t="shared" si="126"/>
        <v>94099.199999999997</v>
      </c>
      <c r="AC163" s="64">
        <f t="shared" si="126"/>
        <v>94099.199999999997</v>
      </c>
      <c r="AD163" s="64">
        <f t="shared" si="126"/>
        <v>94099.199999999997</v>
      </c>
      <c r="AE163" s="64">
        <f t="shared" si="126"/>
        <v>94099.199999999997</v>
      </c>
      <c r="AF163" s="64">
        <f t="shared" si="126"/>
        <v>94099.199999999997</v>
      </c>
      <c r="AG163" s="64">
        <f t="shared" si="126"/>
        <v>94099.199999999997</v>
      </c>
      <c r="AH163" s="64">
        <f t="shared" si="126"/>
        <v>108214.08</v>
      </c>
      <c r="AI163" s="64">
        <f t="shared" si="126"/>
        <v>0</v>
      </c>
      <c r="AJ163" s="64">
        <f t="shared" si="126"/>
        <v>0</v>
      </c>
      <c r="AK163" s="64">
        <f t="shared" si="126"/>
        <v>0</v>
      </c>
      <c r="AL163" s="123"/>
      <c r="AM163" s="91"/>
      <c r="AN163" s="91"/>
      <c r="AO163" s="91"/>
      <c r="AQ163" s="69">
        <f>SUM(O163:AO163)</f>
        <v>1825524.48</v>
      </c>
      <c r="AR163" s="69">
        <f>+K163-AQ163</f>
        <v>0</v>
      </c>
      <c r="AT163" s="390"/>
      <c r="AV163" s="196"/>
      <c r="AW163" s="196"/>
      <c r="BA163" s="318"/>
    </row>
    <row r="164" spans="1:53" s="2" customFormat="1" ht="10.5" customHeight="1">
      <c r="A164" s="12"/>
      <c r="B164" s="15"/>
      <c r="C164" s="342">
        <v>37</v>
      </c>
      <c r="D164" s="339" t="s">
        <v>83</v>
      </c>
      <c r="E164" s="345" t="s">
        <v>237</v>
      </c>
      <c r="F164" s="372">
        <v>169.92</v>
      </c>
      <c r="G164" s="284">
        <v>9084</v>
      </c>
      <c r="H164" s="284">
        <v>9084</v>
      </c>
      <c r="I164" s="284"/>
      <c r="J164" s="284"/>
      <c r="K164" s="284">
        <f>H164+J164</f>
        <v>9084</v>
      </c>
      <c r="L164" s="284">
        <f>+H164-I164+J164</f>
        <v>9084</v>
      </c>
      <c r="M164" s="59"/>
      <c r="N164" s="85" t="s">
        <v>162</v>
      </c>
      <c r="O164" s="95"/>
      <c r="P164" s="95"/>
      <c r="Q164" s="95"/>
      <c r="R164" s="95"/>
      <c r="S164" s="95"/>
      <c r="T164" s="95"/>
      <c r="U164" s="61"/>
      <c r="V164" s="119"/>
      <c r="W164" s="95">
        <v>600</v>
      </c>
      <c r="X164" s="95">
        <v>600</v>
      </c>
      <c r="Y164" s="95">
        <v>600</v>
      </c>
      <c r="Z164" s="95">
        <v>600</v>
      </c>
      <c r="AA164" s="95">
        <v>600</v>
      </c>
      <c r="AB164" s="95">
        <v>600</v>
      </c>
      <c r="AC164" s="95">
        <v>600</v>
      </c>
      <c r="AD164" s="95">
        <v>600</v>
      </c>
      <c r="AE164" s="95">
        <v>1000</v>
      </c>
      <c r="AF164" s="95">
        <v>1000</v>
      </c>
      <c r="AG164" s="95">
        <v>1000</v>
      </c>
      <c r="AH164" s="95">
        <v>1284</v>
      </c>
      <c r="AI164" s="147"/>
      <c r="AJ164" s="147"/>
      <c r="AK164" s="147"/>
      <c r="AL164" s="117"/>
      <c r="AM164" s="92"/>
      <c r="AN164" s="92"/>
      <c r="AO164" s="92"/>
      <c r="AQ164" s="144">
        <f>SUM(O164:AO164)</f>
        <v>9084</v>
      </c>
      <c r="AR164" s="144">
        <f>+K164-AQ164</f>
        <v>0</v>
      </c>
      <c r="AT164" s="372">
        <f>+F164*K164</f>
        <v>1543553.28</v>
      </c>
      <c r="AV164" s="263">
        <f>SUM(W164:AO164)</f>
        <v>9084</v>
      </c>
      <c r="AW164" s="263">
        <f>+L164-AV164</f>
        <v>0</v>
      </c>
      <c r="BA164" s="318">
        <f t="shared" si="98"/>
        <v>0</v>
      </c>
    </row>
    <row r="165" spans="1:53" s="2" customFormat="1" ht="10.5" customHeight="1">
      <c r="A165" s="10" t="s">
        <v>12</v>
      </c>
      <c r="B165" s="15"/>
      <c r="C165" s="343"/>
      <c r="D165" s="340"/>
      <c r="E165" s="346"/>
      <c r="F165" s="373"/>
      <c r="G165" s="277"/>
      <c r="H165" s="277"/>
      <c r="I165" s="277"/>
      <c r="J165" s="277"/>
      <c r="K165" s="277"/>
      <c r="L165" s="277"/>
      <c r="M165" s="59"/>
      <c r="N165" s="87" t="s">
        <v>163</v>
      </c>
      <c r="O165" s="62">
        <f t="shared" ref="O165:T165" si="127">+O164/$K164</f>
        <v>0</v>
      </c>
      <c r="P165" s="62">
        <f t="shared" si="127"/>
        <v>0</v>
      </c>
      <c r="Q165" s="62">
        <f t="shared" si="127"/>
        <v>0</v>
      </c>
      <c r="R165" s="62">
        <f t="shared" si="127"/>
        <v>0</v>
      </c>
      <c r="S165" s="62">
        <f t="shared" si="127"/>
        <v>0</v>
      </c>
      <c r="T165" s="62">
        <f t="shared" si="127"/>
        <v>0</v>
      </c>
      <c r="U165" s="62">
        <f>+U164/$K164</f>
        <v>0</v>
      </c>
      <c r="V165" s="116"/>
      <c r="W165" s="62">
        <f t="shared" ref="W165:X165" si="128">+W164/$K164</f>
        <v>6.6100000000000006E-2</v>
      </c>
      <c r="X165" s="62">
        <f t="shared" si="128"/>
        <v>6.6100000000000006E-2</v>
      </c>
      <c r="Y165" s="62">
        <f t="shared" ref="Y165:AK165" si="129">+Y164/$K164</f>
        <v>6.6100000000000006E-2</v>
      </c>
      <c r="Z165" s="62">
        <f t="shared" si="129"/>
        <v>6.6100000000000006E-2</v>
      </c>
      <c r="AA165" s="62">
        <f t="shared" si="129"/>
        <v>6.6100000000000006E-2</v>
      </c>
      <c r="AB165" s="62">
        <f t="shared" si="129"/>
        <v>6.6100000000000006E-2</v>
      </c>
      <c r="AC165" s="62">
        <f t="shared" si="129"/>
        <v>6.6100000000000006E-2</v>
      </c>
      <c r="AD165" s="62">
        <f t="shared" si="129"/>
        <v>6.6100000000000006E-2</v>
      </c>
      <c r="AE165" s="62">
        <f t="shared" si="129"/>
        <v>0.1101</v>
      </c>
      <c r="AF165" s="62">
        <f t="shared" si="129"/>
        <v>0.1101</v>
      </c>
      <c r="AG165" s="62">
        <f t="shared" si="129"/>
        <v>0.1101</v>
      </c>
      <c r="AH165" s="62">
        <f t="shared" si="129"/>
        <v>0.14130000000000001</v>
      </c>
      <c r="AI165" s="62">
        <f t="shared" si="129"/>
        <v>0</v>
      </c>
      <c r="AJ165" s="62">
        <f t="shared" si="129"/>
        <v>0</v>
      </c>
      <c r="AK165" s="62">
        <f t="shared" si="129"/>
        <v>0</v>
      </c>
      <c r="AL165" s="117"/>
      <c r="AM165" s="88"/>
      <c r="AN165" s="88"/>
      <c r="AO165" s="88"/>
      <c r="AQ165" s="149">
        <f>SUM(O165:AO165)</f>
        <v>1.0004</v>
      </c>
      <c r="AR165" s="146"/>
      <c r="AT165" s="389"/>
      <c r="AV165" s="266"/>
      <c r="AW165" s="266"/>
      <c r="BA165" s="318">
        <f t="shared" si="98"/>
        <v>0</v>
      </c>
    </row>
    <row r="166" spans="1:53" s="2" customFormat="1" ht="10.5" hidden="1" customHeight="1">
      <c r="A166" s="11" t="s">
        <v>13</v>
      </c>
      <c r="B166" s="15"/>
      <c r="C166" s="343"/>
      <c r="D166" s="340"/>
      <c r="E166" s="346"/>
      <c r="F166" s="373"/>
      <c r="G166" s="277"/>
      <c r="H166" s="277"/>
      <c r="I166" s="277"/>
      <c r="J166" s="277"/>
      <c r="K166" s="277"/>
      <c r="L166" s="277"/>
      <c r="M166" s="59"/>
      <c r="N166" s="89"/>
      <c r="O166" s="63"/>
      <c r="P166" s="63"/>
      <c r="Q166" s="63"/>
      <c r="R166" s="63"/>
      <c r="S166" s="63"/>
      <c r="T166" s="63"/>
      <c r="U166" s="93"/>
      <c r="V166" s="117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117"/>
      <c r="AM166" s="88"/>
      <c r="AN166" s="88"/>
      <c r="AO166" s="88"/>
      <c r="AQ166" s="145"/>
      <c r="AR166" s="146"/>
      <c r="AT166" s="389"/>
      <c r="AV166" s="197"/>
      <c r="AW166" s="197"/>
      <c r="BA166" s="318">
        <f t="shared" si="98"/>
        <v>0</v>
      </c>
    </row>
    <row r="167" spans="1:53" s="2" customFormat="1" ht="10.5" customHeight="1">
      <c r="A167" s="12">
        <v>1</v>
      </c>
      <c r="B167" s="15"/>
      <c r="C167" s="344"/>
      <c r="D167" s="341"/>
      <c r="E167" s="347"/>
      <c r="F167" s="374"/>
      <c r="G167" s="307">
        <f>ROUND(G164*$F164,2)</f>
        <v>1543553.28</v>
      </c>
      <c r="H167" s="307">
        <f>ROUND(H164*$F164,2)</f>
        <v>1543553.28</v>
      </c>
      <c r="I167" s="307">
        <f>ROUND(I164*$F164,2)</f>
        <v>0</v>
      </c>
      <c r="J167" s="307">
        <f>J164*$F164</f>
        <v>0</v>
      </c>
      <c r="K167" s="307">
        <f>ROUND(K164*$F164,2)</f>
        <v>1543553.28</v>
      </c>
      <c r="L167" s="307">
        <f>ROUND(L164*$F164,2)</f>
        <v>1543553.28</v>
      </c>
      <c r="M167" s="59"/>
      <c r="N167" s="90" t="s">
        <v>164</v>
      </c>
      <c r="O167" s="64">
        <f t="shared" ref="O167:T167" si="130">O164*$F164</f>
        <v>0</v>
      </c>
      <c r="P167" s="64">
        <f t="shared" si="130"/>
        <v>0</v>
      </c>
      <c r="Q167" s="64">
        <f t="shared" si="130"/>
        <v>0</v>
      </c>
      <c r="R167" s="64">
        <f t="shared" si="130"/>
        <v>0</v>
      </c>
      <c r="S167" s="64">
        <f t="shared" si="130"/>
        <v>0</v>
      </c>
      <c r="T167" s="64">
        <f t="shared" si="130"/>
        <v>0</v>
      </c>
      <c r="U167" s="64">
        <f>U164*$F164</f>
        <v>0</v>
      </c>
      <c r="V167" s="118"/>
      <c r="W167" s="64">
        <f t="shared" ref="W167:X167" si="131">W164*$F164</f>
        <v>101952</v>
      </c>
      <c r="X167" s="64">
        <f t="shared" si="131"/>
        <v>101952</v>
      </c>
      <c r="Y167" s="64">
        <f t="shared" ref="Y167:AC167" si="132">Y164*$F164</f>
        <v>101952</v>
      </c>
      <c r="Z167" s="64">
        <f t="shared" si="132"/>
        <v>101952</v>
      </c>
      <c r="AA167" s="64">
        <f t="shared" si="132"/>
        <v>101952</v>
      </c>
      <c r="AB167" s="64">
        <f t="shared" si="132"/>
        <v>101952</v>
      </c>
      <c r="AC167" s="64">
        <f t="shared" si="132"/>
        <v>101952</v>
      </c>
      <c r="AD167" s="64">
        <f t="shared" ref="AD167:AK167" si="133">AD164*$F164</f>
        <v>101952</v>
      </c>
      <c r="AE167" s="64">
        <f t="shared" si="133"/>
        <v>169920</v>
      </c>
      <c r="AF167" s="64">
        <f t="shared" si="133"/>
        <v>169920</v>
      </c>
      <c r="AG167" s="64">
        <f t="shared" si="133"/>
        <v>169920</v>
      </c>
      <c r="AH167" s="64">
        <f t="shared" si="133"/>
        <v>218177.28</v>
      </c>
      <c r="AI167" s="64">
        <f t="shared" si="133"/>
        <v>0</v>
      </c>
      <c r="AJ167" s="64">
        <f t="shared" si="133"/>
        <v>0</v>
      </c>
      <c r="AK167" s="64">
        <f t="shared" si="133"/>
        <v>0</v>
      </c>
      <c r="AL167" s="123"/>
      <c r="AM167" s="91"/>
      <c r="AN167" s="91"/>
      <c r="AO167" s="91"/>
      <c r="AQ167" s="69">
        <f>SUM(O167:AO167)</f>
        <v>1543553.28</v>
      </c>
      <c r="AR167" s="69">
        <f>+K167-AQ167</f>
        <v>0</v>
      </c>
      <c r="AT167" s="390"/>
      <c r="AV167" s="196"/>
      <c r="AW167" s="196"/>
      <c r="BA167" s="318">
        <f t="shared" si="98"/>
        <v>0</v>
      </c>
    </row>
    <row r="168" spans="1:53" s="2" customFormat="1" ht="10.5" customHeight="1">
      <c r="A168" s="12"/>
      <c r="B168" s="15"/>
      <c r="C168" s="342">
        <v>38</v>
      </c>
      <c r="D168" s="339" t="s">
        <v>84</v>
      </c>
      <c r="E168" s="345" t="s">
        <v>237</v>
      </c>
      <c r="F168" s="372">
        <v>210.99</v>
      </c>
      <c r="G168" s="284">
        <v>17513</v>
      </c>
      <c r="H168" s="284">
        <v>17513</v>
      </c>
      <c r="I168" s="284"/>
      <c r="J168" s="284"/>
      <c r="K168" s="284">
        <f>H168+J168</f>
        <v>17513</v>
      </c>
      <c r="L168" s="284">
        <f>+H168-I168+J168</f>
        <v>17513</v>
      </c>
      <c r="M168" s="59"/>
      <c r="N168" s="85" t="s">
        <v>162</v>
      </c>
      <c r="O168" s="95"/>
      <c r="P168" s="95"/>
      <c r="Q168" s="95"/>
      <c r="R168" s="95"/>
      <c r="S168" s="95"/>
      <c r="T168" s="95"/>
      <c r="U168" s="61"/>
      <c r="V168" s="119"/>
      <c r="W168" s="95">
        <f t="shared" ref="W168:X168" si="134">+W165*$K$168</f>
        <v>1157.6099999999999</v>
      </c>
      <c r="X168" s="95">
        <f t="shared" si="134"/>
        <v>1157.6099999999999</v>
      </c>
      <c r="Y168" s="95">
        <f t="shared" ref="Y168:AI168" si="135">+Y165*$K$168</f>
        <v>1157.6099999999999</v>
      </c>
      <c r="Z168" s="95">
        <f t="shared" si="135"/>
        <v>1157.6099999999999</v>
      </c>
      <c r="AA168" s="95">
        <f t="shared" si="135"/>
        <v>1157.6099999999999</v>
      </c>
      <c r="AB168" s="95">
        <f t="shared" si="135"/>
        <v>1157.6099999999999</v>
      </c>
      <c r="AC168" s="95">
        <f t="shared" si="135"/>
        <v>1157.6099999999999</v>
      </c>
      <c r="AD168" s="95">
        <f t="shared" si="135"/>
        <v>1157.6099999999999</v>
      </c>
      <c r="AE168" s="95">
        <f t="shared" si="135"/>
        <v>1928.18</v>
      </c>
      <c r="AF168" s="95">
        <f t="shared" si="135"/>
        <v>1928.18</v>
      </c>
      <c r="AG168" s="95">
        <f t="shared" si="135"/>
        <v>1928.18</v>
      </c>
      <c r="AH168" s="95">
        <f>+AH165*$K$168-7.01</f>
        <v>2467.58</v>
      </c>
      <c r="AI168" s="95">
        <f t="shared" si="135"/>
        <v>0</v>
      </c>
      <c r="AJ168" s="95">
        <f>+AJ165*$K$168</f>
        <v>0</v>
      </c>
      <c r="AK168" s="95">
        <f>+AK165*$K$168</f>
        <v>0</v>
      </c>
      <c r="AL168" s="117"/>
      <c r="AM168" s="92"/>
      <c r="AN168" s="92"/>
      <c r="AO168" s="92"/>
      <c r="AQ168" s="144">
        <f>SUM(O168:AO168)</f>
        <v>17513</v>
      </c>
      <c r="AR168" s="144">
        <f>+K168-AQ168</f>
        <v>0</v>
      </c>
      <c r="AT168" s="372">
        <f>+F168*K168</f>
        <v>3695067.87</v>
      </c>
      <c r="AV168" s="263">
        <f>SUM(W168:AO168)</f>
        <v>17513</v>
      </c>
      <c r="AW168" s="263">
        <f>+L168-AV168</f>
        <v>0</v>
      </c>
      <c r="BA168" s="318">
        <f t="shared" si="98"/>
        <v>0</v>
      </c>
    </row>
    <row r="169" spans="1:53" s="2" customFormat="1" ht="10.5" customHeight="1">
      <c r="A169" s="10" t="s">
        <v>12</v>
      </c>
      <c r="B169" s="15"/>
      <c r="C169" s="343"/>
      <c r="D169" s="340"/>
      <c r="E169" s="346"/>
      <c r="F169" s="373"/>
      <c r="G169" s="277"/>
      <c r="H169" s="277"/>
      <c r="I169" s="277"/>
      <c r="J169" s="277"/>
      <c r="K169" s="277"/>
      <c r="L169" s="277"/>
      <c r="M169" s="59"/>
      <c r="N169" s="87" t="s">
        <v>163</v>
      </c>
      <c r="O169" s="62">
        <f t="shared" ref="O169:T169" si="136">+O168/$K168</f>
        <v>0</v>
      </c>
      <c r="P169" s="62">
        <f t="shared" si="136"/>
        <v>0</v>
      </c>
      <c r="Q169" s="62">
        <f t="shared" si="136"/>
        <v>0</v>
      </c>
      <c r="R169" s="62">
        <f t="shared" si="136"/>
        <v>0</v>
      </c>
      <c r="S169" s="62">
        <f t="shared" si="136"/>
        <v>0</v>
      </c>
      <c r="T169" s="62">
        <f t="shared" si="136"/>
        <v>0</v>
      </c>
      <c r="U169" s="62">
        <f>+U168/$K168</f>
        <v>0</v>
      </c>
      <c r="V169" s="116"/>
      <c r="W169" s="62">
        <f t="shared" ref="W169:X169" si="137">+W168/$K168</f>
        <v>6.6100000000000006E-2</v>
      </c>
      <c r="X169" s="62">
        <f t="shared" si="137"/>
        <v>6.6100000000000006E-2</v>
      </c>
      <c r="Y169" s="62">
        <f t="shared" ref="Y169:AK169" si="138">+Y168/$K168</f>
        <v>6.6100000000000006E-2</v>
      </c>
      <c r="Z169" s="62">
        <f t="shared" si="138"/>
        <v>6.6100000000000006E-2</v>
      </c>
      <c r="AA169" s="62">
        <f t="shared" si="138"/>
        <v>6.6100000000000006E-2</v>
      </c>
      <c r="AB169" s="62">
        <f t="shared" si="138"/>
        <v>6.6100000000000006E-2</v>
      </c>
      <c r="AC169" s="62">
        <f t="shared" si="138"/>
        <v>6.6100000000000006E-2</v>
      </c>
      <c r="AD169" s="62">
        <f t="shared" si="138"/>
        <v>6.6100000000000006E-2</v>
      </c>
      <c r="AE169" s="62">
        <f t="shared" si="138"/>
        <v>0.1101</v>
      </c>
      <c r="AF169" s="62">
        <f t="shared" si="138"/>
        <v>0.1101</v>
      </c>
      <c r="AG169" s="62">
        <f t="shared" si="138"/>
        <v>0.1101</v>
      </c>
      <c r="AH169" s="62">
        <f t="shared" si="138"/>
        <v>0.1409</v>
      </c>
      <c r="AI169" s="62">
        <f t="shared" si="138"/>
        <v>0</v>
      </c>
      <c r="AJ169" s="62">
        <f t="shared" si="138"/>
        <v>0</v>
      </c>
      <c r="AK169" s="62">
        <f t="shared" si="138"/>
        <v>0</v>
      </c>
      <c r="AL169" s="117"/>
      <c r="AM169" s="88"/>
      <c r="AN169" s="88"/>
      <c r="AO169" s="88"/>
      <c r="AQ169" s="149">
        <f>SUM(O169:AO169)</f>
        <v>1</v>
      </c>
      <c r="AR169" s="146"/>
      <c r="AT169" s="389"/>
      <c r="AV169" s="266"/>
      <c r="AW169" s="266"/>
      <c r="BA169" s="318">
        <f t="shared" si="98"/>
        <v>0</v>
      </c>
    </row>
    <row r="170" spans="1:53" s="2" customFormat="1" ht="10.5" hidden="1" customHeight="1">
      <c r="A170" s="11" t="s">
        <v>13</v>
      </c>
      <c r="B170" s="15"/>
      <c r="C170" s="343"/>
      <c r="D170" s="340"/>
      <c r="E170" s="346"/>
      <c r="F170" s="373"/>
      <c r="G170" s="277"/>
      <c r="H170" s="277"/>
      <c r="I170" s="277"/>
      <c r="J170" s="277"/>
      <c r="K170" s="277"/>
      <c r="L170" s="277"/>
      <c r="M170" s="59"/>
      <c r="N170" s="89"/>
      <c r="O170" s="63"/>
      <c r="P170" s="63"/>
      <c r="Q170" s="63"/>
      <c r="R170" s="63"/>
      <c r="S170" s="63"/>
      <c r="T170" s="63"/>
      <c r="U170" s="93"/>
      <c r="V170" s="117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117"/>
      <c r="AM170" s="88"/>
      <c r="AN170" s="88"/>
      <c r="AO170" s="88"/>
      <c r="AQ170" s="145"/>
      <c r="AR170" s="146"/>
      <c r="AT170" s="389"/>
      <c r="AV170" s="197"/>
      <c r="AW170" s="197"/>
      <c r="BA170" s="318">
        <f t="shared" si="98"/>
        <v>0</v>
      </c>
    </row>
    <row r="171" spans="1:53" s="2" customFormat="1" ht="10.5" customHeight="1">
      <c r="A171" s="12">
        <v>1</v>
      </c>
      <c r="B171" s="15"/>
      <c r="C171" s="344"/>
      <c r="D171" s="341"/>
      <c r="E171" s="347"/>
      <c r="F171" s="374"/>
      <c r="G171" s="307">
        <f>ROUND(G168*$F168,2)</f>
        <v>3695067.87</v>
      </c>
      <c r="H171" s="307">
        <f>ROUND(H168*$F168,2)</f>
        <v>3695067.87</v>
      </c>
      <c r="I171" s="307">
        <f>ROUND(I168*$F168,2)</f>
        <v>0</v>
      </c>
      <c r="J171" s="307">
        <f>J168*$F168</f>
        <v>0</v>
      </c>
      <c r="K171" s="307">
        <f>ROUND(K168*$F168,2)</f>
        <v>3695067.87</v>
      </c>
      <c r="L171" s="307">
        <f>ROUND(L168*$F168,2)</f>
        <v>3695067.87</v>
      </c>
      <c r="M171" s="59"/>
      <c r="N171" s="90" t="s">
        <v>164</v>
      </c>
      <c r="O171" s="64">
        <f t="shared" ref="O171:T171" si="139">O168*$F168</f>
        <v>0</v>
      </c>
      <c r="P171" s="64">
        <f t="shared" si="139"/>
        <v>0</v>
      </c>
      <c r="Q171" s="64">
        <f t="shared" si="139"/>
        <v>0</v>
      </c>
      <c r="R171" s="64">
        <f t="shared" si="139"/>
        <v>0</v>
      </c>
      <c r="S171" s="64">
        <f t="shared" si="139"/>
        <v>0</v>
      </c>
      <c r="T171" s="64">
        <f t="shared" si="139"/>
        <v>0</v>
      </c>
      <c r="U171" s="64">
        <f>U168*$F168</f>
        <v>0</v>
      </c>
      <c r="V171" s="118"/>
      <c r="W171" s="64">
        <f t="shared" ref="W171:X171" si="140">W168*$F168</f>
        <v>244244.13</v>
      </c>
      <c r="X171" s="64">
        <f t="shared" si="140"/>
        <v>244244.13</v>
      </c>
      <c r="Y171" s="64">
        <f t="shared" ref="Y171:AJ171" si="141">Y168*$F168</f>
        <v>244244.13</v>
      </c>
      <c r="Z171" s="64">
        <f t="shared" si="141"/>
        <v>244244.13</v>
      </c>
      <c r="AA171" s="64">
        <f t="shared" si="141"/>
        <v>244244.13</v>
      </c>
      <c r="AB171" s="64">
        <f t="shared" si="141"/>
        <v>244244.13</v>
      </c>
      <c r="AC171" s="64">
        <f t="shared" si="141"/>
        <v>244244.13</v>
      </c>
      <c r="AD171" s="64">
        <f t="shared" si="141"/>
        <v>244244.13</v>
      </c>
      <c r="AE171" s="64">
        <f t="shared" si="141"/>
        <v>406826.7</v>
      </c>
      <c r="AF171" s="64">
        <f t="shared" si="141"/>
        <v>406826.7</v>
      </c>
      <c r="AG171" s="64">
        <f t="shared" si="141"/>
        <v>406826.7</v>
      </c>
      <c r="AH171" s="64">
        <f>AH168*$F168+0.03</f>
        <v>520634.73</v>
      </c>
      <c r="AI171" s="64">
        <f t="shared" si="141"/>
        <v>0</v>
      </c>
      <c r="AJ171" s="64">
        <f t="shared" si="141"/>
        <v>0</v>
      </c>
      <c r="AK171" s="64">
        <f>AK168*$F168</f>
        <v>0</v>
      </c>
      <c r="AL171" s="123"/>
      <c r="AM171" s="91"/>
      <c r="AN171" s="91"/>
      <c r="AO171" s="91"/>
      <c r="AQ171" s="69">
        <f>SUM(O171:AO171)</f>
        <v>3695067.87</v>
      </c>
      <c r="AR171" s="69">
        <f>+K171-AQ171</f>
        <v>0</v>
      </c>
      <c r="AT171" s="390"/>
      <c r="AV171" s="196"/>
      <c r="AW171" s="196"/>
      <c r="BA171" s="318">
        <f t="shared" si="98"/>
        <v>0</v>
      </c>
    </row>
    <row r="172" spans="1:53" s="2" customFormat="1" ht="10.5" customHeight="1">
      <c r="A172" s="12"/>
      <c r="B172" s="15"/>
      <c r="C172" s="342">
        <v>39</v>
      </c>
      <c r="D172" s="339" t="s">
        <v>85</v>
      </c>
      <c r="E172" s="345" t="s">
        <v>237</v>
      </c>
      <c r="F172" s="372">
        <v>78.13</v>
      </c>
      <c r="G172" s="284">
        <v>1511</v>
      </c>
      <c r="H172" s="284">
        <v>1511</v>
      </c>
      <c r="I172" s="284"/>
      <c r="J172" s="284"/>
      <c r="K172" s="284">
        <f>H172+J172</f>
        <v>1511</v>
      </c>
      <c r="L172" s="284">
        <f>+H172-I172+J172</f>
        <v>1511</v>
      </c>
      <c r="M172" s="59"/>
      <c r="N172" s="85" t="s">
        <v>162</v>
      </c>
      <c r="O172" s="95"/>
      <c r="P172" s="95"/>
      <c r="Q172" s="95"/>
      <c r="R172" s="95"/>
      <c r="S172" s="95"/>
      <c r="T172" s="95"/>
      <c r="U172" s="61">
        <f>+I172</f>
        <v>0</v>
      </c>
      <c r="V172" s="119"/>
      <c r="W172" s="95">
        <v>125</v>
      </c>
      <c r="X172" s="95">
        <v>125</v>
      </c>
      <c r="Y172" s="95">
        <v>125</v>
      </c>
      <c r="Z172" s="95">
        <v>125</v>
      </c>
      <c r="AA172" s="95">
        <v>125</v>
      </c>
      <c r="AB172" s="95">
        <v>125</v>
      </c>
      <c r="AC172" s="95">
        <v>125</v>
      </c>
      <c r="AD172" s="95">
        <v>125</v>
      </c>
      <c r="AE172" s="95">
        <v>125</v>
      </c>
      <c r="AF172" s="95">
        <v>125</v>
      </c>
      <c r="AG172" s="95">
        <v>125</v>
      </c>
      <c r="AH172" s="95">
        <v>136</v>
      </c>
      <c r="AI172" s="147"/>
      <c r="AJ172" s="147"/>
      <c r="AK172" s="147"/>
      <c r="AL172" s="117"/>
      <c r="AM172" s="92"/>
      <c r="AN172" s="92"/>
      <c r="AO172" s="92"/>
      <c r="AQ172" s="144">
        <f>SUM(O172:AO172)</f>
        <v>1511</v>
      </c>
      <c r="AR172" s="144">
        <f>+K172-AQ172</f>
        <v>0</v>
      </c>
      <c r="AT172" s="372">
        <f>+F172*K172</f>
        <v>118054.43</v>
      </c>
      <c r="AV172" s="263">
        <f>SUM(W172:AO172)</f>
        <v>1511</v>
      </c>
      <c r="AW172" s="263">
        <f>+L172-AV172</f>
        <v>0</v>
      </c>
      <c r="BA172" s="318">
        <f t="shared" si="98"/>
        <v>0</v>
      </c>
    </row>
    <row r="173" spans="1:53" s="2" customFormat="1" ht="10.5" customHeight="1">
      <c r="A173" s="10" t="s">
        <v>12</v>
      </c>
      <c r="B173" s="15"/>
      <c r="C173" s="343"/>
      <c r="D173" s="340"/>
      <c r="E173" s="346"/>
      <c r="F173" s="373"/>
      <c r="G173" s="277"/>
      <c r="H173" s="277"/>
      <c r="I173" s="277"/>
      <c r="J173" s="277"/>
      <c r="K173" s="277"/>
      <c r="L173" s="277"/>
      <c r="M173" s="59"/>
      <c r="N173" s="87" t="s">
        <v>163</v>
      </c>
      <c r="O173" s="62">
        <f t="shared" ref="O173:T173" si="142">+O172/$K172</f>
        <v>0</v>
      </c>
      <c r="P173" s="62">
        <f t="shared" si="142"/>
        <v>0</v>
      </c>
      <c r="Q173" s="62">
        <f t="shared" si="142"/>
        <v>0</v>
      </c>
      <c r="R173" s="62">
        <f t="shared" si="142"/>
        <v>0</v>
      </c>
      <c r="S173" s="62">
        <f t="shared" si="142"/>
        <v>0</v>
      </c>
      <c r="T173" s="62">
        <f t="shared" si="142"/>
        <v>0</v>
      </c>
      <c r="U173" s="62">
        <f>+U172/$K172</f>
        <v>0</v>
      </c>
      <c r="V173" s="116"/>
      <c r="W173" s="62">
        <f t="shared" ref="W173:X173" si="143">+W172/$K172</f>
        <v>8.2699999999999996E-2</v>
      </c>
      <c r="X173" s="62">
        <f t="shared" si="143"/>
        <v>8.2699999999999996E-2</v>
      </c>
      <c r="Y173" s="62">
        <f t="shared" ref="Y173" si="144">+Y172/$K172</f>
        <v>8.2699999999999996E-2</v>
      </c>
      <c r="Z173" s="62">
        <f t="shared" ref="Z173:AK173" si="145">+Z172/$K172</f>
        <v>8.2699999999999996E-2</v>
      </c>
      <c r="AA173" s="62">
        <f t="shared" si="145"/>
        <v>8.2699999999999996E-2</v>
      </c>
      <c r="AB173" s="62">
        <f t="shared" si="145"/>
        <v>8.2699999999999996E-2</v>
      </c>
      <c r="AC173" s="62">
        <f t="shared" si="145"/>
        <v>8.2699999999999996E-2</v>
      </c>
      <c r="AD173" s="62">
        <f t="shared" si="145"/>
        <v>8.2699999999999996E-2</v>
      </c>
      <c r="AE173" s="62">
        <f t="shared" si="145"/>
        <v>8.2699999999999996E-2</v>
      </c>
      <c r="AF173" s="62">
        <f t="shared" si="145"/>
        <v>8.2699999999999996E-2</v>
      </c>
      <c r="AG173" s="62">
        <f t="shared" si="145"/>
        <v>8.2699999999999996E-2</v>
      </c>
      <c r="AH173" s="62">
        <f t="shared" si="145"/>
        <v>0.09</v>
      </c>
      <c r="AI173" s="62">
        <f t="shared" si="145"/>
        <v>0</v>
      </c>
      <c r="AJ173" s="62">
        <f t="shared" si="145"/>
        <v>0</v>
      </c>
      <c r="AK173" s="62">
        <f t="shared" si="145"/>
        <v>0</v>
      </c>
      <c r="AL173" s="117"/>
      <c r="AM173" s="88"/>
      <c r="AN173" s="88"/>
      <c r="AO173" s="88"/>
      <c r="AQ173" s="149">
        <f>SUM(O173:AO173)</f>
        <v>0.99970000000000003</v>
      </c>
      <c r="AR173" s="146"/>
      <c r="AT173" s="389"/>
      <c r="AV173" s="266"/>
      <c r="AW173" s="266"/>
      <c r="BA173" s="318">
        <f t="shared" si="98"/>
        <v>0</v>
      </c>
    </row>
    <row r="174" spans="1:53" s="2" customFormat="1" ht="10.5" hidden="1" customHeight="1">
      <c r="A174" s="11" t="s">
        <v>13</v>
      </c>
      <c r="B174" s="15"/>
      <c r="C174" s="343"/>
      <c r="D174" s="340"/>
      <c r="E174" s="346"/>
      <c r="F174" s="373"/>
      <c r="G174" s="277"/>
      <c r="H174" s="277"/>
      <c r="I174" s="277"/>
      <c r="J174" s="277"/>
      <c r="K174" s="277"/>
      <c r="L174" s="277"/>
      <c r="M174" s="59"/>
      <c r="N174" s="89"/>
      <c r="O174" s="63"/>
      <c r="P174" s="63"/>
      <c r="Q174" s="63"/>
      <c r="R174" s="63"/>
      <c r="S174" s="63"/>
      <c r="T174" s="63"/>
      <c r="U174" s="93"/>
      <c r="V174" s="117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117"/>
      <c r="AM174" s="88"/>
      <c r="AN174" s="88"/>
      <c r="AO174" s="88"/>
      <c r="AQ174" s="145"/>
      <c r="AR174" s="146"/>
      <c r="AT174" s="389"/>
      <c r="AV174" s="197"/>
      <c r="AW174" s="197"/>
      <c r="BA174" s="318">
        <f t="shared" si="98"/>
        <v>0</v>
      </c>
    </row>
    <row r="175" spans="1:53" s="2" customFormat="1" ht="10.5" customHeight="1">
      <c r="A175" s="12">
        <v>1</v>
      </c>
      <c r="B175" s="15"/>
      <c r="C175" s="344"/>
      <c r="D175" s="341"/>
      <c r="E175" s="347"/>
      <c r="F175" s="374"/>
      <c r="G175" s="307">
        <f>ROUND(G172*$F172,2)</f>
        <v>118054.43</v>
      </c>
      <c r="H175" s="307">
        <f>ROUND(H172*$F172,2)</f>
        <v>118054.43</v>
      </c>
      <c r="I175" s="307">
        <f>ROUND(I172*$F172,2)</f>
        <v>0</v>
      </c>
      <c r="J175" s="307">
        <f>J172*$F172</f>
        <v>0</v>
      </c>
      <c r="K175" s="307">
        <f>ROUND(K172*$F172,2)</f>
        <v>118054.43</v>
      </c>
      <c r="L175" s="307">
        <f>ROUND(L172*$F172,2)</f>
        <v>118054.43</v>
      </c>
      <c r="M175" s="59"/>
      <c r="N175" s="90" t="s">
        <v>164</v>
      </c>
      <c r="O175" s="64">
        <f t="shared" ref="O175:T175" si="146">O172*$F172</f>
        <v>0</v>
      </c>
      <c r="P175" s="64">
        <f t="shared" si="146"/>
        <v>0</v>
      </c>
      <c r="Q175" s="64">
        <f t="shared" si="146"/>
        <v>0</v>
      </c>
      <c r="R175" s="64">
        <f t="shared" si="146"/>
        <v>0</v>
      </c>
      <c r="S175" s="64">
        <f t="shared" si="146"/>
        <v>0</v>
      </c>
      <c r="T175" s="64">
        <f t="shared" si="146"/>
        <v>0</v>
      </c>
      <c r="U175" s="64">
        <f>U172*$F172</f>
        <v>0</v>
      </c>
      <c r="V175" s="118"/>
      <c r="W175" s="64">
        <f t="shared" ref="W175:X175" si="147">W172*$F172</f>
        <v>9766.25</v>
      </c>
      <c r="X175" s="64">
        <f t="shared" si="147"/>
        <v>9766.25</v>
      </c>
      <c r="Y175" s="64">
        <f t="shared" ref="Y175" si="148">Y172*$F172</f>
        <v>9766.25</v>
      </c>
      <c r="Z175" s="64">
        <f t="shared" ref="Z175:AE175" si="149">Z172*$F172</f>
        <v>9766.25</v>
      </c>
      <c r="AA175" s="64">
        <f t="shared" si="149"/>
        <v>9766.25</v>
      </c>
      <c r="AB175" s="64">
        <f t="shared" si="149"/>
        <v>9766.25</v>
      </c>
      <c r="AC175" s="64">
        <f t="shared" si="149"/>
        <v>9766.25</v>
      </c>
      <c r="AD175" s="64">
        <f t="shared" si="149"/>
        <v>9766.25</v>
      </c>
      <c r="AE175" s="64">
        <f t="shared" si="149"/>
        <v>9766.25</v>
      </c>
      <c r="AF175" s="64">
        <f t="shared" ref="AF175:AK175" si="150">AF172*$F172</f>
        <v>9766.25</v>
      </c>
      <c r="AG175" s="64">
        <f t="shared" si="150"/>
        <v>9766.25</v>
      </c>
      <c r="AH175" s="64">
        <f t="shared" si="150"/>
        <v>10625.68</v>
      </c>
      <c r="AI175" s="64">
        <f t="shared" si="150"/>
        <v>0</v>
      </c>
      <c r="AJ175" s="64">
        <f t="shared" si="150"/>
        <v>0</v>
      </c>
      <c r="AK175" s="64">
        <f t="shared" si="150"/>
        <v>0</v>
      </c>
      <c r="AL175" s="123"/>
      <c r="AM175" s="91"/>
      <c r="AN175" s="91"/>
      <c r="AO175" s="91"/>
      <c r="AQ175" s="69">
        <f>SUM(O175:AO175)</f>
        <v>118054.43</v>
      </c>
      <c r="AR175" s="69">
        <f>+K175-AQ175</f>
        <v>0</v>
      </c>
      <c r="AT175" s="390"/>
      <c r="AV175" s="196"/>
      <c r="AW175" s="196"/>
      <c r="BA175" s="318">
        <f t="shared" si="98"/>
        <v>0</v>
      </c>
    </row>
    <row r="176" spans="1:53" s="2" customFormat="1" ht="10.5" customHeight="1">
      <c r="A176" s="12"/>
      <c r="B176" s="15"/>
      <c r="C176" s="342">
        <v>40</v>
      </c>
      <c r="D176" s="339" t="s">
        <v>86</v>
      </c>
      <c r="E176" s="345" t="s">
        <v>233</v>
      </c>
      <c r="F176" s="372">
        <v>104.86</v>
      </c>
      <c r="G176" s="284">
        <v>7151</v>
      </c>
      <c r="H176" s="284">
        <v>7151</v>
      </c>
      <c r="I176" s="284"/>
      <c r="J176" s="284"/>
      <c r="K176" s="284">
        <f>H176+J176</f>
        <v>7151</v>
      </c>
      <c r="L176" s="284">
        <f>+H176-I176+J176</f>
        <v>7151</v>
      </c>
      <c r="M176" s="59"/>
      <c r="N176" s="85" t="s">
        <v>162</v>
      </c>
      <c r="O176" s="95"/>
      <c r="P176" s="95"/>
      <c r="Q176" s="95"/>
      <c r="R176" s="95"/>
      <c r="S176" s="95"/>
      <c r="T176" s="95"/>
      <c r="U176" s="61">
        <f>+I176</f>
        <v>0</v>
      </c>
      <c r="V176" s="119"/>
      <c r="W176" s="95">
        <v>550</v>
      </c>
      <c r="X176" s="95">
        <v>550</v>
      </c>
      <c r="Y176" s="95">
        <v>550</v>
      </c>
      <c r="Z176" s="95">
        <v>550</v>
      </c>
      <c r="AA176" s="95">
        <v>550</v>
      </c>
      <c r="AB176" s="95">
        <v>550</v>
      </c>
      <c r="AC176" s="95">
        <v>550</v>
      </c>
      <c r="AD176" s="95">
        <v>550</v>
      </c>
      <c r="AE176" s="95">
        <v>550</v>
      </c>
      <c r="AF176" s="95">
        <v>800</v>
      </c>
      <c r="AG176" s="95">
        <v>800</v>
      </c>
      <c r="AH176" s="95">
        <v>601</v>
      </c>
      <c r="AI176" s="147"/>
      <c r="AJ176" s="147"/>
      <c r="AK176" s="147"/>
      <c r="AL176" s="117"/>
      <c r="AM176" s="92"/>
      <c r="AN176" s="92"/>
      <c r="AO176" s="92"/>
      <c r="AQ176" s="144">
        <f>SUM(O176:AO176)</f>
        <v>7151</v>
      </c>
      <c r="AR176" s="144">
        <f>+K176-AQ176</f>
        <v>0</v>
      </c>
      <c r="AT176" s="372">
        <f>+F176*K176</f>
        <v>749853.86</v>
      </c>
      <c r="AV176" s="263">
        <f>SUM(W176:AO176)</f>
        <v>7151</v>
      </c>
      <c r="AW176" s="263">
        <f>+L176-AV176</f>
        <v>0</v>
      </c>
      <c r="BA176" s="318">
        <f t="shared" si="98"/>
        <v>0</v>
      </c>
    </row>
    <row r="177" spans="1:53" s="2" customFormat="1" ht="10.5" customHeight="1">
      <c r="A177" s="10" t="s">
        <v>12</v>
      </c>
      <c r="B177" s="15"/>
      <c r="C177" s="343"/>
      <c r="D177" s="340"/>
      <c r="E177" s="346"/>
      <c r="F177" s="373"/>
      <c r="G177" s="277"/>
      <c r="H177" s="277"/>
      <c r="I177" s="277"/>
      <c r="J177" s="277"/>
      <c r="K177" s="277"/>
      <c r="L177" s="277"/>
      <c r="M177" s="59"/>
      <c r="N177" s="87" t="s">
        <v>163</v>
      </c>
      <c r="O177" s="62">
        <f t="shared" ref="O177:T177" si="151">+O176/$K176</f>
        <v>0</v>
      </c>
      <c r="P177" s="62">
        <f t="shared" si="151"/>
        <v>0</v>
      </c>
      <c r="Q177" s="62">
        <f t="shared" si="151"/>
        <v>0</v>
      </c>
      <c r="R177" s="62">
        <f t="shared" si="151"/>
        <v>0</v>
      </c>
      <c r="S177" s="62">
        <f t="shared" si="151"/>
        <v>0</v>
      </c>
      <c r="T177" s="62">
        <f t="shared" si="151"/>
        <v>0</v>
      </c>
      <c r="U177" s="62">
        <f>+U176/$K176</f>
        <v>0</v>
      </c>
      <c r="V177" s="116"/>
      <c r="W177" s="62">
        <f t="shared" ref="W177:X177" si="152">+W176/$K176</f>
        <v>7.6899999999999996E-2</v>
      </c>
      <c r="X177" s="62">
        <f t="shared" si="152"/>
        <v>7.6899999999999996E-2</v>
      </c>
      <c r="Y177" s="62">
        <f t="shared" ref="Y177:AK177" si="153">+Y176/$K176</f>
        <v>7.6899999999999996E-2</v>
      </c>
      <c r="Z177" s="62">
        <f t="shared" si="153"/>
        <v>7.6899999999999996E-2</v>
      </c>
      <c r="AA177" s="62">
        <f t="shared" si="153"/>
        <v>7.6899999999999996E-2</v>
      </c>
      <c r="AB177" s="62">
        <f t="shared" si="153"/>
        <v>7.6899999999999996E-2</v>
      </c>
      <c r="AC177" s="62">
        <f t="shared" si="153"/>
        <v>7.6899999999999996E-2</v>
      </c>
      <c r="AD177" s="62">
        <f t="shared" si="153"/>
        <v>7.6899999999999996E-2</v>
      </c>
      <c r="AE177" s="62">
        <f t="shared" si="153"/>
        <v>7.6899999999999996E-2</v>
      </c>
      <c r="AF177" s="62">
        <f t="shared" si="153"/>
        <v>0.1119</v>
      </c>
      <c r="AG177" s="62">
        <f t="shared" si="153"/>
        <v>0.1119</v>
      </c>
      <c r="AH177" s="62">
        <f t="shared" si="153"/>
        <v>8.4000000000000005E-2</v>
      </c>
      <c r="AI177" s="62">
        <f t="shared" si="153"/>
        <v>0</v>
      </c>
      <c r="AJ177" s="62">
        <f t="shared" si="153"/>
        <v>0</v>
      </c>
      <c r="AK177" s="62">
        <f t="shared" si="153"/>
        <v>0</v>
      </c>
      <c r="AL177" s="117"/>
      <c r="AM177" s="88"/>
      <c r="AN177" s="88"/>
      <c r="AO177" s="88"/>
      <c r="AQ177" s="149">
        <f>SUM(O177:AO177)</f>
        <v>0.99990000000000001</v>
      </c>
      <c r="AR177" s="146"/>
      <c r="AT177" s="389"/>
      <c r="AV177" s="266"/>
      <c r="AW177" s="266"/>
      <c r="BA177" s="318">
        <f t="shared" si="98"/>
        <v>0</v>
      </c>
    </row>
    <row r="178" spans="1:53" s="2" customFormat="1" ht="10.5" hidden="1" customHeight="1">
      <c r="A178" s="11" t="s">
        <v>13</v>
      </c>
      <c r="B178" s="15"/>
      <c r="C178" s="343"/>
      <c r="D178" s="340"/>
      <c r="E178" s="346"/>
      <c r="F178" s="373"/>
      <c r="G178" s="277"/>
      <c r="H178" s="277"/>
      <c r="I178" s="277"/>
      <c r="J178" s="277"/>
      <c r="K178" s="277"/>
      <c r="L178" s="277"/>
      <c r="M178" s="59"/>
      <c r="N178" s="89"/>
      <c r="O178" s="63"/>
      <c r="P178" s="63"/>
      <c r="Q178" s="63"/>
      <c r="R178" s="63"/>
      <c r="S178" s="63"/>
      <c r="T178" s="63"/>
      <c r="U178" s="93"/>
      <c r="V178" s="117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117"/>
      <c r="AM178" s="88"/>
      <c r="AN178" s="88"/>
      <c r="AO178" s="88"/>
      <c r="AQ178" s="145"/>
      <c r="AR178" s="146"/>
      <c r="AT178" s="389"/>
      <c r="AV178" s="197"/>
      <c r="AW178" s="197"/>
      <c r="BA178" s="318">
        <f t="shared" si="98"/>
        <v>0</v>
      </c>
    </row>
    <row r="179" spans="1:53" s="2" customFormat="1" ht="10.5" customHeight="1">
      <c r="A179" s="12">
        <v>1</v>
      </c>
      <c r="B179" s="15"/>
      <c r="C179" s="344"/>
      <c r="D179" s="341"/>
      <c r="E179" s="347"/>
      <c r="F179" s="374"/>
      <c r="G179" s="307">
        <f>ROUND(G176*$F176,2)</f>
        <v>749853.86</v>
      </c>
      <c r="H179" s="307">
        <f>ROUND(H176*$F176,2)</f>
        <v>749853.86</v>
      </c>
      <c r="I179" s="307">
        <f>ROUND(I176*$F176,2)</f>
        <v>0</v>
      </c>
      <c r="J179" s="307">
        <f>J176*$F176</f>
        <v>0</v>
      </c>
      <c r="K179" s="307">
        <f>ROUND(K176*$F176,2)</f>
        <v>749853.86</v>
      </c>
      <c r="L179" s="307">
        <f>ROUND(L176*$F176,2)</f>
        <v>749853.86</v>
      </c>
      <c r="M179" s="59"/>
      <c r="N179" s="90" t="s">
        <v>164</v>
      </c>
      <c r="O179" s="64">
        <f t="shared" ref="O179:T179" si="154">O176*$F176</f>
        <v>0</v>
      </c>
      <c r="P179" s="64">
        <f t="shared" si="154"/>
        <v>0</v>
      </c>
      <c r="Q179" s="64">
        <f t="shared" si="154"/>
        <v>0</v>
      </c>
      <c r="R179" s="64">
        <f t="shared" si="154"/>
        <v>0</v>
      </c>
      <c r="S179" s="64">
        <f t="shared" si="154"/>
        <v>0</v>
      </c>
      <c r="T179" s="64">
        <f t="shared" si="154"/>
        <v>0</v>
      </c>
      <c r="U179" s="64">
        <f>U176*$F176</f>
        <v>0</v>
      </c>
      <c r="V179" s="118"/>
      <c r="W179" s="64">
        <f t="shared" ref="W179:X179" si="155">W176*$F176</f>
        <v>57673</v>
      </c>
      <c r="X179" s="64">
        <f t="shared" si="155"/>
        <v>57673</v>
      </c>
      <c r="Y179" s="64">
        <f t="shared" ref="Y179:AD179" si="156">Y176*$F176</f>
        <v>57673</v>
      </c>
      <c r="Z179" s="64">
        <f t="shared" si="156"/>
        <v>57673</v>
      </c>
      <c r="AA179" s="64">
        <f t="shared" si="156"/>
        <v>57673</v>
      </c>
      <c r="AB179" s="64">
        <f t="shared" si="156"/>
        <v>57673</v>
      </c>
      <c r="AC179" s="64">
        <f t="shared" si="156"/>
        <v>57673</v>
      </c>
      <c r="AD179" s="64">
        <f t="shared" si="156"/>
        <v>57673</v>
      </c>
      <c r="AE179" s="64">
        <f t="shared" ref="AE179:AK179" si="157">AE176*$F176</f>
        <v>57673</v>
      </c>
      <c r="AF179" s="64">
        <f t="shared" si="157"/>
        <v>83888</v>
      </c>
      <c r="AG179" s="64">
        <f t="shared" si="157"/>
        <v>83888</v>
      </c>
      <c r="AH179" s="64">
        <f t="shared" si="157"/>
        <v>63020.86</v>
      </c>
      <c r="AI179" s="64">
        <f t="shared" si="157"/>
        <v>0</v>
      </c>
      <c r="AJ179" s="64">
        <f t="shared" si="157"/>
        <v>0</v>
      </c>
      <c r="AK179" s="64">
        <f t="shared" si="157"/>
        <v>0</v>
      </c>
      <c r="AL179" s="123"/>
      <c r="AM179" s="91"/>
      <c r="AN179" s="91"/>
      <c r="AO179" s="91"/>
      <c r="AQ179" s="69">
        <f>SUM(O179:AO179)</f>
        <v>749853.86</v>
      </c>
      <c r="AR179" s="69">
        <f>+K179-AQ179</f>
        <v>0</v>
      </c>
      <c r="AT179" s="390"/>
      <c r="AV179" s="196"/>
      <c r="AW179" s="196"/>
      <c r="BA179" s="318">
        <f t="shared" si="98"/>
        <v>0</v>
      </c>
    </row>
    <row r="180" spans="1:53" s="2" customFormat="1" ht="10.5" customHeight="1">
      <c r="A180" s="12"/>
      <c r="B180" s="15"/>
      <c r="C180" s="342">
        <v>41</v>
      </c>
      <c r="D180" s="339" t="s">
        <v>87</v>
      </c>
      <c r="E180" s="345" t="s">
        <v>235</v>
      </c>
      <c r="F180" s="372">
        <v>101.89</v>
      </c>
      <c r="G180" s="284">
        <v>6697</v>
      </c>
      <c r="H180" s="284">
        <v>8901.5499999999993</v>
      </c>
      <c r="I180" s="284"/>
      <c r="J180" s="284"/>
      <c r="K180" s="284">
        <f>H180+J180</f>
        <v>8901.5499999999993</v>
      </c>
      <c r="L180" s="284">
        <f>+H180-I180+J180</f>
        <v>8901.5499999999993</v>
      </c>
      <c r="M180" s="59"/>
      <c r="N180" s="85" t="s">
        <v>162</v>
      </c>
      <c r="O180" s="85"/>
      <c r="P180" s="85"/>
      <c r="Q180" s="85"/>
      <c r="R180" s="85"/>
      <c r="S180" s="85"/>
      <c r="T180" s="85"/>
      <c r="U180" s="61">
        <v>2225</v>
      </c>
      <c r="V180" s="119"/>
      <c r="W180" s="95">
        <v>445</v>
      </c>
      <c r="X180" s="95">
        <v>445</v>
      </c>
      <c r="Y180" s="95">
        <v>445</v>
      </c>
      <c r="Z180" s="95">
        <v>445</v>
      </c>
      <c r="AA180" s="95">
        <v>445</v>
      </c>
      <c r="AB180" s="95">
        <v>445</v>
      </c>
      <c r="AC180" s="95">
        <v>445</v>
      </c>
      <c r="AD180" s="95">
        <v>445</v>
      </c>
      <c r="AE180" s="95">
        <v>445</v>
      </c>
      <c r="AF180" s="95">
        <v>445</v>
      </c>
      <c r="AG180" s="95">
        <v>445</v>
      </c>
      <c r="AH180" s="95">
        <v>445</v>
      </c>
      <c r="AI180" s="95">
        <v>445</v>
      </c>
      <c r="AJ180" s="95">
        <v>445</v>
      </c>
      <c r="AK180" s="95">
        <v>446.55</v>
      </c>
      <c r="AL180" s="117"/>
      <c r="AM180" s="92"/>
      <c r="AN180" s="92"/>
      <c r="AO180" s="92"/>
      <c r="AQ180" s="144">
        <f>SUM(O180:AO180)</f>
        <v>8901.5499999999993</v>
      </c>
      <c r="AR180" s="144">
        <f>+K180-AQ180</f>
        <v>0</v>
      </c>
      <c r="AT180" s="372">
        <f>+F180*K180</f>
        <v>906978.93</v>
      </c>
      <c r="AV180" s="263">
        <f>SUM(W180:AO180)</f>
        <v>6676.55</v>
      </c>
      <c r="AW180" s="263">
        <f>+L180-AV180</f>
        <v>2225</v>
      </c>
      <c r="BA180" s="318">
        <f t="shared" si="98"/>
        <v>2225</v>
      </c>
    </row>
    <row r="181" spans="1:53" s="2" customFormat="1" ht="10.5" customHeight="1">
      <c r="A181" s="10" t="s">
        <v>12</v>
      </c>
      <c r="B181" s="15"/>
      <c r="C181" s="343"/>
      <c r="D181" s="340"/>
      <c r="E181" s="346"/>
      <c r="F181" s="373"/>
      <c r="G181" s="277"/>
      <c r="H181" s="277"/>
      <c r="I181" s="277"/>
      <c r="J181" s="277"/>
      <c r="K181" s="277"/>
      <c r="L181" s="277"/>
      <c r="M181" s="59"/>
      <c r="N181" s="87" t="s">
        <v>163</v>
      </c>
      <c r="O181" s="87"/>
      <c r="P181" s="87"/>
      <c r="Q181" s="87"/>
      <c r="R181" s="87"/>
      <c r="S181" s="87"/>
      <c r="T181" s="87"/>
      <c r="U181" s="62">
        <f>+U180/$K180</f>
        <v>0.25</v>
      </c>
      <c r="V181" s="116"/>
      <c r="W181" s="62">
        <f t="shared" ref="W181" si="158">+W180/$K180</f>
        <v>0.05</v>
      </c>
      <c r="X181" s="62">
        <f t="shared" ref="X181" si="159">+X180/$K180</f>
        <v>0.05</v>
      </c>
      <c r="Y181" s="62">
        <f t="shared" ref="Y181:AK181" si="160">+Y180/$K180</f>
        <v>0.05</v>
      </c>
      <c r="Z181" s="62">
        <f t="shared" si="160"/>
        <v>0.05</v>
      </c>
      <c r="AA181" s="62">
        <f t="shared" si="160"/>
        <v>0.05</v>
      </c>
      <c r="AB181" s="62">
        <f t="shared" si="160"/>
        <v>0.05</v>
      </c>
      <c r="AC181" s="62">
        <f t="shared" si="160"/>
        <v>0.05</v>
      </c>
      <c r="AD181" s="62">
        <f t="shared" si="160"/>
        <v>0.05</v>
      </c>
      <c r="AE181" s="62">
        <f t="shared" si="160"/>
        <v>0.05</v>
      </c>
      <c r="AF181" s="62">
        <f t="shared" si="160"/>
        <v>0.05</v>
      </c>
      <c r="AG181" s="62">
        <f t="shared" si="160"/>
        <v>0.05</v>
      </c>
      <c r="AH181" s="62">
        <f t="shared" si="160"/>
        <v>0.05</v>
      </c>
      <c r="AI181" s="62">
        <f t="shared" si="160"/>
        <v>0.05</v>
      </c>
      <c r="AJ181" s="62">
        <f t="shared" si="160"/>
        <v>0.05</v>
      </c>
      <c r="AK181" s="62">
        <f t="shared" si="160"/>
        <v>5.0200000000000002E-2</v>
      </c>
      <c r="AL181" s="117"/>
      <c r="AM181" s="88"/>
      <c r="AN181" s="88"/>
      <c r="AO181" s="88"/>
      <c r="AQ181" s="149">
        <f>SUM(O181:AO181)</f>
        <v>1.0002</v>
      </c>
      <c r="AR181" s="146"/>
      <c r="AT181" s="389"/>
      <c r="AV181" s="266"/>
      <c r="AW181" s="266"/>
      <c r="BA181" s="318">
        <f t="shared" si="98"/>
        <v>0.25</v>
      </c>
    </row>
    <row r="182" spans="1:53" s="2" customFormat="1" ht="10.5" hidden="1" customHeight="1">
      <c r="A182" s="11" t="s">
        <v>13</v>
      </c>
      <c r="B182" s="15"/>
      <c r="C182" s="343"/>
      <c r="D182" s="340"/>
      <c r="E182" s="346"/>
      <c r="F182" s="373"/>
      <c r="G182" s="277"/>
      <c r="H182" s="277"/>
      <c r="I182" s="277"/>
      <c r="J182" s="277"/>
      <c r="K182" s="277"/>
      <c r="L182" s="277"/>
      <c r="M182" s="59"/>
      <c r="N182" s="89"/>
      <c r="O182" s="89"/>
      <c r="P182" s="89"/>
      <c r="Q182" s="89"/>
      <c r="R182" s="89"/>
      <c r="S182" s="89"/>
      <c r="T182" s="89"/>
      <c r="U182" s="93"/>
      <c r="V182" s="117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117"/>
      <c r="AM182" s="88"/>
      <c r="AN182" s="88"/>
      <c r="AO182" s="88"/>
      <c r="AQ182" s="145"/>
      <c r="AR182" s="146"/>
      <c r="AT182" s="389"/>
      <c r="AV182" s="197"/>
      <c r="AW182" s="197"/>
      <c r="BA182" s="318">
        <f t="shared" si="98"/>
        <v>0</v>
      </c>
    </row>
    <row r="183" spans="1:53" s="2" customFormat="1" ht="10.5" customHeight="1">
      <c r="A183" s="12">
        <v>1</v>
      </c>
      <c r="B183" s="15"/>
      <c r="C183" s="344"/>
      <c r="D183" s="341"/>
      <c r="E183" s="347"/>
      <c r="F183" s="374"/>
      <c r="G183" s="307">
        <f>ROUND(G180*$F180,2)</f>
        <v>682357.33</v>
      </c>
      <c r="H183" s="307">
        <f>ROUND(H180*$F180,2)</f>
        <v>906978.93</v>
      </c>
      <c r="I183" s="307">
        <f>ROUND(I180*$F180,2)</f>
        <v>0</v>
      </c>
      <c r="J183" s="307">
        <f>J180*$F180</f>
        <v>0</v>
      </c>
      <c r="K183" s="307">
        <f>ROUND(K180*$F180,2)</f>
        <v>906978.93</v>
      </c>
      <c r="L183" s="307">
        <f>ROUND(L180*$F180,2)</f>
        <v>906978.93</v>
      </c>
      <c r="M183" s="59"/>
      <c r="N183" s="90" t="s">
        <v>164</v>
      </c>
      <c r="O183" s="90"/>
      <c r="P183" s="90"/>
      <c r="Q183" s="90"/>
      <c r="R183" s="90"/>
      <c r="S183" s="90"/>
      <c r="T183" s="90"/>
      <c r="U183" s="64">
        <f>U180*$F180</f>
        <v>226705.25</v>
      </c>
      <c r="V183" s="118"/>
      <c r="W183" s="64">
        <f>W180*$F180</f>
        <v>45341.05</v>
      </c>
      <c r="X183" s="64">
        <f>X180*$F180</f>
        <v>45341.05</v>
      </c>
      <c r="Y183" s="64">
        <f>Y180*$F180</f>
        <v>45341.05</v>
      </c>
      <c r="Z183" s="64">
        <f>Z180*$F180</f>
        <v>45341.05</v>
      </c>
      <c r="AA183" s="64">
        <f t="shared" ref="AA183:AK183" si="161">AA180*$F180</f>
        <v>45341.05</v>
      </c>
      <c r="AB183" s="64">
        <f t="shared" si="161"/>
        <v>45341.05</v>
      </c>
      <c r="AC183" s="64">
        <f t="shared" si="161"/>
        <v>45341.05</v>
      </c>
      <c r="AD183" s="64">
        <f t="shared" si="161"/>
        <v>45341.05</v>
      </c>
      <c r="AE183" s="64">
        <f t="shared" si="161"/>
        <v>45341.05</v>
      </c>
      <c r="AF183" s="64">
        <f t="shared" si="161"/>
        <v>45341.05</v>
      </c>
      <c r="AG183" s="64">
        <f t="shared" si="161"/>
        <v>45341.05</v>
      </c>
      <c r="AH183" s="64">
        <f t="shared" si="161"/>
        <v>45341.05</v>
      </c>
      <c r="AI183" s="64">
        <f t="shared" si="161"/>
        <v>45341.05</v>
      </c>
      <c r="AJ183" s="64">
        <f t="shared" si="161"/>
        <v>45341.05</v>
      </c>
      <c r="AK183" s="64">
        <f t="shared" si="161"/>
        <v>45498.98</v>
      </c>
      <c r="AL183" s="123"/>
      <c r="AM183" s="91"/>
      <c r="AN183" s="91"/>
      <c r="AO183" s="91"/>
      <c r="AQ183" s="69">
        <f>SUM(O183:AO183)</f>
        <v>906978.93</v>
      </c>
      <c r="AR183" s="69">
        <f>+K183-AQ183</f>
        <v>0</v>
      </c>
      <c r="AT183" s="390"/>
      <c r="AV183" s="196"/>
      <c r="AW183" s="196"/>
      <c r="BA183" s="318">
        <f t="shared" si="98"/>
        <v>226705.25</v>
      </c>
    </row>
    <row r="184" spans="1:53" s="2" customFormat="1" ht="10.5" customHeight="1">
      <c r="A184" s="12"/>
      <c r="B184" s="15"/>
      <c r="C184" s="342">
        <v>42</v>
      </c>
      <c r="D184" s="339" t="s">
        <v>88</v>
      </c>
      <c r="E184" s="345" t="s">
        <v>235</v>
      </c>
      <c r="F184" s="372">
        <v>45.55</v>
      </c>
      <c r="G184" s="284">
        <v>4681</v>
      </c>
      <c r="H184" s="284">
        <v>7561</v>
      </c>
      <c r="I184" s="284"/>
      <c r="J184" s="284"/>
      <c r="K184" s="284">
        <f>H184+J184</f>
        <v>7561</v>
      </c>
      <c r="L184" s="284">
        <f>+H184-I184+J184</f>
        <v>7561</v>
      </c>
      <c r="M184" s="59"/>
      <c r="N184" s="85" t="s">
        <v>162</v>
      </c>
      <c r="O184" s="85"/>
      <c r="P184" s="85"/>
      <c r="Q184" s="85"/>
      <c r="R184" s="85"/>
      <c r="S184" s="85"/>
      <c r="T184" s="85"/>
      <c r="U184" s="61">
        <v>1875</v>
      </c>
      <c r="V184" s="119"/>
      <c r="W184" s="95">
        <v>375</v>
      </c>
      <c r="X184" s="95">
        <v>375</v>
      </c>
      <c r="Y184" s="95">
        <v>375</v>
      </c>
      <c r="Z184" s="95">
        <v>375</v>
      </c>
      <c r="AA184" s="95">
        <v>375</v>
      </c>
      <c r="AB184" s="95">
        <v>375</v>
      </c>
      <c r="AC184" s="95">
        <v>375</v>
      </c>
      <c r="AD184" s="95">
        <v>375</v>
      </c>
      <c r="AE184" s="95">
        <v>375</v>
      </c>
      <c r="AF184" s="95">
        <v>375</v>
      </c>
      <c r="AG184" s="95">
        <v>375</v>
      </c>
      <c r="AH184" s="95">
        <v>375</v>
      </c>
      <c r="AI184" s="95">
        <v>375</v>
      </c>
      <c r="AJ184" s="95">
        <v>375</v>
      </c>
      <c r="AK184" s="95">
        <v>436</v>
      </c>
      <c r="AL184" s="117"/>
      <c r="AM184" s="92"/>
      <c r="AN184" s="92"/>
      <c r="AO184" s="92"/>
      <c r="AQ184" s="144">
        <f>SUM(O184:AO184)</f>
        <v>7561</v>
      </c>
      <c r="AR184" s="144">
        <f>+K184-AQ184</f>
        <v>0</v>
      </c>
      <c r="AT184" s="372">
        <f>+F184*K184</f>
        <v>344403.55</v>
      </c>
      <c r="AV184" s="263">
        <f>SUM(W184:AO184)</f>
        <v>5686</v>
      </c>
      <c r="AW184" s="263">
        <f>+L184-AV184</f>
        <v>1875</v>
      </c>
      <c r="BA184" s="318">
        <f t="shared" si="98"/>
        <v>1875</v>
      </c>
    </row>
    <row r="185" spans="1:53" s="2" customFormat="1" ht="10.5" customHeight="1">
      <c r="A185" s="10" t="s">
        <v>12</v>
      </c>
      <c r="B185" s="15"/>
      <c r="C185" s="343"/>
      <c r="D185" s="340"/>
      <c r="E185" s="346"/>
      <c r="F185" s="373"/>
      <c r="G185" s="277"/>
      <c r="H185" s="277"/>
      <c r="I185" s="277"/>
      <c r="J185" s="277"/>
      <c r="K185" s="277"/>
      <c r="L185" s="277"/>
      <c r="M185" s="59"/>
      <c r="N185" s="87" t="s">
        <v>163</v>
      </c>
      <c r="O185" s="87"/>
      <c r="P185" s="87"/>
      <c r="Q185" s="87"/>
      <c r="R185" s="87"/>
      <c r="S185" s="87"/>
      <c r="T185" s="87"/>
      <c r="U185" s="62">
        <f>+U184/$K184</f>
        <v>0.248</v>
      </c>
      <c r="V185" s="116"/>
      <c r="W185" s="62">
        <f t="shared" ref="W185" si="162">+W184/$K184</f>
        <v>4.9599999999999998E-2</v>
      </c>
      <c r="X185" s="62">
        <f t="shared" ref="X185" si="163">+X184/$K184</f>
        <v>4.9599999999999998E-2</v>
      </c>
      <c r="Y185" s="62">
        <f t="shared" ref="Y185:AK185" si="164">+Y184/$K184</f>
        <v>4.9599999999999998E-2</v>
      </c>
      <c r="Z185" s="62">
        <f t="shared" si="164"/>
        <v>4.9599999999999998E-2</v>
      </c>
      <c r="AA185" s="62">
        <f t="shared" si="164"/>
        <v>4.9599999999999998E-2</v>
      </c>
      <c r="AB185" s="62">
        <f t="shared" si="164"/>
        <v>4.9599999999999998E-2</v>
      </c>
      <c r="AC185" s="62">
        <f t="shared" si="164"/>
        <v>4.9599999999999998E-2</v>
      </c>
      <c r="AD185" s="62">
        <f t="shared" si="164"/>
        <v>4.9599999999999998E-2</v>
      </c>
      <c r="AE185" s="62">
        <f t="shared" si="164"/>
        <v>4.9599999999999998E-2</v>
      </c>
      <c r="AF185" s="62">
        <f t="shared" si="164"/>
        <v>4.9599999999999998E-2</v>
      </c>
      <c r="AG185" s="62">
        <f t="shared" si="164"/>
        <v>4.9599999999999998E-2</v>
      </c>
      <c r="AH185" s="62">
        <f t="shared" si="164"/>
        <v>4.9599999999999998E-2</v>
      </c>
      <c r="AI185" s="62">
        <f t="shared" si="164"/>
        <v>4.9599999999999998E-2</v>
      </c>
      <c r="AJ185" s="62">
        <f t="shared" si="164"/>
        <v>4.9599999999999998E-2</v>
      </c>
      <c r="AK185" s="62">
        <f t="shared" si="164"/>
        <v>5.7700000000000001E-2</v>
      </c>
      <c r="AL185" s="117"/>
      <c r="AM185" s="88"/>
      <c r="AN185" s="88"/>
      <c r="AO185" s="88"/>
      <c r="AQ185" s="149">
        <f>SUM(O185:AO185)</f>
        <v>1.0001</v>
      </c>
      <c r="AR185" s="146"/>
      <c r="AT185" s="389"/>
      <c r="AV185" s="266"/>
      <c r="AW185" s="266"/>
      <c r="BA185" s="318">
        <f t="shared" si="98"/>
        <v>0.25</v>
      </c>
    </row>
    <row r="186" spans="1:53" s="2" customFormat="1" ht="10.5" hidden="1" customHeight="1">
      <c r="A186" s="11" t="s">
        <v>13</v>
      </c>
      <c r="B186" s="15"/>
      <c r="C186" s="343"/>
      <c r="D186" s="340"/>
      <c r="E186" s="346"/>
      <c r="F186" s="373"/>
      <c r="G186" s="277"/>
      <c r="H186" s="277"/>
      <c r="I186" s="277"/>
      <c r="J186" s="277"/>
      <c r="K186" s="277"/>
      <c r="L186" s="277"/>
      <c r="M186" s="59"/>
      <c r="N186" s="89"/>
      <c r="O186" s="89"/>
      <c r="P186" s="89"/>
      <c r="Q186" s="89"/>
      <c r="R186" s="89"/>
      <c r="S186" s="89"/>
      <c r="T186" s="89"/>
      <c r="U186" s="93"/>
      <c r="V186" s="117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117"/>
      <c r="AM186" s="88"/>
      <c r="AN186" s="88"/>
      <c r="AO186" s="88"/>
      <c r="AQ186" s="145"/>
      <c r="AR186" s="146"/>
      <c r="AT186" s="389"/>
      <c r="AV186" s="197"/>
      <c r="AW186" s="197"/>
      <c r="BA186" s="318">
        <f t="shared" si="98"/>
        <v>0</v>
      </c>
    </row>
    <row r="187" spans="1:53" s="2" customFormat="1" ht="10.5" customHeight="1">
      <c r="A187" s="12">
        <v>1</v>
      </c>
      <c r="B187" s="15"/>
      <c r="C187" s="344"/>
      <c r="D187" s="341"/>
      <c r="E187" s="347"/>
      <c r="F187" s="374"/>
      <c r="G187" s="307">
        <f>ROUND(G184*$F184,2)</f>
        <v>213219.55</v>
      </c>
      <c r="H187" s="307">
        <f>ROUND(H184*$F184,2)</f>
        <v>344403.55</v>
      </c>
      <c r="I187" s="307">
        <f>ROUND(I184*$F184,2)</f>
        <v>0</v>
      </c>
      <c r="J187" s="307">
        <f>J184*$F184</f>
        <v>0</v>
      </c>
      <c r="K187" s="307">
        <f>ROUND(K184*$F184,2)</f>
        <v>344403.55</v>
      </c>
      <c r="L187" s="307">
        <f>ROUND(L184*$F184,2)</f>
        <v>344403.55</v>
      </c>
      <c r="M187" s="59"/>
      <c r="N187" s="90" t="s">
        <v>164</v>
      </c>
      <c r="O187" s="90"/>
      <c r="P187" s="90"/>
      <c r="Q187" s="90"/>
      <c r="R187" s="90"/>
      <c r="S187" s="90"/>
      <c r="T187" s="90"/>
      <c r="U187" s="64">
        <f>U184*$F184</f>
        <v>85406.25</v>
      </c>
      <c r="V187" s="118"/>
      <c r="W187" s="64">
        <f>W184*$F184</f>
        <v>17081.25</v>
      </c>
      <c r="X187" s="64">
        <f>X184*$F184</f>
        <v>17081.25</v>
      </c>
      <c r="Y187" s="64">
        <f>Y184*$F184</f>
        <v>17081.25</v>
      </c>
      <c r="Z187" s="64">
        <f>Z184*$F184</f>
        <v>17081.25</v>
      </c>
      <c r="AA187" s="64">
        <f t="shared" ref="AA187:AK187" si="165">AA184*$F184</f>
        <v>17081.25</v>
      </c>
      <c r="AB187" s="64">
        <f t="shared" si="165"/>
        <v>17081.25</v>
      </c>
      <c r="AC187" s="64">
        <f t="shared" si="165"/>
        <v>17081.25</v>
      </c>
      <c r="AD187" s="64">
        <f t="shared" si="165"/>
        <v>17081.25</v>
      </c>
      <c r="AE187" s="64">
        <f t="shared" si="165"/>
        <v>17081.25</v>
      </c>
      <c r="AF187" s="64">
        <f t="shared" si="165"/>
        <v>17081.25</v>
      </c>
      <c r="AG187" s="64">
        <f t="shared" si="165"/>
        <v>17081.25</v>
      </c>
      <c r="AH187" s="64">
        <f t="shared" si="165"/>
        <v>17081.25</v>
      </c>
      <c r="AI187" s="64">
        <f t="shared" si="165"/>
        <v>17081.25</v>
      </c>
      <c r="AJ187" s="64">
        <f t="shared" si="165"/>
        <v>17081.25</v>
      </c>
      <c r="AK187" s="64">
        <f t="shared" si="165"/>
        <v>19859.8</v>
      </c>
      <c r="AL187" s="123"/>
      <c r="AM187" s="91"/>
      <c r="AN187" s="91"/>
      <c r="AO187" s="91"/>
      <c r="AQ187" s="69">
        <f>SUM(O187:AO187)</f>
        <v>344403.55</v>
      </c>
      <c r="AR187" s="69">
        <f>+K187-AQ187</f>
        <v>0</v>
      </c>
      <c r="AT187" s="390"/>
      <c r="AV187" s="196"/>
      <c r="AW187" s="196"/>
      <c r="BA187" s="318">
        <f t="shared" si="98"/>
        <v>85406.25</v>
      </c>
    </row>
    <row r="188" spans="1:53" s="2" customFormat="1" ht="10.5" customHeight="1">
      <c r="A188" s="12"/>
      <c r="B188" s="15"/>
      <c r="C188" s="342">
        <v>43</v>
      </c>
      <c r="D188" s="339" t="s">
        <v>89</v>
      </c>
      <c r="E188" s="345" t="s">
        <v>233</v>
      </c>
      <c r="F188" s="372">
        <v>350.19</v>
      </c>
      <c r="G188" s="284">
        <v>73</v>
      </c>
      <c r="H188" s="284">
        <v>73</v>
      </c>
      <c r="I188" s="284">
        <v>73</v>
      </c>
      <c r="J188" s="311"/>
      <c r="K188" s="284">
        <f>H188+J188</f>
        <v>73</v>
      </c>
      <c r="L188" s="284">
        <f>+H188-I188+J188</f>
        <v>0</v>
      </c>
      <c r="M188" s="59"/>
      <c r="N188" s="85" t="s">
        <v>162</v>
      </c>
      <c r="O188" s="95"/>
      <c r="P188" s="95"/>
      <c r="Q188" s="95"/>
      <c r="R188" s="95"/>
      <c r="S188" s="95"/>
      <c r="T188" s="95"/>
      <c r="U188" s="61">
        <f>+I188</f>
        <v>73</v>
      </c>
      <c r="V188" s="119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  <c r="AL188" s="117"/>
      <c r="AM188" s="92"/>
      <c r="AN188" s="92"/>
      <c r="AO188" s="92"/>
      <c r="AQ188" s="144">
        <f>SUM(O188:AO188)</f>
        <v>73</v>
      </c>
      <c r="AR188" s="144">
        <f>+K188-AQ188</f>
        <v>0</v>
      </c>
      <c r="AT188" s="372">
        <f>+F188*K188</f>
        <v>25563.87</v>
      </c>
      <c r="AV188" s="263">
        <f>SUM(W188:AO188)</f>
        <v>0</v>
      </c>
      <c r="AW188" s="263">
        <f>+L188-AV188</f>
        <v>0</v>
      </c>
      <c r="BA188" s="318">
        <f t="shared" si="98"/>
        <v>73</v>
      </c>
    </row>
    <row r="189" spans="1:53" s="2" customFormat="1" ht="10.5" customHeight="1">
      <c r="A189" s="10" t="s">
        <v>12</v>
      </c>
      <c r="B189" s="15"/>
      <c r="C189" s="343"/>
      <c r="D189" s="340"/>
      <c r="E189" s="346"/>
      <c r="F189" s="373"/>
      <c r="G189" s="277"/>
      <c r="H189" s="277"/>
      <c r="I189" s="277"/>
      <c r="J189" s="277"/>
      <c r="K189" s="277"/>
      <c r="L189" s="277"/>
      <c r="M189" s="59"/>
      <c r="N189" s="87" t="s">
        <v>163</v>
      </c>
      <c r="O189" s="62">
        <f t="shared" ref="O189:T189" si="166">+O188/$K188</f>
        <v>0</v>
      </c>
      <c r="P189" s="62">
        <f t="shared" si="166"/>
        <v>0</v>
      </c>
      <c r="Q189" s="62">
        <f t="shared" si="166"/>
        <v>0</v>
      </c>
      <c r="R189" s="62">
        <f t="shared" si="166"/>
        <v>0</v>
      </c>
      <c r="S189" s="62">
        <f t="shared" si="166"/>
        <v>0</v>
      </c>
      <c r="T189" s="62">
        <f t="shared" si="166"/>
        <v>0</v>
      </c>
      <c r="U189" s="62">
        <f>+U188/$K188</f>
        <v>1</v>
      </c>
      <c r="V189" s="116"/>
      <c r="W189" s="62">
        <f t="shared" ref="W189:AK189" si="167">+W188/$K188</f>
        <v>0</v>
      </c>
      <c r="X189" s="62">
        <f t="shared" si="167"/>
        <v>0</v>
      </c>
      <c r="Y189" s="62">
        <f t="shared" si="167"/>
        <v>0</v>
      </c>
      <c r="Z189" s="62">
        <f t="shared" si="167"/>
        <v>0</v>
      </c>
      <c r="AA189" s="62">
        <f t="shared" si="167"/>
        <v>0</v>
      </c>
      <c r="AB189" s="62">
        <f t="shared" si="167"/>
        <v>0</v>
      </c>
      <c r="AC189" s="62">
        <f t="shared" si="167"/>
        <v>0</v>
      </c>
      <c r="AD189" s="62">
        <f t="shared" si="167"/>
        <v>0</v>
      </c>
      <c r="AE189" s="62">
        <f t="shared" si="167"/>
        <v>0</v>
      </c>
      <c r="AF189" s="62">
        <f t="shared" si="167"/>
        <v>0</v>
      </c>
      <c r="AG189" s="62">
        <f t="shared" si="167"/>
        <v>0</v>
      </c>
      <c r="AH189" s="62">
        <f t="shared" si="167"/>
        <v>0</v>
      </c>
      <c r="AI189" s="62">
        <f t="shared" si="167"/>
        <v>0</v>
      </c>
      <c r="AJ189" s="62">
        <f t="shared" si="167"/>
        <v>0</v>
      </c>
      <c r="AK189" s="62">
        <f t="shared" si="167"/>
        <v>0</v>
      </c>
      <c r="AL189" s="117"/>
      <c r="AM189" s="88"/>
      <c r="AN189" s="88"/>
      <c r="AO189" s="88"/>
      <c r="AQ189" s="149">
        <f>SUM(O189:AO189)</f>
        <v>1</v>
      </c>
      <c r="AR189" s="146"/>
      <c r="AT189" s="389"/>
      <c r="AV189" s="266"/>
      <c r="AW189" s="266"/>
      <c r="BA189" s="318"/>
    </row>
    <row r="190" spans="1:53" s="2" customFormat="1" ht="10.5" hidden="1" customHeight="1">
      <c r="A190" s="11" t="s">
        <v>13</v>
      </c>
      <c r="B190" s="15"/>
      <c r="C190" s="343"/>
      <c r="D190" s="340"/>
      <c r="E190" s="346"/>
      <c r="F190" s="373"/>
      <c r="G190" s="277"/>
      <c r="H190" s="277"/>
      <c r="I190" s="277"/>
      <c r="J190" s="277"/>
      <c r="K190" s="277"/>
      <c r="L190" s="277"/>
      <c r="M190" s="59"/>
      <c r="N190" s="89"/>
      <c r="O190" s="63"/>
      <c r="P190" s="63"/>
      <c r="Q190" s="63"/>
      <c r="R190" s="63"/>
      <c r="S190" s="63"/>
      <c r="T190" s="63"/>
      <c r="U190" s="93"/>
      <c r="V190" s="117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117"/>
      <c r="AM190" s="88"/>
      <c r="AN190" s="88"/>
      <c r="AO190" s="88"/>
      <c r="AQ190" s="145"/>
      <c r="AR190" s="146"/>
      <c r="AT190" s="389"/>
      <c r="AV190" s="197"/>
      <c r="AW190" s="197"/>
      <c r="BA190" s="318"/>
    </row>
    <row r="191" spans="1:53" s="2" customFormat="1" ht="10.5" customHeight="1">
      <c r="A191" s="12">
        <v>1</v>
      </c>
      <c r="B191" s="15"/>
      <c r="C191" s="344"/>
      <c r="D191" s="341"/>
      <c r="E191" s="347"/>
      <c r="F191" s="374"/>
      <c r="G191" s="307">
        <f>ROUND(G188*$F188,2)</f>
        <v>25563.87</v>
      </c>
      <c r="H191" s="307">
        <f>ROUND(H188*$F188,2)</f>
        <v>25563.87</v>
      </c>
      <c r="I191" s="307">
        <f>ROUND(I188*$F188,2)</f>
        <v>25563.87</v>
      </c>
      <c r="J191" s="307">
        <f>J188*$F188</f>
        <v>0</v>
      </c>
      <c r="K191" s="307">
        <f>ROUND(K188*$F188,2)</f>
        <v>25563.87</v>
      </c>
      <c r="L191" s="307">
        <f>ROUND(L188*$F188,2)</f>
        <v>0</v>
      </c>
      <c r="M191" s="59"/>
      <c r="N191" s="90" t="s">
        <v>164</v>
      </c>
      <c r="O191" s="64">
        <f t="shared" ref="O191:T191" si="168">O188*$F188</f>
        <v>0</v>
      </c>
      <c r="P191" s="64">
        <f t="shared" si="168"/>
        <v>0</v>
      </c>
      <c r="Q191" s="64">
        <f t="shared" si="168"/>
        <v>0</v>
      </c>
      <c r="R191" s="64">
        <f t="shared" si="168"/>
        <v>0</v>
      </c>
      <c r="S191" s="64">
        <f t="shared" si="168"/>
        <v>0</v>
      </c>
      <c r="T191" s="64">
        <f t="shared" si="168"/>
        <v>0</v>
      </c>
      <c r="U191" s="64">
        <f>U188*$F188</f>
        <v>25563.87</v>
      </c>
      <c r="V191" s="118"/>
      <c r="W191" s="64">
        <f>W188*$F188</f>
        <v>0</v>
      </c>
      <c r="X191" s="64">
        <f>X188*$F188</f>
        <v>0</v>
      </c>
      <c r="Y191" s="64">
        <f>Y188*$F188</f>
        <v>0</v>
      </c>
      <c r="Z191" s="64">
        <f>Z188*$F188</f>
        <v>0</v>
      </c>
      <c r="AA191" s="64">
        <f t="shared" ref="AA191:AK191" si="169">AA188*$F188</f>
        <v>0</v>
      </c>
      <c r="AB191" s="64">
        <f>AB188*$F188</f>
        <v>0</v>
      </c>
      <c r="AC191" s="64">
        <f t="shared" si="169"/>
        <v>0</v>
      </c>
      <c r="AD191" s="64">
        <f t="shared" si="169"/>
        <v>0</v>
      </c>
      <c r="AE191" s="64">
        <f t="shared" si="169"/>
        <v>0</v>
      </c>
      <c r="AF191" s="64">
        <f t="shared" si="169"/>
        <v>0</v>
      </c>
      <c r="AG191" s="64">
        <f t="shared" si="169"/>
        <v>0</v>
      </c>
      <c r="AH191" s="64">
        <f t="shared" si="169"/>
        <v>0</v>
      </c>
      <c r="AI191" s="64">
        <f t="shared" si="169"/>
        <v>0</v>
      </c>
      <c r="AJ191" s="64">
        <f t="shared" si="169"/>
        <v>0</v>
      </c>
      <c r="AK191" s="64">
        <f t="shared" si="169"/>
        <v>0</v>
      </c>
      <c r="AL191" s="123"/>
      <c r="AM191" s="91"/>
      <c r="AN191" s="91"/>
      <c r="AO191" s="91"/>
      <c r="AQ191" s="69">
        <f>SUM(O191:AO191)</f>
        <v>25563.87</v>
      </c>
      <c r="AR191" s="69">
        <f>+K191-AQ191</f>
        <v>0</v>
      </c>
      <c r="AT191" s="390"/>
      <c r="AV191" s="196"/>
      <c r="AW191" s="196"/>
      <c r="BA191" s="318"/>
    </row>
    <row r="192" spans="1:53" s="2" customFormat="1" ht="10.5" customHeight="1">
      <c r="A192" s="12"/>
      <c r="B192" s="15"/>
      <c r="C192" s="342">
        <v>44</v>
      </c>
      <c r="D192" s="339" t="s">
        <v>90</v>
      </c>
      <c r="E192" s="345" t="s">
        <v>233</v>
      </c>
      <c r="F192" s="372">
        <v>470.24</v>
      </c>
      <c r="G192" s="284">
        <v>128</v>
      </c>
      <c r="H192" s="284">
        <v>754.53</v>
      </c>
      <c r="I192" s="284">
        <v>24</v>
      </c>
      <c r="J192" s="284"/>
      <c r="K192" s="284">
        <f>H192+J192</f>
        <v>754.53</v>
      </c>
      <c r="L192" s="284">
        <f>+H192-I192+J192</f>
        <v>730.53</v>
      </c>
      <c r="M192" s="59"/>
      <c r="N192" s="85" t="s">
        <v>162</v>
      </c>
      <c r="O192" s="95"/>
      <c r="P192" s="95"/>
      <c r="Q192" s="95"/>
      <c r="R192" s="95"/>
      <c r="S192" s="95"/>
      <c r="T192" s="95"/>
      <c r="U192" s="61">
        <v>200</v>
      </c>
      <c r="V192" s="119"/>
      <c r="W192" s="95">
        <v>40</v>
      </c>
      <c r="X192" s="95">
        <v>40</v>
      </c>
      <c r="Y192" s="95">
        <v>40</v>
      </c>
      <c r="Z192" s="95">
        <v>40</v>
      </c>
      <c r="AA192" s="95">
        <v>40</v>
      </c>
      <c r="AB192" s="95">
        <v>40</v>
      </c>
      <c r="AC192" s="95">
        <v>40</v>
      </c>
      <c r="AD192" s="95">
        <v>40</v>
      </c>
      <c r="AE192" s="95">
        <v>40</v>
      </c>
      <c r="AF192" s="95">
        <v>40</v>
      </c>
      <c r="AG192" s="95">
        <v>40</v>
      </c>
      <c r="AH192" s="95">
        <v>40</v>
      </c>
      <c r="AI192" s="95">
        <v>40</v>
      </c>
      <c r="AJ192" s="95">
        <v>34.53</v>
      </c>
      <c r="AK192" s="147"/>
      <c r="AL192" s="117"/>
      <c r="AM192" s="92"/>
      <c r="AN192" s="92"/>
      <c r="AO192" s="92"/>
      <c r="AQ192" s="144">
        <f>SUM(O192:AO192)</f>
        <v>754.53</v>
      </c>
      <c r="AR192" s="144">
        <f>+K192-AQ192</f>
        <v>0</v>
      </c>
      <c r="AT192" s="372">
        <f>+F192*K192</f>
        <v>354810.19</v>
      </c>
      <c r="AV192" s="263">
        <f>SUM(W192:AO192)</f>
        <v>554.53</v>
      </c>
      <c r="AW192" s="263">
        <f>+L192-AV192</f>
        <v>176</v>
      </c>
      <c r="BA192" s="318">
        <f t="shared" si="98"/>
        <v>200</v>
      </c>
    </row>
    <row r="193" spans="1:53" s="2" customFormat="1" ht="10.5" customHeight="1">
      <c r="A193" s="10" t="s">
        <v>12</v>
      </c>
      <c r="B193" s="15"/>
      <c r="C193" s="343"/>
      <c r="D193" s="340"/>
      <c r="E193" s="346"/>
      <c r="F193" s="373"/>
      <c r="G193" s="277"/>
      <c r="H193" s="277"/>
      <c r="I193" s="277"/>
      <c r="J193" s="277"/>
      <c r="K193" s="277"/>
      <c r="L193" s="277"/>
      <c r="M193" s="59"/>
      <c r="N193" s="87" t="s">
        <v>163</v>
      </c>
      <c r="O193" s="62">
        <f t="shared" ref="O193:T193" si="170">+O192/$K192</f>
        <v>0</v>
      </c>
      <c r="P193" s="62">
        <f t="shared" si="170"/>
        <v>0</v>
      </c>
      <c r="Q193" s="62">
        <f t="shared" si="170"/>
        <v>0</v>
      </c>
      <c r="R193" s="62">
        <f t="shared" si="170"/>
        <v>0</v>
      </c>
      <c r="S193" s="62">
        <f t="shared" si="170"/>
        <v>0</v>
      </c>
      <c r="T193" s="62">
        <f t="shared" si="170"/>
        <v>0</v>
      </c>
      <c r="U193" s="62">
        <f>+U192/$K192</f>
        <v>0.2651</v>
      </c>
      <c r="V193" s="116"/>
      <c r="W193" s="62">
        <f t="shared" ref="W193:AK193" si="171">+W192/$K192</f>
        <v>5.2999999999999999E-2</v>
      </c>
      <c r="X193" s="62">
        <f t="shared" si="171"/>
        <v>5.2999999999999999E-2</v>
      </c>
      <c r="Y193" s="62">
        <f t="shared" si="171"/>
        <v>5.2999999999999999E-2</v>
      </c>
      <c r="Z193" s="62">
        <f t="shared" si="171"/>
        <v>5.2999999999999999E-2</v>
      </c>
      <c r="AA193" s="62">
        <f t="shared" si="171"/>
        <v>5.2999999999999999E-2</v>
      </c>
      <c r="AB193" s="62">
        <f t="shared" si="171"/>
        <v>5.2999999999999999E-2</v>
      </c>
      <c r="AC193" s="62">
        <f t="shared" si="171"/>
        <v>5.2999999999999999E-2</v>
      </c>
      <c r="AD193" s="62">
        <f t="shared" si="171"/>
        <v>5.2999999999999999E-2</v>
      </c>
      <c r="AE193" s="62">
        <f t="shared" si="171"/>
        <v>5.2999999999999999E-2</v>
      </c>
      <c r="AF193" s="62">
        <f t="shared" si="171"/>
        <v>5.2999999999999999E-2</v>
      </c>
      <c r="AG193" s="62">
        <f t="shared" si="171"/>
        <v>5.2999999999999999E-2</v>
      </c>
      <c r="AH193" s="62">
        <f t="shared" si="171"/>
        <v>5.2999999999999999E-2</v>
      </c>
      <c r="AI193" s="62">
        <f t="shared" si="171"/>
        <v>5.2999999999999999E-2</v>
      </c>
      <c r="AJ193" s="62">
        <f t="shared" si="171"/>
        <v>4.58E-2</v>
      </c>
      <c r="AK193" s="62">
        <f t="shared" si="171"/>
        <v>0</v>
      </c>
      <c r="AL193" s="117"/>
      <c r="AM193" s="88"/>
      <c r="AN193" s="88"/>
      <c r="AO193" s="88"/>
      <c r="AQ193" s="149">
        <f>SUM(O193:AO193)</f>
        <v>0.99990000000000001</v>
      </c>
      <c r="AR193" s="146"/>
      <c r="AT193" s="389"/>
      <c r="AV193" s="266"/>
      <c r="AW193" s="266"/>
      <c r="BA193" s="318"/>
    </row>
    <row r="194" spans="1:53" s="2" customFormat="1" ht="10.5" hidden="1" customHeight="1">
      <c r="A194" s="11" t="s">
        <v>13</v>
      </c>
      <c r="B194" s="15"/>
      <c r="C194" s="343"/>
      <c r="D194" s="340"/>
      <c r="E194" s="346"/>
      <c r="F194" s="373"/>
      <c r="G194" s="277"/>
      <c r="H194" s="277"/>
      <c r="I194" s="277"/>
      <c r="J194" s="277"/>
      <c r="K194" s="277"/>
      <c r="L194" s="277"/>
      <c r="M194" s="59"/>
      <c r="N194" s="89"/>
      <c r="O194" s="63"/>
      <c r="P194" s="63"/>
      <c r="Q194" s="63"/>
      <c r="R194" s="63"/>
      <c r="S194" s="63"/>
      <c r="T194" s="63"/>
      <c r="U194" s="93"/>
      <c r="V194" s="117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117"/>
      <c r="AM194" s="88"/>
      <c r="AN194" s="88"/>
      <c r="AO194" s="88"/>
      <c r="AQ194" s="145"/>
      <c r="AR194" s="146"/>
      <c r="AT194" s="389"/>
      <c r="AV194" s="197"/>
      <c r="AW194" s="197"/>
      <c r="BA194" s="318"/>
    </row>
    <row r="195" spans="1:53" s="2" customFormat="1" ht="10.5" customHeight="1">
      <c r="A195" s="12">
        <v>1</v>
      </c>
      <c r="B195" s="15"/>
      <c r="C195" s="344"/>
      <c r="D195" s="341"/>
      <c r="E195" s="347"/>
      <c r="F195" s="374"/>
      <c r="G195" s="307">
        <f>ROUND(G192*$F192,2)</f>
        <v>60190.720000000001</v>
      </c>
      <c r="H195" s="307">
        <f>ROUND(H192*$F192,2)</f>
        <v>354810.19</v>
      </c>
      <c r="I195" s="307">
        <f>ROUND(I192*$F192,2)</f>
        <v>11285.76</v>
      </c>
      <c r="J195" s="307">
        <f>J192*$F192</f>
        <v>0</v>
      </c>
      <c r="K195" s="307">
        <f>ROUND(K192*$F192,2)</f>
        <v>354810.19</v>
      </c>
      <c r="L195" s="307">
        <f>ROUND(L192*$F192,2)</f>
        <v>343524.43</v>
      </c>
      <c r="M195" s="59"/>
      <c r="N195" s="90" t="s">
        <v>164</v>
      </c>
      <c r="O195" s="64">
        <f t="shared" ref="O195:T195" si="172">O192*$F192</f>
        <v>0</v>
      </c>
      <c r="P195" s="64">
        <f t="shared" si="172"/>
        <v>0</v>
      </c>
      <c r="Q195" s="64">
        <f t="shared" si="172"/>
        <v>0</v>
      </c>
      <c r="R195" s="64">
        <f t="shared" si="172"/>
        <v>0</v>
      </c>
      <c r="S195" s="64">
        <f t="shared" si="172"/>
        <v>0</v>
      </c>
      <c r="T195" s="64">
        <f t="shared" si="172"/>
        <v>0</v>
      </c>
      <c r="U195" s="64">
        <f>U192*$F192</f>
        <v>94048</v>
      </c>
      <c r="V195" s="118"/>
      <c r="W195" s="64">
        <f>W192*$F192</f>
        <v>18809.599999999999</v>
      </c>
      <c r="X195" s="64">
        <f>X192*$F192</f>
        <v>18809.599999999999</v>
      </c>
      <c r="Y195" s="64">
        <f>Y192*$F192</f>
        <v>18809.599999999999</v>
      </c>
      <c r="Z195" s="64">
        <f>Z192*$F192</f>
        <v>18809.599999999999</v>
      </c>
      <c r="AA195" s="64">
        <f t="shared" ref="AA195:AK195" si="173">AA192*$F192</f>
        <v>18809.599999999999</v>
      </c>
      <c r="AB195" s="64">
        <f t="shared" si="173"/>
        <v>18809.599999999999</v>
      </c>
      <c r="AC195" s="64">
        <f t="shared" si="173"/>
        <v>18809.599999999999</v>
      </c>
      <c r="AD195" s="64">
        <f t="shared" si="173"/>
        <v>18809.599999999999</v>
      </c>
      <c r="AE195" s="64">
        <f t="shared" si="173"/>
        <v>18809.599999999999</v>
      </c>
      <c r="AF195" s="64">
        <f t="shared" si="173"/>
        <v>18809.599999999999</v>
      </c>
      <c r="AG195" s="64">
        <f t="shared" si="173"/>
        <v>18809.599999999999</v>
      </c>
      <c r="AH195" s="64">
        <f t="shared" si="173"/>
        <v>18809.599999999999</v>
      </c>
      <c r="AI195" s="64">
        <f t="shared" si="173"/>
        <v>18809.599999999999</v>
      </c>
      <c r="AJ195" s="64">
        <f t="shared" si="173"/>
        <v>16237.39</v>
      </c>
      <c r="AK195" s="64">
        <f t="shared" si="173"/>
        <v>0</v>
      </c>
      <c r="AL195" s="123"/>
      <c r="AM195" s="91"/>
      <c r="AN195" s="91"/>
      <c r="AO195" s="91"/>
      <c r="AQ195" s="69">
        <f>SUM(O195:AO195)</f>
        <v>354810.19</v>
      </c>
      <c r="AR195" s="69">
        <f>+K195-AQ195</f>
        <v>0</v>
      </c>
      <c r="AT195" s="390"/>
      <c r="AV195" s="196"/>
      <c r="AW195" s="196"/>
      <c r="BA195" s="318"/>
    </row>
    <row r="196" spans="1:53" s="2" customFormat="1" ht="10.5" customHeight="1">
      <c r="A196" s="12"/>
      <c r="B196" s="15"/>
      <c r="C196" s="342">
        <v>45</v>
      </c>
      <c r="D196" s="339" t="s">
        <v>91</v>
      </c>
      <c r="E196" s="345" t="s">
        <v>239</v>
      </c>
      <c r="F196" s="372">
        <v>81.12</v>
      </c>
      <c r="G196" s="284">
        <v>4117</v>
      </c>
      <c r="H196" s="284">
        <v>4117</v>
      </c>
      <c r="I196" s="284">
        <v>341.96</v>
      </c>
      <c r="J196" s="284"/>
      <c r="K196" s="284">
        <f>H196+J196</f>
        <v>4117</v>
      </c>
      <c r="L196" s="284">
        <f>+H196-I196+J196</f>
        <v>3775.04</v>
      </c>
      <c r="M196" s="59"/>
      <c r="N196" s="85" t="s">
        <v>162</v>
      </c>
      <c r="O196" s="95"/>
      <c r="P196" s="95"/>
      <c r="Q196" s="95"/>
      <c r="R196" s="95"/>
      <c r="S196" s="95"/>
      <c r="T196" s="95"/>
      <c r="U196" s="61">
        <v>1200</v>
      </c>
      <c r="V196" s="119"/>
      <c r="W196" s="95">
        <v>240</v>
      </c>
      <c r="X196" s="95">
        <v>240</v>
      </c>
      <c r="Y196" s="95">
        <v>240</v>
      </c>
      <c r="Z196" s="95">
        <v>240</v>
      </c>
      <c r="AA196" s="95">
        <v>240</v>
      </c>
      <c r="AB196" s="95">
        <v>240</v>
      </c>
      <c r="AC196" s="95">
        <v>240</v>
      </c>
      <c r="AD196" s="95">
        <v>240</v>
      </c>
      <c r="AE196" s="95">
        <v>240</v>
      </c>
      <c r="AF196" s="95">
        <v>240</v>
      </c>
      <c r="AG196" s="95">
        <v>240</v>
      </c>
      <c r="AH196" s="95">
        <v>277</v>
      </c>
      <c r="AI196" s="95"/>
      <c r="AJ196" s="95"/>
      <c r="AK196" s="95"/>
      <c r="AL196" s="119"/>
      <c r="AM196" s="95"/>
      <c r="AN196" s="95"/>
      <c r="AO196" s="95"/>
      <c r="AQ196" s="144">
        <f>SUM(O196:AO196)</f>
        <v>4117</v>
      </c>
      <c r="AR196" s="144">
        <f>+K196-AQ196</f>
        <v>0</v>
      </c>
      <c r="AT196" s="372">
        <f>+F196*K196</f>
        <v>333971.03999999998</v>
      </c>
      <c r="AV196" s="263">
        <f>SUM(W196:AO196)</f>
        <v>2917</v>
      </c>
      <c r="AW196" s="263">
        <f>+L196-AV196</f>
        <v>858.04</v>
      </c>
      <c r="BA196" s="318">
        <f t="shared" si="98"/>
        <v>1200</v>
      </c>
    </row>
    <row r="197" spans="1:53" s="2" customFormat="1" ht="10.5" customHeight="1">
      <c r="A197" s="10" t="s">
        <v>12</v>
      </c>
      <c r="B197" s="15"/>
      <c r="C197" s="343"/>
      <c r="D197" s="340"/>
      <c r="E197" s="346"/>
      <c r="F197" s="373"/>
      <c r="G197" s="277"/>
      <c r="H197" s="277"/>
      <c r="I197" s="277"/>
      <c r="J197" s="277"/>
      <c r="K197" s="277"/>
      <c r="L197" s="277"/>
      <c r="M197" s="59"/>
      <c r="N197" s="87" t="s">
        <v>163</v>
      </c>
      <c r="O197" s="62">
        <f t="shared" ref="O197:T197" si="174">+O196/$K196</f>
        <v>0</v>
      </c>
      <c r="P197" s="62">
        <f t="shared" si="174"/>
        <v>0</v>
      </c>
      <c r="Q197" s="62">
        <f t="shared" si="174"/>
        <v>0</v>
      </c>
      <c r="R197" s="62">
        <f t="shared" si="174"/>
        <v>0</v>
      </c>
      <c r="S197" s="62">
        <f t="shared" si="174"/>
        <v>0</v>
      </c>
      <c r="T197" s="62">
        <f t="shared" si="174"/>
        <v>0</v>
      </c>
      <c r="U197" s="62">
        <f>+U196/$K196</f>
        <v>0.29149999999999998</v>
      </c>
      <c r="V197" s="116"/>
      <c r="W197" s="62">
        <f t="shared" ref="W197:AK197" si="175">+W196/$K196</f>
        <v>5.8299999999999998E-2</v>
      </c>
      <c r="X197" s="62">
        <f t="shared" si="175"/>
        <v>5.8299999999999998E-2</v>
      </c>
      <c r="Y197" s="62">
        <f t="shared" si="175"/>
        <v>5.8299999999999998E-2</v>
      </c>
      <c r="Z197" s="62">
        <f t="shared" si="175"/>
        <v>5.8299999999999998E-2</v>
      </c>
      <c r="AA197" s="62">
        <f t="shared" si="175"/>
        <v>5.8299999999999998E-2</v>
      </c>
      <c r="AB197" s="62">
        <f t="shared" si="175"/>
        <v>5.8299999999999998E-2</v>
      </c>
      <c r="AC197" s="62">
        <f t="shared" si="175"/>
        <v>5.8299999999999998E-2</v>
      </c>
      <c r="AD197" s="62">
        <f t="shared" si="175"/>
        <v>5.8299999999999998E-2</v>
      </c>
      <c r="AE197" s="62">
        <f t="shared" si="175"/>
        <v>5.8299999999999998E-2</v>
      </c>
      <c r="AF197" s="62">
        <f t="shared" si="175"/>
        <v>5.8299999999999998E-2</v>
      </c>
      <c r="AG197" s="62">
        <f t="shared" si="175"/>
        <v>5.8299999999999998E-2</v>
      </c>
      <c r="AH197" s="62">
        <f t="shared" si="175"/>
        <v>6.7299999999999999E-2</v>
      </c>
      <c r="AI197" s="62">
        <f t="shared" si="175"/>
        <v>0</v>
      </c>
      <c r="AJ197" s="62">
        <f t="shared" si="175"/>
        <v>0</v>
      </c>
      <c r="AK197" s="62">
        <f t="shared" si="175"/>
        <v>0</v>
      </c>
      <c r="AL197" s="116"/>
      <c r="AM197" s="93"/>
      <c r="AN197" s="93"/>
      <c r="AO197" s="93"/>
      <c r="AQ197" s="149">
        <f>SUM(O197:AO197)</f>
        <v>1.0001</v>
      </c>
      <c r="AR197" s="146"/>
      <c r="AT197" s="389"/>
      <c r="AV197" s="266"/>
      <c r="AW197" s="266"/>
      <c r="BA197" s="318"/>
    </row>
    <row r="198" spans="1:53" s="2" customFormat="1" ht="10.5" hidden="1" customHeight="1">
      <c r="A198" s="11" t="s">
        <v>13</v>
      </c>
      <c r="B198" s="15"/>
      <c r="C198" s="343"/>
      <c r="D198" s="340"/>
      <c r="E198" s="346"/>
      <c r="F198" s="373"/>
      <c r="G198" s="277"/>
      <c r="H198" s="277"/>
      <c r="I198" s="277"/>
      <c r="J198" s="277"/>
      <c r="K198" s="277"/>
      <c r="L198" s="277"/>
      <c r="M198" s="59"/>
      <c r="N198" s="89"/>
      <c r="O198" s="63"/>
      <c r="P198" s="63"/>
      <c r="Q198" s="63"/>
      <c r="R198" s="63"/>
      <c r="S198" s="63"/>
      <c r="T198" s="63"/>
      <c r="U198" s="93"/>
      <c r="V198" s="117"/>
      <c r="W198" s="63"/>
      <c r="X198" s="63"/>
      <c r="Y198" s="63"/>
      <c r="Z198" s="63"/>
      <c r="AA198" s="63"/>
      <c r="AB198" s="63"/>
      <c r="AC198" s="63"/>
      <c r="AD198" s="63"/>
      <c r="AE198" s="63"/>
      <c r="AF198" s="63"/>
      <c r="AG198" s="63"/>
      <c r="AH198" s="63"/>
      <c r="AI198" s="63"/>
      <c r="AJ198" s="63"/>
      <c r="AK198" s="63"/>
      <c r="AL198" s="117"/>
      <c r="AM198" s="96"/>
      <c r="AN198" s="96"/>
      <c r="AO198" s="96"/>
      <c r="AQ198" s="145"/>
      <c r="AR198" s="146"/>
      <c r="AT198" s="389"/>
      <c r="AV198" s="197"/>
      <c r="AW198" s="197"/>
      <c r="BA198" s="318"/>
    </row>
    <row r="199" spans="1:53" s="2" customFormat="1" ht="10.5" customHeight="1">
      <c r="A199" s="12">
        <v>1</v>
      </c>
      <c r="B199" s="15"/>
      <c r="C199" s="344"/>
      <c r="D199" s="341"/>
      <c r="E199" s="347"/>
      <c r="F199" s="374"/>
      <c r="G199" s="307">
        <f>ROUND(G196*$F196,2)</f>
        <v>333971.03999999998</v>
      </c>
      <c r="H199" s="307">
        <f>ROUND(H196*$F196,2)</f>
        <v>333971.03999999998</v>
      </c>
      <c r="I199" s="307">
        <f>ROUND(I196*$F196,2)</f>
        <v>27739.8</v>
      </c>
      <c r="J199" s="307">
        <f>J196*$F196</f>
        <v>0</v>
      </c>
      <c r="K199" s="307">
        <f>ROUND(K196*$F196,2)</f>
        <v>333971.03999999998</v>
      </c>
      <c r="L199" s="307">
        <f>ROUND(L196*$F196,2)</f>
        <v>306231.24</v>
      </c>
      <c r="M199" s="59"/>
      <c r="N199" s="90" t="s">
        <v>164</v>
      </c>
      <c r="O199" s="64">
        <f t="shared" ref="O199:T199" si="176">O196*$F196</f>
        <v>0</v>
      </c>
      <c r="P199" s="64">
        <f t="shared" si="176"/>
        <v>0</v>
      </c>
      <c r="Q199" s="64">
        <f t="shared" si="176"/>
        <v>0</v>
      </c>
      <c r="R199" s="64">
        <f t="shared" si="176"/>
        <v>0</v>
      </c>
      <c r="S199" s="64">
        <f t="shared" si="176"/>
        <v>0</v>
      </c>
      <c r="T199" s="64">
        <f t="shared" si="176"/>
        <v>0</v>
      </c>
      <c r="U199" s="64">
        <f>U196*$F196</f>
        <v>97344</v>
      </c>
      <c r="V199" s="118"/>
      <c r="W199" s="64">
        <f>W196*$F196</f>
        <v>19468.8</v>
      </c>
      <c r="X199" s="64">
        <f>X196*$F196</f>
        <v>19468.8</v>
      </c>
      <c r="Y199" s="64">
        <f>Y196*$F196</f>
        <v>19468.8</v>
      </c>
      <c r="Z199" s="64">
        <f>Z196*$F196</f>
        <v>19468.8</v>
      </c>
      <c r="AA199" s="64">
        <f t="shared" ref="AA199:AJ199" si="177">AA196*$F196</f>
        <v>19468.8</v>
      </c>
      <c r="AB199" s="64">
        <f t="shared" si="177"/>
        <v>19468.8</v>
      </c>
      <c r="AC199" s="64">
        <f t="shared" si="177"/>
        <v>19468.8</v>
      </c>
      <c r="AD199" s="64">
        <f t="shared" si="177"/>
        <v>19468.8</v>
      </c>
      <c r="AE199" s="64">
        <f t="shared" si="177"/>
        <v>19468.8</v>
      </c>
      <c r="AF199" s="64">
        <f t="shared" si="177"/>
        <v>19468.8</v>
      </c>
      <c r="AG199" s="64">
        <f t="shared" si="177"/>
        <v>19468.8</v>
      </c>
      <c r="AH199" s="64">
        <f t="shared" si="177"/>
        <v>22470.240000000002</v>
      </c>
      <c r="AI199" s="64">
        <f t="shared" si="177"/>
        <v>0</v>
      </c>
      <c r="AJ199" s="64">
        <f t="shared" si="177"/>
        <v>0</v>
      </c>
      <c r="AK199" s="64">
        <f>AK196*$F196</f>
        <v>0</v>
      </c>
      <c r="AL199" s="118"/>
      <c r="AM199" s="94"/>
      <c r="AN199" s="94"/>
      <c r="AO199" s="94"/>
      <c r="AQ199" s="69">
        <f>SUM(O199:AO199)</f>
        <v>333971.03999999998</v>
      </c>
      <c r="AR199" s="69">
        <f>+K199-AQ199</f>
        <v>0</v>
      </c>
      <c r="AT199" s="390"/>
      <c r="AV199" s="196"/>
      <c r="AW199" s="196"/>
      <c r="BA199" s="318"/>
    </row>
    <row r="200" spans="1:53" s="2" customFormat="1" ht="10.5" customHeight="1">
      <c r="A200" s="12"/>
      <c r="B200" s="15"/>
      <c r="C200" s="342">
        <v>46</v>
      </c>
      <c r="D200" s="339" t="s">
        <v>92</v>
      </c>
      <c r="E200" s="345" t="s">
        <v>233</v>
      </c>
      <c r="F200" s="372">
        <v>723.98</v>
      </c>
      <c r="G200" s="284">
        <v>501</v>
      </c>
      <c r="H200" s="284">
        <v>601</v>
      </c>
      <c r="I200" s="284">
        <v>478.68</v>
      </c>
      <c r="J200" s="311">
        <v>499</v>
      </c>
      <c r="K200" s="284">
        <f>H200+J200</f>
        <v>1100</v>
      </c>
      <c r="L200" s="284">
        <f>+H200-I200+J200</f>
        <v>621.32000000000005</v>
      </c>
      <c r="M200" s="59"/>
      <c r="N200" s="85" t="s">
        <v>162</v>
      </c>
      <c r="O200" s="95"/>
      <c r="P200" s="95"/>
      <c r="Q200" s="95"/>
      <c r="R200" s="95"/>
      <c r="S200" s="95"/>
      <c r="T200" s="95"/>
      <c r="U200" s="61">
        <f>+I200</f>
        <v>478.68</v>
      </c>
      <c r="V200" s="119"/>
      <c r="W200" s="95">
        <v>35</v>
      </c>
      <c r="X200" s="95">
        <v>35</v>
      </c>
      <c r="Y200" s="95">
        <v>35</v>
      </c>
      <c r="Z200" s="95">
        <v>75</v>
      </c>
      <c r="AA200" s="95">
        <v>75</v>
      </c>
      <c r="AB200" s="95">
        <v>100</v>
      </c>
      <c r="AC200" s="95">
        <v>100</v>
      </c>
      <c r="AD200" s="95">
        <v>100</v>
      </c>
      <c r="AE200" s="95">
        <v>66.319999999999993</v>
      </c>
      <c r="AF200" s="95"/>
      <c r="AG200" s="95"/>
      <c r="AH200" s="95"/>
      <c r="AI200" s="95"/>
      <c r="AJ200" s="95"/>
      <c r="AK200" s="95"/>
      <c r="AL200" s="119"/>
      <c r="AM200" s="95"/>
      <c r="AN200" s="95"/>
      <c r="AO200" s="95"/>
      <c r="AQ200" s="144">
        <f>SUM(O200:AO200)</f>
        <v>1100</v>
      </c>
      <c r="AR200" s="144">
        <f>+K200-AQ200</f>
        <v>0</v>
      </c>
      <c r="AT200" s="372">
        <f>+F200*K200</f>
        <v>796378</v>
      </c>
      <c r="AV200" s="263">
        <f>SUM(W200:AO200)</f>
        <v>621.32000000000005</v>
      </c>
      <c r="AW200" s="263">
        <f>+L200-AV200</f>
        <v>0</v>
      </c>
      <c r="BA200" s="318">
        <f t="shared" si="98"/>
        <v>478.68</v>
      </c>
    </row>
    <row r="201" spans="1:53" s="2" customFormat="1" ht="10.5" customHeight="1">
      <c r="A201" s="10" t="s">
        <v>12</v>
      </c>
      <c r="B201" s="15"/>
      <c r="C201" s="343"/>
      <c r="D201" s="340"/>
      <c r="E201" s="346"/>
      <c r="F201" s="373"/>
      <c r="G201" s="277"/>
      <c r="H201" s="277"/>
      <c r="I201" s="277"/>
      <c r="J201" s="277"/>
      <c r="K201" s="277"/>
      <c r="L201" s="277"/>
      <c r="M201" s="59"/>
      <c r="N201" s="87" t="s">
        <v>163</v>
      </c>
      <c r="O201" s="62">
        <f t="shared" ref="O201:T201" si="178">+O200/$K200</f>
        <v>0</v>
      </c>
      <c r="P201" s="62">
        <f t="shared" si="178"/>
        <v>0</v>
      </c>
      <c r="Q201" s="62">
        <f t="shared" si="178"/>
        <v>0</v>
      </c>
      <c r="R201" s="62">
        <f t="shared" si="178"/>
        <v>0</v>
      </c>
      <c r="S201" s="62">
        <f t="shared" si="178"/>
        <v>0</v>
      </c>
      <c r="T201" s="62">
        <f t="shared" si="178"/>
        <v>0</v>
      </c>
      <c r="U201" s="62">
        <f>+U200/$K200</f>
        <v>0.43519999999999998</v>
      </c>
      <c r="V201" s="116"/>
      <c r="W201" s="62">
        <f t="shared" ref="W201" si="179">+W200/$K200</f>
        <v>3.1800000000000002E-2</v>
      </c>
      <c r="X201" s="62">
        <f t="shared" ref="X201" si="180">+X200/$K200</f>
        <v>3.1800000000000002E-2</v>
      </c>
      <c r="Y201" s="62">
        <f t="shared" ref="Y201" si="181">+Y200/$K200</f>
        <v>3.1800000000000002E-2</v>
      </c>
      <c r="Z201" s="62">
        <f t="shared" ref="Z201" si="182">+Z200/$K200</f>
        <v>6.8199999999999997E-2</v>
      </c>
      <c r="AA201" s="62">
        <f t="shared" ref="AA201:AK201" si="183">+AA200/$K200</f>
        <v>6.8199999999999997E-2</v>
      </c>
      <c r="AB201" s="62">
        <f t="shared" si="183"/>
        <v>9.0899999999999995E-2</v>
      </c>
      <c r="AC201" s="62">
        <f t="shared" si="183"/>
        <v>9.0899999999999995E-2</v>
      </c>
      <c r="AD201" s="62">
        <f t="shared" si="183"/>
        <v>9.0899999999999995E-2</v>
      </c>
      <c r="AE201" s="62">
        <f t="shared" si="183"/>
        <v>6.0299999999999999E-2</v>
      </c>
      <c r="AF201" s="62">
        <f t="shared" si="183"/>
        <v>0</v>
      </c>
      <c r="AG201" s="62">
        <f t="shared" si="183"/>
        <v>0</v>
      </c>
      <c r="AH201" s="62">
        <f t="shared" si="183"/>
        <v>0</v>
      </c>
      <c r="AI201" s="62">
        <f t="shared" si="183"/>
        <v>0</v>
      </c>
      <c r="AJ201" s="62">
        <f t="shared" si="183"/>
        <v>0</v>
      </c>
      <c r="AK201" s="62">
        <f t="shared" si="183"/>
        <v>0</v>
      </c>
      <c r="AL201" s="116"/>
      <c r="AM201" s="93"/>
      <c r="AN201" s="93"/>
      <c r="AO201" s="93"/>
      <c r="AQ201" s="149">
        <f>SUM(O201:AO201)</f>
        <v>1</v>
      </c>
      <c r="AR201" s="146"/>
      <c r="AT201" s="389"/>
      <c r="AV201" s="266"/>
      <c r="AW201" s="266"/>
      <c r="BA201" s="318"/>
    </row>
    <row r="202" spans="1:53" s="2" customFormat="1" ht="10.5" hidden="1" customHeight="1">
      <c r="A202" s="11" t="s">
        <v>13</v>
      </c>
      <c r="B202" s="15"/>
      <c r="C202" s="343"/>
      <c r="D202" s="340"/>
      <c r="E202" s="346"/>
      <c r="F202" s="373"/>
      <c r="G202" s="277"/>
      <c r="H202" s="277"/>
      <c r="I202" s="277"/>
      <c r="J202" s="277"/>
      <c r="K202" s="277"/>
      <c r="L202" s="277"/>
      <c r="M202" s="59"/>
      <c r="N202" s="89"/>
      <c r="O202" s="63"/>
      <c r="P202" s="63"/>
      <c r="Q202" s="63"/>
      <c r="R202" s="63"/>
      <c r="S202" s="63"/>
      <c r="T202" s="63"/>
      <c r="U202" s="93"/>
      <c r="V202" s="117"/>
      <c r="W202" s="63"/>
      <c r="X202" s="63"/>
      <c r="Y202" s="63"/>
      <c r="Z202" s="63"/>
      <c r="AA202" s="63"/>
      <c r="AB202" s="63"/>
      <c r="AC202" s="63"/>
      <c r="AD202" s="63"/>
      <c r="AE202" s="63"/>
      <c r="AF202" s="63"/>
      <c r="AG202" s="63"/>
      <c r="AH202" s="63"/>
      <c r="AI202" s="63"/>
      <c r="AJ202" s="63"/>
      <c r="AK202" s="63"/>
      <c r="AL202" s="117"/>
      <c r="AM202" s="96"/>
      <c r="AN202" s="96"/>
      <c r="AO202" s="96"/>
      <c r="AQ202" s="145"/>
      <c r="AR202" s="146"/>
      <c r="AT202" s="389"/>
      <c r="AV202" s="197"/>
      <c r="AW202" s="197"/>
      <c r="BA202" s="318"/>
    </row>
    <row r="203" spans="1:53" s="2" customFormat="1" ht="10.5" customHeight="1">
      <c r="A203" s="12">
        <v>1</v>
      </c>
      <c r="B203" s="15"/>
      <c r="C203" s="344"/>
      <c r="D203" s="341"/>
      <c r="E203" s="347"/>
      <c r="F203" s="374"/>
      <c r="G203" s="307">
        <f>ROUND(G200*$F200,2)</f>
        <v>362713.98</v>
      </c>
      <c r="H203" s="307">
        <f>ROUND(H200*$F200,2)</f>
        <v>435111.98</v>
      </c>
      <c r="I203" s="307">
        <f>ROUND(I200*$F200,2)</f>
        <v>346554.75</v>
      </c>
      <c r="J203" s="307">
        <f>J200*$F200</f>
        <v>361266.02</v>
      </c>
      <c r="K203" s="307">
        <f>ROUND(K200*$F200,2)</f>
        <v>796378</v>
      </c>
      <c r="L203" s="307">
        <f>ROUND(L200*$F200,2)</f>
        <v>449823.25</v>
      </c>
      <c r="M203" s="59"/>
      <c r="N203" s="90" t="s">
        <v>164</v>
      </c>
      <c r="O203" s="64">
        <f t="shared" ref="O203:T203" si="184">O200*$F200</f>
        <v>0</v>
      </c>
      <c r="P203" s="64">
        <f t="shared" si="184"/>
        <v>0</v>
      </c>
      <c r="Q203" s="64">
        <f t="shared" si="184"/>
        <v>0</v>
      </c>
      <c r="R203" s="64">
        <f t="shared" si="184"/>
        <v>0</v>
      </c>
      <c r="S203" s="64">
        <f t="shared" si="184"/>
        <v>0</v>
      </c>
      <c r="T203" s="64">
        <f t="shared" si="184"/>
        <v>0</v>
      </c>
      <c r="U203" s="64">
        <f>U200*$F200-0.01</f>
        <v>346554.74</v>
      </c>
      <c r="V203" s="118"/>
      <c r="W203" s="64">
        <f t="shared" ref="W203" si="185">W200*$F200</f>
        <v>25339.3</v>
      </c>
      <c r="X203" s="64">
        <f t="shared" ref="X203" si="186">X200*$F200</f>
        <v>25339.3</v>
      </c>
      <c r="Y203" s="64">
        <f t="shared" ref="Y203" si="187">Y200*$F200</f>
        <v>25339.3</v>
      </c>
      <c r="Z203" s="64">
        <f t="shared" ref="Z203" si="188">Z200*$F200</f>
        <v>54298.5</v>
      </c>
      <c r="AA203" s="64">
        <f>AA200*$F200+0.01</f>
        <v>54298.51</v>
      </c>
      <c r="AB203" s="64">
        <f t="shared" ref="AB203:AK203" si="189">AB200*$F200</f>
        <v>72398</v>
      </c>
      <c r="AC203" s="64">
        <f t="shared" si="189"/>
        <v>72398</v>
      </c>
      <c r="AD203" s="64">
        <f t="shared" si="189"/>
        <v>72398</v>
      </c>
      <c r="AE203" s="64">
        <f t="shared" si="189"/>
        <v>48014.35</v>
      </c>
      <c r="AF203" s="64">
        <f>AF200*$F200</f>
        <v>0</v>
      </c>
      <c r="AG203" s="64">
        <f t="shared" si="189"/>
        <v>0</v>
      </c>
      <c r="AH203" s="64">
        <f t="shared" si="189"/>
        <v>0</v>
      </c>
      <c r="AI203" s="64">
        <f t="shared" si="189"/>
        <v>0</v>
      </c>
      <c r="AJ203" s="64">
        <f t="shared" si="189"/>
        <v>0</v>
      </c>
      <c r="AK203" s="64">
        <f t="shared" si="189"/>
        <v>0</v>
      </c>
      <c r="AL203" s="118"/>
      <c r="AM203" s="94"/>
      <c r="AN203" s="94"/>
      <c r="AO203" s="94"/>
      <c r="AQ203" s="69">
        <f>SUM(O203:AO203)</f>
        <v>796378</v>
      </c>
      <c r="AR203" s="69">
        <f>+K203-AQ203</f>
        <v>0</v>
      </c>
      <c r="AT203" s="390"/>
      <c r="AV203" s="196"/>
      <c r="AW203" s="196"/>
      <c r="BA203" s="318"/>
    </row>
    <row r="204" spans="1:53" s="2" customFormat="1" ht="10.5" customHeight="1">
      <c r="A204" s="12"/>
      <c r="B204" s="15"/>
      <c r="C204" s="342">
        <v>47</v>
      </c>
      <c r="D204" s="339" t="s">
        <v>93</v>
      </c>
      <c r="E204" s="345" t="s">
        <v>239</v>
      </c>
      <c r="F204" s="372">
        <v>261.16000000000003</v>
      </c>
      <c r="G204" s="284">
        <v>1375</v>
      </c>
      <c r="H204" s="284">
        <v>1375</v>
      </c>
      <c r="I204" s="284"/>
      <c r="J204" s="284"/>
      <c r="K204" s="284">
        <f>H204+J204</f>
        <v>1375</v>
      </c>
      <c r="L204" s="284">
        <f>+H204-I204+J204</f>
        <v>1375</v>
      </c>
      <c r="M204" s="59"/>
      <c r="N204" s="85" t="s">
        <v>162</v>
      </c>
      <c r="O204" s="95"/>
      <c r="P204" s="95"/>
      <c r="Q204" s="95"/>
      <c r="R204" s="95"/>
      <c r="S204" s="95"/>
      <c r="T204" s="95"/>
      <c r="U204" s="61">
        <v>294.94</v>
      </c>
      <c r="V204" s="119"/>
      <c r="W204" s="95">
        <f>+W129*$K$204</f>
        <v>60.23</v>
      </c>
      <c r="X204" s="95">
        <f>+X129*$K$204</f>
        <v>90.34</v>
      </c>
      <c r="Y204" s="95">
        <f>+Y129*$K$204</f>
        <v>90.34</v>
      </c>
      <c r="Z204" s="95">
        <f>+Z129*$K$204</f>
        <v>90.34</v>
      </c>
      <c r="AA204" s="95">
        <f t="shared" ref="AA204:AG204" si="190">+AA129*$K$204</f>
        <v>90.34</v>
      </c>
      <c r="AB204" s="95">
        <f t="shared" si="190"/>
        <v>90.34</v>
      </c>
      <c r="AC204" s="95">
        <f t="shared" si="190"/>
        <v>90.34</v>
      </c>
      <c r="AD204" s="95">
        <f t="shared" si="190"/>
        <v>90.34</v>
      </c>
      <c r="AE204" s="95">
        <f t="shared" si="190"/>
        <v>90.34</v>
      </c>
      <c r="AF204" s="95">
        <f t="shared" si="190"/>
        <v>90.34</v>
      </c>
      <c r="AG204" s="95">
        <f t="shared" si="190"/>
        <v>102.44</v>
      </c>
      <c r="AH204" s="95">
        <f>+AH129*$K$204+0.38</f>
        <v>104.33</v>
      </c>
      <c r="AI204" s="95">
        <f>+AI129*$K$204</f>
        <v>0</v>
      </c>
      <c r="AJ204" s="95">
        <f>+AJ129*$K$204</f>
        <v>0</v>
      </c>
      <c r="AK204" s="95">
        <f>+AK129*$K$204</f>
        <v>0</v>
      </c>
      <c r="AL204" s="119"/>
      <c r="AM204" s="95"/>
      <c r="AN204" s="95"/>
      <c r="AO204" s="95"/>
      <c r="AQ204" s="144">
        <f>SUM(O204:AO204)</f>
        <v>1375</v>
      </c>
      <c r="AR204" s="144">
        <f>+K204-AQ204</f>
        <v>0</v>
      </c>
      <c r="AT204" s="372">
        <f>+F204*K204</f>
        <v>359095</v>
      </c>
      <c r="AV204" s="263">
        <f>SUM(W204:AO204)</f>
        <v>1080.06</v>
      </c>
      <c r="AW204" s="263">
        <f>+L204-AV204</f>
        <v>294.94</v>
      </c>
      <c r="BA204" s="318">
        <f t="shared" ref="BA204:BA266" si="191">SUM(O204:U204)</f>
        <v>294.94</v>
      </c>
    </row>
    <row r="205" spans="1:53" s="2" customFormat="1" ht="10.5" customHeight="1">
      <c r="A205" s="10" t="s">
        <v>12</v>
      </c>
      <c r="B205" s="15"/>
      <c r="C205" s="343"/>
      <c r="D205" s="340"/>
      <c r="E205" s="346"/>
      <c r="F205" s="373"/>
      <c r="G205" s="277"/>
      <c r="H205" s="277"/>
      <c r="I205" s="277"/>
      <c r="J205" s="277"/>
      <c r="K205" s="277"/>
      <c r="L205" s="277"/>
      <c r="M205" s="59"/>
      <c r="N205" s="87" t="s">
        <v>163</v>
      </c>
      <c r="O205" s="62">
        <f t="shared" ref="O205:U205" si="192">+O204/$K204</f>
        <v>0</v>
      </c>
      <c r="P205" s="62">
        <f t="shared" si="192"/>
        <v>0</v>
      </c>
      <c r="Q205" s="62">
        <f t="shared" si="192"/>
        <v>0</v>
      </c>
      <c r="R205" s="62">
        <f t="shared" si="192"/>
        <v>0</v>
      </c>
      <c r="S205" s="62">
        <f t="shared" si="192"/>
        <v>0</v>
      </c>
      <c r="T205" s="62">
        <f t="shared" si="192"/>
        <v>0</v>
      </c>
      <c r="U205" s="62">
        <f t="shared" si="192"/>
        <v>0.2145</v>
      </c>
      <c r="V205" s="116"/>
      <c r="W205" s="62">
        <f t="shared" ref="W205:AK205" si="193">+W204/$K204</f>
        <v>4.3799999999999999E-2</v>
      </c>
      <c r="X205" s="62">
        <f t="shared" si="193"/>
        <v>6.5699999999999995E-2</v>
      </c>
      <c r="Y205" s="62">
        <f t="shared" si="193"/>
        <v>6.5699999999999995E-2</v>
      </c>
      <c r="Z205" s="62">
        <f t="shared" si="193"/>
        <v>6.5699999999999995E-2</v>
      </c>
      <c r="AA205" s="62">
        <f t="shared" si="193"/>
        <v>6.5699999999999995E-2</v>
      </c>
      <c r="AB205" s="62">
        <f t="shared" si="193"/>
        <v>6.5699999999999995E-2</v>
      </c>
      <c r="AC205" s="62">
        <f t="shared" si="193"/>
        <v>6.5699999999999995E-2</v>
      </c>
      <c r="AD205" s="62">
        <f t="shared" si="193"/>
        <v>6.5699999999999995E-2</v>
      </c>
      <c r="AE205" s="62">
        <f t="shared" si="193"/>
        <v>6.5699999999999995E-2</v>
      </c>
      <c r="AF205" s="62">
        <f t="shared" si="193"/>
        <v>6.5699999999999995E-2</v>
      </c>
      <c r="AG205" s="62">
        <f t="shared" si="193"/>
        <v>7.4499999999999997E-2</v>
      </c>
      <c r="AH205" s="62">
        <f t="shared" si="193"/>
        <v>7.5899999999999995E-2</v>
      </c>
      <c r="AI205" s="62">
        <f t="shared" si="193"/>
        <v>0</v>
      </c>
      <c r="AJ205" s="62">
        <f t="shared" si="193"/>
        <v>0</v>
      </c>
      <c r="AK205" s="62">
        <f t="shared" si="193"/>
        <v>0</v>
      </c>
      <c r="AL205" s="116"/>
      <c r="AM205" s="93"/>
      <c r="AN205" s="93"/>
      <c r="AO205" s="93"/>
      <c r="AQ205" s="149">
        <f>SUM(O205:AO205)</f>
        <v>1</v>
      </c>
      <c r="AR205" s="146"/>
      <c r="AT205" s="389"/>
      <c r="AV205" s="266"/>
      <c r="AW205" s="266"/>
      <c r="BA205" s="318">
        <f t="shared" si="191"/>
        <v>0.21</v>
      </c>
    </row>
    <row r="206" spans="1:53" s="2" customFormat="1" ht="10.5" hidden="1" customHeight="1">
      <c r="A206" s="11" t="s">
        <v>13</v>
      </c>
      <c r="B206" s="15"/>
      <c r="C206" s="343"/>
      <c r="D206" s="340"/>
      <c r="E206" s="346"/>
      <c r="F206" s="373"/>
      <c r="G206" s="277"/>
      <c r="H206" s="277"/>
      <c r="I206" s="277"/>
      <c r="J206" s="277"/>
      <c r="K206" s="277"/>
      <c r="L206" s="277"/>
      <c r="M206" s="59"/>
      <c r="N206" s="89"/>
      <c r="O206" s="63"/>
      <c r="P206" s="63"/>
      <c r="Q206" s="63"/>
      <c r="R206" s="63"/>
      <c r="S206" s="63"/>
      <c r="T206" s="63"/>
      <c r="U206" s="93"/>
      <c r="V206" s="117"/>
      <c r="W206" s="63"/>
      <c r="X206" s="63"/>
      <c r="Y206" s="63"/>
      <c r="Z206" s="63"/>
      <c r="AA206" s="63"/>
      <c r="AB206" s="63"/>
      <c r="AC206" s="63"/>
      <c r="AD206" s="63"/>
      <c r="AE206" s="63"/>
      <c r="AF206" s="63"/>
      <c r="AG206" s="63"/>
      <c r="AH206" s="63"/>
      <c r="AI206" s="63"/>
      <c r="AJ206" s="63"/>
      <c r="AK206" s="63"/>
      <c r="AL206" s="117"/>
      <c r="AM206" s="96"/>
      <c r="AN206" s="96"/>
      <c r="AO206" s="96"/>
      <c r="AQ206" s="145"/>
      <c r="AR206" s="146"/>
      <c r="AT206" s="389"/>
      <c r="AV206" s="197"/>
      <c r="AW206" s="197"/>
      <c r="BA206" s="318">
        <f t="shared" si="191"/>
        <v>0</v>
      </c>
    </row>
    <row r="207" spans="1:53" s="2" customFormat="1" ht="10.5" customHeight="1">
      <c r="A207" s="12">
        <v>1</v>
      </c>
      <c r="B207" s="15"/>
      <c r="C207" s="344"/>
      <c r="D207" s="341"/>
      <c r="E207" s="347"/>
      <c r="F207" s="374"/>
      <c r="G207" s="307">
        <f>ROUND(G204*$F204,2)</f>
        <v>359095</v>
      </c>
      <c r="H207" s="307">
        <f>ROUND(H204*$F204,2)</f>
        <v>359095</v>
      </c>
      <c r="I207" s="307">
        <f>ROUND(I204*$F204,2)</f>
        <v>0</v>
      </c>
      <c r="J207" s="307">
        <f>J204*$F204</f>
        <v>0</v>
      </c>
      <c r="K207" s="307">
        <f>ROUND(K204*$F204,2)</f>
        <v>359095</v>
      </c>
      <c r="L207" s="307">
        <f>ROUND(L204*$F204,2)</f>
        <v>359095</v>
      </c>
      <c r="M207" s="60"/>
      <c r="N207" s="90" t="s">
        <v>164</v>
      </c>
      <c r="O207" s="64">
        <f t="shared" ref="O207:T207" si="194">O204*$F204</f>
        <v>0</v>
      </c>
      <c r="P207" s="64">
        <f t="shared" si="194"/>
        <v>0</v>
      </c>
      <c r="Q207" s="64">
        <f t="shared" si="194"/>
        <v>0</v>
      </c>
      <c r="R207" s="64">
        <f t="shared" si="194"/>
        <v>0</v>
      </c>
      <c r="S207" s="64">
        <f t="shared" si="194"/>
        <v>0</v>
      </c>
      <c r="T207" s="64">
        <f t="shared" si="194"/>
        <v>0</v>
      </c>
      <c r="U207" s="64">
        <f>U204*$F204</f>
        <v>77026.53</v>
      </c>
      <c r="V207" s="118"/>
      <c r="W207" s="64">
        <f>W204*$F204</f>
        <v>15729.67</v>
      </c>
      <c r="X207" s="64">
        <f>X204*$F204</f>
        <v>23593.19</v>
      </c>
      <c r="Y207" s="64">
        <f>Y204*$F204</f>
        <v>23593.19</v>
      </c>
      <c r="Z207" s="64">
        <f>Z204*$F204</f>
        <v>23593.19</v>
      </c>
      <c r="AA207" s="64">
        <f t="shared" ref="AA207:AJ207" si="195">AA204*$F204</f>
        <v>23593.19</v>
      </c>
      <c r="AB207" s="64">
        <f t="shared" si="195"/>
        <v>23593.19</v>
      </c>
      <c r="AC207" s="64">
        <f t="shared" si="195"/>
        <v>23593.19</v>
      </c>
      <c r="AD207" s="64">
        <f t="shared" si="195"/>
        <v>23593.19</v>
      </c>
      <c r="AE207" s="64">
        <f t="shared" si="195"/>
        <v>23593.19</v>
      </c>
      <c r="AF207" s="64">
        <f t="shared" si="195"/>
        <v>23593.19</v>
      </c>
      <c r="AG207" s="64">
        <f t="shared" si="195"/>
        <v>26753.23</v>
      </c>
      <c r="AH207" s="64">
        <f>AH204*$F204+0.04</f>
        <v>27246.86</v>
      </c>
      <c r="AI207" s="64">
        <f t="shared" si="195"/>
        <v>0</v>
      </c>
      <c r="AJ207" s="64">
        <f t="shared" si="195"/>
        <v>0</v>
      </c>
      <c r="AK207" s="64">
        <f>AK204*$F204</f>
        <v>0</v>
      </c>
      <c r="AL207" s="118"/>
      <c r="AM207" s="94"/>
      <c r="AN207" s="94"/>
      <c r="AO207" s="94"/>
      <c r="AQ207" s="69">
        <f>SUM(O207:AO207)</f>
        <v>359095</v>
      </c>
      <c r="AR207" s="69">
        <f>+K207-AQ207</f>
        <v>0</v>
      </c>
      <c r="AT207" s="390"/>
      <c r="AV207" s="197"/>
      <c r="AW207" s="197"/>
      <c r="BA207" s="318">
        <f t="shared" si="191"/>
        <v>77026.53</v>
      </c>
    </row>
    <row r="208" spans="1:53" s="2" customFormat="1" ht="7.5" customHeight="1">
      <c r="A208" s="12"/>
      <c r="B208" s="15"/>
      <c r="C208"/>
      <c r="D208"/>
      <c r="E208"/>
      <c r="F208"/>
      <c r="G208"/>
      <c r="H208"/>
      <c r="I208"/>
      <c r="J208"/>
      <c r="K208"/>
      <c r="L208"/>
      <c r="M208" s="46"/>
      <c r="N208"/>
      <c r="O208"/>
      <c r="P208"/>
      <c r="Q208"/>
      <c r="R208"/>
      <c r="S208"/>
      <c r="T208"/>
      <c r="U208" s="260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 s="159"/>
      <c r="AP208"/>
      <c r="AQ208"/>
      <c r="AR208"/>
      <c r="AS208"/>
      <c r="AT208"/>
      <c r="AU208"/>
      <c r="AV208" s="265"/>
      <c r="AW208" s="265"/>
      <c r="AX208"/>
      <c r="AY208"/>
      <c r="BA208" s="318">
        <f t="shared" si="191"/>
        <v>0</v>
      </c>
    </row>
    <row r="209" spans="1:53" s="2" customFormat="1" ht="10.5" customHeight="1">
      <c r="A209" s="12"/>
      <c r="B209" s="15"/>
      <c r="C209" s="381" t="s">
        <v>220</v>
      </c>
      <c r="D209" s="382"/>
      <c r="E209" s="382"/>
      <c r="F209" s="382"/>
      <c r="G209" s="382"/>
      <c r="H209" s="382"/>
      <c r="I209" s="383"/>
      <c r="J209" s="212" t="s">
        <v>218</v>
      </c>
      <c r="K209" s="267">
        <f>SUM(U209:AO209)</f>
        <v>0.99980000000000002</v>
      </c>
      <c r="L209" s="265"/>
      <c r="M209" s="241"/>
      <c r="N209" s="215" t="s">
        <v>218</v>
      </c>
      <c r="O209" s="215"/>
      <c r="P209" s="215"/>
      <c r="Q209" s="215"/>
      <c r="R209" s="215"/>
      <c r="S209" s="215"/>
      <c r="T209" s="215"/>
      <c r="U209" s="258">
        <f>+U210/$K$210</f>
        <v>0.1188</v>
      </c>
      <c r="V209" s="265"/>
      <c r="W209" s="248">
        <f t="shared" ref="W209:AF209" si="196">+W210/$K$210</f>
        <v>3.04E-2</v>
      </c>
      <c r="X209" s="248">
        <f t="shared" si="196"/>
        <v>3.9600000000000003E-2</v>
      </c>
      <c r="Y209" s="248">
        <f t="shared" si="196"/>
        <v>6.2799999999999995E-2</v>
      </c>
      <c r="Z209" s="248">
        <f t="shared" si="196"/>
        <v>7.4099999999999999E-2</v>
      </c>
      <c r="AA209" s="248">
        <f t="shared" si="196"/>
        <v>7.4099999999999999E-2</v>
      </c>
      <c r="AB209" s="248">
        <f t="shared" si="196"/>
        <v>6.4500000000000002E-2</v>
      </c>
      <c r="AC209" s="248">
        <f t="shared" si="196"/>
        <v>6.3200000000000006E-2</v>
      </c>
      <c r="AD209" s="248">
        <f t="shared" si="196"/>
        <v>6.3200000000000006E-2</v>
      </c>
      <c r="AE209" s="248">
        <f t="shared" si="196"/>
        <v>6.8699999999999997E-2</v>
      </c>
      <c r="AF209" s="248">
        <f t="shared" si="196"/>
        <v>6.83E-2</v>
      </c>
      <c r="AG209" s="248">
        <f>+AG210/$K$210</f>
        <v>8.3000000000000004E-2</v>
      </c>
      <c r="AH209" s="248">
        <f>+AH210/$K$210</f>
        <v>9.2999999999999999E-2</v>
      </c>
      <c r="AI209" s="248">
        <f>+AI210/$K$210</f>
        <v>4.2700000000000002E-2</v>
      </c>
      <c r="AJ209" s="248">
        <f>+AJ210/$K$210</f>
        <v>4.24E-2</v>
      </c>
      <c r="AK209" s="248">
        <f>+AK210/$K$210</f>
        <v>1.0999999999999999E-2</v>
      </c>
      <c r="AL209" s="265"/>
      <c r="AM209" s="265"/>
      <c r="AN209" s="265"/>
      <c r="AO209" s="162" t="s">
        <v>173</v>
      </c>
      <c r="AP209" s="265"/>
      <c r="AQ209" s="265"/>
      <c r="AR209" s="265"/>
      <c r="AS209" s="265"/>
      <c r="AT209" s="265"/>
      <c r="AU209" s="265"/>
      <c r="AV209" s="265"/>
      <c r="AW209" s="265"/>
      <c r="AX209" s="265"/>
      <c r="AY209" s="265"/>
      <c r="BA209" s="318"/>
    </row>
    <row r="210" spans="1:53" s="2" customFormat="1" ht="10.5" customHeight="1">
      <c r="A210" s="12"/>
      <c r="B210" s="15"/>
      <c r="C210" s="384"/>
      <c r="D210" s="385"/>
      <c r="E210" s="385"/>
      <c r="F210" s="385"/>
      <c r="G210" s="385"/>
      <c r="H210" s="385"/>
      <c r="I210" s="386"/>
      <c r="J210" s="213" t="s">
        <v>219</v>
      </c>
      <c r="K210" s="268">
        <f>+K103+K107+K111+K115+K119+K123+K127+K131+K135+K139+K143+K147+K151+K155+K159+K163+K167+K171+K175+K179+K183+K187+K191+K195+K199+K203+K207</f>
        <v>49724420.490000002</v>
      </c>
      <c r="L210" s="265"/>
      <c r="M210" s="241"/>
      <c r="N210" s="213" t="s">
        <v>219</v>
      </c>
      <c r="O210" s="315"/>
      <c r="P210" s="315"/>
      <c r="Q210" s="315"/>
      <c r="R210" s="315"/>
      <c r="S210" s="315"/>
      <c r="T210" s="315"/>
      <c r="U210" s="261">
        <f>+U103+U107+U111+U115+U119+U123+U127+U131+U135+U139+U143+U147+U151+U155+U159+U163+U167+U171+U175+U179+U183+U187+U191+U195+U199+U203+U207</f>
        <v>5908258.7000000002</v>
      </c>
      <c r="V210" s="265"/>
      <c r="W210" s="269">
        <f t="shared" ref="W210:AF210" si="197">+W103+W107+W111+W115+W119+W123+W127+W131+W135+W139+W143+W147+W151+W155+W159+W163+W167+W171+W175+W179+W183+W187+W191+W195+W199+W203+W207</f>
        <v>1511373.47</v>
      </c>
      <c r="X210" s="269">
        <f t="shared" si="197"/>
        <v>1969467.85</v>
      </c>
      <c r="Y210" s="269">
        <f t="shared" si="197"/>
        <v>3121527.75</v>
      </c>
      <c r="Z210" s="269">
        <f t="shared" si="197"/>
        <v>3683925.85</v>
      </c>
      <c r="AA210" s="269">
        <f t="shared" si="197"/>
        <v>3684206.06</v>
      </c>
      <c r="AB210" s="269">
        <f t="shared" si="197"/>
        <v>3206357.45</v>
      </c>
      <c r="AC210" s="269">
        <f t="shared" si="197"/>
        <v>3144204.35</v>
      </c>
      <c r="AD210" s="269">
        <f t="shared" si="197"/>
        <v>3144221.25</v>
      </c>
      <c r="AE210" s="269">
        <f t="shared" si="197"/>
        <v>3418216.58</v>
      </c>
      <c r="AF210" s="269">
        <f t="shared" si="197"/>
        <v>3395624.62</v>
      </c>
      <c r="AG210" s="269">
        <f>+AG103+AG107+AG111+AG115+AG119+AG123+AG127+AG131+AG135+AG139+AG143+AG147+AG151+AG155+AG159+AG163+AG167+AG171+AG175+AG179+AG183+AG187+AG191+AG195+AG199+AG203+AG207</f>
        <v>4127172.69</v>
      </c>
      <c r="AH210" s="269">
        <f>+AH103+AH107+AH111+AH115+AH119+AH123+AH127+AH131+AH135+AH139+AH143+AH147+AH151+AH155+AH159+AH163+AH167+AH171+AH175+AH179+AH183+AH187+AH191+AH195+AH199+AH203+AH207</f>
        <v>4626693.0599999996</v>
      </c>
      <c r="AI210" s="269">
        <f>+AI103+AI107+AI111+AI115+AI119+AI123+AI127+AI131+AI135+AI139+AI143+AI147+AI151+AI155+AI159+AI163+AI167+AI171+AI175+AI179+AI183+AI187+AI191+AI195+AI199+AI203+AI207</f>
        <v>2124548.5</v>
      </c>
      <c r="AJ210" s="269">
        <f>+AJ103+AJ107+AJ111+AJ115+AJ119+AJ123+AJ127+AJ131+AJ135+AJ139+AJ143+AJ147+AJ151+AJ155+AJ159+AJ163+AJ167+AJ171+AJ175+AJ179+AJ183+AJ187+AJ191+AJ195+AJ199+AJ203+AJ207</f>
        <v>2110218.25</v>
      </c>
      <c r="AK210" s="269">
        <f>+AK103+AK107+AK111+AK115+AK119+AK123+AK127+AK131+AK135+AK139+AK143+AK147+AK151+AK155+AK159+AK163+AK167+AK171+AK175+AK179+AK183+AK187+AK191+AK195+AK199+AK203+AK207</f>
        <v>548404.06000000006</v>
      </c>
      <c r="AL210" s="265"/>
      <c r="AM210" s="265"/>
      <c r="AN210" s="265"/>
      <c r="AO210" s="162" t="s">
        <v>174</v>
      </c>
      <c r="AP210" s="265"/>
      <c r="AQ210" s="265"/>
      <c r="AR210" s="265"/>
      <c r="AS210" s="265"/>
      <c r="AT210" s="265"/>
      <c r="AU210" s="265"/>
      <c r="AV210" s="265"/>
      <c r="AW210" s="265"/>
      <c r="AX210" s="265"/>
      <c r="AY210" s="265"/>
      <c r="BA210" s="318"/>
    </row>
    <row r="211" spans="1:53" s="2" customFormat="1" ht="7.5" customHeight="1">
      <c r="A211" s="12"/>
      <c r="B211" s="15"/>
      <c r="C211" s="207"/>
      <c r="D211" s="206"/>
      <c r="E211" s="190"/>
      <c r="F211" s="226"/>
      <c r="G211" s="226"/>
      <c r="H211" s="226"/>
      <c r="I211" s="226"/>
      <c r="J211" s="226"/>
      <c r="K211" s="226"/>
      <c r="L211" s="227"/>
      <c r="M211" s="226"/>
      <c r="N211" s="192"/>
      <c r="O211" s="192"/>
      <c r="P211" s="192"/>
      <c r="Q211" s="192"/>
      <c r="R211" s="192"/>
      <c r="S211" s="192"/>
      <c r="T211" s="192"/>
      <c r="U211" s="193"/>
      <c r="V211" s="140"/>
      <c r="W211" s="195"/>
      <c r="X211" s="193"/>
      <c r="Y211" s="193"/>
      <c r="Z211" s="193"/>
      <c r="AA211" s="193"/>
      <c r="AB211" s="193"/>
      <c r="AC211" s="193"/>
      <c r="AD211" s="193"/>
      <c r="AE211" s="193"/>
      <c r="AF211" s="193"/>
      <c r="AG211" s="193"/>
      <c r="AH211" s="193"/>
      <c r="AI211" s="193"/>
      <c r="AJ211" s="193"/>
      <c r="AK211" s="193"/>
      <c r="AL211" s="140"/>
      <c r="AM211" s="195"/>
      <c r="AN211" s="195"/>
      <c r="AO211" s="161"/>
      <c r="AQ211" s="197"/>
      <c r="AR211" s="197"/>
      <c r="AT211" s="198"/>
      <c r="AV211" s="83"/>
      <c r="AW211" s="83"/>
      <c r="BA211" s="318">
        <f t="shared" si="191"/>
        <v>0</v>
      </c>
    </row>
    <row r="212" spans="1:53" s="25" customFormat="1" ht="15" customHeight="1">
      <c r="A212" s="15"/>
      <c r="B212" s="15"/>
      <c r="C212" s="28">
        <v>4</v>
      </c>
      <c r="D212" s="37" t="s">
        <v>20</v>
      </c>
      <c r="E212" s="157"/>
      <c r="F212" s="39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  <c r="AK212" s="71"/>
      <c r="AL212" s="71"/>
      <c r="AM212" s="71"/>
      <c r="AN212" s="71"/>
      <c r="AO212" s="296"/>
      <c r="AR212" s="82"/>
      <c r="AT212" s="154">
        <f>SUM(AT100:AT207)</f>
        <v>49724420.490000002</v>
      </c>
      <c r="AU212" s="100">
        <v>46861499.259999998</v>
      </c>
      <c r="AV212" s="100">
        <f>+AU212-AT212</f>
        <v>-2862921.23</v>
      </c>
      <c r="AW212" s="82" t="s">
        <v>193</v>
      </c>
      <c r="BA212" s="318">
        <f t="shared" si="191"/>
        <v>0</v>
      </c>
    </row>
    <row r="213" spans="1:53" s="2" customFormat="1" ht="10.5" customHeight="1">
      <c r="A213" s="12"/>
      <c r="B213" s="15"/>
      <c r="C213" s="342">
        <v>48</v>
      </c>
      <c r="D213" s="351" t="s">
        <v>94</v>
      </c>
      <c r="E213" s="345" t="s">
        <v>233</v>
      </c>
      <c r="F213" s="372">
        <v>18.89</v>
      </c>
      <c r="G213" s="284">
        <v>14552</v>
      </c>
      <c r="H213" s="284">
        <v>34475.25</v>
      </c>
      <c r="I213" s="284"/>
      <c r="J213" s="284"/>
      <c r="K213" s="284">
        <f>H213+J213</f>
        <v>34475.25</v>
      </c>
      <c r="L213" s="284">
        <f>+H213-I213+J213</f>
        <v>34475.25</v>
      </c>
      <c r="M213" s="58"/>
      <c r="N213" s="47" t="s">
        <v>162</v>
      </c>
      <c r="O213" s="253"/>
      <c r="P213" s="253"/>
      <c r="Q213" s="253"/>
      <c r="R213" s="253"/>
      <c r="S213" s="253"/>
      <c r="T213" s="253"/>
      <c r="U213" s="61">
        <v>2025</v>
      </c>
      <c r="V213" s="119"/>
      <c r="W213" s="61">
        <v>1000</v>
      </c>
      <c r="X213" s="61">
        <v>1465</v>
      </c>
      <c r="Y213" s="61">
        <v>2465</v>
      </c>
      <c r="Z213" s="61">
        <v>2465</v>
      </c>
      <c r="AA213" s="61">
        <v>2465</v>
      </c>
      <c r="AB213" s="61">
        <v>2465</v>
      </c>
      <c r="AC213" s="61">
        <v>2465</v>
      </c>
      <c r="AD213" s="61">
        <v>2465</v>
      </c>
      <c r="AE213" s="61">
        <v>2465</v>
      </c>
      <c r="AF213" s="61">
        <v>2465</v>
      </c>
      <c r="AG213" s="61">
        <v>2465</v>
      </c>
      <c r="AH213" s="61">
        <v>2465</v>
      </c>
      <c r="AI213" s="61">
        <v>2465</v>
      </c>
      <c r="AJ213" s="61">
        <v>2870.25</v>
      </c>
      <c r="AK213" s="61"/>
      <c r="AL213" s="117"/>
      <c r="AM213" s="92"/>
      <c r="AN213" s="92"/>
      <c r="AO213" s="92"/>
      <c r="AQ213" s="144">
        <f>SUM(O213:AO213)</f>
        <v>34475.25</v>
      </c>
      <c r="AR213" s="144">
        <f>+K213-AQ213</f>
        <v>0</v>
      </c>
      <c r="AT213" s="372">
        <f>+F213*K213</f>
        <v>651237.47</v>
      </c>
      <c r="AV213" s="263">
        <f>SUM(W213:AO213)</f>
        <v>32450.25</v>
      </c>
      <c r="AW213" s="263">
        <f>+L213-AV213</f>
        <v>2025</v>
      </c>
      <c r="BA213" s="318">
        <f t="shared" si="191"/>
        <v>2025</v>
      </c>
    </row>
    <row r="214" spans="1:53" s="2" customFormat="1" ht="10.5" customHeight="1">
      <c r="A214" s="10" t="s">
        <v>12</v>
      </c>
      <c r="B214" s="15"/>
      <c r="C214" s="343"/>
      <c r="D214" s="352"/>
      <c r="E214" s="346"/>
      <c r="F214" s="373"/>
      <c r="G214" s="277"/>
      <c r="H214" s="277"/>
      <c r="I214" s="277"/>
      <c r="J214" s="277"/>
      <c r="K214" s="277"/>
      <c r="L214" s="277"/>
      <c r="M214" s="59"/>
      <c r="N214" s="47" t="s">
        <v>163</v>
      </c>
      <c r="O214" s="254"/>
      <c r="P214" s="254"/>
      <c r="Q214" s="254"/>
      <c r="R214" s="254"/>
      <c r="S214" s="254"/>
      <c r="T214" s="254"/>
      <c r="U214" s="62">
        <f>+U213/$K213</f>
        <v>5.8700000000000002E-2</v>
      </c>
      <c r="V214" s="116"/>
      <c r="W214" s="62">
        <f>+W213/$K213</f>
        <v>2.9000000000000001E-2</v>
      </c>
      <c r="X214" s="62">
        <f>+X213/$K213</f>
        <v>4.2500000000000003E-2</v>
      </c>
      <c r="Y214" s="62">
        <f>+Y213/$K213</f>
        <v>7.1499999999999994E-2</v>
      </c>
      <c r="Z214" s="62">
        <f>+Z213/$K213</f>
        <v>7.1499999999999994E-2</v>
      </c>
      <c r="AA214" s="62">
        <f>+AA213/$K213</f>
        <v>7.1499999999999994E-2</v>
      </c>
      <c r="AB214" s="62">
        <f t="shared" ref="AB214:AK214" si="198">+AB213/$K213</f>
        <v>7.1499999999999994E-2</v>
      </c>
      <c r="AC214" s="62">
        <f t="shared" si="198"/>
        <v>7.1499999999999994E-2</v>
      </c>
      <c r="AD214" s="62">
        <f t="shared" si="198"/>
        <v>7.1499999999999994E-2</v>
      </c>
      <c r="AE214" s="62">
        <f t="shared" si="198"/>
        <v>7.1499999999999994E-2</v>
      </c>
      <c r="AF214" s="62">
        <f t="shared" si="198"/>
        <v>7.1499999999999994E-2</v>
      </c>
      <c r="AG214" s="62">
        <f t="shared" si="198"/>
        <v>7.1499999999999994E-2</v>
      </c>
      <c r="AH214" s="62">
        <f t="shared" si="198"/>
        <v>7.1499999999999994E-2</v>
      </c>
      <c r="AI214" s="62">
        <f t="shared" si="198"/>
        <v>7.1499999999999994E-2</v>
      </c>
      <c r="AJ214" s="62">
        <f t="shared" si="198"/>
        <v>8.3299999999999999E-2</v>
      </c>
      <c r="AK214" s="62">
        <f t="shared" si="198"/>
        <v>0</v>
      </c>
      <c r="AL214" s="117"/>
      <c r="AM214" s="88"/>
      <c r="AN214" s="88"/>
      <c r="AO214" s="88"/>
      <c r="AQ214" s="149">
        <f>SUM(O214:AO214)</f>
        <v>1</v>
      </c>
      <c r="AR214" s="146"/>
      <c r="AT214" s="389"/>
      <c r="AV214" s="266"/>
      <c r="AW214" s="266"/>
      <c r="BA214" s="318">
        <f t="shared" si="191"/>
        <v>0.06</v>
      </c>
    </row>
    <row r="215" spans="1:53" s="2" customFormat="1" ht="10.5" hidden="1" customHeight="1">
      <c r="A215" s="11" t="s">
        <v>13</v>
      </c>
      <c r="B215" s="15"/>
      <c r="C215" s="343"/>
      <c r="D215" s="352"/>
      <c r="E215" s="346"/>
      <c r="F215" s="373"/>
      <c r="G215" s="277"/>
      <c r="H215" s="277"/>
      <c r="I215" s="277"/>
      <c r="J215" s="277"/>
      <c r="K215" s="277"/>
      <c r="L215" s="277"/>
      <c r="M215" s="59"/>
      <c r="N215" s="48"/>
      <c r="O215" s="251"/>
      <c r="P215" s="251"/>
      <c r="Q215" s="251"/>
      <c r="R215" s="251"/>
      <c r="S215" s="251"/>
      <c r="T215" s="251"/>
      <c r="U215" s="93"/>
      <c r="V215" s="117"/>
      <c r="W215" s="63"/>
      <c r="X215" s="63"/>
      <c r="Y215" s="63"/>
      <c r="Z215" s="63"/>
      <c r="AA215" s="63"/>
      <c r="AB215" s="63"/>
      <c r="AC215" s="63"/>
      <c r="AD215" s="63"/>
      <c r="AE215" s="63"/>
      <c r="AF215" s="63"/>
      <c r="AG215" s="63"/>
      <c r="AH215" s="63"/>
      <c r="AI215" s="63"/>
      <c r="AJ215" s="63"/>
      <c r="AK215" s="63"/>
      <c r="AL215" s="117"/>
      <c r="AM215" s="88"/>
      <c r="AN215" s="88"/>
      <c r="AO215" s="88"/>
      <c r="AQ215" s="145"/>
      <c r="AR215" s="146"/>
      <c r="AT215" s="389"/>
      <c r="AV215" s="197"/>
      <c r="AW215" s="197"/>
      <c r="BA215" s="318">
        <f t="shared" si="191"/>
        <v>0</v>
      </c>
    </row>
    <row r="216" spans="1:53" s="2" customFormat="1" ht="10.5" customHeight="1">
      <c r="A216" s="12">
        <v>1</v>
      </c>
      <c r="B216" s="15"/>
      <c r="C216" s="344"/>
      <c r="D216" s="353"/>
      <c r="E216" s="347"/>
      <c r="F216" s="374"/>
      <c r="G216" s="307">
        <f>ROUND(G213*$F213,2)</f>
        <v>274887.28000000003</v>
      </c>
      <c r="H216" s="307">
        <f>ROUND(H213*$F213,2)</f>
        <v>651237.47</v>
      </c>
      <c r="I216" s="307">
        <f>ROUND(I213*$F213,2)</f>
        <v>0</v>
      </c>
      <c r="J216" s="307">
        <f>J213*$F213</f>
        <v>0</v>
      </c>
      <c r="K216" s="307">
        <f>ROUND(K213*$F213,2)</f>
        <v>651237.47</v>
      </c>
      <c r="L216" s="307">
        <f>ROUND(L213*$F213,2)</f>
        <v>651237.47</v>
      </c>
      <c r="M216" s="59"/>
      <c r="N216" s="49" t="s">
        <v>164</v>
      </c>
      <c r="O216" s="256"/>
      <c r="P216" s="256"/>
      <c r="Q216" s="256"/>
      <c r="R216" s="256"/>
      <c r="S216" s="256"/>
      <c r="T216" s="256"/>
      <c r="U216" s="64">
        <f>U213*$F213</f>
        <v>38252.25</v>
      </c>
      <c r="V216" s="118"/>
      <c r="W216" s="64">
        <f>W213*$F213</f>
        <v>18890</v>
      </c>
      <c r="X216" s="64">
        <f>X213*$F213</f>
        <v>27673.85</v>
      </c>
      <c r="Y216" s="64">
        <f>Y213*$F213</f>
        <v>46563.85</v>
      </c>
      <c r="Z216" s="64">
        <f>Z213*$F213</f>
        <v>46563.85</v>
      </c>
      <c r="AA216" s="64">
        <f>AA213*$F213</f>
        <v>46563.85</v>
      </c>
      <c r="AB216" s="64">
        <f t="shared" ref="AB216:AK216" si="199">AB213*$F213</f>
        <v>46563.85</v>
      </c>
      <c r="AC216" s="64">
        <f t="shared" si="199"/>
        <v>46563.85</v>
      </c>
      <c r="AD216" s="64">
        <f t="shared" si="199"/>
        <v>46563.85</v>
      </c>
      <c r="AE216" s="64">
        <f t="shared" si="199"/>
        <v>46563.85</v>
      </c>
      <c r="AF216" s="64">
        <f t="shared" si="199"/>
        <v>46563.85</v>
      </c>
      <c r="AG216" s="64">
        <f t="shared" si="199"/>
        <v>46563.85</v>
      </c>
      <c r="AH216" s="64">
        <f t="shared" si="199"/>
        <v>46563.85</v>
      </c>
      <c r="AI216" s="64">
        <f t="shared" si="199"/>
        <v>46563.85</v>
      </c>
      <c r="AJ216" s="64">
        <f t="shared" si="199"/>
        <v>54219.02</v>
      </c>
      <c r="AK216" s="64">
        <f t="shared" si="199"/>
        <v>0</v>
      </c>
      <c r="AL216" s="123"/>
      <c r="AM216" s="91"/>
      <c r="AN216" s="91"/>
      <c r="AO216" s="91"/>
      <c r="AQ216" s="69">
        <f>SUM(O216:AO216)</f>
        <v>651237.47</v>
      </c>
      <c r="AR216" s="69">
        <f>+K216-AQ216</f>
        <v>0</v>
      </c>
      <c r="AT216" s="390"/>
      <c r="AV216" s="196"/>
      <c r="AW216" s="196"/>
      <c r="BA216" s="318">
        <f t="shared" si="191"/>
        <v>38252.25</v>
      </c>
    </row>
    <row r="217" spans="1:53" s="2" customFormat="1" ht="10.5" customHeight="1">
      <c r="A217" s="12"/>
      <c r="B217" s="15"/>
      <c r="C217" s="342">
        <v>49</v>
      </c>
      <c r="D217" s="348" t="s">
        <v>95</v>
      </c>
      <c r="E217" s="345" t="s">
        <v>233</v>
      </c>
      <c r="F217" s="372">
        <v>938.19</v>
      </c>
      <c r="G217" s="284">
        <v>1649</v>
      </c>
      <c r="H217" s="284">
        <v>1826.3</v>
      </c>
      <c r="I217" s="284"/>
      <c r="J217" s="313"/>
      <c r="K217" s="284">
        <f>H217+J217</f>
        <v>1826.3</v>
      </c>
      <c r="L217" s="284">
        <f>+H217-I217+J217</f>
        <v>1826.3</v>
      </c>
      <c r="M217" s="59"/>
      <c r="N217" s="47" t="s">
        <v>162</v>
      </c>
      <c r="O217" s="253"/>
      <c r="P217" s="253"/>
      <c r="Q217" s="253"/>
      <c r="R217" s="253"/>
      <c r="S217" s="253"/>
      <c r="T217" s="253"/>
      <c r="U217" s="61">
        <v>105</v>
      </c>
      <c r="V217" s="119"/>
      <c r="W217" s="61">
        <v>50</v>
      </c>
      <c r="X217" s="61">
        <v>80</v>
      </c>
      <c r="Y217" s="61">
        <v>130</v>
      </c>
      <c r="Z217" s="61">
        <v>130</v>
      </c>
      <c r="AA217" s="61">
        <v>130</v>
      </c>
      <c r="AB217" s="61">
        <v>130</v>
      </c>
      <c r="AC217" s="61">
        <v>130</v>
      </c>
      <c r="AD217" s="61">
        <v>130</v>
      </c>
      <c r="AE217" s="61">
        <v>200</v>
      </c>
      <c r="AF217" s="61">
        <v>200</v>
      </c>
      <c r="AG217" s="61">
        <v>200</v>
      </c>
      <c r="AH217" s="61">
        <v>200</v>
      </c>
      <c r="AI217" s="61">
        <v>11.3</v>
      </c>
      <c r="AJ217" s="61"/>
      <c r="AK217" s="61"/>
      <c r="AL217" s="117"/>
      <c r="AM217" s="92"/>
      <c r="AN217" s="92"/>
      <c r="AO217" s="92"/>
      <c r="AQ217" s="144">
        <f>SUM(O217:AO217)</f>
        <v>1826.3</v>
      </c>
      <c r="AR217" s="144">
        <f>+K217-AQ217</f>
        <v>0</v>
      </c>
      <c r="AT217" s="372">
        <f>+F217*K217</f>
        <v>1713416.4</v>
      </c>
      <c r="AV217" s="263">
        <f>SUM(W217:AO217)</f>
        <v>1721.3</v>
      </c>
      <c r="AW217" s="263">
        <f>+L217-AV217</f>
        <v>105</v>
      </c>
      <c r="BA217" s="318">
        <f t="shared" si="191"/>
        <v>105</v>
      </c>
    </row>
    <row r="218" spans="1:53" s="2" customFormat="1" ht="10.5" customHeight="1">
      <c r="A218" s="10" t="s">
        <v>12</v>
      </c>
      <c r="B218" s="15"/>
      <c r="C218" s="343"/>
      <c r="D218" s="349"/>
      <c r="E218" s="346"/>
      <c r="F218" s="373"/>
      <c r="G218" s="277"/>
      <c r="H218" s="277"/>
      <c r="I218" s="277"/>
      <c r="J218" s="277"/>
      <c r="K218" s="277"/>
      <c r="L218" s="277"/>
      <c r="M218" s="59"/>
      <c r="N218" s="47" t="s">
        <v>163</v>
      </c>
      <c r="O218" s="254"/>
      <c r="P218" s="254"/>
      <c r="Q218" s="254"/>
      <c r="R218" s="254"/>
      <c r="S218" s="254"/>
      <c r="T218" s="254"/>
      <c r="U218" s="62">
        <f>+U217/$K217</f>
        <v>5.7500000000000002E-2</v>
      </c>
      <c r="V218" s="116"/>
      <c r="W218" s="62">
        <f>+W217/$K217</f>
        <v>2.7400000000000001E-2</v>
      </c>
      <c r="X218" s="62">
        <f>+X217/$K217</f>
        <v>4.3799999999999999E-2</v>
      </c>
      <c r="Y218" s="62">
        <f>+Y217/$K217</f>
        <v>7.1199999999999999E-2</v>
      </c>
      <c r="Z218" s="62">
        <f>+Z217/$K217</f>
        <v>7.1199999999999999E-2</v>
      </c>
      <c r="AA218" s="62">
        <f t="shared" ref="AA218:AK218" si="200">+AA217/$K217</f>
        <v>7.1199999999999999E-2</v>
      </c>
      <c r="AB218" s="62">
        <f t="shared" si="200"/>
        <v>7.1199999999999999E-2</v>
      </c>
      <c r="AC218" s="62">
        <f t="shared" si="200"/>
        <v>7.1199999999999999E-2</v>
      </c>
      <c r="AD218" s="62">
        <f t="shared" si="200"/>
        <v>7.1199999999999999E-2</v>
      </c>
      <c r="AE218" s="62">
        <f t="shared" si="200"/>
        <v>0.1095</v>
      </c>
      <c r="AF218" s="62">
        <f t="shared" si="200"/>
        <v>0.1095</v>
      </c>
      <c r="AG218" s="62">
        <f t="shared" si="200"/>
        <v>0.1095</v>
      </c>
      <c r="AH218" s="62">
        <f t="shared" si="200"/>
        <v>0.1095</v>
      </c>
      <c r="AI218" s="62">
        <f t="shared" si="200"/>
        <v>6.1999999999999998E-3</v>
      </c>
      <c r="AJ218" s="62">
        <f t="shared" si="200"/>
        <v>0</v>
      </c>
      <c r="AK218" s="62">
        <f t="shared" si="200"/>
        <v>0</v>
      </c>
      <c r="AL218" s="117"/>
      <c r="AM218" s="88"/>
      <c r="AN218" s="88"/>
      <c r="AO218" s="88"/>
      <c r="AQ218" s="149">
        <f>SUM(O218:AO218)</f>
        <v>1.0001</v>
      </c>
      <c r="AR218" s="146"/>
      <c r="AT218" s="389"/>
      <c r="AV218" s="266"/>
      <c r="AW218" s="266"/>
      <c r="BA218" s="318">
        <f t="shared" si="191"/>
        <v>0.06</v>
      </c>
    </row>
    <row r="219" spans="1:53" s="2" customFormat="1" ht="10.5" hidden="1" customHeight="1">
      <c r="A219" s="11" t="s">
        <v>13</v>
      </c>
      <c r="B219" s="15"/>
      <c r="C219" s="343"/>
      <c r="D219" s="349"/>
      <c r="E219" s="346"/>
      <c r="F219" s="373"/>
      <c r="G219" s="277"/>
      <c r="H219" s="277"/>
      <c r="I219" s="277"/>
      <c r="J219" s="277"/>
      <c r="K219" s="277"/>
      <c r="L219" s="277"/>
      <c r="M219" s="59"/>
      <c r="N219" s="48"/>
      <c r="O219" s="251"/>
      <c r="P219" s="251"/>
      <c r="Q219" s="251"/>
      <c r="R219" s="251"/>
      <c r="S219" s="251"/>
      <c r="T219" s="251"/>
      <c r="U219" s="93"/>
      <c r="V219" s="117"/>
      <c r="W219" s="63"/>
      <c r="X219" s="63"/>
      <c r="Y219" s="63"/>
      <c r="Z219" s="63"/>
      <c r="AA219" s="63"/>
      <c r="AB219" s="63"/>
      <c r="AC219" s="63"/>
      <c r="AD219" s="63"/>
      <c r="AE219" s="63"/>
      <c r="AF219" s="63"/>
      <c r="AG219" s="63"/>
      <c r="AH219" s="63"/>
      <c r="AI219" s="63"/>
      <c r="AJ219" s="63"/>
      <c r="AK219" s="63"/>
      <c r="AL219" s="117"/>
      <c r="AM219" s="88"/>
      <c r="AN219" s="88"/>
      <c r="AO219" s="88"/>
      <c r="AQ219" s="145"/>
      <c r="AR219" s="146"/>
      <c r="AT219" s="389"/>
      <c r="AV219" s="197"/>
      <c r="AW219" s="197"/>
      <c r="BA219" s="318">
        <f t="shared" si="191"/>
        <v>0</v>
      </c>
    </row>
    <row r="220" spans="1:53" s="2" customFormat="1" ht="10.5" customHeight="1">
      <c r="A220" s="12">
        <v>1</v>
      </c>
      <c r="B220" s="15"/>
      <c r="C220" s="344"/>
      <c r="D220" s="350"/>
      <c r="E220" s="347"/>
      <c r="F220" s="374"/>
      <c r="G220" s="307">
        <f t="shared" ref="G220:L220" si="201">ROUND(G217*$F217,2)</f>
        <v>1547075.31</v>
      </c>
      <c r="H220" s="307">
        <f t="shared" si="201"/>
        <v>1713416.4</v>
      </c>
      <c r="I220" s="307">
        <f t="shared" si="201"/>
        <v>0</v>
      </c>
      <c r="J220" s="307">
        <f t="shared" si="201"/>
        <v>0</v>
      </c>
      <c r="K220" s="307">
        <f t="shared" si="201"/>
        <v>1713416.4</v>
      </c>
      <c r="L220" s="307">
        <f t="shared" si="201"/>
        <v>1713416.4</v>
      </c>
      <c r="M220" s="59"/>
      <c r="N220" s="49" t="s">
        <v>164</v>
      </c>
      <c r="O220" s="256"/>
      <c r="P220" s="256"/>
      <c r="Q220" s="256"/>
      <c r="R220" s="256"/>
      <c r="S220" s="256"/>
      <c r="T220" s="256"/>
      <c r="U220" s="64">
        <f>U217*$F217</f>
        <v>98509.95</v>
      </c>
      <c r="V220" s="118"/>
      <c r="W220" s="64">
        <f>W217*$F217</f>
        <v>46909.5</v>
      </c>
      <c r="X220" s="64">
        <f>X217*$F217</f>
        <v>75055.199999999997</v>
      </c>
      <c r="Y220" s="64">
        <f>Y217*$F217</f>
        <v>121964.7</v>
      </c>
      <c r="Z220" s="64">
        <f>Z217*$F217</f>
        <v>121964.7</v>
      </c>
      <c r="AA220" s="64">
        <f t="shared" ref="AA220:AK220" si="202">AA217*$F217</f>
        <v>121964.7</v>
      </c>
      <c r="AB220" s="64">
        <f t="shared" si="202"/>
        <v>121964.7</v>
      </c>
      <c r="AC220" s="64">
        <f t="shared" si="202"/>
        <v>121964.7</v>
      </c>
      <c r="AD220" s="64">
        <f t="shared" si="202"/>
        <v>121964.7</v>
      </c>
      <c r="AE220" s="64">
        <f t="shared" si="202"/>
        <v>187638</v>
      </c>
      <c r="AF220" s="64">
        <f t="shared" si="202"/>
        <v>187638</v>
      </c>
      <c r="AG220" s="64">
        <f t="shared" si="202"/>
        <v>187638</v>
      </c>
      <c r="AH220" s="64">
        <f t="shared" si="202"/>
        <v>187638</v>
      </c>
      <c r="AI220" s="64">
        <f t="shared" si="202"/>
        <v>10601.55</v>
      </c>
      <c r="AJ220" s="64">
        <f t="shared" si="202"/>
        <v>0</v>
      </c>
      <c r="AK220" s="64">
        <f t="shared" si="202"/>
        <v>0</v>
      </c>
      <c r="AL220" s="123"/>
      <c r="AM220" s="91"/>
      <c r="AN220" s="91"/>
      <c r="AO220" s="91"/>
      <c r="AQ220" s="69">
        <f>SUM(O220:AO220)</f>
        <v>1713416.4</v>
      </c>
      <c r="AR220" s="69">
        <f>+K220-AQ220</f>
        <v>0</v>
      </c>
      <c r="AT220" s="390"/>
      <c r="AV220" s="196"/>
      <c r="AW220" s="196"/>
      <c r="BA220" s="318">
        <f t="shared" si="191"/>
        <v>98509.95</v>
      </c>
    </row>
    <row r="221" spans="1:53" s="2" customFormat="1" ht="10.5" customHeight="1">
      <c r="A221" s="12"/>
      <c r="B221" s="15"/>
      <c r="C221" s="342">
        <v>50</v>
      </c>
      <c r="D221" s="348" t="s">
        <v>96</v>
      </c>
      <c r="E221" s="345" t="s">
        <v>233</v>
      </c>
      <c r="F221" s="372">
        <v>1417.95</v>
      </c>
      <c r="G221" s="284">
        <v>1702</v>
      </c>
      <c r="H221" s="284">
        <v>1702</v>
      </c>
      <c r="I221" s="284"/>
      <c r="J221" s="284"/>
      <c r="K221" s="284">
        <f>H221+J221</f>
        <v>1702</v>
      </c>
      <c r="L221" s="284">
        <f>+H221-I221+J221</f>
        <v>1702</v>
      </c>
      <c r="M221" s="59"/>
      <c r="N221" s="47" t="s">
        <v>162</v>
      </c>
      <c r="O221" s="253"/>
      <c r="P221" s="253"/>
      <c r="Q221" s="253"/>
      <c r="R221" s="253"/>
      <c r="S221" s="253"/>
      <c r="T221" s="253"/>
      <c r="U221" s="61">
        <v>100</v>
      </c>
      <c r="V221" s="119"/>
      <c r="W221" s="61">
        <v>22</v>
      </c>
      <c r="X221" s="61">
        <v>100</v>
      </c>
      <c r="Y221" s="61">
        <v>122</v>
      </c>
      <c r="Z221" s="61">
        <v>122</v>
      </c>
      <c r="AA221" s="61">
        <v>122</v>
      </c>
      <c r="AB221" s="61">
        <v>122</v>
      </c>
      <c r="AC221" s="61">
        <v>122</v>
      </c>
      <c r="AD221" s="61">
        <v>122</v>
      </c>
      <c r="AE221" s="61">
        <v>122</v>
      </c>
      <c r="AF221" s="61">
        <v>122</v>
      </c>
      <c r="AG221" s="61">
        <v>126</v>
      </c>
      <c r="AH221" s="61">
        <v>126</v>
      </c>
      <c r="AI221" s="61">
        <v>126</v>
      </c>
      <c r="AJ221" s="61">
        <v>126</v>
      </c>
      <c r="AK221" s="61"/>
      <c r="AL221" s="117"/>
      <c r="AM221" s="92"/>
      <c r="AN221" s="92"/>
      <c r="AO221" s="92"/>
      <c r="AQ221" s="144">
        <f>SUM(O221:AO221)</f>
        <v>1702</v>
      </c>
      <c r="AR221" s="144">
        <f>+K221-AQ221</f>
        <v>0</v>
      </c>
      <c r="AT221" s="372">
        <f>+F221*K221</f>
        <v>2413350.9</v>
      </c>
      <c r="AV221" s="263">
        <f>SUM(W221:AO221)</f>
        <v>1602</v>
      </c>
      <c r="AW221" s="263">
        <f>+L221-AV221</f>
        <v>100</v>
      </c>
      <c r="BA221" s="318">
        <f t="shared" si="191"/>
        <v>100</v>
      </c>
    </row>
    <row r="222" spans="1:53" s="2" customFormat="1" ht="10.5" customHeight="1">
      <c r="A222" s="10" t="s">
        <v>12</v>
      </c>
      <c r="B222" s="15"/>
      <c r="C222" s="343"/>
      <c r="D222" s="349"/>
      <c r="E222" s="346"/>
      <c r="F222" s="373"/>
      <c r="G222" s="277"/>
      <c r="H222" s="277"/>
      <c r="I222" s="277"/>
      <c r="J222" s="277"/>
      <c r="K222" s="277"/>
      <c r="L222" s="277"/>
      <c r="M222" s="59"/>
      <c r="N222" s="47" t="s">
        <v>163</v>
      </c>
      <c r="O222" s="254"/>
      <c r="P222" s="254"/>
      <c r="Q222" s="254"/>
      <c r="R222" s="254"/>
      <c r="S222" s="254"/>
      <c r="T222" s="254"/>
      <c r="U222" s="62">
        <f>+U221/$K221</f>
        <v>5.8799999999999998E-2</v>
      </c>
      <c r="V222" s="116"/>
      <c r="W222" s="62">
        <f>+W221/$K221</f>
        <v>1.29E-2</v>
      </c>
      <c r="X222" s="62">
        <f>+X221/$K221</f>
        <v>5.8799999999999998E-2</v>
      </c>
      <c r="Y222" s="62">
        <f>+Y221/$K221</f>
        <v>7.17E-2</v>
      </c>
      <c r="Z222" s="62">
        <f>+Z221/$K221</f>
        <v>7.17E-2</v>
      </c>
      <c r="AA222" s="62">
        <f t="shared" ref="AA222:AK222" si="203">+AA221/$K221</f>
        <v>7.17E-2</v>
      </c>
      <c r="AB222" s="62">
        <f t="shared" si="203"/>
        <v>7.17E-2</v>
      </c>
      <c r="AC222" s="62">
        <f t="shared" si="203"/>
        <v>7.17E-2</v>
      </c>
      <c r="AD222" s="62">
        <f t="shared" si="203"/>
        <v>7.17E-2</v>
      </c>
      <c r="AE222" s="62">
        <f t="shared" si="203"/>
        <v>7.17E-2</v>
      </c>
      <c r="AF222" s="62">
        <f t="shared" si="203"/>
        <v>7.17E-2</v>
      </c>
      <c r="AG222" s="62">
        <f t="shared" si="203"/>
        <v>7.3999999999999996E-2</v>
      </c>
      <c r="AH222" s="62">
        <f t="shared" si="203"/>
        <v>7.3999999999999996E-2</v>
      </c>
      <c r="AI222" s="62">
        <f t="shared" si="203"/>
        <v>7.3999999999999996E-2</v>
      </c>
      <c r="AJ222" s="62">
        <f t="shared" si="203"/>
        <v>7.3999999999999996E-2</v>
      </c>
      <c r="AK222" s="62">
        <f t="shared" si="203"/>
        <v>0</v>
      </c>
      <c r="AL222" s="117"/>
      <c r="AM222" s="88"/>
      <c r="AN222" s="88"/>
      <c r="AO222" s="88"/>
      <c r="AQ222" s="149">
        <f>SUM(O222:AO222)</f>
        <v>1.0001</v>
      </c>
      <c r="AR222" s="146"/>
      <c r="AT222" s="389"/>
      <c r="AV222" s="266"/>
      <c r="AW222" s="266"/>
      <c r="BA222" s="318">
        <f t="shared" si="191"/>
        <v>0.06</v>
      </c>
    </row>
    <row r="223" spans="1:53" s="2" customFormat="1" ht="10.5" hidden="1" customHeight="1">
      <c r="A223" s="11" t="s">
        <v>13</v>
      </c>
      <c r="B223" s="15"/>
      <c r="C223" s="343"/>
      <c r="D223" s="349"/>
      <c r="E223" s="346"/>
      <c r="F223" s="373"/>
      <c r="G223" s="277"/>
      <c r="H223" s="277"/>
      <c r="I223" s="277"/>
      <c r="J223" s="277"/>
      <c r="K223" s="277"/>
      <c r="L223" s="277"/>
      <c r="M223" s="59"/>
      <c r="N223" s="48"/>
      <c r="O223" s="251"/>
      <c r="P223" s="251"/>
      <c r="Q223" s="251"/>
      <c r="R223" s="251"/>
      <c r="S223" s="251"/>
      <c r="T223" s="251"/>
      <c r="U223" s="93"/>
      <c r="V223" s="117"/>
      <c r="W223" s="63"/>
      <c r="X223" s="63"/>
      <c r="Y223" s="63"/>
      <c r="Z223" s="63"/>
      <c r="AA223" s="63"/>
      <c r="AB223" s="63"/>
      <c r="AC223" s="63"/>
      <c r="AD223" s="63"/>
      <c r="AE223" s="63"/>
      <c r="AF223" s="63"/>
      <c r="AG223" s="63"/>
      <c r="AH223" s="63"/>
      <c r="AI223" s="63"/>
      <c r="AJ223" s="63"/>
      <c r="AK223" s="63"/>
      <c r="AL223" s="117"/>
      <c r="AM223" s="88"/>
      <c r="AN223" s="88"/>
      <c r="AO223" s="88"/>
      <c r="AQ223" s="145"/>
      <c r="AR223" s="146"/>
      <c r="AT223" s="389"/>
      <c r="AV223" s="197"/>
      <c r="AW223" s="197"/>
      <c r="BA223" s="318">
        <f t="shared" si="191"/>
        <v>0</v>
      </c>
    </row>
    <row r="224" spans="1:53" s="2" customFormat="1" ht="10.5" customHeight="1">
      <c r="A224" s="12">
        <v>1</v>
      </c>
      <c r="B224" s="15"/>
      <c r="C224" s="344"/>
      <c r="D224" s="350"/>
      <c r="E224" s="347"/>
      <c r="F224" s="374"/>
      <c r="G224" s="307">
        <f>ROUND(G221*$F221,2)</f>
        <v>2413350.9</v>
      </c>
      <c r="H224" s="307">
        <f>ROUND(H221*$F221,2)</f>
        <v>2413350.9</v>
      </c>
      <c r="I224" s="307">
        <f>ROUND(I221*$F221,2)</f>
        <v>0</v>
      </c>
      <c r="J224" s="307">
        <f>J221*$F221</f>
        <v>0</v>
      </c>
      <c r="K224" s="307">
        <f>ROUND(K221*$F221,2)</f>
        <v>2413350.9</v>
      </c>
      <c r="L224" s="307">
        <f>ROUND(L221*$F221,2)</f>
        <v>2413350.9</v>
      </c>
      <c r="M224" s="59"/>
      <c r="N224" s="49" t="s">
        <v>164</v>
      </c>
      <c r="O224" s="256"/>
      <c r="P224" s="256"/>
      <c r="Q224" s="256"/>
      <c r="R224" s="256"/>
      <c r="S224" s="256"/>
      <c r="T224" s="256"/>
      <c r="U224" s="64">
        <f>U221*$F221</f>
        <v>141795</v>
      </c>
      <c r="V224" s="118"/>
      <c r="W224" s="64">
        <f>W221*$F221</f>
        <v>31194.9</v>
      </c>
      <c r="X224" s="64">
        <f>X221*$F221</f>
        <v>141795</v>
      </c>
      <c r="Y224" s="64">
        <f>Y221*$F221</f>
        <v>172989.9</v>
      </c>
      <c r="Z224" s="64">
        <f>Z221*$F221</f>
        <v>172989.9</v>
      </c>
      <c r="AA224" s="64">
        <f t="shared" ref="AA224:AK224" si="204">AA221*$F221</f>
        <v>172989.9</v>
      </c>
      <c r="AB224" s="64">
        <f t="shared" si="204"/>
        <v>172989.9</v>
      </c>
      <c r="AC224" s="64">
        <f t="shared" si="204"/>
        <v>172989.9</v>
      </c>
      <c r="AD224" s="64">
        <f t="shared" si="204"/>
        <v>172989.9</v>
      </c>
      <c r="AE224" s="64">
        <f t="shared" si="204"/>
        <v>172989.9</v>
      </c>
      <c r="AF224" s="64">
        <f t="shared" si="204"/>
        <v>172989.9</v>
      </c>
      <c r="AG224" s="64">
        <f t="shared" si="204"/>
        <v>178661.7</v>
      </c>
      <c r="AH224" s="64">
        <f t="shared" si="204"/>
        <v>178661.7</v>
      </c>
      <c r="AI224" s="64">
        <f t="shared" si="204"/>
        <v>178661.7</v>
      </c>
      <c r="AJ224" s="64">
        <f t="shared" si="204"/>
        <v>178661.7</v>
      </c>
      <c r="AK224" s="64">
        <f t="shared" si="204"/>
        <v>0</v>
      </c>
      <c r="AL224" s="123"/>
      <c r="AM224" s="91"/>
      <c r="AN224" s="91"/>
      <c r="AO224" s="91"/>
      <c r="AQ224" s="69">
        <f>SUM(O224:AO224)</f>
        <v>2413350.9</v>
      </c>
      <c r="AR224" s="69">
        <f>+K224-AQ224</f>
        <v>0</v>
      </c>
      <c r="AT224" s="390"/>
      <c r="AV224" s="196"/>
      <c r="AW224" s="196"/>
      <c r="BA224" s="318">
        <f t="shared" si="191"/>
        <v>141795</v>
      </c>
    </row>
    <row r="225" spans="1:53" s="2" customFormat="1" ht="10.5" customHeight="1">
      <c r="A225" s="12"/>
      <c r="B225" s="15"/>
      <c r="C225" s="342">
        <v>51</v>
      </c>
      <c r="D225" s="348" t="s">
        <v>97</v>
      </c>
      <c r="E225" s="345" t="s">
        <v>238</v>
      </c>
      <c r="F225" s="372">
        <v>12.56</v>
      </c>
      <c r="G225" s="284">
        <v>95589</v>
      </c>
      <c r="H225" s="284">
        <v>95589</v>
      </c>
      <c r="I225" s="284"/>
      <c r="J225" s="284"/>
      <c r="K225" s="284">
        <f>H225+J225</f>
        <v>95589</v>
      </c>
      <c r="L225" s="284">
        <f>+H225-I225+J225</f>
        <v>95589</v>
      </c>
      <c r="M225" s="59"/>
      <c r="N225" s="47" t="s">
        <v>162</v>
      </c>
      <c r="O225" s="253"/>
      <c r="P225" s="253"/>
      <c r="Q225" s="253"/>
      <c r="R225" s="253"/>
      <c r="S225" s="253"/>
      <c r="T225" s="253"/>
      <c r="U225" s="61">
        <v>5620</v>
      </c>
      <c r="V225" s="119"/>
      <c r="W225" s="95"/>
      <c r="X225" s="61">
        <v>6830</v>
      </c>
      <c r="Y225" s="61">
        <v>6830</v>
      </c>
      <c r="Z225" s="61">
        <v>6830</v>
      </c>
      <c r="AA225" s="61">
        <v>6830</v>
      </c>
      <c r="AB225" s="61">
        <v>6830</v>
      </c>
      <c r="AC225" s="61">
        <v>6830</v>
      </c>
      <c r="AD225" s="61">
        <v>6830</v>
      </c>
      <c r="AE225" s="61">
        <v>6830</v>
      </c>
      <c r="AF225" s="61">
        <v>6830</v>
      </c>
      <c r="AG225" s="61">
        <v>6830</v>
      </c>
      <c r="AH225" s="61">
        <v>6830</v>
      </c>
      <c r="AI225" s="61">
        <v>6830</v>
      </c>
      <c r="AJ225" s="61">
        <v>6830</v>
      </c>
      <c r="AK225" s="61">
        <v>1179</v>
      </c>
      <c r="AL225" s="117"/>
      <c r="AM225" s="92"/>
      <c r="AN225" s="92"/>
      <c r="AO225" s="92"/>
      <c r="AQ225" s="144">
        <f>SUM(O225:AO225)</f>
        <v>95589</v>
      </c>
      <c r="AR225" s="144">
        <f>+K225-AQ225</f>
        <v>0</v>
      </c>
      <c r="AT225" s="372">
        <f>+F225*K225</f>
        <v>1200597.8400000001</v>
      </c>
      <c r="AV225" s="263">
        <f>SUM(W225:AO225)</f>
        <v>89969</v>
      </c>
      <c r="AW225" s="263">
        <f>+L225-AV225</f>
        <v>5620</v>
      </c>
      <c r="BA225" s="318">
        <f t="shared" si="191"/>
        <v>5620</v>
      </c>
    </row>
    <row r="226" spans="1:53" s="2" customFormat="1" ht="10.5" customHeight="1">
      <c r="A226" s="10" t="s">
        <v>12</v>
      </c>
      <c r="B226" s="15"/>
      <c r="C226" s="343"/>
      <c r="D226" s="349"/>
      <c r="E226" s="346"/>
      <c r="F226" s="373"/>
      <c r="G226" s="277"/>
      <c r="H226" s="277"/>
      <c r="I226" s="277"/>
      <c r="J226" s="277"/>
      <c r="K226" s="277"/>
      <c r="L226" s="277"/>
      <c r="M226" s="59"/>
      <c r="N226" s="47" t="s">
        <v>163</v>
      </c>
      <c r="O226" s="254"/>
      <c r="P226" s="254"/>
      <c r="Q226" s="254"/>
      <c r="R226" s="254"/>
      <c r="S226" s="254"/>
      <c r="T226" s="254"/>
      <c r="U226" s="62">
        <f>+U225/$K225</f>
        <v>5.8799999999999998E-2</v>
      </c>
      <c r="V226" s="116"/>
      <c r="W226" s="93"/>
      <c r="X226" s="62">
        <f>+X225/$K225</f>
        <v>7.1499999999999994E-2</v>
      </c>
      <c r="Y226" s="62">
        <f>+Y225/$K225</f>
        <v>7.1499999999999994E-2</v>
      </c>
      <c r="Z226" s="62">
        <f>+Z225/$K225</f>
        <v>7.1499999999999994E-2</v>
      </c>
      <c r="AA226" s="62">
        <f t="shared" ref="AA226:AK226" si="205">+AA225/$K225</f>
        <v>7.1499999999999994E-2</v>
      </c>
      <c r="AB226" s="62">
        <f t="shared" si="205"/>
        <v>7.1499999999999994E-2</v>
      </c>
      <c r="AC226" s="62">
        <f t="shared" si="205"/>
        <v>7.1499999999999994E-2</v>
      </c>
      <c r="AD226" s="62">
        <f t="shared" si="205"/>
        <v>7.1499999999999994E-2</v>
      </c>
      <c r="AE226" s="62">
        <f t="shared" si="205"/>
        <v>7.1499999999999994E-2</v>
      </c>
      <c r="AF226" s="62">
        <f t="shared" si="205"/>
        <v>7.1499999999999994E-2</v>
      </c>
      <c r="AG226" s="62">
        <f t="shared" si="205"/>
        <v>7.1499999999999994E-2</v>
      </c>
      <c r="AH226" s="62">
        <f t="shared" si="205"/>
        <v>7.1499999999999994E-2</v>
      </c>
      <c r="AI226" s="62">
        <f t="shared" si="205"/>
        <v>7.1499999999999994E-2</v>
      </c>
      <c r="AJ226" s="62">
        <f t="shared" si="205"/>
        <v>7.1499999999999994E-2</v>
      </c>
      <c r="AK226" s="62">
        <f t="shared" si="205"/>
        <v>1.23E-2</v>
      </c>
      <c r="AL226" s="117"/>
      <c r="AM226" s="88"/>
      <c r="AN226" s="88"/>
      <c r="AO226" s="88"/>
      <c r="AQ226" s="149">
        <f>SUM(O226:AO226)</f>
        <v>1.0005999999999999</v>
      </c>
      <c r="AR226" s="146"/>
      <c r="AT226" s="389"/>
      <c r="AV226" s="266"/>
      <c r="AW226" s="266"/>
      <c r="BA226" s="318">
        <f t="shared" si="191"/>
        <v>0.06</v>
      </c>
    </row>
    <row r="227" spans="1:53" s="2" customFormat="1" ht="10.5" hidden="1" customHeight="1">
      <c r="A227" s="11" t="s">
        <v>13</v>
      </c>
      <c r="B227" s="15"/>
      <c r="C227" s="343"/>
      <c r="D227" s="349"/>
      <c r="E227" s="346"/>
      <c r="F227" s="373"/>
      <c r="G227" s="277"/>
      <c r="H227" s="277"/>
      <c r="I227" s="277"/>
      <c r="J227" s="277"/>
      <c r="K227" s="277"/>
      <c r="L227" s="277"/>
      <c r="M227" s="59"/>
      <c r="N227" s="48"/>
      <c r="O227" s="251"/>
      <c r="P227" s="251"/>
      <c r="Q227" s="251"/>
      <c r="R227" s="251"/>
      <c r="S227" s="251"/>
      <c r="T227" s="251"/>
      <c r="U227" s="93"/>
      <c r="V227" s="117"/>
      <c r="W227" s="96"/>
      <c r="X227" s="63"/>
      <c r="Y227" s="63"/>
      <c r="Z227" s="63"/>
      <c r="AA227" s="63"/>
      <c r="AB227" s="63"/>
      <c r="AC227" s="63"/>
      <c r="AD227" s="63"/>
      <c r="AE227" s="63"/>
      <c r="AF227" s="63"/>
      <c r="AG227" s="63"/>
      <c r="AH227" s="63"/>
      <c r="AI227" s="63"/>
      <c r="AJ227" s="63"/>
      <c r="AK227" s="63"/>
      <c r="AL227" s="117"/>
      <c r="AM227" s="88"/>
      <c r="AN227" s="88"/>
      <c r="AO227" s="88"/>
      <c r="AQ227" s="145"/>
      <c r="AR227" s="146"/>
      <c r="AT227" s="389"/>
      <c r="AV227" s="197"/>
      <c r="AW227" s="197"/>
      <c r="BA227" s="318">
        <f t="shared" si="191"/>
        <v>0</v>
      </c>
    </row>
    <row r="228" spans="1:53" s="2" customFormat="1" ht="10.5" customHeight="1">
      <c r="A228" s="12">
        <v>1</v>
      </c>
      <c r="B228" s="15"/>
      <c r="C228" s="344"/>
      <c r="D228" s="350"/>
      <c r="E228" s="347"/>
      <c r="F228" s="374"/>
      <c r="G228" s="307">
        <f>ROUND(G225*$F225,2)</f>
        <v>1200597.8400000001</v>
      </c>
      <c r="H228" s="307">
        <f>ROUND(H225*$F225,2)</f>
        <v>1200597.8400000001</v>
      </c>
      <c r="I228" s="307">
        <f>ROUND(I225*$F225,2)</f>
        <v>0</v>
      </c>
      <c r="J228" s="307">
        <f>J225*$F225</f>
        <v>0</v>
      </c>
      <c r="K228" s="307">
        <f>ROUND(K225*$F225,2)</f>
        <v>1200597.8400000001</v>
      </c>
      <c r="L228" s="307">
        <f>ROUND(L225*$F225,2)</f>
        <v>1200597.8400000001</v>
      </c>
      <c r="M228" s="59"/>
      <c r="N228" s="49" t="s">
        <v>164</v>
      </c>
      <c r="O228" s="256"/>
      <c r="P228" s="256"/>
      <c r="Q228" s="256"/>
      <c r="R228" s="256"/>
      <c r="S228" s="256"/>
      <c r="T228" s="256"/>
      <c r="U228" s="64">
        <f>U225*$F225</f>
        <v>70587.199999999997</v>
      </c>
      <c r="V228" s="118"/>
      <c r="W228" s="94"/>
      <c r="X228" s="64">
        <f>X225*$F225</f>
        <v>85784.8</v>
      </c>
      <c r="Y228" s="64">
        <f>Y225*$F225</f>
        <v>85784.8</v>
      </c>
      <c r="Z228" s="64">
        <f>Z225*$F225</f>
        <v>85784.8</v>
      </c>
      <c r="AA228" s="64">
        <f t="shared" ref="AA228:AK228" si="206">AA225*$F225</f>
        <v>85784.8</v>
      </c>
      <c r="AB228" s="64">
        <f t="shared" si="206"/>
        <v>85784.8</v>
      </c>
      <c r="AC228" s="64">
        <f t="shared" si="206"/>
        <v>85784.8</v>
      </c>
      <c r="AD228" s="64">
        <f t="shared" si="206"/>
        <v>85784.8</v>
      </c>
      <c r="AE228" s="64">
        <f t="shared" si="206"/>
        <v>85784.8</v>
      </c>
      <c r="AF228" s="64">
        <f t="shared" si="206"/>
        <v>85784.8</v>
      </c>
      <c r="AG228" s="64">
        <f t="shared" si="206"/>
        <v>85784.8</v>
      </c>
      <c r="AH228" s="64">
        <f t="shared" si="206"/>
        <v>85784.8</v>
      </c>
      <c r="AI228" s="64">
        <f t="shared" si="206"/>
        <v>85784.8</v>
      </c>
      <c r="AJ228" s="64">
        <f t="shared" si="206"/>
        <v>85784.8</v>
      </c>
      <c r="AK228" s="64">
        <f t="shared" si="206"/>
        <v>14808.24</v>
      </c>
      <c r="AL228" s="123"/>
      <c r="AM228" s="91"/>
      <c r="AN228" s="91"/>
      <c r="AO228" s="91"/>
      <c r="AQ228" s="69">
        <f>SUM(O228:AO228)</f>
        <v>1200597.8400000001</v>
      </c>
      <c r="AR228" s="69">
        <f>+K228-AQ228</f>
        <v>0</v>
      </c>
      <c r="AT228" s="390"/>
      <c r="AV228" s="196"/>
      <c r="AW228" s="196"/>
      <c r="BA228" s="318">
        <f t="shared" si="191"/>
        <v>70587.199999999997</v>
      </c>
    </row>
    <row r="229" spans="1:53" s="2" customFormat="1" ht="10.5" customHeight="1">
      <c r="A229" s="12"/>
      <c r="B229" s="15"/>
      <c r="C229" s="342">
        <v>52</v>
      </c>
      <c r="D229" s="348" t="s">
        <v>98</v>
      </c>
      <c r="E229" s="345" t="s">
        <v>235</v>
      </c>
      <c r="F229" s="372">
        <v>108.63</v>
      </c>
      <c r="G229" s="284">
        <v>678</v>
      </c>
      <c r="H229" s="284">
        <v>678</v>
      </c>
      <c r="I229" s="284"/>
      <c r="J229" s="284"/>
      <c r="K229" s="284">
        <f>H229+J229</f>
        <v>678</v>
      </c>
      <c r="L229" s="284">
        <f>+H229-I229+J229</f>
        <v>678</v>
      </c>
      <c r="M229" s="59"/>
      <c r="N229" s="47" t="s">
        <v>162</v>
      </c>
      <c r="O229" s="253"/>
      <c r="P229" s="253"/>
      <c r="Q229" s="253"/>
      <c r="R229" s="253"/>
      <c r="S229" s="253"/>
      <c r="T229" s="253"/>
      <c r="U229" s="61">
        <v>39</v>
      </c>
      <c r="V229" s="119"/>
      <c r="W229" s="95"/>
      <c r="X229" s="61">
        <v>49</v>
      </c>
      <c r="Y229" s="61">
        <v>49</v>
      </c>
      <c r="Z229" s="61">
        <v>49</v>
      </c>
      <c r="AA229" s="61">
        <v>49</v>
      </c>
      <c r="AB229" s="61">
        <v>49</v>
      </c>
      <c r="AC229" s="61">
        <v>49</v>
      </c>
      <c r="AD229" s="61">
        <v>49</v>
      </c>
      <c r="AE229" s="61">
        <v>49</v>
      </c>
      <c r="AF229" s="61">
        <v>49</v>
      </c>
      <c r="AG229" s="61">
        <v>49</v>
      </c>
      <c r="AH229" s="61">
        <v>49</v>
      </c>
      <c r="AI229" s="61">
        <v>49</v>
      </c>
      <c r="AJ229" s="61">
        <v>51</v>
      </c>
      <c r="AK229" s="61"/>
      <c r="AL229" s="117"/>
      <c r="AM229" s="92"/>
      <c r="AN229" s="92"/>
      <c r="AO229" s="92"/>
      <c r="AQ229" s="144">
        <f>SUM(O229:AO229)</f>
        <v>678</v>
      </c>
      <c r="AR229" s="144">
        <f>+K229-AQ229</f>
        <v>0</v>
      </c>
      <c r="AT229" s="372">
        <f>+F229*K229</f>
        <v>73651.14</v>
      </c>
      <c r="AV229" s="263">
        <f>SUM(W229:AO229)</f>
        <v>639</v>
      </c>
      <c r="AW229" s="263">
        <f>+L229-AV229</f>
        <v>39</v>
      </c>
      <c r="BA229" s="318">
        <f t="shared" si="191"/>
        <v>39</v>
      </c>
    </row>
    <row r="230" spans="1:53" s="2" customFormat="1" ht="10.5" customHeight="1">
      <c r="A230" s="10" t="s">
        <v>12</v>
      </c>
      <c r="B230" s="15"/>
      <c r="C230" s="343"/>
      <c r="D230" s="349"/>
      <c r="E230" s="346"/>
      <c r="F230" s="373"/>
      <c r="G230" s="277"/>
      <c r="H230" s="277"/>
      <c r="I230" s="277"/>
      <c r="J230" s="277"/>
      <c r="K230" s="277"/>
      <c r="L230" s="277"/>
      <c r="M230" s="59"/>
      <c r="N230" s="47" t="s">
        <v>163</v>
      </c>
      <c r="O230" s="254"/>
      <c r="P230" s="254"/>
      <c r="Q230" s="254"/>
      <c r="R230" s="254"/>
      <c r="S230" s="254"/>
      <c r="T230" s="254"/>
      <c r="U230" s="62">
        <f>+U229/$K229</f>
        <v>5.7500000000000002E-2</v>
      </c>
      <c r="V230" s="116"/>
      <c r="W230" s="93"/>
      <c r="X230" s="62">
        <f>+X229/$K229</f>
        <v>7.2300000000000003E-2</v>
      </c>
      <c r="Y230" s="62">
        <f>+Y229/$K229</f>
        <v>7.2300000000000003E-2</v>
      </c>
      <c r="Z230" s="62">
        <f>+Z229/$K229</f>
        <v>7.2300000000000003E-2</v>
      </c>
      <c r="AA230" s="62">
        <f>+AA229/$K229</f>
        <v>7.2300000000000003E-2</v>
      </c>
      <c r="AB230" s="62">
        <f t="shared" ref="AB230:AK230" si="207">+AB229/$K229</f>
        <v>7.2300000000000003E-2</v>
      </c>
      <c r="AC230" s="62">
        <f t="shared" si="207"/>
        <v>7.2300000000000003E-2</v>
      </c>
      <c r="AD230" s="62">
        <f t="shared" si="207"/>
        <v>7.2300000000000003E-2</v>
      </c>
      <c r="AE230" s="62">
        <f t="shared" si="207"/>
        <v>7.2300000000000003E-2</v>
      </c>
      <c r="AF230" s="62">
        <f t="shared" si="207"/>
        <v>7.2300000000000003E-2</v>
      </c>
      <c r="AG230" s="62">
        <f t="shared" si="207"/>
        <v>7.2300000000000003E-2</v>
      </c>
      <c r="AH230" s="62">
        <f t="shared" si="207"/>
        <v>7.2300000000000003E-2</v>
      </c>
      <c r="AI230" s="62">
        <f t="shared" si="207"/>
        <v>7.2300000000000003E-2</v>
      </c>
      <c r="AJ230" s="62">
        <f t="shared" si="207"/>
        <v>7.5200000000000003E-2</v>
      </c>
      <c r="AK230" s="62">
        <f t="shared" si="207"/>
        <v>0</v>
      </c>
      <c r="AL230" s="117"/>
      <c r="AM230" s="88"/>
      <c r="AN230" s="88"/>
      <c r="AO230" s="88"/>
      <c r="AQ230" s="149">
        <f>SUM(O230:AO230)</f>
        <v>1.0003</v>
      </c>
      <c r="AR230" s="146"/>
      <c r="AT230" s="389"/>
      <c r="AV230" s="266"/>
      <c r="AW230" s="266"/>
      <c r="BA230" s="318">
        <f t="shared" si="191"/>
        <v>0.06</v>
      </c>
    </row>
    <row r="231" spans="1:53" s="2" customFormat="1" ht="10.5" hidden="1" customHeight="1">
      <c r="A231" s="11" t="s">
        <v>13</v>
      </c>
      <c r="B231" s="15"/>
      <c r="C231" s="343"/>
      <c r="D231" s="349"/>
      <c r="E231" s="346"/>
      <c r="F231" s="373"/>
      <c r="G231" s="277"/>
      <c r="H231" s="277"/>
      <c r="I231" s="277"/>
      <c r="J231" s="277"/>
      <c r="K231" s="277"/>
      <c r="L231" s="277"/>
      <c r="M231" s="59"/>
      <c r="N231" s="48"/>
      <c r="O231" s="251"/>
      <c r="P231" s="251"/>
      <c r="Q231" s="251"/>
      <c r="R231" s="251"/>
      <c r="S231" s="251"/>
      <c r="T231" s="251"/>
      <c r="U231" s="93"/>
      <c r="V231" s="117"/>
      <c r="W231" s="96"/>
      <c r="X231" s="63"/>
      <c r="Y231" s="63"/>
      <c r="Z231" s="63"/>
      <c r="AA231" s="63"/>
      <c r="AB231" s="63"/>
      <c r="AC231" s="63"/>
      <c r="AD231" s="63"/>
      <c r="AE231" s="63"/>
      <c r="AF231" s="63"/>
      <c r="AG231" s="63"/>
      <c r="AH231" s="63"/>
      <c r="AI231" s="63"/>
      <c r="AJ231" s="63"/>
      <c r="AK231" s="63"/>
      <c r="AL231" s="117"/>
      <c r="AM231" s="88"/>
      <c r="AN231" s="88"/>
      <c r="AO231" s="88"/>
      <c r="AQ231" s="145"/>
      <c r="AR231" s="146"/>
      <c r="AT231" s="389"/>
      <c r="AV231" s="197"/>
      <c r="AW231" s="197"/>
      <c r="BA231" s="318">
        <f t="shared" si="191"/>
        <v>0</v>
      </c>
    </row>
    <row r="232" spans="1:53" s="2" customFormat="1" ht="10.5" customHeight="1">
      <c r="A232" s="12">
        <v>1</v>
      </c>
      <c r="B232" s="15"/>
      <c r="C232" s="344"/>
      <c r="D232" s="350"/>
      <c r="E232" s="347"/>
      <c r="F232" s="374"/>
      <c r="G232" s="307">
        <f>ROUND(G229*$F229,2)</f>
        <v>73651.14</v>
      </c>
      <c r="H232" s="307">
        <f>ROUND(H229*$F229,2)</f>
        <v>73651.14</v>
      </c>
      <c r="I232" s="307">
        <f>ROUND(I229*$F229,2)</f>
        <v>0</v>
      </c>
      <c r="J232" s="307">
        <f>J229*$F229</f>
        <v>0</v>
      </c>
      <c r="K232" s="307">
        <f>ROUND(K229*$F229,2)</f>
        <v>73651.14</v>
      </c>
      <c r="L232" s="307">
        <f>ROUND(L229*$F229,2)</f>
        <v>73651.14</v>
      </c>
      <c r="M232" s="59"/>
      <c r="N232" s="49" t="s">
        <v>164</v>
      </c>
      <c r="O232" s="256"/>
      <c r="P232" s="256"/>
      <c r="Q232" s="256"/>
      <c r="R232" s="256"/>
      <c r="S232" s="256"/>
      <c r="T232" s="256"/>
      <c r="U232" s="64">
        <f>U229*$F229</f>
        <v>4236.57</v>
      </c>
      <c r="V232" s="118"/>
      <c r="W232" s="94"/>
      <c r="X232" s="64">
        <f>X229*$F229</f>
        <v>5322.87</v>
      </c>
      <c r="Y232" s="64">
        <f>Y229*$F229</f>
        <v>5322.87</v>
      </c>
      <c r="Z232" s="64">
        <f>Z229*$F229</f>
        <v>5322.87</v>
      </c>
      <c r="AA232" s="64">
        <f t="shared" ref="AA232:AK232" si="208">AA229*$F229</f>
        <v>5322.87</v>
      </c>
      <c r="AB232" s="64">
        <f t="shared" si="208"/>
        <v>5322.87</v>
      </c>
      <c r="AC232" s="64">
        <f t="shared" si="208"/>
        <v>5322.87</v>
      </c>
      <c r="AD232" s="64">
        <f t="shared" si="208"/>
        <v>5322.87</v>
      </c>
      <c r="AE232" s="64">
        <f t="shared" si="208"/>
        <v>5322.87</v>
      </c>
      <c r="AF232" s="64">
        <f t="shared" si="208"/>
        <v>5322.87</v>
      </c>
      <c r="AG232" s="64">
        <f t="shared" si="208"/>
        <v>5322.87</v>
      </c>
      <c r="AH232" s="64">
        <f t="shared" si="208"/>
        <v>5322.87</v>
      </c>
      <c r="AI232" s="64">
        <f t="shared" si="208"/>
        <v>5322.87</v>
      </c>
      <c r="AJ232" s="64">
        <f t="shared" si="208"/>
        <v>5540.13</v>
      </c>
      <c r="AK232" s="64">
        <f t="shared" si="208"/>
        <v>0</v>
      </c>
      <c r="AL232" s="123"/>
      <c r="AM232" s="91"/>
      <c r="AN232" s="91"/>
      <c r="AO232" s="91"/>
      <c r="AQ232" s="69">
        <f>SUM(O232:AO232)</f>
        <v>73651.14</v>
      </c>
      <c r="AR232" s="69">
        <f>+K232-AQ232</f>
        <v>0</v>
      </c>
      <c r="AT232" s="390"/>
      <c r="AV232" s="196"/>
      <c r="AW232" s="196"/>
      <c r="BA232" s="318">
        <f t="shared" si="191"/>
        <v>4236.57</v>
      </c>
    </row>
    <row r="233" spans="1:53" s="2" customFormat="1" ht="10.5" customHeight="1">
      <c r="A233" s="12"/>
      <c r="B233" s="15"/>
      <c r="C233" s="342">
        <v>53</v>
      </c>
      <c r="D233" s="348" t="s">
        <v>99</v>
      </c>
      <c r="E233" s="345" t="s">
        <v>233</v>
      </c>
      <c r="F233" s="372">
        <v>350.19</v>
      </c>
      <c r="G233" s="284">
        <v>7058</v>
      </c>
      <c r="H233" s="284">
        <v>14728</v>
      </c>
      <c r="I233" s="284">
        <v>95</v>
      </c>
      <c r="J233" s="311"/>
      <c r="K233" s="284">
        <f>H233+J233</f>
        <v>14728</v>
      </c>
      <c r="L233" s="284">
        <f>+H233-I233+J233</f>
        <v>14633</v>
      </c>
      <c r="M233" s="59"/>
      <c r="N233" s="47" t="s">
        <v>162</v>
      </c>
      <c r="O233" s="61"/>
      <c r="P233" s="253"/>
      <c r="Q233" s="253"/>
      <c r="R233" s="253"/>
      <c r="S233" s="253"/>
      <c r="T233" s="253"/>
      <c r="U233" s="61">
        <v>940</v>
      </c>
      <c r="V233" s="119"/>
      <c r="W233" s="61">
        <v>100</v>
      </c>
      <c r="X233" s="61">
        <v>700</v>
      </c>
      <c r="Y233" s="61">
        <v>800</v>
      </c>
      <c r="Z233" s="61">
        <v>800</v>
      </c>
      <c r="AA233" s="61">
        <v>800</v>
      </c>
      <c r="AB233" s="61">
        <v>800</v>
      </c>
      <c r="AC233" s="61">
        <v>800</v>
      </c>
      <c r="AD233" s="61">
        <v>800</v>
      </c>
      <c r="AE233" s="61">
        <v>800</v>
      </c>
      <c r="AF233" s="61">
        <v>800</v>
      </c>
      <c r="AG233" s="61">
        <v>1000</v>
      </c>
      <c r="AH233" s="61">
        <v>1500</v>
      </c>
      <c r="AI233" s="61">
        <v>1500</v>
      </c>
      <c r="AJ233" s="61">
        <v>1500</v>
      </c>
      <c r="AK233" s="61">
        <v>1088</v>
      </c>
      <c r="AL233" s="117"/>
      <c r="AM233" s="92"/>
      <c r="AN233" s="92"/>
      <c r="AO233" s="92"/>
      <c r="AQ233" s="144">
        <f>SUM(O233:AO233)</f>
        <v>14728</v>
      </c>
      <c r="AR233" s="144">
        <f>+K233-AQ233</f>
        <v>0</v>
      </c>
      <c r="AT233" s="372">
        <f>+F233*K233</f>
        <v>5157598.32</v>
      </c>
      <c r="AV233" s="263">
        <f>SUM(W233:AO233)</f>
        <v>13788</v>
      </c>
      <c r="AW233" s="263">
        <f>+L233-AV233</f>
        <v>845</v>
      </c>
      <c r="BA233" s="318">
        <f t="shared" si="191"/>
        <v>940</v>
      </c>
    </row>
    <row r="234" spans="1:53" s="2" customFormat="1" ht="10.5" customHeight="1">
      <c r="A234" s="10" t="s">
        <v>12</v>
      </c>
      <c r="B234" s="15"/>
      <c r="C234" s="343"/>
      <c r="D234" s="349"/>
      <c r="E234" s="346"/>
      <c r="F234" s="373"/>
      <c r="G234" s="277"/>
      <c r="H234" s="277"/>
      <c r="I234" s="277"/>
      <c r="J234" s="277"/>
      <c r="K234" s="277"/>
      <c r="L234" s="277"/>
      <c r="M234" s="59"/>
      <c r="N234" s="47" t="s">
        <v>163</v>
      </c>
      <c r="O234" s="62">
        <f>+O233/$K233</f>
        <v>0</v>
      </c>
      <c r="P234" s="254"/>
      <c r="Q234" s="254"/>
      <c r="R234" s="254"/>
      <c r="S234" s="254"/>
      <c r="T234" s="254"/>
      <c r="U234" s="62">
        <f>+U233/$K233</f>
        <v>6.3799999999999996E-2</v>
      </c>
      <c r="V234" s="116"/>
      <c r="W234" s="62">
        <f>+W233/$K233</f>
        <v>6.7999999999999996E-3</v>
      </c>
      <c r="X234" s="62">
        <f>+X233/$K233</f>
        <v>4.7500000000000001E-2</v>
      </c>
      <c r="Y234" s="62">
        <f>+Y233/$K233</f>
        <v>5.4300000000000001E-2</v>
      </c>
      <c r="Z234" s="62">
        <f>+Z233/$K233</f>
        <v>5.4300000000000001E-2</v>
      </c>
      <c r="AA234" s="62">
        <f t="shared" ref="AA234:AK234" si="209">+AA233/$K233</f>
        <v>5.4300000000000001E-2</v>
      </c>
      <c r="AB234" s="62">
        <f t="shared" si="209"/>
        <v>5.4300000000000001E-2</v>
      </c>
      <c r="AC234" s="62">
        <f t="shared" si="209"/>
        <v>5.4300000000000001E-2</v>
      </c>
      <c r="AD234" s="62">
        <f t="shared" si="209"/>
        <v>5.4300000000000001E-2</v>
      </c>
      <c r="AE234" s="62">
        <f t="shared" si="209"/>
        <v>5.4300000000000001E-2</v>
      </c>
      <c r="AF234" s="62">
        <f t="shared" si="209"/>
        <v>5.4300000000000001E-2</v>
      </c>
      <c r="AG234" s="62">
        <f t="shared" si="209"/>
        <v>6.7900000000000002E-2</v>
      </c>
      <c r="AH234" s="62">
        <f t="shared" si="209"/>
        <v>0.1018</v>
      </c>
      <c r="AI234" s="62">
        <f t="shared" si="209"/>
        <v>0.1018</v>
      </c>
      <c r="AJ234" s="62">
        <f t="shared" si="209"/>
        <v>0.1018</v>
      </c>
      <c r="AK234" s="62">
        <f t="shared" si="209"/>
        <v>7.3899999999999993E-2</v>
      </c>
      <c r="AL234" s="117"/>
      <c r="AM234" s="88"/>
      <c r="AN234" s="88"/>
      <c r="AO234" s="88"/>
      <c r="AQ234" s="149">
        <f>SUM(O234:AO234)</f>
        <v>0.99970000000000003</v>
      </c>
      <c r="AR234" s="146"/>
      <c r="AT234" s="389"/>
      <c r="AV234" s="266"/>
      <c r="AW234" s="266"/>
      <c r="BA234" s="318"/>
    </row>
    <row r="235" spans="1:53" s="2" customFormat="1" ht="10.5" hidden="1" customHeight="1">
      <c r="A235" s="11" t="s">
        <v>13</v>
      </c>
      <c r="B235" s="15"/>
      <c r="C235" s="343"/>
      <c r="D235" s="349"/>
      <c r="E235" s="346"/>
      <c r="F235" s="373"/>
      <c r="G235" s="277"/>
      <c r="H235" s="277"/>
      <c r="I235" s="277"/>
      <c r="J235" s="277"/>
      <c r="K235" s="277"/>
      <c r="L235" s="277"/>
      <c r="M235" s="59"/>
      <c r="N235" s="48"/>
      <c r="O235" s="93"/>
      <c r="P235" s="251"/>
      <c r="Q235" s="251"/>
      <c r="R235" s="251"/>
      <c r="S235" s="251"/>
      <c r="T235" s="251"/>
      <c r="U235" s="93"/>
      <c r="V235" s="117"/>
      <c r="W235" s="63"/>
      <c r="X235" s="63"/>
      <c r="Y235" s="63"/>
      <c r="Z235" s="63"/>
      <c r="AA235" s="63"/>
      <c r="AB235" s="63"/>
      <c r="AC235" s="63"/>
      <c r="AD235" s="63"/>
      <c r="AE235" s="63"/>
      <c r="AF235" s="63"/>
      <c r="AG235" s="63"/>
      <c r="AH235" s="63"/>
      <c r="AI235" s="63"/>
      <c r="AJ235" s="63"/>
      <c r="AK235" s="63"/>
      <c r="AL235" s="117"/>
      <c r="AM235" s="88"/>
      <c r="AN235" s="88"/>
      <c r="AO235" s="88"/>
      <c r="AQ235" s="145"/>
      <c r="AR235" s="146"/>
      <c r="AT235" s="389"/>
      <c r="AV235" s="197"/>
      <c r="AW235" s="197"/>
      <c r="BA235" s="318"/>
    </row>
    <row r="236" spans="1:53" s="2" customFormat="1" ht="10.5" customHeight="1">
      <c r="A236" s="12">
        <v>1</v>
      </c>
      <c r="B236" s="15"/>
      <c r="C236" s="344"/>
      <c r="D236" s="350"/>
      <c r="E236" s="347"/>
      <c r="F236" s="374"/>
      <c r="G236" s="307">
        <f t="shared" ref="G236:L236" si="210">ROUND(G233*$F233,2)</f>
        <v>2471641.02</v>
      </c>
      <c r="H236" s="307">
        <f t="shared" si="210"/>
        <v>5157598.32</v>
      </c>
      <c r="I236" s="307">
        <f t="shared" si="210"/>
        <v>33268.050000000003</v>
      </c>
      <c r="J236" s="307">
        <f t="shared" si="210"/>
        <v>0</v>
      </c>
      <c r="K236" s="307">
        <f t="shared" si="210"/>
        <v>5157598.32</v>
      </c>
      <c r="L236" s="307">
        <f t="shared" si="210"/>
        <v>5124330.2699999996</v>
      </c>
      <c r="M236" s="59"/>
      <c r="N236" s="49" t="s">
        <v>164</v>
      </c>
      <c r="O236" s="64">
        <f>O233*$F233</f>
        <v>0</v>
      </c>
      <c r="P236" s="256"/>
      <c r="Q236" s="256"/>
      <c r="R236" s="256"/>
      <c r="S236" s="256"/>
      <c r="T236" s="256"/>
      <c r="U236" s="64">
        <f>U233*$F233</f>
        <v>329178.59999999998</v>
      </c>
      <c r="V236" s="118"/>
      <c r="W236" s="64">
        <f>W233*$F233</f>
        <v>35019</v>
      </c>
      <c r="X236" s="64">
        <f>X233*$F233</f>
        <v>245133</v>
      </c>
      <c r="Y236" s="64">
        <f>Y233*$F233</f>
        <v>280152</v>
      </c>
      <c r="Z236" s="64">
        <f>Z233*$F233</f>
        <v>280152</v>
      </c>
      <c r="AA236" s="64">
        <f t="shared" ref="AA236:AK236" si="211">AA233*$F233</f>
        <v>280152</v>
      </c>
      <c r="AB236" s="64">
        <f t="shared" si="211"/>
        <v>280152</v>
      </c>
      <c r="AC236" s="64">
        <f t="shared" si="211"/>
        <v>280152</v>
      </c>
      <c r="AD236" s="64">
        <f t="shared" si="211"/>
        <v>280152</v>
      </c>
      <c r="AE236" s="64">
        <f t="shared" si="211"/>
        <v>280152</v>
      </c>
      <c r="AF236" s="64">
        <f t="shared" si="211"/>
        <v>280152</v>
      </c>
      <c r="AG236" s="64">
        <f t="shared" si="211"/>
        <v>350190</v>
      </c>
      <c r="AH236" s="64">
        <f t="shared" si="211"/>
        <v>525285</v>
      </c>
      <c r="AI236" s="64">
        <f t="shared" si="211"/>
        <v>525285</v>
      </c>
      <c r="AJ236" s="64">
        <f t="shared" si="211"/>
        <v>525285</v>
      </c>
      <c r="AK236" s="64">
        <f t="shared" si="211"/>
        <v>381006.72</v>
      </c>
      <c r="AL236" s="123"/>
      <c r="AM236" s="91"/>
      <c r="AN236" s="91"/>
      <c r="AO236" s="91"/>
      <c r="AQ236" s="69">
        <f>SUM(O236:AO236)</f>
        <v>5157598.32</v>
      </c>
      <c r="AR236" s="69">
        <f>+K236-AQ236</f>
        <v>0</v>
      </c>
      <c r="AT236" s="390"/>
      <c r="AV236" s="196"/>
      <c r="AW236" s="196"/>
      <c r="BA236" s="318"/>
    </row>
    <row r="237" spans="1:53" s="2" customFormat="1" ht="10.5" customHeight="1">
      <c r="A237" s="12"/>
      <c r="B237" s="15"/>
      <c r="C237" s="342">
        <v>54</v>
      </c>
      <c r="D237" s="348" t="s">
        <v>100</v>
      </c>
      <c r="E237" s="345" t="s">
        <v>233</v>
      </c>
      <c r="F237" s="372">
        <v>37.21</v>
      </c>
      <c r="G237" s="284">
        <v>2778</v>
      </c>
      <c r="H237" s="284">
        <v>6016.11</v>
      </c>
      <c r="I237" s="284"/>
      <c r="J237" s="284"/>
      <c r="K237" s="284">
        <f>H237+J237</f>
        <v>6016.11</v>
      </c>
      <c r="L237" s="284">
        <f>+H237-I237+J237</f>
        <v>6016.11</v>
      </c>
      <c r="M237" s="59"/>
      <c r="N237" s="47" t="s">
        <v>162</v>
      </c>
      <c r="O237" s="253"/>
      <c r="P237" s="253"/>
      <c r="Q237" s="253"/>
      <c r="R237" s="253"/>
      <c r="S237" s="253"/>
      <c r="T237" s="253"/>
      <c r="U237" s="61">
        <f>+I237</f>
        <v>0</v>
      </c>
      <c r="V237" s="119"/>
      <c r="W237" s="95"/>
      <c r="X237" s="61">
        <v>430</v>
      </c>
      <c r="Y237" s="61">
        <v>430</v>
      </c>
      <c r="Z237" s="61">
        <v>430</v>
      </c>
      <c r="AA237" s="61">
        <v>430</v>
      </c>
      <c r="AB237" s="61">
        <v>430</v>
      </c>
      <c r="AC237" s="61">
        <v>430</v>
      </c>
      <c r="AD237" s="61">
        <v>430</v>
      </c>
      <c r="AE237" s="61">
        <v>430</v>
      </c>
      <c r="AF237" s="61">
        <v>430</v>
      </c>
      <c r="AG237" s="61">
        <v>430</v>
      </c>
      <c r="AH237" s="61">
        <v>430</v>
      </c>
      <c r="AI237" s="61">
        <v>430</v>
      </c>
      <c r="AJ237" s="61">
        <v>430</v>
      </c>
      <c r="AK237" s="61">
        <v>426.11</v>
      </c>
      <c r="AL237" s="117"/>
      <c r="AM237" s="92"/>
      <c r="AN237" s="92"/>
      <c r="AO237" s="92"/>
      <c r="AQ237" s="144">
        <f>SUM(O237:AO237)</f>
        <v>6016.11</v>
      </c>
      <c r="AR237" s="144">
        <f>+K237-AQ237</f>
        <v>0</v>
      </c>
      <c r="AT237" s="372">
        <f>+F237*K237</f>
        <v>223859.45</v>
      </c>
      <c r="AV237" s="263">
        <f>SUM(W237:AO237)</f>
        <v>6016.11</v>
      </c>
      <c r="AW237" s="263">
        <f>+L237-AV237</f>
        <v>0</v>
      </c>
      <c r="BA237" s="318">
        <f t="shared" si="191"/>
        <v>0</v>
      </c>
    </row>
    <row r="238" spans="1:53" s="2" customFormat="1" ht="10.5" customHeight="1">
      <c r="A238" s="10" t="s">
        <v>12</v>
      </c>
      <c r="B238" s="15"/>
      <c r="C238" s="343"/>
      <c r="D238" s="349"/>
      <c r="E238" s="346"/>
      <c r="F238" s="373"/>
      <c r="G238" s="277"/>
      <c r="H238" s="277"/>
      <c r="I238" s="277"/>
      <c r="J238" s="277"/>
      <c r="K238" s="277"/>
      <c r="L238" s="277"/>
      <c r="M238" s="59"/>
      <c r="N238" s="47" t="s">
        <v>163</v>
      </c>
      <c r="O238" s="254"/>
      <c r="P238" s="254"/>
      <c r="Q238" s="254"/>
      <c r="R238" s="254"/>
      <c r="S238" s="254"/>
      <c r="T238" s="254"/>
      <c r="U238" s="62">
        <f>+U237/$K237</f>
        <v>0</v>
      </c>
      <c r="V238" s="116"/>
      <c r="W238" s="93"/>
      <c r="X238" s="62">
        <f>+X237/$K237</f>
        <v>7.1499999999999994E-2</v>
      </c>
      <c r="Y238" s="62">
        <f>+Y237/$K237</f>
        <v>7.1499999999999994E-2</v>
      </c>
      <c r="Z238" s="62">
        <f>+Z237/$K237</f>
        <v>7.1499999999999994E-2</v>
      </c>
      <c r="AA238" s="62">
        <f t="shared" ref="AA238:AK238" si="212">+AA237/$K237</f>
        <v>7.1499999999999994E-2</v>
      </c>
      <c r="AB238" s="62">
        <f t="shared" si="212"/>
        <v>7.1499999999999994E-2</v>
      </c>
      <c r="AC238" s="62">
        <f t="shared" si="212"/>
        <v>7.1499999999999994E-2</v>
      </c>
      <c r="AD238" s="62">
        <f t="shared" si="212"/>
        <v>7.1499999999999994E-2</v>
      </c>
      <c r="AE238" s="62">
        <f t="shared" si="212"/>
        <v>7.1499999999999994E-2</v>
      </c>
      <c r="AF238" s="62">
        <f t="shared" si="212"/>
        <v>7.1499999999999994E-2</v>
      </c>
      <c r="AG238" s="62">
        <f t="shared" si="212"/>
        <v>7.1499999999999994E-2</v>
      </c>
      <c r="AH238" s="62">
        <f t="shared" si="212"/>
        <v>7.1499999999999994E-2</v>
      </c>
      <c r="AI238" s="62">
        <f t="shared" si="212"/>
        <v>7.1499999999999994E-2</v>
      </c>
      <c r="AJ238" s="62">
        <f t="shared" si="212"/>
        <v>7.1499999999999994E-2</v>
      </c>
      <c r="AK238" s="62">
        <f t="shared" si="212"/>
        <v>7.0800000000000002E-2</v>
      </c>
      <c r="AL238" s="117"/>
      <c r="AM238" s="88"/>
      <c r="AN238" s="88"/>
      <c r="AO238" s="88"/>
      <c r="AQ238" s="149">
        <f>SUM(O238:AO238)</f>
        <v>1.0003</v>
      </c>
      <c r="AR238" s="146"/>
      <c r="AT238" s="389"/>
      <c r="AV238" s="266"/>
      <c r="AW238" s="266"/>
      <c r="BA238" s="318">
        <f t="shared" si="191"/>
        <v>0</v>
      </c>
    </row>
    <row r="239" spans="1:53" s="2" customFormat="1" ht="10.5" hidden="1" customHeight="1">
      <c r="A239" s="11" t="s">
        <v>13</v>
      </c>
      <c r="B239" s="15"/>
      <c r="C239" s="343"/>
      <c r="D239" s="349"/>
      <c r="E239" s="346"/>
      <c r="F239" s="373"/>
      <c r="G239" s="277"/>
      <c r="H239" s="277"/>
      <c r="I239" s="277"/>
      <c r="J239" s="277"/>
      <c r="K239" s="277"/>
      <c r="L239" s="277"/>
      <c r="M239" s="59"/>
      <c r="N239" s="48"/>
      <c r="O239" s="251"/>
      <c r="P239" s="251"/>
      <c r="Q239" s="251"/>
      <c r="R239" s="251"/>
      <c r="S239" s="251"/>
      <c r="T239" s="251"/>
      <c r="U239" s="93"/>
      <c r="V239" s="117"/>
      <c r="W239" s="96"/>
      <c r="X239" s="63"/>
      <c r="Y239" s="63"/>
      <c r="Z239" s="63"/>
      <c r="AA239" s="63"/>
      <c r="AB239" s="63"/>
      <c r="AC239" s="63"/>
      <c r="AD239" s="63"/>
      <c r="AE239" s="63"/>
      <c r="AF239" s="63"/>
      <c r="AG239" s="63"/>
      <c r="AH239" s="63"/>
      <c r="AI239" s="63"/>
      <c r="AJ239" s="63"/>
      <c r="AK239" s="63"/>
      <c r="AL239" s="117"/>
      <c r="AM239" s="88"/>
      <c r="AN239" s="88"/>
      <c r="AO239" s="88"/>
      <c r="AQ239" s="145"/>
      <c r="AR239" s="146"/>
      <c r="AT239" s="389"/>
      <c r="AV239" s="197"/>
      <c r="AW239" s="197"/>
      <c r="BA239" s="318">
        <f t="shared" si="191"/>
        <v>0</v>
      </c>
    </row>
    <row r="240" spans="1:53" s="2" customFormat="1" ht="10.5" customHeight="1">
      <c r="A240" s="12">
        <v>1</v>
      </c>
      <c r="B240" s="15"/>
      <c r="C240" s="344"/>
      <c r="D240" s="350"/>
      <c r="E240" s="347"/>
      <c r="F240" s="374"/>
      <c r="G240" s="307">
        <f>ROUND(G237*$F237,2)</f>
        <v>103369.38</v>
      </c>
      <c r="H240" s="307">
        <f>ROUND(H237*$F237,2)</f>
        <v>223859.45</v>
      </c>
      <c r="I240" s="307">
        <f>ROUND(I237*$F237,2)</f>
        <v>0</v>
      </c>
      <c r="J240" s="307">
        <f>J237*$F237</f>
        <v>0</v>
      </c>
      <c r="K240" s="307">
        <f>ROUND(K237*$F237,2)</f>
        <v>223859.45</v>
      </c>
      <c r="L240" s="307">
        <f>ROUND(L237*$F237,2)</f>
        <v>223859.45</v>
      </c>
      <c r="M240" s="59"/>
      <c r="N240" s="49" t="s">
        <v>164</v>
      </c>
      <c r="O240" s="256"/>
      <c r="P240" s="256"/>
      <c r="Q240" s="256"/>
      <c r="R240" s="256"/>
      <c r="S240" s="256"/>
      <c r="T240" s="256"/>
      <c r="U240" s="64">
        <f>U237*$F237</f>
        <v>0</v>
      </c>
      <c r="V240" s="118"/>
      <c r="W240" s="94"/>
      <c r="X240" s="64">
        <f>X237*$F237</f>
        <v>16000.3</v>
      </c>
      <c r="Y240" s="64">
        <f>Y237*$F237</f>
        <v>16000.3</v>
      </c>
      <c r="Z240" s="64">
        <f>Z237*$F237</f>
        <v>16000.3</v>
      </c>
      <c r="AA240" s="64">
        <f t="shared" ref="AA240:AK240" si="213">AA237*$F237</f>
        <v>16000.3</v>
      </c>
      <c r="AB240" s="64">
        <f t="shared" si="213"/>
        <v>16000.3</v>
      </c>
      <c r="AC240" s="64">
        <f t="shared" si="213"/>
        <v>16000.3</v>
      </c>
      <c r="AD240" s="64">
        <f t="shared" si="213"/>
        <v>16000.3</v>
      </c>
      <c r="AE240" s="64">
        <f t="shared" si="213"/>
        <v>16000.3</v>
      </c>
      <c r="AF240" s="64">
        <f t="shared" si="213"/>
        <v>16000.3</v>
      </c>
      <c r="AG240" s="64">
        <f t="shared" si="213"/>
        <v>16000.3</v>
      </c>
      <c r="AH240" s="64">
        <f t="shared" si="213"/>
        <v>16000.3</v>
      </c>
      <c r="AI240" s="64">
        <f t="shared" si="213"/>
        <v>16000.3</v>
      </c>
      <c r="AJ240" s="64">
        <f t="shared" si="213"/>
        <v>16000.3</v>
      </c>
      <c r="AK240" s="64">
        <f t="shared" si="213"/>
        <v>15855.55</v>
      </c>
      <c r="AL240" s="123"/>
      <c r="AM240" s="91"/>
      <c r="AN240" s="91"/>
      <c r="AO240" s="91"/>
      <c r="AQ240" s="69">
        <f>SUM(O240:AO240)</f>
        <v>223859.45</v>
      </c>
      <c r="AR240" s="69">
        <f>+K240-AQ240</f>
        <v>0</v>
      </c>
      <c r="AT240" s="390"/>
      <c r="AV240" s="196"/>
      <c r="AW240" s="196"/>
      <c r="BA240" s="318">
        <f t="shared" si="191"/>
        <v>0</v>
      </c>
    </row>
    <row r="241" spans="1:53" s="2" customFormat="1" ht="10.5" customHeight="1">
      <c r="A241" s="12"/>
      <c r="B241" s="15"/>
      <c r="C241" s="342">
        <v>55</v>
      </c>
      <c r="D241" s="348" t="s">
        <v>101</v>
      </c>
      <c r="E241" s="345" t="s">
        <v>235</v>
      </c>
      <c r="F241" s="372">
        <v>171.18</v>
      </c>
      <c r="G241" s="284">
        <v>15750</v>
      </c>
      <c r="H241" s="284">
        <v>15750</v>
      </c>
      <c r="I241" s="284"/>
      <c r="J241" s="284"/>
      <c r="K241" s="284">
        <f>H241+J241</f>
        <v>15750</v>
      </c>
      <c r="L241" s="284">
        <f>+H241-I241+J241</f>
        <v>15750</v>
      </c>
      <c r="M241" s="59"/>
      <c r="N241" s="47" t="s">
        <v>162</v>
      </c>
      <c r="O241" s="253"/>
      <c r="P241" s="253"/>
      <c r="Q241" s="253"/>
      <c r="R241" s="253"/>
      <c r="S241" s="253"/>
      <c r="T241" s="253"/>
      <c r="U241" s="61">
        <f>+I241</f>
        <v>0</v>
      </c>
      <c r="V241" s="119"/>
      <c r="W241" s="95"/>
      <c r="X241" s="61"/>
      <c r="Y241" s="61"/>
      <c r="Z241" s="61"/>
      <c r="AA241" s="61">
        <v>1430</v>
      </c>
      <c r="AB241" s="61">
        <v>1430</v>
      </c>
      <c r="AC241" s="61">
        <v>1430</v>
      </c>
      <c r="AD241" s="61">
        <v>1430</v>
      </c>
      <c r="AE241" s="61">
        <v>1430</v>
      </c>
      <c r="AF241" s="61">
        <v>1430</v>
      </c>
      <c r="AG241" s="61">
        <v>1430</v>
      </c>
      <c r="AH241" s="61">
        <v>1430</v>
      </c>
      <c r="AI241" s="61">
        <v>1430</v>
      </c>
      <c r="AJ241" s="61">
        <v>1430</v>
      </c>
      <c r="AK241" s="61">
        <v>1450</v>
      </c>
      <c r="AL241" s="117"/>
      <c r="AM241" s="92"/>
      <c r="AN241" s="92"/>
      <c r="AO241" s="92"/>
      <c r="AQ241" s="144">
        <f>SUM(O241:AO241)</f>
        <v>15750</v>
      </c>
      <c r="AR241" s="144">
        <f>+K241-AQ241</f>
        <v>0</v>
      </c>
      <c r="AT241" s="372">
        <f>+F241*K241</f>
        <v>2696085</v>
      </c>
      <c r="AV241" s="263">
        <f>SUM(W241:AO241)</f>
        <v>15750</v>
      </c>
      <c r="AW241" s="263">
        <f>+L241-AV241</f>
        <v>0</v>
      </c>
      <c r="BA241" s="318">
        <f t="shared" si="191"/>
        <v>0</v>
      </c>
    </row>
    <row r="242" spans="1:53" s="2" customFormat="1" ht="10.5" customHeight="1">
      <c r="A242" s="10" t="s">
        <v>12</v>
      </c>
      <c r="B242" s="15"/>
      <c r="C242" s="343"/>
      <c r="D242" s="349"/>
      <c r="E242" s="346"/>
      <c r="F242" s="373"/>
      <c r="G242" s="277"/>
      <c r="H242" s="277"/>
      <c r="I242" s="277"/>
      <c r="J242" s="277"/>
      <c r="K242" s="277"/>
      <c r="L242" s="277"/>
      <c r="M242" s="59"/>
      <c r="N242" s="47" t="s">
        <v>163</v>
      </c>
      <c r="O242" s="254"/>
      <c r="P242" s="254"/>
      <c r="Q242" s="254"/>
      <c r="R242" s="254"/>
      <c r="S242" s="254"/>
      <c r="T242" s="254"/>
      <c r="U242" s="62">
        <f>+U241/$K241</f>
        <v>0</v>
      </c>
      <c r="V242" s="116"/>
      <c r="W242" s="93"/>
      <c r="X242" s="62"/>
      <c r="Y242" s="62"/>
      <c r="Z242" s="62"/>
      <c r="AA242" s="62">
        <f>+AA241/$K241</f>
        <v>9.0800000000000006E-2</v>
      </c>
      <c r="AB242" s="62">
        <f>+AB241/$K241</f>
        <v>9.0800000000000006E-2</v>
      </c>
      <c r="AC242" s="62">
        <f>+AC241/$K241</f>
        <v>9.0800000000000006E-2</v>
      </c>
      <c r="AD242" s="62">
        <f>+AD241/$K241</f>
        <v>9.0800000000000006E-2</v>
      </c>
      <c r="AE242" s="62">
        <f>+AE241/$K241</f>
        <v>9.0800000000000006E-2</v>
      </c>
      <c r="AF242" s="62">
        <f t="shared" ref="AF242:AK242" si="214">+AF241/$K241</f>
        <v>9.0800000000000006E-2</v>
      </c>
      <c r="AG242" s="62">
        <f t="shared" si="214"/>
        <v>9.0800000000000006E-2</v>
      </c>
      <c r="AH242" s="62">
        <f t="shared" si="214"/>
        <v>9.0800000000000006E-2</v>
      </c>
      <c r="AI242" s="62">
        <f t="shared" si="214"/>
        <v>9.0800000000000006E-2</v>
      </c>
      <c r="AJ242" s="62">
        <f t="shared" si="214"/>
        <v>9.0800000000000006E-2</v>
      </c>
      <c r="AK242" s="62">
        <f t="shared" si="214"/>
        <v>9.2100000000000001E-2</v>
      </c>
      <c r="AL242" s="117"/>
      <c r="AM242" s="88"/>
      <c r="AN242" s="88"/>
      <c r="AO242" s="88"/>
      <c r="AQ242" s="149">
        <f>SUM(O242:AO242)</f>
        <v>1.0001</v>
      </c>
      <c r="AR242" s="146"/>
      <c r="AT242" s="389"/>
      <c r="AV242" s="266"/>
      <c r="AW242" s="266"/>
      <c r="BA242" s="318">
        <f t="shared" si="191"/>
        <v>0</v>
      </c>
    </row>
    <row r="243" spans="1:53" s="2" customFormat="1" ht="10.5" hidden="1" customHeight="1">
      <c r="A243" s="11" t="s">
        <v>13</v>
      </c>
      <c r="B243" s="15"/>
      <c r="C243" s="343"/>
      <c r="D243" s="349"/>
      <c r="E243" s="346"/>
      <c r="F243" s="373"/>
      <c r="G243" s="277"/>
      <c r="H243" s="277"/>
      <c r="I243" s="277"/>
      <c r="J243" s="277"/>
      <c r="K243" s="277"/>
      <c r="L243" s="277"/>
      <c r="M243" s="59"/>
      <c r="N243" s="48"/>
      <c r="O243" s="251"/>
      <c r="P243" s="251"/>
      <c r="Q243" s="251"/>
      <c r="R243" s="251"/>
      <c r="S243" s="251"/>
      <c r="T243" s="251"/>
      <c r="U243" s="93"/>
      <c r="V243" s="117"/>
      <c r="W243" s="96"/>
      <c r="X243" s="96"/>
      <c r="Y243" s="96"/>
      <c r="Z243" s="96"/>
      <c r="AA243" s="63"/>
      <c r="AB243" s="63"/>
      <c r="AC243" s="63"/>
      <c r="AD243" s="63"/>
      <c r="AE243" s="63"/>
      <c r="AF243" s="63"/>
      <c r="AG243" s="63"/>
      <c r="AH243" s="63"/>
      <c r="AI243" s="63"/>
      <c r="AJ243" s="63"/>
      <c r="AK243" s="63"/>
      <c r="AL243" s="117"/>
      <c r="AM243" s="88"/>
      <c r="AN243" s="88"/>
      <c r="AO243" s="88"/>
      <c r="AQ243" s="145"/>
      <c r="AR243" s="146"/>
      <c r="AT243" s="389"/>
      <c r="AV243" s="197"/>
      <c r="AW243" s="197"/>
      <c r="BA243" s="318">
        <f t="shared" si="191"/>
        <v>0</v>
      </c>
    </row>
    <row r="244" spans="1:53" s="2" customFormat="1" ht="10.5" customHeight="1">
      <c r="A244" s="12">
        <v>1</v>
      </c>
      <c r="B244" s="15"/>
      <c r="C244" s="344"/>
      <c r="D244" s="350"/>
      <c r="E244" s="347"/>
      <c r="F244" s="374"/>
      <c r="G244" s="307">
        <f>ROUND(G241*$F241,2)</f>
        <v>2696085</v>
      </c>
      <c r="H244" s="307">
        <f>ROUND(H241*$F241,2)</f>
        <v>2696085</v>
      </c>
      <c r="I244" s="307">
        <f>ROUND(I241*$F241,2)</f>
        <v>0</v>
      </c>
      <c r="J244" s="307">
        <f>J241*$F241</f>
        <v>0</v>
      </c>
      <c r="K244" s="307">
        <f>ROUND(K241*$F241,2)</f>
        <v>2696085</v>
      </c>
      <c r="L244" s="307">
        <f>ROUND(L241*$F241,2)</f>
        <v>2696085</v>
      </c>
      <c r="M244" s="59"/>
      <c r="N244" s="49" t="s">
        <v>164</v>
      </c>
      <c r="O244" s="256"/>
      <c r="P244" s="256"/>
      <c r="Q244" s="256"/>
      <c r="R244" s="256"/>
      <c r="S244" s="256"/>
      <c r="T244" s="256"/>
      <c r="U244" s="64">
        <f>U241*$F241</f>
        <v>0</v>
      </c>
      <c r="V244" s="118"/>
      <c r="W244" s="94"/>
      <c r="X244" s="64"/>
      <c r="Y244" s="64"/>
      <c r="Z244" s="64"/>
      <c r="AA244" s="64">
        <f>AA241*$F241</f>
        <v>244787.4</v>
      </c>
      <c r="AB244" s="64">
        <f>AB241*$F241</f>
        <v>244787.4</v>
      </c>
      <c r="AC244" s="64">
        <f>AC241*$F241</f>
        <v>244787.4</v>
      </c>
      <c r="AD244" s="64">
        <f>AD241*$F241</f>
        <v>244787.4</v>
      </c>
      <c r="AE244" s="64">
        <f>AE241*$F241</f>
        <v>244787.4</v>
      </c>
      <c r="AF244" s="64">
        <f t="shared" ref="AF244:AK244" si="215">AF241*$F241</f>
        <v>244787.4</v>
      </c>
      <c r="AG244" s="64">
        <f t="shared" si="215"/>
        <v>244787.4</v>
      </c>
      <c r="AH244" s="64">
        <f t="shared" si="215"/>
        <v>244787.4</v>
      </c>
      <c r="AI244" s="64">
        <f t="shared" si="215"/>
        <v>244787.4</v>
      </c>
      <c r="AJ244" s="64">
        <f t="shared" si="215"/>
        <v>244787.4</v>
      </c>
      <c r="AK244" s="64">
        <f t="shared" si="215"/>
        <v>248211</v>
      </c>
      <c r="AL244" s="123"/>
      <c r="AM244" s="91"/>
      <c r="AN244" s="91"/>
      <c r="AO244" s="91"/>
      <c r="AQ244" s="69">
        <f>SUM(O244:AO244)</f>
        <v>2696085</v>
      </c>
      <c r="AR244" s="69">
        <f>+K244-AQ244</f>
        <v>0</v>
      </c>
      <c r="AT244" s="390"/>
      <c r="AV244" s="196"/>
      <c r="AW244" s="196"/>
      <c r="BA244" s="318">
        <f t="shared" si="191"/>
        <v>0</v>
      </c>
    </row>
    <row r="245" spans="1:53" s="2" customFormat="1" ht="10.5" customHeight="1">
      <c r="A245" s="12"/>
      <c r="B245" s="15"/>
      <c r="C245" s="342">
        <v>56</v>
      </c>
      <c r="D245" s="348" t="s">
        <v>102</v>
      </c>
      <c r="E245" s="345" t="s">
        <v>233</v>
      </c>
      <c r="F245" s="372">
        <v>87.64</v>
      </c>
      <c r="G245" s="284">
        <v>2226</v>
      </c>
      <c r="H245" s="284">
        <v>2304.75</v>
      </c>
      <c r="I245" s="284"/>
      <c r="J245" s="284"/>
      <c r="K245" s="284">
        <f>H245+J245</f>
        <v>2304.75</v>
      </c>
      <c r="L245" s="284">
        <f>+H245-I245+J245</f>
        <v>2304.75</v>
      </c>
      <c r="M245" s="59"/>
      <c r="N245" s="47" t="s">
        <v>162</v>
      </c>
      <c r="O245" s="253"/>
      <c r="P245" s="253"/>
      <c r="Q245" s="253"/>
      <c r="R245" s="253"/>
      <c r="S245" s="253"/>
      <c r="T245" s="253"/>
      <c r="U245" s="61">
        <v>135</v>
      </c>
      <c r="V245" s="119"/>
      <c r="W245" s="95"/>
      <c r="X245" s="61"/>
      <c r="Y245" s="61">
        <v>150</v>
      </c>
      <c r="Z245" s="61">
        <v>150</v>
      </c>
      <c r="AA245" s="61">
        <v>150</v>
      </c>
      <c r="AB245" s="61">
        <v>150</v>
      </c>
      <c r="AC245" s="61">
        <v>150</v>
      </c>
      <c r="AD245" s="61">
        <v>150</v>
      </c>
      <c r="AE245" s="61">
        <v>150</v>
      </c>
      <c r="AF245" s="61">
        <v>200</v>
      </c>
      <c r="AG245" s="61">
        <v>200</v>
      </c>
      <c r="AH245" s="61">
        <v>200</v>
      </c>
      <c r="AI245" s="61">
        <v>200</v>
      </c>
      <c r="AJ245" s="61">
        <v>200</v>
      </c>
      <c r="AK245" s="61">
        <v>119.75</v>
      </c>
      <c r="AL245" s="117"/>
      <c r="AM245" s="92"/>
      <c r="AN245" s="92"/>
      <c r="AO245" s="92"/>
      <c r="AQ245" s="144">
        <f>SUM(O245:AO245)</f>
        <v>2304.75</v>
      </c>
      <c r="AR245" s="144">
        <f>+K245-AQ245</f>
        <v>0</v>
      </c>
      <c r="AT245" s="372">
        <f>+F245*K245</f>
        <v>201988.29</v>
      </c>
      <c r="AV245" s="263">
        <f>SUM(W245:AO245)</f>
        <v>2169.75</v>
      </c>
      <c r="AW245" s="263">
        <f>+L245-AV245</f>
        <v>135</v>
      </c>
      <c r="BA245" s="318">
        <f t="shared" si="191"/>
        <v>135</v>
      </c>
    </row>
    <row r="246" spans="1:53" s="2" customFormat="1" ht="10.5" customHeight="1">
      <c r="A246" s="10" t="s">
        <v>12</v>
      </c>
      <c r="B246" s="15"/>
      <c r="C246" s="343"/>
      <c r="D246" s="349"/>
      <c r="E246" s="346"/>
      <c r="F246" s="373"/>
      <c r="G246" s="277"/>
      <c r="H246" s="277"/>
      <c r="I246" s="277"/>
      <c r="J246" s="277"/>
      <c r="K246" s="277"/>
      <c r="L246" s="277"/>
      <c r="M246" s="59"/>
      <c r="N246" s="47" t="s">
        <v>163</v>
      </c>
      <c r="O246" s="254"/>
      <c r="P246" s="254"/>
      <c r="Q246" s="254"/>
      <c r="R246" s="254"/>
      <c r="S246" s="254"/>
      <c r="T246" s="254"/>
      <c r="U246" s="62">
        <f>+U245/$K245</f>
        <v>5.8599999999999999E-2</v>
      </c>
      <c r="V246" s="116"/>
      <c r="W246" s="93"/>
      <c r="X246" s="62">
        <f>+X245/$K245</f>
        <v>0</v>
      </c>
      <c r="Y246" s="62">
        <f>+Y245/$K245</f>
        <v>6.5100000000000005E-2</v>
      </c>
      <c r="Z246" s="62">
        <f>+Z245/$K245</f>
        <v>6.5100000000000005E-2</v>
      </c>
      <c r="AA246" s="62">
        <f t="shared" ref="AA246:AK246" si="216">+AA245/$K245</f>
        <v>6.5100000000000005E-2</v>
      </c>
      <c r="AB246" s="62">
        <f t="shared" si="216"/>
        <v>6.5100000000000005E-2</v>
      </c>
      <c r="AC246" s="62">
        <f t="shared" si="216"/>
        <v>6.5100000000000005E-2</v>
      </c>
      <c r="AD246" s="62">
        <f t="shared" si="216"/>
        <v>6.5100000000000005E-2</v>
      </c>
      <c r="AE246" s="62">
        <f t="shared" si="216"/>
        <v>6.5100000000000005E-2</v>
      </c>
      <c r="AF246" s="62">
        <f t="shared" si="216"/>
        <v>8.6800000000000002E-2</v>
      </c>
      <c r="AG246" s="62">
        <f t="shared" si="216"/>
        <v>8.6800000000000002E-2</v>
      </c>
      <c r="AH246" s="62">
        <f t="shared" si="216"/>
        <v>8.6800000000000002E-2</v>
      </c>
      <c r="AI246" s="62">
        <f t="shared" si="216"/>
        <v>8.6800000000000002E-2</v>
      </c>
      <c r="AJ246" s="62">
        <f t="shared" si="216"/>
        <v>8.6800000000000002E-2</v>
      </c>
      <c r="AK246" s="62">
        <f t="shared" si="216"/>
        <v>5.1999999999999998E-2</v>
      </c>
      <c r="AL246" s="117"/>
      <c r="AM246" s="88"/>
      <c r="AN246" s="88"/>
      <c r="AO246" s="88"/>
      <c r="AQ246" s="149">
        <f>SUM(O246:AO246)</f>
        <v>1.0003</v>
      </c>
      <c r="AR246" s="146"/>
      <c r="AT246" s="389"/>
      <c r="AV246" s="266"/>
      <c r="AW246" s="266"/>
      <c r="BA246" s="318">
        <f t="shared" si="191"/>
        <v>0.06</v>
      </c>
    </row>
    <row r="247" spans="1:53" s="2" customFormat="1" ht="10.5" hidden="1" customHeight="1">
      <c r="A247" s="11" t="s">
        <v>13</v>
      </c>
      <c r="B247" s="15"/>
      <c r="C247" s="343"/>
      <c r="D247" s="349"/>
      <c r="E247" s="346"/>
      <c r="F247" s="373"/>
      <c r="G247" s="277"/>
      <c r="H247" s="277"/>
      <c r="I247" s="277"/>
      <c r="J247" s="277"/>
      <c r="K247" s="277"/>
      <c r="L247" s="277"/>
      <c r="M247" s="59"/>
      <c r="N247" s="48"/>
      <c r="O247" s="251"/>
      <c r="P247" s="251"/>
      <c r="Q247" s="251"/>
      <c r="R247" s="251"/>
      <c r="S247" s="251"/>
      <c r="T247" s="251"/>
      <c r="U247" s="93"/>
      <c r="V247" s="117"/>
      <c r="W247" s="96"/>
      <c r="X247" s="63"/>
      <c r="Y247" s="63"/>
      <c r="Z247" s="63"/>
      <c r="AA247" s="63"/>
      <c r="AB247" s="63"/>
      <c r="AC247" s="63"/>
      <c r="AD247" s="63"/>
      <c r="AE247" s="63"/>
      <c r="AF247" s="63"/>
      <c r="AG247" s="63"/>
      <c r="AH247" s="63"/>
      <c r="AI247" s="63"/>
      <c r="AJ247" s="63"/>
      <c r="AK247" s="63"/>
      <c r="AL247" s="117"/>
      <c r="AM247" s="88"/>
      <c r="AN247" s="88"/>
      <c r="AO247" s="88"/>
      <c r="AQ247" s="145"/>
      <c r="AR247" s="146"/>
      <c r="AT247" s="389"/>
      <c r="AV247" s="197"/>
      <c r="AW247" s="197"/>
      <c r="BA247" s="318">
        <f t="shared" si="191"/>
        <v>0</v>
      </c>
    </row>
    <row r="248" spans="1:53" s="2" customFormat="1" ht="10.5" customHeight="1">
      <c r="A248" s="12">
        <v>1</v>
      </c>
      <c r="B248" s="15"/>
      <c r="C248" s="344"/>
      <c r="D248" s="350"/>
      <c r="E248" s="347"/>
      <c r="F248" s="374"/>
      <c r="G248" s="307">
        <f>ROUND(G245*$F245,2)</f>
        <v>195086.64</v>
      </c>
      <c r="H248" s="307">
        <f>ROUND(H245*$F245,2)</f>
        <v>201988.29</v>
      </c>
      <c r="I248" s="307">
        <f>ROUND(I245*$F245,2)</f>
        <v>0</v>
      </c>
      <c r="J248" s="307">
        <f>J245*$F245</f>
        <v>0</v>
      </c>
      <c r="K248" s="307">
        <f>ROUND(K245*$F245,2)</f>
        <v>201988.29</v>
      </c>
      <c r="L248" s="307">
        <f>ROUND(L245*$F245,2)</f>
        <v>201988.29</v>
      </c>
      <c r="M248" s="59"/>
      <c r="N248" s="49" t="s">
        <v>164</v>
      </c>
      <c r="O248" s="256"/>
      <c r="P248" s="256"/>
      <c r="Q248" s="256"/>
      <c r="R248" s="256"/>
      <c r="S248" s="256"/>
      <c r="T248" s="256"/>
      <c r="U248" s="64">
        <f>U245*$F245</f>
        <v>11831.4</v>
      </c>
      <c r="V248" s="118"/>
      <c r="W248" s="94"/>
      <c r="X248" s="64">
        <f>X245*$F245</f>
        <v>0</v>
      </c>
      <c r="Y248" s="64">
        <f>Y245*$F245</f>
        <v>13146</v>
      </c>
      <c r="Z248" s="64">
        <f>Z245*$F245</f>
        <v>13146</v>
      </c>
      <c r="AA248" s="64">
        <f t="shared" ref="AA248:AK248" si="217">AA245*$F245</f>
        <v>13146</v>
      </c>
      <c r="AB248" s="64">
        <f t="shared" si="217"/>
        <v>13146</v>
      </c>
      <c r="AC248" s="64">
        <f t="shared" si="217"/>
        <v>13146</v>
      </c>
      <c r="AD248" s="64">
        <f t="shared" si="217"/>
        <v>13146</v>
      </c>
      <c r="AE248" s="64">
        <f t="shared" si="217"/>
        <v>13146</v>
      </c>
      <c r="AF248" s="64">
        <f t="shared" si="217"/>
        <v>17528</v>
      </c>
      <c r="AG248" s="64">
        <f t="shared" si="217"/>
        <v>17528</v>
      </c>
      <c r="AH248" s="64">
        <f t="shared" si="217"/>
        <v>17528</v>
      </c>
      <c r="AI248" s="64">
        <f t="shared" si="217"/>
        <v>17528</v>
      </c>
      <c r="AJ248" s="64">
        <f t="shared" si="217"/>
        <v>17528</v>
      </c>
      <c r="AK248" s="64">
        <f t="shared" si="217"/>
        <v>10494.89</v>
      </c>
      <c r="AL248" s="123"/>
      <c r="AM248" s="91"/>
      <c r="AN248" s="91"/>
      <c r="AO248" s="91"/>
      <c r="AQ248" s="69">
        <f>SUM(O248:AO248)</f>
        <v>201988.29</v>
      </c>
      <c r="AR248" s="69">
        <f>+K248-AQ248</f>
        <v>0</v>
      </c>
      <c r="AT248" s="390"/>
      <c r="AV248" s="196"/>
      <c r="AW248" s="196"/>
      <c r="BA248" s="318">
        <f t="shared" si="191"/>
        <v>11831.4</v>
      </c>
    </row>
    <row r="249" spans="1:53" s="2" customFormat="1" ht="10.5" customHeight="1">
      <c r="A249" s="12"/>
      <c r="B249" s="15"/>
      <c r="C249" s="342">
        <v>57</v>
      </c>
      <c r="D249" s="348" t="s">
        <v>103</v>
      </c>
      <c r="E249" s="345" t="s">
        <v>237</v>
      </c>
      <c r="F249" s="372">
        <v>68.540000000000006</v>
      </c>
      <c r="G249" s="284">
        <v>1195</v>
      </c>
      <c r="H249" s="284">
        <v>1413.55</v>
      </c>
      <c r="I249" s="284"/>
      <c r="J249" s="284"/>
      <c r="K249" s="284">
        <f>H249+J249</f>
        <v>1413.55</v>
      </c>
      <c r="L249" s="284">
        <f>+H249-I249+J249</f>
        <v>1413.55</v>
      </c>
      <c r="M249" s="59"/>
      <c r="N249" s="47" t="s">
        <v>162</v>
      </c>
      <c r="O249" s="253"/>
      <c r="P249" s="253"/>
      <c r="Q249" s="253"/>
      <c r="R249" s="253"/>
      <c r="S249" s="253"/>
      <c r="T249" s="253"/>
      <c r="U249" s="61">
        <v>83</v>
      </c>
      <c r="V249" s="119"/>
      <c r="W249" s="95"/>
      <c r="X249" s="61"/>
      <c r="Y249" s="61">
        <v>92</v>
      </c>
      <c r="Z249" s="61">
        <v>92</v>
      </c>
      <c r="AA249" s="61">
        <v>92</v>
      </c>
      <c r="AB249" s="61">
        <v>92</v>
      </c>
      <c r="AC249" s="61">
        <v>92</v>
      </c>
      <c r="AD249" s="61">
        <v>92</v>
      </c>
      <c r="AE249" s="61">
        <v>92</v>
      </c>
      <c r="AF249" s="61">
        <v>125</v>
      </c>
      <c r="AG249" s="61">
        <v>125</v>
      </c>
      <c r="AH249" s="61">
        <v>125</v>
      </c>
      <c r="AI249" s="61">
        <v>125</v>
      </c>
      <c r="AJ249" s="61">
        <v>125</v>
      </c>
      <c r="AK249" s="61">
        <v>61.55</v>
      </c>
      <c r="AL249" s="117"/>
      <c r="AM249" s="92"/>
      <c r="AN249" s="92"/>
      <c r="AO249" s="92"/>
      <c r="AQ249" s="144">
        <f>SUM(O249:AO249)</f>
        <v>1413.55</v>
      </c>
      <c r="AR249" s="144">
        <f>+K249-AQ249</f>
        <v>0</v>
      </c>
      <c r="AT249" s="372">
        <f>+F249*K249</f>
        <v>96884.72</v>
      </c>
      <c r="AV249" s="263">
        <f>SUM(W249:AO249)</f>
        <v>1330.55</v>
      </c>
      <c r="AW249" s="263">
        <f>+L249-AV249</f>
        <v>83</v>
      </c>
      <c r="BA249" s="318">
        <f t="shared" si="191"/>
        <v>83</v>
      </c>
    </row>
    <row r="250" spans="1:53" s="2" customFormat="1" ht="10.5" customHeight="1">
      <c r="A250" s="10" t="s">
        <v>12</v>
      </c>
      <c r="B250" s="15"/>
      <c r="C250" s="343"/>
      <c r="D250" s="349"/>
      <c r="E250" s="346"/>
      <c r="F250" s="373"/>
      <c r="G250" s="277"/>
      <c r="H250" s="277"/>
      <c r="I250" s="277"/>
      <c r="J250" s="277"/>
      <c r="K250" s="277"/>
      <c r="L250" s="277"/>
      <c r="M250" s="59"/>
      <c r="N250" s="47" t="s">
        <v>163</v>
      </c>
      <c r="O250" s="254"/>
      <c r="P250" s="254"/>
      <c r="Q250" s="254"/>
      <c r="R250" s="254"/>
      <c r="S250" s="254"/>
      <c r="T250" s="254"/>
      <c r="U250" s="62">
        <f>+U249/$K249</f>
        <v>5.8700000000000002E-2</v>
      </c>
      <c r="V250" s="116"/>
      <c r="W250" s="93"/>
      <c r="X250" s="62">
        <f>+X249/$K249</f>
        <v>0</v>
      </c>
      <c r="Y250" s="62">
        <f>+Y249/$K249</f>
        <v>6.5100000000000005E-2</v>
      </c>
      <c r="Z250" s="62">
        <f>+Z249/$K249</f>
        <v>6.5100000000000005E-2</v>
      </c>
      <c r="AA250" s="62">
        <f t="shared" ref="AA250:AK250" si="218">+AA249/$K249</f>
        <v>6.5100000000000005E-2</v>
      </c>
      <c r="AB250" s="62">
        <f t="shared" si="218"/>
        <v>6.5100000000000005E-2</v>
      </c>
      <c r="AC250" s="62">
        <f t="shared" si="218"/>
        <v>6.5100000000000005E-2</v>
      </c>
      <c r="AD250" s="62">
        <f t="shared" si="218"/>
        <v>6.5100000000000005E-2</v>
      </c>
      <c r="AE250" s="62">
        <f t="shared" si="218"/>
        <v>6.5100000000000005E-2</v>
      </c>
      <c r="AF250" s="62">
        <f t="shared" si="218"/>
        <v>8.8400000000000006E-2</v>
      </c>
      <c r="AG250" s="62">
        <f t="shared" si="218"/>
        <v>8.8400000000000006E-2</v>
      </c>
      <c r="AH250" s="62">
        <f t="shared" si="218"/>
        <v>8.8400000000000006E-2</v>
      </c>
      <c r="AI250" s="62">
        <f t="shared" si="218"/>
        <v>8.8400000000000006E-2</v>
      </c>
      <c r="AJ250" s="62">
        <f t="shared" si="218"/>
        <v>8.8400000000000006E-2</v>
      </c>
      <c r="AK250" s="62">
        <f t="shared" si="218"/>
        <v>4.3499999999999997E-2</v>
      </c>
      <c r="AL250" s="117"/>
      <c r="AM250" s="88"/>
      <c r="AN250" s="88"/>
      <c r="AO250" s="88"/>
      <c r="AQ250" s="149">
        <f>SUM(O250:AO250)</f>
        <v>0.99990000000000001</v>
      </c>
      <c r="AR250" s="146"/>
      <c r="AT250" s="389"/>
      <c r="AV250" s="266"/>
      <c r="AW250" s="266"/>
      <c r="BA250" s="318">
        <f t="shared" si="191"/>
        <v>0.06</v>
      </c>
    </row>
    <row r="251" spans="1:53" s="2" customFormat="1" ht="10.5" hidden="1" customHeight="1">
      <c r="A251" s="11" t="s">
        <v>13</v>
      </c>
      <c r="B251" s="15"/>
      <c r="C251" s="343"/>
      <c r="D251" s="349"/>
      <c r="E251" s="346"/>
      <c r="F251" s="373"/>
      <c r="G251" s="277"/>
      <c r="H251" s="277"/>
      <c r="I251" s="277"/>
      <c r="J251" s="277"/>
      <c r="K251" s="277"/>
      <c r="L251" s="277"/>
      <c r="M251" s="59"/>
      <c r="N251" s="48"/>
      <c r="O251" s="251"/>
      <c r="P251" s="251"/>
      <c r="Q251" s="251"/>
      <c r="R251" s="251"/>
      <c r="S251" s="251"/>
      <c r="T251" s="251"/>
      <c r="U251" s="93"/>
      <c r="V251" s="117"/>
      <c r="W251" s="96"/>
      <c r="X251" s="63"/>
      <c r="Y251" s="63"/>
      <c r="Z251" s="63"/>
      <c r="AA251" s="63"/>
      <c r="AB251" s="63"/>
      <c r="AC251" s="63"/>
      <c r="AD251" s="63"/>
      <c r="AE251" s="63"/>
      <c r="AF251" s="63"/>
      <c r="AG251" s="63"/>
      <c r="AH251" s="63"/>
      <c r="AI251" s="63"/>
      <c r="AJ251" s="63"/>
      <c r="AK251" s="63"/>
      <c r="AL251" s="117"/>
      <c r="AM251" s="88"/>
      <c r="AN251" s="88"/>
      <c r="AO251" s="88"/>
      <c r="AQ251" s="145"/>
      <c r="AR251" s="146"/>
      <c r="AT251" s="389"/>
      <c r="AV251" s="197"/>
      <c r="AW251" s="197"/>
      <c r="BA251" s="318">
        <f t="shared" si="191"/>
        <v>0</v>
      </c>
    </row>
    <row r="252" spans="1:53" s="2" customFormat="1" ht="10.5" customHeight="1">
      <c r="A252" s="12">
        <v>1</v>
      </c>
      <c r="B252" s="15"/>
      <c r="C252" s="344"/>
      <c r="D252" s="350"/>
      <c r="E252" s="347"/>
      <c r="F252" s="374"/>
      <c r="G252" s="307">
        <f>ROUND(G249*$F249,2)</f>
        <v>81905.3</v>
      </c>
      <c r="H252" s="307">
        <f>ROUND(H249*$F249,2)</f>
        <v>96884.72</v>
      </c>
      <c r="I252" s="307">
        <f>ROUND(I249*$F249,2)</f>
        <v>0</v>
      </c>
      <c r="J252" s="307">
        <f>J249*$F249</f>
        <v>0</v>
      </c>
      <c r="K252" s="307">
        <f>ROUND(K249*$F249,2)</f>
        <v>96884.72</v>
      </c>
      <c r="L252" s="307">
        <f>ROUND(L249*$F249,2)</f>
        <v>96884.72</v>
      </c>
      <c r="M252" s="59"/>
      <c r="N252" s="49" t="s">
        <v>164</v>
      </c>
      <c r="O252" s="256"/>
      <c r="P252" s="256"/>
      <c r="Q252" s="256"/>
      <c r="R252" s="256"/>
      <c r="S252" s="256"/>
      <c r="T252" s="256"/>
      <c r="U252" s="64">
        <f>U249*$F249</f>
        <v>5688.82</v>
      </c>
      <c r="V252" s="118"/>
      <c r="W252" s="94"/>
      <c r="X252" s="64">
        <f>X249*$F249</f>
        <v>0</v>
      </c>
      <c r="Y252" s="64">
        <f>Y249*$F249</f>
        <v>6305.68</v>
      </c>
      <c r="Z252" s="64">
        <f>Z249*$F249</f>
        <v>6305.68</v>
      </c>
      <c r="AA252" s="64">
        <f t="shared" ref="AA252:AK252" si="219">AA249*$F249</f>
        <v>6305.68</v>
      </c>
      <c r="AB252" s="64">
        <f t="shared" si="219"/>
        <v>6305.68</v>
      </c>
      <c r="AC252" s="64">
        <f t="shared" si="219"/>
        <v>6305.68</v>
      </c>
      <c r="AD252" s="64">
        <f t="shared" si="219"/>
        <v>6305.68</v>
      </c>
      <c r="AE252" s="64">
        <f t="shared" si="219"/>
        <v>6305.68</v>
      </c>
      <c r="AF252" s="64">
        <f t="shared" si="219"/>
        <v>8567.5</v>
      </c>
      <c r="AG252" s="64">
        <f t="shared" si="219"/>
        <v>8567.5</v>
      </c>
      <c r="AH252" s="64">
        <f t="shared" si="219"/>
        <v>8567.5</v>
      </c>
      <c r="AI252" s="64">
        <f t="shared" si="219"/>
        <v>8567.5</v>
      </c>
      <c r="AJ252" s="64">
        <f t="shared" si="219"/>
        <v>8567.5</v>
      </c>
      <c r="AK252" s="64">
        <f t="shared" si="219"/>
        <v>4218.6400000000003</v>
      </c>
      <c r="AL252" s="123"/>
      <c r="AM252" s="91"/>
      <c r="AN252" s="91"/>
      <c r="AO252" s="91"/>
      <c r="AQ252" s="69">
        <f>SUM(O252:AO252)</f>
        <v>96884.72</v>
      </c>
      <c r="AR252" s="69">
        <f>+K252-AQ252</f>
        <v>0</v>
      </c>
      <c r="AT252" s="390"/>
      <c r="AV252" s="196"/>
      <c r="AW252" s="196"/>
      <c r="BA252" s="318">
        <f t="shared" si="191"/>
        <v>5688.82</v>
      </c>
    </row>
    <row r="253" spans="1:53" s="25" customFormat="1" ht="10.5" customHeight="1">
      <c r="A253" s="15"/>
      <c r="B253" s="15"/>
      <c r="C253" s="342">
        <v>58</v>
      </c>
      <c r="D253" s="348" t="s">
        <v>104</v>
      </c>
      <c r="E253" s="345" t="s">
        <v>235</v>
      </c>
      <c r="F253" s="372">
        <v>15.71</v>
      </c>
      <c r="G253" s="284">
        <v>7848</v>
      </c>
      <c r="H253" s="284">
        <v>20923.599999999999</v>
      </c>
      <c r="I253" s="284">
        <v>11.5</v>
      </c>
      <c r="J253" s="284"/>
      <c r="K253" s="284">
        <f>H253+J253</f>
        <v>20923.599999999999</v>
      </c>
      <c r="L253" s="284">
        <f>+H253-I253+J253</f>
        <v>20912.099999999999</v>
      </c>
      <c r="M253" s="221"/>
      <c r="N253" s="280" t="s">
        <v>162</v>
      </c>
      <c r="O253" s="253"/>
      <c r="P253" s="253"/>
      <c r="Q253" s="253"/>
      <c r="R253" s="253"/>
      <c r="S253" s="253"/>
      <c r="T253" s="253"/>
      <c r="U253" s="262">
        <f>+I253</f>
        <v>11.5</v>
      </c>
      <c r="V253" s="281"/>
      <c r="W253" s="262"/>
      <c r="X253" s="262"/>
      <c r="Y253" s="262">
        <v>1580</v>
      </c>
      <c r="Z253" s="262">
        <v>1580</v>
      </c>
      <c r="AA253" s="262">
        <v>1580</v>
      </c>
      <c r="AB253" s="262">
        <v>1580</v>
      </c>
      <c r="AC253" s="262">
        <v>1580</v>
      </c>
      <c r="AD253" s="262">
        <v>1580</v>
      </c>
      <c r="AE253" s="262">
        <v>1580</v>
      </c>
      <c r="AF253" s="262">
        <v>1580</v>
      </c>
      <c r="AG253" s="262">
        <v>1580</v>
      </c>
      <c r="AH253" s="262">
        <v>1580</v>
      </c>
      <c r="AI253" s="262">
        <v>1580</v>
      </c>
      <c r="AJ253" s="262">
        <v>1580</v>
      </c>
      <c r="AK253" s="262">
        <v>1952.1</v>
      </c>
      <c r="AL253" s="283"/>
      <c r="AM253" s="282"/>
      <c r="AN253" s="282"/>
      <c r="AO253" s="282"/>
      <c r="AQ253" s="144">
        <f>SUM(O253:AO253)</f>
        <v>20923.599999999999</v>
      </c>
      <c r="AR253" s="284">
        <f>+K253-AQ253</f>
        <v>0</v>
      </c>
      <c r="AT253" s="372">
        <f>+F253*K253</f>
        <v>328709.76000000001</v>
      </c>
      <c r="AV253" s="285">
        <f>SUM(W253:AO253)</f>
        <v>20912.099999999999</v>
      </c>
      <c r="AW253" s="285">
        <f>+L253-AV253</f>
        <v>0</v>
      </c>
      <c r="BA253" s="318">
        <f t="shared" si="191"/>
        <v>11.5</v>
      </c>
    </row>
    <row r="254" spans="1:53" s="2" customFormat="1" ht="10.5" customHeight="1">
      <c r="A254" s="10" t="s">
        <v>12</v>
      </c>
      <c r="B254" s="15"/>
      <c r="C254" s="343"/>
      <c r="D254" s="349"/>
      <c r="E254" s="346"/>
      <c r="F254" s="373"/>
      <c r="G254" s="277"/>
      <c r="H254" s="277"/>
      <c r="I254" s="277"/>
      <c r="J254" s="277"/>
      <c r="K254" s="277"/>
      <c r="L254" s="277"/>
      <c r="M254" s="59"/>
      <c r="N254" s="47" t="s">
        <v>163</v>
      </c>
      <c r="O254" s="254"/>
      <c r="P254" s="254"/>
      <c r="Q254" s="254"/>
      <c r="R254" s="254"/>
      <c r="S254" s="254"/>
      <c r="T254" s="254"/>
      <c r="U254" s="62">
        <f>+U253/$K253</f>
        <v>5.0000000000000001E-4</v>
      </c>
      <c r="V254" s="116"/>
      <c r="W254" s="93"/>
      <c r="X254" s="93"/>
      <c r="Y254" s="62">
        <f>+Y253/$K253</f>
        <v>7.5499999999999998E-2</v>
      </c>
      <c r="Z254" s="62">
        <f>+Z253/$K253</f>
        <v>7.5499999999999998E-2</v>
      </c>
      <c r="AA254" s="62">
        <f t="shared" ref="AA254:AK254" si="220">+AA253/$K253</f>
        <v>7.5499999999999998E-2</v>
      </c>
      <c r="AB254" s="62">
        <f t="shared" si="220"/>
        <v>7.5499999999999998E-2</v>
      </c>
      <c r="AC254" s="62">
        <f t="shared" si="220"/>
        <v>7.5499999999999998E-2</v>
      </c>
      <c r="AD254" s="62">
        <f t="shared" si="220"/>
        <v>7.5499999999999998E-2</v>
      </c>
      <c r="AE254" s="62">
        <f t="shared" si="220"/>
        <v>7.5499999999999998E-2</v>
      </c>
      <c r="AF254" s="62">
        <f t="shared" si="220"/>
        <v>7.5499999999999998E-2</v>
      </c>
      <c r="AG254" s="62">
        <f t="shared" si="220"/>
        <v>7.5499999999999998E-2</v>
      </c>
      <c r="AH254" s="62">
        <f t="shared" si="220"/>
        <v>7.5499999999999998E-2</v>
      </c>
      <c r="AI254" s="62">
        <f t="shared" si="220"/>
        <v>7.5499999999999998E-2</v>
      </c>
      <c r="AJ254" s="62">
        <f t="shared" si="220"/>
        <v>7.5499999999999998E-2</v>
      </c>
      <c r="AK254" s="62">
        <f t="shared" si="220"/>
        <v>9.3299999999999994E-2</v>
      </c>
      <c r="AL254" s="117"/>
      <c r="AM254" s="88"/>
      <c r="AN254" s="88"/>
      <c r="AO254" s="88"/>
      <c r="AQ254" s="149">
        <f>SUM(O254:AO254)</f>
        <v>0.99980000000000002</v>
      </c>
      <c r="AR254" s="146"/>
      <c r="AT254" s="389"/>
      <c r="AV254" s="266"/>
      <c r="AW254" s="266"/>
      <c r="BA254" s="318">
        <f t="shared" si="191"/>
        <v>0</v>
      </c>
    </row>
    <row r="255" spans="1:53" s="2" customFormat="1" ht="10.5" hidden="1" customHeight="1">
      <c r="A255" s="11" t="s">
        <v>13</v>
      </c>
      <c r="B255" s="15"/>
      <c r="C255" s="343"/>
      <c r="D255" s="349"/>
      <c r="E255" s="346"/>
      <c r="F255" s="373"/>
      <c r="G255" s="277"/>
      <c r="H255" s="277"/>
      <c r="I255" s="277"/>
      <c r="J255" s="277"/>
      <c r="K255" s="277"/>
      <c r="L255" s="277"/>
      <c r="M255" s="59"/>
      <c r="N255" s="48"/>
      <c r="O255" s="251"/>
      <c r="P255" s="251"/>
      <c r="Q255" s="251"/>
      <c r="R255" s="251"/>
      <c r="S255" s="251"/>
      <c r="T255" s="251"/>
      <c r="U255" s="93"/>
      <c r="V255" s="117"/>
      <c r="W255" s="96"/>
      <c r="X255" s="96"/>
      <c r="Y255" s="63"/>
      <c r="Z255" s="63"/>
      <c r="AA255" s="63"/>
      <c r="AB255" s="63"/>
      <c r="AC255" s="63"/>
      <c r="AD255" s="63"/>
      <c r="AE255" s="63"/>
      <c r="AF255" s="63"/>
      <c r="AG255" s="63"/>
      <c r="AH255" s="63"/>
      <c r="AI255" s="63"/>
      <c r="AJ255" s="63"/>
      <c r="AK255" s="63"/>
      <c r="AL255" s="117"/>
      <c r="AM255" s="88"/>
      <c r="AN255" s="88"/>
      <c r="AO255" s="88"/>
      <c r="AQ255" s="145"/>
      <c r="AR255" s="146"/>
      <c r="AT255" s="389"/>
      <c r="AV255" s="197"/>
      <c r="AW255" s="197"/>
      <c r="BA255" s="318">
        <f t="shared" si="191"/>
        <v>0</v>
      </c>
    </row>
    <row r="256" spans="1:53" s="2" customFormat="1" ht="10.5" customHeight="1">
      <c r="A256" s="12">
        <v>1</v>
      </c>
      <c r="B256" s="15"/>
      <c r="C256" s="344"/>
      <c r="D256" s="350"/>
      <c r="E256" s="347"/>
      <c r="F256" s="374"/>
      <c r="G256" s="307">
        <f>ROUND(G253*$F253,2)</f>
        <v>123292.08</v>
      </c>
      <c r="H256" s="307">
        <f>ROUND(H253*$F253,2)</f>
        <v>328709.76000000001</v>
      </c>
      <c r="I256" s="307">
        <f>ROUND(I253*$F253,2)</f>
        <v>180.67</v>
      </c>
      <c r="J256" s="307">
        <f>J253*$F253</f>
        <v>0</v>
      </c>
      <c r="K256" s="307">
        <f>ROUND(K253*$F253,2)</f>
        <v>328709.76000000001</v>
      </c>
      <c r="L256" s="307">
        <f>ROUND(L253*$F253,2)</f>
        <v>328529.09000000003</v>
      </c>
      <c r="M256" s="59"/>
      <c r="N256" s="49" t="s">
        <v>164</v>
      </c>
      <c r="O256" s="256"/>
      <c r="P256" s="256"/>
      <c r="Q256" s="256"/>
      <c r="R256" s="256"/>
      <c r="S256" s="256"/>
      <c r="T256" s="256"/>
      <c r="U256" s="64">
        <f>U253*$F253</f>
        <v>180.67</v>
      </c>
      <c r="V256" s="118"/>
      <c r="W256" s="94"/>
      <c r="X256" s="94"/>
      <c r="Y256" s="64">
        <f>Y253*$F253</f>
        <v>24821.8</v>
      </c>
      <c r="Z256" s="64">
        <f>Z253*$F253</f>
        <v>24821.8</v>
      </c>
      <c r="AA256" s="64">
        <f t="shared" ref="AA256:AK256" si="221">AA253*$F253</f>
        <v>24821.8</v>
      </c>
      <c r="AB256" s="64">
        <f t="shared" si="221"/>
        <v>24821.8</v>
      </c>
      <c r="AC256" s="64">
        <f t="shared" si="221"/>
        <v>24821.8</v>
      </c>
      <c r="AD256" s="64">
        <f t="shared" si="221"/>
        <v>24821.8</v>
      </c>
      <c r="AE256" s="64">
        <f t="shared" si="221"/>
        <v>24821.8</v>
      </c>
      <c r="AF256" s="64">
        <f t="shared" si="221"/>
        <v>24821.8</v>
      </c>
      <c r="AG256" s="64">
        <f t="shared" si="221"/>
        <v>24821.8</v>
      </c>
      <c r="AH256" s="64">
        <f t="shared" si="221"/>
        <v>24821.8</v>
      </c>
      <c r="AI256" s="64">
        <f t="shared" si="221"/>
        <v>24821.8</v>
      </c>
      <c r="AJ256" s="64">
        <f t="shared" si="221"/>
        <v>24821.8</v>
      </c>
      <c r="AK256" s="64">
        <f t="shared" si="221"/>
        <v>30667.49</v>
      </c>
      <c r="AL256" s="123"/>
      <c r="AM256" s="91"/>
      <c r="AN256" s="91"/>
      <c r="AO256" s="91"/>
      <c r="AQ256" s="69">
        <f>SUM(O256:AO256)</f>
        <v>328709.76000000001</v>
      </c>
      <c r="AR256" s="69">
        <f>+K256-AQ256</f>
        <v>0</v>
      </c>
      <c r="AT256" s="390"/>
      <c r="AV256" s="196"/>
      <c r="AW256" s="196"/>
      <c r="BA256" s="318"/>
    </row>
    <row r="257" spans="1:53" s="25" customFormat="1" ht="10.5" customHeight="1">
      <c r="A257" s="15"/>
      <c r="B257" s="15"/>
      <c r="C257" s="342">
        <v>59</v>
      </c>
      <c r="D257" s="348" t="s">
        <v>105</v>
      </c>
      <c r="E257" s="345" t="s">
        <v>235</v>
      </c>
      <c r="F257" s="372">
        <v>63.82</v>
      </c>
      <c r="G257" s="284">
        <v>26042</v>
      </c>
      <c r="H257" s="284">
        <v>26042</v>
      </c>
      <c r="I257" s="284"/>
      <c r="J257" s="284"/>
      <c r="K257" s="284">
        <f>H257+J257</f>
        <v>26042</v>
      </c>
      <c r="L257" s="284">
        <f>+H257-I257+J257</f>
        <v>26042</v>
      </c>
      <c r="M257" s="221"/>
      <c r="N257" s="280" t="s">
        <v>162</v>
      </c>
      <c r="O257" s="253"/>
      <c r="P257" s="253"/>
      <c r="Q257" s="253"/>
      <c r="R257" s="253"/>
      <c r="S257" s="253"/>
      <c r="T257" s="253"/>
      <c r="U257" s="262">
        <f>+I257</f>
        <v>0</v>
      </c>
      <c r="V257" s="281"/>
      <c r="W257" s="262"/>
      <c r="X257" s="262"/>
      <c r="Y257" s="262"/>
      <c r="Z257" s="262"/>
      <c r="AA257" s="262">
        <v>2370</v>
      </c>
      <c r="AB257" s="262">
        <v>2370</v>
      </c>
      <c r="AC257" s="262">
        <v>2370</v>
      </c>
      <c r="AD257" s="262">
        <v>2370</v>
      </c>
      <c r="AE257" s="262">
        <v>2370</v>
      </c>
      <c r="AF257" s="262">
        <v>2370</v>
      </c>
      <c r="AG257" s="262">
        <v>2370</v>
      </c>
      <c r="AH257" s="262">
        <v>2370</v>
      </c>
      <c r="AI257" s="262">
        <v>2370</v>
      </c>
      <c r="AJ257" s="262">
        <v>2370</v>
      </c>
      <c r="AK257" s="262">
        <v>2342</v>
      </c>
      <c r="AL257" s="283"/>
      <c r="AM257" s="282"/>
      <c r="AN257" s="282"/>
      <c r="AO257" s="282"/>
      <c r="AQ257" s="144">
        <f>SUM(O257:AO257)</f>
        <v>26042</v>
      </c>
      <c r="AR257" s="284">
        <f>+K257-AQ257</f>
        <v>0</v>
      </c>
      <c r="AT257" s="372">
        <f>+F257*K257</f>
        <v>1662000.44</v>
      </c>
      <c r="AV257" s="285">
        <f>SUM(W257:AO257)</f>
        <v>26042</v>
      </c>
      <c r="AW257" s="285">
        <f>+L257-AV257</f>
        <v>0</v>
      </c>
      <c r="BA257" s="318">
        <f t="shared" si="191"/>
        <v>0</v>
      </c>
    </row>
    <row r="258" spans="1:53" s="2" customFormat="1" ht="10.5" customHeight="1">
      <c r="A258" s="10" t="s">
        <v>12</v>
      </c>
      <c r="B258" s="15"/>
      <c r="C258" s="343"/>
      <c r="D258" s="349"/>
      <c r="E258" s="346"/>
      <c r="F258" s="373"/>
      <c r="G258" s="277"/>
      <c r="H258" s="277"/>
      <c r="I258" s="277"/>
      <c r="J258" s="277"/>
      <c r="K258" s="277"/>
      <c r="L258" s="277"/>
      <c r="M258" s="59"/>
      <c r="N258" s="47" t="s">
        <v>163</v>
      </c>
      <c r="O258" s="254"/>
      <c r="P258" s="254"/>
      <c r="Q258" s="254"/>
      <c r="R258" s="254"/>
      <c r="S258" s="254"/>
      <c r="T258" s="254"/>
      <c r="U258" s="62">
        <f>+U257/$K257</f>
        <v>0</v>
      </c>
      <c r="V258" s="116"/>
      <c r="W258" s="93"/>
      <c r="X258" s="93"/>
      <c r="Y258" s="93"/>
      <c r="Z258" s="93"/>
      <c r="AA258" s="62">
        <f t="shared" ref="AA258:AK258" si="222">+AA257/$K257</f>
        <v>9.0999999999999998E-2</v>
      </c>
      <c r="AB258" s="62">
        <f t="shared" si="222"/>
        <v>9.0999999999999998E-2</v>
      </c>
      <c r="AC258" s="62">
        <f t="shared" si="222"/>
        <v>9.0999999999999998E-2</v>
      </c>
      <c r="AD258" s="62">
        <f t="shared" si="222"/>
        <v>9.0999999999999998E-2</v>
      </c>
      <c r="AE258" s="62">
        <f t="shared" si="222"/>
        <v>9.0999999999999998E-2</v>
      </c>
      <c r="AF258" s="62">
        <f t="shared" si="222"/>
        <v>9.0999999999999998E-2</v>
      </c>
      <c r="AG258" s="62">
        <f t="shared" si="222"/>
        <v>9.0999999999999998E-2</v>
      </c>
      <c r="AH258" s="62">
        <f t="shared" si="222"/>
        <v>9.0999999999999998E-2</v>
      </c>
      <c r="AI258" s="62">
        <f t="shared" si="222"/>
        <v>9.0999999999999998E-2</v>
      </c>
      <c r="AJ258" s="62">
        <f t="shared" si="222"/>
        <v>9.0999999999999998E-2</v>
      </c>
      <c r="AK258" s="62">
        <f t="shared" si="222"/>
        <v>8.9899999999999994E-2</v>
      </c>
      <c r="AL258" s="117"/>
      <c r="AM258" s="88"/>
      <c r="AN258" s="88"/>
      <c r="AO258" s="88"/>
      <c r="AQ258" s="149">
        <f>SUM(O258:AO258)</f>
        <v>0.99990000000000001</v>
      </c>
      <c r="AR258" s="146"/>
      <c r="AT258" s="389"/>
      <c r="AV258" s="266"/>
      <c r="AW258" s="266"/>
      <c r="BA258" s="318">
        <f t="shared" si="191"/>
        <v>0</v>
      </c>
    </row>
    <row r="259" spans="1:53" s="2" customFormat="1" ht="10.5" hidden="1" customHeight="1">
      <c r="A259" s="11" t="s">
        <v>13</v>
      </c>
      <c r="B259" s="15"/>
      <c r="C259" s="343"/>
      <c r="D259" s="349"/>
      <c r="E259" s="346"/>
      <c r="F259" s="373"/>
      <c r="G259" s="277"/>
      <c r="H259" s="277"/>
      <c r="I259" s="277"/>
      <c r="J259" s="277"/>
      <c r="K259" s="277"/>
      <c r="L259" s="277"/>
      <c r="M259" s="59"/>
      <c r="N259" s="48"/>
      <c r="O259" s="251"/>
      <c r="P259" s="251"/>
      <c r="Q259" s="251"/>
      <c r="R259" s="251"/>
      <c r="S259" s="251"/>
      <c r="T259" s="251"/>
      <c r="U259" s="93"/>
      <c r="V259" s="117"/>
      <c r="W259" s="96"/>
      <c r="X259" s="96"/>
      <c r="Y259" s="96"/>
      <c r="Z259" s="96"/>
      <c r="AA259" s="63"/>
      <c r="AB259" s="63"/>
      <c r="AC259" s="63"/>
      <c r="AD259" s="63"/>
      <c r="AE259" s="63"/>
      <c r="AF259" s="63"/>
      <c r="AG259" s="63"/>
      <c r="AH259" s="63"/>
      <c r="AI259" s="63"/>
      <c r="AJ259" s="63"/>
      <c r="AK259" s="63"/>
      <c r="AL259" s="117"/>
      <c r="AM259" s="88"/>
      <c r="AN259" s="88"/>
      <c r="AO259" s="88"/>
      <c r="AQ259" s="145"/>
      <c r="AR259" s="146"/>
      <c r="AT259" s="389"/>
      <c r="AV259" s="197"/>
      <c r="AW259" s="197"/>
      <c r="BA259" s="318">
        <f t="shared" si="191"/>
        <v>0</v>
      </c>
    </row>
    <row r="260" spans="1:53" s="2" customFormat="1" ht="10.5" customHeight="1">
      <c r="A260" s="12">
        <v>1</v>
      </c>
      <c r="B260" s="15"/>
      <c r="C260" s="344"/>
      <c r="D260" s="350"/>
      <c r="E260" s="347"/>
      <c r="F260" s="374"/>
      <c r="G260" s="307">
        <f>ROUND(G257*$F257,2)</f>
        <v>1662000.44</v>
      </c>
      <c r="H260" s="307">
        <f>ROUND(H257*$F257,2)</f>
        <v>1662000.44</v>
      </c>
      <c r="I260" s="307">
        <f>ROUND(I257*$F257,2)</f>
        <v>0</v>
      </c>
      <c r="J260" s="307">
        <f>J257*$F257</f>
        <v>0</v>
      </c>
      <c r="K260" s="307">
        <f>ROUND(K257*$F257,2)</f>
        <v>1662000.44</v>
      </c>
      <c r="L260" s="307">
        <f>ROUND(L257*$F257,2)</f>
        <v>1662000.44</v>
      </c>
      <c r="M260" s="59"/>
      <c r="N260" s="49" t="s">
        <v>164</v>
      </c>
      <c r="O260" s="256"/>
      <c r="P260" s="256"/>
      <c r="Q260" s="256"/>
      <c r="R260" s="256"/>
      <c r="S260" s="256"/>
      <c r="T260" s="256"/>
      <c r="U260" s="64">
        <f>U257*$F257</f>
        <v>0</v>
      </c>
      <c r="V260" s="118"/>
      <c r="W260" s="94"/>
      <c r="X260" s="94"/>
      <c r="Y260" s="94"/>
      <c r="Z260" s="94"/>
      <c r="AA260" s="64">
        <f t="shared" ref="AA260:AK260" si="223">AA257*$F257</f>
        <v>151253.4</v>
      </c>
      <c r="AB260" s="64">
        <f t="shared" si="223"/>
        <v>151253.4</v>
      </c>
      <c r="AC260" s="64">
        <f t="shared" si="223"/>
        <v>151253.4</v>
      </c>
      <c r="AD260" s="64">
        <f t="shared" si="223"/>
        <v>151253.4</v>
      </c>
      <c r="AE260" s="64">
        <f t="shared" si="223"/>
        <v>151253.4</v>
      </c>
      <c r="AF260" s="64">
        <f t="shared" si="223"/>
        <v>151253.4</v>
      </c>
      <c r="AG260" s="64">
        <f t="shared" si="223"/>
        <v>151253.4</v>
      </c>
      <c r="AH260" s="64">
        <f t="shared" si="223"/>
        <v>151253.4</v>
      </c>
      <c r="AI260" s="64">
        <f t="shared" si="223"/>
        <v>151253.4</v>
      </c>
      <c r="AJ260" s="64">
        <f t="shared" si="223"/>
        <v>151253.4</v>
      </c>
      <c r="AK260" s="64">
        <f t="shared" si="223"/>
        <v>149466.44</v>
      </c>
      <c r="AL260" s="123"/>
      <c r="AM260" s="91"/>
      <c r="AN260" s="91"/>
      <c r="AO260" s="91"/>
      <c r="AQ260" s="69">
        <f>SUM(O260:AO260)</f>
        <v>1662000.44</v>
      </c>
      <c r="AR260" s="69">
        <f>+K260-AQ260</f>
        <v>0</v>
      </c>
      <c r="AT260" s="390"/>
      <c r="AV260" s="196"/>
      <c r="AW260" s="196"/>
      <c r="BA260" s="318">
        <f t="shared" si="191"/>
        <v>0</v>
      </c>
    </row>
    <row r="261" spans="1:53" s="2" customFormat="1" ht="10.5" customHeight="1">
      <c r="A261" s="12"/>
      <c r="B261" s="15"/>
      <c r="C261" s="342">
        <v>60</v>
      </c>
      <c r="D261" s="348" t="s">
        <v>106</v>
      </c>
      <c r="E261" s="345" t="s">
        <v>237</v>
      </c>
      <c r="F261" s="372">
        <v>129.65</v>
      </c>
      <c r="G261" s="284">
        <v>420</v>
      </c>
      <c r="H261" s="284">
        <v>420</v>
      </c>
      <c r="I261" s="284"/>
      <c r="J261" s="284"/>
      <c r="K261" s="284">
        <f>H261+J261</f>
        <v>420</v>
      </c>
      <c r="L261" s="284">
        <f>+H261-I261+J261</f>
        <v>420</v>
      </c>
      <c r="M261" s="59"/>
      <c r="N261" s="47" t="s">
        <v>162</v>
      </c>
      <c r="O261" s="253"/>
      <c r="P261" s="253"/>
      <c r="Q261" s="253"/>
      <c r="R261" s="253"/>
      <c r="S261" s="253"/>
      <c r="T261" s="253"/>
      <c r="U261" s="61">
        <f>+I261</f>
        <v>0</v>
      </c>
      <c r="V261" s="119"/>
      <c r="W261" s="95"/>
      <c r="X261" s="95"/>
      <c r="Y261" s="61">
        <v>50</v>
      </c>
      <c r="Z261" s="61">
        <v>50</v>
      </c>
      <c r="AA261" s="61">
        <v>50</v>
      </c>
      <c r="AB261" s="61">
        <v>50</v>
      </c>
      <c r="AC261" s="61">
        <v>25</v>
      </c>
      <c r="AD261" s="61">
        <v>25</v>
      </c>
      <c r="AE261" s="61">
        <v>25</v>
      </c>
      <c r="AF261" s="61">
        <v>25</v>
      </c>
      <c r="AG261" s="61">
        <v>25</v>
      </c>
      <c r="AH261" s="61">
        <v>50</v>
      </c>
      <c r="AI261" s="61">
        <v>45</v>
      </c>
      <c r="AJ261" s="61"/>
      <c r="AK261" s="61"/>
      <c r="AL261" s="117"/>
      <c r="AM261" s="92"/>
      <c r="AN261" s="92"/>
      <c r="AO261" s="92"/>
      <c r="AQ261" s="144">
        <f>SUM(O261:AO261)</f>
        <v>420</v>
      </c>
      <c r="AR261" s="144">
        <f>+K261-AQ261</f>
        <v>0</v>
      </c>
      <c r="AT261" s="372">
        <f>+F261*K261</f>
        <v>54453</v>
      </c>
      <c r="AV261" s="263">
        <f>SUM(W261:AO261)</f>
        <v>420</v>
      </c>
      <c r="AW261" s="263">
        <f>+L261-AV261</f>
        <v>0</v>
      </c>
      <c r="BA261" s="318">
        <f t="shared" si="191"/>
        <v>0</v>
      </c>
    </row>
    <row r="262" spans="1:53" s="2" customFormat="1" ht="10.5" customHeight="1">
      <c r="A262" s="10" t="s">
        <v>12</v>
      </c>
      <c r="B262" s="15"/>
      <c r="C262" s="343"/>
      <c r="D262" s="349"/>
      <c r="E262" s="346"/>
      <c r="F262" s="373"/>
      <c r="G262" s="277"/>
      <c r="H262" s="277"/>
      <c r="I262" s="277"/>
      <c r="J262" s="277"/>
      <c r="K262" s="277"/>
      <c r="L262" s="277"/>
      <c r="M262" s="59"/>
      <c r="N262" s="47" t="s">
        <v>163</v>
      </c>
      <c r="O262" s="254"/>
      <c r="P262" s="254"/>
      <c r="Q262" s="254"/>
      <c r="R262" s="254"/>
      <c r="S262" s="254"/>
      <c r="T262" s="254"/>
      <c r="U262" s="62">
        <f>+U261/$K261</f>
        <v>0</v>
      </c>
      <c r="V262" s="116"/>
      <c r="W262" s="93"/>
      <c r="X262" s="93"/>
      <c r="Y262" s="62">
        <f t="shared" ref="Y262" si="224">+Y261/$K261</f>
        <v>0.11899999999999999</v>
      </c>
      <c r="Z262" s="62">
        <f t="shared" ref="Z262" si="225">+Z261/$K261</f>
        <v>0.11899999999999999</v>
      </c>
      <c r="AA262" s="62">
        <f t="shared" ref="AA262:AK262" si="226">+AA261/$K261</f>
        <v>0.11899999999999999</v>
      </c>
      <c r="AB262" s="62">
        <f t="shared" si="226"/>
        <v>0.11899999999999999</v>
      </c>
      <c r="AC262" s="62">
        <f t="shared" si="226"/>
        <v>5.9499999999999997E-2</v>
      </c>
      <c r="AD262" s="62">
        <f t="shared" si="226"/>
        <v>5.9499999999999997E-2</v>
      </c>
      <c r="AE262" s="62">
        <f t="shared" si="226"/>
        <v>5.9499999999999997E-2</v>
      </c>
      <c r="AF262" s="62">
        <f t="shared" si="226"/>
        <v>5.9499999999999997E-2</v>
      </c>
      <c r="AG262" s="62">
        <f t="shared" si="226"/>
        <v>5.9499999999999997E-2</v>
      </c>
      <c r="AH262" s="62">
        <f t="shared" si="226"/>
        <v>0.11899999999999999</v>
      </c>
      <c r="AI262" s="62">
        <f t="shared" si="226"/>
        <v>0.1071</v>
      </c>
      <c r="AJ262" s="62">
        <f t="shared" si="226"/>
        <v>0</v>
      </c>
      <c r="AK262" s="62">
        <f t="shared" si="226"/>
        <v>0</v>
      </c>
      <c r="AL262" s="117"/>
      <c r="AM262" s="88"/>
      <c r="AN262" s="88"/>
      <c r="AO262" s="88"/>
      <c r="AQ262" s="149">
        <f>SUM(O262:AO262)</f>
        <v>0.99960000000000004</v>
      </c>
      <c r="AR262" s="146"/>
      <c r="AT262" s="389"/>
      <c r="AV262" s="266"/>
      <c r="AW262" s="266"/>
      <c r="BA262" s="318">
        <f t="shared" si="191"/>
        <v>0</v>
      </c>
    </row>
    <row r="263" spans="1:53" s="2" customFormat="1" ht="10.5" hidden="1" customHeight="1">
      <c r="A263" s="11" t="s">
        <v>13</v>
      </c>
      <c r="B263" s="15"/>
      <c r="C263" s="343"/>
      <c r="D263" s="349"/>
      <c r="E263" s="346"/>
      <c r="F263" s="373"/>
      <c r="G263" s="277"/>
      <c r="H263" s="277"/>
      <c r="I263" s="277"/>
      <c r="J263" s="277"/>
      <c r="K263" s="277"/>
      <c r="L263" s="277"/>
      <c r="M263" s="59"/>
      <c r="N263" s="48"/>
      <c r="O263" s="251"/>
      <c r="P263" s="251"/>
      <c r="Q263" s="251"/>
      <c r="R263" s="251"/>
      <c r="S263" s="251"/>
      <c r="T263" s="251"/>
      <c r="U263" s="93"/>
      <c r="V263" s="117"/>
      <c r="W263" s="96"/>
      <c r="X263" s="96"/>
      <c r="Y263" s="63"/>
      <c r="Z263" s="63"/>
      <c r="AA263" s="63"/>
      <c r="AB263" s="63"/>
      <c r="AC263" s="63"/>
      <c r="AD263" s="63"/>
      <c r="AE263" s="63"/>
      <c r="AF263" s="63"/>
      <c r="AG263" s="63"/>
      <c r="AH263" s="63"/>
      <c r="AI263" s="63"/>
      <c r="AJ263" s="63"/>
      <c r="AK263" s="63"/>
      <c r="AL263" s="117"/>
      <c r="AM263" s="88"/>
      <c r="AN263" s="88"/>
      <c r="AO263" s="88"/>
      <c r="AQ263" s="145"/>
      <c r="AR263" s="146"/>
      <c r="AT263" s="389"/>
      <c r="AV263" s="197"/>
      <c r="AW263" s="197"/>
      <c r="BA263" s="318">
        <f t="shared" si="191"/>
        <v>0</v>
      </c>
    </row>
    <row r="264" spans="1:53" s="2" customFormat="1" ht="10.5" customHeight="1">
      <c r="A264" s="12">
        <v>1</v>
      </c>
      <c r="B264" s="15"/>
      <c r="C264" s="344"/>
      <c r="D264" s="350"/>
      <c r="E264" s="347"/>
      <c r="F264" s="374"/>
      <c r="G264" s="307">
        <f>ROUND(G261*$F261,2)</f>
        <v>54453</v>
      </c>
      <c r="H264" s="307">
        <f>ROUND(H261*$F261,2)</f>
        <v>54453</v>
      </c>
      <c r="I264" s="307">
        <f>ROUND(I261*$F261,2)</f>
        <v>0</v>
      </c>
      <c r="J264" s="307">
        <f>J261*$F261</f>
        <v>0</v>
      </c>
      <c r="K264" s="307">
        <f>ROUND(K261*$F261,2)</f>
        <v>54453</v>
      </c>
      <c r="L264" s="307">
        <f>ROUND(L261*$F261,2)</f>
        <v>54453</v>
      </c>
      <c r="M264" s="59"/>
      <c r="N264" s="49" t="s">
        <v>164</v>
      </c>
      <c r="O264" s="256"/>
      <c r="P264" s="256"/>
      <c r="Q264" s="256"/>
      <c r="R264" s="256"/>
      <c r="S264" s="256"/>
      <c r="T264" s="256"/>
      <c r="U264" s="64">
        <f>U261*$F261</f>
        <v>0</v>
      </c>
      <c r="V264" s="118"/>
      <c r="W264" s="94"/>
      <c r="X264" s="94"/>
      <c r="Y264" s="64">
        <f t="shared" ref="Y264" si="227">Y261*$F261</f>
        <v>6482.5</v>
      </c>
      <c r="Z264" s="64">
        <f t="shared" ref="Z264" si="228">Z261*$F261</f>
        <v>6482.5</v>
      </c>
      <c r="AA264" s="64">
        <f t="shared" ref="AA264:AK264" si="229">AA261*$F261</f>
        <v>6482.5</v>
      </c>
      <c r="AB264" s="64">
        <f t="shared" si="229"/>
        <v>6482.5</v>
      </c>
      <c r="AC264" s="64">
        <f t="shared" si="229"/>
        <v>3241.25</v>
      </c>
      <c r="AD264" s="64">
        <f t="shared" si="229"/>
        <v>3241.25</v>
      </c>
      <c r="AE264" s="64">
        <f t="shared" si="229"/>
        <v>3241.25</v>
      </c>
      <c r="AF264" s="64">
        <f t="shared" si="229"/>
        <v>3241.25</v>
      </c>
      <c r="AG264" s="64">
        <f t="shared" si="229"/>
        <v>3241.25</v>
      </c>
      <c r="AH264" s="64">
        <f t="shared" si="229"/>
        <v>6482.5</v>
      </c>
      <c r="AI264" s="64">
        <f t="shared" si="229"/>
        <v>5834.25</v>
      </c>
      <c r="AJ264" s="64">
        <f t="shared" si="229"/>
        <v>0</v>
      </c>
      <c r="AK264" s="64">
        <f t="shared" si="229"/>
        <v>0</v>
      </c>
      <c r="AL264" s="123"/>
      <c r="AM264" s="91"/>
      <c r="AN264" s="91"/>
      <c r="AO264" s="91"/>
      <c r="AQ264" s="69">
        <f>SUM(O264:AO264)</f>
        <v>54453</v>
      </c>
      <c r="AR264" s="69">
        <f>+K264-AQ264</f>
        <v>0</v>
      </c>
      <c r="AT264" s="390"/>
      <c r="AV264" s="196"/>
      <c r="AW264" s="196"/>
      <c r="BA264" s="318">
        <f t="shared" si="191"/>
        <v>0</v>
      </c>
    </row>
    <row r="265" spans="1:53" s="2" customFormat="1" ht="10.5" customHeight="1">
      <c r="A265" s="12"/>
      <c r="B265" s="15"/>
      <c r="C265" s="342">
        <v>61</v>
      </c>
      <c r="D265" s="348" t="s">
        <v>107</v>
      </c>
      <c r="E265" s="345" t="s">
        <v>237</v>
      </c>
      <c r="F265" s="372">
        <v>277.33</v>
      </c>
      <c r="G265" s="284">
        <v>1260</v>
      </c>
      <c r="H265" s="284">
        <v>1260</v>
      </c>
      <c r="I265" s="284"/>
      <c r="J265" s="284"/>
      <c r="K265" s="284">
        <f>H265+J265</f>
        <v>1260</v>
      </c>
      <c r="L265" s="284">
        <f>+H265-I265+J265</f>
        <v>1260</v>
      </c>
      <c r="M265" s="59"/>
      <c r="N265" s="47" t="s">
        <v>162</v>
      </c>
      <c r="O265" s="253"/>
      <c r="P265" s="253"/>
      <c r="Q265" s="253"/>
      <c r="R265" s="253"/>
      <c r="S265" s="253"/>
      <c r="T265" s="253"/>
      <c r="U265" s="61">
        <f>+I265</f>
        <v>0</v>
      </c>
      <c r="V265" s="119"/>
      <c r="W265" s="95"/>
      <c r="X265" s="95"/>
      <c r="Y265" s="95"/>
      <c r="Z265" s="95"/>
      <c r="AA265" s="61">
        <v>60</v>
      </c>
      <c r="AB265" s="61">
        <v>120</v>
      </c>
      <c r="AC265" s="61">
        <v>120</v>
      </c>
      <c r="AD265" s="61">
        <v>120</v>
      </c>
      <c r="AE265" s="61">
        <v>120</v>
      </c>
      <c r="AF265" s="61">
        <v>120</v>
      </c>
      <c r="AG265" s="61">
        <v>120</v>
      </c>
      <c r="AH265" s="61">
        <v>120</v>
      </c>
      <c r="AI265" s="61">
        <v>120</v>
      </c>
      <c r="AJ265" s="61">
        <v>120</v>
      </c>
      <c r="AK265" s="61">
        <v>120</v>
      </c>
      <c r="AL265" s="117"/>
      <c r="AM265" s="92"/>
      <c r="AN265" s="92"/>
      <c r="AO265" s="92"/>
      <c r="AQ265" s="144">
        <f>SUM(O265:AO265)</f>
        <v>1260</v>
      </c>
      <c r="AR265" s="144">
        <f>+K265-AQ265</f>
        <v>0</v>
      </c>
      <c r="AT265" s="372">
        <f>+F265*K265</f>
        <v>349435.8</v>
      </c>
      <c r="AV265" s="263">
        <f>SUM(W265:AO265)</f>
        <v>1260</v>
      </c>
      <c r="AW265" s="263">
        <f>+L265-AV265</f>
        <v>0</v>
      </c>
      <c r="BA265" s="318">
        <f t="shared" si="191"/>
        <v>0</v>
      </c>
    </row>
    <row r="266" spans="1:53" s="2" customFormat="1" ht="10.5" customHeight="1">
      <c r="A266" s="10" t="s">
        <v>12</v>
      </c>
      <c r="B266" s="15"/>
      <c r="C266" s="343"/>
      <c r="D266" s="349"/>
      <c r="E266" s="346"/>
      <c r="F266" s="373"/>
      <c r="G266" s="277"/>
      <c r="H266" s="277"/>
      <c r="I266" s="277"/>
      <c r="J266" s="277"/>
      <c r="K266" s="277"/>
      <c r="L266" s="277"/>
      <c r="M266" s="59"/>
      <c r="N266" s="47" t="s">
        <v>163</v>
      </c>
      <c r="O266" s="254"/>
      <c r="P266" s="254"/>
      <c r="Q266" s="254"/>
      <c r="R266" s="254"/>
      <c r="S266" s="254"/>
      <c r="T266" s="254"/>
      <c r="U266" s="62">
        <f>+U265/$K265</f>
        <v>0</v>
      </c>
      <c r="V266" s="116"/>
      <c r="W266" s="93"/>
      <c r="X266" s="93"/>
      <c r="Y266" s="93"/>
      <c r="Z266" s="93"/>
      <c r="AA266" s="62">
        <f t="shared" ref="AA266:AK266" si="230">+AA265/$K265</f>
        <v>4.7600000000000003E-2</v>
      </c>
      <c r="AB266" s="62">
        <f t="shared" si="230"/>
        <v>9.5200000000000007E-2</v>
      </c>
      <c r="AC266" s="62">
        <f t="shared" si="230"/>
        <v>9.5200000000000007E-2</v>
      </c>
      <c r="AD266" s="62">
        <f t="shared" si="230"/>
        <v>9.5200000000000007E-2</v>
      </c>
      <c r="AE266" s="62">
        <f t="shared" si="230"/>
        <v>9.5200000000000007E-2</v>
      </c>
      <c r="AF266" s="62">
        <f t="shared" si="230"/>
        <v>9.5200000000000007E-2</v>
      </c>
      <c r="AG266" s="62">
        <f t="shared" si="230"/>
        <v>9.5200000000000007E-2</v>
      </c>
      <c r="AH266" s="62">
        <f t="shared" si="230"/>
        <v>9.5200000000000007E-2</v>
      </c>
      <c r="AI266" s="62">
        <f t="shared" si="230"/>
        <v>9.5200000000000007E-2</v>
      </c>
      <c r="AJ266" s="62">
        <f t="shared" si="230"/>
        <v>9.5200000000000007E-2</v>
      </c>
      <c r="AK266" s="62">
        <f t="shared" si="230"/>
        <v>9.5200000000000007E-2</v>
      </c>
      <c r="AL266" s="117"/>
      <c r="AM266" s="88"/>
      <c r="AN266" s="88"/>
      <c r="AO266" s="88"/>
      <c r="AQ266" s="149">
        <f>SUM(O266:AO266)</f>
        <v>0.99960000000000004</v>
      </c>
      <c r="AR266" s="146"/>
      <c r="AT266" s="389"/>
      <c r="AV266" s="266"/>
      <c r="AW266" s="266"/>
      <c r="BA266" s="318">
        <f t="shared" si="191"/>
        <v>0</v>
      </c>
    </row>
    <row r="267" spans="1:53" s="2" customFormat="1" ht="10.5" hidden="1" customHeight="1">
      <c r="A267" s="11" t="s">
        <v>13</v>
      </c>
      <c r="B267" s="15"/>
      <c r="C267" s="343"/>
      <c r="D267" s="349"/>
      <c r="E267" s="346"/>
      <c r="F267" s="373"/>
      <c r="G267" s="277"/>
      <c r="H267" s="277"/>
      <c r="I267" s="277"/>
      <c r="J267" s="277"/>
      <c r="K267" s="277"/>
      <c r="L267" s="277"/>
      <c r="M267" s="59"/>
      <c r="N267" s="48"/>
      <c r="O267" s="251"/>
      <c r="P267" s="251"/>
      <c r="Q267" s="251"/>
      <c r="R267" s="251"/>
      <c r="S267" s="251"/>
      <c r="T267" s="251"/>
      <c r="U267" s="93"/>
      <c r="V267" s="117"/>
      <c r="W267" s="96"/>
      <c r="X267" s="96"/>
      <c r="Y267" s="96"/>
      <c r="Z267" s="96"/>
      <c r="AA267" s="63"/>
      <c r="AB267" s="63"/>
      <c r="AC267" s="63"/>
      <c r="AD267" s="63"/>
      <c r="AE267" s="63"/>
      <c r="AF267" s="63"/>
      <c r="AG267" s="63"/>
      <c r="AH267" s="63"/>
      <c r="AI267" s="63"/>
      <c r="AJ267" s="63"/>
      <c r="AK267" s="63"/>
      <c r="AL267" s="117"/>
      <c r="AM267" s="88"/>
      <c r="AN267" s="88"/>
      <c r="AO267" s="88"/>
      <c r="AQ267" s="145"/>
      <c r="AR267" s="146"/>
      <c r="AT267" s="389"/>
      <c r="AV267" s="197"/>
      <c r="AW267" s="197"/>
      <c r="BA267" s="318">
        <f t="shared" ref="BA267:BA330" si="231">SUM(O267:U267)</f>
        <v>0</v>
      </c>
    </row>
    <row r="268" spans="1:53" s="2" customFormat="1" ht="10.5" customHeight="1">
      <c r="A268" s="12">
        <v>1</v>
      </c>
      <c r="B268" s="15"/>
      <c r="C268" s="344"/>
      <c r="D268" s="350"/>
      <c r="E268" s="347"/>
      <c r="F268" s="374"/>
      <c r="G268" s="307">
        <f>ROUND(G265*$F265,2)</f>
        <v>349435.8</v>
      </c>
      <c r="H268" s="307">
        <f>ROUND(H265*$F265,2)</f>
        <v>349435.8</v>
      </c>
      <c r="I268" s="307">
        <f>ROUND(I265*$F265,2)</f>
        <v>0</v>
      </c>
      <c r="J268" s="307">
        <f>J265*$F265</f>
        <v>0</v>
      </c>
      <c r="K268" s="307">
        <f>ROUND(K265*$F265,2)</f>
        <v>349435.8</v>
      </c>
      <c r="L268" s="307">
        <f>ROUND(L265*$F265,2)</f>
        <v>349435.8</v>
      </c>
      <c r="M268" s="59"/>
      <c r="N268" s="49" t="s">
        <v>164</v>
      </c>
      <c r="O268" s="256"/>
      <c r="P268" s="256"/>
      <c r="Q268" s="256"/>
      <c r="R268" s="256"/>
      <c r="S268" s="256"/>
      <c r="T268" s="256"/>
      <c r="U268" s="64">
        <f>U265*$F265</f>
        <v>0</v>
      </c>
      <c r="V268" s="118"/>
      <c r="W268" s="94"/>
      <c r="X268" s="94"/>
      <c r="Y268" s="94"/>
      <c r="Z268" s="94"/>
      <c r="AA268" s="64">
        <f t="shared" ref="AA268:AK268" si="232">AA265*$F265</f>
        <v>16639.8</v>
      </c>
      <c r="AB268" s="64">
        <f t="shared" si="232"/>
        <v>33279.599999999999</v>
      </c>
      <c r="AC268" s="64">
        <f t="shared" si="232"/>
        <v>33279.599999999999</v>
      </c>
      <c r="AD268" s="64">
        <f t="shared" si="232"/>
        <v>33279.599999999999</v>
      </c>
      <c r="AE268" s="64">
        <f t="shared" si="232"/>
        <v>33279.599999999999</v>
      </c>
      <c r="AF268" s="64">
        <f t="shared" si="232"/>
        <v>33279.599999999999</v>
      </c>
      <c r="AG268" s="64">
        <f t="shared" si="232"/>
        <v>33279.599999999999</v>
      </c>
      <c r="AH268" s="64">
        <f t="shared" si="232"/>
        <v>33279.599999999999</v>
      </c>
      <c r="AI268" s="64">
        <f t="shared" si="232"/>
        <v>33279.599999999999</v>
      </c>
      <c r="AJ268" s="64">
        <f t="shared" si="232"/>
        <v>33279.599999999999</v>
      </c>
      <c r="AK268" s="64">
        <f t="shared" si="232"/>
        <v>33279.599999999999</v>
      </c>
      <c r="AL268" s="123"/>
      <c r="AM268" s="91"/>
      <c r="AN268" s="91"/>
      <c r="AO268" s="91"/>
      <c r="AQ268" s="69">
        <f>SUM(O268:AO268)</f>
        <v>349435.8</v>
      </c>
      <c r="AR268" s="69">
        <f>+K268-AQ268</f>
        <v>0</v>
      </c>
      <c r="AT268" s="390"/>
      <c r="AV268" s="196"/>
      <c r="AW268" s="196"/>
      <c r="BA268" s="318">
        <f t="shared" si="231"/>
        <v>0</v>
      </c>
    </row>
    <row r="269" spans="1:53" s="2" customFormat="1" ht="10.5" customHeight="1">
      <c r="A269" s="12"/>
      <c r="B269" s="15"/>
      <c r="C269" s="342">
        <v>62</v>
      </c>
      <c r="D269" s="348" t="s">
        <v>108</v>
      </c>
      <c r="E269" s="345" t="s">
        <v>235</v>
      </c>
      <c r="F269" s="372">
        <v>46.4</v>
      </c>
      <c r="G269" s="284">
        <v>4074</v>
      </c>
      <c r="H269" s="284">
        <v>4174</v>
      </c>
      <c r="I269" s="284"/>
      <c r="J269" s="284"/>
      <c r="K269" s="284">
        <f>H269+J269</f>
        <v>4174</v>
      </c>
      <c r="L269" s="284">
        <f>+H269-I269+J269</f>
        <v>4174</v>
      </c>
      <c r="M269" s="59"/>
      <c r="N269" s="47" t="s">
        <v>162</v>
      </c>
      <c r="O269" s="253"/>
      <c r="P269" s="253"/>
      <c r="Q269" s="253"/>
      <c r="R269" s="253"/>
      <c r="S269" s="253"/>
      <c r="T269" s="253"/>
      <c r="U269" s="61">
        <f>+I269</f>
        <v>0</v>
      </c>
      <c r="V269" s="119"/>
      <c r="W269" s="95"/>
      <c r="X269" s="95"/>
      <c r="Y269" s="95"/>
      <c r="Z269" s="95"/>
      <c r="AA269" s="61"/>
      <c r="AB269" s="61"/>
      <c r="AC269" s="61"/>
      <c r="AD269" s="61">
        <v>521</v>
      </c>
      <c r="AE269" s="61">
        <v>521</v>
      </c>
      <c r="AF269" s="61">
        <v>521</v>
      </c>
      <c r="AG269" s="61">
        <v>521</v>
      </c>
      <c r="AH269" s="61">
        <v>521</v>
      </c>
      <c r="AI269" s="61">
        <v>521</v>
      </c>
      <c r="AJ269" s="61">
        <v>521</v>
      </c>
      <c r="AK269" s="61">
        <v>527</v>
      </c>
      <c r="AL269" s="117"/>
      <c r="AM269" s="92"/>
      <c r="AN269" s="92"/>
      <c r="AO269" s="92"/>
      <c r="AQ269" s="144">
        <f>SUM(O269:AO269)</f>
        <v>4174</v>
      </c>
      <c r="AR269" s="144">
        <f>+K269-AQ269</f>
        <v>0</v>
      </c>
      <c r="AT269" s="372">
        <f>+F269*K269</f>
        <v>193673.60000000001</v>
      </c>
      <c r="AV269" s="263">
        <f>SUM(W269:AO269)</f>
        <v>4174</v>
      </c>
      <c r="AW269" s="263">
        <f>+L269-AV269</f>
        <v>0</v>
      </c>
      <c r="BA269" s="318">
        <f t="shared" si="231"/>
        <v>0</v>
      </c>
    </row>
    <row r="270" spans="1:53" s="2" customFormat="1" ht="10.5" customHeight="1">
      <c r="A270" s="10" t="s">
        <v>12</v>
      </c>
      <c r="B270" s="15"/>
      <c r="C270" s="343"/>
      <c r="D270" s="349"/>
      <c r="E270" s="346"/>
      <c r="F270" s="373"/>
      <c r="G270" s="277"/>
      <c r="H270" s="277"/>
      <c r="I270" s="277"/>
      <c r="J270" s="277"/>
      <c r="K270" s="277"/>
      <c r="L270" s="277"/>
      <c r="M270" s="59"/>
      <c r="N270" s="47" t="s">
        <v>163</v>
      </c>
      <c r="O270" s="254"/>
      <c r="P270" s="254"/>
      <c r="Q270" s="254"/>
      <c r="R270" s="254"/>
      <c r="S270" s="254"/>
      <c r="T270" s="254"/>
      <c r="U270" s="62">
        <f>+U269/$K269</f>
        <v>0</v>
      </c>
      <c r="V270" s="116"/>
      <c r="W270" s="93"/>
      <c r="X270" s="93"/>
      <c r="Y270" s="93"/>
      <c r="Z270" s="93"/>
      <c r="AA270" s="62"/>
      <c r="AB270" s="62"/>
      <c r="AC270" s="62"/>
      <c r="AD270" s="62">
        <f t="shared" ref="AD270:AK270" si="233">+AD269/$K269</f>
        <v>0.12479999999999999</v>
      </c>
      <c r="AE270" s="62">
        <f t="shared" si="233"/>
        <v>0.12479999999999999</v>
      </c>
      <c r="AF270" s="62">
        <f t="shared" si="233"/>
        <v>0.12479999999999999</v>
      </c>
      <c r="AG270" s="62">
        <f t="shared" si="233"/>
        <v>0.12479999999999999</v>
      </c>
      <c r="AH270" s="62">
        <f t="shared" si="233"/>
        <v>0.12479999999999999</v>
      </c>
      <c r="AI270" s="62">
        <f t="shared" si="233"/>
        <v>0.12479999999999999</v>
      </c>
      <c r="AJ270" s="62">
        <f t="shared" si="233"/>
        <v>0.12479999999999999</v>
      </c>
      <c r="AK270" s="62">
        <f t="shared" si="233"/>
        <v>0.1263</v>
      </c>
      <c r="AL270" s="117"/>
      <c r="AM270" s="88"/>
      <c r="AN270" s="88"/>
      <c r="AO270" s="88"/>
      <c r="AQ270" s="149">
        <f>SUM(O270:AO270)</f>
        <v>0.99990000000000001</v>
      </c>
      <c r="AR270" s="146"/>
      <c r="AT270" s="389"/>
      <c r="AV270" s="266"/>
      <c r="AW270" s="266"/>
      <c r="BA270" s="318">
        <f t="shared" si="231"/>
        <v>0</v>
      </c>
    </row>
    <row r="271" spans="1:53" s="2" customFormat="1" ht="10.5" hidden="1" customHeight="1">
      <c r="A271" s="11" t="s">
        <v>13</v>
      </c>
      <c r="B271" s="15"/>
      <c r="C271" s="343"/>
      <c r="D271" s="349"/>
      <c r="E271" s="346"/>
      <c r="F271" s="373"/>
      <c r="G271" s="277"/>
      <c r="H271" s="277"/>
      <c r="I271" s="277"/>
      <c r="J271" s="277"/>
      <c r="K271" s="277"/>
      <c r="L271" s="277"/>
      <c r="M271" s="59"/>
      <c r="N271" s="48"/>
      <c r="O271" s="251"/>
      <c r="P271" s="251"/>
      <c r="Q271" s="251"/>
      <c r="R271" s="251"/>
      <c r="S271" s="251"/>
      <c r="T271" s="251"/>
      <c r="U271" s="93"/>
      <c r="V271" s="117"/>
      <c r="W271" s="96"/>
      <c r="X271" s="96"/>
      <c r="Y271" s="96"/>
      <c r="Z271" s="96"/>
      <c r="AA271" s="96"/>
      <c r="AB271" s="96"/>
      <c r="AC271" s="96"/>
      <c r="AD271" s="63"/>
      <c r="AE271" s="63"/>
      <c r="AF271" s="63"/>
      <c r="AG271" s="63"/>
      <c r="AH271" s="63"/>
      <c r="AI271" s="63"/>
      <c r="AJ271" s="63"/>
      <c r="AK271" s="63"/>
      <c r="AL271" s="117"/>
      <c r="AM271" s="88"/>
      <c r="AN271" s="88"/>
      <c r="AO271" s="88"/>
      <c r="AQ271" s="145"/>
      <c r="AR271" s="146"/>
      <c r="AT271" s="389"/>
      <c r="AV271" s="197"/>
      <c r="AW271" s="197"/>
      <c r="BA271" s="318">
        <f t="shared" si="231"/>
        <v>0</v>
      </c>
    </row>
    <row r="272" spans="1:53" s="2" customFormat="1" ht="10.5" customHeight="1">
      <c r="A272" s="12">
        <v>1</v>
      </c>
      <c r="B272" s="15"/>
      <c r="C272" s="344"/>
      <c r="D272" s="350"/>
      <c r="E272" s="347"/>
      <c r="F272" s="374"/>
      <c r="G272" s="307">
        <f>ROUND(G269*$F269,2)</f>
        <v>189033.60000000001</v>
      </c>
      <c r="H272" s="307">
        <f>ROUND(H269*$F269,2)</f>
        <v>193673.60000000001</v>
      </c>
      <c r="I272" s="307">
        <f>ROUND(I269*$F269,2)</f>
        <v>0</v>
      </c>
      <c r="J272" s="307">
        <f>J269*$F269</f>
        <v>0</v>
      </c>
      <c r="K272" s="307">
        <f>ROUND(K269*$F269,2)</f>
        <v>193673.60000000001</v>
      </c>
      <c r="L272" s="307">
        <f>ROUND(L269*$F269,2)</f>
        <v>193673.60000000001</v>
      </c>
      <c r="M272" s="59"/>
      <c r="N272" s="49" t="s">
        <v>164</v>
      </c>
      <c r="O272" s="256"/>
      <c r="P272" s="256"/>
      <c r="Q272" s="256"/>
      <c r="R272" s="256"/>
      <c r="S272" s="256"/>
      <c r="T272" s="256"/>
      <c r="U272" s="64">
        <f>U269*$F269</f>
        <v>0</v>
      </c>
      <c r="V272" s="118"/>
      <c r="W272" s="94"/>
      <c r="X272" s="94"/>
      <c r="Y272" s="94"/>
      <c r="Z272" s="94"/>
      <c r="AA272" s="94"/>
      <c r="AB272" s="94"/>
      <c r="AC272" s="94"/>
      <c r="AD272" s="64">
        <f t="shared" ref="AD272:AK272" si="234">AD269*$F269</f>
        <v>24174.400000000001</v>
      </c>
      <c r="AE272" s="64">
        <f t="shared" si="234"/>
        <v>24174.400000000001</v>
      </c>
      <c r="AF272" s="64">
        <f t="shared" si="234"/>
        <v>24174.400000000001</v>
      </c>
      <c r="AG272" s="64">
        <f t="shared" si="234"/>
        <v>24174.400000000001</v>
      </c>
      <c r="AH272" s="64">
        <f t="shared" si="234"/>
        <v>24174.400000000001</v>
      </c>
      <c r="AI272" s="64">
        <f t="shared" si="234"/>
        <v>24174.400000000001</v>
      </c>
      <c r="AJ272" s="64">
        <f t="shared" si="234"/>
        <v>24174.400000000001</v>
      </c>
      <c r="AK272" s="64">
        <f t="shared" si="234"/>
        <v>24452.799999999999</v>
      </c>
      <c r="AL272" s="123"/>
      <c r="AM272" s="91"/>
      <c r="AN272" s="91"/>
      <c r="AO272" s="91"/>
      <c r="AQ272" s="69">
        <f>SUM(O272:AO272)</f>
        <v>193673.60000000001</v>
      </c>
      <c r="AR272" s="69">
        <f>+K272-AQ272</f>
        <v>0</v>
      </c>
      <c r="AT272" s="390"/>
      <c r="AV272" s="196"/>
      <c r="AW272" s="196"/>
      <c r="BA272" s="318">
        <f t="shared" si="231"/>
        <v>0</v>
      </c>
    </row>
    <row r="273" spans="1:53" s="2" customFormat="1" ht="10.5" customHeight="1">
      <c r="A273" s="12"/>
      <c r="B273" s="15"/>
      <c r="C273" s="342">
        <v>63</v>
      </c>
      <c r="D273" s="348" t="s">
        <v>109</v>
      </c>
      <c r="E273" s="345" t="s">
        <v>237</v>
      </c>
      <c r="F273" s="372">
        <v>106.6</v>
      </c>
      <c r="G273" s="284">
        <v>4988</v>
      </c>
      <c r="H273" s="284">
        <v>5659.25</v>
      </c>
      <c r="I273" s="284"/>
      <c r="J273" s="284"/>
      <c r="K273" s="284">
        <f>H273+J273</f>
        <v>5659.25</v>
      </c>
      <c r="L273" s="284">
        <f>+H273-I273+J273</f>
        <v>5659.25</v>
      </c>
      <c r="M273" s="59"/>
      <c r="N273" s="47" t="s">
        <v>162</v>
      </c>
      <c r="O273" s="253"/>
      <c r="P273" s="253"/>
      <c r="Q273" s="253"/>
      <c r="R273" s="253"/>
      <c r="S273" s="253"/>
      <c r="T273" s="253"/>
      <c r="U273" s="61">
        <f>+I273</f>
        <v>0</v>
      </c>
      <c r="V273" s="119"/>
      <c r="W273" s="95"/>
      <c r="X273" s="95"/>
      <c r="Y273" s="95"/>
      <c r="Z273" s="95"/>
      <c r="AA273" s="95"/>
      <c r="AB273" s="95"/>
      <c r="AC273" s="95"/>
      <c r="AD273" s="61">
        <v>707</v>
      </c>
      <c r="AE273" s="61">
        <v>707</v>
      </c>
      <c r="AF273" s="61">
        <v>707</v>
      </c>
      <c r="AG273" s="61">
        <v>707</v>
      </c>
      <c r="AH273" s="61">
        <v>707</v>
      </c>
      <c r="AI273" s="61">
        <v>707</v>
      </c>
      <c r="AJ273" s="61">
        <v>707</v>
      </c>
      <c r="AK273" s="61">
        <v>710.25</v>
      </c>
      <c r="AL273" s="117"/>
      <c r="AM273" s="92"/>
      <c r="AN273" s="92"/>
      <c r="AO273" s="92"/>
      <c r="AQ273" s="144">
        <f>SUM(O273:AO273)</f>
        <v>5659.25</v>
      </c>
      <c r="AR273" s="144">
        <f>+K273-AQ273</f>
        <v>0</v>
      </c>
      <c r="AT273" s="372">
        <f>+F273*K273</f>
        <v>603276.05000000005</v>
      </c>
      <c r="AV273" s="263">
        <f>SUM(W273:AO273)</f>
        <v>5659.25</v>
      </c>
      <c r="AW273" s="263">
        <f>+L273-AV273</f>
        <v>0</v>
      </c>
      <c r="BA273" s="318">
        <f t="shared" si="231"/>
        <v>0</v>
      </c>
    </row>
    <row r="274" spans="1:53" s="2" customFormat="1" ht="10.5" customHeight="1">
      <c r="A274" s="10" t="s">
        <v>12</v>
      </c>
      <c r="B274" s="15"/>
      <c r="C274" s="343"/>
      <c r="D274" s="349"/>
      <c r="E274" s="346"/>
      <c r="F274" s="373"/>
      <c r="G274" s="277"/>
      <c r="H274" s="277"/>
      <c r="I274" s="277"/>
      <c r="J274" s="277"/>
      <c r="K274" s="277"/>
      <c r="L274" s="277"/>
      <c r="M274" s="59"/>
      <c r="N274" s="47" t="s">
        <v>163</v>
      </c>
      <c r="O274" s="254"/>
      <c r="P274" s="254"/>
      <c r="Q274" s="254"/>
      <c r="R274" s="254"/>
      <c r="S274" s="254"/>
      <c r="T274" s="254"/>
      <c r="U274" s="62">
        <f>+U273/$K273</f>
        <v>0</v>
      </c>
      <c r="V274" s="116"/>
      <c r="W274" s="93"/>
      <c r="X274" s="93"/>
      <c r="Y274" s="93"/>
      <c r="Z274" s="93"/>
      <c r="AA274" s="93"/>
      <c r="AB274" s="93"/>
      <c r="AC274" s="93"/>
      <c r="AD274" s="62">
        <f t="shared" ref="AD274:AK274" si="235">+AD273/$K273</f>
        <v>0.1249</v>
      </c>
      <c r="AE274" s="62">
        <f t="shared" si="235"/>
        <v>0.1249</v>
      </c>
      <c r="AF274" s="62">
        <f t="shared" si="235"/>
        <v>0.1249</v>
      </c>
      <c r="AG274" s="62">
        <f t="shared" si="235"/>
        <v>0.1249</v>
      </c>
      <c r="AH274" s="62">
        <f t="shared" si="235"/>
        <v>0.1249</v>
      </c>
      <c r="AI274" s="62">
        <f t="shared" si="235"/>
        <v>0.1249</v>
      </c>
      <c r="AJ274" s="62">
        <f t="shared" si="235"/>
        <v>0.1249</v>
      </c>
      <c r="AK274" s="62">
        <f t="shared" si="235"/>
        <v>0.1255</v>
      </c>
      <c r="AL274" s="117"/>
      <c r="AM274" s="88"/>
      <c r="AN274" s="88"/>
      <c r="AO274" s="88"/>
      <c r="AQ274" s="149">
        <f>SUM(O274:AO274)</f>
        <v>0.99980000000000002</v>
      </c>
      <c r="AR274" s="146"/>
      <c r="AT274" s="389"/>
      <c r="AV274" s="266"/>
      <c r="AW274" s="266"/>
      <c r="BA274" s="318">
        <f t="shared" si="231"/>
        <v>0</v>
      </c>
    </row>
    <row r="275" spans="1:53" s="2" customFormat="1" ht="10.5" hidden="1" customHeight="1">
      <c r="A275" s="11" t="s">
        <v>13</v>
      </c>
      <c r="B275" s="15"/>
      <c r="C275" s="343"/>
      <c r="D275" s="349"/>
      <c r="E275" s="346"/>
      <c r="F275" s="373"/>
      <c r="G275" s="277"/>
      <c r="H275" s="277"/>
      <c r="I275" s="277"/>
      <c r="J275" s="277"/>
      <c r="K275" s="277"/>
      <c r="L275" s="277"/>
      <c r="M275" s="59"/>
      <c r="N275" s="48"/>
      <c r="O275" s="251"/>
      <c r="P275" s="251"/>
      <c r="Q275" s="251"/>
      <c r="R275" s="251"/>
      <c r="S275" s="251"/>
      <c r="T275" s="251"/>
      <c r="U275" s="93"/>
      <c r="V275" s="117"/>
      <c r="W275" s="96"/>
      <c r="X275" s="96"/>
      <c r="Y275" s="96"/>
      <c r="Z275" s="96"/>
      <c r="AA275" s="96"/>
      <c r="AB275" s="96"/>
      <c r="AC275" s="96"/>
      <c r="AD275" s="63"/>
      <c r="AE275" s="63"/>
      <c r="AF275" s="63"/>
      <c r="AG275" s="63"/>
      <c r="AH275" s="63"/>
      <c r="AI275" s="63"/>
      <c r="AJ275" s="63"/>
      <c r="AK275" s="63"/>
      <c r="AL275" s="117"/>
      <c r="AM275" s="88"/>
      <c r="AN275" s="88"/>
      <c r="AO275" s="88"/>
      <c r="AQ275" s="145"/>
      <c r="AR275" s="146"/>
      <c r="AT275" s="389"/>
      <c r="AV275" s="197"/>
      <c r="AW275" s="197"/>
      <c r="BA275" s="318">
        <f t="shared" si="231"/>
        <v>0</v>
      </c>
    </row>
    <row r="276" spans="1:53" s="25" customFormat="1" ht="10.5" customHeight="1">
      <c r="A276" s="15">
        <v>1</v>
      </c>
      <c r="B276" s="15"/>
      <c r="C276" s="344"/>
      <c r="D276" s="350"/>
      <c r="E276" s="347"/>
      <c r="F276" s="374"/>
      <c r="G276" s="290">
        <f>ROUND(G273*$F273,2)</f>
        <v>531720.80000000005</v>
      </c>
      <c r="H276" s="290">
        <f>ROUND(H273*$F273,2)</f>
        <v>603276.05000000005</v>
      </c>
      <c r="I276" s="320">
        <f>ROUND(I273*$F273,2)</f>
        <v>0</v>
      </c>
      <c r="J276" s="290">
        <f>J273*$F273</f>
        <v>0</v>
      </c>
      <c r="K276" s="290">
        <f>ROUND(K273*$F273,2)</f>
        <v>603276.05000000005</v>
      </c>
      <c r="L276" s="290">
        <f>ROUND(L273*$F273,2)</f>
        <v>603276.05000000005</v>
      </c>
      <c r="M276" s="221"/>
      <c r="N276" s="272" t="s">
        <v>164</v>
      </c>
      <c r="O276" s="256"/>
      <c r="P276" s="256"/>
      <c r="Q276" s="256"/>
      <c r="R276" s="256"/>
      <c r="S276" s="256"/>
      <c r="T276" s="256"/>
      <c r="U276" s="275">
        <f>U273*$F273</f>
        <v>0</v>
      </c>
      <c r="V276" s="274"/>
      <c r="W276" s="275"/>
      <c r="X276" s="275"/>
      <c r="Y276" s="275"/>
      <c r="Z276" s="275"/>
      <c r="AA276" s="275"/>
      <c r="AB276" s="275"/>
      <c r="AC276" s="275"/>
      <c r="AD276" s="275">
        <f t="shared" ref="AD276:AK276" si="236">AD273*$F273</f>
        <v>75366.2</v>
      </c>
      <c r="AE276" s="275">
        <f t="shared" si="236"/>
        <v>75366.2</v>
      </c>
      <c r="AF276" s="275">
        <f t="shared" si="236"/>
        <v>75366.2</v>
      </c>
      <c r="AG276" s="275">
        <f t="shared" si="236"/>
        <v>75366.2</v>
      </c>
      <c r="AH276" s="275">
        <f t="shared" si="236"/>
        <v>75366.2</v>
      </c>
      <c r="AI276" s="275">
        <f t="shared" si="236"/>
        <v>75366.2</v>
      </c>
      <c r="AJ276" s="275">
        <f t="shared" si="236"/>
        <v>75366.2</v>
      </c>
      <c r="AK276" s="275">
        <f t="shared" si="236"/>
        <v>75712.649999999994</v>
      </c>
      <c r="AL276" s="277"/>
      <c r="AM276" s="276"/>
      <c r="AN276" s="276"/>
      <c r="AO276" s="276"/>
      <c r="AQ276" s="69">
        <f>SUM(O276:AO276)</f>
        <v>603276.05000000005</v>
      </c>
      <c r="AR276" s="278">
        <f>+K276-AQ276</f>
        <v>0</v>
      </c>
      <c r="AT276" s="390"/>
      <c r="AV276" s="279"/>
      <c r="AW276" s="279"/>
      <c r="BA276" s="318">
        <f t="shared" si="231"/>
        <v>0</v>
      </c>
    </row>
    <row r="277" spans="1:53" s="2" customFormat="1" ht="10.5" customHeight="1">
      <c r="A277" s="12"/>
      <c r="B277" s="15"/>
      <c r="C277" s="342">
        <v>64</v>
      </c>
      <c r="D277" s="348" t="s">
        <v>110</v>
      </c>
      <c r="E277" s="345" t="s">
        <v>237</v>
      </c>
      <c r="F277" s="372">
        <v>503.58</v>
      </c>
      <c r="G277" s="284">
        <v>156</v>
      </c>
      <c r="H277" s="284">
        <v>156</v>
      </c>
      <c r="I277" s="284"/>
      <c r="J277" s="311"/>
      <c r="K277" s="284">
        <f>H277+J277</f>
        <v>156</v>
      </c>
      <c r="L277" s="284">
        <f>+H277-I277+J277</f>
        <v>156</v>
      </c>
      <c r="M277" s="59"/>
      <c r="N277" s="47" t="s">
        <v>162</v>
      </c>
      <c r="O277" s="253"/>
      <c r="P277" s="253"/>
      <c r="Q277" s="253"/>
      <c r="R277" s="253"/>
      <c r="S277" s="253"/>
      <c r="T277" s="253"/>
      <c r="U277" s="61">
        <f>+I277</f>
        <v>0</v>
      </c>
      <c r="V277" s="119"/>
      <c r="W277" s="95"/>
      <c r="X277" s="95"/>
      <c r="Y277" s="95"/>
      <c r="Z277" s="95"/>
      <c r="AA277" s="61"/>
      <c r="AB277" s="95"/>
      <c r="AC277" s="95"/>
      <c r="AD277" s="95"/>
      <c r="AE277" s="95"/>
      <c r="AF277" s="61"/>
      <c r="AG277" s="61"/>
      <c r="AH277" s="61">
        <v>78</v>
      </c>
      <c r="AI277" s="61">
        <v>78</v>
      </c>
      <c r="AJ277" s="61"/>
      <c r="AK277" s="61"/>
      <c r="AL277" s="117"/>
      <c r="AM277" s="92"/>
      <c r="AN277" s="92"/>
      <c r="AO277" s="92"/>
      <c r="AQ277" s="144">
        <f>SUM(O277:AO277)</f>
        <v>156</v>
      </c>
      <c r="AR277" s="144">
        <f>+K277-AQ277</f>
        <v>0</v>
      </c>
      <c r="AT277" s="372">
        <f>+F277*K277</f>
        <v>78558.48</v>
      </c>
      <c r="AV277" s="263">
        <f>SUM(W277:AO277)</f>
        <v>156</v>
      </c>
      <c r="AW277" s="263">
        <f>+L277-AV277</f>
        <v>0</v>
      </c>
      <c r="BA277" s="318">
        <f t="shared" si="231"/>
        <v>0</v>
      </c>
    </row>
    <row r="278" spans="1:53" s="2" customFormat="1" ht="10.5" customHeight="1">
      <c r="A278" s="10" t="s">
        <v>12</v>
      </c>
      <c r="B278" s="15"/>
      <c r="C278" s="343"/>
      <c r="D278" s="349"/>
      <c r="E278" s="346"/>
      <c r="F278" s="373"/>
      <c r="G278" s="277"/>
      <c r="H278" s="277"/>
      <c r="I278" s="277"/>
      <c r="J278" s="277"/>
      <c r="K278" s="277"/>
      <c r="L278" s="277"/>
      <c r="M278" s="59"/>
      <c r="N278" s="47" t="s">
        <v>163</v>
      </c>
      <c r="O278" s="254"/>
      <c r="P278" s="254"/>
      <c r="Q278" s="254"/>
      <c r="R278" s="254"/>
      <c r="S278" s="254"/>
      <c r="T278" s="254"/>
      <c r="U278" s="62">
        <f>+U277/$K277</f>
        <v>0</v>
      </c>
      <c r="V278" s="116"/>
      <c r="W278" s="93"/>
      <c r="X278" s="93"/>
      <c r="Y278" s="93"/>
      <c r="Z278" s="93"/>
      <c r="AA278" s="62"/>
      <c r="AB278" s="93"/>
      <c r="AC278" s="93"/>
      <c r="AD278" s="93"/>
      <c r="AE278" s="93"/>
      <c r="AF278" s="62">
        <f t="shared" ref="AF278:AK278" si="237">+AF277/$K277</f>
        <v>0</v>
      </c>
      <c r="AG278" s="62">
        <f t="shared" si="237"/>
        <v>0</v>
      </c>
      <c r="AH278" s="62">
        <f t="shared" si="237"/>
        <v>0.5</v>
      </c>
      <c r="AI278" s="62">
        <f t="shared" si="237"/>
        <v>0.5</v>
      </c>
      <c r="AJ278" s="62">
        <f t="shared" si="237"/>
        <v>0</v>
      </c>
      <c r="AK278" s="62">
        <f t="shared" si="237"/>
        <v>0</v>
      </c>
      <c r="AL278" s="117"/>
      <c r="AM278" s="88"/>
      <c r="AN278" s="88"/>
      <c r="AO278" s="88"/>
      <c r="AQ278" s="149">
        <f>SUM(O278:AO278)</f>
        <v>1</v>
      </c>
      <c r="AR278" s="146"/>
      <c r="AT278" s="389"/>
      <c r="AV278" s="266"/>
      <c r="AW278" s="266"/>
      <c r="BA278" s="318">
        <f t="shared" si="231"/>
        <v>0</v>
      </c>
    </row>
    <row r="279" spans="1:53" s="2" customFormat="1" ht="10.5" hidden="1" customHeight="1">
      <c r="A279" s="11" t="s">
        <v>13</v>
      </c>
      <c r="B279" s="15"/>
      <c r="C279" s="343"/>
      <c r="D279" s="349"/>
      <c r="E279" s="346"/>
      <c r="F279" s="373"/>
      <c r="G279" s="277"/>
      <c r="H279" s="277"/>
      <c r="I279" s="277"/>
      <c r="J279" s="277"/>
      <c r="K279" s="277"/>
      <c r="L279" s="277"/>
      <c r="M279" s="59"/>
      <c r="N279" s="48"/>
      <c r="O279" s="251"/>
      <c r="P279" s="251"/>
      <c r="Q279" s="251"/>
      <c r="R279" s="251"/>
      <c r="S279" s="251"/>
      <c r="T279" s="251"/>
      <c r="U279" s="93"/>
      <c r="V279" s="117"/>
      <c r="W279" s="96"/>
      <c r="X279" s="96"/>
      <c r="Y279" s="96"/>
      <c r="Z279" s="96"/>
      <c r="AA279" s="96"/>
      <c r="AB279" s="96"/>
      <c r="AC279" s="96"/>
      <c r="AD279" s="96"/>
      <c r="AE279" s="96"/>
      <c r="AF279" s="63"/>
      <c r="AG279" s="63"/>
      <c r="AH279" s="63"/>
      <c r="AI279" s="63"/>
      <c r="AJ279" s="63"/>
      <c r="AK279" s="63"/>
      <c r="AL279" s="117"/>
      <c r="AM279" s="88"/>
      <c r="AN279" s="88"/>
      <c r="AO279" s="88"/>
      <c r="AQ279" s="145"/>
      <c r="AR279" s="146"/>
      <c r="AT279" s="389"/>
      <c r="AV279" s="197"/>
      <c r="AW279" s="197"/>
      <c r="BA279" s="318">
        <f t="shared" si="231"/>
        <v>0</v>
      </c>
    </row>
    <row r="280" spans="1:53" s="2" customFormat="1" ht="10.5" customHeight="1">
      <c r="A280" s="12">
        <v>1</v>
      </c>
      <c r="B280" s="15"/>
      <c r="C280" s="344"/>
      <c r="D280" s="350"/>
      <c r="E280" s="347"/>
      <c r="F280" s="374"/>
      <c r="G280" s="307">
        <f t="shared" ref="G280:L280" si="238">ROUND(G277*$F277,2)</f>
        <v>78558.48</v>
      </c>
      <c r="H280" s="307">
        <f t="shared" si="238"/>
        <v>78558.48</v>
      </c>
      <c r="I280" s="307">
        <f t="shared" si="238"/>
        <v>0</v>
      </c>
      <c r="J280" s="307">
        <f t="shared" si="238"/>
        <v>0</v>
      </c>
      <c r="K280" s="307">
        <f t="shared" si="238"/>
        <v>78558.48</v>
      </c>
      <c r="L280" s="307">
        <f t="shared" si="238"/>
        <v>78558.48</v>
      </c>
      <c r="M280" s="59"/>
      <c r="N280" s="49" t="s">
        <v>164</v>
      </c>
      <c r="O280" s="256"/>
      <c r="P280" s="256"/>
      <c r="Q280" s="256"/>
      <c r="R280" s="256"/>
      <c r="S280" s="256"/>
      <c r="T280" s="256"/>
      <c r="U280" s="64">
        <f>U277*$F277</f>
        <v>0</v>
      </c>
      <c r="V280" s="118"/>
      <c r="W280" s="64"/>
      <c r="X280" s="64"/>
      <c r="Y280" s="64"/>
      <c r="Z280" s="64"/>
      <c r="AA280" s="64"/>
      <c r="AB280" s="94"/>
      <c r="AC280" s="94"/>
      <c r="AD280" s="94"/>
      <c r="AE280" s="94"/>
      <c r="AF280" s="64">
        <f t="shared" ref="AF280:AK280" si="239">AF277*$F277</f>
        <v>0</v>
      </c>
      <c r="AG280" s="64">
        <f t="shared" si="239"/>
        <v>0</v>
      </c>
      <c r="AH280" s="64">
        <f t="shared" si="239"/>
        <v>39279.24</v>
      </c>
      <c r="AI280" s="64">
        <f t="shared" si="239"/>
        <v>39279.24</v>
      </c>
      <c r="AJ280" s="64">
        <f t="shared" si="239"/>
        <v>0</v>
      </c>
      <c r="AK280" s="64">
        <f t="shared" si="239"/>
        <v>0</v>
      </c>
      <c r="AL280" s="123"/>
      <c r="AM280" s="91"/>
      <c r="AN280" s="91"/>
      <c r="AO280" s="91"/>
      <c r="AQ280" s="69">
        <f>SUM(O280:AO280)</f>
        <v>78558.48</v>
      </c>
      <c r="AR280" s="69">
        <f>+K280-AQ280</f>
        <v>0</v>
      </c>
      <c r="AT280" s="390"/>
      <c r="AV280" s="196"/>
      <c r="AW280" s="196"/>
      <c r="BA280" s="318">
        <f t="shared" si="231"/>
        <v>0</v>
      </c>
    </row>
    <row r="281" spans="1:53" s="2" customFormat="1" ht="10.5" customHeight="1">
      <c r="A281" s="12"/>
      <c r="B281" s="15"/>
      <c r="C281" s="342">
        <v>65</v>
      </c>
      <c r="D281" s="348" t="s">
        <v>111</v>
      </c>
      <c r="E281" s="345" t="s">
        <v>235</v>
      </c>
      <c r="F281" s="372">
        <v>22.08</v>
      </c>
      <c r="G281" s="284">
        <v>3</v>
      </c>
      <c r="H281" s="284">
        <v>3</v>
      </c>
      <c r="I281" s="284"/>
      <c r="J281" s="284"/>
      <c r="K281" s="284">
        <f>H281+J281</f>
        <v>3</v>
      </c>
      <c r="L281" s="284">
        <f>+H281-I281+J281</f>
        <v>3</v>
      </c>
      <c r="M281" s="59"/>
      <c r="N281" s="97" t="s">
        <v>162</v>
      </c>
      <c r="O281" s="253"/>
      <c r="P281" s="253"/>
      <c r="Q281" s="253"/>
      <c r="R281" s="253"/>
      <c r="S281" s="253"/>
      <c r="T281" s="253"/>
      <c r="U281" s="61">
        <f>+I281</f>
        <v>0</v>
      </c>
      <c r="V281" s="117"/>
      <c r="W281" s="92"/>
      <c r="X281" s="92"/>
      <c r="Y281" s="92"/>
      <c r="Z281" s="92"/>
      <c r="AA281" s="92"/>
      <c r="AB281" s="92"/>
      <c r="AC281" s="92"/>
      <c r="AD281" s="92"/>
      <c r="AE281" s="92"/>
      <c r="AF281" s="61">
        <v>0.75</v>
      </c>
      <c r="AG281" s="61">
        <v>0.75</v>
      </c>
      <c r="AH281" s="61">
        <v>0.75</v>
      </c>
      <c r="AI281" s="61">
        <v>0.75</v>
      </c>
      <c r="AJ281" s="92"/>
      <c r="AK281" s="92"/>
      <c r="AL281" s="117"/>
      <c r="AM281" s="92"/>
      <c r="AN281" s="92"/>
      <c r="AO281" s="92"/>
      <c r="AQ281" s="144">
        <f>SUM(O281:AO281)</f>
        <v>3</v>
      </c>
      <c r="AR281" s="144">
        <f>+K281-AQ281</f>
        <v>0</v>
      </c>
      <c r="AT281" s="372">
        <f>+F281*K281</f>
        <v>66.239999999999995</v>
      </c>
      <c r="AV281" s="263">
        <f>SUM(W281:AO281)</f>
        <v>3</v>
      </c>
      <c r="AW281" s="263">
        <f>+L281-AV281</f>
        <v>0</v>
      </c>
      <c r="BA281" s="318">
        <f t="shared" si="231"/>
        <v>0</v>
      </c>
    </row>
    <row r="282" spans="1:53" s="2" customFormat="1" ht="10.5" customHeight="1">
      <c r="A282" s="10" t="s">
        <v>12</v>
      </c>
      <c r="B282" s="15"/>
      <c r="C282" s="343"/>
      <c r="D282" s="349"/>
      <c r="E282" s="346"/>
      <c r="F282" s="373"/>
      <c r="G282" s="277"/>
      <c r="H282" s="277"/>
      <c r="I282" s="277"/>
      <c r="J282" s="277"/>
      <c r="K282" s="277"/>
      <c r="L282" s="277"/>
      <c r="M282" s="59"/>
      <c r="N282" s="97" t="s">
        <v>163</v>
      </c>
      <c r="O282" s="254"/>
      <c r="P282" s="254"/>
      <c r="Q282" s="254"/>
      <c r="R282" s="254"/>
      <c r="S282" s="254"/>
      <c r="T282" s="254"/>
      <c r="U282" s="62">
        <f>+U281/$K281</f>
        <v>0</v>
      </c>
      <c r="V282" s="117"/>
      <c r="W282" s="88"/>
      <c r="X282" s="88"/>
      <c r="Y282" s="88"/>
      <c r="Z282" s="88"/>
      <c r="AA282" s="88"/>
      <c r="AB282" s="88"/>
      <c r="AC282" s="88"/>
      <c r="AD282" s="88"/>
      <c r="AE282" s="88"/>
      <c r="AF282" s="62">
        <f>+AF281/$K281</f>
        <v>0.25</v>
      </c>
      <c r="AG282" s="62">
        <f>+AG281/$K281</f>
        <v>0.25</v>
      </c>
      <c r="AH282" s="62">
        <f>+AH281/$K281</f>
        <v>0.25</v>
      </c>
      <c r="AI282" s="62">
        <f>+AI281/$K281</f>
        <v>0.25</v>
      </c>
      <c r="AJ282" s="88"/>
      <c r="AK282" s="88"/>
      <c r="AL282" s="117"/>
      <c r="AM282" s="88"/>
      <c r="AN282" s="88"/>
      <c r="AO282" s="88"/>
      <c r="AQ282" s="149">
        <f>SUM(U282:AO282)</f>
        <v>1</v>
      </c>
      <c r="AR282" s="146"/>
      <c r="AT282" s="389"/>
      <c r="AV282" s="266"/>
      <c r="AW282" s="266"/>
      <c r="BA282" s="318">
        <f t="shared" si="231"/>
        <v>0</v>
      </c>
    </row>
    <row r="283" spans="1:53" s="2" customFormat="1" ht="10.5" hidden="1" customHeight="1">
      <c r="A283" s="11" t="s">
        <v>13</v>
      </c>
      <c r="B283" s="15"/>
      <c r="C283" s="343"/>
      <c r="D283" s="349"/>
      <c r="E283" s="346"/>
      <c r="F283" s="373"/>
      <c r="G283" s="277"/>
      <c r="H283" s="277"/>
      <c r="I283" s="277"/>
      <c r="J283" s="277"/>
      <c r="K283" s="277"/>
      <c r="L283" s="277"/>
      <c r="M283" s="59"/>
      <c r="N283" s="98"/>
      <c r="O283" s="251"/>
      <c r="P283" s="251"/>
      <c r="Q283" s="251"/>
      <c r="R283" s="251"/>
      <c r="S283" s="251"/>
      <c r="T283" s="251"/>
      <c r="U283" s="93"/>
      <c r="V283" s="117"/>
      <c r="W283" s="88"/>
      <c r="X283" s="88"/>
      <c r="Y283" s="88"/>
      <c r="Z283" s="88"/>
      <c r="AA283" s="88"/>
      <c r="AB283" s="88"/>
      <c r="AC283" s="88"/>
      <c r="AD283" s="88"/>
      <c r="AE283" s="88"/>
      <c r="AF283" s="63"/>
      <c r="AG283" s="63"/>
      <c r="AH283" s="63"/>
      <c r="AI283" s="63"/>
      <c r="AJ283" s="88"/>
      <c r="AK283" s="88"/>
      <c r="AL283" s="117"/>
      <c r="AM283" s="88"/>
      <c r="AN283" s="88"/>
      <c r="AO283" s="88"/>
      <c r="AQ283" s="145"/>
      <c r="AR283" s="146"/>
      <c r="AT283" s="389"/>
      <c r="AV283" s="197"/>
      <c r="AW283" s="197"/>
      <c r="BA283" s="318">
        <f t="shared" si="231"/>
        <v>0</v>
      </c>
    </row>
    <row r="284" spans="1:53" s="2" customFormat="1" ht="10.5" customHeight="1">
      <c r="A284" s="12">
        <v>1</v>
      </c>
      <c r="B284" s="15"/>
      <c r="C284" s="344"/>
      <c r="D284" s="350"/>
      <c r="E284" s="347"/>
      <c r="F284" s="374"/>
      <c r="G284" s="307">
        <f>ROUND(G281*$F281,2)</f>
        <v>66.239999999999995</v>
      </c>
      <c r="H284" s="307">
        <f>ROUND(H281*$F281,2)</f>
        <v>66.239999999999995</v>
      </c>
      <c r="I284" s="307">
        <f>ROUND(I281*$F281,2)</f>
        <v>0</v>
      </c>
      <c r="J284" s="307">
        <f>J281*$F281</f>
        <v>0</v>
      </c>
      <c r="K284" s="307">
        <f>ROUND(K281*$F281,2)</f>
        <v>66.239999999999995</v>
      </c>
      <c r="L284" s="307">
        <f>ROUND(L281*$F281,2)</f>
        <v>66.239999999999995</v>
      </c>
      <c r="M284" s="59"/>
      <c r="N284" s="99" t="s">
        <v>164</v>
      </c>
      <c r="O284" s="256"/>
      <c r="P284" s="256"/>
      <c r="Q284" s="256"/>
      <c r="R284" s="256"/>
      <c r="S284" s="256"/>
      <c r="T284" s="256"/>
      <c r="U284" s="64">
        <f>U281*$F281</f>
        <v>0</v>
      </c>
      <c r="V284" s="123"/>
      <c r="W284" s="91"/>
      <c r="X284" s="91"/>
      <c r="Y284" s="91"/>
      <c r="Z284" s="91"/>
      <c r="AA284" s="91"/>
      <c r="AB284" s="91"/>
      <c r="AC284" s="91"/>
      <c r="AD284" s="91"/>
      <c r="AE284" s="91"/>
      <c r="AF284" s="64">
        <f>AF281*$F281</f>
        <v>16.559999999999999</v>
      </c>
      <c r="AG284" s="64">
        <f>AG281*$F281</f>
        <v>16.559999999999999</v>
      </c>
      <c r="AH284" s="64">
        <f>AH281*$F281</f>
        <v>16.559999999999999</v>
      </c>
      <c r="AI284" s="64">
        <f>AI281*$F281</f>
        <v>16.559999999999999</v>
      </c>
      <c r="AJ284" s="91"/>
      <c r="AK284" s="91"/>
      <c r="AL284" s="123"/>
      <c r="AM284" s="91"/>
      <c r="AN284" s="91"/>
      <c r="AO284" s="91"/>
      <c r="AQ284" s="69">
        <f>SUM(U284:AO284)</f>
        <v>66.239999999999995</v>
      </c>
      <c r="AR284" s="69">
        <f>+K284-AQ284</f>
        <v>0</v>
      </c>
      <c r="AT284" s="390"/>
      <c r="AV284" s="196"/>
      <c r="AW284" s="196"/>
      <c r="BA284" s="318">
        <f t="shared" si="231"/>
        <v>0</v>
      </c>
    </row>
    <row r="285" spans="1:53" s="2" customFormat="1" ht="10.5" customHeight="1">
      <c r="A285" s="12"/>
      <c r="B285" s="15"/>
      <c r="C285" s="342">
        <v>66</v>
      </c>
      <c r="D285" s="348" t="s">
        <v>112</v>
      </c>
      <c r="E285" s="345" t="s">
        <v>240</v>
      </c>
      <c r="F285" s="372">
        <v>45451.12</v>
      </c>
      <c r="G285" s="284">
        <v>1</v>
      </c>
      <c r="H285" s="284">
        <v>1</v>
      </c>
      <c r="I285" s="284"/>
      <c r="J285" s="284"/>
      <c r="K285" s="284">
        <f>H285+J285</f>
        <v>1</v>
      </c>
      <c r="L285" s="284">
        <f>+H285-I285+J285</f>
        <v>1</v>
      </c>
      <c r="M285" s="59"/>
      <c r="N285" s="47" t="s">
        <v>162</v>
      </c>
      <c r="O285" s="253"/>
      <c r="P285" s="253"/>
      <c r="Q285" s="253"/>
      <c r="R285" s="253"/>
      <c r="S285" s="253"/>
      <c r="T285" s="253"/>
      <c r="U285" s="61">
        <f>+I285</f>
        <v>0</v>
      </c>
      <c r="V285" s="117"/>
      <c r="W285" s="92"/>
      <c r="X285" s="92"/>
      <c r="Y285" s="92"/>
      <c r="Z285" s="92"/>
      <c r="AA285" s="92"/>
      <c r="AB285" s="92"/>
      <c r="AC285" s="92"/>
      <c r="AD285" s="92"/>
      <c r="AE285" s="92"/>
      <c r="AF285" s="61">
        <v>0.25</v>
      </c>
      <c r="AG285" s="61">
        <v>0.25</v>
      </c>
      <c r="AH285" s="61">
        <v>0.25</v>
      </c>
      <c r="AI285" s="61">
        <v>0.25</v>
      </c>
      <c r="AJ285" s="92"/>
      <c r="AK285" s="92"/>
      <c r="AL285" s="117"/>
      <c r="AM285" s="92"/>
      <c r="AN285" s="92"/>
      <c r="AO285" s="92"/>
      <c r="AQ285" s="144">
        <f>SUM(O285:AO285)</f>
        <v>1</v>
      </c>
      <c r="AR285" s="144">
        <f>+K285-AQ285</f>
        <v>0</v>
      </c>
      <c r="AT285" s="372">
        <f>+F285*K285</f>
        <v>45451.12</v>
      </c>
      <c r="AV285" s="263">
        <f>SUM(W285:AO285)</f>
        <v>1</v>
      </c>
      <c r="AW285" s="263">
        <f>+L285-AV285</f>
        <v>0</v>
      </c>
      <c r="BA285" s="318">
        <f t="shared" si="231"/>
        <v>0</v>
      </c>
    </row>
    <row r="286" spans="1:53" s="2" customFormat="1" ht="10.5" customHeight="1">
      <c r="A286" s="10" t="s">
        <v>12</v>
      </c>
      <c r="B286" s="15"/>
      <c r="C286" s="343"/>
      <c r="D286" s="349"/>
      <c r="E286" s="346"/>
      <c r="F286" s="373"/>
      <c r="G286" s="277"/>
      <c r="H286" s="277"/>
      <c r="I286" s="277"/>
      <c r="J286" s="277"/>
      <c r="K286" s="277"/>
      <c r="L286" s="277"/>
      <c r="M286" s="59"/>
      <c r="N286" s="47" t="s">
        <v>163</v>
      </c>
      <c r="O286" s="254"/>
      <c r="P286" s="254"/>
      <c r="Q286" s="254"/>
      <c r="R286" s="254"/>
      <c r="S286" s="254"/>
      <c r="T286" s="254"/>
      <c r="U286" s="62">
        <f>+U285/$K285</f>
        <v>0</v>
      </c>
      <c r="V286" s="117"/>
      <c r="W286" s="88"/>
      <c r="X286" s="88"/>
      <c r="Y286" s="88"/>
      <c r="Z286" s="88"/>
      <c r="AA286" s="88"/>
      <c r="AB286" s="88"/>
      <c r="AC286" s="88"/>
      <c r="AD286" s="88"/>
      <c r="AE286" s="88"/>
      <c r="AF286" s="62">
        <f>+AF285/$K285</f>
        <v>0.25</v>
      </c>
      <c r="AG286" s="62">
        <f>+AG285/$K285</f>
        <v>0.25</v>
      </c>
      <c r="AH286" s="62">
        <f>+AH285/$K285</f>
        <v>0.25</v>
      </c>
      <c r="AI286" s="62">
        <f>+AI285/$K285</f>
        <v>0.25</v>
      </c>
      <c r="AJ286" s="88"/>
      <c r="AK286" s="88"/>
      <c r="AL286" s="117"/>
      <c r="AM286" s="88"/>
      <c r="AN286" s="88"/>
      <c r="AO286" s="88"/>
      <c r="AQ286" s="149">
        <f>SUM(U286:AO286)</f>
        <v>1</v>
      </c>
      <c r="AR286" s="146"/>
      <c r="AT286" s="389"/>
      <c r="AV286" s="266"/>
      <c r="AW286" s="266"/>
      <c r="BA286" s="318">
        <f t="shared" si="231"/>
        <v>0</v>
      </c>
    </row>
    <row r="287" spans="1:53" s="2" customFormat="1" ht="10.5" hidden="1" customHeight="1">
      <c r="A287" s="11" t="s">
        <v>13</v>
      </c>
      <c r="B287" s="15"/>
      <c r="C287" s="343"/>
      <c r="D287" s="349"/>
      <c r="E287" s="346"/>
      <c r="F287" s="373"/>
      <c r="G287" s="277"/>
      <c r="H287" s="277"/>
      <c r="I287" s="277"/>
      <c r="J287" s="277"/>
      <c r="K287" s="277"/>
      <c r="L287" s="277"/>
      <c r="M287" s="59"/>
      <c r="N287" s="48"/>
      <c r="O287" s="251"/>
      <c r="P287" s="251"/>
      <c r="Q287" s="251"/>
      <c r="R287" s="251"/>
      <c r="S287" s="251"/>
      <c r="T287" s="251"/>
      <c r="U287" s="93"/>
      <c r="V287" s="117"/>
      <c r="W287" s="88"/>
      <c r="X287" s="88"/>
      <c r="Y287" s="88"/>
      <c r="Z287" s="88"/>
      <c r="AA287" s="88"/>
      <c r="AB287" s="88"/>
      <c r="AC287" s="88"/>
      <c r="AD287" s="88"/>
      <c r="AE287" s="88"/>
      <c r="AF287" s="63"/>
      <c r="AG287" s="63"/>
      <c r="AH287" s="63"/>
      <c r="AI287" s="63"/>
      <c r="AJ287" s="88"/>
      <c r="AK287" s="88"/>
      <c r="AL287" s="117"/>
      <c r="AM287" s="88"/>
      <c r="AN287" s="88"/>
      <c r="AO287" s="88"/>
      <c r="AQ287" s="145"/>
      <c r="AR287" s="146"/>
      <c r="AT287" s="389"/>
      <c r="AV287" s="197"/>
      <c r="AW287" s="197"/>
      <c r="BA287" s="318">
        <f t="shared" si="231"/>
        <v>0</v>
      </c>
    </row>
    <row r="288" spans="1:53" s="2" customFormat="1" ht="10.5" customHeight="1">
      <c r="A288" s="12">
        <v>1</v>
      </c>
      <c r="B288" s="15"/>
      <c r="C288" s="344"/>
      <c r="D288" s="350"/>
      <c r="E288" s="347"/>
      <c r="F288" s="374"/>
      <c r="G288" s="307">
        <f>ROUND(G285*$F285,2)</f>
        <v>45451.12</v>
      </c>
      <c r="H288" s="307">
        <f>ROUND(H285*$F285,2)</f>
        <v>45451.12</v>
      </c>
      <c r="I288" s="307">
        <f>ROUND(I285*$F285,2)</f>
        <v>0</v>
      </c>
      <c r="J288" s="307">
        <f>J285*$F285</f>
        <v>0</v>
      </c>
      <c r="K288" s="307">
        <f>ROUND(K285*$F285,2)</f>
        <v>45451.12</v>
      </c>
      <c r="L288" s="307">
        <f>ROUND(L285*$F285,2)</f>
        <v>45451.12</v>
      </c>
      <c r="M288" s="59"/>
      <c r="N288" s="49" t="s">
        <v>164</v>
      </c>
      <c r="O288" s="256"/>
      <c r="P288" s="256"/>
      <c r="Q288" s="256"/>
      <c r="R288" s="256"/>
      <c r="S288" s="256"/>
      <c r="T288" s="256"/>
      <c r="U288" s="64">
        <f>U285*$F285</f>
        <v>0</v>
      </c>
      <c r="V288" s="123"/>
      <c r="W288" s="91"/>
      <c r="X288" s="91"/>
      <c r="Y288" s="91"/>
      <c r="Z288" s="91"/>
      <c r="AA288" s="91"/>
      <c r="AB288" s="91"/>
      <c r="AC288" s="91"/>
      <c r="AD288" s="91"/>
      <c r="AE288" s="91"/>
      <c r="AF288" s="64">
        <f>AF285*$F285</f>
        <v>11362.78</v>
      </c>
      <c r="AG288" s="64">
        <f>AG285*$F285</f>
        <v>11362.78</v>
      </c>
      <c r="AH288" s="64">
        <f>AH285*$F285</f>
        <v>11362.78</v>
      </c>
      <c r="AI288" s="64">
        <f>AI285*$F285</f>
        <v>11362.78</v>
      </c>
      <c r="AJ288" s="91"/>
      <c r="AK288" s="91"/>
      <c r="AL288" s="123"/>
      <c r="AM288" s="91"/>
      <c r="AN288" s="91"/>
      <c r="AO288" s="91"/>
      <c r="AQ288" s="69">
        <f>SUM(U288:AO288)</f>
        <v>45451.12</v>
      </c>
      <c r="AR288" s="69">
        <f>+K288-AQ288</f>
        <v>0</v>
      </c>
      <c r="AT288" s="390"/>
      <c r="AV288" s="196"/>
      <c r="AW288" s="196"/>
      <c r="BA288" s="318">
        <f t="shared" si="231"/>
        <v>0</v>
      </c>
    </row>
    <row r="289" spans="1:53" s="2" customFormat="1" ht="10.5" customHeight="1">
      <c r="A289" s="12"/>
      <c r="B289" s="15"/>
      <c r="C289" s="342">
        <v>67</v>
      </c>
      <c r="D289" s="348" t="s">
        <v>113</v>
      </c>
      <c r="E289" s="345" t="s">
        <v>237</v>
      </c>
      <c r="F289" s="372">
        <v>421.34</v>
      </c>
      <c r="G289" s="284">
        <v>108</v>
      </c>
      <c r="H289" s="284">
        <v>108</v>
      </c>
      <c r="I289" s="284"/>
      <c r="J289" s="284"/>
      <c r="K289" s="284">
        <f>H289+J289</f>
        <v>108</v>
      </c>
      <c r="L289" s="284">
        <f>+H289-I289+J289</f>
        <v>108</v>
      </c>
      <c r="M289" s="59"/>
      <c r="N289" s="47" t="s">
        <v>162</v>
      </c>
      <c r="O289" s="253"/>
      <c r="P289" s="253"/>
      <c r="Q289" s="253"/>
      <c r="R289" s="253"/>
      <c r="S289" s="253"/>
      <c r="T289" s="253"/>
      <c r="U289" s="61">
        <f>+I289</f>
        <v>0</v>
      </c>
      <c r="V289" s="117"/>
      <c r="W289" s="92"/>
      <c r="X289" s="92"/>
      <c r="Y289" s="92"/>
      <c r="Z289" s="92"/>
      <c r="AA289" s="92"/>
      <c r="AB289" s="92"/>
      <c r="AC289" s="92"/>
      <c r="AD289" s="92"/>
      <c r="AE289" s="92"/>
      <c r="AF289" s="61">
        <v>27</v>
      </c>
      <c r="AG289" s="61">
        <v>27</v>
      </c>
      <c r="AH289" s="61">
        <v>27</v>
      </c>
      <c r="AI289" s="61">
        <v>27</v>
      </c>
      <c r="AJ289" s="92"/>
      <c r="AK289" s="92"/>
      <c r="AL289" s="117"/>
      <c r="AM289" s="92"/>
      <c r="AN289" s="92"/>
      <c r="AO289" s="92"/>
      <c r="AQ289" s="144">
        <f>SUM(O289:AO289)</f>
        <v>108</v>
      </c>
      <c r="AR289" s="144">
        <f>+K289-AQ289</f>
        <v>0</v>
      </c>
      <c r="AT289" s="372">
        <f>+F289*K289</f>
        <v>45504.72</v>
      </c>
      <c r="AV289" s="263">
        <f>SUM(W289:AO289)</f>
        <v>108</v>
      </c>
      <c r="AW289" s="263">
        <f>+L289-AV289</f>
        <v>0</v>
      </c>
      <c r="BA289" s="318">
        <f t="shared" si="231"/>
        <v>0</v>
      </c>
    </row>
    <row r="290" spans="1:53" s="2" customFormat="1" ht="10.5" customHeight="1">
      <c r="A290" s="10" t="s">
        <v>12</v>
      </c>
      <c r="B290" s="15"/>
      <c r="C290" s="343"/>
      <c r="D290" s="349"/>
      <c r="E290" s="346"/>
      <c r="F290" s="373"/>
      <c r="G290" s="277"/>
      <c r="H290" s="277"/>
      <c r="I290" s="277"/>
      <c r="J290" s="277"/>
      <c r="K290" s="277"/>
      <c r="L290" s="277"/>
      <c r="M290" s="59"/>
      <c r="N290" s="47" t="s">
        <v>163</v>
      </c>
      <c r="O290" s="254"/>
      <c r="P290" s="254"/>
      <c r="Q290" s="254"/>
      <c r="R290" s="254"/>
      <c r="S290" s="254"/>
      <c r="T290" s="254"/>
      <c r="U290" s="62">
        <f>+U289/$K289</f>
        <v>0</v>
      </c>
      <c r="V290" s="117"/>
      <c r="W290" s="88"/>
      <c r="X290" s="88"/>
      <c r="Y290" s="88"/>
      <c r="Z290" s="88"/>
      <c r="AA290" s="88"/>
      <c r="AB290" s="88"/>
      <c r="AC290" s="88"/>
      <c r="AD290" s="88"/>
      <c r="AE290" s="88"/>
      <c r="AF290" s="62">
        <f>+AF289/$K289</f>
        <v>0.25</v>
      </c>
      <c r="AG290" s="62">
        <f>+AG289/$K289</f>
        <v>0.25</v>
      </c>
      <c r="AH290" s="62">
        <f>+AH289/$K289</f>
        <v>0.25</v>
      </c>
      <c r="AI290" s="62">
        <f>+AI289/$K289</f>
        <v>0.25</v>
      </c>
      <c r="AJ290" s="88"/>
      <c r="AK290" s="88"/>
      <c r="AL290" s="117"/>
      <c r="AM290" s="88"/>
      <c r="AN290" s="88"/>
      <c r="AO290" s="88"/>
      <c r="AQ290" s="149">
        <f>SUM(U290:AO290)</f>
        <v>1</v>
      </c>
      <c r="AR290" s="146"/>
      <c r="AT290" s="389"/>
      <c r="AV290" s="266"/>
      <c r="AW290" s="266"/>
      <c r="BA290" s="318">
        <f t="shared" si="231"/>
        <v>0</v>
      </c>
    </row>
    <row r="291" spans="1:53" s="2" customFormat="1" ht="10.5" hidden="1" customHeight="1">
      <c r="A291" s="11" t="s">
        <v>13</v>
      </c>
      <c r="B291" s="15"/>
      <c r="C291" s="343"/>
      <c r="D291" s="349"/>
      <c r="E291" s="346"/>
      <c r="F291" s="373"/>
      <c r="G291" s="277"/>
      <c r="H291" s="277"/>
      <c r="I291" s="277"/>
      <c r="J291" s="277"/>
      <c r="K291" s="277"/>
      <c r="L291" s="277"/>
      <c r="M291" s="59"/>
      <c r="N291" s="48"/>
      <c r="O291" s="251"/>
      <c r="P291" s="251"/>
      <c r="Q291" s="251"/>
      <c r="R291" s="251"/>
      <c r="S291" s="251"/>
      <c r="T291" s="251"/>
      <c r="U291" s="93"/>
      <c r="V291" s="117"/>
      <c r="W291" s="88"/>
      <c r="X291" s="88"/>
      <c r="Y291" s="88"/>
      <c r="Z291" s="88"/>
      <c r="AA291" s="88"/>
      <c r="AB291" s="88"/>
      <c r="AC291" s="88"/>
      <c r="AD291" s="88"/>
      <c r="AE291" s="88"/>
      <c r="AF291" s="63"/>
      <c r="AG291" s="63"/>
      <c r="AH291" s="63"/>
      <c r="AI291" s="63"/>
      <c r="AJ291" s="88"/>
      <c r="AK291" s="88"/>
      <c r="AL291" s="117"/>
      <c r="AM291" s="88"/>
      <c r="AN291" s="88"/>
      <c r="AO291" s="88"/>
      <c r="AQ291" s="145"/>
      <c r="AR291" s="146"/>
      <c r="AT291" s="389"/>
      <c r="AV291" s="197"/>
      <c r="AW291" s="197"/>
      <c r="BA291" s="318">
        <f t="shared" si="231"/>
        <v>0</v>
      </c>
    </row>
    <row r="292" spans="1:53" s="2" customFormat="1" ht="10.5" customHeight="1">
      <c r="A292" s="12">
        <v>1</v>
      </c>
      <c r="B292" s="15"/>
      <c r="C292" s="344"/>
      <c r="D292" s="350"/>
      <c r="E292" s="347"/>
      <c r="F292" s="374"/>
      <c r="G292" s="307">
        <f>ROUND(G289*$F289,2)</f>
        <v>45504.72</v>
      </c>
      <c r="H292" s="307">
        <f>ROUND(H289*$F289,2)</f>
        <v>45504.72</v>
      </c>
      <c r="I292" s="307">
        <f>ROUND(I289*$F289,2)</f>
        <v>0</v>
      </c>
      <c r="J292" s="307">
        <f>J289*$F289</f>
        <v>0</v>
      </c>
      <c r="K292" s="307">
        <f>ROUND(K289*$F289,2)</f>
        <v>45504.72</v>
      </c>
      <c r="L292" s="307">
        <f>ROUND(L289*$F289,2)</f>
        <v>45504.72</v>
      </c>
      <c r="M292" s="59"/>
      <c r="N292" s="49" t="s">
        <v>164</v>
      </c>
      <c r="O292" s="256"/>
      <c r="P292" s="256"/>
      <c r="Q292" s="256"/>
      <c r="R292" s="256"/>
      <c r="S292" s="256"/>
      <c r="T292" s="256"/>
      <c r="U292" s="64">
        <f>U289*$F289</f>
        <v>0</v>
      </c>
      <c r="V292" s="123"/>
      <c r="W292" s="91"/>
      <c r="X292" s="91"/>
      <c r="Y292" s="91"/>
      <c r="Z292" s="91"/>
      <c r="AA292" s="91"/>
      <c r="AB292" s="91"/>
      <c r="AC292" s="91"/>
      <c r="AD292" s="91"/>
      <c r="AE292" s="91"/>
      <c r="AF292" s="64">
        <f>AF289*$F289</f>
        <v>11376.18</v>
      </c>
      <c r="AG292" s="64">
        <f>AG289*$F289</f>
        <v>11376.18</v>
      </c>
      <c r="AH292" s="64">
        <f>AH289*$F289</f>
        <v>11376.18</v>
      </c>
      <c r="AI292" s="64">
        <f>AI289*$F289</f>
        <v>11376.18</v>
      </c>
      <c r="AJ292" s="91"/>
      <c r="AK292" s="91"/>
      <c r="AL292" s="123"/>
      <c r="AM292" s="91"/>
      <c r="AN292" s="91"/>
      <c r="AO292" s="91"/>
      <c r="AQ292" s="69">
        <f>SUM(U292:AO292)</f>
        <v>45504.72</v>
      </c>
      <c r="AR292" s="69">
        <f>+K292-AQ292</f>
        <v>0</v>
      </c>
      <c r="AT292" s="390"/>
      <c r="AV292" s="196"/>
      <c r="AW292" s="196"/>
      <c r="BA292" s="318">
        <f t="shared" si="231"/>
        <v>0</v>
      </c>
    </row>
    <row r="293" spans="1:53" s="2" customFormat="1" ht="10.5" customHeight="1">
      <c r="A293" s="12"/>
      <c r="B293" s="15"/>
      <c r="C293" s="342">
        <v>68</v>
      </c>
      <c r="D293" s="348" t="s">
        <v>114</v>
      </c>
      <c r="E293" s="345" t="s">
        <v>236</v>
      </c>
      <c r="F293" s="372">
        <v>315.07</v>
      </c>
      <c r="G293" s="284">
        <v>53</v>
      </c>
      <c r="H293" s="284">
        <v>53</v>
      </c>
      <c r="I293" s="284"/>
      <c r="J293" s="284"/>
      <c r="K293" s="284">
        <f>H293+J293</f>
        <v>53</v>
      </c>
      <c r="L293" s="284">
        <f>+H293-I293+J293</f>
        <v>53</v>
      </c>
      <c r="M293" s="59"/>
      <c r="N293" s="47" t="s">
        <v>162</v>
      </c>
      <c r="O293" s="253"/>
      <c r="P293" s="253"/>
      <c r="Q293" s="253"/>
      <c r="R293" s="253"/>
      <c r="S293" s="253"/>
      <c r="T293" s="253"/>
      <c r="U293" s="61">
        <f>+I293</f>
        <v>0</v>
      </c>
      <c r="V293" s="117"/>
      <c r="W293" s="92"/>
      <c r="X293" s="92"/>
      <c r="Y293" s="92"/>
      <c r="Z293" s="92"/>
      <c r="AA293" s="92"/>
      <c r="AB293" s="92"/>
      <c r="AC293" s="92"/>
      <c r="AD293" s="92"/>
      <c r="AE293" s="92"/>
      <c r="AF293" s="61">
        <v>13</v>
      </c>
      <c r="AG293" s="61">
        <v>13</v>
      </c>
      <c r="AH293" s="61">
        <v>13</v>
      </c>
      <c r="AI293" s="61">
        <v>14</v>
      </c>
      <c r="AJ293" s="92"/>
      <c r="AK293" s="92"/>
      <c r="AL293" s="117"/>
      <c r="AM293" s="92"/>
      <c r="AN293" s="92"/>
      <c r="AO293" s="92"/>
      <c r="AQ293" s="144">
        <f>SUM(O293:AO293)</f>
        <v>53</v>
      </c>
      <c r="AR293" s="144">
        <f>+K293-AQ293</f>
        <v>0</v>
      </c>
      <c r="AT293" s="372">
        <f>+F293*K293</f>
        <v>16698.71</v>
      </c>
      <c r="AV293" s="263">
        <f>SUM(W293:AO293)</f>
        <v>53</v>
      </c>
      <c r="AW293" s="263">
        <f>+L293-AV293</f>
        <v>0</v>
      </c>
      <c r="BA293" s="318">
        <f t="shared" si="231"/>
        <v>0</v>
      </c>
    </row>
    <row r="294" spans="1:53" s="2" customFormat="1" ht="10.5" customHeight="1">
      <c r="A294" s="10" t="s">
        <v>12</v>
      </c>
      <c r="B294" s="15"/>
      <c r="C294" s="343"/>
      <c r="D294" s="349"/>
      <c r="E294" s="346"/>
      <c r="F294" s="373"/>
      <c r="G294" s="277"/>
      <c r="H294" s="277"/>
      <c r="I294" s="277"/>
      <c r="J294" s="277"/>
      <c r="K294" s="277"/>
      <c r="L294" s="277"/>
      <c r="M294" s="59"/>
      <c r="N294" s="47" t="s">
        <v>163</v>
      </c>
      <c r="O294" s="254"/>
      <c r="P294" s="254"/>
      <c r="Q294" s="254"/>
      <c r="R294" s="254"/>
      <c r="S294" s="254"/>
      <c r="T294" s="254"/>
      <c r="U294" s="62">
        <f>+U293/$K293</f>
        <v>0</v>
      </c>
      <c r="V294" s="117"/>
      <c r="W294" s="88"/>
      <c r="X294" s="88"/>
      <c r="Y294" s="88"/>
      <c r="Z294" s="88"/>
      <c r="AA294" s="88"/>
      <c r="AB294" s="88"/>
      <c r="AC294" s="88"/>
      <c r="AD294" s="88"/>
      <c r="AE294" s="88"/>
      <c r="AF294" s="62">
        <f>+AF293/$K293</f>
        <v>0.24529999999999999</v>
      </c>
      <c r="AG294" s="62">
        <f>+AG293/$K293</f>
        <v>0.24529999999999999</v>
      </c>
      <c r="AH294" s="62">
        <f>+AH293/$K293</f>
        <v>0.24529999999999999</v>
      </c>
      <c r="AI294" s="62">
        <f>+AI293/$K293</f>
        <v>0.26419999999999999</v>
      </c>
      <c r="AJ294" s="88"/>
      <c r="AK294" s="88"/>
      <c r="AL294" s="117"/>
      <c r="AM294" s="88"/>
      <c r="AN294" s="88"/>
      <c r="AO294" s="88"/>
      <c r="AQ294" s="149">
        <f>SUM(U294:AO294)</f>
        <v>1.0001</v>
      </c>
      <c r="AR294" s="146"/>
      <c r="AT294" s="389"/>
      <c r="AV294" s="266"/>
      <c r="AW294" s="266"/>
      <c r="BA294" s="318">
        <f t="shared" si="231"/>
        <v>0</v>
      </c>
    </row>
    <row r="295" spans="1:53" s="2" customFormat="1" ht="10.5" hidden="1" customHeight="1">
      <c r="A295" s="11" t="s">
        <v>13</v>
      </c>
      <c r="B295" s="15"/>
      <c r="C295" s="343"/>
      <c r="D295" s="349"/>
      <c r="E295" s="346"/>
      <c r="F295" s="373"/>
      <c r="G295" s="277"/>
      <c r="H295" s="277"/>
      <c r="I295" s="277"/>
      <c r="J295" s="277"/>
      <c r="K295" s="277"/>
      <c r="L295" s="277"/>
      <c r="M295" s="59"/>
      <c r="N295" s="48"/>
      <c r="O295" s="251"/>
      <c r="P295" s="251"/>
      <c r="Q295" s="251"/>
      <c r="R295" s="251"/>
      <c r="S295" s="251"/>
      <c r="T295" s="251"/>
      <c r="U295" s="93"/>
      <c r="V295" s="117"/>
      <c r="W295" s="88"/>
      <c r="X295" s="88"/>
      <c r="Y295" s="88"/>
      <c r="Z295" s="88"/>
      <c r="AA295" s="88"/>
      <c r="AB295" s="88"/>
      <c r="AC295" s="88"/>
      <c r="AD295" s="88"/>
      <c r="AE295" s="88"/>
      <c r="AF295" s="63"/>
      <c r="AG295" s="63"/>
      <c r="AH295" s="63"/>
      <c r="AI295" s="63"/>
      <c r="AJ295" s="88"/>
      <c r="AK295" s="88"/>
      <c r="AL295" s="117"/>
      <c r="AM295" s="88"/>
      <c r="AN295" s="88"/>
      <c r="AO295" s="88"/>
      <c r="AQ295" s="145"/>
      <c r="AR295" s="146"/>
      <c r="AT295" s="389"/>
      <c r="AV295" s="197"/>
      <c r="AW295" s="197"/>
      <c r="BA295" s="318">
        <f t="shared" si="231"/>
        <v>0</v>
      </c>
    </row>
    <row r="296" spans="1:53" s="2" customFormat="1" ht="10.5" customHeight="1">
      <c r="A296" s="12">
        <v>1</v>
      </c>
      <c r="B296" s="15"/>
      <c r="C296" s="344"/>
      <c r="D296" s="350"/>
      <c r="E296" s="347"/>
      <c r="F296" s="374"/>
      <c r="G296" s="307">
        <f>ROUND(G293*$F293,2)</f>
        <v>16698.71</v>
      </c>
      <c r="H296" s="307">
        <f>ROUND(H293*$F293,2)</f>
        <v>16698.71</v>
      </c>
      <c r="I296" s="307">
        <f>ROUND(I293*$F293,2)</f>
        <v>0</v>
      </c>
      <c r="J296" s="307">
        <f>J293*$F293</f>
        <v>0</v>
      </c>
      <c r="K296" s="307">
        <f>ROUND(K293*$F293,2)</f>
        <v>16698.71</v>
      </c>
      <c r="L296" s="307">
        <f>ROUND(L293*$F293,2)</f>
        <v>16698.71</v>
      </c>
      <c r="M296" s="59"/>
      <c r="N296" s="49" t="s">
        <v>164</v>
      </c>
      <c r="O296" s="256"/>
      <c r="P296" s="256"/>
      <c r="Q296" s="256"/>
      <c r="R296" s="256"/>
      <c r="S296" s="256"/>
      <c r="T296" s="256"/>
      <c r="U296" s="64">
        <f>U293*$F293</f>
        <v>0</v>
      </c>
      <c r="V296" s="123"/>
      <c r="W296" s="91"/>
      <c r="X296" s="91"/>
      <c r="Y296" s="91"/>
      <c r="Z296" s="91"/>
      <c r="AA296" s="91"/>
      <c r="AB296" s="91"/>
      <c r="AC296" s="91"/>
      <c r="AD296" s="91"/>
      <c r="AE296" s="91"/>
      <c r="AF296" s="64">
        <f>AF293*$F293</f>
        <v>4095.91</v>
      </c>
      <c r="AG296" s="64">
        <f>AG293*$F293</f>
        <v>4095.91</v>
      </c>
      <c r="AH296" s="64">
        <f>AH293*$F293</f>
        <v>4095.91</v>
      </c>
      <c r="AI296" s="64">
        <f>AI293*$F293</f>
        <v>4410.9799999999996</v>
      </c>
      <c r="AJ296" s="91"/>
      <c r="AK296" s="91"/>
      <c r="AL296" s="123"/>
      <c r="AM296" s="91"/>
      <c r="AN296" s="91"/>
      <c r="AO296" s="91"/>
      <c r="AQ296" s="69">
        <f>SUM(U296:AO296)</f>
        <v>16698.71</v>
      </c>
      <c r="AR296" s="69">
        <f>+K296-AQ296</f>
        <v>0</v>
      </c>
      <c r="AT296" s="390"/>
      <c r="AV296" s="196"/>
      <c r="AW296" s="196"/>
      <c r="BA296" s="318">
        <f t="shared" si="231"/>
        <v>0</v>
      </c>
    </row>
    <row r="297" spans="1:53" s="2" customFormat="1" ht="10.5" customHeight="1">
      <c r="A297" s="12"/>
      <c r="B297" s="15"/>
      <c r="C297" s="342">
        <v>69</v>
      </c>
      <c r="D297" s="348" t="s">
        <v>115</v>
      </c>
      <c r="E297" s="345" t="s">
        <v>237</v>
      </c>
      <c r="F297" s="372">
        <v>42.09</v>
      </c>
      <c r="G297" s="284">
        <v>106</v>
      </c>
      <c r="H297" s="284">
        <v>106</v>
      </c>
      <c r="I297" s="284">
        <v>15.98</v>
      </c>
      <c r="J297" s="284"/>
      <c r="K297" s="284">
        <f>H297+J297</f>
        <v>106</v>
      </c>
      <c r="L297" s="284">
        <f>+H297-I297+J297</f>
        <v>90.02</v>
      </c>
      <c r="M297" s="59"/>
      <c r="N297" s="47" t="s">
        <v>162</v>
      </c>
      <c r="O297" s="253"/>
      <c r="P297" s="253"/>
      <c r="Q297" s="253"/>
      <c r="R297" s="253"/>
      <c r="S297" s="253"/>
      <c r="T297" s="253"/>
      <c r="U297" s="61">
        <f>+I297</f>
        <v>15.98</v>
      </c>
      <c r="V297" s="117"/>
      <c r="W297" s="92"/>
      <c r="X297" s="92"/>
      <c r="Y297" s="92"/>
      <c r="Z297" s="92"/>
      <c r="AA297" s="92"/>
      <c r="AB297" s="92"/>
      <c r="AC297" s="92"/>
      <c r="AD297" s="92"/>
      <c r="AE297" s="92"/>
      <c r="AF297" s="61">
        <v>26</v>
      </c>
      <c r="AG297" s="61">
        <v>22</v>
      </c>
      <c r="AH297" s="61">
        <v>22</v>
      </c>
      <c r="AI297" s="61">
        <v>20.02</v>
      </c>
      <c r="AJ297" s="92"/>
      <c r="AK297" s="92"/>
      <c r="AL297" s="117"/>
      <c r="AM297" s="92"/>
      <c r="AN297" s="92"/>
      <c r="AO297" s="92"/>
      <c r="AQ297" s="144">
        <f>SUM(O297:AO297)</f>
        <v>106</v>
      </c>
      <c r="AR297" s="144">
        <f>+K297-AQ297</f>
        <v>0</v>
      </c>
      <c r="AT297" s="372">
        <f>+F297*K297</f>
        <v>4461.54</v>
      </c>
      <c r="AV297" s="263">
        <f>SUM(W297:AO297)</f>
        <v>90.02</v>
      </c>
      <c r="AW297" s="263">
        <f>+L297-AV297</f>
        <v>0</v>
      </c>
      <c r="BA297" s="318">
        <f t="shared" si="231"/>
        <v>15.98</v>
      </c>
    </row>
    <row r="298" spans="1:53" s="2" customFormat="1" ht="10.5" customHeight="1">
      <c r="A298" s="10" t="s">
        <v>12</v>
      </c>
      <c r="B298" s="15"/>
      <c r="C298" s="343"/>
      <c r="D298" s="349"/>
      <c r="E298" s="346"/>
      <c r="F298" s="373"/>
      <c r="G298" s="277"/>
      <c r="H298" s="277"/>
      <c r="I298" s="277"/>
      <c r="J298" s="277"/>
      <c r="K298" s="277"/>
      <c r="L298" s="277"/>
      <c r="M298" s="59"/>
      <c r="N298" s="47" t="s">
        <v>163</v>
      </c>
      <c r="O298" s="254"/>
      <c r="P298" s="254"/>
      <c r="Q298" s="254"/>
      <c r="R298" s="254"/>
      <c r="S298" s="254"/>
      <c r="T298" s="254"/>
      <c r="U298" s="62">
        <f>+U297/$K297</f>
        <v>0.15079999999999999</v>
      </c>
      <c r="V298" s="117"/>
      <c r="W298" s="88"/>
      <c r="X298" s="88"/>
      <c r="Y298" s="88"/>
      <c r="Z298" s="88"/>
      <c r="AA298" s="88"/>
      <c r="AB298" s="88"/>
      <c r="AC298" s="88"/>
      <c r="AD298" s="88"/>
      <c r="AE298" s="88"/>
      <c r="AF298" s="62">
        <f>+AF297/$K297</f>
        <v>0.24529999999999999</v>
      </c>
      <c r="AG298" s="62">
        <f>+AG297/$K297</f>
        <v>0.20749999999999999</v>
      </c>
      <c r="AH298" s="62">
        <f>+AH297/$K297</f>
        <v>0.20749999999999999</v>
      </c>
      <c r="AI298" s="62">
        <f>+AI297/$K297</f>
        <v>0.18890000000000001</v>
      </c>
      <c r="AJ298" s="88"/>
      <c r="AK298" s="88"/>
      <c r="AL298" s="117"/>
      <c r="AM298" s="88"/>
      <c r="AN298" s="88"/>
      <c r="AO298" s="88"/>
      <c r="AQ298" s="149">
        <f>SUM(U298:AO298)</f>
        <v>1</v>
      </c>
      <c r="AR298" s="146"/>
      <c r="AT298" s="389"/>
      <c r="AV298" s="266"/>
      <c r="AW298" s="266"/>
      <c r="BA298" s="318"/>
    </row>
    <row r="299" spans="1:53" s="2" customFormat="1" ht="10.5" hidden="1" customHeight="1">
      <c r="A299" s="11" t="s">
        <v>13</v>
      </c>
      <c r="B299" s="15"/>
      <c r="C299" s="343"/>
      <c r="D299" s="349"/>
      <c r="E299" s="346"/>
      <c r="F299" s="373"/>
      <c r="G299" s="277"/>
      <c r="H299" s="277"/>
      <c r="I299" s="277"/>
      <c r="J299" s="277"/>
      <c r="K299" s="277"/>
      <c r="L299" s="277"/>
      <c r="M299" s="59"/>
      <c r="N299" s="48"/>
      <c r="O299" s="251"/>
      <c r="P299" s="251"/>
      <c r="Q299" s="251"/>
      <c r="R299" s="251"/>
      <c r="S299" s="251"/>
      <c r="T299" s="251"/>
      <c r="U299" s="93"/>
      <c r="V299" s="117"/>
      <c r="W299" s="88"/>
      <c r="X299" s="88"/>
      <c r="Y299" s="88"/>
      <c r="Z299" s="88"/>
      <c r="AA299" s="88"/>
      <c r="AB299" s="88"/>
      <c r="AC299" s="88"/>
      <c r="AD299" s="88"/>
      <c r="AE299" s="88"/>
      <c r="AF299" s="63"/>
      <c r="AG299" s="63"/>
      <c r="AH299" s="63"/>
      <c r="AI299" s="63"/>
      <c r="AJ299" s="88"/>
      <c r="AK299" s="88"/>
      <c r="AL299" s="117"/>
      <c r="AM299" s="88"/>
      <c r="AN299" s="88"/>
      <c r="AO299" s="88"/>
      <c r="AQ299" s="145"/>
      <c r="AR299" s="146"/>
      <c r="AT299" s="389"/>
      <c r="AV299" s="197"/>
      <c r="AW299" s="197"/>
      <c r="BA299" s="318"/>
    </row>
    <row r="300" spans="1:53" s="2" customFormat="1" ht="10.5" customHeight="1">
      <c r="A300" s="12">
        <v>1</v>
      </c>
      <c r="B300" s="15"/>
      <c r="C300" s="344"/>
      <c r="D300" s="350"/>
      <c r="E300" s="347"/>
      <c r="F300" s="374"/>
      <c r="G300" s="307">
        <f>ROUND(G297*$F297,2)</f>
        <v>4461.54</v>
      </c>
      <c r="H300" s="307">
        <f>ROUND(H297*$F297,2)</f>
        <v>4461.54</v>
      </c>
      <c r="I300" s="307">
        <f>ROUND(I297*$F297,2)</f>
        <v>672.6</v>
      </c>
      <c r="J300" s="307">
        <f>J297*$F297</f>
        <v>0</v>
      </c>
      <c r="K300" s="307">
        <f>ROUND(K297*$F297,2)</f>
        <v>4461.54</v>
      </c>
      <c r="L300" s="307">
        <f>ROUND(L297*$F297,2)</f>
        <v>3788.94</v>
      </c>
      <c r="M300" s="60"/>
      <c r="N300" s="49" t="s">
        <v>164</v>
      </c>
      <c r="O300" s="256"/>
      <c r="P300" s="256"/>
      <c r="Q300" s="256"/>
      <c r="R300" s="256"/>
      <c r="S300" s="256"/>
      <c r="T300" s="256"/>
      <c r="U300" s="64">
        <f>U297*$F297</f>
        <v>672.6</v>
      </c>
      <c r="V300" s="123"/>
      <c r="W300" s="91"/>
      <c r="X300" s="91"/>
      <c r="Y300" s="91"/>
      <c r="Z300" s="91"/>
      <c r="AA300" s="91"/>
      <c r="AB300" s="91"/>
      <c r="AC300" s="91"/>
      <c r="AD300" s="91"/>
      <c r="AE300" s="91"/>
      <c r="AF300" s="64">
        <f>AF297*$F297</f>
        <v>1094.3399999999999</v>
      </c>
      <c r="AG300" s="64">
        <f>AG297*$F297</f>
        <v>925.98</v>
      </c>
      <c r="AH300" s="64">
        <f>AH297*$F297</f>
        <v>925.98</v>
      </c>
      <c r="AI300" s="64">
        <f>AI297*$F297</f>
        <v>842.64</v>
      </c>
      <c r="AJ300" s="91"/>
      <c r="AK300" s="91"/>
      <c r="AL300" s="123"/>
      <c r="AM300" s="91"/>
      <c r="AN300" s="91"/>
      <c r="AO300" s="91"/>
      <c r="AQ300" s="69">
        <f>SUM(U300:AO300)</f>
        <v>4461.54</v>
      </c>
      <c r="AR300" s="69">
        <f>+K300-AQ300</f>
        <v>0</v>
      </c>
      <c r="AT300" s="390"/>
      <c r="AV300" s="196"/>
      <c r="AW300" s="196"/>
      <c r="BA300" s="318"/>
    </row>
    <row r="301" spans="1:53" s="2" customFormat="1" ht="10.5" customHeight="1">
      <c r="A301" s="12"/>
      <c r="B301" s="15"/>
      <c r="C301" s="342">
        <v>69</v>
      </c>
      <c r="D301" s="348" t="str">
        <f>+'[1]Items Creados e Incrementados'!$C$81</f>
        <v>4.23 Reposición de Servicios Circunvalación</v>
      </c>
      <c r="E301" s="345" t="s">
        <v>241</v>
      </c>
      <c r="F301" s="372">
        <v>282000</v>
      </c>
      <c r="G301" s="284"/>
      <c r="H301" s="284">
        <v>1</v>
      </c>
      <c r="I301" s="327">
        <v>2.571677E-2</v>
      </c>
      <c r="J301" s="284"/>
      <c r="K301" s="284">
        <f>H301+J301</f>
        <v>1</v>
      </c>
      <c r="L301" s="284">
        <f>+H301-I301+J301</f>
        <v>0.97</v>
      </c>
      <c r="M301" s="59"/>
      <c r="N301" s="47" t="s">
        <v>162</v>
      </c>
      <c r="O301" s="253"/>
      <c r="P301" s="253"/>
      <c r="Q301" s="253"/>
      <c r="R301" s="253"/>
      <c r="S301" s="253"/>
      <c r="T301" s="253"/>
      <c r="U301" s="328">
        <f>+I301</f>
        <v>2.571677E-2</v>
      </c>
      <c r="V301" s="117"/>
      <c r="W301" s="92"/>
      <c r="X301" s="92"/>
      <c r="Y301" s="92"/>
      <c r="Z301" s="61">
        <v>0.2</v>
      </c>
      <c r="AA301" s="61">
        <v>0.2</v>
      </c>
      <c r="AB301" s="61">
        <v>0.3</v>
      </c>
      <c r="AC301" s="328">
        <v>0.2742832</v>
      </c>
      <c r="AD301" s="92"/>
      <c r="AE301" s="92"/>
      <c r="AF301" s="92"/>
      <c r="AG301" s="92"/>
      <c r="AH301" s="92"/>
      <c r="AI301" s="92"/>
      <c r="AJ301" s="92"/>
      <c r="AK301" s="61"/>
      <c r="AL301" s="117"/>
      <c r="AM301" s="92"/>
      <c r="AN301" s="92"/>
      <c r="AO301" s="92"/>
      <c r="AQ301" s="330">
        <f>SUM(O301:AO301)</f>
        <v>0.99999996999999996</v>
      </c>
      <c r="AR301" s="329">
        <f>+K301-AQ301</f>
        <v>0</v>
      </c>
      <c r="AT301" s="372">
        <f>+F301*K301</f>
        <v>282000</v>
      </c>
      <c r="AV301" s="263">
        <f>SUM(W301:AO301)</f>
        <v>0.97</v>
      </c>
      <c r="AW301" s="263">
        <f>+L301-AV301</f>
        <v>0</v>
      </c>
      <c r="BA301" s="318">
        <f t="shared" si="231"/>
        <v>0.03</v>
      </c>
    </row>
    <row r="302" spans="1:53" s="2" customFormat="1" ht="10.5" customHeight="1">
      <c r="A302" s="10" t="s">
        <v>12</v>
      </c>
      <c r="B302" s="15"/>
      <c r="C302" s="343"/>
      <c r="D302" s="349"/>
      <c r="E302" s="346"/>
      <c r="F302" s="373"/>
      <c r="G302" s="277"/>
      <c r="H302" s="277"/>
      <c r="I302" s="277"/>
      <c r="J302" s="277"/>
      <c r="K302" s="277"/>
      <c r="L302" s="277"/>
      <c r="M302" s="59"/>
      <c r="N302" s="47" t="s">
        <v>163</v>
      </c>
      <c r="O302" s="254"/>
      <c r="P302" s="254"/>
      <c r="Q302" s="254"/>
      <c r="R302" s="254"/>
      <c r="S302" s="254"/>
      <c r="T302" s="254"/>
      <c r="U302" s="62">
        <f>+U301/$K301</f>
        <v>2.5700000000000001E-2</v>
      </c>
      <c r="V302" s="117"/>
      <c r="W302" s="88"/>
      <c r="X302" s="88"/>
      <c r="Y302" s="88"/>
      <c r="Z302" s="62">
        <f>+Z301/$K301</f>
        <v>0.2</v>
      </c>
      <c r="AA302" s="62">
        <f>+AA301/$K301</f>
        <v>0.2</v>
      </c>
      <c r="AB302" s="62">
        <f>+AB301/$K301</f>
        <v>0.3</v>
      </c>
      <c r="AC302" s="62">
        <f>+AC301/$K301</f>
        <v>0.27429999999999999</v>
      </c>
      <c r="AD302" s="88"/>
      <c r="AE302" s="88"/>
      <c r="AF302" s="88"/>
      <c r="AG302" s="88"/>
      <c r="AH302" s="88"/>
      <c r="AI302" s="88"/>
      <c r="AJ302" s="88">
        <f t="shared" ref="AJ302:AK302" si="240">+AJ301/$K301</f>
        <v>0</v>
      </c>
      <c r="AK302" s="62">
        <f t="shared" si="240"/>
        <v>0</v>
      </c>
      <c r="AL302" s="117"/>
      <c r="AM302" s="88"/>
      <c r="AN302" s="88"/>
      <c r="AO302" s="88"/>
      <c r="AQ302" s="149">
        <f>SUM(U302:AO302)</f>
        <v>1</v>
      </c>
      <c r="AR302" s="146"/>
      <c r="AT302" s="389"/>
      <c r="AV302" s="266"/>
      <c r="AW302" s="266"/>
      <c r="BA302" s="318">
        <f t="shared" si="231"/>
        <v>0.03</v>
      </c>
    </row>
    <row r="303" spans="1:53" s="2" customFormat="1" ht="10.5" hidden="1" customHeight="1">
      <c r="A303" s="11" t="s">
        <v>13</v>
      </c>
      <c r="B303" s="15"/>
      <c r="C303" s="343"/>
      <c r="D303" s="349"/>
      <c r="E303" s="346"/>
      <c r="F303" s="373"/>
      <c r="G303" s="277"/>
      <c r="H303" s="277"/>
      <c r="I303" s="277"/>
      <c r="J303" s="277"/>
      <c r="K303" s="277"/>
      <c r="L303" s="277"/>
      <c r="M303" s="59"/>
      <c r="N303" s="48"/>
      <c r="O303" s="251"/>
      <c r="P303" s="251"/>
      <c r="Q303" s="251"/>
      <c r="R303" s="251"/>
      <c r="S303" s="251"/>
      <c r="T303" s="251"/>
      <c r="U303" s="93"/>
      <c r="V303" s="117"/>
      <c r="W303" s="88"/>
      <c r="X303" s="88"/>
      <c r="Y303" s="88"/>
      <c r="Z303" s="63"/>
      <c r="AA303" s="63"/>
      <c r="AB303" s="63"/>
      <c r="AC303" s="63"/>
      <c r="AD303" s="88"/>
      <c r="AE303" s="88"/>
      <c r="AF303" s="88"/>
      <c r="AG303" s="88"/>
      <c r="AH303" s="88"/>
      <c r="AI303" s="88"/>
      <c r="AJ303" s="88"/>
      <c r="AK303" s="63"/>
      <c r="AL303" s="117"/>
      <c r="AM303" s="88"/>
      <c r="AN303" s="88"/>
      <c r="AO303" s="88"/>
      <c r="AQ303" s="145"/>
      <c r="AR303" s="146"/>
      <c r="AT303" s="389"/>
      <c r="AV303" s="197"/>
      <c r="AW303" s="197"/>
      <c r="BA303" s="318">
        <f t="shared" si="231"/>
        <v>0</v>
      </c>
    </row>
    <row r="304" spans="1:53" s="2" customFormat="1" ht="10.5" customHeight="1">
      <c r="A304" s="12">
        <v>1</v>
      </c>
      <c r="B304" s="15"/>
      <c r="C304" s="344"/>
      <c r="D304" s="350"/>
      <c r="E304" s="347"/>
      <c r="F304" s="374"/>
      <c r="G304" s="307">
        <f>ROUND(G301*$F301,2)</f>
        <v>0</v>
      </c>
      <c r="H304" s="307">
        <f>ROUND(H301*$F301,2)</f>
        <v>282000</v>
      </c>
      <c r="I304" s="307">
        <f>ROUND(I301*$F301,2)</f>
        <v>7252.13</v>
      </c>
      <c r="J304" s="307">
        <f>J301*$F301</f>
        <v>0</v>
      </c>
      <c r="K304" s="307">
        <f>ROUND(K301*$F301,2)</f>
        <v>282000</v>
      </c>
      <c r="L304" s="307">
        <f>ROUND(L301*$F301,2)</f>
        <v>273540</v>
      </c>
      <c r="M304" s="60"/>
      <c r="N304" s="49" t="s">
        <v>164</v>
      </c>
      <c r="O304" s="256"/>
      <c r="P304" s="256"/>
      <c r="Q304" s="256"/>
      <c r="R304" s="256"/>
      <c r="S304" s="256"/>
      <c r="T304" s="256"/>
      <c r="U304" s="64">
        <f>U301*$F301</f>
        <v>7252.13</v>
      </c>
      <c r="V304" s="123"/>
      <c r="W304" s="91"/>
      <c r="X304" s="91"/>
      <c r="Y304" s="91"/>
      <c r="Z304" s="64">
        <f>Z301*$F301</f>
        <v>56400</v>
      </c>
      <c r="AA304" s="64">
        <f>AA301*$F301</f>
        <v>56400</v>
      </c>
      <c r="AB304" s="64">
        <f>AB301*$F301</f>
        <v>84600</v>
      </c>
      <c r="AC304" s="64">
        <f>AC301*$F301+0.01</f>
        <v>77347.87</v>
      </c>
      <c r="AD304" s="91"/>
      <c r="AE304" s="91"/>
      <c r="AF304" s="91"/>
      <c r="AG304" s="91"/>
      <c r="AH304" s="91"/>
      <c r="AI304" s="91"/>
      <c r="AJ304" s="91">
        <f t="shared" ref="AJ304:AK304" si="241">AJ301*$F301</f>
        <v>0</v>
      </c>
      <c r="AK304" s="64">
        <f t="shared" si="241"/>
        <v>0</v>
      </c>
      <c r="AL304" s="123"/>
      <c r="AM304" s="91"/>
      <c r="AN304" s="91"/>
      <c r="AO304" s="91"/>
      <c r="AQ304" s="69">
        <f>SUM(U304:AO304)</f>
        <v>282000</v>
      </c>
      <c r="AR304" s="69">
        <f>+K304-AQ304</f>
        <v>0</v>
      </c>
      <c r="AT304" s="390"/>
      <c r="AV304" s="196"/>
      <c r="AW304" s="196"/>
      <c r="BA304" s="318">
        <f t="shared" si="231"/>
        <v>7252.13</v>
      </c>
    </row>
    <row r="305" spans="1:53" s="2" customFormat="1" ht="10.5" customHeight="1">
      <c r="A305" s="12"/>
      <c r="B305" s="15"/>
      <c r="C305" s="342">
        <v>69</v>
      </c>
      <c r="D305" s="348" t="str">
        <f>+'[1]Items Creados e Incrementados'!$C$82</f>
        <v>4.24 Reposición de Servicios Via Urbana</v>
      </c>
      <c r="E305" s="345" t="s">
        <v>241</v>
      </c>
      <c r="F305" s="372">
        <v>200076.3</v>
      </c>
      <c r="G305" s="284"/>
      <c r="H305" s="284">
        <v>1</v>
      </c>
      <c r="I305" s="327">
        <v>4.4838290000000003E-2</v>
      </c>
      <c r="J305" s="284"/>
      <c r="K305" s="284">
        <f>H305+J305</f>
        <v>1</v>
      </c>
      <c r="L305" s="284">
        <f>+H305-I305+J305</f>
        <v>0.96</v>
      </c>
      <c r="M305" s="59"/>
      <c r="N305" s="47" t="s">
        <v>162</v>
      </c>
      <c r="O305" s="253"/>
      <c r="P305" s="253"/>
      <c r="Q305" s="253"/>
      <c r="R305" s="253"/>
      <c r="S305" s="253"/>
      <c r="T305" s="253"/>
      <c r="U305" s="328">
        <f>+I305</f>
        <v>4.4838290000000003E-2</v>
      </c>
      <c r="V305" s="117"/>
      <c r="W305" s="92"/>
      <c r="X305" s="92"/>
      <c r="Y305" s="92"/>
      <c r="Z305" s="92"/>
      <c r="AA305" s="92"/>
      <c r="AB305" s="92"/>
      <c r="AC305" s="92"/>
      <c r="AD305" s="92"/>
      <c r="AE305" s="92"/>
      <c r="AF305" s="61">
        <v>0.2</v>
      </c>
      <c r="AG305" s="61">
        <v>0.2</v>
      </c>
      <c r="AH305" s="61">
        <v>0.3</v>
      </c>
      <c r="AI305" s="328">
        <v>0.25516169999999999</v>
      </c>
      <c r="AJ305" s="61"/>
      <c r="AK305" s="61"/>
      <c r="AL305" s="117"/>
      <c r="AM305" s="92"/>
      <c r="AN305" s="92"/>
      <c r="AO305" s="92"/>
      <c r="AQ305" s="330">
        <f>SUM(O305:AO305)</f>
        <v>0.99999998999999995</v>
      </c>
      <c r="AR305" s="329">
        <f>+K305-AQ305</f>
        <v>0</v>
      </c>
      <c r="AT305" s="372">
        <f>+F305*K305</f>
        <v>200076.3</v>
      </c>
      <c r="AV305" s="263">
        <f>SUM(W305:AO305)</f>
        <v>0.96</v>
      </c>
      <c r="AW305" s="263">
        <f>+L305-AV305</f>
        <v>0</v>
      </c>
      <c r="BA305" s="318">
        <f t="shared" si="231"/>
        <v>0.04</v>
      </c>
    </row>
    <row r="306" spans="1:53" s="2" customFormat="1" ht="10.5" customHeight="1">
      <c r="A306" s="10" t="s">
        <v>12</v>
      </c>
      <c r="B306" s="15"/>
      <c r="C306" s="343"/>
      <c r="D306" s="349"/>
      <c r="E306" s="346"/>
      <c r="F306" s="373"/>
      <c r="G306" s="277"/>
      <c r="H306" s="277"/>
      <c r="I306" s="277"/>
      <c r="J306" s="277"/>
      <c r="K306" s="277"/>
      <c r="L306" s="277"/>
      <c r="M306" s="59"/>
      <c r="N306" s="47" t="s">
        <v>163</v>
      </c>
      <c r="O306" s="254"/>
      <c r="P306" s="254"/>
      <c r="Q306" s="254"/>
      <c r="R306" s="254"/>
      <c r="S306" s="254"/>
      <c r="T306" s="254"/>
      <c r="U306" s="62">
        <f>+U305/$K305</f>
        <v>4.48E-2</v>
      </c>
      <c r="V306" s="117"/>
      <c r="W306" s="88"/>
      <c r="X306" s="88"/>
      <c r="Y306" s="88"/>
      <c r="Z306" s="88"/>
      <c r="AA306" s="88"/>
      <c r="AB306" s="88"/>
      <c r="AC306" s="88"/>
      <c r="AD306" s="88"/>
      <c r="AE306" s="88"/>
      <c r="AF306" s="62">
        <f t="shared" ref="AF306:AK306" si="242">+AF305/$K305</f>
        <v>0.2</v>
      </c>
      <c r="AG306" s="62">
        <f t="shared" si="242"/>
        <v>0.2</v>
      </c>
      <c r="AH306" s="62">
        <f t="shared" si="242"/>
        <v>0.3</v>
      </c>
      <c r="AI306" s="62">
        <f t="shared" si="242"/>
        <v>0.25519999999999998</v>
      </c>
      <c r="AJ306" s="62">
        <f t="shared" si="242"/>
        <v>0</v>
      </c>
      <c r="AK306" s="62">
        <f t="shared" si="242"/>
        <v>0</v>
      </c>
      <c r="AL306" s="117"/>
      <c r="AM306" s="88"/>
      <c r="AN306" s="88"/>
      <c r="AO306" s="88"/>
      <c r="AQ306" s="149">
        <f>SUM(U306:AO306)</f>
        <v>1</v>
      </c>
      <c r="AR306" s="146"/>
      <c r="AT306" s="389"/>
      <c r="AV306" s="266"/>
      <c r="AW306" s="266"/>
      <c r="BA306" s="318">
        <f t="shared" si="231"/>
        <v>0.04</v>
      </c>
    </row>
    <row r="307" spans="1:53" s="2" customFormat="1" ht="10.5" hidden="1" customHeight="1">
      <c r="A307" s="11" t="s">
        <v>13</v>
      </c>
      <c r="B307" s="15"/>
      <c r="C307" s="343"/>
      <c r="D307" s="349"/>
      <c r="E307" s="346"/>
      <c r="F307" s="373"/>
      <c r="G307" s="277"/>
      <c r="H307" s="277"/>
      <c r="I307" s="277"/>
      <c r="J307" s="277"/>
      <c r="K307" s="277"/>
      <c r="L307" s="277"/>
      <c r="M307" s="59"/>
      <c r="N307" s="48"/>
      <c r="O307" s="251"/>
      <c r="P307" s="251"/>
      <c r="Q307" s="251"/>
      <c r="R307" s="251"/>
      <c r="S307" s="251"/>
      <c r="T307" s="251"/>
      <c r="U307" s="93"/>
      <c r="V307" s="117"/>
      <c r="W307" s="88"/>
      <c r="X307" s="88"/>
      <c r="Y307" s="88"/>
      <c r="Z307" s="88"/>
      <c r="AA307" s="88"/>
      <c r="AB307" s="88"/>
      <c r="AC307" s="88"/>
      <c r="AD307" s="88"/>
      <c r="AE307" s="88"/>
      <c r="AF307" s="63"/>
      <c r="AG307" s="63"/>
      <c r="AH307" s="63"/>
      <c r="AI307" s="63"/>
      <c r="AJ307" s="63"/>
      <c r="AK307" s="63"/>
      <c r="AL307" s="117"/>
      <c r="AM307" s="88"/>
      <c r="AN307" s="88"/>
      <c r="AO307" s="88"/>
      <c r="AQ307" s="145"/>
      <c r="AR307" s="146"/>
      <c r="AT307" s="389"/>
      <c r="AV307" s="197"/>
      <c r="AW307" s="197"/>
      <c r="BA307" s="318">
        <f t="shared" si="231"/>
        <v>0</v>
      </c>
    </row>
    <row r="308" spans="1:53" s="2" customFormat="1" ht="10.5" customHeight="1">
      <c r="A308" s="12">
        <v>1</v>
      </c>
      <c r="B308" s="15"/>
      <c r="C308" s="344"/>
      <c r="D308" s="350"/>
      <c r="E308" s="347"/>
      <c r="F308" s="374"/>
      <c r="G308" s="307">
        <f>ROUND(G305*$F305,2)</f>
        <v>0</v>
      </c>
      <c r="H308" s="307">
        <f>ROUND(H305*$F305,2)</f>
        <v>200076.3</v>
      </c>
      <c r="I308" s="307">
        <f>ROUND(I305*$F305,2)</f>
        <v>8971.08</v>
      </c>
      <c r="J308" s="307">
        <f>J305*$F305</f>
        <v>0</v>
      </c>
      <c r="K308" s="307">
        <f>ROUND(K305*$F305,2)</f>
        <v>200076.3</v>
      </c>
      <c r="L308" s="307">
        <f>ROUND(L305*$F305,2)</f>
        <v>192073.25</v>
      </c>
      <c r="M308" s="60"/>
      <c r="N308" s="49" t="s">
        <v>164</v>
      </c>
      <c r="O308" s="256"/>
      <c r="P308" s="256"/>
      <c r="Q308" s="256"/>
      <c r="R308" s="256"/>
      <c r="S308" s="256"/>
      <c r="T308" s="256"/>
      <c r="U308" s="64">
        <f>U305*$F305</f>
        <v>8971.08</v>
      </c>
      <c r="V308" s="123"/>
      <c r="W308" s="91"/>
      <c r="X308" s="91"/>
      <c r="Y308" s="91"/>
      <c r="Z308" s="91"/>
      <c r="AA308" s="91"/>
      <c r="AB308" s="91"/>
      <c r="AC308" s="91"/>
      <c r="AD308" s="91"/>
      <c r="AE308" s="91"/>
      <c r="AF308" s="64">
        <f t="shared" ref="AF308:AK308" si="243">AF305*$F305</f>
        <v>40015.26</v>
      </c>
      <c r="AG308" s="64">
        <f t="shared" si="243"/>
        <v>40015.26</v>
      </c>
      <c r="AH308" s="64">
        <f t="shared" si="243"/>
        <v>60022.89</v>
      </c>
      <c r="AI308" s="64">
        <f t="shared" si="243"/>
        <v>51051.81</v>
      </c>
      <c r="AJ308" s="64">
        <f t="shared" si="243"/>
        <v>0</v>
      </c>
      <c r="AK308" s="64">
        <f t="shared" si="243"/>
        <v>0</v>
      </c>
      <c r="AL308" s="123"/>
      <c r="AM308" s="91"/>
      <c r="AN308" s="91"/>
      <c r="AO308" s="91"/>
      <c r="AQ308" s="69">
        <f>SUM(U308:AO308)</f>
        <v>200076.3</v>
      </c>
      <c r="AR308" s="69">
        <f>+K308-AQ308</f>
        <v>0</v>
      </c>
      <c r="AT308" s="390"/>
      <c r="AV308" s="196"/>
      <c r="AW308" s="196"/>
      <c r="BA308" s="318">
        <f t="shared" si="231"/>
        <v>8971.08</v>
      </c>
    </row>
    <row r="309" spans="1:53" s="2" customFormat="1" ht="10.5" customHeight="1">
      <c r="A309" s="12"/>
      <c r="B309" s="15"/>
      <c r="C309" s="342">
        <v>69</v>
      </c>
      <c r="D309" s="348" t="str">
        <f>+'[1]Items Creados e Incrementados'!$C$83</f>
        <v>4.25 Armado de Estructuras en suelo reforzado (0.5x1x6)</v>
      </c>
      <c r="E309" s="345" t="s">
        <v>235</v>
      </c>
      <c r="F309" s="372">
        <v>1598.69</v>
      </c>
      <c r="G309" s="284"/>
      <c r="H309" s="284">
        <v>360</v>
      </c>
      <c r="I309" s="284"/>
      <c r="J309" s="284"/>
      <c r="K309" s="284">
        <f>H309+J309</f>
        <v>360</v>
      </c>
      <c r="L309" s="284">
        <f>+H309-I309+J309</f>
        <v>360</v>
      </c>
      <c r="M309" s="59"/>
      <c r="N309" s="47" t="s">
        <v>162</v>
      </c>
      <c r="O309" s="253"/>
      <c r="P309" s="253"/>
      <c r="Q309" s="253"/>
      <c r="R309" s="253"/>
      <c r="S309" s="253"/>
      <c r="T309" s="253"/>
      <c r="U309" s="61">
        <f>+I309</f>
        <v>0</v>
      </c>
      <c r="V309" s="117"/>
      <c r="W309" s="92"/>
      <c r="X309" s="92"/>
      <c r="Y309" s="92"/>
      <c r="Z309" s="61">
        <v>60</v>
      </c>
      <c r="AA309" s="61">
        <v>60</v>
      </c>
      <c r="AB309" s="61">
        <v>60</v>
      </c>
      <c r="AC309" s="61">
        <v>60</v>
      </c>
      <c r="AD309" s="61">
        <v>60</v>
      </c>
      <c r="AE309" s="61">
        <v>60</v>
      </c>
      <c r="AF309" s="61"/>
      <c r="AG309" s="61"/>
      <c r="AH309" s="61"/>
      <c r="AI309" s="61"/>
      <c r="AJ309" s="61"/>
      <c r="AK309" s="61"/>
      <c r="AL309" s="117"/>
      <c r="AM309" s="92"/>
      <c r="AN309" s="92"/>
      <c r="AO309" s="92"/>
      <c r="AQ309" s="144">
        <f>SUM(O309:AO309)</f>
        <v>360</v>
      </c>
      <c r="AR309" s="144">
        <f>+K309-AQ309</f>
        <v>0</v>
      </c>
      <c r="AT309" s="372">
        <f>+F309*K309</f>
        <v>575528.4</v>
      </c>
      <c r="AV309" s="263">
        <f>SUM(W309:AO309)</f>
        <v>360</v>
      </c>
      <c r="AW309" s="263">
        <f>+L309-AV309</f>
        <v>0</v>
      </c>
      <c r="BA309" s="318">
        <f t="shared" si="231"/>
        <v>0</v>
      </c>
    </row>
    <row r="310" spans="1:53" s="2" customFormat="1" ht="10.5" customHeight="1">
      <c r="A310" s="10" t="s">
        <v>12</v>
      </c>
      <c r="B310" s="15"/>
      <c r="C310" s="343"/>
      <c r="D310" s="349"/>
      <c r="E310" s="346"/>
      <c r="F310" s="373"/>
      <c r="G310" s="277"/>
      <c r="H310" s="277"/>
      <c r="I310" s="277"/>
      <c r="J310" s="277"/>
      <c r="K310" s="277"/>
      <c r="L310" s="277"/>
      <c r="M310" s="59"/>
      <c r="N310" s="47" t="s">
        <v>163</v>
      </c>
      <c r="O310" s="254"/>
      <c r="P310" s="254"/>
      <c r="Q310" s="254"/>
      <c r="R310" s="254"/>
      <c r="S310" s="254"/>
      <c r="T310" s="254"/>
      <c r="U310" s="62">
        <f>+U309/$K309</f>
        <v>0</v>
      </c>
      <c r="V310" s="117"/>
      <c r="W310" s="88"/>
      <c r="X310" s="88"/>
      <c r="Y310" s="88"/>
      <c r="Z310" s="62">
        <f t="shared" ref="Z310:AK310" si="244">+Z309/$K309</f>
        <v>0.16669999999999999</v>
      </c>
      <c r="AA310" s="62">
        <f t="shared" si="244"/>
        <v>0.16669999999999999</v>
      </c>
      <c r="AB310" s="62">
        <f t="shared" si="244"/>
        <v>0.16669999999999999</v>
      </c>
      <c r="AC310" s="62">
        <f t="shared" si="244"/>
        <v>0.16669999999999999</v>
      </c>
      <c r="AD310" s="62">
        <f t="shared" si="244"/>
        <v>0.16669999999999999</v>
      </c>
      <c r="AE310" s="62">
        <f t="shared" si="244"/>
        <v>0.16669999999999999</v>
      </c>
      <c r="AF310" s="62">
        <f t="shared" si="244"/>
        <v>0</v>
      </c>
      <c r="AG310" s="62">
        <f t="shared" si="244"/>
        <v>0</v>
      </c>
      <c r="AH310" s="62">
        <f t="shared" si="244"/>
        <v>0</v>
      </c>
      <c r="AI310" s="62">
        <f t="shared" si="244"/>
        <v>0</v>
      </c>
      <c r="AJ310" s="62">
        <f t="shared" si="244"/>
        <v>0</v>
      </c>
      <c r="AK310" s="62">
        <f t="shared" si="244"/>
        <v>0</v>
      </c>
      <c r="AL310" s="117"/>
      <c r="AM310" s="88"/>
      <c r="AN310" s="88"/>
      <c r="AO310" s="88"/>
      <c r="AQ310" s="149">
        <f>SUM(U310:AO310)</f>
        <v>1.0002</v>
      </c>
      <c r="AR310" s="146"/>
      <c r="AT310" s="389"/>
      <c r="AV310" s="266"/>
      <c r="AW310" s="266"/>
      <c r="BA310" s="318">
        <f t="shared" si="231"/>
        <v>0</v>
      </c>
    </row>
    <row r="311" spans="1:53" s="2" customFormat="1" ht="10.5" hidden="1" customHeight="1">
      <c r="A311" s="11" t="s">
        <v>13</v>
      </c>
      <c r="B311" s="15"/>
      <c r="C311" s="343"/>
      <c r="D311" s="349"/>
      <c r="E311" s="346"/>
      <c r="F311" s="373"/>
      <c r="G311" s="277"/>
      <c r="H311" s="277"/>
      <c r="I311" s="277"/>
      <c r="J311" s="277"/>
      <c r="K311" s="277"/>
      <c r="L311" s="277"/>
      <c r="M311" s="59"/>
      <c r="N311" s="48"/>
      <c r="O311" s="251"/>
      <c r="P311" s="251"/>
      <c r="Q311" s="251"/>
      <c r="R311" s="251"/>
      <c r="S311" s="251"/>
      <c r="T311" s="251"/>
      <c r="U311" s="93"/>
      <c r="V311" s="117"/>
      <c r="W311" s="88"/>
      <c r="X311" s="88"/>
      <c r="Y311" s="88"/>
      <c r="Z311" s="63"/>
      <c r="AA311" s="63"/>
      <c r="AB311" s="63"/>
      <c r="AC311" s="63"/>
      <c r="AD311" s="63"/>
      <c r="AE311" s="63"/>
      <c r="AF311" s="63"/>
      <c r="AG311" s="63"/>
      <c r="AH311" s="63"/>
      <c r="AI311" s="63"/>
      <c r="AJ311" s="63"/>
      <c r="AK311" s="63"/>
      <c r="AL311" s="117"/>
      <c r="AM311" s="88"/>
      <c r="AN311" s="88"/>
      <c r="AO311" s="88"/>
      <c r="AQ311" s="145"/>
      <c r="AR311" s="146"/>
      <c r="AT311" s="389"/>
      <c r="AV311" s="197"/>
      <c r="AW311" s="197"/>
      <c r="BA311" s="318">
        <f t="shared" si="231"/>
        <v>0</v>
      </c>
    </row>
    <row r="312" spans="1:53" s="2" customFormat="1" ht="10.5" customHeight="1">
      <c r="A312" s="12">
        <v>1</v>
      </c>
      <c r="B312" s="15"/>
      <c r="C312" s="344"/>
      <c r="D312" s="350"/>
      <c r="E312" s="347"/>
      <c r="F312" s="374"/>
      <c r="G312" s="307">
        <f>ROUND(G309*$F309,2)</f>
        <v>0</v>
      </c>
      <c r="H312" s="307">
        <f>ROUND(H309*$F309,2)</f>
        <v>575528.4</v>
      </c>
      <c r="I312" s="307">
        <f>ROUND(I309*$F309,2)</f>
        <v>0</v>
      </c>
      <c r="J312" s="307">
        <f>J309*$F309</f>
        <v>0</v>
      </c>
      <c r="K312" s="307">
        <f>ROUND(K309*$F309,2)</f>
        <v>575528.4</v>
      </c>
      <c r="L312" s="307">
        <f>ROUND(L309*$F309,2)</f>
        <v>575528.4</v>
      </c>
      <c r="M312" s="60"/>
      <c r="N312" s="49" t="s">
        <v>164</v>
      </c>
      <c r="O312" s="256"/>
      <c r="P312" s="256"/>
      <c r="Q312" s="256"/>
      <c r="R312" s="256"/>
      <c r="S312" s="256"/>
      <c r="T312" s="256"/>
      <c r="U312" s="64">
        <f>U309*$F309</f>
        <v>0</v>
      </c>
      <c r="V312" s="123"/>
      <c r="W312" s="91"/>
      <c r="X312" s="91"/>
      <c r="Y312" s="91"/>
      <c r="Z312" s="64">
        <f t="shared" ref="Z312:AK312" si="245">Z309*$F309</f>
        <v>95921.4</v>
      </c>
      <c r="AA312" s="64">
        <f t="shared" si="245"/>
        <v>95921.4</v>
      </c>
      <c r="AB312" s="64">
        <f t="shared" si="245"/>
        <v>95921.4</v>
      </c>
      <c r="AC312" s="64">
        <f t="shared" si="245"/>
        <v>95921.4</v>
      </c>
      <c r="AD312" s="64">
        <f t="shared" si="245"/>
        <v>95921.4</v>
      </c>
      <c r="AE312" s="64">
        <f t="shared" si="245"/>
        <v>95921.4</v>
      </c>
      <c r="AF312" s="64">
        <f t="shared" si="245"/>
        <v>0</v>
      </c>
      <c r="AG312" s="64">
        <f t="shared" si="245"/>
        <v>0</v>
      </c>
      <c r="AH312" s="64">
        <f t="shared" si="245"/>
        <v>0</v>
      </c>
      <c r="AI312" s="64">
        <f t="shared" si="245"/>
        <v>0</v>
      </c>
      <c r="AJ312" s="64">
        <f t="shared" si="245"/>
        <v>0</v>
      </c>
      <c r="AK312" s="64">
        <f t="shared" si="245"/>
        <v>0</v>
      </c>
      <c r="AL312" s="123"/>
      <c r="AM312" s="91"/>
      <c r="AN312" s="91"/>
      <c r="AO312" s="91"/>
      <c r="AQ312" s="69">
        <f>SUM(U312:AO312)</f>
        <v>575528.4</v>
      </c>
      <c r="AR312" s="69">
        <f>+K312-AQ312</f>
        <v>0</v>
      </c>
      <c r="AT312" s="390"/>
      <c r="AV312" s="196"/>
      <c r="AW312" s="196"/>
      <c r="BA312" s="318">
        <f t="shared" si="231"/>
        <v>0</v>
      </c>
    </row>
    <row r="313" spans="1:53" s="2" customFormat="1" ht="10.5" customHeight="1">
      <c r="A313" s="12"/>
      <c r="B313" s="15"/>
      <c r="C313" s="342">
        <v>69</v>
      </c>
      <c r="D313" s="348" t="str">
        <f>+'[1]Items Creados e Incrementados'!$C$84</f>
        <v>4.26 Armado de Estructuras en suelo reforzado (0.5x1x7)</v>
      </c>
      <c r="E313" s="345" t="s">
        <v>235</v>
      </c>
      <c r="F313" s="372">
        <v>1749.53</v>
      </c>
      <c r="G313" s="284"/>
      <c r="H313" s="284">
        <v>180</v>
      </c>
      <c r="I313" s="284"/>
      <c r="J313" s="284"/>
      <c r="K313" s="284">
        <f>H313+J313</f>
        <v>180</v>
      </c>
      <c r="L313" s="284">
        <f>+H313-I313+J313</f>
        <v>180</v>
      </c>
      <c r="M313" s="59"/>
      <c r="N313" s="47" t="s">
        <v>162</v>
      </c>
      <c r="O313" s="253"/>
      <c r="P313" s="253"/>
      <c r="Q313" s="253"/>
      <c r="R313" s="253"/>
      <c r="S313" s="253"/>
      <c r="T313" s="253"/>
      <c r="U313" s="61">
        <f>+I313</f>
        <v>0</v>
      </c>
      <c r="V313" s="117"/>
      <c r="W313" s="92"/>
      <c r="X313" s="92"/>
      <c r="Y313" s="92"/>
      <c r="Z313" s="61">
        <v>30</v>
      </c>
      <c r="AA313" s="61">
        <v>30</v>
      </c>
      <c r="AB313" s="61">
        <v>30</v>
      </c>
      <c r="AC313" s="61">
        <v>30</v>
      </c>
      <c r="AD313" s="61">
        <v>30</v>
      </c>
      <c r="AE313" s="61">
        <v>30</v>
      </c>
      <c r="AF313" s="61"/>
      <c r="AG313" s="61"/>
      <c r="AH313" s="61"/>
      <c r="AI313" s="61"/>
      <c r="AJ313" s="61"/>
      <c r="AK313" s="61"/>
      <c r="AL313" s="117"/>
      <c r="AM313" s="92"/>
      <c r="AN313" s="92"/>
      <c r="AO313" s="92"/>
      <c r="AQ313" s="144">
        <f>SUM(O313:AO313)</f>
        <v>180</v>
      </c>
      <c r="AR313" s="144">
        <f>+K313-AQ313</f>
        <v>0</v>
      </c>
      <c r="AT313" s="372">
        <f>+F313*K313</f>
        <v>314915.40000000002</v>
      </c>
      <c r="AV313" s="263">
        <f>SUM(W313:AO313)</f>
        <v>180</v>
      </c>
      <c r="AW313" s="263">
        <f>+L313-AV313</f>
        <v>0</v>
      </c>
      <c r="BA313" s="318">
        <f t="shared" si="231"/>
        <v>0</v>
      </c>
    </row>
    <row r="314" spans="1:53" s="2" customFormat="1" ht="10.5" customHeight="1">
      <c r="A314" s="10" t="s">
        <v>12</v>
      </c>
      <c r="B314" s="15"/>
      <c r="C314" s="343"/>
      <c r="D314" s="349"/>
      <c r="E314" s="346"/>
      <c r="F314" s="373"/>
      <c r="G314" s="277"/>
      <c r="H314" s="277"/>
      <c r="I314" s="277"/>
      <c r="J314" s="277"/>
      <c r="K314" s="277"/>
      <c r="L314" s="277"/>
      <c r="M314" s="59"/>
      <c r="N314" s="47" t="s">
        <v>163</v>
      </c>
      <c r="O314" s="254"/>
      <c r="P314" s="254"/>
      <c r="Q314" s="254"/>
      <c r="R314" s="254"/>
      <c r="S314" s="254"/>
      <c r="T314" s="254"/>
      <c r="U314" s="62">
        <f>+U313/$K313</f>
        <v>0</v>
      </c>
      <c r="V314" s="117"/>
      <c r="W314" s="88"/>
      <c r="X314" s="88"/>
      <c r="Y314" s="88"/>
      <c r="Z314" s="62">
        <f t="shared" ref="Z314:AK314" si="246">+Z313/$K313</f>
        <v>0.16669999999999999</v>
      </c>
      <c r="AA314" s="62">
        <f t="shared" si="246"/>
        <v>0.16669999999999999</v>
      </c>
      <c r="AB314" s="62">
        <f t="shared" si="246"/>
        <v>0.16669999999999999</v>
      </c>
      <c r="AC314" s="62">
        <f t="shared" si="246"/>
        <v>0.16669999999999999</v>
      </c>
      <c r="AD314" s="62">
        <f t="shared" si="246"/>
        <v>0.16669999999999999</v>
      </c>
      <c r="AE314" s="62">
        <f t="shared" si="246"/>
        <v>0.16669999999999999</v>
      </c>
      <c r="AF314" s="62">
        <f t="shared" si="246"/>
        <v>0</v>
      </c>
      <c r="AG314" s="62">
        <f t="shared" si="246"/>
        <v>0</v>
      </c>
      <c r="AH314" s="62">
        <f t="shared" si="246"/>
        <v>0</v>
      </c>
      <c r="AI314" s="62">
        <f t="shared" si="246"/>
        <v>0</v>
      </c>
      <c r="AJ314" s="62">
        <f t="shared" si="246"/>
        <v>0</v>
      </c>
      <c r="AK314" s="62">
        <f t="shared" si="246"/>
        <v>0</v>
      </c>
      <c r="AL314" s="117"/>
      <c r="AM314" s="88"/>
      <c r="AN314" s="88"/>
      <c r="AO314" s="88"/>
      <c r="AQ314" s="149">
        <f>SUM(U314:AO314)</f>
        <v>1.0002</v>
      </c>
      <c r="AR314" s="146"/>
      <c r="AT314" s="389"/>
      <c r="AV314" s="266"/>
      <c r="AW314" s="266"/>
      <c r="BA314" s="318">
        <f t="shared" si="231"/>
        <v>0</v>
      </c>
    </row>
    <row r="315" spans="1:53" s="2" customFormat="1" ht="10.5" hidden="1" customHeight="1">
      <c r="A315" s="11" t="s">
        <v>13</v>
      </c>
      <c r="B315" s="15"/>
      <c r="C315" s="343"/>
      <c r="D315" s="349"/>
      <c r="E315" s="346"/>
      <c r="F315" s="373"/>
      <c r="G315" s="277"/>
      <c r="H315" s="277"/>
      <c r="I315" s="277"/>
      <c r="J315" s="277"/>
      <c r="K315" s="277"/>
      <c r="L315" s="277"/>
      <c r="M315" s="59"/>
      <c r="N315" s="48"/>
      <c r="O315" s="251"/>
      <c r="P315" s="251"/>
      <c r="Q315" s="251"/>
      <c r="R315" s="251"/>
      <c r="S315" s="251"/>
      <c r="T315" s="251"/>
      <c r="U315" s="93"/>
      <c r="V315" s="117"/>
      <c r="W315" s="88"/>
      <c r="X315" s="88"/>
      <c r="Y315" s="88"/>
      <c r="Z315" s="63"/>
      <c r="AA315" s="63"/>
      <c r="AB315" s="63"/>
      <c r="AC315" s="63"/>
      <c r="AD315" s="63"/>
      <c r="AE315" s="63"/>
      <c r="AF315" s="63"/>
      <c r="AG315" s="63"/>
      <c r="AH315" s="63"/>
      <c r="AI315" s="63"/>
      <c r="AJ315" s="63"/>
      <c r="AK315" s="63"/>
      <c r="AL315" s="117"/>
      <c r="AM315" s="88"/>
      <c r="AN315" s="88"/>
      <c r="AO315" s="88"/>
      <c r="AQ315" s="145"/>
      <c r="AR315" s="146"/>
      <c r="AT315" s="389"/>
      <c r="AV315" s="197"/>
      <c r="AW315" s="197"/>
      <c r="BA315" s="318">
        <f t="shared" si="231"/>
        <v>0</v>
      </c>
    </row>
    <row r="316" spans="1:53" s="2" customFormat="1" ht="10.5" customHeight="1">
      <c r="A316" s="12">
        <v>1</v>
      </c>
      <c r="B316" s="15"/>
      <c r="C316" s="344"/>
      <c r="D316" s="350"/>
      <c r="E316" s="347"/>
      <c r="F316" s="374"/>
      <c r="G316" s="307">
        <f>ROUND(G313*$F313,2)</f>
        <v>0</v>
      </c>
      <c r="H316" s="307">
        <f>ROUND(H313*$F313,2)</f>
        <v>314915.40000000002</v>
      </c>
      <c r="I316" s="307">
        <f>ROUND(I313*$F313,2)</f>
        <v>0</v>
      </c>
      <c r="J316" s="307">
        <f>J313*$F313</f>
        <v>0</v>
      </c>
      <c r="K316" s="307">
        <f>ROUND(K313*$F313,2)</f>
        <v>314915.40000000002</v>
      </c>
      <c r="L316" s="307">
        <f>ROUND(L313*$F313,2)</f>
        <v>314915.40000000002</v>
      </c>
      <c r="M316" s="60"/>
      <c r="N316" s="49" t="s">
        <v>164</v>
      </c>
      <c r="O316" s="256"/>
      <c r="P316" s="256"/>
      <c r="Q316" s="256"/>
      <c r="R316" s="256"/>
      <c r="S316" s="256"/>
      <c r="T316" s="256"/>
      <c r="U316" s="64">
        <f>U313*$F313</f>
        <v>0</v>
      </c>
      <c r="V316" s="123"/>
      <c r="W316" s="91"/>
      <c r="X316" s="91"/>
      <c r="Y316" s="91"/>
      <c r="Z316" s="64">
        <f t="shared" ref="Z316:AK316" si="247">Z313*$F313</f>
        <v>52485.9</v>
      </c>
      <c r="AA316" s="64">
        <f t="shared" si="247"/>
        <v>52485.9</v>
      </c>
      <c r="AB316" s="64">
        <f t="shared" si="247"/>
        <v>52485.9</v>
      </c>
      <c r="AC316" s="64">
        <f t="shared" si="247"/>
        <v>52485.9</v>
      </c>
      <c r="AD316" s="64">
        <f t="shared" si="247"/>
        <v>52485.9</v>
      </c>
      <c r="AE316" s="64">
        <f t="shared" si="247"/>
        <v>52485.9</v>
      </c>
      <c r="AF316" s="64">
        <f t="shared" si="247"/>
        <v>0</v>
      </c>
      <c r="AG316" s="64">
        <f t="shared" si="247"/>
        <v>0</v>
      </c>
      <c r="AH316" s="64">
        <f t="shared" si="247"/>
        <v>0</v>
      </c>
      <c r="AI316" s="64">
        <f t="shared" si="247"/>
        <v>0</v>
      </c>
      <c r="AJ316" s="64">
        <f t="shared" si="247"/>
        <v>0</v>
      </c>
      <c r="AK316" s="64">
        <f t="shared" si="247"/>
        <v>0</v>
      </c>
      <c r="AL316" s="123"/>
      <c r="AM316" s="91"/>
      <c r="AN316" s="91"/>
      <c r="AO316" s="91"/>
      <c r="AQ316" s="69">
        <f>SUM(U316:AO316)</f>
        <v>314915.40000000002</v>
      </c>
      <c r="AR316" s="69">
        <f>+K316-AQ316</f>
        <v>0</v>
      </c>
      <c r="AT316" s="390"/>
      <c r="AV316" s="196"/>
      <c r="AW316" s="196"/>
      <c r="BA316" s="318">
        <f t="shared" si="231"/>
        <v>0</v>
      </c>
    </row>
    <row r="317" spans="1:53" s="2" customFormat="1" ht="10.5" customHeight="1">
      <c r="A317" s="12"/>
      <c r="B317" s="15"/>
      <c r="C317" s="342">
        <v>69</v>
      </c>
      <c r="D317" s="348" t="str">
        <f>+'[1]Items Creados e Incrementados'!$C$85</f>
        <v>4.27 Armado de Estructuras en suelo reforzado (1x1x4)</v>
      </c>
      <c r="E317" s="345" t="s">
        <v>235</v>
      </c>
      <c r="F317" s="372">
        <v>1006.46</v>
      </c>
      <c r="G317" s="284"/>
      <c r="H317" s="284">
        <v>1140</v>
      </c>
      <c r="I317" s="284"/>
      <c r="J317" s="284"/>
      <c r="K317" s="284">
        <f>H317+J317</f>
        <v>1140</v>
      </c>
      <c r="L317" s="284">
        <f>+H317-I317+J317</f>
        <v>1140</v>
      </c>
      <c r="M317" s="59"/>
      <c r="N317" s="47" t="s">
        <v>162</v>
      </c>
      <c r="O317" s="253"/>
      <c r="P317" s="253"/>
      <c r="Q317" s="253"/>
      <c r="R317" s="253"/>
      <c r="S317" s="253"/>
      <c r="T317" s="253"/>
      <c r="U317" s="61">
        <f>+I317</f>
        <v>0</v>
      </c>
      <c r="V317" s="117"/>
      <c r="W317" s="92"/>
      <c r="X317" s="92"/>
      <c r="Y317" s="92"/>
      <c r="Z317" s="61">
        <v>190</v>
      </c>
      <c r="AA317" s="61">
        <v>190</v>
      </c>
      <c r="AB317" s="61">
        <v>190</v>
      </c>
      <c r="AC317" s="61">
        <v>190</v>
      </c>
      <c r="AD317" s="61">
        <v>190</v>
      </c>
      <c r="AE317" s="61">
        <v>190</v>
      </c>
      <c r="AF317" s="61"/>
      <c r="AG317" s="61"/>
      <c r="AH317" s="61"/>
      <c r="AI317" s="61"/>
      <c r="AJ317" s="61"/>
      <c r="AK317" s="61"/>
      <c r="AL317" s="117"/>
      <c r="AM317" s="92"/>
      <c r="AN317" s="92"/>
      <c r="AO317" s="92"/>
      <c r="AQ317" s="144">
        <f>SUM(O317:AO317)</f>
        <v>1140</v>
      </c>
      <c r="AR317" s="144">
        <f>+K317-AQ317</f>
        <v>0</v>
      </c>
      <c r="AT317" s="372">
        <f>+F317*K317</f>
        <v>1147364.3999999999</v>
      </c>
      <c r="AV317" s="263">
        <f>SUM(W317:AO317)</f>
        <v>1140</v>
      </c>
      <c r="AW317" s="263">
        <f>+L317-AV317</f>
        <v>0</v>
      </c>
      <c r="BA317" s="318">
        <f t="shared" si="231"/>
        <v>0</v>
      </c>
    </row>
    <row r="318" spans="1:53" s="2" customFormat="1" ht="10.5" customHeight="1">
      <c r="A318" s="10" t="s">
        <v>12</v>
      </c>
      <c r="B318" s="15"/>
      <c r="C318" s="343"/>
      <c r="D318" s="349"/>
      <c r="E318" s="346"/>
      <c r="F318" s="373"/>
      <c r="G318" s="277"/>
      <c r="H318" s="277"/>
      <c r="I318" s="277"/>
      <c r="J318" s="277"/>
      <c r="K318" s="277"/>
      <c r="L318" s="277"/>
      <c r="M318" s="59"/>
      <c r="N318" s="47" t="s">
        <v>163</v>
      </c>
      <c r="O318" s="254"/>
      <c r="P318" s="254"/>
      <c r="Q318" s="254"/>
      <c r="R318" s="254"/>
      <c r="S318" s="254"/>
      <c r="T318" s="254"/>
      <c r="U318" s="62">
        <f>+U317/$K317</f>
        <v>0</v>
      </c>
      <c r="V318" s="117"/>
      <c r="W318" s="88"/>
      <c r="X318" s="88"/>
      <c r="Y318" s="88"/>
      <c r="Z318" s="62">
        <f t="shared" ref="Z318:AK318" si="248">+Z317/$K317</f>
        <v>0.16669999999999999</v>
      </c>
      <c r="AA318" s="62">
        <f t="shared" si="248"/>
        <v>0.16669999999999999</v>
      </c>
      <c r="AB318" s="62">
        <f t="shared" si="248"/>
        <v>0.16669999999999999</v>
      </c>
      <c r="AC318" s="62">
        <f t="shared" si="248"/>
        <v>0.16669999999999999</v>
      </c>
      <c r="AD318" s="62">
        <f t="shared" si="248"/>
        <v>0.16669999999999999</v>
      </c>
      <c r="AE318" s="62">
        <f t="shared" si="248"/>
        <v>0.16669999999999999</v>
      </c>
      <c r="AF318" s="62">
        <f t="shared" si="248"/>
        <v>0</v>
      </c>
      <c r="AG318" s="62">
        <f t="shared" si="248"/>
        <v>0</v>
      </c>
      <c r="AH318" s="62">
        <f t="shared" si="248"/>
        <v>0</v>
      </c>
      <c r="AI318" s="62">
        <f t="shared" si="248"/>
        <v>0</v>
      </c>
      <c r="AJ318" s="62">
        <f t="shared" si="248"/>
        <v>0</v>
      </c>
      <c r="AK318" s="62">
        <f t="shared" si="248"/>
        <v>0</v>
      </c>
      <c r="AL318" s="117"/>
      <c r="AM318" s="88"/>
      <c r="AN318" s="88"/>
      <c r="AO318" s="88"/>
      <c r="AQ318" s="149">
        <f>SUM(U318:AO318)</f>
        <v>1.0002</v>
      </c>
      <c r="AR318" s="146"/>
      <c r="AT318" s="389"/>
      <c r="AV318" s="266"/>
      <c r="AW318" s="266"/>
      <c r="BA318" s="318">
        <f t="shared" si="231"/>
        <v>0</v>
      </c>
    </row>
    <row r="319" spans="1:53" s="2" customFormat="1" ht="10.5" hidden="1" customHeight="1">
      <c r="A319" s="11" t="s">
        <v>13</v>
      </c>
      <c r="B319" s="15"/>
      <c r="C319" s="343"/>
      <c r="D319" s="349"/>
      <c r="E319" s="346"/>
      <c r="F319" s="373"/>
      <c r="G319" s="277"/>
      <c r="H319" s="277"/>
      <c r="I319" s="277"/>
      <c r="J319" s="277"/>
      <c r="K319" s="277"/>
      <c r="L319" s="277"/>
      <c r="M319" s="59"/>
      <c r="N319" s="48"/>
      <c r="O319" s="251"/>
      <c r="P319" s="251"/>
      <c r="Q319" s="251"/>
      <c r="R319" s="251"/>
      <c r="S319" s="251"/>
      <c r="T319" s="251"/>
      <c r="U319" s="93"/>
      <c r="V319" s="117"/>
      <c r="W319" s="88"/>
      <c r="X319" s="88"/>
      <c r="Y319" s="88"/>
      <c r="Z319" s="63"/>
      <c r="AA319" s="63"/>
      <c r="AB319" s="63"/>
      <c r="AC319" s="63"/>
      <c r="AD319" s="63"/>
      <c r="AE319" s="63"/>
      <c r="AF319" s="63"/>
      <c r="AG319" s="63"/>
      <c r="AH319" s="63"/>
      <c r="AI319" s="63"/>
      <c r="AJ319" s="63"/>
      <c r="AK319" s="63"/>
      <c r="AL319" s="117"/>
      <c r="AM319" s="88"/>
      <c r="AN319" s="88"/>
      <c r="AO319" s="88"/>
      <c r="AQ319" s="145"/>
      <c r="AR319" s="146"/>
      <c r="AT319" s="389"/>
      <c r="AV319" s="197"/>
      <c r="AW319" s="197"/>
      <c r="BA319" s="318">
        <f t="shared" si="231"/>
        <v>0</v>
      </c>
    </row>
    <row r="320" spans="1:53" s="2" customFormat="1" ht="10.5" customHeight="1">
      <c r="A320" s="12">
        <v>1</v>
      </c>
      <c r="B320" s="15"/>
      <c r="C320" s="344"/>
      <c r="D320" s="350"/>
      <c r="E320" s="347"/>
      <c r="F320" s="374"/>
      <c r="G320" s="307">
        <f>ROUND(G317*$F317,2)</f>
        <v>0</v>
      </c>
      <c r="H320" s="307">
        <f>ROUND(H317*$F317,2)</f>
        <v>1147364.3999999999</v>
      </c>
      <c r="I320" s="307">
        <f>ROUND(I317*$F317,2)</f>
        <v>0</v>
      </c>
      <c r="J320" s="307">
        <f>J317*$F317</f>
        <v>0</v>
      </c>
      <c r="K320" s="307">
        <f>ROUND(K317*$F317,2)</f>
        <v>1147364.3999999999</v>
      </c>
      <c r="L320" s="307">
        <f>ROUND(L317*$F317,2)</f>
        <v>1147364.3999999999</v>
      </c>
      <c r="M320" s="60"/>
      <c r="N320" s="49" t="s">
        <v>164</v>
      </c>
      <c r="O320" s="256"/>
      <c r="P320" s="256"/>
      <c r="Q320" s="256"/>
      <c r="R320" s="256"/>
      <c r="S320" s="256"/>
      <c r="T320" s="256"/>
      <c r="U320" s="64">
        <f>U317*$F317</f>
        <v>0</v>
      </c>
      <c r="V320" s="123"/>
      <c r="W320" s="91"/>
      <c r="X320" s="91"/>
      <c r="Y320" s="91"/>
      <c r="Z320" s="64">
        <f t="shared" ref="Z320:AK320" si="249">Z317*$F317</f>
        <v>191227.4</v>
      </c>
      <c r="AA320" s="64">
        <f t="shared" si="249"/>
        <v>191227.4</v>
      </c>
      <c r="AB320" s="64">
        <f t="shared" si="249"/>
        <v>191227.4</v>
      </c>
      <c r="AC320" s="64">
        <f t="shared" si="249"/>
        <v>191227.4</v>
      </c>
      <c r="AD320" s="64">
        <f t="shared" si="249"/>
        <v>191227.4</v>
      </c>
      <c r="AE320" s="64">
        <f t="shared" si="249"/>
        <v>191227.4</v>
      </c>
      <c r="AF320" s="64">
        <f t="shared" si="249"/>
        <v>0</v>
      </c>
      <c r="AG320" s="64">
        <f t="shared" si="249"/>
        <v>0</v>
      </c>
      <c r="AH320" s="64">
        <f t="shared" si="249"/>
        <v>0</v>
      </c>
      <c r="AI320" s="64">
        <f t="shared" si="249"/>
        <v>0</v>
      </c>
      <c r="AJ320" s="64">
        <f t="shared" si="249"/>
        <v>0</v>
      </c>
      <c r="AK320" s="64">
        <f t="shared" si="249"/>
        <v>0</v>
      </c>
      <c r="AL320" s="123"/>
      <c r="AM320" s="91"/>
      <c r="AN320" s="91"/>
      <c r="AO320" s="91"/>
      <c r="AQ320" s="69">
        <f>SUM(U320:AO320)</f>
        <v>1147364.3999999999</v>
      </c>
      <c r="AR320" s="69">
        <f>+K320-AQ320</f>
        <v>0</v>
      </c>
      <c r="AT320" s="390"/>
      <c r="AV320" s="196"/>
      <c r="AW320" s="196"/>
      <c r="BA320" s="318">
        <f t="shared" si="231"/>
        <v>0</v>
      </c>
    </row>
    <row r="321" spans="1:58" s="2" customFormat="1" ht="10.5" customHeight="1">
      <c r="A321" s="12"/>
      <c r="B321" s="15"/>
      <c r="C321" s="342">
        <v>69</v>
      </c>
      <c r="D321" s="348" t="str">
        <f>+'[1]Items Creados e Incrementados'!$C$86</f>
        <v>4.28 Armado de Estructuras en suelo reforzado (1x1x5)</v>
      </c>
      <c r="E321" s="345" t="s">
        <v>235</v>
      </c>
      <c r="F321" s="372">
        <v>1142.3499999999999</v>
      </c>
      <c r="G321" s="284"/>
      <c r="H321" s="284">
        <v>420</v>
      </c>
      <c r="I321" s="284"/>
      <c r="J321" s="284"/>
      <c r="K321" s="284">
        <f>H321+J321</f>
        <v>420</v>
      </c>
      <c r="L321" s="284">
        <f>+H321-I321+J321</f>
        <v>420</v>
      </c>
      <c r="M321" s="59"/>
      <c r="N321" s="47" t="s">
        <v>162</v>
      </c>
      <c r="O321" s="253"/>
      <c r="P321" s="253"/>
      <c r="Q321" s="253"/>
      <c r="R321" s="253"/>
      <c r="S321" s="253"/>
      <c r="T321" s="253"/>
      <c r="U321" s="61">
        <f>+I321</f>
        <v>0</v>
      </c>
      <c r="V321" s="117"/>
      <c r="W321" s="92"/>
      <c r="X321" s="92"/>
      <c r="Y321" s="92"/>
      <c r="Z321" s="61">
        <v>70</v>
      </c>
      <c r="AA321" s="61">
        <v>70</v>
      </c>
      <c r="AB321" s="61">
        <v>70</v>
      </c>
      <c r="AC321" s="61">
        <v>70</v>
      </c>
      <c r="AD321" s="61">
        <v>70</v>
      </c>
      <c r="AE321" s="61">
        <v>70</v>
      </c>
      <c r="AF321" s="61"/>
      <c r="AG321" s="61"/>
      <c r="AH321" s="61"/>
      <c r="AI321" s="61"/>
      <c r="AJ321" s="61"/>
      <c r="AK321" s="61"/>
      <c r="AL321" s="117"/>
      <c r="AM321" s="92"/>
      <c r="AN321" s="92"/>
      <c r="AO321" s="92"/>
      <c r="AQ321" s="144">
        <f>SUM(O321:AO321)</f>
        <v>420</v>
      </c>
      <c r="AR321" s="144">
        <f>+K321-AQ321</f>
        <v>0</v>
      </c>
      <c r="AT321" s="372">
        <f>+F321*K321</f>
        <v>479787</v>
      </c>
      <c r="AV321" s="263">
        <f>SUM(W321:AO321)</f>
        <v>420</v>
      </c>
      <c r="AW321" s="263">
        <f>+L321-AV321</f>
        <v>0</v>
      </c>
      <c r="BA321" s="318">
        <f t="shared" si="231"/>
        <v>0</v>
      </c>
    </row>
    <row r="322" spans="1:58" s="2" customFormat="1" ht="10.5" customHeight="1">
      <c r="A322" s="10" t="s">
        <v>12</v>
      </c>
      <c r="B322" s="15"/>
      <c r="C322" s="343"/>
      <c r="D322" s="349"/>
      <c r="E322" s="346"/>
      <c r="F322" s="373"/>
      <c r="G322" s="277"/>
      <c r="H322" s="277"/>
      <c r="I322" s="277"/>
      <c r="J322" s="277"/>
      <c r="K322" s="277"/>
      <c r="L322" s="277"/>
      <c r="M322" s="59"/>
      <c r="N322" s="47" t="s">
        <v>163</v>
      </c>
      <c r="O322" s="254"/>
      <c r="P322" s="254"/>
      <c r="Q322" s="254"/>
      <c r="R322" s="254"/>
      <c r="S322" s="254"/>
      <c r="T322" s="254"/>
      <c r="U322" s="62">
        <f>+U321/$K321</f>
        <v>0</v>
      </c>
      <c r="V322" s="117"/>
      <c r="W322" s="88"/>
      <c r="X322" s="88"/>
      <c r="Y322" s="88"/>
      <c r="Z322" s="62">
        <f t="shared" ref="Z322:AK322" si="250">+Z321/$K321</f>
        <v>0.16669999999999999</v>
      </c>
      <c r="AA322" s="62">
        <f t="shared" si="250"/>
        <v>0.16669999999999999</v>
      </c>
      <c r="AB322" s="62">
        <f t="shared" si="250"/>
        <v>0.16669999999999999</v>
      </c>
      <c r="AC322" s="62">
        <f t="shared" si="250"/>
        <v>0.16669999999999999</v>
      </c>
      <c r="AD322" s="62">
        <f t="shared" si="250"/>
        <v>0.16669999999999999</v>
      </c>
      <c r="AE322" s="62">
        <f t="shared" si="250"/>
        <v>0.16669999999999999</v>
      </c>
      <c r="AF322" s="62">
        <f t="shared" si="250"/>
        <v>0</v>
      </c>
      <c r="AG322" s="62">
        <f t="shared" si="250"/>
        <v>0</v>
      </c>
      <c r="AH322" s="62">
        <f t="shared" si="250"/>
        <v>0</v>
      </c>
      <c r="AI322" s="62">
        <f t="shared" si="250"/>
        <v>0</v>
      </c>
      <c r="AJ322" s="62">
        <f t="shared" si="250"/>
        <v>0</v>
      </c>
      <c r="AK322" s="62">
        <f t="shared" si="250"/>
        <v>0</v>
      </c>
      <c r="AL322" s="117"/>
      <c r="AM322" s="88"/>
      <c r="AN322" s="88"/>
      <c r="AO322" s="88"/>
      <c r="AQ322" s="149">
        <f>SUM(U322:AO322)</f>
        <v>1.0002</v>
      </c>
      <c r="AR322" s="146"/>
      <c r="AT322" s="389"/>
      <c r="AV322" s="266"/>
      <c r="AW322" s="266"/>
      <c r="BA322" s="318">
        <f t="shared" si="231"/>
        <v>0</v>
      </c>
    </row>
    <row r="323" spans="1:58" s="2" customFormat="1" ht="10.5" hidden="1" customHeight="1">
      <c r="A323" s="11" t="s">
        <v>13</v>
      </c>
      <c r="B323" s="15"/>
      <c r="C323" s="343"/>
      <c r="D323" s="349"/>
      <c r="E323" s="346"/>
      <c r="F323" s="373"/>
      <c r="G323" s="277"/>
      <c r="H323" s="277"/>
      <c r="I323" s="277"/>
      <c r="J323" s="277"/>
      <c r="K323" s="277"/>
      <c r="L323" s="277"/>
      <c r="M323" s="59"/>
      <c r="N323" s="48"/>
      <c r="O323" s="251"/>
      <c r="P323" s="251"/>
      <c r="Q323" s="251"/>
      <c r="R323" s="251"/>
      <c r="S323" s="251"/>
      <c r="T323" s="251"/>
      <c r="U323" s="93"/>
      <c r="V323" s="117"/>
      <c r="W323" s="88"/>
      <c r="X323" s="88"/>
      <c r="Y323" s="88"/>
      <c r="Z323" s="63"/>
      <c r="AA323" s="63"/>
      <c r="AB323" s="63"/>
      <c r="AC323" s="63"/>
      <c r="AD323" s="63"/>
      <c r="AE323" s="63"/>
      <c r="AF323" s="63"/>
      <c r="AG323" s="63"/>
      <c r="AH323" s="63"/>
      <c r="AI323" s="63"/>
      <c r="AJ323" s="63"/>
      <c r="AK323" s="63"/>
      <c r="AL323" s="117"/>
      <c r="AM323" s="88"/>
      <c r="AN323" s="88"/>
      <c r="AO323" s="88"/>
      <c r="AQ323" s="145"/>
      <c r="AR323" s="146"/>
      <c r="AT323" s="389"/>
      <c r="AV323" s="197"/>
      <c r="AW323" s="197"/>
      <c r="BA323" s="318">
        <f t="shared" si="231"/>
        <v>0</v>
      </c>
    </row>
    <row r="324" spans="1:58" s="2" customFormat="1" ht="10.5" customHeight="1">
      <c r="A324" s="12">
        <v>1</v>
      </c>
      <c r="B324" s="15"/>
      <c r="C324" s="344"/>
      <c r="D324" s="350"/>
      <c r="E324" s="347"/>
      <c r="F324" s="374"/>
      <c r="G324" s="307">
        <f>ROUND(G321*$F321,2)</f>
        <v>0</v>
      </c>
      <c r="H324" s="307">
        <f>ROUND(H321*$F321,2)</f>
        <v>479787</v>
      </c>
      <c r="I324" s="307">
        <f>ROUND(I321*$F321,2)</f>
        <v>0</v>
      </c>
      <c r="J324" s="307">
        <f>J321*$F321</f>
        <v>0</v>
      </c>
      <c r="K324" s="307">
        <f>ROUND(K321*$F321,2)</f>
        <v>479787</v>
      </c>
      <c r="L324" s="307">
        <f>ROUND(L321*$F321,2)</f>
        <v>479787</v>
      </c>
      <c r="M324" s="60"/>
      <c r="N324" s="49" t="s">
        <v>164</v>
      </c>
      <c r="O324" s="256"/>
      <c r="P324" s="256"/>
      <c r="Q324" s="256"/>
      <c r="R324" s="256"/>
      <c r="S324" s="256"/>
      <c r="T324" s="256"/>
      <c r="U324" s="64">
        <f>U321*$F321</f>
        <v>0</v>
      </c>
      <c r="V324" s="123"/>
      <c r="W324" s="91"/>
      <c r="X324" s="91"/>
      <c r="Y324" s="91"/>
      <c r="Z324" s="64">
        <f t="shared" ref="Z324:AK324" si="251">Z321*$F321</f>
        <v>79964.5</v>
      </c>
      <c r="AA324" s="64">
        <f t="shared" si="251"/>
        <v>79964.5</v>
      </c>
      <c r="AB324" s="64">
        <f t="shared" si="251"/>
        <v>79964.5</v>
      </c>
      <c r="AC324" s="64">
        <f t="shared" si="251"/>
        <v>79964.5</v>
      </c>
      <c r="AD324" s="64">
        <f t="shared" si="251"/>
        <v>79964.5</v>
      </c>
      <c r="AE324" s="64">
        <f t="shared" si="251"/>
        <v>79964.5</v>
      </c>
      <c r="AF324" s="64">
        <f t="shared" si="251"/>
        <v>0</v>
      </c>
      <c r="AG324" s="64">
        <f t="shared" si="251"/>
        <v>0</v>
      </c>
      <c r="AH324" s="64">
        <f t="shared" si="251"/>
        <v>0</v>
      </c>
      <c r="AI324" s="64">
        <f t="shared" si="251"/>
        <v>0</v>
      </c>
      <c r="AJ324" s="64">
        <f t="shared" si="251"/>
        <v>0</v>
      </c>
      <c r="AK324" s="64">
        <f t="shared" si="251"/>
        <v>0</v>
      </c>
      <c r="AL324" s="123"/>
      <c r="AM324" s="91"/>
      <c r="AN324" s="91"/>
      <c r="AO324" s="91"/>
      <c r="AQ324" s="69">
        <f>SUM(U324:AO324)</f>
        <v>479787</v>
      </c>
      <c r="AR324" s="69">
        <f>+K324-AQ324</f>
        <v>0</v>
      </c>
      <c r="AT324" s="390"/>
      <c r="AV324" s="196"/>
      <c r="AW324" s="196"/>
      <c r="BA324" s="318">
        <f t="shared" si="231"/>
        <v>0</v>
      </c>
    </row>
    <row r="325" spans="1:58" s="2" customFormat="1" ht="10.5" customHeight="1">
      <c r="A325" s="12"/>
      <c r="B325" s="15"/>
      <c r="C325" s="342">
        <v>69</v>
      </c>
      <c r="D325" s="348" t="str">
        <f>+'[1]Items Creados e Incrementados'!$C$87</f>
        <v>4.29 Armado de Estructuras en suelo reforzado (1x1x6)</v>
      </c>
      <c r="E325" s="345" t="s">
        <v>235</v>
      </c>
      <c r="F325" s="372">
        <v>1291.1199999999999</v>
      </c>
      <c r="G325" s="284"/>
      <c r="H325" s="284">
        <v>1177.73</v>
      </c>
      <c r="I325" s="284"/>
      <c r="J325" s="284"/>
      <c r="K325" s="284">
        <f>H325+J325</f>
        <v>1177.73</v>
      </c>
      <c r="L325" s="284">
        <f>+H325-I325+J325</f>
        <v>1177.73</v>
      </c>
      <c r="M325" s="59"/>
      <c r="N325" s="47" t="s">
        <v>162</v>
      </c>
      <c r="O325" s="253"/>
      <c r="P325" s="253"/>
      <c r="Q325" s="253"/>
      <c r="R325" s="253"/>
      <c r="S325" s="253"/>
      <c r="T325" s="253"/>
      <c r="U325" s="61">
        <f>+I325</f>
        <v>0</v>
      </c>
      <c r="V325" s="117"/>
      <c r="W325" s="92"/>
      <c r="X325" s="92"/>
      <c r="Y325" s="92"/>
      <c r="Z325" s="61">
        <v>196</v>
      </c>
      <c r="AA325" s="61">
        <v>196</v>
      </c>
      <c r="AB325" s="61">
        <v>196</v>
      </c>
      <c r="AC325" s="61">
        <v>196</v>
      </c>
      <c r="AD325" s="61">
        <v>196</v>
      </c>
      <c r="AE325" s="61">
        <v>197.73</v>
      </c>
      <c r="AF325" s="61"/>
      <c r="AG325" s="61"/>
      <c r="AH325" s="61"/>
      <c r="AI325" s="61"/>
      <c r="AJ325" s="61"/>
      <c r="AK325" s="61"/>
      <c r="AL325" s="117"/>
      <c r="AM325" s="92"/>
      <c r="AN325" s="92"/>
      <c r="AO325" s="92"/>
      <c r="AQ325" s="144">
        <f>SUM(O325:AO325)</f>
        <v>1177.73</v>
      </c>
      <c r="AR325" s="144">
        <f>+K325-AQ325</f>
        <v>0</v>
      </c>
      <c r="AT325" s="372">
        <f>+F325*K325</f>
        <v>1520590.76</v>
      </c>
      <c r="AV325" s="263">
        <f>SUM(W325:AO325)</f>
        <v>1177.73</v>
      </c>
      <c r="AW325" s="263">
        <f>+L325-AV325</f>
        <v>0</v>
      </c>
      <c r="BA325" s="318">
        <f t="shared" si="231"/>
        <v>0</v>
      </c>
    </row>
    <row r="326" spans="1:58" s="2" customFormat="1" ht="10.5" customHeight="1">
      <c r="A326" s="10" t="s">
        <v>12</v>
      </c>
      <c r="B326" s="15"/>
      <c r="C326" s="343"/>
      <c r="D326" s="349"/>
      <c r="E326" s="346"/>
      <c r="F326" s="373"/>
      <c r="G326" s="277"/>
      <c r="H326" s="277"/>
      <c r="I326" s="277"/>
      <c r="J326" s="277"/>
      <c r="K326" s="277"/>
      <c r="L326" s="277"/>
      <c r="M326" s="59"/>
      <c r="N326" s="47" t="s">
        <v>163</v>
      </c>
      <c r="O326" s="254"/>
      <c r="P326" s="254"/>
      <c r="Q326" s="254"/>
      <c r="R326" s="254"/>
      <c r="S326" s="254"/>
      <c r="T326" s="254"/>
      <c r="U326" s="62">
        <f>+U325/$K325</f>
        <v>0</v>
      </c>
      <c r="V326" s="117"/>
      <c r="W326" s="88"/>
      <c r="X326" s="88"/>
      <c r="Y326" s="88"/>
      <c r="Z326" s="62">
        <f t="shared" ref="Z326:AK326" si="252">+Z325/$K325</f>
        <v>0.16639999999999999</v>
      </c>
      <c r="AA326" s="62">
        <f t="shared" si="252"/>
        <v>0.16639999999999999</v>
      </c>
      <c r="AB326" s="62">
        <f t="shared" si="252"/>
        <v>0.16639999999999999</v>
      </c>
      <c r="AC326" s="62">
        <f t="shared" si="252"/>
        <v>0.16639999999999999</v>
      </c>
      <c r="AD326" s="62">
        <f t="shared" si="252"/>
        <v>0.16639999999999999</v>
      </c>
      <c r="AE326" s="62">
        <f t="shared" si="252"/>
        <v>0.16789999999999999</v>
      </c>
      <c r="AF326" s="62">
        <f t="shared" si="252"/>
        <v>0</v>
      </c>
      <c r="AG326" s="62">
        <f t="shared" si="252"/>
        <v>0</v>
      </c>
      <c r="AH326" s="62">
        <f t="shared" si="252"/>
        <v>0</v>
      </c>
      <c r="AI326" s="62">
        <f t="shared" si="252"/>
        <v>0</v>
      </c>
      <c r="AJ326" s="62">
        <f t="shared" si="252"/>
        <v>0</v>
      </c>
      <c r="AK326" s="62">
        <f t="shared" si="252"/>
        <v>0</v>
      </c>
      <c r="AL326" s="117"/>
      <c r="AM326" s="88"/>
      <c r="AN326" s="88"/>
      <c r="AO326" s="88"/>
      <c r="AQ326" s="149">
        <f>SUM(U326:AO326)</f>
        <v>0.99990000000000001</v>
      </c>
      <c r="AR326" s="146"/>
      <c r="AT326" s="389"/>
      <c r="AV326" s="266"/>
      <c r="AW326" s="266"/>
      <c r="BA326" s="318">
        <f t="shared" si="231"/>
        <v>0</v>
      </c>
    </row>
    <row r="327" spans="1:58" s="2" customFormat="1" ht="10.5" hidden="1" customHeight="1">
      <c r="A327" s="11" t="s">
        <v>13</v>
      </c>
      <c r="B327" s="15"/>
      <c r="C327" s="343"/>
      <c r="D327" s="349"/>
      <c r="E327" s="346"/>
      <c r="F327" s="373"/>
      <c r="G327" s="277"/>
      <c r="H327" s="277"/>
      <c r="I327" s="277"/>
      <c r="J327" s="277"/>
      <c r="K327" s="277"/>
      <c r="L327" s="277"/>
      <c r="M327" s="59"/>
      <c r="N327" s="48"/>
      <c r="O327" s="251"/>
      <c r="P327" s="251"/>
      <c r="Q327" s="251"/>
      <c r="R327" s="251"/>
      <c r="S327" s="251"/>
      <c r="T327" s="251"/>
      <c r="U327" s="93"/>
      <c r="V327" s="117"/>
      <c r="W327" s="88"/>
      <c r="X327" s="88"/>
      <c r="Y327" s="88"/>
      <c r="Z327" s="63"/>
      <c r="AA327" s="63"/>
      <c r="AB327" s="63"/>
      <c r="AC327" s="63"/>
      <c r="AD327" s="63"/>
      <c r="AE327" s="63"/>
      <c r="AF327" s="63"/>
      <c r="AG327" s="63"/>
      <c r="AH327" s="63"/>
      <c r="AI327" s="63"/>
      <c r="AJ327" s="63"/>
      <c r="AK327" s="63"/>
      <c r="AL327" s="117"/>
      <c r="AM327" s="88"/>
      <c r="AN327" s="88"/>
      <c r="AO327" s="88"/>
      <c r="AQ327" s="145"/>
      <c r="AR327" s="146"/>
      <c r="AT327" s="389"/>
      <c r="AV327" s="197"/>
      <c r="AW327" s="197"/>
      <c r="BA327" s="318">
        <f t="shared" si="231"/>
        <v>0</v>
      </c>
    </row>
    <row r="328" spans="1:58" s="2" customFormat="1" ht="10.5" customHeight="1">
      <c r="A328" s="12">
        <v>1</v>
      </c>
      <c r="B328" s="15"/>
      <c r="C328" s="344"/>
      <c r="D328" s="350"/>
      <c r="E328" s="347"/>
      <c r="F328" s="374"/>
      <c r="G328" s="307">
        <f>ROUND(G325*$F325,2)</f>
        <v>0</v>
      </c>
      <c r="H328" s="307">
        <f>ROUND(H325*$F325,2)</f>
        <v>1520590.76</v>
      </c>
      <c r="I328" s="307">
        <f>ROUND(I325*$F325,2)</f>
        <v>0</v>
      </c>
      <c r="J328" s="307">
        <f>J325*$F325</f>
        <v>0</v>
      </c>
      <c r="K328" s="307">
        <f>ROUND(K325*$F325,2)</f>
        <v>1520590.76</v>
      </c>
      <c r="L328" s="307">
        <f>ROUND(L325*$F325,2)</f>
        <v>1520590.76</v>
      </c>
      <c r="M328" s="60"/>
      <c r="N328" s="49" t="s">
        <v>164</v>
      </c>
      <c r="O328" s="256"/>
      <c r="P328" s="256"/>
      <c r="Q328" s="256"/>
      <c r="R328" s="256"/>
      <c r="S328" s="256"/>
      <c r="T328" s="256"/>
      <c r="U328" s="64">
        <f>U325*$F325</f>
        <v>0</v>
      </c>
      <c r="V328" s="123"/>
      <c r="W328" s="91"/>
      <c r="X328" s="91"/>
      <c r="Y328" s="91"/>
      <c r="Z328" s="64">
        <f t="shared" ref="Z328:AK328" si="253">Z325*$F325</f>
        <v>253059.52</v>
      </c>
      <c r="AA328" s="64">
        <f t="shared" si="253"/>
        <v>253059.52</v>
      </c>
      <c r="AB328" s="64">
        <f t="shared" si="253"/>
        <v>253059.52</v>
      </c>
      <c r="AC328" s="64">
        <f t="shared" si="253"/>
        <v>253059.52</v>
      </c>
      <c r="AD328" s="64">
        <f t="shared" si="253"/>
        <v>253059.52</v>
      </c>
      <c r="AE328" s="64">
        <f t="shared" si="253"/>
        <v>255293.16</v>
      </c>
      <c r="AF328" s="64">
        <f t="shared" si="253"/>
        <v>0</v>
      </c>
      <c r="AG328" s="64">
        <f t="shared" si="253"/>
        <v>0</v>
      </c>
      <c r="AH328" s="64">
        <f t="shared" si="253"/>
        <v>0</v>
      </c>
      <c r="AI328" s="64">
        <f t="shared" si="253"/>
        <v>0</v>
      </c>
      <c r="AJ328" s="64">
        <f t="shared" si="253"/>
        <v>0</v>
      </c>
      <c r="AK328" s="64">
        <f t="shared" si="253"/>
        <v>0</v>
      </c>
      <c r="AL328" s="123"/>
      <c r="AM328" s="91"/>
      <c r="AN328" s="91"/>
      <c r="AO328" s="91"/>
      <c r="AQ328" s="69">
        <f>SUM(U328:AO328)</f>
        <v>1520590.76</v>
      </c>
      <c r="AR328" s="69">
        <f>+K328-AQ328</f>
        <v>0</v>
      </c>
      <c r="AT328" s="390"/>
      <c r="AV328" s="196"/>
      <c r="AW328" s="196"/>
      <c r="BA328" s="318">
        <f t="shared" si="231"/>
        <v>0</v>
      </c>
    </row>
    <row r="329" spans="1:58" s="2" customFormat="1" ht="10.5" customHeight="1">
      <c r="A329" s="12"/>
      <c r="B329" s="15"/>
      <c r="C329" s="342">
        <v>69</v>
      </c>
      <c r="D329" s="348" t="str">
        <f>+'[1]Items Creados e Incrementados'!$C$88</f>
        <v>4.30 Filtro para Drenaje tipo MacDrain 2L</v>
      </c>
      <c r="E329" s="345" t="s">
        <v>235</v>
      </c>
      <c r="F329" s="372">
        <v>70.94</v>
      </c>
      <c r="G329" s="284"/>
      <c r="H329" s="284">
        <v>1268.32</v>
      </c>
      <c r="I329" s="284"/>
      <c r="J329" s="284"/>
      <c r="K329" s="284">
        <f>H329+J329</f>
        <v>1268.32</v>
      </c>
      <c r="L329" s="284">
        <f>+H329-I329+J329</f>
        <v>1268.32</v>
      </c>
      <c r="M329" s="59"/>
      <c r="N329" s="47" t="s">
        <v>162</v>
      </c>
      <c r="O329" s="253"/>
      <c r="P329" s="253"/>
      <c r="Q329" s="253"/>
      <c r="R329" s="253"/>
      <c r="S329" s="253"/>
      <c r="T329" s="253"/>
      <c r="U329" s="61">
        <f>+I329</f>
        <v>0</v>
      </c>
      <c r="V329" s="117"/>
      <c r="W329" s="92"/>
      <c r="X329" s="92"/>
      <c r="Y329" s="92"/>
      <c r="Z329" s="61">
        <v>210</v>
      </c>
      <c r="AA329" s="61">
        <v>210</v>
      </c>
      <c r="AB329" s="61">
        <v>210</v>
      </c>
      <c r="AC329" s="61">
        <v>210</v>
      </c>
      <c r="AD329" s="61">
        <v>210</v>
      </c>
      <c r="AE329" s="61">
        <v>218.32</v>
      </c>
      <c r="AF329" s="61"/>
      <c r="AG329" s="61"/>
      <c r="AH329" s="61"/>
      <c r="AI329" s="61"/>
      <c r="AJ329" s="61"/>
      <c r="AK329" s="61"/>
      <c r="AL329" s="117"/>
      <c r="AM329" s="92"/>
      <c r="AN329" s="92"/>
      <c r="AO329" s="92"/>
      <c r="AQ329" s="144">
        <f>SUM(O329:AO329)</f>
        <v>1268.32</v>
      </c>
      <c r="AR329" s="144">
        <f>+K329-AQ329</f>
        <v>0</v>
      </c>
      <c r="AT329" s="372">
        <f>+F329*K329</f>
        <v>89974.62</v>
      </c>
      <c r="AV329" s="263">
        <f>SUM(W329:AO329)</f>
        <v>1268.32</v>
      </c>
      <c r="AW329" s="263">
        <f>+L329-AV329</f>
        <v>0</v>
      </c>
      <c r="BA329" s="318">
        <f t="shared" si="231"/>
        <v>0</v>
      </c>
    </row>
    <row r="330" spans="1:58" s="2" customFormat="1" ht="10.5" customHeight="1">
      <c r="A330" s="10" t="s">
        <v>12</v>
      </c>
      <c r="B330" s="15"/>
      <c r="C330" s="343"/>
      <c r="D330" s="349"/>
      <c r="E330" s="346"/>
      <c r="F330" s="373"/>
      <c r="G330" s="277"/>
      <c r="H330" s="277"/>
      <c r="I330" s="277"/>
      <c r="J330" s="277"/>
      <c r="K330" s="277"/>
      <c r="L330" s="277"/>
      <c r="M330" s="59"/>
      <c r="N330" s="47" t="s">
        <v>163</v>
      </c>
      <c r="O330" s="254"/>
      <c r="P330" s="254"/>
      <c r="Q330" s="254"/>
      <c r="R330" s="254"/>
      <c r="S330" s="254"/>
      <c r="T330" s="254"/>
      <c r="U330" s="62">
        <f>+U329/$K329</f>
        <v>0</v>
      </c>
      <c r="V330" s="117"/>
      <c r="W330" s="88"/>
      <c r="X330" s="88"/>
      <c r="Y330" s="88"/>
      <c r="Z330" s="62">
        <f t="shared" ref="Z330:AK330" si="254">+Z329/$K329</f>
        <v>0.1656</v>
      </c>
      <c r="AA330" s="62">
        <f t="shared" si="254"/>
        <v>0.1656</v>
      </c>
      <c r="AB330" s="62">
        <f t="shared" si="254"/>
        <v>0.1656</v>
      </c>
      <c r="AC330" s="62">
        <f t="shared" si="254"/>
        <v>0.1656</v>
      </c>
      <c r="AD330" s="62">
        <f t="shared" si="254"/>
        <v>0.1656</v>
      </c>
      <c r="AE330" s="62">
        <f t="shared" si="254"/>
        <v>0.1721</v>
      </c>
      <c r="AF330" s="62">
        <f t="shared" si="254"/>
        <v>0</v>
      </c>
      <c r="AG330" s="62">
        <f t="shared" si="254"/>
        <v>0</v>
      </c>
      <c r="AH330" s="62">
        <f t="shared" si="254"/>
        <v>0</v>
      </c>
      <c r="AI330" s="62">
        <f t="shared" si="254"/>
        <v>0</v>
      </c>
      <c r="AJ330" s="62">
        <f t="shared" si="254"/>
        <v>0</v>
      </c>
      <c r="AK330" s="62">
        <f t="shared" si="254"/>
        <v>0</v>
      </c>
      <c r="AL330" s="117"/>
      <c r="AM330" s="88"/>
      <c r="AN330" s="88"/>
      <c r="AO330" s="88"/>
      <c r="AQ330" s="149">
        <f>SUM(U330:AO330)</f>
        <v>1.0001</v>
      </c>
      <c r="AR330" s="146"/>
      <c r="AT330" s="389"/>
      <c r="AV330" s="266"/>
      <c r="AW330" s="266"/>
      <c r="BA330" s="318">
        <f t="shared" si="231"/>
        <v>0</v>
      </c>
    </row>
    <row r="331" spans="1:58" s="2" customFormat="1" ht="10.5" hidden="1" customHeight="1">
      <c r="A331" s="11" t="s">
        <v>13</v>
      </c>
      <c r="B331" s="15"/>
      <c r="C331" s="343"/>
      <c r="D331" s="349"/>
      <c r="E331" s="346"/>
      <c r="F331" s="373"/>
      <c r="G331" s="277"/>
      <c r="H331" s="277"/>
      <c r="I331" s="277"/>
      <c r="J331" s="277"/>
      <c r="K331" s="277"/>
      <c r="L331" s="277"/>
      <c r="M331" s="59"/>
      <c r="N331" s="48"/>
      <c r="O331" s="251"/>
      <c r="P331" s="251"/>
      <c r="Q331" s="251"/>
      <c r="R331" s="251"/>
      <c r="S331" s="251"/>
      <c r="T331" s="251"/>
      <c r="U331" s="93"/>
      <c r="V331" s="117"/>
      <c r="W331" s="88"/>
      <c r="X331" s="88"/>
      <c r="Y331" s="88"/>
      <c r="Z331" s="63"/>
      <c r="AA331" s="63"/>
      <c r="AB331" s="63"/>
      <c r="AC331" s="63"/>
      <c r="AD331" s="63"/>
      <c r="AE331" s="63"/>
      <c r="AF331" s="63"/>
      <c r="AG331" s="63"/>
      <c r="AH331" s="63"/>
      <c r="AI331" s="63"/>
      <c r="AJ331" s="63"/>
      <c r="AK331" s="63"/>
      <c r="AL331" s="117"/>
      <c r="AM331" s="88"/>
      <c r="AN331" s="88"/>
      <c r="AO331" s="88"/>
      <c r="AQ331" s="145"/>
      <c r="AR331" s="146"/>
      <c r="AT331" s="389"/>
      <c r="AV331" s="197"/>
      <c r="AW331" s="197"/>
      <c r="BA331" s="318">
        <f t="shared" ref="BA331:BA394" si="255">SUM(O331:U331)</f>
        <v>0</v>
      </c>
    </row>
    <row r="332" spans="1:58" s="2" customFormat="1" ht="10.5" customHeight="1">
      <c r="A332" s="12">
        <v>1</v>
      </c>
      <c r="B332" s="15"/>
      <c r="C332" s="344"/>
      <c r="D332" s="350"/>
      <c r="E332" s="347"/>
      <c r="F332" s="374"/>
      <c r="G332" s="307">
        <f>ROUND(G329*$F329,2)</f>
        <v>0</v>
      </c>
      <c r="H332" s="307">
        <f>ROUND(H329*$F329,2)</f>
        <v>89974.62</v>
      </c>
      <c r="I332" s="307">
        <f>ROUND(I329*$F329,2)</f>
        <v>0</v>
      </c>
      <c r="J332" s="307">
        <f>J329*$F329</f>
        <v>0</v>
      </c>
      <c r="K332" s="307">
        <f>ROUND(K329*$F329,2)</f>
        <v>89974.62</v>
      </c>
      <c r="L332" s="307">
        <f>ROUND(L329*$F329,2)</f>
        <v>89974.62</v>
      </c>
      <c r="M332" s="60"/>
      <c r="N332" s="49" t="s">
        <v>164</v>
      </c>
      <c r="O332" s="256"/>
      <c r="P332" s="256"/>
      <c r="Q332" s="256"/>
      <c r="R332" s="256"/>
      <c r="S332" s="256"/>
      <c r="T332" s="256"/>
      <c r="U332" s="64">
        <f>U329*$F329</f>
        <v>0</v>
      </c>
      <c r="V332" s="238"/>
      <c r="W332" s="91"/>
      <c r="X332" s="91"/>
      <c r="Y332" s="91"/>
      <c r="Z332" s="64">
        <f t="shared" ref="Z332:AK332" si="256">Z329*$F329</f>
        <v>14897.4</v>
      </c>
      <c r="AA332" s="64">
        <f t="shared" si="256"/>
        <v>14897.4</v>
      </c>
      <c r="AB332" s="64">
        <f t="shared" si="256"/>
        <v>14897.4</v>
      </c>
      <c r="AC332" s="64">
        <f t="shared" si="256"/>
        <v>14897.4</v>
      </c>
      <c r="AD332" s="64">
        <f t="shared" si="256"/>
        <v>14897.4</v>
      </c>
      <c r="AE332" s="64">
        <f t="shared" si="256"/>
        <v>15487.62</v>
      </c>
      <c r="AF332" s="64">
        <f t="shared" si="256"/>
        <v>0</v>
      </c>
      <c r="AG332" s="64">
        <f t="shared" si="256"/>
        <v>0</v>
      </c>
      <c r="AH332" s="64">
        <f t="shared" si="256"/>
        <v>0</v>
      </c>
      <c r="AI332" s="64">
        <f t="shared" si="256"/>
        <v>0</v>
      </c>
      <c r="AJ332" s="64">
        <f t="shared" si="256"/>
        <v>0</v>
      </c>
      <c r="AK332" s="64">
        <f t="shared" si="256"/>
        <v>0</v>
      </c>
      <c r="AL332" s="123"/>
      <c r="AM332" s="91"/>
      <c r="AN332" s="91"/>
      <c r="AO332" s="91"/>
      <c r="AQ332" s="69">
        <f>SUM(U332:AO332)</f>
        <v>89974.62</v>
      </c>
      <c r="AR332" s="69">
        <f>+K332-AQ332</f>
        <v>0</v>
      </c>
      <c r="AT332" s="390"/>
      <c r="AV332" s="197"/>
      <c r="AW332" s="197"/>
      <c r="BA332" s="318">
        <f t="shared" si="255"/>
        <v>0</v>
      </c>
    </row>
    <row r="333" spans="1:58" s="2" customFormat="1" ht="7.5" customHeight="1">
      <c r="A333" s="12"/>
      <c r="B333" s="15"/>
      <c r="C333" s="199"/>
      <c r="D333" s="217"/>
      <c r="E333" s="200"/>
      <c r="F333" s="230"/>
      <c r="G333" s="230"/>
      <c r="H333" s="230"/>
      <c r="I333" s="230"/>
      <c r="J333" s="230"/>
      <c r="K333" s="230"/>
      <c r="L333" s="231"/>
      <c r="M333" s="230"/>
      <c r="N333" s="202"/>
      <c r="O333" s="202"/>
      <c r="P333" s="202"/>
      <c r="Q333" s="202"/>
      <c r="R333" s="202"/>
      <c r="S333" s="202"/>
      <c r="T333" s="202"/>
      <c r="U333" s="257"/>
      <c r="V333" s="229"/>
      <c r="W333" s="197"/>
      <c r="X333" s="197"/>
      <c r="Y333" s="197"/>
      <c r="Z333" s="197"/>
      <c r="AA333" s="197"/>
      <c r="AB333" s="197"/>
      <c r="AC333" s="197"/>
      <c r="AD333" s="197"/>
      <c r="AE333" s="197"/>
      <c r="AF333" s="197"/>
      <c r="AG333" s="197"/>
      <c r="AH333" s="197"/>
      <c r="AI333" s="197"/>
      <c r="AJ333" s="197"/>
      <c r="AK333" s="197"/>
      <c r="AL333" s="229"/>
      <c r="AM333" s="197"/>
      <c r="AN333" s="197"/>
      <c r="AO333" s="298"/>
      <c r="AP333" s="204"/>
      <c r="AQ333" s="197"/>
      <c r="AR333" s="197"/>
      <c r="AS333" s="204"/>
      <c r="AT333" s="198"/>
      <c r="AU333" s="204"/>
      <c r="AV333" s="243"/>
      <c r="AW333" s="243"/>
      <c r="AX333" s="204"/>
      <c r="AY333" s="204"/>
      <c r="AZ333" s="204"/>
      <c r="BA333" s="318">
        <f t="shared" si="255"/>
        <v>0</v>
      </c>
      <c r="BB333" s="204"/>
      <c r="BC333" s="204"/>
      <c r="BD333" s="204"/>
      <c r="BE333" s="204"/>
      <c r="BF333" s="204"/>
    </row>
    <row r="334" spans="1:58" s="2" customFormat="1" ht="10.5" customHeight="1">
      <c r="A334" s="12"/>
      <c r="B334" s="15"/>
      <c r="C334" s="381" t="s">
        <v>223</v>
      </c>
      <c r="D334" s="382"/>
      <c r="E334" s="382"/>
      <c r="F334" s="382"/>
      <c r="G334" s="382"/>
      <c r="H334" s="382"/>
      <c r="I334" s="383"/>
      <c r="J334" s="212" t="s">
        <v>218</v>
      </c>
      <c r="K334" s="267">
        <f>SUM(U334:AO334)</f>
        <v>1.0125</v>
      </c>
      <c r="L334"/>
      <c r="M334" s="222"/>
      <c r="N334" s="215" t="s">
        <v>218</v>
      </c>
      <c r="O334" s="215"/>
      <c r="P334" s="215"/>
      <c r="Q334" s="215"/>
      <c r="R334" s="215"/>
      <c r="S334" s="215"/>
      <c r="T334" s="215"/>
      <c r="U334" s="258">
        <f>+U335/$K$335</f>
        <v>3.2000000000000001E-2</v>
      </c>
      <c r="V334" s="229"/>
      <c r="W334" s="214">
        <f t="shared" ref="W334:AK334" si="257">+W335/$K$335</f>
        <v>5.8999999999999999E-3</v>
      </c>
      <c r="X334" s="214">
        <f t="shared" si="257"/>
        <v>2.6599999999999999E-2</v>
      </c>
      <c r="Y334" s="214">
        <f t="shared" si="257"/>
        <v>3.4799999999999998E-2</v>
      </c>
      <c r="Z334" s="214">
        <f t="shared" si="257"/>
        <v>6.7900000000000002E-2</v>
      </c>
      <c r="AA334" s="214">
        <f t="shared" si="257"/>
        <v>8.6400000000000005E-2</v>
      </c>
      <c r="AB334" s="214">
        <f t="shared" si="257"/>
        <v>8.8400000000000006E-2</v>
      </c>
      <c r="AC334" s="214">
        <f t="shared" si="257"/>
        <v>8.7900000000000006E-2</v>
      </c>
      <c r="AD334" s="214">
        <f t="shared" si="257"/>
        <v>8.8900000000000007E-2</v>
      </c>
      <c r="AE334" s="214">
        <f t="shared" si="257"/>
        <v>9.1899999999999996E-2</v>
      </c>
      <c r="AF334" s="214">
        <f t="shared" si="257"/>
        <v>6.7000000000000004E-2</v>
      </c>
      <c r="AG334" s="214">
        <f t="shared" si="257"/>
        <v>7.0400000000000004E-2</v>
      </c>
      <c r="AH334" s="214">
        <f t="shared" si="257"/>
        <v>8.2199999999999995E-2</v>
      </c>
      <c r="AI334" s="214">
        <f t="shared" si="257"/>
        <v>7.3599999999999999E-2</v>
      </c>
      <c r="AJ334" s="214">
        <f t="shared" si="257"/>
        <v>6.4500000000000002E-2</v>
      </c>
      <c r="AK334" s="214">
        <f t="shared" si="257"/>
        <v>4.41E-2</v>
      </c>
      <c r="AL334" s="229"/>
      <c r="AM334" s="197"/>
      <c r="AN334" s="197"/>
      <c r="AO334" s="299"/>
      <c r="AP334" s="204"/>
      <c r="AQ334" s="197"/>
      <c r="AR334" s="197"/>
      <c r="AS334" s="204"/>
      <c r="AT334" s="198"/>
      <c r="AU334" s="204"/>
      <c r="AV334" s="243"/>
      <c r="AW334" s="243"/>
      <c r="AX334" s="204"/>
      <c r="AY334" s="204"/>
      <c r="AZ334" s="204"/>
      <c r="BA334" s="318">
        <f t="shared" si="255"/>
        <v>0.03</v>
      </c>
      <c r="BB334" s="204"/>
      <c r="BC334" s="204"/>
      <c r="BD334" s="204"/>
      <c r="BE334" s="204"/>
      <c r="BF334" s="204"/>
    </row>
    <row r="335" spans="1:58" s="2" customFormat="1" ht="10.5" customHeight="1">
      <c r="A335" s="12"/>
      <c r="B335" s="15"/>
      <c r="C335" s="384"/>
      <c r="D335" s="385"/>
      <c r="E335" s="385"/>
      <c r="F335" s="385"/>
      <c r="G335" s="385"/>
      <c r="H335" s="385"/>
      <c r="I335" s="386"/>
      <c r="J335" s="213" t="s">
        <v>219</v>
      </c>
      <c r="K335" s="268">
        <f>+K216+K220+K224+K228+K232+K236+K240+K244+K248+K252+K256+K260+K264+K268+K272+K276+K280+K284+K288+K292+K296+K300+K304+K308+K312+K316+K320+K324+K328+K332</f>
        <v>22421195.870000001</v>
      </c>
      <c r="L335"/>
      <c r="M335" s="222"/>
      <c r="N335" s="213" t="s">
        <v>219</v>
      </c>
      <c r="O335" s="315"/>
      <c r="P335" s="315"/>
      <c r="Q335" s="315"/>
      <c r="R335" s="315"/>
      <c r="S335" s="315"/>
      <c r="T335" s="315"/>
      <c r="U335" s="261">
        <f>+U216+U220+U224+U228+U232+U236+U240+U244+U248+U252+U256+U260+U264+U268+U272+U276+U280+U284+U288+U292+U296+U300+U304+U308+U312+U316+U320+U324+U328+U332</f>
        <v>717156.27</v>
      </c>
      <c r="V335" s="229"/>
      <c r="W335" s="228">
        <f t="shared" ref="W335:AC335" si="258">+W216+W220+W224+W228+W232+W236+W240+W244+W248+W252+W256+W260+W264+W268+W272+W276+W280+W284+W288+W292+W296+W300+W304+W308+W312+W316+W320+W324+W328+W332</f>
        <v>132013.4</v>
      </c>
      <c r="X335" s="228">
        <f t="shared" si="258"/>
        <v>596765.02</v>
      </c>
      <c r="Y335" s="228">
        <f t="shared" si="258"/>
        <v>779534.4</v>
      </c>
      <c r="Z335" s="228">
        <f t="shared" si="258"/>
        <v>1523490.52</v>
      </c>
      <c r="AA335" s="228">
        <f t="shared" si="258"/>
        <v>1936171.12</v>
      </c>
      <c r="AB335" s="228">
        <f t="shared" si="258"/>
        <v>1981010.92</v>
      </c>
      <c r="AC335" s="228">
        <f t="shared" si="258"/>
        <v>1970517.54</v>
      </c>
      <c r="AD335" s="228">
        <f>+AD216+AD220+AD224+AD228+AD232+AD236+AD240+AD244+AD248+AD252+AD256+AD260+AD264+AD268+AD272+AD276+AD280+AD284+AD288+AD292+AD296+AD300+AD304+AD308+AD312+AD316+AD320+AD324+AD328+AD332</f>
        <v>1992710.27</v>
      </c>
      <c r="AE335" s="228">
        <f>+AE216+AE220+AE224+AE228+AE232+AE236+AE240+AE244+AE248+AE252+AE256+AE260+AE264+AE268+AE272+AE276+AE280+AE284+AE288+AE292+AE296+AE300+AE304+AE308+AE312+AE316+AE320+AE324+AE328+AE332</f>
        <v>2061207.43</v>
      </c>
      <c r="AF335" s="228">
        <f>+AF216+AF220+AF224+AF228+AF232+AF236+AF240+AF244+AF248+AF252+AF256+AF260+AF264+AF268+AF272+AF276+AF280+AF284+AF288+AF292+AF296+AF300+Z304+AF308+AF312+AF316+AF320+AF324+AF328+AF332</f>
        <v>1501832.3</v>
      </c>
      <c r="AG335" s="228">
        <f>+AG216+AG220+AG224+AG228+AG232+AG236+AG240+AG244+AG248+AG252+AG256+AG260+AG264+AG268+AG272+AG276+AG280+AG284+AG288+AG292+AG296+AG300+AA304+AG308+AG312+AG316+AG320+AG324+AG328+AG332</f>
        <v>1577373.74</v>
      </c>
      <c r="AH335" s="228">
        <f>+AH216+AH220+AH224+AH228+AH232+AH236+AH240+AH244+AH248+AH252+AH256+AH260+AH264+AH268+AH272+AH276+AH280+AH284+AH288+AH292+AH296+AH300+AB304+AH308+AH312+AH316+AH320+AH324+AH328+AH332</f>
        <v>1843196.86</v>
      </c>
      <c r="AI335" s="228">
        <f>+AI216+AI220+AI224+AI228+AI232+AI236+AI240+AI244+AI248+AI252+AI256+AI260+AI264+AI268+AI272+AI276+AI280+AI284+AI288+AI292+AI296+AI300+AC304+AI308+AI312+AI316+AI320+AI324+AI328+AI332</f>
        <v>1649520.68</v>
      </c>
      <c r="AJ335" s="228">
        <f>+AJ216+AJ220+AJ224+AJ228+AJ232+AJ236+AJ240+AJ244+AJ248+AJ252+AJ256+AJ260+AJ264+AJ268+AJ272+AJ276+AJ280+AJ284+AJ288+AJ292+AJ296+AJ300+AJ304+AJ308+AJ312+AJ316+AJ320+AJ324+AJ328+AJ332</f>
        <v>1445269.25</v>
      </c>
      <c r="AK335" s="228">
        <f>+AK216+AK220+AK224+AK228+AK232+AK236+AK240+AK244+AK248+AK252+AK256+AK260+AK264+AK268+AK272+AK276+AK280+AK284+AK288+AK292+AK296+AK300+AK304+AK308+AK312+AK316+AK320+AK324+AK328+AK332</f>
        <v>988174.02</v>
      </c>
      <c r="AL335" s="229"/>
      <c r="AM335" s="197"/>
      <c r="AN335" s="197"/>
      <c r="AO335" s="299"/>
      <c r="AP335" s="204"/>
      <c r="AQ335" s="197"/>
      <c r="AR335" s="197"/>
      <c r="AS335" s="204"/>
      <c r="AT335" s="198"/>
      <c r="AU335" s="204"/>
      <c r="AV335" s="243"/>
      <c r="AW335" s="243"/>
      <c r="AX335" s="204"/>
      <c r="AY335" s="204"/>
      <c r="AZ335" s="204"/>
      <c r="BA335" s="318"/>
      <c r="BB335" s="204"/>
      <c r="BC335" s="204"/>
      <c r="BD335" s="204"/>
      <c r="BE335" s="204"/>
      <c r="BF335" s="204"/>
    </row>
    <row r="336" spans="1:58" s="2" customFormat="1" ht="7.5" customHeight="1">
      <c r="A336" s="12"/>
      <c r="B336" s="15"/>
      <c r="C336" s="207"/>
      <c r="D336" s="219"/>
      <c r="E336" s="190"/>
      <c r="F336" s="226"/>
      <c r="G336" s="226"/>
      <c r="H336" s="226"/>
      <c r="I336" s="226"/>
      <c r="J336" s="226"/>
      <c r="K336" s="226"/>
      <c r="L336" s="227"/>
      <c r="M336" s="226"/>
      <c r="N336" s="192"/>
      <c r="O336" s="192"/>
      <c r="P336" s="192"/>
      <c r="Q336" s="192"/>
      <c r="R336" s="192"/>
      <c r="S336" s="192"/>
      <c r="T336" s="192"/>
      <c r="U336" s="193"/>
      <c r="V336" s="229"/>
      <c r="W336" s="196"/>
      <c r="X336" s="196"/>
      <c r="Y336" s="196"/>
      <c r="Z336" s="196"/>
      <c r="AA336" s="196"/>
      <c r="AB336" s="196"/>
      <c r="AC336" s="196"/>
      <c r="AD336" s="196"/>
      <c r="AE336" s="196"/>
      <c r="AF336" s="196"/>
      <c r="AG336" s="196"/>
      <c r="AH336" s="196"/>
      <c r="AI336" s="196"/>
      <c r="AJ336" s="196"/>
      <c r="AK336" s="196"/>
      <c r="AL336" s="229"/>
      <c r="AM336" s="196"/>
      <c r="AN336" s="196"/>
      <c r="AO336" s="300"/>
      <c r="AP336" s="204"/>
      <c r="AQ336" s="197"/>
      <c r="AR336" s="197"/>
      <c r="AS336" s="204"/>
      <c r="AT336" s="198"/>
      <c r="AU336" s="204"/>
      <c r="AV336" s="243"/>
      <c r="AW336" s="243"/>
      <c r="AX336" s="204"/>
      <c r="AY336" s="204"/>
      <c r="AZ336" s="204"/>
      <c r="BA336" s="318">
        <f t="shared" si="255"/>
        <v>0</v>
      </c>
      <c r="BB336" s="204"/>
      <c r="BC336" s="204"/>
      <c r="BD336" s="204"/>
      <c r="BE336" s="204"/>
      <c r="BF336" s="204"/>
    </row>
    <row r="337" spans="1:53" s="25" customFormat="1" ht="15" customHeight="1">
      <c r="A337" s="15"/>
      <c r="B337" s="15"/>
      <c r="C337" s="28">
        <v>5</v>
      </c>
      <c r="D337" s="37" t="s">
        <v>21</v>
      </c>
      <c r="E337" s="157"/>
      <c r="F337" s="39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71"/>
      <c r="AJ337" s="71"/>
      <c r="AK337" s="71"/>
      <c r="AL337" s="71"/>
      <c r="AM337" s="71"/>
      <c r="AN337" s="71"/>
      <c r="AO337" s="296"/>
      <c r="AR337" s="82"/>
      <c r="AT337" s="152">
        <f>SUM(AT213:AT332)</f>
        <v>22421195.870000001</v>
      </c>
      <c r="AU337" s="153">
        <v>22421195.870000001</v>
      </c>
      <c r="AV337" s="100">
        <f>+AU337-AT337</f>
        <v>0</v>
      </c>
      <c r="AW337" s="82"/>
      <c r="BA337" s="318">
        <f t="shared" si="255"/>
        <v>0</v>
      </c>
    </row>
    <row r="338" spans="1:53" s="2" customFormat="1" ht="10.5" customHeight="1">
      <c r="A338" s="12"/>
      <c r="B338" s="15"/>
      <c r="C338" s="342">
        <v>70</v>
      </c>
      <c r="D338" s="351" t="s">
        <v>116</v>
      </c>
      <c r="E338" s="345" t="s">
        <v>237</v>
      </c>
      <c r="F338" s="372">
        <v>409.09</v>
      </c>
      <c r="G338" s="284">
        <v>23554</v>
      </c>
      <c r="H338" s="284">
        <v>24452.7</v>
      </c>
      <c r="I338" s="284"/>
      <c r="J338" s="284"/>
      <c r="K338" s="284">
        <f>H338+J338</f>
        <v>24452.7</v>
      </c>
      <c r="L338" s="284">
        <f>+H338-I338+J338</f>
        <v>24452.7</v>
      </c>
      <c r="M338" s="366"/>
      <c r="N338" s="47" t="s">
        <v>162</v>
      </c>
      <c r="O338" s="253"/>
      <c r="P338" s="253"/>
      <c r="Q338" s="253"/>
      <c r="R338" s="253"/>
      <c r="S338" s="253"/>
      <c r="T338" s="253"/>
      <c r="U338" s="61">
        <f>+I338</f>
        <v>0</v>
      </c>
      <c r="V338" s="117"/>
      <c r="W338" s="92"/>
      <c r="X338" s="92"/>
      <c r="Y338" s="92"/>
      <c r="Z338" s="92"/>
      <c r="AA338" s="92"/>
      <c r="AB338" s="92"/>
      <c r="AC338" s="92"/>
      <c r="AD338" s="92"/>
      <c r="AE338" s="61">
        <v>3533.1</v>
      </c>
      <c r="AF338" s="61">
        <v>3533.1</v>
      </c>
      <c r="AG338" s="61">
        <v>3533.1</v>
      </c>
      <c r="AH338" s="61">
        <v>3533.1</v>
      </c>
      <c r="AI338" s="61">
        <v>3533.1</v>
      </c>
      <c r="AJ338" s="61">
        <v>4710.8</v>
      </c>
      <c r="AK338" s="61">
        <v>2076.4</v>
      </c>
      <c r="AL338" s="119"/>
      <c r="AM338" s="92"/>
      <c r="AN338" s="92"/>
      <c r="AO338" s="92"/>
      <c r="AQ338" s="144">
        <f>SUM(O338:AO338)</f>
        <v>24452.7</v>
      </c>
      <c r="AR338" s="144">
        <f>+K338-AQ338</f>
        <v>0</v>
      </c>
      <c r="AT338" s="372">
        <f>+F338*K338</f>
        <v>10003355.039999999</v>
      </c>
      <c r="AV338" s="263">
        <f>SUM(W338:AO338)</f>
        <v>24452.7</v>
      </c>
      <c r="AW338" s="263">
        <f>+L338-AV338</f>
        <v>0</v>
      </c>
      <c r="BA338" s="318">
        <f t="shared" si="255"/>
        <v>0</v>
      </c>
    </row>
    <row r="339" spans="1:53" s="2" customFormat="1" ht="10.5" customHeight="1">
      <c r="A339" s="10" t="s">
        <v>12</v>
      </c>
      <c r="B339" s="15"/>
      <c r="C339" s="343"/>
      <c r="D339" s="352"/>
      <c r="E339" s="346"/>
      <c r="F339" s="373"/>
      <c r="G339" s="277"/>
      <c r="H339" s="277"/>
      <c r="I339" s="277"/>
      <c r="J339" s="277"/>
      <c r="K339" s="277"/>
      <c r="L339" s="277"/>
      <c r="M339" s="367"/>
      <c r="N339" s="47" t="s">
        <v>163</v>
      </c>
      <c r="O339" s="254"/>
      <c r="P339" s="254"/>
      <c r="Q339" s="254"/>
      <c r="R339" s="254"/>
      <c r="S339" s="254"/>
      <c r="T339" s="254"/>
      <c r="U339" s="62">
        <f>+U338/$K338</f>
        <v>0</v>
      </c>
      <c r="V339" s="117"/>
      <c r="W339" s="88"/>
      <c r="X339" s="88"/>
      <c r="Y339" s="88"/>
      <c r="Z339" s="88"/>
      <c r="AA339" s="88"/>
      <c r="AB339" s="88"/>
      <c r="AC339" s="88"/>
      <c r="AD339" s="88"/>
      <c r="AE339" s="62">
        <f t="shared" ref="AE339" si="259">ROUND(AE338/$K338,5)</f>
        <v>0.14449999999999999</v>
      </c>
      <c r="AF339" s="62">
        <f t="shared" ref="AF339:AK339" si="260">ROUND(AF338/$K338,5)</f>
        <v>0.14449999999999999</v>
      </c>
      <c r="AG339" s="62">
        <f t="shared" si="260"/>
        <v>0.14449999999999999</v>
      </c>
      <c r="AH339" s="62">
        <f t="shared" si="260"/>
        <v>0.14449999999999999</v>
      </c>
      <c r="AI339" s="62">
        <f t="shared" si="260"/>
        <v>0.14449999999999999</v>
      </c>
      <c r="AJ339" s="62">
        <f t="shared" si="260"/>
        <v>0.19270000000000001</v>
      </c>
      <c r="AK339" s="62">
        <f t="shared" si="260"/>
        <v>8.4900000000000003E-2</v>
      </c>
      <c r="AL339" s="116"/>
      <c r="AM339" s="88"/>
      <c r="AN339" s="88"/>
      <c r="AO339" s="88"/>
      <c r="AQ339" s="149">
        <f>SUM(U339:AO339)</f>
        <v>1.0001</v>
      </c>
      <c r="AR339" s="146"/>
      <c r="AT339" s="389"/>
      <c r="AV339" s="266"/>
      <c r="AW339" s="266"/>
      <c r="BA339" s="318">
        <f t="shared" si="255"/>
        <v>0</v>
      </c>
    </row>
    <row r="340" spans="1:53" s="2" customFormat="1" ht="10.5" hidden="1" customHeight="1">
      <c r="A340" s="11" t="s">
        <v>13</v>
      </c>
      <c r="B340" s="15"/>
      <c r="C340" s="343"/>
      <c r="D340" s="352"/>
      <c r="E340" s="346"/>
      <c r="F340" s="373"/>
      <c r="G340" s="277"/>
      <c r="H340" s="277"/>
      <c r="I340" s="277"/>
      <c r="J340" s="277"/>
      <c r="K340" s="277"/>
      <c r="L340" s="277"/>
      <c r="M340" s="367"/>
      <c r="N340" s="48"/>
      <c r="O340" s="251"/>
      <c r="P340" s="251"/>
      <c r="Q340" s="251"/>
      <c r="R340" s="251"/>
      <c r="S340" s="251"/>
      <c r="T340" s="251"/>
      <c r="U340" s="93"/>
      <c r="V340" s="117"/>
      <c r="W340" s="88"/>
      <c r="X340" s="88"/>
      <c r="Y340" s="88"/>
      <c r="Z340" s="88"/>
      <c r="AA340" s="88"/>
      <c r="AB340" s="88"/>
      <c r="AC340" s="88"/>
      <c r="AD340" s="88"/>
      <c r="AE340" s="63"/>
      <c r="AF340" s="63"/>
      <c r="AG340" s="63"/>
      <c r="AH340" s="63"/>
      <c r="AI340" s="63"/>
      <c r="AJ340" s="63"/>
      <c r="AK340" s="63"/>
      <c r="AL340" s="117"/>
      <c r="AM340" s="88"/>
      <c r="AN340" s="88"/>
      <c r="AO340" s="88"/>
      <c r="AQ340" s="145"/>
      <c r="AR340" s="146"/>
      <c r="AT340" s="389"/>
      <c r="AU340" s="139"/>
      <c r="AV340" s="197"/>
      <c r="AW340" s="197"/>
      <c r="BA340" s="318">
        <f t="shared" si="255"/>
        <v>0</v>
      </c>
    </row>
    <row r="341" spans="1:53" s="2" customFormat="1" ht="10.5" customHeight="1">
      <c r="A341" s="12">
        <v>1</v>
      </c>
      <c r="B341" s="15"/>
      <c r="C341" s="344"/>
      <c r="D341" s="353"/>
      <c r="E341" s="347"/>
      <c r="F341" s="374"/>
      <c r="G341" s="307">
        <f>ROUND(G338*$F338,2)</f>
        <v>9635705.8599999994</v>
      </c>
      <c r="H341" s="307">
        <f>ROUND(H338*$F338,2)</f>
        <v>10003355.039999999</v>
      </c>
      <c r="I341" s="307">
        <f>ROUND(I338*$F338,2)</f>
        <v>0</v>
      </c>
      <c r="J341" s="307">
        <f>J338*$F338</f>
        <v>0</v>
      </c>
      <c r="K341" s="307">
        <f>ROUND(K338*$F338,2)</f>
        <v>10003355.039999999</v>
      </c>
      <c r="L341" s="307">
        <f>ROUND(L338*$F338,2)</f>
        <v>10003355.039999999</v>
      </c>
      <c r="M341" s="367"/>
      <c r="N341" s="49" t="s">
        <v>164</v>
      </c>
      <c r="O341" s="256"/>
      <c r="P341" s="256"/>
      <c r="Q341" s="256"/>
      <c r="R341" s="256"/>
      <c r="S341" s="256"/>
      <c r="T341" s="256"/>
      <c r="U341" s="64">
        <f>U338*$F338</f>
        <v>0</v>
      </c>
      <c r="V341" s="123"/>
      <c r="W341" s="91"/>
      <c r="X341" s="91"/>
      <c r="Y341" s="91"/>
      <c r="Z341" s="91"/>
      <c r="AA341" s="91"/>
      <c r="AB341" s="91"/>
      <c r="AC341" s="91"/>
      <c r="AD341" s="91"/>
      <c r="AE341" s="64">
        <f t="shared" ref="AE341:AJ341" si="261">ROUND(AE338*$F338,2)</f>
        <v>1445355.88</v>
      </c>
      <c r="AF341" s="64">
        <f t="shared" si="261"/>
        <v>1445355.88</v>
      </c>
      <c r="AG341" s="64">
        <f t="shared" si="261"/>
        <v>1445355.88</v>
      </c>
      <c r="AH341" s="64">
        <f t="shared" si="261"/>
        <v>1445355.88</v>
      </c>
      <c r="AI341" s="64">
        <f t="shared" si="261"/>
        <v>1445355.88</v>
      </c>
      <c r="AJ341" s="64">
        <f t="shared" si="261"/>
        <v>1927141.17</v>
      </c>
      <c r="AK341" s="64">
        <f>ROUND(AK338*$F338,2)-0.01</f>
        <v>849434.47</v>
      </c>
      <c r="AL341" s="118"/>
      <c r="AM341" s="91"/>
      <c r="AN341" s="91"/>
      <c r="AO341" s="91"/>
      <c r="AQ341" s="69">
        <f>SUM(U341:AO341)</f>
        <v>10003355.039999999</v>
      </c>
      <c r="AR341" s="69">
        <f>+K341-AQ341</f>
        <v>0</v>
      </c>
      <c r="AT341" s="390"/>
      <c r="AU341" s="139"/>
      <c r="AV341" s="196"/>
      <c r="AW341" s="196"/>
      <c r="BA341" s="318">
        <f t="shared" si="255"/>
        <v>0</v>
      </c>
    </row>
    <row r="342" spans="1:53" s="2" customFormat="1" ht="10.5" customHeight="1">
      <c r="A342" s="12"/>
      <c r="B342" s="15"/>
      <c r="C342" s="342">
        <v>71</v>
      </c>
      <c r="D342" s="348" t="s">
        <v>117</v>
      </c>
      <c r="E342" s="345" t="s">
        <v>242</v>
      </c>
      <c r="F342" s="372">
        <v>172.83</v>
      </c>
      <c r="G342" s="284">
        <v>282</v>
      </c>
      <c r="H342" s="284">
        <v>292.5</v>
      </c>
      <c r="I342" s="284"/>
      <c r="J342" s="284"/>
      <c r="K342" s="284">
        <f>H342+J342</f>
        <v>292.5</v>
      </c>
      <c r="L342" s="284">
        <f>+H342-I342+J342</f>
        <v>292.5</v>
      </c>
      <c r="M342" s="367"/>
      <c r="N342" s="47" t="s">
        <v>162</v>
      </c>
      <c r="O342" s="253"/>
      <c r="P342" s="253"/>
      <c r="Q342" s="253"/>
      <c r="R342" s="253"/>
      <c r="S342" s="253"/>
      <c r="T342" s="253"/>
      <c r="U342" s="61">
        <f>+I342</f>
        <v>0</v>
      </c>
      <c r="V342" s="117"/>
      <c r="W342" s="92"/>
      <c r="X342" s="92"/>
      <c r="Y342" s="92"/>
      <c r="Z342" s="92"/>
      <c r="AA342" s="92"/>
      <c r="AB342" s="92"/>
      <c r="AC342" s="92"/>
      <c r="AD342" s="92"/>
      <c r="AE342" s="92"/>
      <c r="AF342" s="92"/>
      <c r="AG342" s="92"/>
      <c r="AH342" s="95"/>
      <c r="AI342" s="95"/>
      <c r="AJ342" s="61">
        <v>140</v>
      </c>
      <c r="AK342" s="61">
        <v>152.5</v>
      </c>
      <c r="AL342" s="119"/>
      <c r="AM342" s="92"/>
      <c r="AN342" s="92"/>
      <c r="AO342" s="92"/>
      <c r="AQ342" s="144">
        <f>SUM(O342:AO342)</f>
        <v>292.5</v>
      </c>
      <c r="AR342" s="144">
        <f>+K342-AQ342</f>
        <v>0</v>
      </c>
      <c r="AT342" s="372">
        <f>+F342*K342</f>
        <v>50552.78</v>
      </c>
      <c r="AU342" s="139"/>
      <c r="AV342" s="263">
        <f>SUM(W342:AO342)</f>
        <v>292.5</v>
      </c>
      <c r="AW342" s="263">
        <f>+L342-AV342</f>
        <v>0</v>
      </c>
      <c r="BA342" s="318">
        <f t="shared" si="255"/>
        <v>0</v>
      </c>
    </row>
    <row r="343" spans="1:53" s="2" customFormat="1" ht="10.5" customHeight="1">
      <c r="A343" s="10" t="s">
        <v>12</v>
      </c>
      <c r="B343" s="15"/>
      <c r="C343" s="343"/>
      <c r="D343" s="349"/>
      <c r="E343" s="346"/>
      <c r="F343" s="373"/>
      <c r="G343" s="277"/>
      <c r="H343" s="277"/>
      <c r="I343" s="277"/>
      <c r="J343" s="277"/>
      <c r="K343" s="277"/>
      <c r="L343" s="277"/>
      <c r="M343" s="367"/>
      <c r="N343" s="47" t="s">
        <v>163</v>
      </c>
      <c r="O343" s="254"/>
      <c r="P343" s="254"/>
      <c r="Q343" s="254"/>
      <c r="R343" s="254"/>
      <c r="S343" s="254"/>
      <c r="T343" s="254"/>
      <c r="U343" s="62">
        <f>+U342/$K342</f>
        <v>0</v>
      </c>
      <c r="V343" s="117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93"/>
      <c r="AI343" s="93"/>
      <c r="AJ343" s="62">
        <f>ROUND(AJ342/$K342,5)</f>
        <v>0.47860000000000003</v>
      </c>
      <c r="AK343" s="62">
        <f>ROUND(AK342/$K342,5)</f>
        <v>0.52139999999999997</v>
      </c>
      <c r="AL343" s="116"/>
      <c r="AM343" s="88"/>
      <c r="AN343" s="88"/>
      <c r="AO343" s="88"/>
      <c r="AQ343" s="149">
        <f>SUM(U343:AO343)</f>
        <v>1</v>
      </c>
      <c r="AR343" s="146"/>
      <c r="AT343" s="389"/>
      <c r="AU343" s="139"/>
      <c r="AV343" s="266"/>
      <c r="AW343" s="266"/>
      <c r="BA343" s="318">
        <f t="shared" si="255"/>
        <v>0</v>
      </c>
    </row>
    <row r="344" spans="1:53" s="2" customFormat="1" ht="10.5" hidden="1" customHeight="1">
      <c r="A344" s="11" t="s">
        <v>13</v>
      </c>
      <c r="B344" s="15"/>
      <c r="C344" s="343"/>
      <c r="D344" s="349"/>
      <c r="E344" s="346"/>
      <c r="F344" s="373"/>
      <c r="G344" s="277"/>
      <c r="H344" s="277"/>
      <c r="I344" s="277"/>
      <c r="J344" s="277"/>
      <c r="K344" s="277"/>
      <c r="L344" s="277"/>
      <c r="M344" s="367"/>
      <c r="N344" s="48"/>
      <c r="O344" s="251"/>
      <c r="P344" s="251"/>
      <c r="Q344" s="251"/>
      <c r="R344" s="251"/>
      <c r="S344" s="251"/>
      <c r="T344" s="251"/>
      <c r="U344" s="93"/>
      <c r="V344" s="117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93"/>
      <c r="AI344" s="93"/>
      <c r="AJ344" s="63"/>
      <c r="AK344" s="63"/>
      <c r="AL344" s="117"/>
      <c r="AM344" s="88"/>
      <c r="AN344" s="88"/>
      <c r="AO344" s="88"/>
      <c r="AQ344" s="145"/>
      <c r="AR344" s="146"/>
      <c r="AT344" s="389"/>
      <c r="AU344" s="139"/>
      <c r="AV344" s="197"/>
      <c r="AW344" s="197"/>
      <c r="BA344" s="318">
        <f t="shared" si="255"/>
        <v>0</v>
      </c>
    </row>
    <row r="345" spans="1:53" s="2" customFormat="1" ht="10.5" customHeight="1">
      <c r="A345" s="12">
        <v>1</v>
      </c>
      <c r="B345" s="15"/>
      <c r="C345" s="344"/>
      <c r="D345" s="350"/>
      <c r="E345" s="347"/>
      <c r="F345" s="374"/>
      <c r="G345" s="307">
        <f>ROUND(G342*$F342,2)</f>
        <v>48738.06</v>
      </c>
      <c r="H345" s="307">
        <f>ROUND(H342*$F342,2)</f>
        <v>50552.78</v>
      </c>
      <c r="I345" s="307">
        <f>ROUND(I342*$F342,2)</f>
        <v>0</v>
      </c>
      <c r="J345" s="307">
        <f>J342*$F342</f>
        <v>0</v>
      </c>
      <c r="K345" s="307">
        <f>ROUND(K342*$F342,2)</f>
        <v>50552.78</v>
      </c>
      <c r="L345" s="307">
        <f>ROUND(L342*$F342,2)</f>
        <v>50552.78</v>
      </c>
      <c r="M345" s="367"/>
      <c r="N345" s="49" t="s">
        <v>164</v>
      </c>
      <c r="O345" s="256"/>
      <c r="P345" s="256"/>
      <c r="Q345" s="256"/>
      <c r="R345" s="256"/>
      <c r="S345" s="256"/>
      <c r="T345" s="256"/>
      <c r="U345" s="64">
        <f>U342*$F342</f>
        <v>0</v>
      </c>
      <c r="V345" s="123"/>
      <c r="W345" s="91"/>
      <c r="X345" s="91"/>
      <c r="Y345" s="91"/>
      <c r="Z345" s="91"/>
      <c r="AA345" s="91"/>
      <c r="AB345" s="91"/>
      <c r="AC345" s="91"/>
      <c r="AD345" s="91"/>
      <c r="AE345" s="91"/>
      <c r="AF345" s="91"/>
      <c r="AG345" s="91"/>
      <c r="AH345" s="94"/>
      <c r="AI345" s="94"/>
      <c r="AJ345" s="64">
        <f>ROUND(AJ342*$F342,2)</f>
        <v>24196.2</v>
      </c>
      <c r="AK345" s="64">
        <f>ROUND(AK342*$F342,2)</f>
        <v>26356.58</v>
      </c>
      <c r="AL345" s="118"/>
      <c r="AM345" s="91"/>
      <c r="AN345" s="91"/>
      <c r="AO345" s="91"/>
      <c r="AQ345" s="69">
        <f>SUM(U345:AO345)</f>
        <v>50552.78</v>
      </c>
      <c r="AR345" s="69">
        <f>+K345-AQ345</f>
        <v>0</v>
      </c>
      <c r="AT345" s="390"/>
      <c r="AU345" s="139"/>
      <c r="AV345" s="196"/>
      <c r="AW345" s="196"/>
      <c r="BA345" s="318">
        <f t="shared" si="255"/>
        <v>0</v>
      </c>
    </row>
    <row r="346" spans="1:53" s="2" customFormat="1" ht="10.5" customHeight="1">
      <c r="A346" s="12"/>
      <c r="B346" s="15"/>
      <c r="C346" s="342">
        <v>72</v>
      </c>
      <c r="D346" s="348" t="s">
        <v>118</v>
      </c>
      <c r="E346" s="345" t="s">
        <v>242</v>
      </c>
      <c r="F346" s="372">
        <v>1145.25</v>
      </c>
      <c r="G346" s="284">
        <v>173</v>
      </c>
      <c r="H346" s="284">
        <v>196</v>
      </c>
      <c r="I346" s="284"/>
      <c r="J346" s="284"/>
      <c r="K346" s="284">
        <f>H346+J346</f>
        <v>196</v>
      </c>
      <c r="L346" s="284">
        <f>+H346-I346+J346</f>
        <v>196</v>
      </c>
      <c r="M346" s="367"/>
      <c r="N346" s="47" t="s">
        <v>162</v>
      </c>
      <c r="O346" s="253"/>
      <c r="P346" s="253"/>
      <c r="Q346" s="253"/>
      <c r="R346" s="253"/>
      <c r="S346" s="253"/>
      <c r="T346" s="253"/>
      <c r="U346" s="61">
        <f>+I346</f>
        <v>0</v>
      </c>
      <c r="V346" s="117"/>
      <c r="W346" s="92"/>
      <c r="X346" s="92"/>
      <c r="Y346" s="92"/>
      <c r="Z346" s="92"/>
      <c r="AA346" s="92"/>
      <c r="AB346" s="92"/>
      <c r="AC346" s="92"/>
      <c r="AD346" s="92"/>
      <c r="AE346" s="92"/>
      <c r="AF346" s="92"/>
      <c r="AG346" s="92"/>
      <c r="AH346" s="95"/>
      <c r="AI346" s="61">
        <v>65</v>
      </c>
      <c r="AJ346" s="61">
        <v>65</v>
      </c>
      <c r="AK346" s="61">
        <v>66</v>
      </c>
      <c r="AL346" s="119"/>
      <c r="AM346" s="92"/>
      <c r="AN346" s="92"/>
      <c r="AO346" s="92"/>
      <c r="AQ346" s="144">
        <f>SUM(O346:AO346)</f>
        <v>196</v>
      </c>
      <c r="AR346" s="144">
        <f>+K346-AQ346</f>
        <v>0</v>
      </c>
      <c r="AT346" s="372">
        <f>+F346*K346</f>
        <v>224469</v>
      </c>
      <c r="AU346" s="139"/>
      <c r="AV346" s="263">
        <f>SUM(W346:AO346)</f>
        <v>196</v>
      </c>
      <c r="AW346" s="263">
        <f>+L346-AV346</f>
        <v>0</v>
      </c>
      <c r="BA346" s="318">
        <f t="shared" si="255"/>
        <v>0</v>
      </c>
    </row>
    <row r="347" spans="1:53" s="2" customFormat="1" ht="10.5" customHeight="1">
      <c r="A347" s="10" t="s">
        <v>12</v>
      </c>
      <c r="B347" s="15"/>
      <c r="C347" s="343"/>
      <c r="D347" s="349"/>
      <c r="E347" s="346"/>
      <c r="F347" s="373"/>
      <c r="G347" s="277"/>
      <c r="H347" s="277"/>
      <c r="I347" s="277"/>
      <c r="J347" s="277"/>
      <c r="K347" s="277"/>
      <c r="L347" s="277"/>
      <c r="M347" s="367"/>
      <c r="N347" s="47" t="s">
        <v>163</v>
      </c>
      <c r="O347" s="254"/>
      <c r="P347" s="254"/>
      <c r="Q347" s="254"/>
      <c r="R347" s="254"/>
      <c r="S347" s="254"/>
      <c r="T347" s="254"/>
      <c r="U347" s="62">
        <f>+U346/$K346</f>
        <v>0</v>
      </c>
      <c r="V347" s="117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93"/>
      <c r="AI347" s="62">
        <f>ROUND(AI346/$K346,5)</f>
        <v>0.33160000000000001</v>
      </c>
      <c r="AJ347" s="62">
        <f>ROUND(AJ346/$K346,5)</f>
        <v>0.33160000000000001</v>
      </c>
      <c r="AK347" s="62">
        <f>ROUND(AK346/$K346,5)</f>
        <v>0.3367</v>
      </c>
      <c r="AL347" s="116"/>
      <c r="AM347" s="88"/>
      <c r="AN347" s="88"/>
      <c r="AO347" s="88"/>
      <c r="AQ347" s="149">
        <f>SUM(U347:AO347)</f>
        <v>0.99990000000000001</v>
      </c>
      <c r="AR347" s="146"/>
      <c r="AT347" s="389"/>
      <c r="AU347" s="139"/>
      <c r="AV347" s="266"/>
      <c r="AW347" s="266"/>
      <c r="BA347" s="318">
        <f t="shared" si="255"/>
        <v>0</v>
      </c>
    </row>
    <row r="348" spans="1:53" s="2" customFormat="1" ht="10.5" hidden="1" customHeight="1">
      <c r="A348" s="11" t="s">
        <v>13</v>
      </c>
      <c r="B348" s="15"/>
      <c r="C348" s="343"/>
      <c r="D348" s="349"/>
      <c r="E348" s="346"/>
      <c r="F348" s="373"/>
      <c r="G348" s="277"/>
      <c r="H348" s="277"/>
      <c r="I348" s="277"/>
      <c r="J348" s="277"/>
      <c r="K348" s="277"/>
      <c r="L348" s="277"/>
      <c r="M348" s="367"/>
      <c r="N348" s="48"/>
      <c r="O348" s="251"/>
      <c r="P348" s="251"/>
      <c r="Q348" s="251"/>
      <c r="R348" s="251"/>
      <c r="S348" s="251"/>
      <c r="T348" s="251"/>
      <c r="U348" s="93"/>
      <c r="V348" s="117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96"/>
      <c r="AI348" s="63"/>
      <c r="AJ348" s="63"/>
      <c r="AK348" s="63"/>
      <c r="AL348" s="117"/>
      <c r="AM348" s="88"/>
      <c r="AN348" s="88"/>
      <c r="AO348" s="88"/>
      <c r="AQ348" s="145"/>
      <c r="AR348" s="146"/>
      <c r="AT348" s="389"/>
      <c r="AU348" s="139"/>
      <c r="AV348" s="197"/>
      <c r="AW348" s="197"/>
      <c r="BA348" s="318">
        <f t="shared" si="255"/>
        <v>0</v>
      </c>
    </row>
    <row r="349" spans="1:53" s="2" customFormat="1" ht="10.5" customHeight="1">
      <c r="A349" s="12">
        <v>1</v>
      </c>
      <c r="B349" s="15"/>
      <c r="C349" s="344"/>
      <c r="D349" s="350"/>
      <c r="E349" s="347"/>
      <c r="F349" s="374"/>
      <c r="G349" s="307">
        <f>ROUND(G346*$F346,2)</f>
        <v>198128.25</v>
      </c>
      <c r="H349" s="307">
        <f>ROUND(H346*$F346,2)</f>
        <v>224469</v>
      </c>
      <c r="I349" s="307">
        <f>ROUND(I346*$F346,2)</f>
        <v>0</v>
      </c>
      <c r="J349" s="307">
        <f>J346*$F346</f>
        <v>0</v>
      </c>
      <c r="K349" s="307">
        <f>ROUND(K346*$F346,2)</f>
        <v>224469</v>
      </c>
      <c r="L349" s="307">
        <f>ROUND(L346*$F346,2)</f>
        <v>224469</v>
      </c>
      <c r="M349" s="367"/>
      <c r="N349" s="49" t="s">
        <v>164</v>
      </c>
      <c r="O349" s="256"/>
      <c r="P349" s="256"/>
      <c r="Q349" s="256"/>
      <c r="R349" s="256"/>
      <c r="S349" s="256"/>
      <c r="T349" s="256"/>
      <c r="U349" s="64">
        <f>U346*$F346</f>
        <v>0</v>
      </c>
      <c r="V349" s="123"/>
      <c r="W349" s="91"/>
      <c r="X349" s="91"/>
      <c r="Y349" s="91"/>
      <c r="Z349" s="91"/>
      <c r="AA349" s="91"/>
      <c r="AB349" s="91"/>
      <c r="AC349" s="91"/>
      <c r="AD349" s="91"/>
      <c r="AE349" s="91"/>
      <c r="AF349" s="91"/>
      <c r="AG349" s="91"/>
      <c r="AH349" s="94"/>
      <c r="AI349" s="64">
        <f>AI346*$F346</f>
        <v>74441.25</v>
      </c>
      <c r="AJ349" s="64">
        <f>AJ346*$F346</f>
        <v>74441.25</v>
      </c>
      <c r="AK349" s="64">
        <f>AK346*$F346</f>
        <v>75586.5</v>
      </c>
      <c r="AL349" s="118"/>
      <c r="AM349" s="91"/>
      <c r="AN349" s="91"/>
      <c r="AO349" s="91"/>
      <c r="AQ349" s="69">
        <f>SUM(U349:AO349)</f>
        <v>224469</v>
      </c>
      <c r="AR349" s="69">
        <f>+K349-AQ349</f>
        <v>0</v>
      </c>
      <c r="AT349" s="390"/>
      <c r="AU349" s="139"/>
      <c r="AV349" s="196"/>
      <c r="AW349" s="196"/>
      <c r="BA349" s="318">
        <f t="shared" si="255"/>
        <v>0</v>
      </c>
    </row>
    <row r="350" spans="1:53" s="2" customFormat="1" ht="10.5" customHeight="1">
      <c r="A350" s="12"/>
      <c r="B350" s="15"/>
      <c r="C350" s="342">
        <v>73</v>
      </c>
      <c r="D350" s="348" t="s">
        <v>119</v>
      </c>
      <c r="E350" s="345" t="s">
        <v>237</v>
      </c>
      <c r="F350" s="372">
        <v>4.7300000000000004</v>
      </c>
      <c r="G350" s="284">
        <v>171687</v>
      </c>
      <c r="H350" s="284">
        <v>180911.5</v>
      </c>
      <c r="I350" s="284"/>
      <c r="J350" s="284"/>
      <c r="K350" s="284">
        <f>H350+J350</f>
        <v>180911.5</v>
      </c>
      <c r="L350" s="284">
        <f>+H350-I350+J350</f>
        <v>180911.5</v>
      </c>
      <c r="M350" s="367"/>
      <c r="N350" s="47" t="s">
        <v>162</v>
      </c>
      <c r="O350" s="253"/>
      <c r="P350" s="253"/>
      <c r="Q350" s="253"/>
      <c r="R350" s="253"/>
      <c r="S350" s="253"/>
      <c r="T350" s="253"/>
      <c r="U350" s="61">
        <f>+I350</f>
        <v>0</v>
      </c>
      <c r="V350" s="117"/>
      <c r="W350" s="92"/>
      <c r="X350" s="92"/>
      <c r="Y350" s="92"/>
      <c r="Z350" s="92"/>
      <c r="AA350" s="92"/>
      <c r="AB350" s="92"/>
      <c r="AC350" s="92"/>
      <c r="AD350" s="92"/>
      <c r="AE350" s="92"/>
      <c r="AF350" s="92"/>
      <c r="AG350" s="92"/>
      <c r="AH350" s="95"/>
      <c r="AI350" s="61">
        <v>60000</v>
      </c>
      <c r="AJ350" s="61">
        <v>60000</v>
      </c>
      <c r="AK350" s="61">
        <v>60911.5</v>
      </c>
      <c r="AL350" s="119"/>
      <c r="AM350" s="92"/>
      <c r="AN350" s="92"/>
      <c r="AO350" s="92"/>
      <c r="AQ350" s="144">
        <f>SUM(O350:AO350)</f>
        <v>180911.5</v>
      </c>
      <c r="AR350" s="144">
        <f>+K350-AQ350</f>
        <v>0</v>
      </c>
      <c r="AT350" s="372">
        <f>+F350*K350</f>
        <v>855711.4</v>
      </c>
      <c r="AU350" s="139"/>
      <c r="AV350" s="263">
        <f>SUM(W350:AO350)</f>
        <v>180911.5</v>
      </c>
      <c r="AW350" s="263">
        <f>+L350-AV350</f>
        <v>0</v>
      </c>
      <c r="BA350" s="318">
        <f t="shared" si="255"/>
        <v>0</v>
      </c>
    </row>
    <row r="351" spans="1:53" s="2" customFormat="1" ht="10.5" customHeight="1">
      <c r="A351" s="10" t="s">
        <v>12</v>
      </c>
      <c r="B351" s="15"/>
      <c r="C351" s="343"/>
      <c r="D351" s="349"/>
      <c r="E351" s="346"/>
      <c r="F351" s="373"/>
      <c r="G351" s="277"/>
      <c r="H351" s="277"/>
      <c r="I351" s="277"/>
      <c r="J351" s="277"/>
      <c r="K351" s="277"/>
      <c r="L351" s="277"/>
      <c r="M351" s="367"/>
      <c r="N351" s="47" t="s">
        <v>163</v>
      </c>
      <c r="O351" s="254"/>
      <c r="P351" s="254"/>
      <c r="Q351" s="254"/>
      <c r="R351" s="254"/>
      <c r="S351" s="254"/>
      <c r="T351" s="254"/>
      <c r="U351" s="62">
        <f>+U350/$K350</f>
        <v>0</v>
      </c>
      <c r="V351" s="117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93"/>
      <c r="AI351" s="62">
        <f>ROUND(AI350/$K350,5)</f>
        <v>0.33169999999999999</v>
      </c>
      <c r="AJ351" s="62">
        <f>ROUND(AJ350/$K350,5)</f>
        <v>0.33169999999999999</v>
      </c>
      <c r="AK351" s="62">
        <f>ROUND(AK350/$K350,5)</f>
        <v>0.3367</v>
      </c>
      <c r="AL351" s="116"/>
      <c r="AM351" s="88"/>
      <c r="AN351" s="88"/>
      <c r="AO351" s="88"/>
      <c r="AQ351" s="149">
        <f>SUM(U351:AO351)</f>
        <v>1.0001</v>
      </c>
      <c r="AR351" s="146"/>
      <c r="AT351" s="389"/>
      <c r="AU351" s="139"/>
      <c r="AV351" s="266"/>
      <c r="AW351" s="266"/>
      <c r="BA351" s="318">
        <f t="shared" si="255"/>
        <v>0</v>
      </c>
    </row>
    <row r="352" spans="1:53" s="2" customFormat="1" ht="10.5" hidden="1" customHeight="1">
      <c r="A352" s="11" t="s">
        <v>13</v>
      </c>
      <c r="B352" s="15"/>
      <c r="C352" s="343"/>
      <c r="D352" s="349"/>
      <c r="E352" s="346"/>
      <c r="F352" s="373"/>
      <c r="G352" s="277"/>
      <c r="H352" s="277"/>
      <c r="I352" s="277"/>
      <c r="J352" s="277"/>
      <c r="K352" s="277"/>
      <c r="L352" s="277"/>
      <c r="M352" s="367"/>
      <c r="N352" s="48"/>
      <c r="O352" s="251"/>
      <c r="P352" s="251"/>
      <c r="Q352" s="251"/>
      <c r="R352" s="251"/>
      <c r="S352" s="251"/>
      <c r="T352" s="251"/>
      <c r="U352" s="93"/>
      <c r="V352" s="117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96"/>
      <c r="AI352" s="63"/>
      <c r="AJ352" s="63"/>
      <c r="AK352" s="63"/>
      <c r="AL352" s="117"/>
      <c r="AM352" s="88"/>
      <c r="AN352" s="88"/>
      <c r="AO352" s="88"/>
      <c r="AQ352" s="145"/>
      <c r="AR352" s="146"/>
      <c r="AT352" s="389"/>
      <c r="AU352" s="139"/>
      <c r="AV352" s="197"/>
      <c r="AW352" s="197"/>
      <c r="BA352" s="318">
        <f t="shared" si="255"/>
        <v>0</v>
      </c>
    </row>
    <row r="353" spans="1:53" s="2" customFormat="1" ht="10.5" customHeight="1">
      <c r="A353" s="12">
        <v>1</v>
      </c>
      <c r="B353" s="15"/>
      <c r="C353" s="344"/>
      <c r="D353" s="350"/>
      <c r="E353" s="347"/>
      <c r="F353" s="374"/>
      <c r="G353" s="307">
        <f>ROUND(G350*$F350,2)</f>
        <v>812079.51</v>
      </c>
      <c r="H353" s="307">
        <f>ROUND(H350*$F350,2)</f>
        <v>855711.4</v>
      </c>
      <c r="I353" s="307">
        <f>ROUND(I350*$F350,2)</f>
        <v>0</v>
      </c>
      <c r="J353" s="307">
        <f>J350*$F350</f>
        <v>0</v>
      </c>
      <c r="K353" s="307">
        <f>ROUND(K350*$F350,2)</f>
        <v>855711.4</v>
      </c>
      <c r="L353" s="307">
        <f>ROUND(L350*$F350,2)</f>
        <v>855711.4</v>
      </c>
      <c r="M353" s="367"/>
      <c r="N353" s="49" t="s">
        <v>164</v>
      </c>
      <c r="O353" s="256"/>
      <c r="P353" s="256"/>
      <c r="Q353" s="256"/>
      <c r="R353" s="256"/>
      <c r="S353" s="256"/>
      <c r="T353" s="256"/>
      <c r="U353" s="64">
        <f>U350*$F350</f>
        <v>0</v>
      </c>
      <c r="V353" s="123"/>
      <c r="W353" s="91"/>
      <c r="X353" s="91"/>
      <c r="Y353" s="91"/>
      <c r="Z353" s="91"/>
      <c r="AA353" s="91"/>
      <c r="AB353" s="91"/>
      <c r="AC353" s="91"/>
      <c r="AD353" s="91"/>
      <c r="AE353" s="91"/>
      <c r="AF353" s="91"/>
      <c r="AG353" s="91"/>
      <c r="AH353" s="94"/>
      <c r="AI353" s="64">
        <f>AI350*$F350</f>
        <v>283800</v>
      </c>
      <c r="AJ353" s="64">
        <f>AJ350*$F350</f>
        <v>283800</v>
      </c>
      <c r="AK353" s="64">
        <f>AK350*$F350</f>
        <v>288111.40000000002</v>
      </c>
      <c r="AL353" s="118"/>
      <c r="AM353" s="91"/>
      <c r="AN353" s="91"/>
      <c r="AO353" s="91"/>
      <c r="AQ353" s="69">
        <f>SUM(U353:AO353)</f>
        <v>855711.4</v>
      </c>
      <c r="AR353" s="69">
        <f>+K353-AQ353</f>
        <v>0</v>
      </c>
      <c r="AT353" s="390"/>
      <c r="AU353" s="139"/>
      <c r="AV353" s="196"/>
      <c r="AW353" s="196"/>
      <c r="BA353" s="318">
        <f t="shared" si="255"/>
        <v>0</v>
      </c>
    </row>
    <row r="354" spans="1:53" s="2" customFormat="1" ht="10.5" customHeight="1">
      <c r="A354" s="12"/>
      <c r="B354" s="15"/>
      <c r="C354" s="342">
        <v>74</v>
      </c>
      <c r="D354" s="348" t="s">
        <v>120</v>
      </c>
      <c r="E354" s="345" t="s">
        <v>237</v>
      </c>
      <c r="F354" s="372">
        <v>5.92</v>
      </c>
      <c r="G354" s="284">
        <v>104759</v>
      </c>
      <c r="H354" s="284">
        <v>108493.25</v>
      </c>
      <c r="I354" s="284"/>
      <c r="J354" s="284"/>
      <c r="K354" s="284">
        <f>H354+J354</f>
        <v>108493.25</v>
      </c>
      <c r="L354" s="284">
        <f>+H354-I354+J354</f>
        <v>108493.25</v>
      </c>
      <c r="M354" s="367"/>
      <c r="N354" s="47" t="s">
        <v>162</v>
      </c>
      <c r="O354" s="253"/>
      <c r="P354" s="253"/>
      <c r="Q354" s="253"/>
      <c r="R354" s="253"/>
      <c r="S354" s="253"/>
      <c r="T354" s="253"/>
      <c r="U354" s="61">
        <f>+I354</f>
        <v>0</v>
      </c>
      <c r="V354" s="117"/>
      <c r="W354" s="92"/>
      <c r="X354" s="92"/>
      <c r="Y354" s="92"/>
      <c r="Z354" s="92"/>
      <c r="AA354" s="92"/>
      <c r="AB354" s="92"/>
      <c r="AC354" s="92"/>
      <c r="AD354" s="92"/>
      <c r="AE354" s="92"/>
      <c r="AF354" s="92"/>
      <c r="AG354" s="92"/>
      <c r="AH354" s="61"/>
      <c r="AI354" s="61">
        <v>36000</v>
      </c>
      <c r="AJ354" s="61">
        <v>36000</v>
      </c>
      <c r="AK354" s="61">
        <v>36493.25</v>
      </c>
      <c r="AL354" s="119"/>
      <c r="AM354" s="92"/>
      <c r="AN354" s="92"/>
      <c r="AO354" s="92"/>
      <c r="AQ354" s="144">
        <f>SUM(O354:AO354)</f>
        <v>108493.25</v>
      </c>
      <c r="AR354" s="144">
        <f>+K354-AQ354</f>
        <v>0</v>
      </c>
      <c r="AT354" s="372">
        <f>+F354*K354</f>
        <v>642280.04</v>
      </c>
      <c r="AU354" s="139"/>
      <c r="AV354" s="263">
        <f>SUM(W354:AO354)</f>
        <v>108493.25</v>
      </c>
      <c r="AW354" s="263">
        <f>+L354-AV354</f>
        <v>0</v>
      </c>
      <c r="BA354" s="318">
        <f t="shared" si="255"/>
        <v>0</v>
      </c>
    </row>
    <row r="355" spans="1:53" s="2" customFormat="1" ht="10.5" customHeight="1">
      <c r="A355" s="10" t="s">
        <v>12</v>
      </c>
      <c r="B355" s="15"/>
      <c r="C355" s="343"/>
      <c r="D355" s="349"/>
      <c r="E355" s="346"/>
      <c r="F355" s="373"/>
      <c r="G355" s="277"/>
      <c r="H355" s="277"/>
      <c r="I355" s="277"/>
      <c r="J355" s="277"/>
      <c r="K355" s="277"/>
      <c r="L355" s="277"/>
      <c r="M355" s="367"/>
      <c r="N355" s="47" t="s">
        <v>163</v>
      </c>
      <c r="O355" s="254"/>
      <c r="P355" s="254"/>
      <c r="Q355" s="254"/>
      <c r="R355" s="254"/>
      <c r="S355" s="254"/>
      <c r="T355" s="254"/>
      <c r="U355" s="62">
        <f>+U354/$K354</f>
        <v>0</v>
      </c>
      <c r="V355" s="117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62"/>
      <c r="AI355" s="62">
        <f>ROUND(AI354/$K354,5)</f>
        <v>0.33179999999999998</v>
      </c>
      <c r="AJ355" s="62">
        <f>ROUND(AJ354/$K354,5)</f>
        <v>0.33179999999999998</v>
      </c>
      <c r="AK355" s="62">
        <f>ROUND(AK354/$K354,5)</f>
        <v>0.33639999999999998</v>
      </c>
      <c r="AL355" s="116"/>
      <c r="AM355" s="88"/>
      <c r="AN355" s="88"/>
      <c r="AO355" s="88"/>
      <c r="AQ355" s="149">
        <f>SUM(U355:AO355)</f>
        <v>1</v>
      </c>
      <c r="AR355" s="146"/>
      <c r="AT355" s="389"/>
      <c r="AU355" s="139"/>
      <c r="AV355" s="266"/>
      <c r="AW355" s="266"/>
      <c r="BA355" s="318">
        <f t="shared" si="255"/>
        <v>0</v>
      </c>
    </row>
    <row r="356" spans="1:53" s="2" customFormat="1" ht="10.5" hidden="1" customHeight="1">
      <c r="A356" s="11" t="s">
        <v>13</v>
      </c>
      <c r="B356" s="15"/>
      <c r="C356" s="343"/>
      <c r="D356" s="349"/>
      <c r="E356" s="346"/>
      <c r="F356" s="373"/>
      <c r="G356" s="277"/>
      <c r="H356" s="277"/>
      <c r="I356" s="277"/>
      <c r="J356" s="277"/>
      <c r="K356" s="277"/>
      <c r="L356" s="277"/>
      <c r="M356" s="367"/>
      <c r="N356" s="48"/>
      <c r="O356" s="251"/>
      <c r="P356" s="251"/>
      <c r="Q356" s="251"/>
      <c r="R356" s="251"/>
      <c r="S356" s="251"/>
      <c r="T356" s="251"/>
      <c r="U356" s="93"/>
      <c r="V356" s="117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96"/>
      <c r="AI356" s="63"/>
      <c r="AJ356" s="63"/>
      <c r="AK356" s="63"/>
      <c r="AL356" s="117"/>
      <c r="AM356" s="88"/>
      <c r="AN356" s="88"/>
      <c r="AO356" s="88"/>
      <c r="AQ356" s="145"/>
      <c r="AR356" s="146"/>
      <c r="AT356" s="389"/>
      <c r="AU356" s="139"/>
      <c r="AV356" s="197"/>
      <c r="AW356" s="197"/>
      <c r="BA356" s="318">
        <f t="shared" si="255"/>
        <v>0</v>
      </c>
    </row>
    <row r="357" spans="1:53" s="2" customFormat="1" ht="10.5" customHeight="1">
      <c r="A357" s="12">
        <v>1</v>
      </c>
      <c r="B357" s="15"/>
      <c r="C357" s="344"/>
      <c r="D357" s="350"/>
      <c r="E357" s="347"/>
      <c r="F357" s="374"/>
      <c r="G357" s="307">
        <f>ROUND(G354*$F354,2)</f>
        <v>620173.28</v>
      </c>
      <c r="H357" s="307">
        <f>ROUND(H354*$F354,2)</f>
        <v>642280.04</v>
      </c>
      <c r="I357" s="307">
        <f>ROUND(I354*$F354,2)</f>
        <v>0</v>
      </c>
      <c r="J357" s="307">
        <f>J354*$F354</f>
        <v>0</v>
      </c>
      <c r="K357" s="307">
        <f>ROUND(K354*$F354,2)</f>
        <v>642280.04</v>
      </c>
      <c r="L357" s="307">
        <f>ROUND(L354*$F354,2)</f>
        <v>642280.04</v>
      </c>
      <c r="M357" s="367"/>
      <c r="N357" s="49" t="s">
        <v>164</v>
      </c>
      <c r="O357" s="256"/>
      <c r="P357" s="256"/>
      <c r="Q357" s="256"/>
      <c r="R357" s="256"/>
      <c r="S357" s="256"/>
      <c r="T357" s="256"/>
      <c r="U357" s="64">
        <f>U354*$F354</f>
        <v>0</v>
      </c>
      <c r="V357" s="123"/>
      <c r="W357" s="91"/>
      <c r="X357" s="91"/>
      <c r="Y357" s="91"/>
      <c r="Z357" s="91"/>
      <c r="AA357" s="91"/>
      <c r="AB357" s="91"/>
      <c r="AC357" s="91"/>
      <c r="AD357" s="91"/>
      <c r="AE357" s="91"/>
      <c r="AF357" s="91"/>
      <c r="AG357" s="91"/>
      <c r="AH357" s="64"/>
      <c r="AI357" s="64">
        <f>AI354*$F354</f>
        <v>213120</v>
      </c>
      <c r="AJ357" s="64">
        <f>AJ354*$F354</f>
        <v>213120</v>
      </c>
      <c r="AK357" s="64">
        <f>AK354*$F354</f>
        <v>216040.04</v>
      </c>
      <c r="AL357" s="118"/>
      <c r="AM357" s="91"/>
      <c r="AN357" s="91"/>
      <c r="AO357" s="91"/>
      <c r="AQ357" s="69">
        <f>SUM(U357:AO357)</f>
        <v>642280.04</v>
      </c>
      <c r="AR357" s="69">
        <f>+K357-AQ357</f>
        <v>0</v>
      </c>
      <c r="AT357" s="390"/>
      <c r="AU357" s="139"/>
      <c r="AV357" s="196"/>
      <c r="AW357" s="196"/>
      <c r="BA357" s="318">
        <f t="shared" si="255"/>
        <v>0</v>
      </c>
    </row>
    <row r="358" spans="1:53" s="2" customFormat="1" ht="10.5" customHeight="1">
      <c r="A358" s="12"/>
      <c r="B358" s="15"/>
      <c r="C358" s="342">
        <v>75</v>
      </c>
      <c r="D358" s="348" t="s">
        <v>121</v>
      </c>
      <c r="E358" s="345" t="s">
        <v>235</v>
      </c>
      <c r="F358" s="372">
        <v>80.040000000000006</v>
      </c>
      <c r="G358" s="284">
        <v>1544</v>
      </c>
      <c r="H358" s="284">
        <v>1547</v>
      </c>
      <c r="I358" s="284"/>
      <c r="J358" s="284"/>
      <c r="K358" s="284">
        <f>H358+J358</f>
        <v>1547</v>
      </c>
      <c r="L358" s="284">
        <f>+H358-I358+J358</f>
        <v>1547</v>
      </c>
      <c r="M358" s="367"/>
      <c r="N358" s="47" t="s">
        <v>162</v>
      </c>
      <c r="O358" s="253"/>
      <c r="P358" s="253"/>
      <c r="Q358" s="253"/>
      <c r="R358" s="253"/>
      <c r="S358" s="253"/>
      <c r="T358" s="253"/>
      <c r="U358" s="61">
        <f>+I358</f>
        <v>0</v>
      </c>
      <c r="V358" s="117"/>
      <c r="W358" s="92"/>
      <c r="X358" s="92"/>
      <c r="Y358" s="92"/>
      <c r="Z358" s="92"/>
      <c r="AA358" s="92"/>
      <c r="AB358" s="92"/>
      <c r="AC358" s="92"/>
      <c r="AD358" s="92"/>
      <c r="AE358" s="92"/>
      <c r="AF358" s="92"/>
      <c r="AG358" s="92"/>
      <c r="AH358" s="95"/>
      <c r="AI358" s="61">
        <v>515</v>
      </c>
      <c r="AJ358" s="61">
        <v>515</v>
      </c>
      <c r="AK358" s="61">
        <v>517</v>
      </c>
      <c r="AL358" s="119"/>
      <c r="AM358" s="92"/>
      <c r="AN358" s="92"/>
      <c r="AO358" s="92"/>
      <c r="AQ358" s="144">
        <f>SUM(O358:AO358)</f>
        <v>1547</v>
      </c>
      <c r="AR358" s="144">
        <f>+K358-AQ358</f>
        <v>0</v>
      </c>
      <c r="AT358" s="372">
        <f>+F358*K358</f>
        <v>123821.88</v>
      </c>
      <c r="AU358" s="139"/>
      <c r="AV358" s="263">
        <f>SUM(W358:AO358)</f>
        <v>1547</v>
      </c>
      <c r="AW358" s="263">
        <f>+L358-AV358</f>
        <v>0</v>
      </c>
      <c r="BA358" s="318">
        <f t="shared" si="255"/>
        <v>0</v>
      </c>
    </row>
    <row r="359" spans="1:53" s="2" customFormat="1" ht="10.5" customHeight="1">
      <c r="A359" s="10" t="s">
        <v>12</v>
      </c>
      <c r="B359" s="15"/>
      <c r="C359" s="343"/>
      <c r="D359" s="349"/>
      <c r="E359" s="346"/>
      <c r="F359" s="373"/>
      <c r="G359" s="277"/>
      <c r="H359" s="277"/>
      <c r="I359" s="277"/>
      <c r="J359" s="277"/>
      <c r="K359" s="277"/>
      <c r="L359" s="277"/>
      <c r="M359" s="367"/>
      <c r="N359" s="47" t="s">
        <v>163</v>
      </c>
      <c r="O359" s="254"/>
      <c r="P359" s="254"/>
      <c r="Q359" s="254"/>
      <c r="R359" s="254"/>
      <c r="S359" s="254"/>
      <c r="T359" s="254"/>
      <c r="U359" s="62">
        <f>+U358/$K358</f>
        <v>0</v>
      </c>
      <c r="V359" s="117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93"/>
      <c r="AI359" s="62">
        <f>ROUND(AI358/$K358,5)</f>
        <v>0.33289999999999997</v>
      </c>
      <c r="AJ359" s="62">
        <f>ROUND(AJ358/$K358,5)</f>
        <v>0.33289999999999997</v>
      </c>
      <c r="AK359" s="62">
        <f>ROUND(AK358/$K358,5)</f>
        <v>0.3342</v>
      </c>
      <c r="AL359" s="116"/>
      <c r="AM359" s="88"/>
      <c r="AN359" s="88"/>
      <c r="AO359" s="88"/>
      <c r="AQ359" s="149">
        <f>SUM(U359:AO359)</f>
        <v>1</v>
      </c>
      <c r="AR359" s="146"/>
      <c r="AT359" s="389"/>
      <c r="AU359" s="139"/>
      <c r="AV359" s="266"/>
      <c r="AW359" s="266"/>
      <c r="BA359" s="318">
        <f t="shared" si="255"/>
        <v>0</v>
      </c>
    </row>
    <row r="360" spans="1:53" s="2" customFormat="1" ht="10.5" hidden="1" customHeight="1">
      <c r="A360" s="11" t="s">
        <v>13</v>
      </c>
      <c r="B360" s="15"/>
      <c r="C360" s="343"/>
      <c r="D360" s="349"/>
      <c r="E360" s="346"/>
      <c r="F360" s="373"/>
      <c r="G360" s="277"/>
      <c r="H360" s="277"/>
      <c r="I360" s="277"/>
      <c r="J360" s="277"/>
      <c r="K360" s="277"/>
      <c r="L360" s="277"/>
      <c r="M360" s="367"/>
      <c r="N360" s="48"/>
      <c r="O360" s="251"/>
      <c r="P360" s="251"/>
      <c r="Q360" s="251"/>
      <c r="R360" s="251"/>
      <c r="S360" s="251"/>
      <c r="T360" s="251"/>
      <c r="U360" s="93"/>
      <c r="V360" s="117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96"/>
      <c r="AI360" s="63"/>
      <c r="AJ360" s="63"/>
      <c r="AK360" s="63"/>
      <c r="AL360" s="117"/>
      <c r="AM360" s="88"/>
      <c r="AN360" s="88"/>
      <c r="AO360" s="88"/>
      <c r="AQ360" s="145"/>
      <c r="AR360" s="146"/>
      <c r="AT360" s="389"/>
      <c r="AV360" s="197"/>
      <c r="AW360" s="197"/>
      <c r="BA360" s="318">
        <f t="shared" si="255"/>
        <v>0</v>
      </c>
    </row>
    <row r="361" spans="1:53" s="2" customFormat="1" ht="10.5" customHeight="1">
      <c r="A361" s="12">
        <v>1</v>
      </c>
      <c r="B361" s="15"/>
      <c r="C361" s="344"/>
      <c r="D361" s="350"/>
      <c r="E361" s="347"/>
      <c r="F361" s="374"/>
      <c r="G361" s="307">
        <f>ROUND(G358*$F358,2)</f>
        <v>123581.75999999999</v>
      </c>
      <c r="H361" s="307">
        <f>ROUND(H358*$F358,2)</f>
        <v>123821.88</v>
      </c>
      <c r="I361" s="307">
        <f>ROUND(I358*$F358,2)</f>
        <v>0</v>
      </c>
      <c r="J361" s="307">
        <f>J358*$F358</f>
        <v>0</v>
      </c>
      <c r="K361" s="307">
        <f>ROUND(K358*$F358,2)</f>
        <v>123821.88</v>
      </c>
      <c r="L361" s="307">
        <f>ROUND(L358*$F358,2)</f>
        <v>123821.88</v>
      </c>
      <c r="M361" s="367"/>
      <c r="N361" s="49" t="s">
        <v>164</v>
      </c>
      <c r="O361" s="256"/>
      <c r="P361" s="256"/>
      <c r="Q361" s="256"/>
      <c r="R361" s="256"/>
      <c r="S361" s="256"/>
      <c r="T361" s="256"/>
      <c r="U361" s="64">
        <f>U358*$F358</f>
        <v>0</v>
      </c>
      <c r="V361" s="123"/>
      <c r="W361" s="91"/>
      <c r="X361" s="91"/>
      <c r="Y361" s="91"/>
      <c r="Z361" s="91"/>
      <c r="AA361" s="91"/>
      <c r="AB361" s="91"/>
      <c r="AC361" s="91"/>
      <c r="AD361" s="91"/>
      <c r="AE361" s="91"/>
      <c r="AF361" s="91"/>
      <c r="AG361" s="91"/>
      <c r="AH361" s="94"/>
      <c r="AI361" s="64">
        <f>AI358*$F358</f>
        <v>41220.6</v>
      </c>
      <c r="AJ361" s="64">
        <f>AJ358*$F358</f>
        <v>41220.6</v>
      </c>
      <c r="AK361" s="64">
        <f>AK358*$F358</f>
        <v>41380.68</v>
      </c>
      <c r="AL361" s="118"/>
      <c r="AM361" s="91"/>
      <c r="AN361" s="91"/>
      <c r="AO361" s="91"/>
      <c r="AQ361" s="69">
        <f>SUM(U361:AO361)</f>
        <v>123821.88</v>
      </c>
      <c r="AR361" s="69">
        <f>+K361-AQ361</f>
        <v>0</v>
      </c>
      <c r="AT361" s="390"/>
      <c r="AV361" s="196"/>
      <c r="AW361" s="196"/>
      <c r="BA361" s="318">
        <f t="shared" si="255"/>
        <v>0</v>
      </c>
    </row>
    <row r="362" spans="1:53" s="2" customFormat="1" ht="10.5" customHeight="1">
      <c r="A362" s="12"/>
      <c r="B362" s="15"/>
      <c r="C362" s="342">
        <v>76</v>
      </c>
      <c r="D362" s="348" t="s">
        <v>122</v>
      </c>
      <c r="E362" s="345" t="s">
        <v>242</v>
      </c>
      <c r="F362" s="372">
        <v>1450.32</v>
      </c>
      <c r="G362" s="284">
        <v>104</v>
      </c>
      <c r="H362" s="284">
        <v>110</v>
      </c>
      <c r="I362" s="284"/>
      <c r="J362" s="284"/>
      <c r="K362" s="284">
        <f>H362+J362</f>
        <v>110</v>
      </c>
      <c r="L362" s="284">
        <f>+H362-I362+J362</f>
        <v>110</v>
      </c>
      <c r="M362" s="367"/>
      <c r="N362" s="47" t="s">
        <v>162</v>
      </c>
      <c r="O362" s="253"/>
      <c r="P362" s="253"/>
      <c r="Q362" s="253"/>
      <c r="R362" s="253"/>
      <c r="S362" s="253"/>
      <c r="T362" s="253"/>
      <c r="U362" s="61">
        <f>+I362</f>
        <v>0</v>
      </c>
      <c r="V362" s="117"/>
      <c r="W362" s="92"/>
      <c r="X362" s="92"/>
      <c r="Y362" s="92"/>
      <c r="Z362" s="92"/>
      <c r="AA362" s="92"/>
      <c r="AB362" s="92"/>
      <c r="AC362" s="92"/>
      <c r="AD362" s="92"/>
      <c r="AE362" s="92"/>
      <c r="AF362" s="92"/>
      <c r="AG362" s="92"/>
      <c r="AH362" s="95"/>
      <c r="AI362" s="61">
        <v>35</v>
      </c>
      <c r="AJ362" s="61">
        <v>35</v>
      </c>
      <c r="AK362" s="61">
        <v>40</v>
      </c>
      <c r="AL362" s="119"/>
      <c r="AM362" s="92"/>
      <c r="AN362" s="92"/>
      <c r="AO362" s="92"/>
      <c r="AQ362" s="144">
        <f>SUM(O362:AO362)</f>
        <v>110</v>
      </c>
      <c r="AR362" s="144">
        <f>+K362-AQ362</f>
        <v>0</v>
      </c>
      <c r="AT362" s="372">
        <f>+F362*K362</f>
        <v>159535.20000000001</v>
      </c>
      <c r="AV362" s="263">
        <f>SUM(W362:AO362)</f>
        <v>110</v>
      </c>
      <c r="AW362" s="263">
        <f>+L362-AV362</f>
        <v>0</v>
      </c>
      <c r="BA362" s="318">
        <f t="shared" si="255"/>
        <v>0</v>
      </c>
    </row>
    <row r="363" spans="1:53" s="2" customFormat="1" ht="10.5" customHeight="1">
      <c r="A363" s="10" t="s">
        <v>12</v>
      </c>
      <c r="B363" s="15"/>
      <c r="C363" s="343"/>
      <c r="D363" s="349"/>
      <c r="E363" s="346"/>
      <c r="F363" s="373"/>
      <c r="G363" s="277"/>
      <c r="H363" s="277"/>
      <c r="I363" s="277"/>
      <c r="J363" s="277"/>
      <c r="K363" s="277"/>
      <c r="L363" s="277"/>
      <c r="M363" s="367"/>
      <c r="N363" s="47" t="s">
        <v>163</v>
      </c>
      <c r="O363" s="254"/>
      <c r="P363" s="254"/>
      <c r="Q363" s="254"/>
      <c r="R363" s="254"/>
      <c r="S363" s="254"/>
      <c r="T363" s="254"/>
      <c r="U363" s="62">
        <f>+U362/$K362</f>
        <v>0</v>
      </c>
      <c r="V363" s="117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93"/>
      <c r="AI363" s="62">
        <f>ROUND(AI362/$K362,5)</f>
        <v>0.31819999999999998</v>
      </c>
      <c r="AJ363" s="62">
        <f>ROUND(AJ362/$K362,5)</f>
        <v>0.31819999999999998</v>
      </c>
      <c r="AK363" s="62">
        <f>ROUND(AK362/$K362,5)</f>
        <v>0.36359999999999998</v>
      </c>
      <c r="AL363" s="116"/>
      <c r="AM363" s="88"/>
      <c r="AN363" s="88"/>
      <c r="AO363" s="88"/>
      <c r="AQ363" s="149">
        <f>SUM(U363:AO363)</f>
        <v>1</v>
      </c>
      <c r="AR363" s="146"/>
      <c r="AT363" s="389"/>
      <c r="AV363" s="266"/>
      <c r="AW363" s="266"/>
      <c r="BA363" s="318">
        <f t="shared" si="255"/>
        <v>0</v>
      </c>
    </row>
    <row r="364" spans="1:53" s="2" customFormat="1" ht="10.5" hidden="1" customHeight="1">
      <c r="A364" s="11" t="s">
        <v>13</v>
      </c>
      <c r="B364" s="15"/>
      <c r="C364" s="343"/>
      <c r="D364" s="349"/>
      <c r="E364" s="346"/>
      <c r="F364" s="373"/>
      <c r="G364" s="277"/>
      <c r="H364" s="277"/>
      <c r="I364" s="277"/>
      <c r="J364" s="277"/>
      <c r="K364" s="277"/>
      <c r="L364" s="277"/>
      <c r="M364" s="367"/>
      <c r="N364" s="48"/>
      <c r="O364" s="251"/>
      <c r="P364" s="251"/>
      <c r="Q364" s="251"/>
      <c r="R364" s="251"/>
      <c r="S364" s="251"/>
      <c r="T364" s="251"/>
      <c r="U364" s="93"/>
      <c r="V364" s="117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96"/>
      <c r="AI364" s="63"/>
      <c r="AJ364" s="63"/>
      <c r="AK364" s="63"/>
      <c r="AL364" s="117"/>
      <c r="AM364" s="88"/>
      <c r="AN364" s="88"/>
      <c r="AO364" s="88"/>
      <c r="AQ364" s="145"/>
      <c r="AR364" s="146"/>
      <c r="AT364" s="389"/>
      <c r="AV364" s="197"/>
      <c r="AW364" s="197"/>
      <c r="BA364" s="318">
        <f t="shared" si="255"/>
        <v>0</v>
      </c>
    </row>
    <row r="365" spans="1:53" s="2" customFormat="1" ht="10.5" customHeight="1">
      <c r="A365" s="12">
        <v>1</v>
      </c>
      <c r="B365" s="15"/>
      <c r="C365" s="344"/>
      <c r="D365" s="350"/>
      <c r="E365" s="347"/>
      <c r="F365" s="374"/>
      <c r="G365" s="307">
        <f>ROUND(G362*$F362,2)</f>
        <v>150833.28</v>
      </c>
      <c r="H365" s="307">
        <f>ROUND(H362*$F362,2)</f>
        <v>159535.20000000001</v>
      </c>
      <c r="I365" s="307">
        <f>ROUND(I362*$F362,2)</f>
        <v>0</v>
      </c>
      <c r="J365" s="307">
        <f>J362*$F362</f>
        <v>0</v>
      </c>
      <c r="K365" s="307">
        <f>ROUND(K362*$F362,2)</f>
        <v>159535.20000000001</v>
      </c>
      <c r="L365" s="307">
        <f>ROUND(L362*$F362,2)</f>
        <v>159535.20000000001</v>
      </c>
      <c r="M365" s="367"/>
      <c r="N365" s="49" t="s">
        <v>164</v>
      </c>
      <c r="O365" s="256"/>
      <c r="P365" s="256"/>
      <c r="Q365" s="256"/>
      <c r="R365" s="256"/>
      <c r="S365" s="256"/>
      <c r="T365" s="256"/>
      <c r="U365" s="64">
        <f>U362*$F362</f>
        <v>0</v>
      </c>
      <c r="V365" s="123"/>
      <c r="W365" s="91"/>
      <c r="X365" s="91"/>
      <c r="Y365" s="91"/>
      <c r="Z365" s="91"/>
      <c r="AA365" s="91"/>
      <c r="AB365" s="91"/>
      <c r="AC365" s="91"/>
      <c r="AD365" s="91"/>
      <c r="AE365" s="91"/>
      <c r="AF365" s="91"/>
      <c r="AG365" s="91"/>
      <c r="AH365" s="94"/>
      <c r="AI365" s="64">
        <f>AI362*$F362</f>
        <v>50761.2</v>
      </c>
      <c r="AJ365" s="64">
        <f>AJ362*$F362</f>
        <v>50761.2</v>
      </c>
      <c r="AK365" s="64">
        <f>AK362*$F362</f>
        <v>58012.800000000003</v>
      </c>
      <c r="AL365" s="118"/>
      <c r="AM365" s="91"/>
      <c r="AN365" s="91"/>
      <c r="AO365" s="91"/>
      <c r="AQ365" s="69">
        <f>SUM(U365:AO365)</f>
        <v>159535.20000000001</v>
      </c>
      <c r="AR365" s="69">
        <f>+K365-AQ365</f>
        <v>0</v>
      </c>
      <c r="AT365" s="390"/>
      <c r="AV365" s="196"/>
      <c r="AW365" s="196"/>
      <c r="BA365" s="318">
        <f t="shared" si="255"/>
        <v>0</v>
      </c>
    </row>
    <row r="366" spans="1:53" s="2" customFormat="1" ht="10.5" customHeight="1">
      <c r="A366" s="12"/>
      <c r="B366" s="15"/>
      <c r="C366" s="342">
        <v>77</v>
      </c>
      <c r="D366" s="348" t="s">
        <v>123</v>
      </c>
      <c r="E366" s="345" t="s">
        <v>242</v>
      </c>
      <c r="F366" s="372">
        <v>1351.33</v>
      </c>
      <c r="G366" s="284">
        <v>30</v>
      </c>
      <c r="H366" s="284">
        <v>32</v>
      </c>
      <c r="I366" s="284"/>
      <c r="J366" s="284"/>
      <c r="K366" s="284">
        <f>H366+J366</f>
        <v>32</v>
      </c>
      <c r="L366" s="284">
        <f>+H366-I366+J366</f>
        <v>32</v>
      </c>
      <c r="M366" s="367"/>
      <c r="N366" s="47" t="s">
        <v>162</v>
      </c>
      <c r="O366" s="253"/>
      <c r="P366" s="253"/>
      <c r="Q366" s="253"/>
      <c r="R366" s="253"/>
      <c r="S366" s="253"/>
      <c r="T366" s="253"/>
      <c r="U366" s="61">
        <f>+I366</f>
        <v>0</v>
      </c>
      <c r="V366" s="117"/>
      <c r="W366" s="92"/>
      <c r="X366" s="92"/>
      <c r="Y366" s="92"/>
      <c r="Z366" s="92"/>
      <c r="AA366" s="92"/>
      <c r="AB366" s="92"/>
      <c r="AC366" s="92"/>
      <c r="AD366" s="92"/>
      <c r="AE366" s="92"/>
      <c r="AF366" s="92"/>
      <c r="AG366" s="92"/>
      <c r="AH366" s="95"/>
      <c r="AI366" s="61">
        <v>10</v>
      </c>
      <c r="AJ366" s="61">
        <v>10</v>
      </c>
      <c r="AK366" s="61">
        <v>12</v>
      </c>
      <c r="AL366" s="119"/>
      <c r="AM366" s="92"/>
      <c r="AN366" s="92"/>
      <c r="AO366" s="92"/>
      <c r="AQ366" s="144">
        <f>SUM(O366:AO366)</f>
        <v>32</v>
      </c>
      <c r="AR366" s="144">
        <f>+K366-AQ366</f>
        <v>0</v>
      </c>
      <c r="AT366" s="372">
        <f>+F366*K366</f>
        <v>43242.559999999998</v>
      </c>
      <c r="AV366" s="263">
        <f>SUM(W366:AO366)</f>
        <v>32</v>
      </c>
      <c r="AW366" s="263">
        <f>+L366-AV366</f>
        <v>0</v>
      </c>
      <c r="BA366" s="318">
        <f t="shared" si="255"/>
        <v>0</v>
      </c>
    </row>
    <row r="367" spans="1:53" s="2" customFormat="1" ht="10.5" customHeight="1">
      <c r="A367" s="10" t="s">
        <v>12</v>
      </c>
      <c r="B367" s="15"/>
      <c r="C367" s="343"/>
      <c r="D367" s="349"/>
      <c r="E367" s="346"/>
      <c r="F367" s="373"/>
      <c r="G367" s="277"/>
      <c r="H367" s="277"/>
      <c r="I367" s="277"/>
      <c r="J367" s="277"/>
      <c r="K367" s="277"/>
      <c r="L367" s="277"/>
      <c r="M367" s="367"/>
      <c r="N367" s="47" t="s">
        <v>163</v>
      </c>
      <c r="O367" s="254"/>
      <c r="P367" s="254"/>
      <c r="Q367" s="254"/>
      <c r="R367" s="254"/>
      <c r="S367" s="254"/>
      <c r="T367" s="254"/>
      <c r="U367" s="62">
        <f>+U366/$K366</f>
        <v>0</v>
      </c>
      <c r="V367" s="117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93"/>
      <c r="AI367" s="62">
        <f>ROUND(AI366/$K366,5)</f>
        <v>0.3125</v>
      </c>
      <c r="AJ367" s="62">
        <f>ROUND(AJ366/$K366,5)</f>
        <v>0.3125</v>
      </c>
      <c r="AK367" s="62">
        <f>ROUND(AK366/$K366,5)</f>
        <v>0.375</v>
      </c>
      <c r="AL367" s="116"/>
      <c r="AM367" s="88"/>
      <c r="AN367" s="88"/>
      <c r="AO367" s="88"/>
      <c r="AQ367" s="149">
        <f>SUM(U367:AO367)</f>
        <v>1</v>
      </c>
      <c r="AR367" s="146"/>
      <c r="AT367" s="389"/>
      <c r="AV367" s="266"/>
      <c r="AW367" s="266"/>
      <c r="BA367" s="318">
        <f t="shared" si="255"/>
        <v>0</v>
      </c>
    </row>
    <row r="368" spans="1:53" s="2" customFormat="1" ht="10.5" hidden="1" customHeight="1">
      <c r="A368" s="11" t="s">
        <v>13</v>
      </c>
      <c r="B368" s="15"/>
      <c r="C368" s="343"/>
      <c r="D368" s="349"/>
      <c r="E368" s="346"/>
      <c r="F368" s="373"/>
      <c r="G368" s="277"/>
      <c r="H368" s="277"/>
      <c r="I368" s="277"/>
      <c r="J368" s="277"/>
      <c r="K368" s="277"/>
      <c r="L368" s="277"/>
      <c r="M368" s="367"/>
      <c r="N368" s="48"/>
      <c r="O368" s="251"/>
      <c r="P368" s="251"/>
      <c r="Q368" s="251"/>
      <c r="R368" s="251"/>
      <c r="S368" s="251"/>
      <c r="T368" s="251"/>
      <c r="U368" s="93"/>
      <c r="V368" s="117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96"/>
      <c r="AI368" s="63"/>
      <c r="AJ368" s="63"/>
      <c r="AK368" s="63"/>
      <c r="AL368" s="117"/>
      <c r="AM368" s="88"/>
      <c r="AN368" s="88"/>
      <c r="AO368" s="88"/>
      <c r="AQ368" s="145"/>
      <c r="AR368" s="146"/>
      <c r="AT368" s="389"/>
      <c r="AV368" s="197"/>
      <c r="AW368" s="197"/>
      <c r="BA368" s="318">
        <f t="shared" si="255"/>
        <v>0</v>
      </c>
    </row>
    <row r="369" spans="1:53" s="2" customFormat="1" ht="10.5" customHeight="1">
      <c r="A369" s="12">
        <v>1</v>
      </c>
      <c r="B369" s="15"/>
      <c r="C369" s="344"/>
      <c r="D369" s="350"/>
      <c r="E369" s="347"/>
      <c r="F369" s="374"/>
      <c r="G369" s="307">
        <f>ROUND(G366*$F366,2)</f>
        <v>40539.9</v>
      </c>
      <c r="H369" s="307">
        <f>ROUND(H366*$F366,2)</f>
        <v>43242.559999999998</v>
      </c>
      <c r="I369" s="307">
        <f>ROUND(I366*$F366,2)</f>
        <v>0</v>
      </c>
      <c r="J369" s="307">
        <f>J366*$F366</f>
        <v>0</v>
      </c>
      <c r="K369" s="307">
        <f>ROUND(K366*$F366,2)</f>
        <v>43242.559999999998</v>
      </c>
      <c r="L369" s="307">
        <f>ROUND(L366*$F366,2)</f>
        <v>43242.559999999998</v>
      </c>
      <c r="M369" s="367"/>
      <c r="N369" s="49" t="s">
        <v>164</v>
      </c>
      <c r="O369" s="256"/>
      <c r="P369" s="256"/>
      <c r="Q369" s="256"/>
      <c r="R369" s="256"/>
      <c r="S369" s="256"/>
      <c r="T369" s="256"/>
      <c r="U369" s="64">
        <f>U366*$F366</f>
        <v>0</v>
      </c>
      <c r="V369" s="123"/>
      <c r="W369" s="91"/>
      <c r="X369" s="91"/>
      <c r="Y369" s="91"/>
      <c r="Z369" s="91"/>
      <c r="AA369" s="91"/>
      <c r="AB369" s="91"/>
      <c r="AC369" s="91"/>
      <c r="AD369" s="91"/>
      <c r="AE369" s="91"/>
      <c r="AF369" s="91"/>
      <c r="AG369" s="91"/>
      <c r="AH369" s="64">
        <f>AH367*$E$368</f>
        <v>0</v>
      </c>
      <c r="AI369" s="64">
        <f>AI366*$F366</f>
        <v>13513.3</v>
      </c>
      <c r="AJ369" s="64">
        <f>AJ366*$F366</f>
        <v>13513.3</v>
      </c>
      <c r="AK369" s="64">
        <f>AK366*$F366</f>
        <v>16215.96</v>
      </c>
      <c r="AL369" s="118"/>
      <c r="AM369" s="91"/>
      <c r="AN369" s="91"/>
      <c r="AO369" s="91"/>
      <c r="AQ369" s="69">
        <f>SUM(U369:AO369)</f>
        <v>43242.559999999998</v>
      </c>
      <c r="AR369" s="69">
        <f>+K369-AQ369</f>
        <v>0</v>
      </c>
      <c r="AT369" s="390"/>
      <c r="AV369" s="196"/>
      <c r="AW369" s="196"/>
      <c r="BA369" s="318">
        <f t="shared" si="255"/>
        <v>0</v>
      </c>
    </row>
    <row r="370" spans="1:53" s="2" customFormat="1" ht="10.5" customHeight="1">
      <c r="A370" s="12"/>
      <c r="B370" s="15"/>
      <c r="C370" s="342">
        <v>78</v>
      </c>
      <c r="D370" s="348" t="s">
        <v>124</v>
      </c>
      <c r="E370" s="345" t="s">
        <v>242</v>
      </c>
      <c r="F370" s="372">
        <v>1577.98</v>
      </c>
      <c r="G370" s="284">
        <v>21</v>
      </c>
      <c r="H370" s="284">
        <v>30</v>
      </c>
      <c r="I370" s="284"/>
      <c r="J370" s="284"/>
      <c r="K370" s="284">
        <f>H370+J370</f>
        <v>30</v>
      </c>
      <c r="L370" s="284">
        <f>+H370-I370+J370</f>
        <v>30</v>
      </c>
      <c r="M370" s="367"/>
      <c r="N370" s="47" t="s">
        <v>162</v>
      </c>
      <c r="O370" s="253"/>
      <c r="P370" s="253"/>
      <c r="Q370" s="253"/>
      <c r="R370" s="253"/>
      <c r="S370" s="253"/>
      <c r="T370" s="253"/>
      <c r="U370" s="61">
        <f>+I370</f>
        <v>0</v>
      </c>
      <c r="V370" s="117"/>
      <c r="W370" s="92"/>
      <c r="X370" s="92"/>
      <c r="Y370" s="92"/>
      <c r="Z370" s="92"/>
      <c r="AA370" s="92"/>
      <c r="AB370" s="92"/>
      <c r="AC370" s="92"/>
      <c r="AD370" s="92"/>
      <c r="AE370" s="92"/>
      <c r="AF370" s="92"/>
      <c r="AG370" s="92"/>
      <c r="AH370" s="61"/>
      <c r="AI370" s="61"/>
      <c r="AJ370" s="61">
        <v>15</v>
      </c>
      <c r="AK370" s="61">
        <v>15</v>
      </c>
      <c r="AL370" s="119"/>
      <c r="AM370" s="92"/>
      <c r="AN370" s="92"/>
      <c r="AO370" s="92"/>
      <c r="AQ370" s="144">
        <f>SUM(O370:AO370)</f>
        <v>30</v>
      </c>
      <c r="AR370" s="144">
        <f>+K370-AQ370</f>
        <v>0</v>
      </c>
      <c r="AT370" s="372">
        <f>+F370*K370</f>
        <v>47339.4</v>
      </c>
      <c r="AV370" s="263">
        <f>SUM(W370:AO370)</f>
        <v>30</v>
      </c>
      <c r="AW370" s="263">
        <f>+L370-AV370</f>
        <v>0</v>
      </c>
      <c r="BA370" s="318">
        <f t="shared" si="255"/>
        <v>0</v>
      </c>
    </row>
    <row r="371" spans="1:53" s="2" customFormat="1" ht="10.5" customHeight="1">
      <c r="A371" s="10" t="s">
        <v>12</v>
      </c>
      <c r="B371" s="15"/>
      <c r="C371" s="343"/>
      <c r="D371" s="349"/>
      <c r="E371" s="346"/>
      <c r="F371" s="373"/>
      <c r="G371" s="277"/>
      <c r="H371" s="277"/>
      <c r="I371" s="277"/>
      <c r="J371" s="277"/>
      <c r="K371" s="277"/>
      <c r="L371" s="277"/>
      <c r="M371" s="367"/>
      <c r="N371" s="47" t="s">
        <v>163</v>
      </c>
      <c r="O371" s="254"/>
      <c r="P371" s="254"/>
      <c r="Q371" s="254"/>
      <c r="R371" s="254"/>
      <c r="S371" s="254"/>
      <c r="T371" s="254"/>
      <c r="U371" s="62">
        <f>+U370/$K370</f>
        <v>0</v>
      </c>
      <c r="V371" s="117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62"/>
      <c r="AI371" s="62">
        <f>ROUND(AI370/$K370,5)</f>
        <v>0</v>
      </c>
      <c r="AJ371" s="62">
        <f>ROUND(AJ370/$K370,5)</f>
        <v>0.5</v>
      </c>
      <c r="AK371" s="62">
        <f>ROUND(AK370/$K370,5)</f>
        <v>0.5</v>
      </c>
      <c r="AL371" s="116"/>
      <c r="AM371" s="88"/>
      <c r="AN371" s="88"/>
      <c r="AO371" s="88"/>
      <c r="AQ371" s="149">
        <f>SUM(U371:AO371)</f>
        <v>1</v>
      </c>
      <c r="AR371" s="146"/>
      <c r="AT371" s="389"/>
      <c r="AV371" s="266"/>
      <c r="AW371" s="266"/>
      <c r="BA371" s="318">
        <f t="shared" si="255"/>
        <v>0</v>
      </c>
    </row>
    <row r="372" spans="1:53" s="2" customFormat="1" ht="10.5" hidden="1" customHeight="1">
      <c r="A372" s="11" t="s">
        <v>13</v>
      </c>
      <c r="B372" s="15"/>
      <c r="C372" s="343"/>
      <c r="D372" s="349"/>
      <c r="E372" s="346"/>
      <c r="F372" s="373"/>
      <c r="G372" s="277"/>
      <c r="H372" s="277"/>
      <c r="I372" s="277"/>
      <c r="J372" s="277"/>
      <c r="K372" s="277"/>
      <c r="L372" s="277"/>
      <c r="M372" s="367"/>
      <c r="N372" s="48"/>
      <c r="O372" s="251"/>
      <c r="P372" s="251"/>
      <c r="Q372" s="251"/>
      <c r="R372" s="251"/>
      <c r="S372" s="251"/>
      <c r="T372" s="251"/>
      <c r="U372" s="93"/>
      <c r="V372" s="117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96"/>
      <c r="AI372" s="63"/>
      <c r="AJ372" s="63"/>
      <c r="AK372" s="63"/>
      <c r="AL372" s="117"/>
      <c r="AM372" s="88"/>
      <c r="AN372" s="88"/>
      <c r="AO372" s="88"/>
      <c r="AQ372" s="145"/>
      <c r="AR372" s="146"/>
      <c r="AT372" s="389"/>
      <c r="AV372" s="197"/>
      <c r="AW372" s="197"/>
      <c r="BA372" s="318">
        <f t="shared" si="255"/>
        <v>0</v>
      </c>
    </row>
    <row r="373" spans="1:53" s="2" customFormat="1" ht="10.5" customHeight="1">
      <c r="A373" s="12">
        <v>1</v>
      </c>
      <c r="B373" s="15"/>
      <c r="C373" s="344"/>
      <c r="D373" s="350"/>
      <c r="E373" s="347"/>
      <c r="F373" s="374"/>
      <c r="G373" s="307">
        <f>ROUND(G370*$F370,2)</f>
        <v>33137.58</v>
      </c>
      <c r="H373" s="307">
        <f>ROUND(H370*$F370,2)</f>
        <v>47339.4</v>
      </c>
      <c r="I373" s="307">
        <f>ROUND(I370*$F370,2)</f>
        <v>0</v>
      </c>
      <c r="J373" s="307">
        <f>J370*$F370</f>
        <v>0</v>
      </c>
      <c r="K373" s="307">
        <f>ROUND(K370*$F370,2)</f>
        <v>47339.4</v>
      </c>
      <c r="L373" s="307">
        <f>ROUND(L370*$F370,2)</f>
        <v>47339.4</v>
      </c>
      <c r="M373" s="367"/>
      <c r="N373" s="49" t="s">
        <v>164</v>
      </c>
      <c r="O373" s="256"/>
      <c r="P373" s="256"/>
      <c r="Q373" s="256"/>
      <c r="R373" s="256"/>
      <c r="S373" s="256"/>
      <c r="T373" s="256"/>
      <c r="U373" s="64">
        <f>U370*$F370</f>
        <v>0</v>
      </c>
      <c r="V373" s="123"/>
      <c r="W373" s="91"/>
      <c r="X373" s="91"/>
      <c r="Y373" s="91"/>
      <c r="Z373" s="91"/>
      <c r="AA373" s="91"/>
      <c r="AB373" s="91"/>
      <c r="AC373" s="91"/>
      <c r="AD373" s="91"/>
      <c r="AE373" s="91"/>
      <c r="AF373" s="91"/>
      <c r="AG373" s="91"/>
      <c r="AH373" s="64"/>
      <c r="AI373" s="64">
        <f>AI370*$F370</f>
        <v>0</v>
      </c>
      <c r="AJ373" s="64">
        <f>AJ370*$F370</f>
        <v>23669.7</v>
      </c>
      <c r="AK373" s="64">
        <f>AK370*$F370</f>
        <v>23669.7</v>
      </c>
      <c r="AL373" s="118"/>
      <c r="AM373" s="91"/>
      <c r="AN373" s="91"/>
      <c r="AO373" s="91"/>
      <c r="AQ373" s="69">
        <f>SUM(U373:AO373)</f>
        <v>47339.4</v>
      </c>
      <c r="AR373" s="69">
        <f>+K373-AQ373</f>
        <v>0</v>
      </c>
      <c r="AT373" s="390"/>
      <c r="AV373" s="196"/>
      <c r="AW373" s="196"/>
      <c r="BA373" s="318">
        <f t="shared" si="255"/>
        <v>0</v>
      </c>
    </row>
    <row r="374" spans="1:53" s="2" customFormat="1" ht="10.5" customHeight="1">
      <c r="A374" s="12"/>
      <c r="B374" s="15"/>
      <c r="C374" s="342">
        <v>79</v>
      </c>
      <c r="D374" s="348" t="s">
        <v>125</v>
      </c>
      <c r="E374" s="345" t="s">
        <v>242</v>
      </c>
      <c r="F374" s="372">
        <v>1685.48</v>
      </c>
      <c r="G374" s="284">
        <v>167</v>
      </c>
      <c r="H374" s="284">
        <v>167</v>
      </c>
      <c r="I374" s="284"/>
      <c r="J374" s="284"/>
      <c r="K374" s="284">
        <f>H374+J374</f>
        <v>167</v>
      </c>
      <c r="L374" s="284">
        <f>+H374-I374+J374</f>
        <v>167</v>
      </c>
      <c r="M374" s="367"/>
      <c r="N374" s="47" t="s">
        <v>162</v>
      </c>
      <c r="O374" s="253"/>
      <c r="P374" s="253"/>
      <c r="Q374" s="253"/>
      <c r="R374" s="253"/>
      <c r="S374" s="253"/>
      <c r="T374" s="253"/>
      <c r="U374" s="61">
        <f>+I374</f>
        <v>0</v>
      </c>
      <c r="V374" s="117"/>
      <c r="W374" s="92"/>
      <c r="X374" s="92"/>
      <c r="Y374" s="92"/>
      <c r="Z374" s="92"/>
      <c r="AA374" s="92"/>
      <c r="AB374" s="92"/>
      <c r="AC374" s="92"/>
      <c r="AD374" s="92"/>
      <c r="AE374" s="92"/>
      <c r="AF374" s="92"/>
      <c r="AG374" s="92"/>
      <c r="AH374" s="61"/>
      <c r="AI374" s="61">
        <v>50</v>
      </c>
      <c r="AJ374" s="61">
        <v>50</v>
      </c>
      <c r="AK374" s="61">
        <v>67</v>
      </c>
      <c r="AL374" s="119"/>
      <c r="AM374" s="92"/>
      <c r="AN374" s="92"/>
      <c r="AO374" s="92"/>
      <c r="AQ374" s="144">
        <f>SUM(O374:AO374)</f>
        <v>167</v>
      </c>
      <c r="AR374" s="144">
        <f>+K374-AQ374</f>
        <v>0</v>
      </c>
      <c r="AT374" s="372">
        <f>+F374*K374</f>
        <v>281475.15999999997</v>
      </c>
      <c r="AV374" s="263">
        <f>SUM(W374:AO374)</f>
        <v>167</v>
      </c>
      <c r="AW374" s="263">
        <f>+L374-AV374</f>
        <v>0</v>
      </c>
      <c r="BA374" s="318">
        <f t="shared" si="255"/>
        <v>0</v>
      </c>
    </row>
    <row r="375" spans="1:53" s="2" customFormat="1" ht="10.5" customHeight="1">
      <c r="A375" s="10" t="s">
        <v>12</v>
      </c>
      <c r="B375" s="15"/>
      <c r="C375" s="343"/>
      <c r="D375" s="349"/>
      <c r="E375" s="346"/>
      <c r="F375" s="373"/>
      <c r="G375" s="277"/>
      <c r="H375" s="277"/>
      <c r="I375" s="277"/>
      <c r="J375" s="277"/>
      <c r="K375" s="277"/>
      <c r="L375" s="277"/>
      <c r="M375" s="367"/>
      <c r="N375" s="47" t="s">
        <v>163</v>
      </c>
      <c r="O375" s="254"/>
      <c r="P375" s="254"/>
      <c r="Q375" s="254"/>
      <c r="R375" s="254"/>
      <c r="S375" s="254"/>
      <c r="T375" s="254"/>
      <c r="U375" s="62">
        <f>+U374/$K374</f>
        <v>0</v>
      </c>
      <c r="V375" s="117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62"/>
      <c r="AI375" s="62">
        <f>ROUND(AI374/$K374,5)</f>
        <v>0.2994</v>
      </c>
      <c r="AJ375" s="62">
        <f>ROUND(AJ374/$K374,5)</f>
        <v>0.2994</v>
      </c>
      <c r="AK375" s="62">
        <f>ROUND(AK374/$K374,5)</f>
        <v>0.4012</v>
      </c>
      <c r="AL375" s="116"/>
      <c r="AM375" s="88"/>
      <c r="AN375" s="88"/>
      <c r="AO375" s="88"/>
      <c r="AQ375" s="149">
        <f>SUM(U375:AO375)</f>
        <v>1</v>
      </c>
      <c r="AR375" s="146"/>
      <c r="AT375" s="389"/>
      <c r="AV375" s="266"/>
      <c r="AW375" s="266"/>
      <c r="BA375" s="318">
        <f t="shared" si="255"/>
        <v>0</v>
      </c>
    </row>
    <row r="376" spans="1:53" s="2" customFormat="1" ht="10.5" hidden="1" customHeight="1">
      <c r="A376" s="11" t="s">
        <v>13</v>
      </c>
      <c r="B376" s="15"/>
      <c r="C376" s="343"/>
      <c r="D376" s="349"/>
      <c r="E376" s="346"/>
      <c r="F376" s="373"/>
      <c r="G376" s="277"/>
      <c r="H376" s="277"/>
      <c r="I376" s="277"/>
      <c r="J376" s="277"/>
      <c r="K376" s="277"/>
      <c r="L376" s="277"/>
      <c r="M376" s="367"/>
      <c r="N376" s="48"/>
      <c r="O376" s="251"/>
      <c r="P376" s="251"/>
      <c r="Q376" s="251"/>
      <c r="R376" s="251"/>
      <c r="S376" s="251"/>
      <c r="T376" s="251"/>
      <c r="U376" s="93"/>
      <c r="V376" s="117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96"/>
      <c r="AI376" s="63"/>
      <c r="AJ376" s="63"/>
      <c r="AK376" s="63"/>
      <c r="AL376" s="117"/>
      <c r="AM376" s="88"/>
      <c r="AN376" s="88"/>
      <c r="AO376" s="88"/>
      <c r="AQ376" s="145"/>
      <c r="AR376" s="146"/>
      <c r="AT376" s="389"/>
      <c r="AV376" s="197"/>
      <c r="AW376" s="197"/>
      <c r="BA376" s="318">
        <f t="shared" si="255"/>
        <v>0</v>
      </c>
    </row>
    <row r="377" spans="1:53" s="2" customFormat="1" ht="10.5" customHeight="1">
      <c r="A377" s="12">
        <v>1</v>
      </c>
      <c r="B377" s="15"/>
      <c r="C377" s="344"/>
      <c r="D377" s="350"/>
      <c r="E377" s="347"/>
      <c r="F377" s="374"/>
      <c r="G377" s="307">
        <f>ROUND(G374*$F374,2)</f>
        <v>281475.15999999997</v>
      </c>
      <c r="H377" s="307">
        <f>ROUND(H374*$F374,2)</f>
        <v>281475.15999999997</v>
      </c>
      <c r="I377" s="307">
        <f>ROUND(I374*$F374,2)</f>
        <v>0</v>
      </c>
      <c r="J377" s="307">
        <f>J374*$F374</f>
        <v>0</v>
      </c>
      <c r="K377" s="307">
        <f>ROUND(K374*$F374,2)</f>
        <v>281475.15999999997</v>
      </c>
      <c r="L377" s="307">
        <f>ROUND(L374*$F374,2)</f>
        <v>281475.15999999997</v>
      </c>
      <c r="M377" s="367"/>
      <c r="N377" s="49" t="s">
        <v>164</v>
      </c>
      <c r="O377" s="256"/>
      <c r="P377" s="256"/>
      <c r="Q377" s="256"/>
      <c r="R377" s="256"/>
      <c r="S377" s="256"/>
      <c r="T377" s="256"/>
      <c r="U377" s="64">
        <f>U374*$F374</f>
        <v>0</v>
      </c>
      <c r="V377" s="123"/>
      <c r="W377" s="91"/>
      <c r="X377" s="91"/>
      <c r="Y377" s="91"/>
      <c r="Z377" s="91"/>
      <c r="AA377" s="91"/>
      <c r="AB377" s="91"/>
      <c r="AC377" s="91"/>
      <c r="AD377" s="91"/>
      <c r="AE377" s="91"/>
      <c r="AF377" s="91"/>
      <c r="AG377" s="91"/>
      <c r="AH377" s="64"/>
      <c r="AI377" s="64">
        <f>AI374*$F374</f>
        <v>84274</v>
      </c>
      <c r="AJ377" s="64">
        <f>AJ374*$F374</f>
        <v>84274</v>
      </c>
      <c r="AK377" s="64">
        <f>AK374*$F374</f>
        <v>112927.16</v>
      </c>
      <c r="AL377" s="118"/>
      <c r="AM377" s="91"/>
      <c r="AN377" s="91"/>
      <c r="AO377" s="91"/>
      <c r="AQ377" s="69">
        <f>SUM(U377:AO377)</f>
        <v>281475.15999999997</v>
      </c>
      <c r="AR377" s="69">
        <f>+K377-AQ377</f>
        <v>0</v>
      </c>
      <c r="AT377" s="390"/>
      <c r="AV377" s="196"/>
      <c r="AW377" s="196"/>
      <c r="BA377" s="318">
        <f t="shared" si="255"/>
        <v>0</v>
      </c>
    </row>
    <row r="378" spans="1:53" s="2" customFormat="1" ht="10.5" customHeight="1">
      <c r="A378" s="12"/>
      <c r="B378" s="15"/>
      <c r="C378" s="342">
        <v>80</v>
      </c>
      <c r="D378" s="348" t="s">
        <v>126</v>
      </c>
      <c r="E378" s="345" t="s">
        <v>242</v>
      </c>
      <c r="F378" s="372">
        <v>4349.72</v>
      </c>
      <c r="G378" s="284">
        <v>36</v>
      </c>
      <c r="H378" s="284">
        <v>36</v>
      </c>
      <c r="I378" s="284"/>
      <c r="J378" s="284"/>
      <c r="K378" s="284">
        <f>H378+J378</f>
        <v>36</v>
      </c>
      <c r="L378" s="284">
        <f>+H378-I378+J378</f>
        <v>36</v>
      </c>
      <c r="M378" s="367"/>
      <c r="N378" s="47" t="s">
        <v>162</v>
      </c>
      <c r="O378" s="253"/>
      <c r="P378" s="253"/>
      <c r="Q378" s="253"/>
      <c r="R378" s="253"/>
      <c r="S378" s="253"/>
      <c r="T378" s="253"/>
      <c r="U378" s="61">
        <f>+I378</f>
        <v>0</v>
      </c>
      <c r="V378" s="117"/>
      <c r="W378" s="92"/>
      <c r="X378" s="92"/>
      <c r="Y378" s="92"/>
      <c r="Z378" s="92"/>
      <c r="AA378" s="92"/>
      <c r="AB378" s="92"/>
      <c r="AC378" s="92"/>
      <c r="AD378" s="92"/>
      <c r="AE378" s="92"/>
      <c r="AF378" s="92"/>
      <c r="AG378" s="92"/>
      <c r="AH378" s="95"/>
      <c r="AI378" s="95"/>
      <c r="AJ378" s="61">
        <v>18</v>
      </c>
      <c r="AK378" s="61">
        <v>18</v>
      </c>
      <c r="AL378" s="119"/>
      <c r="AM378" s="92"/>
      <c r="AN378" s="92"/>
      <c r="AO378" s="92"/>
      <c r="AQ378" s="144">
        <f>SUM(O378:AO378)</f>
        <v>36</v>
      </c>
      <c r="AR378" s="144">
        <f>+K378-AQ378</f>
        <v>0</v>
      </c>
      <c r="AT378" s="372">
        <f>+F378*K378</f>
        <v>156589.92000000001</v>
      </c>
      <c r="AV378" s="263">
        <f>SUM(W378:AO378)</f>
        <v>36</v>
      </c>
      <c r="AW378" s="263">
        <f>+L378-AV378</f>
        <v>0</v>
      </c>
      <c r="BA378" s="318">
        <f t="shared" si="255"/>
        <v>0</v>
      </c>
    </row>
    <row r="379" spans="1:53" s="2" customFormat="1" ht="10.5" customHeight="1">
      <c r="A379" s="10" t="s">
        <v>12</v>
      </c>
      <c r="B379" s="15"/>
      <c r="C379" s="343"/>
      <c r="D379" s="349"/>
      <c r="E379" s="346"/>
      <c r="F379" s="373"/>
      <c r="G379" s="277"/>
      <c r="H379" s="277"/>
      <c r="I379" s="277"/>
      <c r="J379" s="277"/>
      <c r="K379" s="277"/>
      <c r="L379" s="277"/>
      <c r="M379" s="367"/>
      <c r="N379" s="47" t="s">
        <v>163</v>
      </c>
      <c r="O379" s="254"/>
      <c r="P379" s="254"/>
      <c r="Q379" s="254"/>
      <c r="R379" s="254"/>
      <c r="S379" s="254"/>
      <c r="T379" s="254"/>
      <c r="U379" s="62">
        <f>+U378/$K378</f>
        <v>0</v>
      </c>
      <c r="V379" s="117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93"/>
      <c r="AI379" s="93"/>
      <c r="AJ379" s="62">
        <f>ROUND(AJ378/$K378,5)</f>
        <v>0.5</v>
      </c>
      <c r="AK379" s="62">
        <f>ROUND(AK378/$K378,5)</f>
        <v>0.5</v>
      </c>
      <c r="AL379" s="116"/>
      <c r="AM379" s="88"/>
      <c r="AN379" s="88"/>
      <c r="AO379" s="88"/>
      <c r="AQ379" s="149">
        <f>SUM(U379:AO379)</f>
        <v>1</v>
      </c>
      <c r="AR379" s="146"/>
      <c r="AT379" s="389"/>
      <c r="AV379" s="266"/>
      <c r="AW379" s="266"/>
      <c r="BA379" s="318">
        <f t="shared" si="255"/>
        <v>0</v>
      </c>
    </row>
    <row r="380" spans="1:53" s="2" customFormat="1" ht="10.5" hidden="1" customHeight="1">
      <c r="A380" s="11" t="s">
        <v>13</v>
      </c>
      <c r="B380" s="15"/>
      <c r="C380" s="343"/>
      <c r="D380" s="349"/>
      <c r="E380" s="346"/>
      <c r="F380" s="373"/>
      <c r="G380" s="277"/>
      <c r="H380" s="277"/>
      <c r="I380" s="277"/>
      <c r="J380" s="277"/>
      <c r="K380" s="277"/>
      <c r="L380" s="277"/>
      <c r="M380" s="367"/>
      <c r="N380" s="48"/>
      <c r="O380" s="251"/>
      <c r="P380" s="251"/>
      <c r="Q380" s="251"/>
      <c r="R380" s="251"/>
      <c r="S380" s="251"/>
      <c r="T380" s="251"/>
      <c r="U380" s="93"/>
      <c r="V380" s="117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96"/>
      <c r="AI380" s="96"/>
      <c r="AJ380" s="63"/>
      <c r="AK380" s="63"/>
      <c r="AL380" s="117"/>
      <c r="AM380" s="88"/>
      <c r="AN380" s="88"/>
      <c r="AO380" s="88"/>
      <c r="AQ380" s="145"/>
      <c r="AR380" s="146"/>
      <c r="AT380" s="389"/>
      <c r="AV380" s="197"/>
      <c r="AW380" s="197"/>
      <c r="BA380" s="318">
        <f t="shared" si="255"/>
        <v>0</v>
      </c>
    </row>
    <row r="381" spans="1:53" s="2" customFormat="1" ht="10.5" customHeight="1">
      <c r="A381" s="12">
        <v>1</v>
      </c>
      <c r="B381" s="15"/>
      <c r="C381" s="344"/>
      <c r="D381" s="350"/>
      <c r="E381" s="347"/>
      <c r="F381" s="374"/>
      <c r="G381" s="307">
        <f>ROUND(G378*$F378,2)</f>
        <v>156589.92000000001</v>
      </c>
      <c r="H381" s="307">
        <f>ROUND(H378*$F378,2)</f>
        <v>156589.92000000001</v>
      </c>
      <c r="I381" s="307">
        <f>ROUND(I378*$F378,2)</f>
        <v>0</v>
      </c>
      <c r="J381" s="307">
        <f>J378*$F378</f>
        <v>0</v>
      </c>
      <c r="K381" s="307">
        <f>ROUND(K378*$F378,2)</f>
        <v>156589.92000000001</v>
      </c>
      <c r="L381" s="307">
        <f>ROUND(L378*$F378,2)</f>
        <v>156589.92000000001</v>
      </c>
      <c r="M381" s="367"/>
      <c r="N381" s="49" t="s">
        <v>164</v>
      </c>
      <c r="O381" s="256"/>
      <c r="P381" s="256"/>
      <c r="Q381" s="256"/>
      <c r="R381" s="256"/>
      <c r="S381" s="256"/>
      <c r="T381" s="256"/>
      <c r="U381" s="64">
        <f>U378*$F378</f>
        <v>0</v>
      </c>
      <c r="V381" s="123"/>
      <c r="W381" s="91"/>
      <c r="X381" s="91"/>
      <c r="Y381" s="91"/>
      <c r="Z381" s="91"/>
      <c r="AA381" s="91"/>
      <c r="AB381" s="91"/>
      <c r="AC381" s="91"/>
      <c r="AD381" s="91"/>
      <c r="AE381" s="91"/>
      <c r="AF381" s="91"/>
      <c r="AG381" s="91"/>
      <c r="AH381" s="94"/>
      <c r="AI381" s="94"/>
      <c r="AJ381" s="64">
        <f>AJ378*$F378</f>
        <v>78294.960000000006</v>
      </c>
      <c r="AK381" s="64">
        <f>AK378*$F378</f>
        <v>78294.960000000006</v>
      </c>
      <c r="AL381" s="118"/>
      <c r="AM381" s="91"/>
      <c r="AN381" s="91"/>
      <c r="AO381" s="91"/>
      <c r="AQ381" s="69">
        <f>SUM(U381:AO381)</f>
        <v>156589.92000000001</v>
      </c>
      <c r="AR381" s="69">
        <f>+K381-AQ381</f>
        <v>0</v>
      </c>
      <c r="AT381" s="390"/>
      <c r="AV381" s="196"/>
      <c r="AW381" s="196"/>
      <c r="BA381" s="318">
        <f t="shared" si="255"/>
        <v>0</v>
      </c>
    </row>
    <row r="382" spans="1:53" s="2" customFormat="1" ht="10.5" customHeight="1">
      <c r="A382" s="12"/>
      <c r="B382" s="15"/>
      <c r="C382" s="342">
        <v>81</v>
      </c>
      <c r="D382" s="348" t="s">
        <v>127</v>
      </c>
      <c r="E382" s="345" t="s">
        <v>242</v>
      </c>
      <c r="F382" s="372">
        <v>4629.3599999999997</v>
      </c>
      <c r="G382" s="284">
        <v>12</v>
      </c>
      <c r="H382" s="284">
        <v>12</v>
      </c>
      <c r="I382" s="284"/>
      <c r="J382" s="284"/>
      <c r="K382" s="284">
        <f>H382+J382</f>
        <v>12</v>
      </c>
      <c r="L382" s="284">
        <f>+H382-I382+J382</f>
        <v>12</v>
      </c>
      <c r="M382" s="367"/>
      <c r="N382" s="47" t="s">
        <v>162</v>
      </c>
      <c r="O382" s="253"/>
      <c r="P382" s="253"/>
      <c r="Q382" s="253"/>
      <c r="R382" s="253"/>
      <c r="S382" s="253"/>
      <c r="T382" s="253"/>
      <c r="U382" s="61">
        <f>+I382</f>
        <v>0</v>
      </c>
      <c r="V382" s="117"/>
      <c r="W382" s="92"/>
      <c r="X382" s="92"/>
      <c r="Y382" s="92"/>
      <c r="Z382" s="92"/>
      <c r="AA382" s="92"/>
      <c r="AB382" s="92"/>
      <c r="AC382" s="92"/>
      <c r="AD382" s="92"/>
      <c r="AE382" s="92"/>
      <c r="AF382" s="92"/>
      <c r="AG382" s="92"/>
      <c r="AH382" s="61"/>
      <c r="AI382" s="61"/>
      <c r="AJ382" s="61">
        <v>6</v>
      </c>
      <c r="AK382" s="61">
        <v>6</v>
      </c>
      <c r="AL382" s="119"/>
      <c r="AM382" s="92"/>
      <c r="AN382" s="92"/>
      <c r="AO382" s="92"/>
      <c r="AQ382" s="144">
        <f>SUM(O382:AO382)</f>
        <v>12</v>
      </c>
      <c r="AR382" s="144">
        <f>+K382-AQ382</f>
        <v>0</v>
      </c>
      <c r="AT382" s="372">
        <f>+F382*K382</f>
        <v>55552.32</v>
      </c>
      <c r="AV382" s="263">
        <f>SUM(W382:AO382)</f>
        <v>12</v>
      </c>
      <c r="AW382" s="263">
        <f>+L382-AV382</f>
        <v>0</v>
      </c>
      <c r="BA382" s="318">
        <f t="shared" si="255"/>
        <v>0</v>
      </c>
    </row>
    <row r="383" spans="1:53" s="2" customFormat="1" ht="10.5" customHeight="1">
      <c r="A383" s="10" t="s">
        <v>12</v>
      </c>
      <c r="B383" s="15"/>
      <c r="C383" s="343"/>
      <c r="D383" s="349"/>
      <c r="E383" s="346"/>
      <c r="F383" s="373"/>
      <c r="G383" s="277"/>
      <c r="H383" s="277"/>
      <c r="I383" s="277"/>
      <c r="J383" s="277"/>
      <c r="K383" s="277"/>
      <c r="L383" s="277"/>
      <c r="M383" s="367"/>
      <c r="N383" s="47" t="s">
        <v>163</v>
      </c>
      <c r="O383" s="254"/>
      <c r="P383" s="254"/>
      <c r="Q383" s="254"/>
      <c r="R383" s="254"/>
      <c r="S383" s="254"/>
      <c r="T383" s="254"/>
      <c r="U383" s="62">
        <f>+U382/$K382</f>
        <v>0</v>
      </c>
      <c r="V383" s="117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62"/>
      <c r="AI383" s="62"/>
      <c r="AJ383" s="62">
        <f>ROUND(AJ382/$K382,5)</f>
        <v>0.5</v>
      </c>
      <c r="AK383" s="62">
        <f>ROUND(AK382/$K382,5)</f>
        <v>0.5</v>
      </c>
      <c r="AL383" s="116"/>
      <c r="AM383" s="88"/>
      <c r="AN383" s="88"/>
      <c r="AO383" s="88"/>
      <c r="AQ383" s="149">
        <f>SUM(U383:AO383)</f>
        <v>1</v>
      </c>
      <c r="AR383" s="146"/>
      <c r="AT383" s="389"/>
      <c r="AV383" s="266"/>
      <c r="AW383" s="266"/>
      <c r="BA383" s="318">
        <f t="shared" si="255"/>
        <v>0</v>
      </c>
    </row>
    <row r="384" spans="1:53" s="2" customFormat="1" ht="10.5" hidden="1" customHeight="1">
      <c r="A384" s="11" t="s">
        <v>13</v>
      </c>
      <c r="B384" s="15"/>
      <c r="C384" s="343"/>
      <c r="D384" s="349"/>
      <c r="E384" s="346"/>
      <c r="F384" s="373"/>
      <c r="G384" s="277"/>
      <c r="H384" s="277"/>
      <c r="I384" s="277"/>
      <c r="J384" s="277"/>
      <c r="K384" s="277"/>
      <c r="L384" s="277"/>
      <c r="M384" s="367"/>
      <c r="N384" s="48"/>
      <c r="O384" s="251"/>
      <c r="P384" s="251"/>
      <c r="Q384" s="251"/>
      <c r="R384" s="251"/>
      <c r="S384" s="251"/>
      <c r="T384" s="251"/>
      <c r="U384" s="93"/>
      <c r="V384" s="117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96"/>
      <c r="AI384" s="96"/>
      <c r="AJ384" s="63"/>
      <c r="AK384" s="63"/>
      <c r="AL384" s="117"/>
      <c r="AM384" s="88"/>
      <c r="AN384" s="88"/>
      <c r="AO384" s="88"/>
      <c r="AQ384" s="145"/>
      <c r="AR384" s="146"/>
      <c r="AT384" s="389"/>
      <c r="AV384" s="197"/>
      <c r="AW384" s="197"/>
      <c r="BA384" s="318">
        <f t="shared" si="255"/>
        <v>0</v>
      </c>
    </row>
    <row r="385" spans="1:53" s="2" customFormat="1" ht="10.5" customHeight="1">
      <c r="A385" s="12">
        <v>1</v>
      </c>
      <c r="B385" s="15"/>
      <c r="C385" s="344"/>
      <c r="D385" s="350"/>
      <c r="E385" s="347"/>
      <c r="F385" s="374"/>
      <c r="G385" s="307">
        <f>ROUND(G382*$F382,2)</f>
        <v>55552.32</v>
      </c>
      <c r="H385" s="307">
        <f>ROUND(H382*$F382,2)</f>
        <v>55552.32</v>
      </c>
      <c r="I385" s="307">
        <f>ROUND(I382*$F382,2)</f>
        <v>0</v>
      </c>
      <c r="J385" s="307">
        <f>J382*$F382</f>
        <v>0</v>
      </c>
      <c r="K385" s="307">
        <f>ROUND(K382*$F382,2)</f>
        <v>55552.32</v>
      </c>
      <c r="L385" s="307">
        <f>ROUND(L382*$F382,2)</f>
        <v>55552.32</v>
      </c>
      <c r="M385" s="367"/>
      <c r="N385" s="49" t="s">
        <v>164</v>
      </c>
      <c r="O385" s="256"/>
      <c r="P385" s="256"/>
      <c r="Q385" s="256"/>
      <c r="R385" s="256"/>
      <c r="S385" s="256"/>
      <c r="T385" s="256"/>
      <c r="U385" s="64">
        <f>U382*$F382</f>
        <v>0</v>
      </c>
      <c r="V385" s="123"/>
      <c r="W385" s="91"/>
      <c r="X385" s="91"/>
      <c r="Y385" s="91"/>
      <c r="Z385" s="91"/>
      <c r="AA385" s="91"/>
      <c r="AB385" s="91"/>
      <c r="AC385" s="91"/>
      <c r="AD385" s="91"/>
      <c r="AE385" s="91"/>
      <c r="AF385" s="91"/>
      <c r="AG385" s="91"/>
      <c r="AH385" s="64"/>
      <c r="AI385" s="64"/>
      <c r="AJ385" s="64">
        <f>AJ382*$F382</f>
        <v>27776.16</v>
      </c>
      <c r="AK385" s="64">
        <f>AK382*$F382</f>
        <v>27776.16</v>
      </c>
      <c r="AL385" s="118"/>
      <c r="AM385" s="91"/>
      <c r="AN385" s="91"/>
      <c r="AO385" s="91"/>
      <c r="AQ385" s="69">
        <f>SUM(U385:AO385)</f>
        <v>55552.32</v>
      </c>
      <c r="AR385" s="69">
        <f>+K385-AQ385</f>
        <v>0</v>
      </c>
      <c r="AT385" s="390"/>
      <c r="AV385" s="196"/>
      <c r="AW385" s="196"/>
      <c r="BA385" s="318">
        <f t="shared" si="255"/>
        <v>0</v>
      </c>
    </row>
    <row r="386" spans="1:53" s="2" customFormat="1" ht="10.5" customHeight="1">
      <c r="A386" s="12"/>
      <c r="B386" s="15"/>
      <c r="C386" s="342">
        <v>82</v>
      </c>
      <c r="D386" s="348" t="s">
        <v>128</v>
      </c>
      <c r="E386" s="345" t="s">
        <v>242</v>
      </c>
      <c r="F386" s="372">
        <v>4909.01</v>
      </c>
      <c r="G386" s="284">
        <v>10</v>
      </c>
      <c r="H386" s="284">
        <v>16</v>
      </c>
      <c r="I386" s="284"/>
      <c r="J386" s="284"/>
      <c r="K386" s="284">
        <f>H386+J386</f>
        <v>16</v>
      </c>
      <c r="L386" s="284">
        <f>+H386-I386+J386</f>
        <v>16</v>
      </c>
      <c r="M386" s="367"/>
      <c r="N386" s="47" t="s">
        <v>162</v>
      </c>
      <c r="O386" s="253"/>
      <c r="P386" s="253"/>
      <c r="Q386" s="253"/>
      <c r="R386" s="253"/>
      <c r="S386" s="253"/>
      <c r="T386" s="253"/>
      <c r="U386" s="61">
        <f>+I386</f>
        <v>0</v>
      </c>
      <c r="V386" s="117"/>
      <c r="W386" s="92"/>
      <c r="X386" s="92"/>
      <c r="Y386" s="92"/>
      <c r="Z386" s="92"/>
      <c r="AA386" s="92"/>
      <c r="AB386" s="92"/>
      <c r="AC386" s="92"/>
      <c r="AD386" s="92"/>
      <c r="AE386" s="92"/>
      <c r="AF386" s="92"/>
      <c r="AG386" s="92"/>
      <c r="AH386" s="95"/>
      <c r="AI386" s="95"/>
      <c r="AJ386" s="61">
        <v>8</v>
      </c>
      <c r="AK386" s="61">
        <v>8</v>
      </c>
      <c r="AL386" s="119"/>
      <c r="AM386" s="92"/>
      <c r="AN386" s="92"/>
      <c r="AO386" s="92"/>
      <c r="AQ386" s="144">
        <f>SUM(O386:AO386)</f>
        <v>16</v>
      </c>
      <c r="AR386" s="144">
        <f>+K386-AQ386</f>
        <v>0</v>
      </c>
      <c r="AT386" s="372">
        <f>+F386*K386</f>
        <v>78544.160000000003</v>
      </c>
      <c r="AV386" s="263">
        <f>SUM(W386:AO386)</f>
        <v>16</v>
      </c>
      <c r="AW386" s="263">
        <f>+L386-AV386</f>
        <v>0</v>
      </c>
      <c r="BA386" s="318">
        <f t="shared" si="255"/>
        <v>0</v>
      </c>
    </row>
    <row r="387" spans="1:53" s="2" customFormat="1" ht="10.5" customHeight="1">
      <c r="A387" s="10" t="s">
        <v>12</v>
      </c>
      <c r="B387" s="15"/>
      <c r="C387" s="343"/>
      <c r="D387" s="349"/>
      <c r="E387" s="346"/>
      <c r="F387" s="373"/>
      <c r="G387" s="277"/>
      <c r="H387" s="277"/>
      <c r="I387" s="277"/>
      <c r="J387" s="277"/>
      <c r="K387" s="277"/>
      <c r="L387" s="277"/>
      <c r="M387" s="367"/>
      <c r="N387" s="47" t="s">
        <v>163</v>
      </c>
      <c r="O387" s="254"/>
      <c r="P387" s="254"/>
      <c r="Q387" s="254"/>
      <c r="R387" s="254"/>
      <c r="S387" s="254"/>
      <c r="T387" s="254"/>
      <c r="U387" s="62">
        <f>+U386/$K386</f>
        <v>0</v>
      </c>
      <c r="V387" s="117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93"/>
      <c r="AI387" s="93"/>
      <c r="AJ387" s="62">
        <f>ROUND(AJ386/$K386,5)</f>
        <v>0.5</v>
      </c>
      <c r="AK387" s="62">
        <f>ROUND(AK386/$K386,5)</f>
        <v>0.5</v>
      </c>
      <c r="AL387" s="116"/>
      <c r="AM387" s="88"/>
      <c r="AN387" s="88"/>
      <c r="AO387" s="88"/>
      <c r="AQ387" s="149">
        <f>SUM(U387:AO387)</f>
        <v>1</v>
      </c>
      <c r="AR387" s="146"/>
      <c r="AT387" s="389"/>
      <c r="AV387" s="266"/>
      <c r="AW387" s="266"/>
      <c r="BA387" s="318">
        <f t="shared" si="255"/>
        <v>0</v>
      </c>
    </row>
    <row r="388" spans="1:53" s="2" customFormat="1" ht="10.5" hidden="1" customHeight="1">
      <c r="A388" s="11" t="s">
        <v>13</v>
      </c>
      <c r="B388" s="15"/>
      <c r="C388" s="343"/>
      <c r="D388" s="349"/>
      <c r="E388" s="346"/>
      <c r="F388" s="373"/>
      <c r="G388" s="277"/>
      <c r="H388" s="277"/>
      <c r="I388" s="277"/>
      <c r="J388" s="277"/>
      <c r="K388" s="277"/>
      <c r="L388" s="277"/>
      <c r="M388" s="367"/>
      <c r="N388" s="48"/>
      <c r="O388" s="251"/>
      <c r="P388" s="251"/>
      <c r="Q388" s="251"/>
      <c r="R388" s="251"/>
      <c r="S388" s="251"/>
      <c r="T388" s="251"/>
      <c r="U388" s="93"/>
      <c r="V388" s="117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96"/>
      <c r="AI388" s="96"/>
      <c r="AJ388" s="63"/>
      <c r="AK388" s="63"/>
      <c r="AL388" s="117"/>
      <c r="AM388" s="88"/>
      <c r="AN388" s="88"/>
      <c r="AO388" s="88"/>
      <c r="AQ388" s="145"/>
      <c r="AR388" s="146"/>
      <c r="AT388" s="389"/>
      <c r="AV388" s="197"/>
      <c r="AW388" s="197"/>
      <c r="BA388" s="318">
        <f t="shared" si="255"/>
        <v>0</v>
      </c>
    </row>
    <row r="389" spans="1:53" s="2" customFormat="1" ht="10.5" customHeight="1">
      <c r="A389" s="12">
        <v>1</v>
      </c>
      <c r="B389" s="15"/>
      <c r="C389" s="344"/>
      <c r="D389" s="350"/>
      <c r="E389" s="347"/>
      <c r="F389" s="374"/>
      <c r="G389" s="307">
        <f>ROUND(G386*$F386,2)</f>
        <v>49090.1</v>
      </c>
      <c r="H389" s="307">
        <f>ROUND(H386*$F386,2)</f>
        <v>78544.160000000003</v>
      </c>
      <c r="I389" s="307">
        <f>ROUND(I386*$F386,2)</f>
        <v>0</v>
      </c>
      <c r="J389" s="307">
        <f>J386*$F386</f>
        <v>0</v>
      </c>
      <c r="K389" s="307">
        <f>ROUND(K386*$F386,2)</f>
        <v>78544.160000000003</v>
      </c>
      <c r="L389" s="307">
        <f>ROUND(L386*$F386,2)</f>
        <v>78544.160000000003</v>
      </c>
      <c r="M389" s="367"/>
      <c r="N389" s="49" t="s">
        <v>164</v>
      </c>
      <c r="O389" s="256"/>
      <c r="P389" s="256"/>
      <c r="Q389" s="256"/>
      <c r="R389" s="256"/>
      <c r="S389" s="256"/>
      <c r="T389" s="256"/>
      <c r="U389" s="64">
        <f>U386*$F386</f>
        <v>0</v>
      </c>
      <c r="V389" s="123"/>
      <c r="W389" s="91"/>
      <c r="X389" s="91"/>
      <c r="Y389" s="91"/>
      <c r="Z389" s="91"/>
      <c r="AA389" s="91"/>
      <c r="AB389" s="91"/>
      <c r="AC389" s="91"/>
      <c r="AD389" s="91"/>
      <c r="AE389" s="91"/>
      <c r="AF389" s="91"/>
      <c r="AG389" s="91"/>
      <c r="AH389" s="94"/>
      <c r="AI389" s="94"/>
      <c r="AJ389" s="64">
        <f>AJ386*$F386</f>
        <v>39272.080000000002</v>
      </c>
      <c r="AK389" s="64">
        <f>AK386*$F386</f>
        <v>39272.080000000002</v>
      </c>
      <c r="AL389" s="118"/>
      <c r="AM389" s="91"/>
      <c r="AN389" s="91"/>
      <c r="AO389" s="91"/>
      <c r="AQ389" s="69">
        <f>SUM(U389:AO389)</f>
        <v>78544.160000000003</v>
      </c>
      <c r="AR389" s="69">
        <f>+K389-AQ389</f>
        <v>0</v>
      </c>
      <c r="AT389" s="390"/>
      <c r="AV389" s="196"/>
      <c r="AW389" s="196"/>
      <c r="BA389" s="318">
        <f t="shared" si="255"/>
        <v>0</v>
      </c>
    </row>
    <row r="390" spans="1:53" s="2" customFormat="1" ht="10.5" customHeight="1">
      <c r="A390" s="12"/>
      <c r="B390" s="15"/>
      <c r="C390" s="342">
        <v>83</v>
      </c>
      <c r="D390" s="348" t="s">
        <v>129</v>
      </c>
      <c r="E390" s="345" t="s">
        <v>242</v>
      </c>
      <c r="F390" s="372">
        <v>2951.49</v>
      </c>
      <c r="G390" s="284">
        <v>6</v>
      </c>
      <c r="H390" s="284">
        <v>6</v>
      </c>
      <c r="I390" s="284"/>
      <c r="J390" s="284"/>
      <c r="K390" s="284">
        <f>H390+J390</f>
        <v>6</v>
      </c>
      <c r="L390" s="284">
        <f>+H390-I390+J390</f>
        <v>6</v>
      </c>
      <c r="M390" s="367"/>
      <c r="N390" s="47" t="s">
        <v>162</v>
      </c>
      <c r="O390" s="253"/>
      <c r="P390" s="253"/>
      <c r="Q390" s="253"/>
      <c r="R390" s="253"/>
      <c r="S390" s="253"/>
      <c r="T390" s="253"/>
      <c r="U390" s="61">
        <f>+I390</f>
        <v>0</v>
      </c>
      <c r="V390" s="117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5"/>
      <c r="AI390" s="95"/>
      <c r="AJ390" s="61">
        <v>3</v>
      </c>
      <c r="AK390" s="61">
        <v>3</v>
      </c>
      <c r="AL390" s="119"/>
      <c r="AM390" s="92"/>
      <c r="AN390" s="92"/>
      <c r="AO390" s="92"/>
      <c r="AQ390" s="144">
        <f>SUM(O390:AO390)</f>
        <v>6</v>
      </c>
      <c r="AR390" s="144">
        <f>+K390-AQ390</f>
        <v>0</v>
      </c>
      <c r="AT390" s="372">
        <f>+F390*K390</f>
        <v>17708.939999999999</v>
      </c>
      <c r="AV390" s="263">
        <f>SUM(W390:AO390)</f>
        <v>6</v>
      </c>
      <c r="AW390" s="263">
        <f>+L390-AV390</f>
        <v>0</v>
      </c>
      <c r="BA390" s="318">
        <f t="shared" si="255"/>
        <v>0</v>
      </c>
    </row>
    <row r="391" spans="1:53" s="2" customFormat="1" ht="10.5" customHeight="1">
      <c r="A391" s="10" t="s">
        <v>12</v>
      </c>
      <c r="B391" s="15"/>
      <c r="C391" s="343"/>
      <c r="D391" s="349"/>
      <c r="E391" s="346"/>
      <c r="F391" s="373"/>
      <c r="G391" s="277"/>
      <c r="H391" s="277"/>
      <c r="I391" s="277"/>
      <c r="J391" s="277"/>
      <c r="K391" s="277"/>
      <c r="L391" s="277"/>
      <c r="M391" s="367"/>
      <c r="N391" s="47" t="s">
        <v>163</v>
      </c>
      <c r="O391" s="254"/>
      <c r="P391" s="254"/>
      <c r="Q391" s="254"/>
      <c r="R391" s="254"/>
      <c r="S391" s="254"/>
      <c r="T391" s="254"/>
      <c r="U391" s="62">
        <f>+U390/$K390</f>
        <v>0</v>
      </c>
      <c r="V391" s="117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93"/>
      <c r="AI391" s="93"/>
      <c r="AJ391" s="62">
        <f>ROUND(AJ390/$K390,5)</f>
        <v>0.5</v>
      </c>
      <c r="AK391" s="62">
        <f>ROUND(AK390/$K390,5)</f>
        <v>0.5</v>
      </c>
      <c r="AL391" s="116"/>
      <c r="AM391" s="88"/>
      <c r="AN391" s="88"/>
      <c r="AO391" s="88"/>
      <c r="AQ391" s="149">
        <f>SUM(U391:AO391)</f>
        <v>1</v>
      </c>
      <c r="AR391" s="146"/>
      <c r="AT391" s="389"/>
      <c r="AV391" s="266"/>
      <c r="AW391" s="266"/>
      <c r="BA391" s="318">
        <f t="shared" si="255"/>
        <v>0</v>
      </c>
    </row>
    <row r="392" spans="1:53" s="2" customFormat="1" ht="10.5" hidden="1" customHeight="1">
      <c r="A392" s="11" t="s">
        <v>13</v>
      </c>
      <c r="B392" s="15"/>
      <c r="C392" s="343"/>
      <c r="D392" s="349"/>
      <c r="E392" s="346"/>
      <c r="F392" s="373"/>
      <c r="G392" s="277"/>
      <c r="H392" s="277"/>
      <c r="I392" s="277"/>
      <c r="J392" s="277"/>
      <c r="K392" s="277"/>
      <c r="L392" s="277"/>
      <c r="M392" s="367"/>
      <c r="N392" s="48"/>
      <c r="O392" s="251"/>
      <c r="P392" s="251"/>
      <c r="Q392" s="251"/>
      <c r="R392" s="251"/>
      <c r="S392" s="251"/>
      <c r="T392" s="251"/>
      <c r="U392" s="93"/>
      <c r="V392" s="117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96"/>
      <c r="AI392" s="96"/>
      <c r="AJ392" s="63"/>
      <c r="AK392" s="63"/>
      <c r="AL392" s="117"/>
      <c r="AM392" s="88"/>
      <c r="AN392" s="88"/>
      <c r="AO392" s="88"/>
      <c r="AQ392" s="145"/>
      <c r="AR392" s="146"/>
      <c r="AT392" s="389"/>
      <c r="AV392" s="197"/>
      <c r="AW392" s="197"/>
      <c r="BA392" s="318">
        <f t="shared" si="255"/>
        <v>0</v>
      </c>
    </row>
    <row r="393" spans="1:53" s="2" customFormat="1" ht="10.5" customHeight="1">
      <c r="A393" s="12">
        <v>1</v>
      </c>
      <c r="B393" s="15"/>
      <c r="C393" s="344"/>
      <c r="D393" s="350"/>
      <c r="E393" s="347"/>
      <c r="F393" s="374"/>
      <c r="G393" s="307">
        <f>ROUND(G390*$F390,2)</f>
        <v>17708.939999999999</v>
      </c>
      <c r="H393" s="307">
        <f>ROUND(H390*$F390,2)</f>
        <v>17708.939999999999</v>
      </c>
      <c r="I393" s="307">
        <f>ROUND(I390*$F390,2)</f>
        <v>0</v>
      </c>
      <c r="J393" s="307">
        <f>J390*$F390</f>
        <v>0</v>
      </c>
      <c r="K393" s="307">
        <f>ROUND(K390*$F390,2)</f>
        <v>17708.939999999999</v>
      </c>
      <c r="L393" s="307">
        <f>ROUND(L390*$F390,2)</f>
        <v>17708.939999999999</v>
      </c>
      <c r="M393" s="367"/>
      <c r="N393" s="49" t="s">
        <v>164</v>
      </c>
      <c r="O393" s="256"/>
      <c r="P393" s="256"/>
      <c r="Q393" s="256"/>
      <c r="R393" s="256"/>
      <c r="S393" s="256"/>
      <c r="T393" s="256"/>
      <c r="U393" s="64">
        <f>U390*$F390</f>
        <v>0</v>
      </c>
      <c r="V393" s="123"/>
      <c r="W393" s="91"/>
      <c r="X393" s="91"/>
      <c r="Y393" s="91"/>
      <c r="Z393" s="91"/>
      <c r="AA393" s="91"/>
      <c r="AB393" s="91"/>
      <c r="AC393" s="91"/>
      <c r="AD393" s="91"/>
      <c r="AE393" s="91"/>
      <c r="AF393" s="91"/>
      <c r="AG393" s="91"/>
      <c r="AH393" s="94"/>
      <c r="AI393" s="94"/>
      <c r="AJ393" s="64">
        <f>AJ390*$F390</f>
        <v>8854.4699999999993</v>
      </c>
      <c r="AK393" s="64">
        <f>AK390*$F390</f>
        <v>8854.4699999999993</v>
      </c>
      <c r="AL393" s="118"/>
      <c r="AM393" s="91"/>
      <c r="AN393" s="91"/>
      <c r="AO393" s="91"/>
      <c r="AQ393" s="69">
        <f>SUM(U393:AO393)</f>
        <v>17708.939999999999</v>
      </c>
      <c r="AR393" s="69">
        <f>+K393-AQ393</f>
        <v>0</v>
      </c>
      <c r="AT393" s="390"/>
      <c r="AV393" s="196"/>
      <c r="AW393" s="196"/>
      <c r="BA393" s="318">
        <f t="shared" si="255"/>
        <v>0</v>
      </c>
    </row>
    <row r="394" spans="1:53" s="2" customFormat="1" ht="10.5" customHeight="1">
      <c r="A394" s="12"/>
      <c r="B394" s="15"/>
      <c r="C394" s="342">
        <v>84</v>
      </c>
      <c r="D394" s="348" t="s">
        <v>130</v>
      </c>
      <c r="E394" s="345" t="s">
        <v>242</v>
      </c>
      <c r="F394" s="372">
        <v>1094.4100000000001</v>
      </c>
      <c r="G394" s="284">
        <v>6</v>
      </c>
      <c r="H394" s="284">
        <v>12</v>
      </c>
      <c r="I394" s="284"/>
      <c r="J394" s="284"/>
      <c r="K394" s="284">
        <f>H394+J394</f>
        <v>12</v>
      </c>
      <c r="L394" s="284">
        <f>+H394-I394+J394</f>
        <v>12</v>
      </c>
      <c r="M394" s="367"/>
      <c r="N394" s="47" t="s">
        <v>162</v>
      </c>
      <c r="O394" s="253"/>
      <c r="P394" s="253"/>
      <c r="Q394" s="253"/>
      <c r="R394" s="253"/>
      <c r="S394" s="253"/>
      <c r="T394" s="253"/>
      <c r="U394" s="61">
        <f>+I394</f>
        <v>0</v>
      </c>
      <c r="V394" s="117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5"/>
      <c r="AI394" s="95"/>
      <c r="AJ394" s="61">
        <v>6</v>
      </c>
      <c r="AK394" s="61">
        <v>6</v>
      </c>
      <c r="AL394" s="119"/>
      <c r="AM394" s="92"/>
      <c r="AN394" s="92"/>
      <c r="AO394" s="92"/>
      <c r="AQ394" s="144">
        <f>SUM(O394:AO394)</f>
        <v>12</v>
      </c>
      <c r="AR394" s="144">
        <f>+K394-AQ394</f>
        <v>0</v>
      </c>
      <c r="AT394" s="372">
        <f>+F394*K394</f>
        <v>13132.92</v>
      </c>
      <c r="AV394" s="263">
        <f>SUM(W394:AO394)</f>
        <v>12</v>
      </c>
      <c r="AW394" s="263">
        <f>+L394-AV394</f>
        <v>0</v>
      </c>
      <c r="BA394" s="318">
        <f t="shared" si="255"/>
        <v>0</v>
      </c>
    </row>
    <row r="395" spans="1:53" s="2" customFormat="1" ht="10.5" customHeight="1">
      <c r="A395" s="10" t="s">
        <v>12</v>
      </c>
      <c r="B395" s="15"/>
      <c r="C395" s="343"/>
      <c r="D395" s="349"/>
      <c r="E395" s="346"/>
      <c r="F395" s="373"/>
      <c r="G395" s="277"/>
      <c r="H395" s="277"/>
      <c r="I395" s="277"/>
      <c r="J395" s="277"/>
      <c r="K395" s="277"/>
      <c r="L395" s="277"/>
      <c r="M395" s="367"/>
      <c r="N395" s="47" t="s">
        <v>163</v>
      </c>
      <c r="O395" s="254"/>
      <c r="P395" s="254"/>
      <c r="Q395" s="254"/>
      <c r="R395" s="254"/>
      <c r="S395" s="254"/>
      <c r="T395" s="254"/>
      <c r="U395" s="62">
        <f>+U394/$K394</f>
        <v>0</v>
      </c>
      <c r="V395" s="117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93"/>
      <c r="AI395" s="93"/>
      <c r="AJ395" s="62">
        <f>ROUND(AJ394/$K394,5)</f>
        <v>0.5</v>
      </c>
      <c r="AK395" s="62">
        <f>ROUND(AK394/$K394,5)</f>
        <v>0.5</v>
      </c>
      <c r="AL395" s="116"/>
      <c r="AM395" s="88"/>
      <c r="AN395" s="88"/>
      <c r="AO395" s="88"/>
      <c r="AQ395" s="149">
        <f>SUM(U395:AO395)</f>
        <v>1</v>
      </c>
      <c r="AR395" s="146"/>
      <c r="AT395" s="389"/>
      <c r="AV395" s="266"/>
      <c r="AW395" s="266"/>
      <c r="BA395" s="318">
        <f t="shared" ref="BA395:BA458" si="262">SUM(O395:U395)</f>
        <v>0</v>
      </c>
    </row>
    <row r="396" spans="1:53" s="2" customFormat="1" ht="10.5" hidden="1" customHeight="1">
      <c r="A396" s="11" t="s">
        <v>13</v>
      </c>
      <c r="B396" s="15"/>
      <c r="C396" s="343"/>
      <c r="D396" s="349"/>
      <c r="E396" s="346"/>
      <c r="F396" s="373"/>
      <c r="G396" s="277"/>
      <c r="H396" s="277"/>
      <c r="I396" s="277"/>
      <c r="J396" s="277"/>
      <c r="K396" s="277"/>
      <c r="L396" s="277"/>
      <c r="M396" s="367"/>
      <c r="N396" s="48"/>
      <c r="O396" s="251"/>
      <c r="P396" s="251"/>
      <c r="Q396" s="251"/>
      <c r="R396" s="251"/>
      <c r="S396" s="251"/>
      <c r="T396" s="251"/>
      <c r="U396" s="93"/>
      <c r="V396" s="117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96"/>
      <c r="AI396" s="96"/>
      <c r="AJ396" s="63"/>
      <c r="AK396" s="63"/>
      <c r="AL396" s="117"/>
      <c r="AM396" s="88"/>
      <c r="AN396" s="88"/>
      <c r="AO396" s="88"/>
      <c r="AQ396" s="145"/>
      <c r="AR396" s="146"/>
      <c r="AT396" s="389"/>
      <c r="AV396" s="197"/>
      <c r="AW396" s="197"/>
      <c r="BA396" s="318">
        <f t="shared" si="262"/>
        <v>0</v>
      </c>
    </row>
    <row r="397" spans="1:53" s="2" customFormat="1" ht="10.5" customHeight="1">
      <c r="A397" s="12">
        <v>1</v>
      </c>
      <c r="B397" s="15"/>
      <c r="C397" s="344"/>
      <c r="D397" s="350"/>
      <c r="E397" s="347"/>
      <c r="F397" s="374"/>
      <c r="G397" s="307">
        <f>ROUND(G394*$F394,2)</f>
        <v>6566.46</v>
      </c>
      <c r="H397" s="307">
        <f>ROUND(H394*$F394,2)</f>
        <v>13132.92</v>
      </c>
      <c r="I397" s="307">
        <f>ROUND(I394*$F394,2)</f>
        <v>0</v>
      </c>
      <c r="J397" s="307">
        <f>J394*$F394</f>
        <v>0</v>
      </c>
      <c r="K397" s="307">
        <f>ROUND(K394*$F394,2)</f>
        <v>13132.92</v>
      </c>
      <c r="L397" s="307">
        <f>ROUND(L394*$F394,2)</f>
        <v>13132.92</v>
      </c>
      <c r="M397" s="367"/>
      <c r="N397" s="49" t="s">
        <v>164</v>
      </c>
      <c r="O397" s="256"/>
      <c r="P397" s="256"/>
      <c r="Q397" s="256"/>
      <c r="R397" s="256"/>
      <c r="S397" s="256"/>
      <c r="T397" s="256"/>
      <c r="U397" s="64">
        <f>U394*$F394</f>
        <v>0</v>
      </c>
      <c r="V397" s="123"/>
      <c r="W397" s="91"/>
      <c r="X397" s="91"/>
      <c r="Y397" s="91"/>
      <c r="Z397" s="91"/>
      <c r="AA397" s="91"/>
      <c r="AB397" s="91"/>
      <c r="AC397" s="91"/>
      <c r="AD397" s="91"/>
      <c r="AE397" s="91"/>
      <c r="AF397" s="91"/>
      <c r="AG397" s="91"/>
      <c r="AH397" s="64"/>
      <c r="AI397" s="64"/>
      <c r="AJ397" s="64">
        <f>AJ394*$F394</f>
        <v>6566.46</v>
      </c>
      <c r="AK397" s="64">
        <f>AK394*$F394</f>
        <v>6566.46</v>
      </c>
      <c r="AL397" s="118"/>
      <c r="AM397" s="91"/>
      <c r="AN397" s="91"/>
      <c r="AO397" s="91"/>
      <c r="AQ397" s="69">
        <f>SUM(U397:AO397)</f>
        <v>13132.92</v>
      </c>
      <c r="AR397" s="69">
        <f>+K397-AQ397</f>
        <v>0</v>
      </c>
      <c r="AT397" s="390"/>
      <c r="AV397" s="196"/>
      <c r="AW397" s="196"/>
      <c r="BA397" s="318">
        <f t="shared" si="262"/>
        <v>0</v>
      </c>
    </row>
    <row r="398" spans="1:53" s="2" customFormat="1" ht="10.5" customHeight="1">
      <c r="A398" s="12"/>
      <c r="B398" s="15"/>
      <c r="C398" s="342">
        <v>85</v>
      </c>
      <c r="D398" s="348" t="s">
        <v>160</v>
      </c>
      <c r="E398" s="345" t="s">
        <v>242</v>
      </c>
      <c r="F398" s="372">
        <v>1731.21</v>
      </c>
      <c r="G398" s="284">
        <v>5</v>
      </c>
      <c r="H398" s="284">
        <v>5</v>
      </c>
      <c r="I398" s="284"/>
      <c r="J398" s="284"/>
      <c r="K398" s="284">
        <f>H398+J398</f>
        <v>5</v>
      </c>
      <c r="L398" s="284">
        <f>+H398-I398+J398</f>
        <v>5</v>
      </c>
      <c r="M398" s="367"/>
      <c r="N398" s="47" t="s">
        <v>162</v>
      </c>
      <c r="O398" s="253"/>
      <c r="P398" s="253"/>
      <c r="Q398" s="253"/>
      <c r="R398" s="253"/>
      <c r="S398" s="253"/>
      <c r="T398" s="253"/>
      <c r="U398" s="61">
        <f>+I398</f>
        <v>0</v>
      </c>
      <c r="V398" s="117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61"/>
      <c r="AI398" s="61"/>
      <c r="AJ398" s="61"/>
      <c r="AK398" s="61">
        <v>5</v>
      </c>
      <c r="AL398" s="119"/>
      <c r="AM398" s="92"/>
      <c r="AN398" s="92"/>
      <c r="AO398" s="92"/>
      <c r="AQ398" s="144">
        <f>SUM(O398:AO398)</f>
        <v>5</v>
      </c>
      <c r="AR398" s="144">
        <f>+K398-AQ398</f>
        <v>0</v>
      </c>
      <c r="AT398" s="372">
        <f>+F398*K398</f>
        <v>8656.0499999999993</v>
      </c>
      <c r="AV398" s="263">
        <f>SUM(W398:AO398)</f>
        <v>5</v>
      </c>
      <c r="AW398" s="263">
        <f>+L398-AV398</f>
        <v>0</v>
      </c>
      <c r="BA398" s="318">
        <f t="shared" si="262"/>
        <v>0</v>
      </c>
    </row>
    <row r="399" spans="1:53" s="2" customFormat="1" ht="10.5" customHeight="1">
      <c r="A399" s="10" t="s">
        <v>12</v>
      </c>
      <c r="B399" s="15"/>
      <c r="C399" s="343"/>
      <c r="D399" s="349"/>
      <c r="E399" s="346"/>
      <c r="F399" s="373"/>
      <c r="G399" s="277"/>
      <c r="H399" s="277"/>
      <c r="I399" s="277"/>
      <c r="J399" s="277"/>
      <c r="K399" s="277"/>
      <c r="L399" s="277"/>
      <c r="M399" s="367"/>
      <c r="N399" s="47" t="s">
        <v>163</v>
      </c>
      <c r="O399" s="254"/>
      <c r="P399" s="254"/>
      <c r="Q399" s="254"/>
      <c r="R399" s="254"/>
      <c r="S399" s="254"/>
      <c r="T399" s="254"/>
      <c r="U399" s="62">
        <f>+U398/$K398</f>
        <v>0</v>
      </c>
      <c r="V399" s="117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62"/>
      <c r="AI399" s="62"/>
      <c r="AJ399" s="62">
        <f>ROUND(AJ398/$K398,5)</f>
        <v>0</v>
      </c>
      <c r="AK399" s="62">
        <f>ROUND(AK398/$K398,5)</f>
        <v>1</v>
      </c>
      <c r="AL399" s="116"/>
      <c r="AM399" s="88"/>
      <c r="AN399" s="88"/>
      <c r="AO399" s="88"/>
      <c r="AQ399" s="149">
        <f>SUM(U399:AO399)</f>
        <v>1</v>
      </c>
      <c r="AR399" s="146"/>
      <c r="AT399" s="389"/>
      <c r="AV399" s="266"/>
      <c r="AW399" s="266"/>
      <c r="BA399" s="318">
        <f t="shared" si="262"/>
        <v>0</v>
      </c>
    </row>
    <row r="400" spans="1:53" s="2" customFormat="1" ht="10.5" hidden="1" customHeight="1">
      <c r="A400" s="11" t="s">
        <v>13</v>
      </c>
      <c r="B400" s="15"/>
      <c r="C400" s="343"/>
      <c r="D400" s="349"/>
      <c r="E400" s="346"/>
      <c r="F400" s="373"/>
      <c r="G400" s="277"/>
      <c r="H400" s="277"/>
      <c r="I400" s="277"/>
      <c r="J400" s="277"/>
      <c r="K400" s="277"/>
      <c r="L400" s="277"/>
      <c r="M400" s="367"/>
      <c r="N400" s="48"/>
      <c r="O400" s="251"/>
      <c r="P400" s="251"/>
      <c r="Q400" s="251"/>
      <c r="R400" s="251"/>
      <c r="S400" s="251"/>
      <c r="T400" s="251"/>
      <c r="U400" s="93"/>
      <c r="V400" s="117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96"/>
      <c r="AI400" s="96"/>
      <c r="AJ400" s="63"/>
      <c r="AK400" s="63"/>
      <c r="AL400" s="117"/>
      <c r="AM400" s="88"/>
      <c r="AN400" s="88"/>
      <c r="AO400" s="88"/>
      <c r="AQ400" s="145"/>
      <c r="AR400" s="146"/>
      <c r="AT400" s="389"/>
      <c r="AV400" s="197"/>
      <c r="AW400" s="197"/>
      <c r="BA400" s="318">
        <f t="shared" si="262"/>
        <v>0</v>
      </c>
    </row>
    <row r="401" spans="1:53" s="2" customFormat="1" ht="10.5" customHeight="1">
      <c r="A401" s="12">
        <v>1</v>
      </c>
      <c r="B401" s="15"/>
      <c r="C401" s="344"/>
      <c r="D401" s="350"/>
      <c r="E401" s="347"/>
      <c r="F401" s="374"/>
      <c r="G401" s="307">
        <f>ROUND(G398*$F398,2)</f>
        <v>8656.0499999999993</v>
      </c>
      <c r="H401" s="307">
        <f>ROUND(H398*$F398,2)</f>
        <v>8656.0499999999993</v>
      </c>
      <c r="I401" s="307">
        <f>ROUND(I398*$F398,2)</f>
        <v>0</v>
      </c>
      <c r="J401" s="307">
        <f>J398*$F398</f>
        <v>0</v>
      </c>
      <c r="K401" s="307">
        <f>ROUND(K398*$F398,2)</f>
        <v>8656.0499999999993</v>
      </c>
      <c r="L401" s="307">
        <f>ROUND(L398*$F398,2)</f>
        <v>8656.0499999999993</v>
      </c>
      <c r="M401" s="367"/>
      <c r="N401" s="49" t="s">
        <v>164</v>
      </c>
      <c r="O401" s="256"/>
      <c r="P401" s="256"/>
      <c r="Q401" s="256"/>
      <c r="R401" s="256"/>
      <c r="S401" s="256"/>
      <c r="T401" s="256"/>
      <c r="U401" s="64">
        <f>U398*$F398</f>
        <v>0</v>
      </c>
      <c r="V401" s="123"/>
      <c r="W401" s="91"/>
      <c r="X401" s="91"/>
      <c r="Y401" s="91"/>
      <c r="Z401" s="91"/>
      <c r="AA401" s="91"/>
      <c r="AB401" s="91"/>
      <c r="AC401" s="91"/>
      <c r="AD401" s="91"/>
      <c r="AE401" s="91"/>
      <c r="AF401" s="91"/>
      <c r="AG401" s="91"/>
      <c r="AH401" s="64"/>
      <c r="AI401" s="64"/>
      <c r="AJ401" s="64">
        <f>AJ398*$F398</f>
        <v>0</v>
      </c>
      <c r="AK401" s="64">
        <f>AK398*$F398</f>
        <v>8656.0499999999993</v>
      </c>
      <c r="AL401" s="118"/>
      <c r="AM401" s="91"/>
      <c r="AN401" s="91"/>
      <c r="AO401" s="91"/>
      <c r="AQ401" s="69">
        <f>SUM(U401:AO401)</f>
        <v>8656.0499999999993</v>
      </c>
      <c r="AR401" s="69">
        <f>+K401-AQ401</f>
        <v>0</v>
      </c>
      <c r="AT401" s="390"/>
      <c r="AV401" s="196"/>
      <c r="AW401" s="196"/>
      <c r="BA401" s="318">
        <f t="shared" si="262"/>
        <v>0</v>
      </c>
    </row>
    <row r="402" spans="1:53" s="2" customFormat="1" ht="10.5" customHeight="1">
      <c r="A402" s="12"/>
      <c r="B402" s="15"/>
      <c r="C402" s="342">
        <v>86</v>
      </c>
      <c r="D402" s="348" t="s">
        <v>131</v>
      </c>
      <c r="E402" s="345" t="s">
        <v>242</v>
      </c>
      <c r="F402" s="372">
        <v>36.26</v>
      </c>
      <c r="G402" s="284">
        <v>17945</v>
      </c>
      <c r="H402" s="284">
        <v>18872</v>
      </c>
      <c r="I402" s="284"/>
      <c r="J402" s="284"/>
      <c r="K402" s="284">
        <f>H402+J402</f>
        <v>18872</v>
      </c>
      <c r="L402" s="284">
        <f>+H402-I402+J402</f>
        <v>18872</v>
      </c>
      <c r="M402" s="367"/>
      <c r="N402" s="47" t="s">
        <v>162</v>
      </c>
      <c r="O402" s="253"/>
      <c r="P402" s="253"/>
      <c r="Q402" s="253"/>
      <c r="R402" s="253"/>
      <c r="S402" s="253"/>
      <c r="T402" s="253"/>
      <c r="U402" s="61">
        <f>+I402</f>
        <v>0</v>
      </c>
      <c r="V402" s="117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5"/>
      <c r="AI402" s="61">
        <v>6000</v>
      </c>
      <c r="AJ402" s="61">
        <v>6000</v>
      </c>
      <c r="AK402" s="61">
        <v>6872</v>
      </c>
      <c r="AL402" s="119"/>
      <c r="AM402" s="92"/>
      <c r="AN402" s="92"/>
      <c r="AO402" s="92"/>
      <c r="AQ402" s="144">
        <f>SUM(O402:AO402)</f>
        <v>18872</v>
      </c>
      <c r="AR402" s="144">
        <f>+K402-AQ402</f>
        <v>0</v>
      </c>
      <c r="AT402" s="372">
        <f>+F402*K402</f>
        <v>684298.72</v>
      </c>
      <c r="AV402" s="263">
        <f>SUM(W402:AO402)</f>
        <v>18872</v>
      </c>
      <c r="AW402" s="263">
        <f>+L402-AV402</f>
        <v>0</v>
      </c>
      <c r="BA402" s="318">
        <f t="shared" si="262"/>
        <v>0</v>
      </c>
    </row>
    <row r="403" spans="1:53" s="2" customFormat="1" ht="10.5" customHeight="1">
      <c r="A403" s="10" t="s">
        <v>12</v>
      </c>
      <c r="B403" s="15"/>
      <c r="C403" s="343"/>
      <c r="D403" s="349"/>
      <c r="E403" s="346"/>
      <c r="F403" s="373"/>
      <c r="G403" s="277"/>
      <c r="H403" s="277"/>
      <c r="I403" s="277"/>
      <c r="J403" s="277"/>
      <c r="K403" s="277"/>
      <c r="L403" s="277"/>
      <c r="M403" s="367"/>
      <c r="N403" s="47" t="s">
        <v>163</v>
      </c>
      <c r="O403" s="254"/>
      <c r="P403" s="254"/>
      <c r="Q403" s="254"/>
      <c r="R403" s="254"/>
      <c r="S403" s="254"/>
      <c r="T403" s="254"/>
      <c r="U403" s="62">
        <f>+U402/$K402</f>
        <v>0</v>
      </c>
      <c r="V403" s="117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93"/>
      <c r="AI403" s="62">
        <f>ROUND(AI402/$K402,5)</f>
        <v>0.31790000000000002</v>
      </c>
      <c r="AJ403" s="62">
        <f>ROUND(AJ402/$K402,5)</f>
        <v>0.31790000000000002</v>
      </c>
      <c r="AK403" s="62">
        <f>ROUND(AK402/$K402,5)</f>
        <v>0.36409999999999998</v>
      </c>
      <c r="AL403" s="116"/>
      <c r="AM403" s="88"/>
      <c r="AN403" s="88"/>
      <c r="AO403" s="88"/>
      <c r="AQ403" s="149">
        <f>SUM(U403:AO403)</f>
        <v>0.99990000000000001</v>
      </c>
      <c r="AR403" s="146"/>
      <c r="AT403" s="389"/>
      <c r="AV403" s="266"/>
      <c r="AW403" s="266"/>
      <c r="BA403" s="318">
        <f t="shared" si="262"/>
        <v>0</v>
      </c>
    </row>
    <row r="404" spans="1:53" s="2" customFormat="1" ht="10.5" hidden="1" customHeight="1">
      <c r="A404" s="11" t="s">
        <v>13</v>
      </c>
      <c r="B404" s="15"/>
      <c r="C404" s="343"/>
      <c r="D404" s="349"/>
      <c r="E404" s="346"/>
      <c r="F404" s="373"/>
      <c r="G404" s="277"/>
      <c r="H404" s="277"/>
      <c r="I404" s="277"/>
      <c r="J404" s="277"/>
      <c r="K404" s="277"/>
      <c r="L404" s="277"/>
      <c r="M404" s="367"/>
      <c r="N404" s="48"/>
      <c r="O404" s="251"/>
      <c r="P404" s="251"/>
      <c r="Q404" s="251"/>
      <c r="R404" s="251"/>
      <c r="S404" s="251"/>
      <c r="T404" s="251"/>
      <c r="U404" s="93"/>
      <c r="V404" s="117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96"/>
      <c r="AI404" s="63"/>
      <c r="AJ404" s="63"/>
      <c r="AK404" s="63"/>
      <c r="AL404" s="117"/>
      <c r="AM404" s="88"/>
      <c r="AN404" s="88"/>
      <c r="AO404" s="88"/>
      <c r="AQ404" s="145"/>
      <c r="AR404" s="146"/>
      <c r="AT404" s="389"/>
      <c r="AV404" s="197"/>
      <c r="AW404" s="197"/>
      <c r="BA404" s="318">
        <f t="shared" si="262"/>
        <v>0</v>
      </c>
    </row>
    <row r="405" spans="1:53" s="2" customFormat="1" ht="10.5" customHeight="1">
      <c r="A405" s="12">
        <v>1</v>
      </c>
      <c r="B405" s="15"/>
      <c r="C405" s="344"/>
      <c r="D405" s="350"/>
      <c r="E405" s="347"/>
      <c r="F405" s="374"/>
      <c r="G405" s="307">
        <f>ROUND(G402*$F402,2)</f>
        <v>650685.69999999995</v>
      </c>
      <c r="H405" s="307">
        <f>ROUND(H402*$F402,2)</f>
        <v>684298.72</v>
      </c>
      <c r="I405" s="307">
        <f>ROUND(I402*$F402,2)</f>
        <v>0</v>
      </c>
      <c r="J405" s="307">
        <f>J402*$F402</f>
        <v>0</v>
      </c>
      <c r="K405" s="307">
        <f>ROUND(K402*$F402,2)</f>
        <v>684298.72</v>
      </c>
      <c r="L405" s="307">
        <f>ROUND(L402*$F402,2)</f>
        <v>684298.72</v>
      </c>
      <c r="M405" s="367"/>
      <c r="N405" s="49" t="s">
        <v>164</v>
      </c>
      <c r="O405" s="256"/>
      <c r="P405" s="256"/>
      <c r="Q405" s="256"/>
      <c r="R405" s="256"/>
      <c r="S405" s="256"/>
      <c r="T405" s="256"/>
      <c r="U405" s="64">
        <f>U402*$F402</f>
        <v>0</v>
      </c>
      <c r="V405" s="123"/>
      <c r="W405" s="91"/>
      <c r="X405" s="91"/>
      <c r="Y405" s="91"/>
      <c r="Z405" s="91"/>
      <c r="AA405" s="91"/>
      <c r="AB405" s="91"/>
      <c r="AC405" s="91"/>
      <c r="AD405" s="91"/>
      <c r="AE405" s="91"/>
      <c r="AF405" s="69"/>
      <c r="AG405" s="69"/>
      <c r="AH405" s="94"/>
      <c r="AI405" s="64">
        <f>AI402*$F402</f>
        <v>217560</v>
      </c>
      <c r="AJ405" s="64">
        <f>AJ402*$F402</f>
        <v>217560</v>
      </c>
      <c r="AK405" s="64">
        <f>AK402*$F402</f>
        <v>249178.72</v>
      </c>
      <c r="AL405" s="118"/>
      <c r="AM405" s="91"/>
      <c r="AN405" s="91"/>
      <c r="AO405" s="91"/>
      <c r="AQ405" s="69">
        <f>SUM(U405:AO405)</f>
        <v>684298.72</v>
      </c>
      <c r="AR405" s="69">
        <f>+K405-AQ405</f>
        <v>0</v>
      </c>
      <c r="AT405" s="390"/>
      <c r="AV405" s="196"/>
      <c r="AW405" s="196"/>
      <c r="BA405" s="318">
        <f t="shared" si="262"/>
        <v>0</v>
      </c>
    </row>
    <row r="406" spans="1:53" s="2" customFormat="1" ht="10.5" customHeight="1">
      <c r="A406" s="12"/>
      <c r="B406" s="15"/>
      <c r="C406" s="342">
        <v>87</v>
      </c>
      <c r="D406" s="348" t="s">
        <v>132</v>
      </c>
      <c r="E406" s="345" t="s">
        <v>242</v>
      </c>
      <c r="F406" s="372">
        <v>997.55</v>
      </c>
      <c r="G406" s="284">
        <v>75</v>
      </c>
      <c r="H406" s="284">
        <v>75</v>
      </c>
      <c r="I406" s="284"/>
      <c r="J406" s="284"/>
      <c r="K406" s="284">
        <f>H406+J406</f>
        <v>75</v>
      </c>
      <c r="L406" s="284">
        <f>+H406-I406+J406</f>
        <v>75</v>
      </c>
      <c r="M406" s="367"/>
      <c r="N406" s="47" t="s">
        <v>162</v>
      </c>
      <c r="O406" s="253"/>
      <c r="P406" s="253"/>
      <c r="Q406" s="253"/>
      <c r="R406" s="253"/>
      <c r="S406" s="253"/>
      <c r="T406" s="253"/>
      <c r="U406" s="61">
        <f>+I406</f>
        <v>0</v>
      </c>
      <c r="V406" s="117"/>
      <c r="W406" s="92"/>
      <c r="X406" s="92"/>
      <c r="Y406" s="92"/>
      <c r="Z406" s="92"/>
      <c r="AA406" s="92"/>
      <c r="AB406" s="92"/>
      <c r="AC406" s="92"/>
      <c r="AD406" s="92"/>
      <c r="AE406" s="92"/>
      <c r="AF406" s="92"/>
      <c r="AG406" s="92"/>
      <c r="AH406" s="61"/>
      <c r="AI406" s="61">
        <v>22</v>
      </c>
      <c r="AJ406" s="61">
        <v>22</v>
      </c>
      <c r="AK406" s="61">
        <v>31</v>
      </c>
      <c r="AL406" s="119"/>
      <c r="AM406" s="92"/>
      <c r="AN406" s="92"/>
      <c r="AO406" s="92"/>
      <c r="AQ406" s="144">
        <f>SUM(O406:AO406)</f>
        <v>75</v>
      </c>
      <c r="AR406" s="144">
        <f>+K406-AQ406</f>
        <v>0</v>
      </c>
      <c r="AT406" s="372">
        <f>+F406*K406</f>
        <v>74816.25</v>
      </c>
      <c r="AV406" s="263">
        <f>SUM(W406:AO406)</f>
        <v>75</v>
      </c>
      <c r="AW406" s="263">
        <f>+L406-AV406</f>
        <v>0</v>
      </c>
      <c r="BA406" s="318">
        <f t="shared" si="262"/>
        <v>0</v>
      </c>
    </row>
    <row r="407" spans="1:53" s="2" customFormat="1" ht="10.5" customHeight="1">
      <c r="A407" s="10" t="s">
        <v>12</v>
      </c>
      <c r="B407" s="15"/>
      <c r="C407" s="343"/>
      <c r="D407" s="349"/>
      <c r="E407" s="346"/>
      <c r="F407" s="373"/>
      <c r="G407" s="277"/>
      <c r="H407" s="277"/>
      <c r="I407" s="277"/>
      <c r="J407" s="277"/>
      <c r="K407" s="277"/>
      <c r="L407" s="277"/>
      <c r="M407" s="367"/>
      <c r="N407" s="47" t="s">
        <v>163</v>
      </c>
      <c r="O407" s="254"/>
      <c r="P407" s="254"/>
      <c r="Q407" s="254"/>
      <c r="R407" s="254"/>
      <c r="S407" s="254"/>
      <c r="T407" s="254"/>
      <c r="U407" s="62">
        <f>+U406/$K406</f>
        <v>0</v>
      </c>
      <c r="V407" s="117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62"/>
      <c r="AI407" s="62">
        <f>ROUND(AI406/$K406,5)</f>
        <v>0.29330000000000001</v>
      </c>
      <c r="AJ407" s="62">
        <f>ROUND(AJ406/$K406,5)</f>
        <v>0.29330000000000001</v>
      </c>
      <c r="AK407" s="62">
        <f>ROUND(AK406/$K406,5)</f>
        <v>0.4133</v>
      </c>
      <c r="AL407" s="116"/>
      <c r="AM407" s="88"/>
      <c r="AN407" s="88"/>
      <c r="AO407" s="88"/>
      <c r="AQ407" s="149">
        <f>SUM(U407:AO407)</f>
        <v>0.99990000000000001</v>
      </c>
      <c r="AR407" s="146"/>
      <c r="AT407" s="389"/>
      <c r="AV407" s="266"/>
      <c r="AW407" s="266"/>
      <c r="BA407" s="318">
        <f t="shared" si="262"/>
        <v>0</v>
      </c>
    </row>
    <row r="408" spans="1:53" s="2" customFormat="1" ht="10.5" hidden="1" customHeight="1">
      <c r="A408" s="11" t="s">
        <v>13</v>
      </c>
      <c r="B408" s="15"/>
      <c r="C408" s="343"/>
      <c r="D408" s="349"/>
      <c r="E408" s="346"/>
      <c r="F408" s="373"/>
      <c r="G408" s="277"/>
      <c r="H408" s="277"/>
      <c r="I408" s="277"/>
      <c r="J408" s="277"/>
      <c r="K408" s="277"/>
      <c r="L408" s="277"/>
      <c r="M408" s="367"/>
      <c r="N408" s="48"/>
      <c r="O408" s="251"/>
      <c r="P408" s="251"/>
      <c r="Q408" s="251"/>
      <c r="R408" s="251"/>
      <c r="S408" s="251"/>
      <c r="T408" s="251"/>
      <c r="U408" s="93"/>
      <c r="V408" s="117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96"/>
      <c r="AI408" s="63"/>
      <c r="AJ408" s="63"/>
      <c r="AK408" s="63"/>
      <c r="AL408" s="117"/>
      <c r="AM408" s="88"/>
      <c r="AN408" s="88"/>
      <c r="AO408" s="88"/>
      <c r="AQ408" s="145"/>
      <c r="AR408" s="146"/>
      <c r="AT408" s="389"/>
      <c r="AV408" s="197"/>
      <c r="AW408" s="197"/>
      <c r="BA408" s="318">
        <f t="shared" si="262"/>
        <v>0</v>
      </c>
    </row>
    <row r="409" spans="1:53" s="2" customFormat="1" ht="10.5" customHeight="1">
      <c r="A409" s="12">
        <v>1</v>
      </c>
      <c r="B409" s="15"/>
      <c r="C409" s="344"/>
      <c r="D409" s="350"/>
      <c r="E409" s="347"/>
      <c r="F409" s="374"/>
      <c r="G409" s="307">
        <f>ROUND(G406*$F406,2)</f>
        <v>74816.25</v>
      </c>
      <c r="H409" s="307">
        <f>ROUND(H406*$F406,2)</f>
        <v>74816.25</v>
      </c>
      <c r="I409" s="307">
        <f>ROUND(I406*$F406,2)</f>
        <v>0</v>
      </c>
      <c r="J409" s="307">
        <f>J406*$F406</f>
        <v>0</v>
      </c>
      <c r="K409" s="307">
        <f>ROUND(K406*$F406,2)</f>
        <v>74816.25</v>
      </c>
      <c r="L409" s="307">
        <f>ROUND(L406*$F406,2)</f>
        <v>74816.25</v>
      </c>
      <c r="M409" s="367"/>
      <c r="N409" s="49" t="s">
        <v>164</v>
      </c>
      <c r="O409" s="256"/>
      <c r="P409" s="256"/>
      <c r="Q409" s="256"/>
      <c r="R409" s="256"/>
      <c r="S409" s="256"/>
      <c r="T409" s="256"/>
      <c r="U409" s="64">
        <f>U406*$F406</f>
        <v>0</v>
      </c>
      <c r="V409" s="123"/>
      <c r="W409" s="91"/>
      <c r="X409" s="91"/>
      <c r="Y409" s="91"/>
      <c r="Z409" s="91"/>
      <c r="AA409" s="91"/>
      <c r="AB409" s="91"/>
      <c r="AC409" s="91"/>
      <c r="AD409" s="91"/>
      <c r="AE409" s="91"/>
      <c r="AF409" s="69"/>
      <c r="AG409" s="69"/>
      <c r="AH409" s="64"/>
      <c r="AI409" s="64">
        <f>AI406*$F406</f>
        <v>21946.1</v>
      </c>
      <c r="AJ409" s="64">
        <f>AJ406*$F406</f>
        <v>21946.1</v>
      </c>
      <c r="AK409" s="64">
        <f>AK406*$F406</f>
        <v>30924.05</v>
      </c>
      <c r="AL409" s="118"/>
      <c r="AM409" s="91"/>
      <c r="AN409" s="91"/>
      <c r="AO409" s="91"/>
      <c r="AQ409" s="69">
        <f>SUM(U409:AO409)</f>
        <v>74816.25</v>
      </c>
      <c r="AR409" s="69">
        <f>+K409-AQ409</f>
        <v>0</v>
      </c>
      <c r="AT409" s="390"/>
      <c r="AV409" s="196"/>
      <c r="AW409" s="196"/>
      <c r="BA409" s="318">
        <f t="shared" si="262"/>
        <v>0</v>
      </c>
    </row>
    <row r="410" spans="1:53" s="2" customFormat="1" ht="10.5" customHeight="1">
      <c r="A410" s="12"/>
      <c r="B410" s="15"/>
      <c r="C410" s="342">
        <v>88</v>
      </c>
      <c r="D410" s="348" t="s">
        <v>161</v>
      </c>
      <c r="E410" s="345" t="s">
        <v>242</v>
      </c>
      <c r="F410" s="372">
        <v>100640.7</v>
      </c>
      <c r="G410" s="284">
        <v>2</v>
      </c>
      <c r="H410" s="284">
        <v>2</v>
      </c>
      <c r="I410" s="284"/>
      <c r="J410" s="284"/>
      <c r="K410" s="284">
        <f>H410+J410</f>
        <v>2</v>
      </c>
      <c r="L410" s="284">
        <f>+H410-I410+J410</f>
        <v>2</v>
      </c>
      <c r="M410" s="367"/>
      <c r="N410" s="47" t="s">
        <v>162</v>
      </c>
      <c r="O410" s="253"/>
      <c r="P410" s="253"/>
      <c r="Q410" s="253"/>
      <c r="R410" s="253"/>
      <c r="S410" s="253"/>
      <c r="T410" s="253"/>
      <c r="U410" s="61">
        <f>+I410</f>
        <v>0</v>
      </c>
      <c r="V410" s="117"/>
      <c r="W410" s="92"/>
      <c r="X410" s="92"/>
      <c r="Y410" s="92"/>
      <c r="Z410" s="92"/>
      <c r="AA410" s="92"/>
      <c r="AB410" s="92"/>
      <c r="AC410" s="92"/>
      <c r="AD410" s="92"/>
      <c r="AE410" s="92"/>
      <c r="AF410" s="92"/>
      <c r="AG410" s="92"/>
      <c r="AH410" s="61"/>
      <c r="AI410" s="61"/>
      <c r="AJ410" s="61"/>
      <c r="AK410" s="61">
        <v>2</v>
      </c>
      <c r="AL410" s="119"/>
      <c r="AM410" s="92"/>
      <c r="AN410" s="92"/>
      <c r="AO410" s="92"/>
      <c r="AQ410" s="144">
        <f>SUM(O410:AO410)</f>
        <v>2</v>
      </c>
      <c r="AR410" s="144">
        <f>+K410-AQ410</f>
        <v>0</v>
      </c>
      <c r="AT410" s="372">
        <f>+F410*K410</f>
        <v>201281.4</v>
      </c>
      <c r="AV410" s="263">
        <f>SUM(W410:AO410)</f>
        <v>2</v>
      </c>
      <c r="AW410" s="263">
        <f>+L410-AV410</f>
        <v>0</v>
      </c>
      <c r="BA410" s="318">
        <f t="shared" si="262"/>
        <v>0</v>
      </c>
    </row>
    <row r="411" spans="1:53" s="2" customFormat="1" ht="10.5" customHeight="1">
      <c r="A411" s="10" t="s">
        <v>12</v>
      </c>
      <c r="B411" s="15"/>
      <c r="C411" s="343"/>
      <c r="D411" s="349"/>
      <c r="E411" s="346"/>
      <c r="F411" s="373"/>
      <c r="G411" s="277"/>
      <c r="H411" s="277"/>
      <c r="I411" s="277"/>
      <c r="J411" s="277"/>
      <c r="K411" s="277"/>
      <c r="L411" s="277"/>
      <c r="M411" s="367"/>
      <c r="N411" s="47" t="s">
        <v>163</v>
      </c>
      <c r="O411" s="254"/>
      <c r="P411" s="254"/>
      <c r="Q411" s="254"/>
      <c r="R411" s="254"/>
      <c r="S411" s="254"/>
      <c r="T411" s="254"/>
      <c r="U411" s="62">
        <f>+U410/$K410</f>
        <v>0</v>
      </c>
      <c r="V411" s="117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62"/>
      <c r="AI411" s="62"/>
      <c r="AJ411" s="62"/>
      <c r="AK411" s="62">
        <f>ROUND(AK410/$K410,5)</f>
        <v>1</v>
      </c>
      <c r="AL411" s="116"/>
      <c r="AM411" s="88"/>
      <c r="AN411" s="88"/>
      <c r="AO411" s="88"/>
      <c r="AQ411" s="149">
        <f>SUM(U411:AO411)</f>
        <v>1</v>
      </c>
      <c r="AR411" s="146"/>
      <c r="AT411" s="389"/>
      <c r="AV411" s="266"/>
      <c r="AW411" s="266"/>
      <c r="BA411" s="318">
        <f t="shared" si="262"/>
        <v>0</v>
      </c>
    </row>
    <row r="412" spans="1:53" s="2" customFormat="1" ht="10.5" hidden="1" customHeight="1">
      <c r="A412" s="11" t="s">
        <v>13</v>
      </c>
      <c r="B412" s="15"/>
      <c r="C412" s="343"/>
      <c r="D412" s="349"/>
      <c r="E412" s="346"/>
      <c r="F412" s="373"/>
      <c r="G412" s="277"/>
      <c r="H412" s="277"/>
      <c r="I412" s="277"/>
      <c r="J412" s="277"/>
      <c r="K412" s="277"/>
      <c r="L412" s="277"/>
      <c r="M412" s="367"/>
      <c r="N412" s="48"/>
      <c r="O412" s="251"/>
      <c r="P412" s="251"/>
      <c r="Q412" s="251"/>
      <c r="R412" s="251"/>
      <c r="S412" s="251"/>
      <c r="T412" s="251"/>
      <c r="U412" s="93"/>
      <c r="V412" s="117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96"/>
      <c r="AI412" s="96"/>
      <c r="AJ412" s="96"/>
      <c r="AK412" s="63"/>
      <c r="AL412" s="117"/>
      <c r="AM412" s="88"/>
      <c r="AN412" s="88"/>
      <c r="AO412" s="88"/>
      <c r="AQ412" s="145"/>
      <c r="AR412" s="146"/>
      <c r="AT412" s="389"/>
      <c r="AV412" s="197"/>
      <c r="AW412" s="197"/>
      <c r="BA412" s="318">
        <f t="shared" si="262"/>
        <v>0</v>
      </c>
    </row>
    <row r="413" spans="1:53" s="2" customFormat="1" ht="10.5" customHeight="1">
      <c r="A413" s="12">
        <v>1</v>
      </c>
      <c r="B413" s="15"/>
      <c r="C413" s="344"/>
      <c r="D413" s="350"/>
      <c r="E413" s="347"/>
      <c r="F413" s="374"/>
      <c r="G413" s="307">
        <f>ROUND(G410*$F410,2)</f>
        <v>201281.4</v>
      </c>
      <c r="H413" s="307">
        <f>ROUND(H410*$F410,2)</f>
        <v>201281.4</v>
      </c>
      <c r="I413" s="307">
        <f>ROUND(I410*$F410,2)</f>
        <v>0</v>
      </c>
      <c r="J413" s="307">
        <f>J410*$F410</f>
        <v>0</v>
      </c>
      <c r="K413" s="307">
        <f>ROUND(K410*$F410,2)</f>
        <v>201281.4</v>
      </c>
      <c r="L413" s="307">
        <f>ROUND(L410*$F410,2)</f>
        <v>201281.4</v>
      </c>
      <c r="M413" s="367"/>
      <c r="N413" s="49" t="s">
        <v>164</v>
      </c>
      <c r="O413" s="256"/>
      <c r="P413" s="256"/>
      <c r="Q413" s="256"/>
      <c r="R413" s="256"/>
      <c r="S413" s="256"/>
      <c r="T413" s="256"/>
      <c r="U413" s="64">
        <f>U410*$F410</f>
        <v>0</v>
      </c>
      <c r="V413" s="123"/>
      <c r="W413" s="91"/>
      <c r="X413" s="91"/>
      <c r="Y413" s="91"/>
      <c r="Z413" s="91"/>
      <c r="AA413" s="91"/>
      <c r="AB413" s="91"/>
      <c r="AC413" s="91"/>
      <c r="AD413" s="91"/>
      <c r="AE413" s="91"/>
      <c r="AF413" s="69"/>
      <c r="AG413" s="69"/>
      <c r="AH413" s="64"/>
      <c r="AI413" s="64"/>
      <c r="AJ413" s="64"/>
      <c r="AK413" s="64">
        <f>AK410*$F410</f>
        <v>201281.4</v>
      </c>
      <c r="AL413" s="118"/>
      <c r="AM413" s="91"/>
      <c r="AN413" s="91"/>
      <c r="AO413" s="91"/>
      <c r="AQ413" s="69">
        <f>SUM(U413:AO413)</f>
        <v>201281.4</v>
      </c>
      <c r="AR413" s="69">
        <f>+K413-AQ413</f>
        <v>0</v>
      </c>
      <c r="AT413" s="390"/>
      <c r="AV413" s="196"/>
      <c r="AW413" s="196"/>
      <c r="BA413" s="318">
        <f t="shared" si="262"/>
        <v>0</v>
      </c>
    </row>
    <row r="414" spans="1:53" s="2" customFormat="1" ht="10.5" customHeight="1">
      <c r="A414" s="12"/>
      <c r="B414" s="15"/>
      <c r="C414" s="342">
        <v>89</v>
      </c>
      <c r="D414" s="348" t="s">
        <v>133</v>
      </c>
      <c r="E414" s="345" t="s">
        <v>242</v>
      </c>
      <c r="F414" s="372">
        <v>5338.07</v>
      </c>
      <c r="G414" s="284">
        <v>9</v>
      </c>
      <c r="H414" s="284">
        <v>13</v>
      </c>
      <c r="I414" s="284"/>
      <c r="J414" s="284"/>
      <c r="K414" s="284">
        <f>H414+J414</f>
        <v>13</v>
      </c>
      <c r="L414" s="284">
        <f>+H414-I414+J414</f>
        <v>13</v>
      </c>
      <c r="M414" s="367"/>
      <c r="N414" s="47" t="s">
        <v>162</v>
      </c>
      <c r="O414" s="253"/>
      <c r="P414" s="253"/>
      <c r="Q414" s="253"/>
      <c r="R414" s="253"/>
      <c r="S414" s="253"/>
      <c r="T414" s="253"/>
      <c r="U414" s="61">
        <f>+I414</f>
        <v>0</v>
      </c>
      <c r="V414" s="117"/>
      <c r="W414" s="92"/>
      <c r="X414" s="92"/>
      <c r="Y414" s="92"/>
      <c r="Z414" s="92"/>
      <c r="AA414" s="92"/>
      <c r="AB414" s="92"/>
      <c r="AC414" s="92"/>
      <c r="AD414" s="92"/>
      <c r="AE414" s="92"/>
      <c r="AF414" s="92"/>
      <c r="AG414" s="92"/>
      <c r="AH414" s="61"/>
      <c r="AI414" s="61"/>
      <c r="AJ414" s="61"/>
      <c r="AK414" s="61">
        <v>13</v>
      </c>
      <c r="AL414" s="119"/>
      <c r="AM414" s="92"/>
      <c r="AN414" s="92"/>
      <c r="AO414" s="92"/>
      <c r="AQ414" s="144">
        <f>SUM(O414:AO414)</f>
        <v>13</v>
      </c>
      <c r="AR414" s="144">
        <f>+K414-AQ414</f>
        <v>0</v>
      </c>
      <c r="AT414" s="372">
        <f>+F414*K414</f>
        <v>69394.91</v>
      </c>
      <c r="AV414" s="263">
        <f>SUM(W414:AO414)</f>
        <v>13</v>
      </c>
      <c r="AW414" s="263">
        <f>+L414-AV414</f>
        <v>0</v>
      </c>
      <c r="BA414" s="318">
        <f t="shared" si="262"/>
        <v>0</v>
      </c>
    </row>
    <row r="415" spans="1:53" s="2" customFormat="1" ht="10.5" customHeight="1">
      <c r="A415" s="10" t="s">
        <v>12</v>
      </c>
      <c r="B415" s="15"/>
      <c r="C415" s="343"/>
      <c r="D415" s="349"/>
      <c r="E415" s="346"/>
      <c r="F415" s="373"/>
      <c r="G415" s="277"/>
      <c r="H415" s="277"/>
      <c r="I415" s="277"/>
      <c r="J415" s="277"/>
      <c r="K415" s="277"/>
      <c r="L415" s="277"/>
      <c r="M415" s="367"/>
      <c r="N415" s="47" t="s">
        <v>163</v>
      </c>
      <c r="O415" s="254"/>
      <c r="P415" s="254"/>
      <c r="Q415" s="254"/>
      <c r="R415" s="254"/>
      <c r="S415" s="254"/>
      <c r="T415" s="254"/>
      <c r="U415" s="62">
        <f>+U414/$K414</f>
        <v>0</v>
      </c>
      <c r="V415" s="117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62"/>
      <c r="AI415" s="62"/>
      <c r="AJ415" s="62"/>
      <c r="AK415" s="62">
        <f>ROUND(AK414/$K414,5)</f>
        <v>1</v>
      </c>
      <c r="AL415" s="116"/>
      <c r="AM415" s="88"/>
      <c r="AN415" s="88"/>
      <c r="AO415" s="88"/>
      <c r="AQ415" s="149">
        <f>SUM(U415:AO415)</f>
        <v>1</v>
      </c>
      <c r="AR415" s="146"/>
      <c r="AT415" s="389"/>
      <c r="AV415" s="266"/>
      <c r="AW415" s="266"/>
      <c r="BA415" s="318">
        <f t="shared" si="262"/>
        <v>0</v>
      </c>
    </row>
    <row r="416" spans="1:53" s="2" customFormat="1" ht="10.5" hidden="1" customHeight="1">
      <c r="A416" s="11" t="s">
        <v>13</v>
      </c>
      <c r="B416" s="15"/>
      <c r="C416" s="343"/>
      <c r="D416" s="349"/>
      <c r="E416" s="346"/>
      <c r="F416" s="373"/>
      <c r="G416" s="277"/>
      <c r="H416" s="277"/>
      <c r="I416" s="277"/>
      <c r="J416" s="277"/>
      <c r="K416" s="277"/>
      <c r="L416" s="277"/>
      <c r="M416" s="367"/>
      <c r="N416" s="48"/>
      <c r="O416" s="251"/>
      <c r="P416" s="251"/>
      <c r="Q416" s="251"/>
      <c r="R416" s="251"/>
      <c r="S416" s="251"/>
      <c r="T416" s="251"/>
      <c r="U416" s="93"/>
      <c r="V416" s="117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96"/>
      <c r="AI416" s="96"/>
      <c r="AJ416" s="96"/>
      <c r="AK416" s="63"/>
      <c r="AL416" s="117"/>
      <c r="AM416" s="88"/>
      <c r="AN416" s="88"/>
      <c r="AO416" s="88"/>
      <c r="AQ416" s="145"/>
      <c r="AR416" s="146"/>
      <c r="AT416" s="389"/>
      <c r="AV416" s="197"/>
      <c r="AW416" s="197"/>
      <c r="BA416" s="318">
        <f t="shared" si="262"/>
        <v>0</v>
      </c>
    </row>
    <row r="417" spans="1:54" s="2" customFormat="1" ht="10.5" customHeight="1">
      <c r="A417" s="12">
        <v>1</v>
      </c>
      <c r="B417" s="15"/>
      <c r="C417" s="344"/>
      <c r="D417" s="350"/>
      <c r="E417" s="347"/>
      <c r="F417" s="374"/>
      <c r="G417" s="307">
        <f>ROUND(G414*$F414,2)</f>
        <v>48042.63</v>
      </c>
      <c r="H417" s="307">
        <f>ROUND(H414*$F414,2)</f>
        <v>69394.91</v>
      </c>
      <c r="I417" s="307">
        <f>ROUND(I414*$F414,2)</f>
        <v>0</v>
      </c>
      <c r="J417" s="307">
        <f>J414*$F414</f>
        <v>0</v>
      </c>
      <c r="K417" s="307">
        <f>ROUND(K414*$F414,2)</f>
        <v>69394.91</v>
      </c>
      <c r="L417" s="307">
        <f>ROUND(L414*$F414,2)</f>
        <v>69394.91</v>
      </c>
      <c r="M417" s="368"/>
      <c r="N417" s="49" t="s">
        <v>164</v>
      </c>
      <c r="O417" s="256"/>
      <c r="P417" s="256"/>
      <c r="Q417" s="256"/>
      <c r="R417" s="256"/>
      <c r="S417" s="256"/>
      <c r="T417" s="256"/>
      <c r="U417" s="64">
        <f>U414*$F414</f>
        <v>0</v>
      </c>
      <c r="V417" s="123"/>
      <c r="W417" s="91"/>
      <c r="X417" s="91"/>
      <c r="Y417" s="91"/>
      <c r="Z417" s="91"/>
      <c r="AA417" s="91"/>
      <c r="AB417" s="91"/>
      <c r="AC417" s="91"/>
      <c r="AD417" s="91"/>
      <c r="AE417" s="91"/>
      <c r="AF417" s="69"/>
      <c r="AG417" s="69"/>
      <c r="AH417" s="64"/>
      <c r="AI417" s="64"/>
      <c r="AJ417" s="64"/>
      <c r="AK417" s="64">
        <f>AK414*$F414</f>
        <v>69394.91</v>
      </c>
      <c r="AL417" s="118"/>
      <c r="AM417" s="91"/>
      <c r="AN417" s="91"/>
      <c r="AO417" s="91"/>
      <c r="AQ417" s="69">
        <f>SUM(U417:AO417)</f>
        <v>69394.91</v>
      </c>
      <c r="AR417" s="69">
        <f>+K417-AQ417</f>
        <v>0</v>
      </c>
      <c r="AT417" s="390"/>
      <c r="AV417" s="197"/>
      <c r="AW417" s="197"/>
      <c r="BA417" s="318">
        <f t="shared" si="262"/>
        <v>0</v>
      </c>
    </row>
    <row r="418" spans="1:54" s="114" customFormat="1" ht="7.5" customHeight="1">
      <c r="A418" s="112"/>
      <c r="B418" s="113"/>
      <c r="C418" s="232"/>
      <c r="D418" s="233"/>
      <c r="E418" s="233"/>
      <c r="F418" s="233"/>
      <c r="G418" s="233"/>
      <c r="H418" s="233"/>
      <c r="I418" s="233"/>
      <c r="J418" s="233"/>
      <c r="K418" s="233"/>
      <c r="L418" s="233"/>
      <c r="M418" s="233"/>
      <c r="N418" s="233"/>
      <c r="O418" s="253"/>
      <c r="P418" s="253"/>
      <c r="Q418" s="253"/>
      <c r="R418" s="253"/>
      <c r="S418" s="253"/>
      <c r="T418" s="253"/>
      <c r="U418" s="233"/>
      <c r="V418" s="233"/>
      <c r="W418" s="163"/>
      <c r="X418" s="163"/>
      <c r="Y418" s="164"/>
      <c r="Z418" s="337"/>
      <c r="AA418" s="338"/>
      <c r="AB418" s="338"/>
      <c r="AC418" s="338"/>
      <c r="AD418" s="338"/>
      <c r="AE418" s="338"/>
      <c r="AF418" s="338"/>
      <c r="AG418" s="338"/>
      <c r="AH418" s="338"/>
      <c r="AI418" s="338"/>
      <c r="AJ418" s="163"/>
      <c r="AK418" s="164"/>
      <c r="AL418" s="165"/>
      <c r="AM418" s="163"/>
      <c r="AN418" s="163"/>
      <c r="AO418" s="159"/>
      <c r="AT418" s="81"/>
      <c r="AV418" s="83"/>
      <c r="AW418" s="83"/>
      <c r="BA418" s="318">
        <f t="shared" si="262"/>
        <v>0</v>
      </c>
    </row>
    <row r="419" spans="1:54" s="114" customFormat="1" ht="12.75" customHeight="1">
      <c r="A419" s="112"/>
      <c r="B419" s="113"/>
      <c r="C419" s="381" t="s">
        <v>224</v>
      </c>
      <c r="D419" s="382"/>
      <c r="E419" s="382"/>
      <c r="F419" s="382"/>
      <c r="G419" s="382"/>
      <c r="H419" s="382"/>
      <c r="I419" s="383"/>
      <c r="J419" s="212" t="s">
        <v>218</v>
      </c>
      <c r="K419" s="267">
        <f>SUM(U419:AO419)</f>
        <v>1</v>
      </c>
      <c r="L419" s="265"/>
      <c r="M419" s="241"/>
      <c r="N419" s="215" t="s">
        <v>218</v>
      </c>
      <c r="O419" s="248"/>
      <c r="P419" s="248"/>
      <c r="Q419" s="248"/>
      <c r="R419" s="248"/>
      <c r="S419" s="248"/>
      <c r="T419" s="248"/>
      <c r="U419" s="248">
        <f>+U420/$K$420</f>
        <v>0</v>
      </c>
      <c r="V419" s="270"/>
      <c r="W419" s="248">
        <f t="shared" ref="W419:AK419" si="263">+W420/$K$420</f>
        <v>0</v>
      </c>
      <c r="X419" s="248">
        <f t="shared" si="263"/>
        <v>0</v>
      </c>
      <c r="Y419" s="248">
        <f t="shared" si="263"/>
        <v>0</v>
      </c>
      <c r="Z419" s="248">
        <f t="shared" si="263"/>
        <v>0</v>
      </c>
      <c r="AA419" s="248">
        <f t="shared" si="263"/>
        <v>0</v>
      </c>
      <c r="AB419" s="248">
        <f t="shared" si="263"/>
        <v>0</v>
      </c>
      <c r="AC419" s="248">
        <f t="shared" si="263"/>
        <v>0</v>
      </c>
      <c r="AD419" s="248">
        <f t="shared" si="263"/>
        <v>0</v>
      </c>
      <c r="AE419" s="248">
        <f t="shared" si="263"/>
        <v>0.1048</v>
      </c>
      <c r="AF419" s="248">
        <f t="shared" si="263"/>
        <v>0.1048</v>
      </c>
      <c r="AG419" s="248">
        <f t="shared" si="263"/>
        <v>0.1048</v>
      </c>
      <c r="AH419" s="248">
        <f t="shared" si="263"/>
        <v>0.1048</v>
      </c>
      <c r="AI419" s="248">
        <f t="shared" si="263"/>
        <v>0.1774</v>
      </c>
      <c r="AJ419" s="248">
        <f t="shared" si="263"/>
        <v>0.22739999999999999</v>
      </c>
      <c r="AK419" s="248">
        <f t="shared" si="263"/>
        <v>0.17599999999999999</v>
      </c>
      <c r="AL419" s="271"/>
      <c r="AM419" s="271"/>
      <c r="AN419" s="271"/>
      <c r="AO419" s="162" t="s">
        <v>173</v>
      </c>
      <c r="AP419" s="83"/>
      <c r="AQ419" s="83"/>
      <c r="AR419" s="83"/>
      <c r="AS419" s="83"/>
      <c r="AT419" s="81"/>
      <c r="AU419" s="83"/>
      <c r="AV419" s="83"/>
      <c r="AW419" s="83"/>
      <c r="AX419" s="83"/>
      <c r="AY419" s="83"/>
      <c r="AZ419" s="83"/>
      <c r="BA419" s="318">
        <f t="shared" si="262"/>
        <v>0</v>
      </c>
      <c r="BB419" s="83"/>
    </row>
    <row r="420" spans="1:54" s="114" customFormat="1" ht="12.75" customHeight="1">
      <c r="A420" s="112"/>
      <c r="B420" s="113"/>
      <c r="C420" s="384"/>
      <c r="D420" s="385"/>
      <c r="E420" s="385"/>
      <c r="F420" s="385"/>
      <c r="G420" s="385"/>
      <c r="H420" s="385"/>
      <c r="I420" s="386"/>
      <c r="J420" s="213" t="s">
        <v>219</v>
      </c>
      <c r="K420" s="268">
        <f>+K341+K345+K349+K353+K357+K361+K365+K369+K373+K377+K381+K385+K389+K393+K397+K401+K405+K409+K413+K417</f>
        <v>13791758.050000001</v>
      </c>
      <c r="L420" s="265"/>
      <c r="M420" s="241"/>
      <c r="N420" s="213" t="s">
        <v>219</v>
      </c>
      <c r="O420" s="268"/>
      <c r="P420" s="268"/>
      <c r="Q420" s="268"/>
      <c r="R420" s="268"/>
      <c r="S420" s="268"/>
      <c r="T420" s="268"/>
      <c r="U420" s="268">
        <f>+U341+U345+U349+U353+U357+U361+U365+U369+U373+U377+U381+U385+U389+U393+U397+U401+U405+U409+U413+U417</f>
        <v>0</v>
      </c>
      <c r="V420" s="270"/>
      <c r="W420" s="269">
        <f t="shared" ref="W420:AK420" si="264">+W341+W345+W349+W353+W357+W361+W365+W369+W373+W377+W381+W385+W389+W393+W397+W401+W405+W409+W413+W417</f>
        <v>0</v>
      </c>
      <c r="X420" s="269">
        <f t="shared" si="264"/>
        <v>0</v>
      </c>
      <c r="Y420" s="269">
        <f t="shared" si="264"/>
        <v>0</v>
      </c>
      <c r="Z420" s="269">
        <f t="shared" si="264"/>
        <v>0</v>
      </c>
      <c r="AA420" s="269">
        <f t="shared" si="264"/>
        <v>0</v>
      </c>
      <c r="AB420" s="269">
        <f t="shared" si="264"/>
        <v>0</v>
      </c>
      <c r="AC420" s="269">
        <f t="shared" si="264"/>
        <v>0</v>
      </c>
      <c r="AD420" s="269">
        <f t="shared" si="264"/>
        <v>0</v>
      </c>
      <c r="AE420" s="269">
        <f t="shared" si="264"/>
        <v>1445355.88</v>
      </c>
      <c r="AF420" s="269">
        <f t="shared" si="264"/>
        <v>1445355.88</v>
      </c>
      <c r="AG420" s="269">
        <f t="shared" si="264"/>
        <v>1445355.88</v>
      </c>
      <c r="AH420" s="269">
        <f t="shared" si="264"/>
        <v>1445355.88</v>
      </c>
      <c r="AI420" s="269">
        <f t="shared" si="264"/>
        <v>2445992.33</v>
      </c>
      <c r="AJ420" s="269">
        <f t="shared" si="264"/>
        <v>3136407.65</v>
      </c>
      <c r="AK420" s="269">
        <f t="shared" si="264"/>
        <v>2427934.5499999998</v>
      </c>
      <c r="AL420" s="271"/>
      <c r="AM420" s="271"/>
      <c r="AN420" s="271"/>
      <c r="AO420" s="162" t="s">
        <v>231</v>
      </c>
      <c r="AP420" s="83"/>
      <c r="AQ420" s="83"/>
      <c r="AR420" s="83"/>
      <c r="AS420" s="83"/>
      <c r="AT420" s="81"/>
      <c r="AU420" s="83"/>
      <c r="AV420" s="83"/>
      <c r="AW420" s="83"/>
      <c r="AX420" s="83"/>
      <c r="AY420" s="83"/>
      <c r="AZ420" s="83"/>
      <c r="BA420" s="318">
        <f t="shared" si="262"/>
        <v>0</v>
      </c>
      <c r="BB420" s="83"/>
    </row>
    <row r="421" spans="1:54" s="114" customFormat="1" ht="7.5" customHeight="1">
      <c r="A421" s="112"/>
      <c r="B421" s="113"/>
      <c r="C421" s="234"/>
      <c r="D421" s="235"/>
      <c r="E421" s="235"/>
      <c r="F421" s="235"/>
      <c r="G421" s="235"/>
      <c r="H421" s="235"/>
      <c r="I421" s="235"/>
      <c r="J421" s="235"/>
      <c r="K421" s="235"/>
      <c r="L421" s="235"/>
      <c r="M421" s="235"/>
      <c r="N421" s="235"/>
      <c r="O421" s="235"/>
      <c r="P421" s="235"/>
      <c r="Q421" s="235"/>
      <c r="R421" s="235"/>
      <c r="S421" s="235"/>
      <c r="T421" s="235"/>
      <c r="U421" s="235"/>
      <c r="V421" s="235"/>
      <c r="W421" s="109"/>
      <c r="X421" s="109"/>
      <c r="Y421" s="110"/>
      <c r="Z421" s="360"/>
      <c r="AA421" s="361"/>
      <c r="AB421" s="361"/>
      <c r="AC421" s="361"/>
      <c r="AD421" s="361"/>
      <c r="AE421" s="361"/>
      <c r="AF421" s="361"/>
      <c r="AG421" s="361"/>
      <c r="AH421" s="361"/>
      <c r="AI421" s="361"/>
      <c r="AJ421" s="109"/>
      <c r="AK421" s="110"/>
      <c r="AL421" s="109"/>
      <c r="AM421" s="109"/>
      <c r="AN421" s="109"/>
      <c r="AO421" s="161"/>
      <c r="AT421" s="81"/>
      <c r="AV421" s="83"/>
      <c r="AW421" s="83"/>
      <c r="BA421" s="318">
        <f t="shared" si="262"/>
        <v>0</v>
      </c>
    </row>
    <row r="422" spans="1:54" s="25" customFormat="1" ht="15" customHeight="1">
      <c r="A422" s="15"/>
      <c r="B422" s="15"/>
      <c r="C422" s="28">
        <v>6</v>
      </c>
      <c r="D422" s="37" t="s">
        <v>22</v>
      </c>
      <c r="E422" s="157"/>
      <c r="F422" s="39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71"/>
      <c r="AK422" s="71"/>
      <c r="AL422" s="71"/>
      <c r="AM422" s="71"/>
      <c r="AN422" s="71"/>
      <c r="AO422" s="296"/>
      <c r="AR422" s="82"/>
      <c r="AT422" s="154">
        <f>SUM(AT338:AT417)</f>
        <v>13791758.050000001</v>
      </c>
      <c r="AU422" s="153">
        <v>13791758.050000001</v>
      </c>
      <c r="AV422" s="100">
        <f>+AU422-AT422</f>
        <v>0</v>
      </c>
      <c r="AW422" s="82" t="s">
        <v>192</v>
      </c>
      <c r="BA422" s="318">
        <f t="shared" si="262"/>
        <v>0</v>
      </c>
    </row>
    <row r="423" spans="1:54" s="2" customFormat="1" ht="10.5" customHeight="1">
      <c r="A423" s="12"/>
      <c r="B423" s="15"/>
      <c r="C423" s="342">
        <v>90</v>
      </c>
      <c r="D423" s="351" t="s">
        <v>134</v>
      </c>
      <c r="E423" s="345" t="s">
        <v>243</v>
      </c>
      <c r="F423" s="372">
        <v>27905.32</v>
      </c>
      <c r="G423" s="284">
        <v>2</v>
      </c>
      <c r="H423" s="284">
        <v>2</v>
      </c>
      <c r="I423" s="284"/>
      <c r="J423" s="284"/>
      <c r="K423" s="284">
        <f>H423+J423</f>
        <v>2</v>
      </c>
      <c r="L423" s="284">
        <f>+H423-I423+J423</f>
        <v>2</v>
      </c>
      <c r="M423" s="366"/>
      <c r="N423" s="47" t="s">
        <v>162</v>
      </c>
      <c r="O423" s="61"/>
      <c r="P423" s="61"/>
      <c r="Q423" s="61"/>
      <c r="R423" s="61"/>
      <c r="S423" s="61"/>
      <c r="T423" s="61"/>
      <c r="U423" s="61">
        <f>+I423</f>
        <v>0</v>
      </c>
      <c r="V423" s="117"/>
      <c r="W423" s="95"/>
      <c r="X423" s="147"/>
      <c r="Y423" s="147"/>
      <c r="Z423" s="61"/>
      <c r="AA423" s="61"/>
      <c r="AB423" s="61"/>
      <c r="AC423" s="95"/>
      <c r="AD423" s="147"/>
      <c r="AE423" s="147"/>
      <c r="AF423" s="61">
        <v>0.33</v>
      </c>
      <c r="AG423" s="61">
        <v>0.33</v>
      </c>
      <c r="AH423" s="61">
        <v>0.33</v>
      </c>
      <c r="AI423" s="61">
        <v>0.33</v>
      </c>
      <c r="AJ423" s="61">
        <v>0.33</v>
      </c>
      <c r="AK423" s="61">
        <v>0.35</v>
      </c>
      <c r="AL423" s="119"/>
      <c r="AM423" s="61"/>
      <c r="AN423" s="61"/>
      <c r="AO423" s="61"/>
      <c r="AQ423" s="144">
        <f>SUM(O423:AO423)</f>
        <v>2</v>
      </c>
      <c r="AR423" s="144">
        <f>+K423-AQ423</f>
        <v>0</v>
      </c>
      <c r="AT423" s="372">
        <f>+F423*K423</f>
        <v>55810.64</v>
      </c>
      <c r="AV423" s="263">
        <f>SUM(W423:AO423)</f>
        <v>2</v>
      </c>
      <c r="AW423" s="263">
        <f>+L423-AV423</f>
        <v>0</v>
      </c>
      <c r="BA423" s="318">
        <f t="shared" si="262"/>
        <v>0</v>
      </c>
    </row>
    <row r="424" spans="1:54" s="2" customFormat="1" ht="10.5" customHeight="1">
      <c r="A424" s="10" t="s">
        <v>12</v>
      </c>
      <c r="B424" s="15"/>
      <c r="C424" s="343"/>
      <c r="D424" s="352"/>
      <c r="E424" s="346"/>
      <c r="F424" s="389"/>
      <c r="G424" s="277"/>
      <c r="H424" s="277"/>
      <c r="I424" s="277"/>
      <c r="J424" s="277"/>
      <c r="K424" s="277"/>
      <c r="L424" s="277"/>
      <c r="M424" s="367"/>
      <c r="N424" s="47" t="s">
        <v>163</v>
      </c>
      <c r="O424" s="62"/>
      <c r="P424" s="62"/>
      <c r="Q424" s="62"/>
      <c r="R424" s="62"/>
      <c r="S424" s="62"/>
      <c r="T424" s="62"/>
      <c r="U424" s="62">
        <f>+U423/$K423</f>
        <v>0</v>
      </c>
      <c r="V424" s="117"/>
      <c r="W424" s="93"/>
      <c r="X424" s="96"/>
      <c r="Y424" s="96"/>
      <c r="Z424" s="62">
        <f>+Z423/$K423</f>
        <v>0</v>
      </c>
      <c r="AA424" s="62">
        <f>+AA423/$K423</f>
        <v>0</v>
      </c>
      <c r="AB424" s="62">
        <f>+AB423/$K423</f>
        <v>0</v>
      </c>
      <c r="AC424" s="93"/>
      <c r="AD424" s="96"/>
      <c r="AE424" s="96"/>
      <c r="AF424" s="62">
        <f t="shared" ref="AF424:AK424" si="265">ROUND(AF423/$K423,5)</f>
        <v>0.16500000000000001</v>
      </c>
      <c r="AG424" s="62">
        <f t="shared" si="265"/>
        <v>0.16500000000000001</v>
      </c>
      <c r="AH424" s="62">
        <f t="shared" si="265"/>
        <v>0.16500000000000001</v>
      </c>
      <c r="AI424" s="62">
        <f t="shared" si="265"/>
        <v>0.16500000000000001</v>
      </c>
      <c r="AJ424" s="62">
        <f t="shared" si="265"/>
        <v>0.16500000000000001</v>
      </c>
      <c r="AK424" s="62">
        <f t="shared" si="265"/>
        <v>0.17499999999999999</v>
      </c>
      <c r="AL424" s="116"/>
      <c r="AM424" s="62"/>
      <c r="AN424" s="62"/>
      <c r="AO424" s="62"/>
      <c r="AQ424" s="149">
        <f>SUM(O424:AO424)</f>
        <v>1</v>
      </c>
      <c r="AR424" s="146"/>
      <c r="AT424" s="389"/>
      <c r="AV424" s="266"/>
      <c r="AW424" s="266"/>
      <c r="BA424" s="318">
        <f t="shared" si="262"/>
        <v>0</v>
      </c>
    </row>
    <row r="425" spans="1:54" s="2" customFormat="1" ht="10.5" hidden="1" customHeight="1">
      <c r="A425" s="11" t="s">
        <v>13</v>
      </c>
      <c r="B425" s="15"/>
      <c r="C425" s="343"/>
      <c r="D425" s="352"/>
      <c r="E425" s="346"/>
      <c r="F425" s="389"/>
      <c r="G425" s="277"/>
      <c r="H425" s="277"/>
      <c r="I425" s="277"/>
      <c r="J425" s="277"/>
      <c r="K425" s="277"/>
      <c r="L425" s="277"/>
      <c r="M425" s="367"/>
      <c r="N425" s="48"/>
      <c r="O425" s="93"/>
      <c r="P425" s="93"/>
      <c r="Q425" s="93"/>
      <c r="R425" s="93"/>
      <c r="S425" s="93"/>
      <c r="T425" s="93"/>
      <c r="U425" s="93"/>
      <c r="V425" s="116"/>
      <c r="W425" s="96"/>
      <c r="X425" s="93"/>
      <c r="Y425" s="93"/>
      <c r="Z425" s="70"/>
      <c r="AA425" s="70"/>
      <c r="AB425" s="70"/>
      <c r="AC425" s="96"/>
      <c r="AD425" s="93"/>
      <c r="AE425" s="93"/>
      <c r="AF425" s="63"/>
      <c r="AG425" s="63"/>
      <c r="AH425" s="63"/>
      <c r="AI425" s="63"/>
      <c r="AJ425" s="63"/>
      <c r="AK425" s="63"/>
      <c r="AL425" s="117"/>
      <c r="AM425" s="96"/>
      <c r="AN425" s="96"/>
      <c r="AO425" s="96"/>
      <c r="AQ425" s="145"/>
      <c r="AR425" s="146"/>
      <c r="AT425" s="389"/>
      <c r="AV425" s="197"/>
      <c r="AW425" s="197"/>
      <c r="BA425" s="318">
        <f t="shared" si="262"/>
        <v>0</v>
      </c>
    </row>
    <row r="426" spans="1:54" s="2" customFormat="1" ht="10.5" customHeight="1">
      <c r="A426" s="12">
        <v>1</v>
      </c>
      <c r="B426" s="15"/>
      <c r="C426" s="344"/>
      <c r="D426" s="353"/>
      <c r="E426" s="347"/>
      <c r="F426" s="390"/>
      <c r="G426" s="307">
        <f>ROUND(G423*$F423,2)</f>
        <v>55810.64</v>
      </c>
      <c r="H426" s="307">
        <f>ROUND(H423*$F423,2)</f>
        <v>55810.64</v>
      </c>
      <c r="I426" s="307">
        <f>ROUND(I423*$F423,2)</f>
        <v>0</v>
      </c>
      <c r="J426" s="307">
        <f>J423*$F423</f>
        <v>0</v>
      </c>
      <c r="K426" s="307">
        <f>ROUND(K423*$F423,2)</f>
        <v>55810.64</v>
      </c>
      <c r="L426" s="307">
        <f>ROUND(L423*$F423,2)</f>
        <v>55810.64</v>
      </c>
      <c r="M426" s="367"/>
      <c r="N426" s="49" t="s">
        <v>164</v>
      </c>
      <c r="O426" s="64"/>
      <c r="P426" s="64"/>
      <c r="Q426" s="64"/>
      <c r="R426" s="64"/>
      <c r="S426" s="64"/>
      <c r="T426" s="64"/>
      <c r="U426" s="64">
        <f>U423*$F423</f>
        <v>0</v>
      </c>
      <c r="V426" s="123"/>
      <c r="W426" s="94"/>
      <c r="X426" s="148"/>
      <c r="Y426" s="148"/>
      <c r="Z426" s="64">
        <f>Z423*$F423</f>
        <v>0</v>
      </c>
      <c r="AA426" s="64">
        <f>AA423*$F423</f>
        <v>0</v>
      </c>
      <c r="AB426" s="64">
        <f>AB423*$F423</f>
        <v>0</v>
      </c>
      <c r="AC426" s="94"/>
      <c r="AD426" s="148"/>
      <c r="AE426" s="148"/>
      <c r="AF426" s="64">
        <f>ROUND(AF423*$F423,2)</f>
        <v>9208.76</v>
      </c>
      <c r="AG426" s="64">
        <f>ROUND(AG423*$F423,2)</f>
        <v>9208.76</v>
      </c>
      <c r="AH426" s="64">
        <f>ROUND(AH423*$F423,2)</f>
        <v>9208.76</v>
      </c>
      <c r="AI426" s="64">
        <f>ROUND(AI423*$F423,2)</f>
        <v>9208.76</v>
      </c>
      <c r="AJ426" s="64">
        <f>ROUND(AJ423*$F423,2)</f>
        <v>9208.76</v>
      </c>
      <c r="AK426" s="64">
        <f>ROUND(AK423*$F423,2)-0.02</f>
        <v>9766.84</v>
      </c>
      <c r="AL426" s="118"/>
      <c r="AM426" s="64"/>
      <c r="AN426" s="64"/>
      <c r="AO426" s="64"/>
      <c r="AQ426" s="69">
        <f>SUM(O426:AO426)</f>
        <v>55810.64</v>
      </c>
      <c r="AR426" s="69">
        <f>+K426-AQ426</f>
        <v>0</v>
      </c>
      <c r="AT426" s="390"/>
      <c r="AV426" s="196"/>
      <c r="AW426" s="196"/>
      <c r="BA426" s="318">
        <f t="shared" si="262"/>
        <v>0</v>
      </c>
    </row>
    <row r="427" spans="1:54" s="2" customFormat="1" ht="10.5" customHeight="1">
      <c r="A427" s="12"/>
      <c r="B427" s="15"/>
      <c r="C427" s="342">
        <v>91</v>
      </c>
      <c r="D427" s="348" t="s">
        <v>135</v>
      </c>
      <c r="E427" s="357" t="s">
        <v>235</v>
      </c>
      <c r="F427" s="391">
        <v>1.89</v>
      </c>
      <c r="G427" s="284">
        <v>29475</v>
      </c>
      <c r="H427" s="284">
        <v>29475</v>
      </c>
      <c r="I427" s="284"/>
      <c r="J427" s="311"/>
      <c r="K427" s="284">
        <f>H427+J427</f>
        <v>29475</v>
      </c>
      <c r="L427" s="284">
        <f>+H427-I427+J427</f>
        <v>29475</v>
      </c>
      <c r="M427" s="367"/>
      <c r="N427" s="47" t="s">
        <v>162</v>
      </c>
      <c r="O427" s="61"/>
      <c r="P427" s="61"/>
      <c r="Q427" s="61"/>
      <c r="R427" s="61"/>
      <c r="S427" s="61"/>
      <c r="T427" s="61"/>
      <c r="U427" s="61">
        <f>+I427</f>
        <v>0</v>
      </c>
      <c r="V427" s="117"/>
      <c r="W427" s="95"/>
      <c r="X427" s="147"/>
      <c r="Y427" s="147"/>
      <c r="Z427" s="95"/>
      <c r="AA427" s="95"/>
      <c r="AB427" s="95"/>
      <c r="AC427" s="95"/>
      <c r="AD427" s="147"/>
      <c r="AE427" s="147"/>
      <c r="AF427" s="95"/>
      <c r="AG427" s="61">
        <v>9800</v>
      </c>
      <c r="AH427" s="61">
        <v>9800</v>
      </c>
      <c r="AI427" s="61">
        <v>9875</v>
      </c>
      <c r="AJ427" s="61"/>
      <c r="AK427" s="61"/>
      <c r="AL427" s="119"/>
      <c r="AM427" s="61"/>
      <c r="AN427" s="61"/>
      <c r="AO427" s="61"/>
      <c r="AQ427" s="144">
        <f>SUM(O427:AO427)</f>
        <v>29475</v>
      </c>
      <c r="AR427" s="144">
        <f>+K427-AQ427</f>
        <v>0</v>
      </c>
      <c r="AT427" s="372">
        <f>+F427*K427</f>
        <v>55707.75</v>
      </c>
      <c r="AV427" s="263">
        <f>SUM(W427:AO427)</f>
        <v>29475</v>
      </c>
      <c r="AW427" s="263">
        <f>+L427-AV427</f>
        <v>0</v>
      </c>
      <c r="BA427" s="318">
        <f t="shared" si="262"/>
        <v>0</v>
      </c>
    </row>
    <row r="428" spans="1:54" s="2" customFormat="1" ht="10.5" customHeight="1">
      <c r="A428" s="10" t="s">
        <v>12</v>
      </c>
      <c r="B428" s="15"/>
      <c r="C428" s="343"/>
      <c r="D428" s="349"/>
      <c r="E428" s="358"/>
      <c r="F428" s="392"/>
      <c r="G428" s="277"/>
      <c r="H428" s="277"/>
      <c r="I428" s="277"/>
      <c r="J428" s="277"/>
      <c r="K428" s="277"/>
      <c r="L428" s="277"/>
      <c r="M428" s="367"/>
      <c r="N428" s="47" t="s">
        <v>163</v>
      </c>
      <c r="O428" s="62"/>
      <c r="P428" s="62"/>
      <c r="Q428" s="62"/>
      <c r="R428" s="62"/>
      <c r="S428" s="62"/>
      <c r="T428" s="62"/>
      <c r="U428" s="62">
        <f>+U427/$K427</f>
        <v>0</v>
      </c>
      <c r="V428" s="117"/>
      <c r="W428" s="93"/>
      <c r="X428" s="96"/>
      <c r="Y428" s="96"/>
      <c r="Z428" s="93"/>
      <c r="AA428" s="93"/>
      <c r="AB428" s="93"/>
      <c r="AC428" s="93"/>
      <c r="AD428" s="96"/>
      <c r="AE428" s="96"/>
      <c r="AF428" s="93"/>
      <c r="AG428" s="62">
        <f>ROUND(AG427/$K427,5)</f>
        <v>0.33250000000000002</v>
      </c>
      <c r="AH428" s="62">
        <f>ROUND(AH427/$K427,5)</f>
        <v>0.33250000000000002</v>
      </c>
      <c r="AI428" s="62">
        <f>ROUND(AI427/$K427,5)</f>
        <v>0.33500000000000002</v>
      </c>
      <c r="AJ428" s="62">
        <f>ROUND(AJ427/$K427,5)</f>
        <v>0</v>
      </c>
      <c r="AK428" s="62">
        <f>ROUND(AK427/$K427,5)</f>
        <v>0</v>
      </c>
      <c r="AL428" s="116"/>
      <c r="AM428" s="62"/>
      <c r="AN428" s="62"/>
      <c r="AO428" s="62"/>
      <c r="AQ428" s="149">
        <f>SUM(O428:AO428)</f>
        <v>1</v>
      </c>
      <c r="AR428" s="146"/>
      <c r="AT428" s="389"/>
      <c r="AV428" s="266"/>
      <c r="AW428" s="266"/>
      <c r="BA428" s="318">
        <f t="shared" si="262"/>
        <v>0</v>
      </c>
    </row>
    <row r="429" spans="1:54" s="2" customFormat="1" ht="10.5" hidden="1" customHeight="1">
      <c r="A429" s="11" t="s">
        <v>13</v>
      </c>
      <c r="B429" s="15"/>
      <c r="C429" s="343"/>
      <c r="D429" s="349"/>
      <c r="E429" s="358" t="s">
        <v>191</v>
      </c>
      <c r="F429" s="392"/>
      <c r="G429" s="277"/>
      <c r="H429" s="277"/>
      <c r="I429" s="277"/>
      <c r="J429" s="277"/>
      <c r="K429" s="277"/>
      <c r="L429" s="277"/>
      <c r="M429" s="367"/>
      <c r="N429" s="48"/>
      <c r="O429" s="93"/>
      <c r="P429" s="93"/>
      <c r="Q429" s="93"/>
      <c r="R429" s="93"/>
      <c r="S429" s="93"/>
      <c r="T429" s="93"/>
      <c r="U429" s="93"/>
      <c r="V429" s="116"/>
      <c r="W429" s="96"/>
      <c r="X429" s="93"/>
      <c r="Y429" s="93"/>
      <c r="Z429" s="96"/>
      <c r="AA429" s="96"/>
      <c r="AB429" s="96"/>
      <c r="AC429" s="96"/>
      <c r="AD429" s="93"/>
      <c r="AE429" s="93"/>
      <c r="AF429" s="96"/>
      <c r="AG429" s="63"/>
      <c r="AH429" s="63"/>
      <c r="AI429" s="63"/>
      <c r="AJ429" s="63"/>
      <c r="AK429" s="63"/>
      <c r="AL429" s="117"/>
      <c r="AM429" s="96"/>
      <c r="AN429" s="96"/>
      <c r="AO429" s="96"/>
      <c r="AQ429" s="145"/>
      <c r="AR429" s="146"/>
      <c r="AT429" s="389"/>
      <c r="AV429" s="197"/>
      <c r="AW429" s="197"/>
      <c r="BA429" s="318">
        <f t="shared" si="262"/>
        <v>0</v>
      </c>
    </row>
    <row r="430" spans="1:54" s="2" customFormat="1" ht="10.5" customHeight="1">
      <c r="A430" s="12">
        <v>1</v>
      </c>
      <c r="B430" s="15"/>
      <c r="C430" s="344"/>
      <c r="D430" s="350"/>
      <c r="E430" s="359"/>
      <c r="F430" s="393"/>
      <c r="G430" s="307">
        <f>ROUND(G427*$F427,2)</f>
        <v>55707.75</v>
      </c>
      <c r="H430" s="307">
        <f>ROUND(H427*$F427,2)</f>
        <v>55707.75</v>
      </c>
      <c r="I430" s="307">
        <f>ROUND(I427*$F427,2)</f>
        <v>0</v>
      </c>
      <c r="J430" s="307">
        <f>J427*$F427</f>
        <v>0</v>
      </c>
      <c r="K430" s="307">
        <f>ROUND(K427*$F427,2)</f>
        <v>55707.75</v>
      </c>
      <c r="L430" s="307">
        <f>ROUND(L427*$F427,2)</f>
        <v>55707.75</v>
      </c>
      <c r="M430" s="367"/>
      <c r="N430" s="49" t="s">
        <v>164</v>
      </c>
      <c r="O430" s="64"/>
      <c r="P430" s="64"/>
      <c r="Q430" s="64"/>
      <c r="R430" s="64"/>
      <c r="S430" s="64"/>
      <c r="T430" s="64"/>
      <c r="U430" s="64">
        <f>U427*$F427</f>
        <v>0</v>
      </c>
      <c r="V430" s="123"/>
      <c r="W430" s="94"/>
      <c r="X430" s="148"/>
      <c r="Y430" s="148"/>
      <c r="Z430" s="94"/>
      <c r="AA430" s="94"/>
      <c r="AB430" s="94"/>
      <c r="AC430" s="94"/>
      <c r="AD430" s="148"/>
      <c r="AE430" s="148"/>
      <c r="AF430" s="94"/>
      <c r="AG430" s="64">
        <f>ROUND(AG427*$F427,2)</f>
        <v>18522</v>
      </c>
      <c r="AH430" s="64">
        <f>ROUND(AH427*$F427,2)</f>
        <v>18522</v>
      </c>
      <c r="AI430" s="64">
        <f>ROUND(AI427*$F427,2)</f>
        <v>18663.75</v>
      </c>
      <c r="AJ430" s="64">
        <f>ROUND(AJ427*$F427,2)</f>
        <v>0</v>
      </c>
      <c r="AK430" s="64">
        <f>ROUND(AK427*$F427,2)</f>
        <v>0</v>
      </c>
      <c r="AL430" s="118"/>
      <c r="AM430" s="64"/>
      <c r="AN430" s="64"/>
      <c r="AO430" s="64"/>
      <c r="AQ430" s="69">
        <f>SUM(O430:AO430)</f>
        <v>55707.75</v>
      </c>
      <c r="AR430" s="69">
        <f>+K430-AQ430</f>
        <v>0</v>
      </c>
      <c r="AT430" s="390"/>
      <c r="AV430" s="196"/>
      <c r="AW430" s="196"/>
      <c r="BA430" s="318">
        <f t="shared" si="262"/>
        <v>0</v>
      </c>
    </row>
    <row r="431" spans="1:54" s="2" customFormat="1" ht="10.5" customHeight="1">
      <c r="A431" s="12"/>
      <c r="B431" s="15"/>
      <c r="C431" s="342">
        <v>92</v>
      </c>
      <c r="D431" s="348" t="s">
        <v>136</v>
      </c>
      <c r="E431" s="357" t="s">
        <v>235</v>
      </c>
      <c r="F431" s="391">
        <v>34.39</v>
      </c>
      <c r="G431" s="284">
        <v>58007</v>
      </c>
      <c r="H431" s="284">
        <v>58007</v>
      </c>
      <c r="I431" s="284"/>
      <c r="J431" s="284"/>
      <c r="K431" s="284">
        <f>H431+J431</f>
        <v>58007</v>
      </c>
      <c r="L431" s="284">
        <f>+H431-I431+J431</f>
        <v>58007</v>
      </c>
      <c r="M431" s="367"/>
      <c r="N431" s="47" t="s">
        <v>162</v>
      </c>
      <c r="O431" s="61"/>
      <c r="P431" s="61"/>
      <c r="Q431" s="61"/>
      <c r="R431" s="61"/>
      <c r="S431" s="61"/>
      <c r="T431" s="61"/>
      <c r="U431" s="61">
        <f>+I431</f>
        <v>0</v>
      </c>
      <c r="V431" s="117"/>
      <c r="W431" s="95"/>
      <c r="X431" s="147"/>
      <c r="Y431" s="147"/>
      <c r="Z431" s="61"/>
      <c r="AA431" s="61"/>
      <c r="AB431" s="61"/>
      <c r="AC431" s="95"/>
      <c r="AD431" s="147"/>
      <c r="AE431" s="61">
        <v>9500</v>
      </c>
      <c r="AF431" s="61">
        <v>9500</v>
      </c>
      <c r="AG431" s="61">
        <v>9500</v>
      </c>
      <c r="AH431" s="61">
        <v>9500</v>
      </c>
      <c r="AI431" s="61">
        <v>9500</v>
      </c>
      <c r="AJ431" s="61">
        <v>9500</v>
      </c>
      <c r="AK431" s="61">
        <v>1007</v>
      </c>
      <c r="AL431" s="119"/>
      <c r="AM431" s="61"/>
      <c r="AN431" s="61"/>
      <c r="AO431" s="61"/>
      <c r="AQ431" s="144">
        <f>SUM(O431:AO431)</f>
        <v>58007</v>
      </c>
      <c r="AR431" s="144">
        <f>+K431-AQ431</f>
        <v>0</v>
      </c>
      <c r="AT431" s="372">
        <f>+F431*K431</f>
        <v>1994860.73</v>
      </c>
      <c r="AV431" s="263">
        <f>SUM(W431:AO431)</f>
        <v>58007</v>
      </c>
      <c r="AW431" s="263">
        <f>+L431-AV431</f>
        <v>0</v>
      </c>
      <c r="BA431" s="318">
        <f t="shared" si="262"/>
        <v>0</v>
      </c>
    </row>
    <row r="432" spans="1:54" s="2" customFormat="1" ht="10.5" customHeight="1">
      <c r="A432" s="10" t="s">
        <v>12</v>
      </c>
      <c r="B432" s="15"/>
      <c r="C432" s="343"/>
      <c r="D432" s="349"/>
      <c r="E432" s="358"/>
      <c r="F432" s="392"/>
      <c r="G432" s="277"/>
      <c r="H432" s="277"/>
      <c r="I432" s="277"/>
      <c r="J432" s="277"/>
      <c r="K432" s="277"/>
      <c r="L432" s="277"/>
      <c r="M432" s="367"/>
      <c r="N432" s="47" t="s">
        <v>163</v>
      </c>
      <c r="O432" s="62"/>
      <c r="P432" s="62"/>
      <c r="Q432" s="62"/>
      <c r="R432" s="62"/>
      <c r="S432" s="62"/>
      <c r="T432" s="62"/>
      <c r="U432" s="62">
        <f>+U431/$K431</f>
        <v>0</v>
      </c>
      <c r="V432" s="117"/>
      <c r="W432" s="93"/>
      <c r="X432" s="96"/>
      <c r="Y432" s="96"/>
      <c r="Z432" s="62">
        <f>+Z431/$K431</f>
        <v>0</v>
      </c>
      <c r="AA432" s="62">
        <f>+AA431/$K431</f>
        <v>0</v>
      </c>
      <c r="AB432" s="62">
        <f>+AB431/$K431</f>
        <v>0</v>
      </c>
      <c r="AC432" s="93"/>
      <c r="AD432" s="96"/>
      <c r="AE432" s="62">
        <f t="shared" ref="AE432" si="266">ROUND(AE431/$K431,5)</f>
        <v>0.1638</v>
      </c>
      <c r="AF432" s="62">
        <f t="shared" ref="AF432:AK432" si="267">ROUND(AF431/$K431,5)</f>
        <v>0.1638</v>
      </c>
      <c r="AG432" s="62">
        <f t="shared" si="267"/>
        <v>0.1638</v>
      </c>
      <c r="AH432" s="62">
        <f t="shared" si="267"/>
        <v>0.1638</v>
      </c>
      <c r="AI432" s="62">
        <f t="shared" si="267"/>
        <v>0.1638</v>
      </c>
      <c r="AJ432" s="62">
        <f t="shared" si="267"/>
        <v>0.1638</v>
      </c>
      <c r="AK432" s="62">
        <f t="shared" si="267"/>
        <v>1.7399999999999999E-2</v>
      </c>
      <c r="AL432" s="116"/>
      <c r="AM432" s="62"/>
      <c r="AN432" s="62"/>
      <c r="AO432" s="62"/>
      <c r="AQ432" s="149">
        <f>SUM(O432:AO432)</f>
        <v>1.0002</v>
      </c>
      <c r="AR432" s="146"/>
      <c r="AT432" s="389"/>
      <c r="AV432" s="266"/>
      <c r="AW432" s="266"/>
      <c r="BA432" s="318">
        <f t="shared" si="262"/>
        <v>0</v>
      </c>
    </row>
    <row r="433" spans="1:60" s="2" customFormat="1" ht="10.5" hidden="1" customHeight="1">
      <c r="A433" s="11" t="s">
        <v>13</v>
      </c>
      <c r="B433" s="15"/>
      <c r="C433" s="343"/>
      <c r="D433" s="349"/>
      <c r="E433" s="358"/>
      <c r="F433" s="392"/>
      <c r="G433" s="277"/>
      <c r="H433" s="277"/>
      <c r="I433" s="277"/>
      <c r="J433" s="277"/>
      <c r="K433" s="277"/>
      <c r="L433" s="277"/>
      <c r="M433" s="367"/>
      <c r="N433" s="48"/>
      <c r="O433" s="93"/>
      <c r="P433" s="93"/>
      <c r="Q433" s="93"/>
      <c r="R433" s="93"/>
      <c r="S433" s="93"/>
      <c r="T433" s="93"/>
      <c r="U433" s="93"/>
      <c r="V433" s="116"/>
      <c r="W433" s="96"/>
      <c r="X433" s="93"/>
      <c r="Y433" s="93"/>
      <c r="Z433" s="70"/>
      <c r="AA433" s="70"/>
      <c r="AB433" s="70"/>
      <c r="AC433" s="96"/>
      <c r="AD433" s="93"/>
      <c r="AE433" s="63"/>
      <c r="AF433" s="63"/>
      <c r="AG433" s="63"/>
      <c r="AH433" s="63"/>
      <c r="AI433" s="63"/>
      <c r="AJ433" s="63"/>
      <c r="AK433" s="63"/>
      <c r="AL433" s="117"/>
      <c r="AM433" s="96"/>
      <c r="AN433" s="96"/>
      <c r="AO433" s="96"/>
      <c r="AQ433" s="145"/>
      <c r="AR433" s="146"/>
      <c r="AT433" s="389"/>
      <c r="AV433" s="197"/>
      <c r="AW433" s="197"/>
      <c r="BA433" s="318">
        <f t="shared" si="262"/>
        <v>0</v>
      </c>
    </row>
    <row r="434" spans="1:60" s="2" customFormat="1" ht="10.5" customHeight="1">
      <c r="A434" s="12">
        <v>1</v>
      </c>
      <c r="B434" s="15"/>
      <c r="C434" s="344"/>
      <c r="D434" s="350"/>
      <c r="E434" s="359"/>
      <c r="F434" s="393"/>
      <c r="G434" s="307">
        <f>ROUND(G431*$F431,2)</f>
        <v>1994860.73</v>
      </c>
      <c r="H434" s="307">
        <f>ROUND(H431*$F431,2)</f>
        <v>1994860.73</v>
      </c>
      <c r="I434" s="307">
        <f>ROUND(I431*$F431,2)</f>
        <v>0</v>
      </c>
      <c r="J434" s="307">
        <f>J431*$F431</f>
        <v>0</v>
      </c>
      <c r="K434" s="307">
        <f>ROUND(K431*$F431,2)</f>
        <v>1994860.73</v>
      </c>
      <c r="L434" s="307">
        <f>ROUND(L431*$F431,2)</f>
        <v>1994860.73</v>
      </c>
      <c r="M434" s="368"/>
      <c r="N434" s="49" t="s">
        <v>164</v>
      </c>
      <c r="O434" s="64"/>
      <c r="P434" s="64"/>
      <c r="Q434" s="64"/>
      <c r="R434" s="64"/>
      <c r="S434" s="64"/>
      <c r="T434" s="64"/>
      <c r="U434" s="64">
        <f>U431*$F431</f>
        <v>0</v>
      </c>
      <c r="V434" s="238"/>
      <c r="W434" s="94"/>
      <c r="X434" s="148"/>
      <c r="Y434" s="148"/>
      <c r="Z434" s="64">
        <f>Z431*$F431</f>
        <v>0</v>
      </c>
      <c r="AA434" s="64">
        <f>AA431*$F431</f>
        <v>0</v>
      </c>
      <c r="AB434" s="64">
        <f>AB431*$F431</f>
        <v>0</v>
      </c>
      <c r="AC434" s="94"/>
      <c r="AD434" s="148"/>
      <c r="AE434" s="64">
        <f t="shared" ref="AE434" si="268">ROUND(AE431*$F431,2)</f>
        <v>326705</v>
      </c>
      <c r="AF434" s="64">
        <f t="shared" ref="AF434:AK434" si="269">ROUND(AF431*$F431,2)</f>
        <v>326705</v>
      </c>
      <c r="AG434" s="64">
        <f t="shared" si="269"/>
        <v>326705</v>
      </c>
      <c r="AH434" s="64">
        <f t="shared" si="269"/>
        <v>326705</v>
      </c>
      <c r="AI434" s="64">
        <f t="shared" si="269"/>
        <v>326705</v>
      </c>
      <c r="AJ434" s="64">
        <f t="shared" si="269"/>
        <v>326705</v>
      </c>
      <c r="AK434" s="64">
        <f t="shared" si="269"/>
        <v>34630.730000000003</v>
      </c>
      <c r="AL434" s="118"/>
      <c r="AM434" s="64"/>
      <c r="AN434" s="64"/>
      <c r="AO434" s="64"/>
      <c r="AQ434" s="69">
        <f>SUM(O434:AO434)</f>
        <v>1994860.73</v>
      </c>
      <c r="AR434" s="69">
        <f>+K434-AQ434</f>
        <v>0</v>
      </c>
      <c r="AT434" s="390"/>
      <c r="AV434" s="197"/>
      <c r="AW434" s="197"/>
      <c r="BA434" s="318">
        <f t="shared" si="262"/>
        <v>0</v>
      </c>
    </row>
    <row r="435" spans="1:60" s="2" customFormat="1" ht="7.5" customHeight="1">
      <c r="A435" s="12"/>
      <c r="B435" s="15"/>
      <c r="C435" s="199"/>
      <c r="D435" s="217"/>
      <c r="E435" s="200"/>
      <c r="F435" s="218"/>
      <c r="G435" s="230"/>
      <c r="H435" s="230"/>
      <c r="I435" s="230"/>
      <c r="J435" s="230"/>
      <c r="K435" s="230"/>
      <c r="L435" s="231"/>
      <c r="M435" s="218"/>
      <c r="N435" s="202"/>
      <c r="O435" s="202"/>
      <c r="P435" s="202"/>
      <c r="Q435" s="202"/>
      <c r="R435" s="202"/>
      <c r="S435" s="202"/>
      <c r="T435" s="202"/>
      <c r="U435" s="203"/>
      <c r="V435" s="229"/>
      <c r="W435" s="140"/>
      <c r="X435" s="229"/>
      <c r="Y435" s="229"/>
      <c r="Z435" s="140"/>
      <c r="AA435" s="229"/>
      <c r="AB435" s="229"/>
      <c r="AC435" s="140"/>
      <c r="AD435" s="229"/>
      <c r="AE435" s="229"/>
      <c r="AF435" s="140"/>
      <c r="AG435" s="229"/>
      <c r="AH435" s="229"/>
      <c r="AI435" s="203"/>
      <c r="AJ435" s="197"/>
      <c r="AK435" s="203"/>
      <c r="AL435" s="140"/>
      <c r="AM435" s="203"/>
      <c r="AN435" s="203"/>
      <c r="AO435" s="301"/>
      <c r="AP435" s="204"/>
      <c r="AQ435" s="197"/>
      <c r="AR435" s="197"/>
      <c r="AS435" s="204"/>
      <c r="AT435" s="198"/>
      <c r="AU435" s="204"/>
      <c r="AV435" s="243"/>
      <c r="AW435" s="243"/>
      <c r="AX435" s="204"/>
      <c r="AY435" s="204"/>
      <c r="AZ435" s="204"/>
      <c r="BA435" s="318">
        <f t="shared" si="262"/>
        <v>0</v>
      </c>
      <c r="BB435" s="204"/>
      <c r="BC435" s="204"/>
      <c r="BD435" s="204"/>
      <c r="BE435" s="204"/>
      <c r="BF435" s="204"/>
      <c r="BG435" s="204"/>
      <c r="BH435" s="204"/>
    </row>
    <row r="436" spans="1:60" s="2" customFormat="1" ht="10.5" customHeight="1">
      <c r="A436" s="12"/>
      <c r="B436" s="15"/>
      <c r="C436" s="381" t="s">
        <v>224</v>
      </c>
      <c r="D436" s="382"/>
      <c r="E436" s="382"/>
      <c r="F436" s="382"/>
      <c r="G436" s="382"/>
      <c r="H436" s="382"/>
      <c r="I436" s="383"/>
      <c r="J436" s="212" t="s">
        <v>218</v>
      </c>
      <c r="K436" s="267">
        <f>SUM(U436:AO436)</f>
        <v>1.0001</v>
      </c>
      <c r="L436" s="265"/>
      <c r="M436" s="241"/>
      <c r="N436" s="215" t="s">
        <v>218</v>
      </c>
      <c r="O436" s="215"/>
      <c r="P436" s="215"/>
      <c r="Q436" s="215"/>
      <c r="R436" s="215"/>
      <c r="S436" s="215"/>
      <c r="T436" s="215"/>
      <c r="U436" s="248">
        <f>+U437/$K$437</f>
        <v>0</v>
      </c>
      <c r="V436" s="229"/>
      <c r="W436" s="248">
        <f t="shared" ref="W436:AK436" si="270">+W437/$K$437</f>
        <v>0</v>
      </c>
      <c r="X436" s="248">
        <f t="shared" si="270"/>
        <v>0</v>
      </c>
      <c r="Y436" s="248">
        <f t="shared" si="270"/>
        <v>0</v>
      </c>
      <c r="Z436" s="248">
        <f t="shared" si="270"/>
        <v>0</v>
      </c>
      <c r="AA436" s="248">
        <f t="shared" si="270"/>
        <v>0</v>
      </c>
      <c r="AB436" s="248">
        <f t="shared" si="270"/>
        <v>0</v>
      </c>
      <c r="AC436" s="248">
        <f t="shared" si="270"/>
        <v>0</v>
      </c>
      <c r="AD436" s="248">
        <f t="shared" si="270"/>
        <v>0</v>
      </c>
      <c r="AE436" s="248">
        <f t="shared" si="270"/>
        <v>0.15509999999999999</v>
      </c>
      <c r="AF436" s="248">
        <f t="shared" si="270"/>
        <v>0.1595</v>
      </c>
      <c r="AG436" s="248">
        <f t="shared" si="270"/>
        <v>0.16830000000000001</v>
      </c>
      <c r="AH436" s="248">
        <f t="shared" si="270"/>
        <v>0.16830000000000001</v>
      </c>
      <c r="AI436" s="248">
        <f t="shared" si="270"/>
        <v>0.16830000000000001</v>
      </c>
      <c r="AJ436" s="248">
        <f t="shared" si="270"/>
        <v>0.1595</v>
      </c>
      <c r="AK436" s="248">
        <f t="shared" si="270"/>
        <v>2.1100000000000001E-2</v>
      </c>
      <c r="AL436" s="140"/>
      <c r="AM436" s="203"/>
      <c r="AN436" s="203"/>
      <c r="AO436" s="302"/>
      <c r="AP436" s="243"/>
      <c r="AQ436" s="197"/>
      <c r="AR436" s="197"/>
      <c r="AS436" s="243"/>
      <c r="AT436" s="198"/>
      <c r="AU436" s="243"/>
      <c r="AV436" s="243"/>
      <c r="AW436" s="243"/>
      <c r="AX436" s="243"/>
      <c r="AY436" s="243"/>
      <c r="AZ436" s="204"/>
      <c r="BA436" s="318">
        <f t="shared" si="262"/>
        <v>0</v>
      </c>
      <c r="BB436" s="204"/>
      <c r="BC436" s="204"/>
      <c r="BD436" s="204"/>
      <c r="BE436" s="204"/>
      <c r="BF436" s="204"/>
      <c r="BG436" s="204"/>
      <c r="BH436" s="204"/>
    </row>
    <row r="437" spans="1:60" s="2" customFormat="1" ht="10.5" customHeight="1">
      <c r="A437" s="12"/>
      <c r="B437" s="15"/>
      <c r="C437" s="384"/>
      <c r="D437" s="385"/>
      <c r="E437" s="385"/>
      <c r="F437" s="385"/>
      <c r="G437" s="385"/>
      <c r="H437" s="385"/>
      <c r="I437" s="386"/>
      <c r="J437" s="213" t="s">
        <v>219</v>
      </c>
      <c r="K437" s="268">
        <f>+K426+K430+K434</f>
        <v>2106379.12</v>
      </c>
      <c r="L437" s="265"/>
      <c r="M437" s="241"/>
      <c r="N437" s="213" t="s">
        <v>219</v>
      </c>
      <c r="O437" s="315"/>
      <c r="P437" s="315"/>
      <c r="Q437" s="315"/>
      <c r="R437" s="315"/>
      <c r="S437" s="315"/>
      <c r="T437" s="315"/>
      <c r="U437" s="268">
        <f>+U426+U430+U434</f>
        <v>0</v>
      </c>
      <c r="V437" s="229"/>
      <c r="W437" s="269">
        <f t="shared" ref="W437:AK437" si="271">+W426+W430+W434</f>
        <v>0</v>
      </c>
      <c r="X437" s="269">
        <f t="shared" si="271"/>
        <v>0</v>
      </c>
      <c r="Y437" s="269">
        <f t="shared" si="271"/>
        <v>0</v>
      </c>
      <c r="Z437" s="269">
        <f t="shared" si="271"/>
        <v>0</v>
      </c>
      <c r="AA437" s="269">
        <f t="shared" si="271"/>
        <v>0</v>
      </c>
      <c r="AB437" s="269">
        <f t="shared" si="271"/>
        <v>0</v>
      </c>
      <c r="AC437" s="269">
        <f t="shared" si="271"/>
        <v>0</v>
      </c>
      <c r="AD437" s="269">
        <f t="shared" si="271"/>
        <v>0</v>
      </c>
      <c r="AE437" s="269">
        <f t="shared" si="271"/>
        <v>326705</v>
      </c>
      <c r="AF437" s="269">
        <f t="shared" si="271"/>
        <v>335913.76</v>
      </c>
      <c r="AG437" s="269">
        <f t="shared" si="271"/>
        <v>354435.76</v>
      </c>
      <c r="AH437" s="269">
        <f t="shared" si="271"/>
        <v>354435.76</v>
      </c>
      <c r="AI437" s="269">
        <f t="shared" si="271"/>
        <v>354577.51</v>
      </c>
      <c r="AJ437" s="269">
        <f t="shared" si="271"/>
        <v>335913.76</v>
      </c>
      <c r="AK437" s="269">
        <f t="shared" si="271"/>
        <v>44397.57</v>
      </c>
      <c r="AL437" s="140"/>
      <c r="AM437" s="203"/>
      <c r="AN437" s="203"/>
      <c r="AO437" s="302"/>
      <c r="AP437" s="243"/>
      <c r="AQ437" s="197"/>
      <c r="AR437" s="197"/>
      <c r="AS437" s="243"/>
      <c r="AT437" s="198"/>
      <c r="AU437" s="243"/>
      <c r="AV437" s="243"/>
      <c r="AW437" s="243"/>
      <c r="AX437" s="243"/>
      <c r="AY437" s="243"/>
      <c r="AZ437" s="204"/>
      <c r="BA437" s="318">
        <f t="shared" si="262"/>
        <v>0</v>
      </c>
      <c r="BB437" s="204"/>
      <c r="BC437" s="204"/>
      <c r="BD437" s="204"/>
      <c r="BE437" s="204"/>
      <c r="BF437" s="204"/>
      <c r="BG437" s="204"/>
      <c r="BH437" s="204"/>
    </row>
    <row r="438" spans="1:60" s="2" customFormat="1" ht="7.5" customHeight="1">
      <c r="A438" s="12"/>
      <c r="B438" s="15"/>
      <c r="C438" s="207"/>
      <c r="D438" s="219"/>
      <c r="E438" s="190"/>
      <c r="F438" s="216"/>
      <c r="G438" s="226"/>
      <c r="H438" s="226"/>
      <c r="I438" s="226"/>
      <c r="J438" s="226"/>
      <c r="K438" s="226"/>
      <c r="L438" s="227"/>
      <c r="M438" s="216"/>
      <c r="N438" s="192"/>
      <c r="O438" s="192"/>
      <c r="P438" s="192"/>
      <c r="Q438" s="192"/>
      <c r="R438" s="192"/>
      <c r="S438" s="192"/>
      <c r="T438" s="192"/>
      <c r="U438" s="193"/>
      <c r="V438" s="229"/>
      <c r="W438" s="195"/>
      <c r="X438" s="236"/>
      <c r="Y438" s="236"/>
      <c r="Z438" s="195"/>
      <c r="AA438" s="236"/>
      <c r="AB438" s="236"/>
      <c r="AC438" s="195"/>
      <c r="AD438" s="236"/>
      <c r="AE438" s="236"/>
      <c r="AF438" s="195"/>
      <c r="AG438" s="236"/>
      <c r="AH438" s="236"/>
      <c r="AI438" s="193"/>
      <c r="AJ438" s="196"/>
      <c r="AK438" s="193"/>
      <c r="AL438" s="140"/>
      <c r="AM438" s="193"/>
      <c r="AN438" s="193"/>
      <c r="AO438" s="303"/>
      <c r="AP438" s="204"/>
      <c r="AQ438" s="197"/>
      <c r="AR438" s="197"/>
      <c r="AS438" s="204"/>
      <c r="AT438" s="198"/>
      <c r="AU438" s="204"/>
      <c r="AV438" s="243"/>
      <c r="AW438" s="243"/>
      <c r="AX438" s="204"/>
      <c r="AY438" s="204"/>
      <c r="AZ438" s="204"/>
      <c r="BA438" s="318">
        <f t="shared" si="262"/>
        <v>0</v>
      </c>
      <c r="BB438" s="204"/>
      <c r="BC438" s="204"/>
      <c r="BD438" s="204"/>
      <c r="BE438" s="204"/>
      <c r="BF438" s="204"/>
      <c r="BG438" s="204"/>
      <c r="BH438" s="204"/>
    </row>
    <row r="439" spans="1:60" s="25" customFormat="1" ht="15" customHeight="1">
      <c r="A439" s="15"/>
      <c r="B439" s="15"/>
      <c r="C439" s="28">
        <v>7</v>
      </c>
      <c r="D439" s="37" t="s">
        <v>23</v>
      </c>
      <c r="E439" s="188"/>
      <c r="F439" s="39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71"/>
      <c r="AJ439" s="71"/>
      <c r="AK439" s="71"/>
      <c r="AL439" s="71"/>
      <c r="AM439" s="71"/>
      <c r="AN439" s="71"/>
      <c r="AO439" s="296"/>
      <c r="AR439" s="82"/>
      <c r="AT439" s="154">
        <f>SUM(AT423:AT434)</f>
        <v>2106379.12</v>
      </c>
      <c r="AU439" s="153">
        <v>2106379.12</v>
      </c>
      <c r="AV439" s="100">
        <f>+AU439-AT439</f>
        <v>0</v>
      </c>
      <c r="AW439" s="82" t="s">
        <v>192</v>
      </c>
      <c r="BA439" s="318">
        <f t="shared" si="262"/>
        <v>0</v>
      </c>
    </row>
    <row r="440" spans="1:60" s="2" customFormat="1" ht="10.5" customHeight="1">
      <c r="A440" s="12"/>
      <c r="B440" s="15"/>
      <c r="C440" s="342">
        <v>93</v>
      </c>
      <c r="D440" s="354" t="s">
        <v>137</v>
      </c>
      <c r="E440" s="345" t="s">
        <v>244</v>
      </c>
      <c r="F440" s="369">
        <v>69</v>
      </c>
      <c r="G440" s="284">
        <v>28350</v>
      </c>
      <c r="H440" s="284">
        <v>28350</v>
      </c>
      <c r="I440" s="284">
        <v>6760.35</v>
      </c>
      <c r="J440" s="284"/>
      <c r="K440" s="284">
        <f>H440+J440</f>
        <v>28350</v>
      </c>
      <c r="L440" s="284">
        <f>+H440-I440+J440</f>
        <v>21589.65</v>
      </c>
      <c r="M440" s="58"/>
      <c r="N440" s="85" t="s">
        <v>162</v>
      </c>
      <c r="O440" s="85"/>
      <c r="P440" s="85"/>
      <c r="Q440" s="85"/>
      <c r="R440" s="85"/>
      <c r="S440" s="85"/>
      <c r="T440" s="85"/>
      <c r="U440" s="61">
        <f>+I440</f>
        <v>6760.35</v>
      </c>
      <c r="V440" s="118"/>
      <c r="W440" s="61">
        <v>400</v>
      </c>
      <c r="X440" s="61">
        <v>500</v>
      </c>
      <c r="Y440" s="61">
        <v>500</v>
      </c>
      <c r="Z440" s="61">
        <v>500</v>
      </c>
      <c r="AA440" s="61">
        <v>500</v>
      </c>
      <c r="AB440" s="61">
        <v>500</v>
      </c>
      <c r="AC440" s="61">
        <v>500</v>
      </c>
      <c r="AD440" s="61">
        <v>500</v>
      </c>
      <c r="AE440" s="61">
        <v>500</v>
      </c>
      <c r="AF440" s="61">
        <v>2890</v>
      </c>
      <c r="AG440" s="61">
        <v>2890</v>
      </c>
      <c r="AH440" s="61">
        <v>2890</v>
      </c>
      <c r="AI440" s="61">
        <v>2890</v>
      </c>
      <c r="AJ440" s="61">
        <v>2890</v>
      </c>
      <c r="AK440" s="61">
        <v>2739.65</v>
      </c>
      <c r="AL440" s="119"/>
      <c r="AM440" s="61"/>
      <c r="AN440" s="61"/>
      <c r="AO440" s="61"/>
      <c r="AQ440" s="144">
        <f>SUM(O440:AO440)</f>
        <v>28350</v>
      </c>
      <c r="AR440" s="144">
        <f>+K440-AQ440</f>
        <v>0</v>
      </c>
      <c r="AT440" s="372">
        <f>+F440*K440</f>
        <v>1956150</v>
      </c>
      <c r="AV440" s="263">
        <f>SUM(W440:AO440)</f>
        <v>21589.65</v>
      </c>
      <c r="AW440" s="263">
        <f>+L440-AV440</f>
        <v>0</v>
      </c>
      <c r="BA440" s="318">
        <f t="shared" si="262"/>
        <v>6760.35</v>
      </c>
    </row>
    <row r="441" spans="1:60" s="2" customFormat="1" ht="10.5" customHeight="1">
      <c r="A441" s="10" t="s">
        <v>12</v>
      </c>
      <c r="B441" s="15"/>
      <c r="C441" s="343"/>
      <c r="D441" s="355"/>
      <c r="E441" s="346"/>
      <c r="F441" s="370"/>
      <c r="G441" s="277"/>
      <c r="H441" s="277"/>
      <c r="I441" s="277"/>
      <c r="J441" s="277"/>
      <c r="K441" s="277"/>
      <c r="L441" s="277"/>
      <c r="M441" s="59"/>
      <c r="N441" s="87" t="s">
        <v>163</v>
      </c>
      <c r="O441" s="87"/>
      <c r="P441" s="87"/>
      <c r="Q441" s="87"/>
      <c r="R441" s="87"/>
      <c r="S441" s="87"/>
      <c r="T441" s="87"/>
      <c r="U441" s="62">
        <f>ROUND(U440/K440,5)</f>
        <v>0.23849999999999999</v>
      </c>
      <c r="V441" s="116"/>
      <c r="W441" s="62">
        <f t="shared" ref="W441:AB441" si="272">ROUND(W440/$K440,5)</f>
        <v>1.41E-2</v>
      </c>
      <c r="X441" s="62">
        <f t="shared" si="272"/>
        <v>1.7600000000000001E-2</v>
      </c>
      <c r="Y441" s="62">
        <f t="shared" si="272"/>
        <v>1.7600000000000001E-2</v>
      </c>
      <c r="Z441" s="62">
        <f t="shared" si="272"/>
        <v>1.7600000000000001E-2</v>
      </c>
      <c r="AA441" s="62">
        <f t="shared" si="272"/>
        <v>1.7600000000000001E-2</v>
      </c>
      <c r="AB441" s="62">
        <f t="shared" si="272"/>
        <v>1.7600000000000001E-2</v>
      </c>
      <c r="AC441" s="62">
        <f t="shared" ref="AC441:AK441" si="273">ROUND(AC440/$K440,5)</f>
        <v>1.7600000000000001E-2</v>
      </c>
      <c r="AD441" s="62">
        <f t="shared" si="273"/>
        <v>1.7600000000000001E-2</v>
      </c>
      <c r="AE441" s="62">
        <f t="shared" si="273"/>
        <v>1.7600000000000001E-2</v>
      </c>
      <c r="AF441" s="62">
        <f t="shared" si="273"/>
        <v>0.1019</v>
      </c>
      <c r="AG441" s="62">
        <f t="shared" si="273"/>
        <v>0.1019</v>
      </c>
      <c r="AH441" s="62">
        <f t="shared" si="273"/>
        <v>0.1019</v>
      </c>
      <c r="AI441" s="62">
        <f t="shared" si="273"/>
        <v>0.1019</v>
      </c>
      <c r="AJ441" s="62">
        <f t="shared" si="273"/>
        <v>0.1019</v>
      </c>
      <c r="AK441" s="62">
        <f t="shared" si="273"/>
        <v>9.6600000000000005E-2</v>
      </c>
      <c r="AL441" s="116"/>
      <c r="AM441" s="62"/>
      <c r="AN441" s="62"/>
      <c r="AO441" s="62"/>
      <c r="AQ441" s="149">
        <f>SUM(O441:AO441)</f>
        <v>0.99950000000000006</v>
      </c>
      <c r="AR441" s="146"/>
      <c r="AT441" s="389"/>
      <c r="AV441" s="266"/>
      <c r="AW441" s="266"/>
      <c r="BA441" s="318"/>
    </row>
    <row r="442" spans="1:60" s="2" customFormat="1" ht="10.5" hidden="1" customHeight="1">
      <c r="A442" s="11" t="s">
        <v>13</v>
      </c>
      <c r="B442" s="15"/>
      <c r="C442" s="343"/>
      <c r="D442" s="355"/>
      <c r="E442" s="346"/>
      <c r="F442" s="370"/>
      <c r="G442" s="277"/>
      <c r="H442" s="277"/>
      <c r="I442" s="277"/>
      <c r="J442" s="277"/>
      <c r="K442" s="277"/>
      <c r="L442" s="277"/>
      <c r="M442" s="59"/>
      <c r="N442" s="89"/>
      <c r="O442" s="89"/>
      <c r="P442" s="89"/>
      <c r="Q442" s="89"/>
      <c r="R442" s="89"/>
      <c r="S442" s="89"/>
      <c r="T442" s="89"/>
      <c r="U442" s="63"/>
      <c r="V442" s="117"/>
      <c r="W442" s="63"/>
      <c r="X442" s="63"/>
      <c r="Y442" s="63"/>
      <c r="Z442" s="63"/>
      <c r="AA442" s="63"/>
      <c r="AB442" s="63"/>
      <c r="AC442" s="63"/>
      <c r="AD442" s="63"/>
      <c r="AE442" s="63"/>
      <c r="AF442" s="63"/>
      <c r="AG442" s="63"/>
      <c r="AH442" s="63"/>
      <c r="AI442" s="63"/>
      <c r="AJ442" s="63"/>
      <c r="AK442" s="63"/>
      <c r="AL442" s="117"/>
      <c r="AM442" s="96"/>
      <c r="AN442" s="96"/>
      <c r="AO442" s="96"/>
      <c r="AQ442" s="145"/>
      <c r="AR442" s="146"/>
      <c r="AT442" s="389"/>
      <c r="AV442" s="197"/>
      <c r="AW442" s="197"/>
      <c r="BA442" s="318"/>
    </row>
    <row r="443" spans="1:60" s="2" customFormat="1" ht="10.5" customHeight="1">
      <c r="A443" s="12">
        <v>1</v>
      </c>
      <c r="B443" s="15"/>
      <c r="C443" s="344"/>
      <c r="D443" s="356"/>
      <c r="E443" s="347"/>
      <c r="F443" s="371"/>
      <c r="G443" s="307">
        <f>ROUND(G440*$F440,2)</f>
        <v>1956150</v>
      </c>
      <c r="H443" s="307">
        <f>ROUND(H440*$F440,2)</f>
        <v>1956150</v>
      </c>
      <c r="I443" s="307">
        <f>ROUND(I440*$F440,2)</f>
        <v>466464.15</v>
      </c>
      <c r="J443" s="307">
        <f>J440*$F440</f>
        <v>0</v>
      </c>
      <c r="K443" s="307">
        <f>ROUND(K440*$F440,2)</f>
        <v>1956150</v>
      </c>
      <c r="L443" s="307">
        <f>ROUND(L440*$F440,2)</f>
        <v>1489685.85</v>
      </c>
      <c r="M443" s="59"/>
      <c r="N443" s="90" t="s">
        <v>164</v>
      </c>
      <c r="O443" s="90"/>
      <c r="P443" s="90"/>
      <c r="Q443" s="90"/>
      <c r="R443" s="90"/>
      <c r="S443" s="90"/>
      <c r="T443" s="90"/>
      <c r="U443" s="64">
        <f>ROUND(U440*$F440,2)</f>
        <v>466464.15</v>
      </c>
      <c r="V443" s="118"/>
      <c r="W443" s="64">
        <f t="shared" ref="W443:AB443" si="274">ROUND(W440*$F440,2)</f>
        <v>27600</v>
      </c>
      <c r="X443" s="64">
        <f t="shared" si="274"/>
        <v>34500</v>
      </c>
      <c r="Y443" s="64">
        <f t="shared" si="274"/>
        <v>34500</v>
      </c>
      <c r="Z443" s="64">
        <f t="shared" si="274"/>
        <v>34500</v>
      </c>
      <c r="AA443" s="64">
        <f t="shared" si="274"/>
        <v>34500</v>
      </c>
      <c r="AB443" s="64">
        <f t="shared" si="274"/>
        <v>34500</v>
      </c>
      <c r="AC443" s="64">
        <f t="shared" ref="AC443:AK443" si="275">ROUND(AC440*$F440,2)</f>
        <v>34500</v>
      </c>
      <c r="AD443" s="64">
        <f t="shared" si="275"/>
        <v>34500</v>
      </c>
      <c r="AE443" s="64">
        <f t="shared" si="275"/>
        <v>34500</v>
      </c>
      <c r="AF443" s="64">
        <f t="shared" si="275"/>
        <v>199410</v>
      </c>
      <c r="AG443" s="64">
        <f t="shared" si="275"/>
        <v>199410</v>
      </c>
      <c r="AH443" s="64">
        <f t="shared" si="275"/>
        <v>199410</v>
      </c>
      <c r="AI443" s="64">
        <f t="shared" si="275"/>
        <v>199410</v>
      </c>
      <c r="AJ443" s="64">
        <f t="shared" si="275"/>
        <v>199410</v>
      </c>
      <c r="AK443" s="64">
        <f t="shared" si="275"/>
        <v>189035.85</v>
      </c>
      <c r="AL443" s="118"/>
      <c r="AM443" s="64"/>
      <c r="AN443" s="64"/>
      <c r="AO443" s="64"/>
      <c r="AQ443" s="69">
        <f>SUM(O443:AO443)</f>
        <v>1956150</v>
      </c>
      <c r="AR443" s="69">
        <f>+K443-AQ443</f>
        <v>0</v>
      </c>
      <c r="AT443" s="390"/>
      <c r="AV443" s="196"/>
      <c r="AW443" s="196"/>
      <c r="BA443" s="318"/>
    </row>
    <row r="444" spans="1:60" s="2" customFormat="1" ht="10.5" customHeight="1">
      <c r="A444" s="12"/>
      <c r="B444" s="15"/>
      <c r="C444" s="342">
        <v>94</v>
      </c>
      <c r="D444" s="339" t="s">
        <v>138</v>
      </c>
      <c r="E444" s="357" t="s">
        <v>245</v>
      </c>
      <c r="F444" s="369">
        <v>6558.67</v>
      </c>
      <c r="G444" s="284">
        <v>189</v>
      </c>
      <c r="H444" s="284">
        <v>189</v>
      </c>
      <c r="I444" s="284">
        <v>82.58</v>
      </c>
      <c r="J444" s="311"/>
      <c r="K444" s="284">
        <f>H444+J444</f>
        <v>189</v>
      </c>
      <c r="L444" s="284">
        <f>+H444-I444+J444</f>
        <v>106.42</v>
      </c>
      <c r="M444" s="59"/>
      <c r="N444" s="85" t="s">
        <v>162</v>
      </c>
      <c r="O444" s="85"/>
      <c r="P444" s="85"/>
      <c r="Q444" s="85"/>
      <c r="R444" s="85"/>
      <c r="S444" s="85"/>
      <c r="T444" s="85"/>
      <c r="U444" s="61">
        <f>+I444</f>
        <v>82.58</v>
      </c>
      <c r="V444" s="118"/>
      <c r="W444" s="61">
        <v>6</v>
      </c>
      <c r="X444" s="61">
        <v>7</v>
      </c>
      <c r="Y444" s="61">
        <v>7</v>
      </c>
      <c r="Z444" s="61">
        <v>7</v>
      </c>
      <c r="AA444" s="61">
        <v>7</v>
      </c>
      <c r="AB444" s="61">
        <v>7</v>
      </c>
      <c r="AC444" s="61">
        <v>7</v>
      </c>
      <c r="AD444" s="61">
        <v>7</v>
      </c>
      <c r="AE444" s="61">
        <v>7</v>
      </c>
      <c r="AF444" s="61">
        <v>7</v>
      </c>
      <c r="AG444" s="61">
        <v>7</v>
      </c>
      <c r="AH444" s="61">
        <v>7</v>
      </c>
      <c r="AI444" s="61">
        <v>7</v>
      </c>
      <c r="AJ444" s="61">
        <v>7</v>
      </c>
      <c r="AK444" s="61">
        <v>9.42</v>
      </c>
      <c r="AL444" s="119"/>
      <c r="AM444" s="61"/>
      <c r="AN444" s="61"/>
      <c r="AO444" s="61"/>
      <c r="AQ444" s="144">
        <f>SUM(O444:AO444)</f>
        <v>189</v>
      </c>
      <c r="AR444" s="144">
        <f>+K444-AQ444</f>
        <v>0</v>
      </c>
      <c r="AT444" s="372">
        <f>+F444*K444</f>
        <v>1239588.6299999999</v>
      </c>
      <c r="AV444" s="263">
        <f>SUM(W444:AO444)</f>
        <v>106.42</v>
      </c>
      <c r="AW444" s="263">
        <f>+L444-AV444</f>
        <v>0</v>
      </c>
      <c r="BA444" s="318">
        <f t="shared" si="262"/>
        <v>82.58</v>
      </c>
    </row>
    <row r="445" spans="1:60" s="2" customFormat="1" ht="10.5" customHeight="1">
      <c r="A445" s="10" t="s">
        <v>12</v>
      </c>
      <c r="B445" s="15"/>
      <c r="C445" s="343"/>
      <c r="D445" s="340"/>
      <c r="E445" s="358"/>
      <c r="F445" s="370"/>
      <c r="G445" s="277"/>
      <c r="H445" s="277"/>
      <c r="I445" s="277"/>
      <c r="J445" s="277"/>
      <c r="K445" s="277"/>
      <c r="L445" s="277"/>
      <c r="M445" s="59"/>
      <c r="N445" s="87" t="s">
        <v>163</v>
      </c>
      <c r="O445" s="87"/>
      <c r="P445" s="87"/>
      <c r="Q445" s="87"/>
      <c r="R445" s="87"/>
      <c r="S445" s="87"/>
      <c r="T445" s="87"/>
      <c r="U445" s="62">
        <f>ROUND(U444/K444,5)</f>
        <v>0.43690000000000001</v>
      </c>
      <c r="V445" s="116"/>
      <c r="W445" s="62">
        <f>ROUND(W444/$K444,5)</f>
        <v>3.1800000000000002E-2</v>
      </c>
      <c r="X445" s="62">
        <f>ROUND(X444/$K444,5)</f>
        <v>3.6999999999999998E-2</v>
      </c>
      <c r="Y445" s="62">
        <f t="shared" ref="Y445:AK445" si="276">ROUND(Y444/$K444,5)</f>
        <v>3.6999999999999998E-2</v>
      </c>
      <c r="Z445" s="62">
        <f t="shared" si="276"/>
        <v>3.6999999999999998E-2</v>
      </c>
      <c r="AA445" s="62">
        <f t="shared" si="276"/>
        <v>3.6999999999999998E-2</v>
      </c>
      <c r="AB445" s="62">
        <f t="shared" si="276"/>
        <v>3.6999999999999998E-2</v>
      </c>
      <c r="AC445" s="62">
        <f t="shared" si="276"/>
        <v>3.6999999999999998E-2</v>
      </c>
      <c r="AD445" s="62">
        <f t="shared" si="276"/>
        <v>3.6999999999999998E-2</v>
      </c>
      <c r="AE445" s="62">
        <f t="shared" si="276"/>
        <v>3.6999999999999998E-2</v>
      </c>
      <c r="AF445" s="62">
        <f t="shared" si="276"/>
        <v>3.6999999999999998E-2</v>
      </c>
      <c r="AG445" s="62">
        <f t="shared" si="276"/>
        <v>3.6999999999999998E-2</v>
      </c>
      <c r="AH445" s="62">
        <f t="shared" si="276"/>
        <v>3.6999999999999998E-2</v>
      </c>
      <c r="AI445" s="62">
        <f t="shared" si="276"/>
        <v>3.6999999999999998E-2</v>
      </c>
      <c r="AJ445" s="62">
        <f t="shared" si="276"/>
        <v>3.6999999999999998E-2</v>
      </c>
      <c r="AK445" s="62">
        <f t="shared" si="276"/>
        <v>4.9799999999999997E-2</v>
      </c>
      <c r="AL445" s="116"/>
      <c r="AM445" s="62"/>
      <c r="AN445" s="62"/>
      <c r="AO445" s="62"/>
      <c r="AQ445" s="149">
        <f>SUM(O445:AO445)</f>
        <v>0.99950000000000006</v>
      </c>
      <c r="AR445" s="146"/>
      <c r="AT445" s="389"/>
      <c r="AV445" s="266"/>
      <c r="AW445" s="266"/>
      <c r="BA445" s="318"/>
    </row>
    <row r="446" spans="1:60" s="2" customFormat="1" ht="10.5" hidden="1" customHeight="1">
      <c r="A446" s="11" t="s">
        <v>13</v>
      </c>
      <c r="B446" s="15"/>
      <c r="C446" s="343"/>
      <c r="D446" s="340"/>
      <c r="E446" s="358"/>
      <c r="F446" s="370"/>
      <c r="G446" s="277"/>
      <c r="H446" s="277"/>
      <c r="I446" s="277"/>
      <c r="J446" s="277"/>
      <c r="K446" s="277"/>
      <c r="L446" s="277"/>
      <c r="M446" s="59"/>
      <c r="N446" s="89"/>
      <c r="O446" s="89"/>
      <c r="P446" s="89"/>
      <c r="Q446" s="89"/>
      <c r="R446" s="89"/>
      <c r="S446" s="89"/>
      <c r="T446" s="89"/>
      <c r="U446" s="63"/>
      <c r="V446" s="117"/>
      <c r="W446" s="63"/>
      <c r="X446" s="63"/>
      <c r="Y446" s="63"/>
      <c r="Z446" s="63"/>
      <c r="AA446" s="63"/>
      <c r="AB446" s="63"/>
      <c r="AC446" s="63"/>
      <c r="AD446" s="63"/>
      <c r="AE446" s="63"/>
      <c r="AF446" s="63"/>
      <c r="AG446" s="63"/>
      <c r="AH446" s="63"/>
      <c r="AI446" s="63"/>
      <c r="AJ446" s="63"/>
      <c r="AK446" s="63"/>
      <c r="AL446" s="117"/>
      <c r="AM446" s="96"/>
      <c r="AN446" s="96"/>
      <c r="AO446" s="96"/>
      <c r="AQ446" s="145"/>
      <c r="AR446" s="146"/>
      <c r="AT446" s="389"/>
      <c r="AV446" s="197"/>
      <c r="AW446" s="197"/>
      <c r="BA446" s="318"/>
    </row>
    <row r="447" spans="1:60" s="2" customFormat="1" ht="10.5" customHeight="1">
      <c r="A447" s="12">
        <v>1</v>
      </c>
      <c r="B447" s="15"/>
      <c r="C447" s="344"/>
      <c r="D447" s="341"/>
      <c r="E447" s="359"/>
      <c r="F447" s="371"/>
      <c r="G447" s="307">
        <f>ROUND(G444*$F444,2)</f>
        <v>1239588.6299999999</v>
      </c>
      <c r="H447" s="307">
        <f>ROUND(H444*$F444,2)</f>
        <v>1239588.6299999999</v>
      </c>
      <c r="I447" s="307">
        <f>ROUND(I444*$F444,2)</f>
        <v>541614.97</v>
      </c>
      <c r="J447" s="307">
        <f>J444*$F444</f>
        <v>0</v>
      </c>
      <c r="K447" s="307">
        <f>ROUND(K444*$F444,2)</f>
        <v>1239588.6299999999</v>
      </c>
      <c r="L447" s="307">
        <f>ROUND(L444*$F444,2)</f>
        <v>697973.66</v>
      </c>
      <c r="M447" s="59"/>
      <c r="N447" s="90" t="s">
        <v>164</v>
      </c>
      <c r="O447" s="90"/>
      <c r="P447" s="90"/>
      <c r="Q447" s="90"/>
      <c r="R447" s="90"/>
      <c r="S447" s="90"/>
      <c r="T447" s="90"/>
      <c r="U447" s="64">
        <f>ROUND(U444*$F444,2)</f>
        <v>541614.97</v>
      </c>
      <c r="V447" s="118"/>
      <c r="W447" s="64">
        <f>ROUND(W444*$F444,2)</f>
        <v>39352.019999999997</v>
      </c>
      <c r="X447" s="64">
        <f>ROUND(X444*$F444,2)</f>
        <v>45910.69</v>
      </c>
      <c r="Y447" s="64">
        <f t="shared" ref="Y447:AK447" si="277">ROUND(Y444*$F444,2)</f>
        <v>45910.69</v>
      </c>
      <c r="Z447" s="64">
        <f t="shared" si="277"/>
        <v>45910.69</v>
      </c>
      <c r="AA447" s="64">
        <f t="shared" si="277"/>
        <v>45910.69</v>
      </c>
      <c r="AB447" s="64">
        <f t="shared" si="277"/>
        <v>45910.69</v>
      </c>
      <c r="AC447" s="64">
        <f t="shared" si="277"/>
        <v>45910.69</v>
      </c>
      <c r="AD447" s="64">
        <f t="shared" si="277"/>
        <v>45910.69</v>
      </c>
      <c r="AE447" s="64">
        <f t="shared" si="277"/>
        <v>45910.69</v>
      </c>
      <c r="AF447" s="64">
        <f t="shared" si="277"/>
        <v>45910.69</v>
      </c>
      <c r="AG447" s="64">
        <f t="shared" si="277"/>
        <v>45910.69</v>
      </c>
      <c r="AH447" s="64">
        <f t="shared" si="277"/>
        <v>45910.69</v>
      </c>
      <c r="AI447" s="64">
        <f t="shared" si="277"/>
        <v>45910.69</v>
      </c>
      <c r="AJ447" s="64">
        <f t="shared" si="277"/>
        <v>45910.69</v>
      </c>
      <c r="AK447" s="64">
        <f t="shared" si="277"/>
        <v>61782.67</v>
      </c>
      <c r="AL447" s="118"/>
      <c r="AM447" s="64"/>
      <c r="AN447" s="64"/>
      <c r="AO447" s="64"/>
      <c r="AQ447" s="69">
        <f>SUM(O447:AO447)</f>
        <v>1239588.6299999999</v>
      </c>
      <c r="AR447" s="69">
        <f>+K447-AQ447</f>
        <v>0</v>
      </c>
      <c r="AT447" s="390"/>
      <c r="AV447" s="196"/>
      <c r="AW447" s="196"/>
      <c r="BA447" s="318"/>
    </row>
    <row r="448" spans="1:60" s="2" customFormat="1" ht="10.5" customHeight="1">
      <c r="A448" s="12"/>
      <c r="B448" s="15"/>
      <c r="C448" s="342">
        <v>95</v>
      </c>
      <c r="D448" s="339" t="s">
        <v>139</v>
      </c>
      <c r="E448" s="357" t="s">
        <v>246</v>
      </c>
      <c r="F448" s="369">
        <v>28.28</v>
      </c>
      <c r="G448" s="284">
        <v>3150</v>
      </c>
      <c r="H448" s="284">
        <v>12450</v>
      </c>
      <c r="I448" s="284">
        <v>2909.06</v>
      </c>
      <c r="J448" s="308"/>
      <c r="K448" s="284">
        <f>H448+J448</f>
        <v>12450</v>
      </c>
      <c r="L448" s="284">
        <f>+H448-I448+J448</f>
        <v>9540.94</v>
      </c>
      <c r="M448" s="59"/>
      <c r="N448" s="85" t="s">
        <v>162</v>
      </c>
      <c r="O448" s="85"/>
      <c r="P448" s="85"/>
      <c r="Q448" s="85"/>
      <c r="R448" s="85"/>
      <c r="S448" s="85"/>
      <c r="T448" s="85"/>
      <c r="U448" s="61">
        <f>+I448</f>
        <v>2909.06</v>
      </c>
      <c r="V448" s="118"/>
      <c r="W448" s="61"/>
      <c r="X448" s="61"/>
      <c r="Y448" s="61"/>
      <c r="Z448" s="61"/>
      <c r="AA448" s="61"/>
      <c r="AB448" s="61"/>
      <c r="AC448" s="61"/>
      <c r="AD448" s="61">
        <v>1200</v>
      </c>
      <c r="AE448" s="61">
        <v>1200</v>
      </c>
      <c r="AF448" s="61">
        <v>1200</v>
      </c>
      <c r="AG448" s="61">
        <v>1200</v>
      </c>
      <c r="AH448" s="61">
        <v>1200</v>
      </c>
      <c r="AI448" s="61">
        <v>1200</v>
      </c>
      <c r="AJ448" s="61">
        <v>1200</v>
      </c>
      <c r="AK448" s="61">
        <v>1140.94</v>
      </c>
      <c r="AL448" s="119"/>
      <c r="AM448" s="61"/>
      <c r="AN448" s="61"/>
      <c r="AO448" s="61"/>
      <c r="AQ448" s="144">
        <f>SUM(O448:AO448)</f>
        <v>12450</v>
      </c>
      <c r="AR448" s="144">
        <f>+K448-AQ448</f>
        <v>0</v>
      </c>
      <c r="AT448" s="372">
        <f>+F448*K448</f>
        <v>352086</v>
      </c>
      <c r="AV448" s="263">
        <f>SUM(W448:AO448)</f>
        <v>9540.94</v>
      </c>
      <c r="AW448" s="263">
        <f>+L448-AV448</f>
        <v>0</v>
      </c>
      <c r="BA448" s="318">
        <f t="shared" si="262"/>
        <v>2909.06</v>
      </c>
    </row>
    <row r="449" spans="1:53" s="2" customFormat="1" ht="10.5" customHeight="1">
      <c r="A449" s="10" t="s">
        <v>12</v>
      </c>
      <c r="B449" s="15"/>
      <c r="C449" s="343"/>
      <c r="D449" s="340"/>
      <c r="E449" s="358"/>
      <c r="F449" s="370"/>
      <c r="G449" s="277"/>
      <c r="H449" s="277"/>
      <c r="I449" s="277"/>
      <c r="J449" s="123"/>
      <c r="K449" s="277"/>
      <c r="L449" s="277"/>
      <c r="M449" s="59"/>
      <c r="N449" s="87" t="s">
        <v>163</v>
      </c>
      <c r="O449" s="87"/>
      <c r="P449" s="87"/>
      <c r="Q449" s="87"/>
      <c r="R449" s="87"/>
      <c r="S449" s="87"/>
      <c r="T449" s="87"/>
      <c r="U449" s="62">
        <f>ROUND(U448/K448,5)</f>
        <v>0.23369999999999999</v>
      </c>
      <c r="V449" s="116"/>
      <c r="W449" s="62">
        <f>+W448/$K448</f>
        <v>0</v>
      </c>
      <c r="X449" s="62">
        <f t="shared" ref="X449:AC449" si="278">+X448/$K448</f>
        <v>0</v>
      </c>
      <c r="Y449" s="62">
        <f t="shared" si="278"/>
        <v>0</v>
      </c>
      <c r="Z449" s="62">
        <f t="shared" si="278"/>
        <v>0</v>
      </c>
      <c r="AA449" s="62">
        <f t="shared" si="278"/>
        <v>0</v>
      </c>
      <c r="AB449" s="62">
        <f t="shared" si="278"/>
        <v>0</v>
      </c>
      <c r="AC449" s="62">
        <f t="shared" si="278"/>
        <v>0</v>
      </c>
      <c r="AD449" s="62">
        <f t="shared" ref="AD449:AK449" si="279">ROUND(AD448/$K448,5)</f>
        <v>9.64E-2</v>
      </c>
      <c r="AE449" s="62">
        <f t="shared" si="279"/>
        <v>9.64E-2</v>
      </c>
      <c r="AF449" s="62">
        <f t="shared" si="279"/>
        <v>9.64E-2</v>
      </c>
      <c r="AG449" s="62">
        <f t="shared" si="279"/>
        <v>9.64E-2</v>
      </c>
      <c r="AH449" s="62">
        <f t="shared" si="279"/>
        <v>9.64E-2</v>
      </c>
      <c r="AI449" s="62">
        <f t="shared" si="279"/>
        <v>9.64E-2</v>
      </c>
      <c r="AJ449" s="62">
        <f t="shared" si="279"/>
        <v>9.64E-2</v>
      </c>
      <c r="AK449" s="62">
        <f t="shared" si="279"/>
        <v>9.1600000000000001E-2</v>
      </c>
      <c r="AL449" s="116"/>
      <c r="AM449" s="62"/>
      <c r="AN449" s="62"/>
      <c r="AO449" s="62"/>
      <c r="AQ449" s="149">
        <f>SUM(O449:AO449)</f>
        <v>1.0001</v>
      </c>
      <c r="AR449" s="146"/>
      <c r="AT449" s="389"/>
      <c r="AV449" s="266"/>
      <c r="AW449" s="266"/>
      <c r="BA449" s="318"/>
    </row>
    <row r="450" spans="1:53" s="2" customFormat="1" ht="10.5" hidden="1" customHeight="1">
      <c r="A450" s="11" t="s">
        <v>13</v>
      </c>
      <c r="B450" s="15"/>
      <c r="C450" s="343"/>
      <c r="D450" s="340"/>
      <c r="E450" s="358" t="s">
        <v>191</v>
      </c>
      <c r="F450" s="370"/>
      <c r="G450" s="277"/>
      <c r="H450" s="277"/>
      <c r="I450" s="277"/>
      <c r="J450" s="123"/>
      <c r="K450" s="277"/>
      <c r="L450" s="277"/>
      <c r="M450" s="59"/>
      <c r="N450" s="89"/>
      <c r="O450" s="89"/>
      <c r="P450" s="89"/>
      <c r="Q450" s="89"/>
      <c r="R450" s="89"/>
      <c r="S450" s="89"/>
      <c r="T450" s="89"/>
      <c r="U450" s="63"/>
      <c r="V450" s="117"/>
      <c r="W450" s="63"/>
      <c r="X450" s="63"/>
      <c r="Y450" s="63"/>
      <c r="Z450" s="63"/>
      <c r="AA450" s="63"/>
      <c r="AB450" s="63"/>
      <c r="AC450" s="63"/>
      <c r="AD450" s="63"/>
      <c r="AE450" s="63"/>
      <c r="AF450" s="63"/>
      <c r="AG450" s="63"/>
      <c r="AH450" s="63"/>
      <c r="AI450" s="63"/>
      <c r="AJ450" s="63"/>
      <c r="AK450" s="63"/>
      <c r="AL450" s="117"/>
      <c r="AM450" s="96"/>
      <c r="AN450" s="96"/>
      <c r="AO450" s="96"/>
      <c r="AQ450" s="145"/>
      <c r="AR450" s="146"/>
      <c r="AT450" s="389"/>
      <c r="AV450" s="197"/>
      <c r="AW450" s="197"/>
      <c r="BA450" s="318"/>
    </row>
    <row r="451" spans="1:53" s="2" customFormat="1" ht="10.5" customHeight="1">
      <c r="A451" s="12">
        <v>1</v>
      </c>
      <c r="B451" s="15"/>
      <c r="C451" s="344"/>
      <c r="D451" s="341"/>
      <c r="E451" s="359"/>
      <c r="F451" s="371"/>
      <c r="G451" s="307">
        <f>ROUND(G448*$F448,2)</f>
        <v>89082</v>
      </c>
      <c r="H451" s="307">
        <f>ROUND(H448*$F448,2)</f>
        <v>352086</v>
      </c>
      <c r="I451" s="307">
        <f>ROUND(I448*$F448,2)</f>
        <v>82268.22</v>
      </c>
      <c r="J451" s="307">
        <f>J448*$F448</f>
        <v>0</v>
      </c>
      <c r="K451" s="307">
        <f>ROUND(K448*$F448,2)</f>
        <v>352086</v>
      </c>
      <c r="L451" s="307">
        <f>ROUND(L448*$F448,2)</f>
        <v>269817.78000000003</v>
      </c>
      <c r="M451" s="59"/>
      <c r="N451" s="90" t="s">
        <v>164</v>
      </c>
      <c r="O451" s="90"/>
      <c r="P451" s="90"/>
      <c r="Q451" s="90"/>
      <c r="R451" s="90"/>
      <c r="S451" s="90"/>
      <c r="T451" s="90"/>
      <c r="U451" s="64">
        <f>ROUND(U448*$F448,2)</f>
        <v>82268.22</v>
      </c>
      <c r="V451" s="118"/>
      <c r="W451" s="64">
        <f>W448*$F448</f>
        <v>0</v>
      </c>
      <c r="X451" s="64">
        <f t="shared" ref="X451:AC451" si="280">X448*$F448</f>
        <v>0</v>
      </c>
      <c r="Y451" s="64">
        <f t="shared" si="280"/>
        <v>0</v>
      </c>
      <c r="Z451" s="64">
        <f t="shared" si="280"/>
        <v>0</v>
      </c>
      <c r="AA451" s="64">
        <f t="shared" si="280"/>
        <v>0</v>
      </c>
      <c r="AB451" s="64">
        <f t="shared" si="280"/>
        <v>0</v>
      </c>
      <c r="AC451" s="64">
        <f t="shared" si="280"/>
        <v>0</v>
      </c>
      <c r="AD451" s="64">
        <f t="shared" ref="AD451:AK451" si="281">ROUND(AD448*$F448,2)</f>
        <v>33936</v>
      </c>
      <c r="AE451" s="64">
        <f t="shared" si="281"/>
        <v>33936</v>
      </c>
      <c r="AF451" s="64">
        <f t="shared" si="281"/>
        <v>33936</v>
      </c>
      <c r="AG451" s="64">
        <f t="shared" si="281"/>
        <v>33936</v>
      </c>
      <c r="AH451" s="64">
        <f t="shared" si="281"/>
        <v>33936</v>
      </c>
      <c r="AI451" s="64">
        <f t="shared" si="281"/>
        <v>33936</v>
      </c>
      <c r="AJ451" s="64">
        <f t="shared" si="281"/>
        <v>33936</v>
      </c>
      <c r="AK451" s="64">
        <f t="shared" si="281"/>
        <v>32265.78</v>
      </c>
      <c r="AL451" s="118"/>
      <c r="AM451" s="64"/>
      <c r="AN451" s="64"/>
      <c r="AO451" s="64"/>
      <c r="AQ451" s="69">
        <f>SUM(O451:AO451)</f>
        <v>352086</v>
      </c>
      <c r="AR451" s="69">
        <f>+K451-AQ451</f>
        <v>0</v>
      </c>
      <c r="AT451" s="390"/>
      <c r="AV451" s="196"/>
      <c r="AW451" s="196"/>
      <c r="BA451" s="318"/>
    </row>
    <row r="452" spans="1:53" s="2" customFormat="1" ht="10.5" customHeight="1">
      <c r="A452" s="12"/>
      <c r="B452" s="15"/>
      <c r="C452" s="342">
        <v>96</v>
      </c>
      <c r="D452" s="339" t="s">
        <v>140</v>
      </c>
      <c r="E452" s="345" t="s">
        <v>242</v>
      </c>
      <c r="F452" s="369">
        <v>195440.56</v>
      </c>
      <c r="G452" s="284">
        <v>1</v>
      </c>
      <c r="H452" s="284">
        <v>1</v>
      </c>
      <c r="I452" s="284"/>
      <c r="J452" s="284"/>
      <c r="K452" s="284">
        <f>H452+J452</f>
        <v>1</v>
      </c>
      <c r="L452" s="284">
        <f>+H452-I452+J452</f>
        <v>1</v>
      </c>
      <c r="M452" s="59"/>
      <c r="N452" s="47" t="s">
        <v>162</v>
      </c>
      <c r="O452" s="250"/>
      <c r="P452" s="250"/>
      <c r="Q452" s="250"/>
      <c r="R452" s="250"/>
      <c r="S452" s="250"/>
      <c r="T452" s="250"/>
      <c r="U452" s="95">
        <f>+I452</f>
        <v>0</v>
      </c>
      <c r="V452" s="117"/>
      <c r="W452" s="92"/>
      <c r="X452" s="92"/>
      <c r="Y452" s="95"/>
      <c r="Z452" s="61"/>
      <c r="AA452" s="61"/>
      <c r="AB452" s="61"/>
      <c r="AC452" s="61"/>
      <c r="AD452" s="61">
        <v>1</v>
      </c>
      <c r="AE452" s="61"/>
      <c r="AF452" s="61"/>
      <c r="AG452" s="61"/>
      <c r="AH452" s="61"/>
      <c r="AI452" s="61"/>
      <c r="AJ452" s="61"/>
      <c r="AK452" s="61"/>
      <c r="AL452" s="119"/>
      <c r="AM452" s="61"/>
      <c r="AN452" s="61"/>
      <c r="AO452" s="61"/>
      <c r="AQ452" s="144">
        <f>SUM(O452:AO452)</f>
        <v>1</v>
      </c>
      <c r="AR452" s="144">
        <f>+K452-AQ452</f>
        <v>0</v>
      </c>
      <c r="AT452" s="372">
        <f>+F452*K452</f>
        <v>195440.56</v>
      </c>
      <c r="AV452" s="263">
        <f>SUM(W452:AO452)</f>
        <v>1</v>
      </c>
      <c r="AW452" s="263">
        <f>+L452-AV452</f>
        <v>0</v>
      </c>
      <c r="BA452" s="318">
        <f t="shared" si="262"/>
        <v>0</v>
      </c>
    </row>
    <row r="453" spans="1:53" s="2" customFormat="1" ht="10.5" customHeight="1">
      <c r="A453" s="10" t="s">
        <v>12</v>
      </c>
      <c r="B453" s="15"/>
      <c r="C453" s="343"/>
      <c r="D453" s="340"/>
      <c r="E453" s="346"/>
      <c r="F453" s="370"/>
      <c r="G453" s="277"/>
      <c r="H453" s="277"/>
      <c r="I453" s="277"/>
      <c r="J453" s="277"/>
      <c r="K453" s="277"/>
      <c r="L453" s="277"/>
      <c r="M453" s="59"/>
      <c r="N453" s="47" t="s">
        <v>163</v>
      </c>
      <c r="O453" s="251"/>
      <c r="P453" s="251"/>
      <c r="Q453" s="251"/>
      <c r="R453" s="251"/>
      <c r="S453" s="251"/>
      <c r="T453" s="251"/>
      <c r="U453" s="93">
        <f>+U452/K452</f>
        <v>0</v>
      </c>
      <c r="V453" s="117"/>
      <c r="W453" s="88"/>
      <c r="X453" s="88"/>
      <c r="Y453" s="93"/>
      <c r="Z453" s="62"/>
      <c r="AA453" s="62"/>
      <c r="AB453" s="62">
        <f>+AB452/$K452</f>
        <v>0</v>
      </c>
      <c r="AC453" s="62">
        <f>ROUND(AC452/$K452,5)</f>
        <v>0</v>
      </c>
      <c r="AD453" s="62">
        <f>ROUND(AD452/$K452,5)</f>
        <v>1</v>
      </c>
      <c r="AE453" s="62"/>
      <c r="AF453" s="62">
        <f>ROUND(AF452/$K452,5)</f>
        <v>0</v>
      </c>
      <c r="AG453" s="62"/>
      <c r="AH453" s="62"/>
      <c r="AI453" s="62"/>
      <c r="AJ453" s="62"/>
      <c r="AK453" s="62"/>
      <c r="AL453" s="116"/>
      <c r="AM453" s="62"/>
      <c r="AN453" s="62"/>
      <c r="AO453" s="62"/>
      <c r="AQ453" s="149">
        <f>SUM(O453:AO453)</f>
        <v>1</v>
      </c>
      <c r="AR453" s="146"/>
      <c r="AT453" s="389"/>
      <c r="AV453" s="266"/>
      <c r="AW453" s="266"/>
      <c r="BA453" s="318">
        <f t="shared" si="262"/>
        <v>0</v>
      </c>
    </row>
    <row r="454" spans="1:53" s="2" customFormat="1" ht="10.5" hidden="1" customHeight="1">
      <c r="A454" s="11" t="s">
        <v>13</v>
      </c>
      <c r="B454" s="15"/>
      <c r="C454" s="343"/>
      <c r="D454" s="340"/>
      <c r="E454" s="346"/>
      <c r="F454" s="370"/>
      <c r="G454" s="277"/>
      <c r="H454" s="277"/>
      <c r="I454" s="277"/>
      <c r="J454" s="277"/>
      <c r="K454" s="277"/>
      <c r="L454" s="277"/>
      <c r="M454" s="59"/>
      <c r="N454" s="48"/>
      <c r="O454" s="251"/>
      <c r="P454" s="251"/>
      <c r="Q454" s="251"/>
      <c r="R454" s="251"/>
      <c r="S454" s="251"/>
      <c r="T454" s="251"/>
      <c r="U454" s="93"/>
      <c r="V454" s="117"/>
      <c r="W454" s="88"/>
      <c r="X454" s="88"/>
      <c r="Y454" s="96"/>
      <c r="Z454" s="96"/>
      <c r="AA454" s="96"/>
      <c r="AB454" s="63"/>
      <c r="AC454" s="63"/>
      <c r="AD454" s="63"/>
      <c r="AE454" s="96"/>
      <c r="AF454" s="63"/>
      <c r="AG454" s="96"/>
      <c r="AH454" s="96"/>
      <c r="AI454" s="96"/>
      <c r="AJ454" s="96"/>
      <c r="AK454" s="96"/>
      <c r="AL454" s="117"/>
      <c r="AM454" s="96"/>
      <c r="AN454" s="96"/>
      <c r="AO454" s="96"/>
      <c r="AQ454" s="145"/>
      <c r="AR454" s="146"/>
      <c r="AT454" s="389"/>
      <c r="AV454" s="197"/>
      <c r="AW454" s="197"/>
      <c r="BA454" s="318">
        <f t="shared" si="262"/>
        <v>0</v>
      </c>
    </row>
    <row r="455" spans="1:53" s="2" customFormat="1" ht="10.5" customHeight="1">
      <c r="A455" s="12">
        <v>1</v>
      </c>
      <c r="B455" s="15"/>
      <c r="C455" s="344"/>
      <c r="D455" s="341"/>
      <c r="E455" s="347"/>
      <c r="F455" s="371"/>
      <c r="G455" s="307">
        <f>ROUND(G452*$F452,2)</f>
        <v>195440.56</v>
      </c>
      <c r="H455" s="307">
        <f>ROUND(H452*$F452,2)</f>
        <v>195440.56</v>
      </c>
      <c r="I455" s="307">
        <f>ROUND(I452*$F452,2)</f>
        <v>0</v>
      </c>
      <c r="J455" s="307">
        <f>J452*$F452</f>
        <v>0</v>
      </c>
      <c r="K455" s="307">
        <f>ROUND(K452*$F452,2)</f>
        <v>195440.56</v>
      </c>
      <c r="L455" s="307">
        <f>ROUND(L452*$F452,2)</f>
        <v>195440.56</v>
      </c>
      <c r="M455" s="59"/>
      <c r="N455" s="49" t="s">
        <v>164</v>
      </c>
      <c r="O455" s="252"/>
      <c r="P455" s="252"/>
      <c r="Q455" s="252"/>
      <c r="R455" s="252"/>
      <c r="S455" s="252"/>
      <c r="T455" s="252"/>
      <c r="U455" s="94">
        <f>U452*$F452</f>
        <v>0</v>
      </c>
      <c r="V455" s="123"/>
      <c r="W455" s="91"/>
      <c r="X455" s="91"/>
      <c r="Y455" s="94"/>
      <c r="Z455" s="64"/>
      <c r="AA455" s="64"/>
      <c r="AB455" s="64">
        <f>AB452*$F452</f>
        <v>0</v>
      </c>
      <c r="AC455" s="64">
        <f>ROUND(AC452*$F452,2)</f>
        <v>0</v>
      </c>
      <c r="AD455" s="64">
        <f>ROUND(AD452*$F452,2)</f>
        <v>195440.56</v>
      </c>
      <c r="AE455" s="64"/>
      <c r="AF455" s="64">
        <f>ROUND(AF452*$F452,2)</f>
        <v>0</v>
      </c>
      <c r="AG455" s="64"/>
      <c r="AH455" s="64"/>
      <c r="AI455" s="64"/>
      <c r="AJ455" s="64"/>
      <c r="AK455" s="64"/>
      <c r="AL455" s="118"/>
      <c r="AM455" s="64"/>
      <c r="AN455" s="64"/>
      <c r="AO455" s="64"/>
      <c r="AQ455" s="69">
        <f>SUM(O455:AO455)</f>
        <v>195440.56</v>
      </c>
      <c r="AR455" s="69">
        <f>+K455-AQ455</f>
        <v>0</v>
      </c>
      <c r="AT455" s="390"/>
      <c r="AV455" s="196"/>
      <c r="AW455" s="196"/>
      <c r="BA455" s="318">
        <f t="shared" si="262"/>
        <v>0</v>
      </c>
    </row>
    <row r="456" spans="1:53" s="2" customFormat="1" ht="10.5" customHeight="1">
      <c r="A456" s="12"/>
      <c r="B456" s="15"/>
      <c r="C456" s="342">
        <v>97</v>
      </c>
      <c r="D456" s="339" t="s">
        <v>141</v>
      </c>
      <c r="E456" s="357" t="s">
        <v>235</v>
      </c>
      <c r="F456" s="369">
        <v>1951.22</v>
      </c>
      <c r="G456" s="284">
        <v>1243</v>
      </c>
      <c r="H456" s="284">
        <v>1243</v>
      </c>
      <c r="I456" s="284"/>
      <c r="J456" s="284"/>
      <c r="K456" s="284">
        <f>H456+J456</f>
        <v>1243</v>
      </c>
      <c r="L456" s="284">
        <f>+H456-I456+J456</f>
        <v>1243</v>
      </c>
      <c r="M456" s="59"/>
      <c r="N456" s="47" t="s">
        <v>162</v>
      </c>
      <c r="O456" s="250"/>
      <c r="P456" s="250"/>
      <c r="Q456" s="250"/>
      <c r="R456" s="250"/>
      <c r="S456" s="250"/>
      <c r="T456" s="250"/>
      <c r="U456" s="95">
        <f>+I456</f>
        <v>0</v>
      </c>
      <c r="V456" s="119"/>
      <c r="W456" s="95"/>
      <c r="X456" s="61"/>
      <c r="Y456" s="61"/>
      <c r="Z456" s="61">
        <v>200</v>
      </c>
      <c r="AA456" s="61">
        <v>250</v>
      </c>
      <c r="AB456" s="61">
        <v>300</v>
      </c>
      <c r="AC456" s="61">
        <v>493</v>
      </c>
      <c r="AD456" s="61"/>
      <c r="AE456" s="61"/>
      <c r="AF456" s="92"/>
      <c r="AG456" s="92"/>
      <c r="AH456" s="92"/>
      <c r="AI456" s="92"/>
      <c r="AJ456" s="92"/>
      <c r="AK456" s="92"/>
      <c r="AL456" s="117"/>
      <c r="AM456" s="92"/>
      <c r="AN456" s="92"/>
      <c r="AO456" s="92"/>
      <c r="AQ456" s="144">
        <f>SUM(O456:AO456)</f>
        <v>1243</v>
      </c>
      <c r="AR456" s="144">
        <f>+K456-AQ456</f>
        <v>0</v>
      </c>
      <c r="AT456" s="372">
        <f>+F456*K456</f>
        <v>2425366.46</v>
      </c>
      <c r="AV456" s="263">
        <f>SUM(W456:AO456)</f>
        <v>1243</v>
      </c>
      <c r="AW456" s="263">
        <f>+L456-AV456</f>
        <v>0</v>
      </c>
      <c r="BA456" s="318">
        <f t="shared" si="262"/>
        <v>0</v>
      </c>
    </row>
    <row r="457" spans="1:53" s="2" customFormat="1" ht="10.5" customHeight="1">
      <c r="A457" s="10" t="s">
        <v>12</v>
      </c>
      <c r="B457" s="15"/>
      <c r="C457" s="343"/>
      <c r="D457" s="340"/>
      <c r="E457" s="358"/>
      <c r="F457" s="370"/>
      <c r="G457" s="277"/>
      <c r="H457" s="277"/>
      <c r="I457" s="277"/>
      <c r="J457" s="277"/>
      <c r="K457" s="277"/>
      <c r="L457" s="277"/>
      <c r="M457" s="59"/>
      <c r="N457" s="47" t="s">
        <v>163</v>
      </c>
      <c r="O457" s="251"/>
      <c r="P457" s="251"/>
      <c r="Q457" s="251"/>
      <c r="R457" s="251"/>
      <c r="S457" s="251"/>
      <c r="T457" s="251"/>
      <c r="U457" s="93">
        <f>+U456/K456</f>
        <v>0</v>
      </c>
      <c r="V457" s="116"/>
      <c r="W457" s="93"/>
      <c r="X457" s="62">
        <f>ROUND(X456/$K456,5)</f>
        <v>0</v>
      </c>
      <c r="Y457" s="62">
        <f>ROUND(Y456/$K456,5)</f>
        <v>0</v>
      </c>
      <c r="Z457" s="62">
        <f>ROUND(Z456/$K456,5)</f>
        <v>0.16089999999999999</v>
      </c>
      <c r="AA457" s="62">
        <f>ROUND(AA456/$K456,5)</f>
        <v>0.2011</v>
      </c>
      <c r="AB457" s="62">
        <f>ROUND(AB456/$K456,5)</f>
        <v>0.2414</v>
      </c>
      <c r="AC457" s="62">
        <f>+AC456/$K456</f>
        <v>0.39660000000000001</v>
      </c>
      <c r="AD457" s="62">
        <f>+AD456/$K456</f>
        <v>0</v>
      </c>
      <c r="AE457" s="62">
        <f>+AE456/$K456</f>
        <v>0</v>
      </c>
      <c r="AF457" s="88"/>
      <c r="AG457" s="88"/>
      <c r="AH457" s="88"/>
      <c r="AI457" s="88"/>
      <c r="AJ457" s="88"/>
      <c r="AK457" s="88"/>
      <c r="AL457" s="117"/>
      <c r="AM457" s="88"/>
      <c r="AN457" s="88"/>
      <c r="AO457" s="88"/>
      <c r="AQ457" s="149">
        <f>SUM(O457:AO457)</f>
        <v>1</v>
      </c>
      <c r="AR457" s="146"/>
      <c r="AT457" s="389"/>
      <c r="AV457" s="266"/>
      <c r="AW457" s="266"/>
      <c r="BA457" s="318">
        <f t="shared" si="262"/>
        <v>0</v>
      </c>
    </row>
    <row r="458" spans="1:53" s="2" customFormat="1" ht="10.5" hidden="1" customHeight="1">
      <c r="A458" s="11" t="s">
        <v>13</v>
      </c>
      <c r="B458" s="15"/>
      <c r="C458" s="343"/>
      <c r="D458" s="340"/>
      <c r="E458" s="358" t="s">
        <v>191</v>
      </c>
      <c r="F458" s="370"/>
      <c r="G458" s="277"/>
      <c r="H458" s="277"/>
      <c r="I458" s="277"/>
      <c r="J458" s="277"/>
      <c r="K458" s="277"/>
      <c r="L458" s="277"/>
      <c r="M458" s="59"/>
      <c r="N458" s="48"/>
      <c r="O458" s="251"/>
      <c r="P458" s="251"/>
      <c r="Q458" s="251"/>
      <c r="R458" s="251"/>
      <c r="S458" s="251"/>
      <c r="T458" s="251"/>
      <c r="U458" s="93"/>
      <c r="V458" s="117"/>
      <c r="W458" s="96"/>
      <c r="X458" s="63"/>
      <c r="Y458" s="63"/>
      <c r="Z458" s="63"/>
      <c r="AA458" s="63"/>
      <c r="AB458" s="63"/>
      <c r="AC458" s="63"/>
      <c r="AD458" s="63"/>
      <c r="AE458" s="63"/>
      <c r="AF458" s="88"/>
      <c r="AG458" s="88"/>
      <c r="AH458" s="88"/>
      <c r="AI458" s="88"/>
      <c r="AJ458" s="88"/>
      <c r="AK458" s="88"/>
      <c r="AL458" s="117"/>
      <c r="AM458" s="88"/>
      <c r="AN458" s="88"/>
      <c r="AO458" s="88"/>
      <c r="AQ458" s="145"/>
      <c r="AR458" s="146"/>
      <c r="AT458" s="389"/>
      <c r="AV458" s="197"/>
      <c r="AW458" s="197"/>
      <c r="BA458" s="318">
        <f t="shared" si="262"/>
        <v>0</v>
      </c>
    </row>
    <row r="459" spans="1:53" s="2" customFormat="1" ht="10.5" customHeight="1">
      <c r="A459" s="12">
        <v>1</v>
      </c>
      <c r="B459" s="15"/>
      <c r="C459" s="344"/>
      <c r="D459" s="341"/>
      <c r="E459" s="359"/>
      <c r="F459" s="371"/>
      <c r="G459" s="307">
        <f>ROUND(G456*$F456,2)</f>
        <v>2425366.46</v>
      </c>
      <c r="H459" s="307">
        <f>ROUND(H456*$F456,2)</f>
        <v>2425366.46</v>
      </c>
      <c r="I459" s="307">
        <f>ROUND(I456*$F456,2)</f>
        <v>0</v>
      </c>
      <c r="J459" s="307">
        <f>J456*$F456</f>
        <v>0</v>
      </c>
      <c r="K459" s="307">
        <f>ROUND(K456*$F456,2)</f>
        <v>2425366.46</v>
      </c>
      <c r="L459" s="307">
        <f>ROUND(L456*$F456,2)</f>
        <v>2425366.46</v>
      </c>
      <c r="M459" s="59"/>
      <c r="N459" s="49" t="s">
        <v>164</v>
      </c>
      <c r="O459" s="252"/>
      <c r="P459" s="252"/>
      <c r="Q459" s="252"/>
      <c r="R459" s="252"/>
      <c r="S459" s="252"/>
      <c r="T459" s="252"/>
      <c r="U459" s="94">
        <f>U456*$F456</f>
        <v>0</v>
      </c>
      <c r="V459" s="118"/>
      <c r="W459" s="94"/>
      <c r="X459" s="64">
        <f>ROUND(X456*$F456,2)</f>
        <v>0</v>
      </c>
      <c r="Y459" s="64">
        <f>ROUND(Y456*$F456,2)</f>
        <v>0</v>
      </c>
      <c r="Z459" s="64">
        <f>ROUND(Z456*$F456,2)</f>
        <v>390244</v>
      </c>
      <c r="AA459" s="64">
        <f>ROUND(AA456*$F456,2)</f>
        <v>487805</v>
      </c>
      <c r="AB459" s="64">
        <f>ROUND(AB456*$F456,2)</f>
        <v>585366</v>
      </c>
      <c r="AC459" s="64">
        <f>AC456*$F456</f>
        <v>961951.46</v>
      </c>
      <c r="AD459" s="64">
        <f>AD456*$F456</f>
        <v>0</v>
      </c>
      <c r="AE459" s="64">
        <f>AE456*$F456</f>
        <v>0</v>
      </c>
      <c r="AF459" s="91"/>
      <c r="AG459" s="91"/>
      <c r="AH459" s="91"/>
      <c r="AI459" s="91"/>
      <c r="AJ459" s="91"/>
      <c r="AK459" s="91"/>
      <c r="AL459" s="123"/>
      <c r="AM459" s="91"/>
      <c r="AN459" s="91"/>
      <c r="AO459" s="91"/>
      <c r="AQ459" s="69">
        <f>SUM(O459:AO459)</f>
        <v>2425366.46</v>
      </c>
      <c r="AR459" s="69">
        <f>+K459-AQ459</f>
        <v>0</v>
      </c>
      <c r="AT459" s="390"/>
      <c r="AV459" s="196"/>
      <c r="AW459" s="196"/>
      <c r="BA459" s="318">
        <f t="shared" ref="BA459:BA485" si="282">SUM(O459:U459)</f>
        <v>0</v>
      </c>
    </row>
    <row r="460" spans="1:53" s="2" customFormat="1" ht="10.5" customHeight="1">
      <c r="A460" s="12"/>
      <c r="B460" s="15"/>
      <c r="C460" s="342">
        <v>98</v>
      </c>
      <c r="D460" s="339" t="s">
        <v>142</v>
      </c>
      <c r="E460" s="357" t="s">
        <v>235</v>
      </c>
      <c r="F460" s="369">
        <v>650.41</v>
      </c>
      <c r="G460" s="284">
        <v>1125</v>
      </c>
      <c r="H460" s="284">
        <v>1125</v>
      </c>
      <c r="I460" s="284"/>
      <c r="J460" s="284"/>
      <c r="K460" s="284">
        <f>H460+J460</f>
        <v>1125</v>
      </c>
      <c r="L460" s="284">
        <f>+H460-I460+J460</f>
        <v>1125</v>
      </c>
      <c r="M460" s="59"/>
      <c r="N460" s="47" t="s">
        <v>162</v>
      </c>
      <c r="O460" s="250"/>
      <c r="P460" s="250"/>
      <c r="Q460" s="250"/>
      <c r="R460" s="250"/>
      <c r="S460" s="250"/>
      <c r="T460" s="250"/>
      <c r="U460" s="95">
        <f>+I460</f>
        <v>0</v>
      </c>
      <c r="V460" s="119"/>
      <c r="W460" s="95"/>
      <c r="X460" s="61"/>
      <c r="Y460" s="61"/>
      <c r="Z460" s="61">
        <v>180</v>
      </c>
      <c r="AA460" s="61">
        <v>220</v>
      </c>
      <c r="AB460" s="61">
        <v>270</v>
      </c>
      <c r="AC460" s="61">
        <v>455</v>
      </c>
      <c r="AD460" s="61"/>
      <c r="AE460" s="61"/>
      <c r="AF460" s="92"/>
      <c r="AG460" s="92"/>
      <c r="AH460" s="92"/>
      <c r="AI460" s="92"/>
      <c r="AJ460" s="92"/>
      <c r="AK460" s="92"/>
      <c r="AL460" s="117"/>
      <c r="AM460" s="92"/>
      <c r="AN460" s="92"/>
      <c r="AO460" s="92"/>
      <c r="AQ460" s="144">
        <f>SUM(O460:AO460)</f>
        <v>1125</v>
      </c>
      <c r="AR460" s="144">
        <f>+K460-AQ460</f>
        <v>0</v>
      </c>
      <c r="AT460" s="372">
        <f>+F460*K460</f>
        <v>731711.25</v>
      </c>
      <c r="AV460" s="263">
        <f>SUM(W460:AO460)</f>
        <v>1125</v>
      </c>
      <c r="AW460" s="263">
        <f>+L460-AV460</f>
        <v>0</v>
      </c>
      <c r="BA460" s="318">
        <f t="shared" si="282"/>
        <v>0</v>
      </c>
    </row>
    <row r="461" spans="1:53" s="2" customFormat="1" ht="10.5" customHeight="1">
      <c r="A461" s="10" t="s">
        <v>12</v>
      </c>
      <c r="B461" s="15"/>
      <c r="C461" s="343"/>
      <c r="D461" s="340"/>
      <c r="E461" s="358"/>
      <c r="F461" s="370"/>
      <c r="G461" s="277"/>
      <c r="H461" s="277"/>
      <c r="I461" s="277"/>
      <c r="J461" s="277"/>
      <c r="K461" s="277"/>
      <c r="L461" s="277"/>
      <c r="M461" s="59"/>
      <c r="N461" s="47" t="s">
        <v>163</v>
      </c>
      <c r="O461" s="251"/>
      <c r="P461" s="251"/>
      <c r="Q461" s="251"/>
      <c r="R461" s="251"/>
      <c r="S461" s="251"/>
      <c r="T461" s="251"/>
      <c r="U461" s="93">
        <f>+U460/K460</f>
        <v>0</v>
      </c>
      <c r="V461" s="116"/>
      <c r="W461" s="93"/>
      <c r="X461" s="62">
        <f>ROUND(X460/$K460,5)</f>
        <v>0</v>
      </c>
      <c r="Y461" s="62">
        <f>ROUND(Y460/$K460,5)</f>
        <v>0</v>
      </c>
      <c r="Z461" s="62">
        <f>ROUND(Z460/$K460,5)</f>
        <v>0.16</v>
      </c>
      <c r="AA461" s="62">
        <f>ROUND(AA460/$K460,5)</f>
        <v>0.1956</v>
      </c>
      <c r="AB461" s="62">
        <f>ROUND(AB460/$K460,5)</f>
        <v>0.24</v>
      </c>
      <c r="AC461" s="62">
        <f>+AC460/$K460</f>
        <v>0.40439999999999998</v>
      </c>
      <c r="AD461" s="62">
        <f>+AD460/$K460</f>
        <v>0</v>
      </c>
      <c r="AE461" s="62">
        <f>+AE460/$K460</f>
        <v>0</v>
      </c>
      <c r="AF461" s="88"/>
      <c r="AG461" s="88"/>
      <c r="AH461" s="88"/>
      <c r="AI461" s="88"/>
      <c r="AJ461" s="88"/>
      <c r="AK461" s="88"/>
      <c r="AL461" s="117"/>
      <c r="AM461" s="88"/>
      <c r="AN461" s="88"/>
      <c r="AO461" s="88"/>
      <c r="AQ461" s="149">
        <f>SUM(O461:AO461)</f>
        <v>1</v>
      </c>
      <c r="AR461" s="146"/>
      <c r="AT461" s="389"/>
      <c r="AV461" s="266"/>
      <c r="AW461" s="266"/>
      <c r="BA461" s="318">
        <f t="shared" si="282"/>
        <v>0</v>
      </c>
    </row>
    <row r="462" spans="1:53" s="2" customFormat="1" ht="10.5" hidden="1" customHeight="1">
      <c r="A462" s="11" t="s">
        <v>13</v>
      </c>
      <c r="B462" s="15"/>
      <c r="C462" s="343"/>
      <c r="D462" s="340"/>
      <c r="E462" s="358" t="s">
        <v>191</v>
      </c>
      <c r="F462" s="370"/>
      <c r="G462" s="277"/>
      <c r="H462" s="277"/>
      <c r="I462" s="277"/>
      <c r="J462" s="277"/>
      <c r="K462" s="277"/>
      <c r="L462" s="277"/>
      <c r="M462" s="59"/>
      <c r="N462" s="48"/>
      <c r="O462" s="251"/>
      <c r="P462" s="251"/>
      <c r="Q462" s="251"/>
      <c r="R462" s="251"/>
      <c r="S462" s="251"/>
      <c r="T462" s="251"/>
      <c r="U462" s="93"/>
      <c r="V462" s="117"/>
      <c r="W462" s="96"/>
      <c r="X462" s="63"/>
      <c r="Y462" s="63"/>
      <c r="Z462" s="63"/>
      <c r="AA462" s="63"/>
      <c r="AB462" s="63"/>
      <c r="AC462" s="63"/>
      <c r="AD462" s="63"/>
      <c r="AE462" s="63"/>
      <c r="AF462" s="88"/>
      <c r="AG462" s="88"/>
      <c r="AH462" s="88"/>
      <c r="AI462" s="88"/>
      <c r="AJ462" s="88"/>
      <c r="AK462" s="88"/>
      <c r="AL462" s="117"/>
      <c r="AM462" s="88"/>
      <c r="AN462" s="88"/>
      <c r="AO462" s="88"/>
      <c r="AQ462" s="145"/>
      <c r="AR462" s="146"/>
      <c r="AT462" s="389"/>
      <c r="AV462" s="197"/>
      <c r="AW462" s="197"/>
      <c r="BA462" s="318">
        <f t="shared" si="282"/>
        <v>0</v>
      </c>
    </row>
    <row r="463" spans="1:53" s="2" customFormat="1" ht="10.5" customHeight="1">
      <c r="A463" s="12">
        <v>1</v>
      </c>
      <c r="B463" s="15"/>
      <c r="C463" s="344"/>
      <c r="D463" s="341"/>
      <c r="E463" s="359"/>
      <c r="F463" s="371"/>
      <c r="G463" s="307">
        <f>ROUND(G460*$F460,2)</f>
        <v>731711.25</v>
      </c>
      <c r="H463" s="307">
        <f>ROUND(H460*$F460,2)</f>
        <v>731711.25</v>
      </c>
      <c r="I463" s="307">
        <f>ROUND(I460*$F460,2)</f>
        <v>0</v>
      </c>
      <c r="J463" s="307">
        <f>J460*$F460</f>
        <v>0</v>
      </c>
      <c r="K463" s="307">
        <f>ROUND(K460*$F460,2)</f>
        <v>731711.25</v>
      </c>
      <c r="L463" s="307">
        <f>ROUND(L460*$F460,2)</f>
        <v>731711.25</v>
      </c>
      <c r="M463" s="59"/>
      <c r="N463" s="49" t="s">
        <v>164</v>
      </c>
      <c r="O463" s="252"/>
      <c r="P463" s="252"/>
      <c r="Q463" s="252"/>
      <c r="R463" s="252"/>
      <c r="S463" s="252"/>
      <c r="T463" s="252"/>
      <c r="U463" s="94">
        <f>U460*$F460</f>
        <v>0</v>
      </c>
      <c r="V463" s="118"/>
      <c r="W463" s="94"/>
      <c r="X463" s="64">
        <f>ROUND(X460*$F460,2)</f>
        <v>0</v>
      </c>
      <c r="Y463" s="64">
        <f>ROUND(Y460*$F460,2)</f>
        <v>0</v>
      </c>
      <c r="Z463" s="64">
        <f>ROUND(Z460*$F460,2)</f>
        <v>117073.8</v>
      </c>
      <c r="AA463" s="64">
        <f>ROUND(AA460*$F460,2)</f>
        <v>143090.20000000001</v>
      </c>
      <c r="AB463" s="64">
        <f>ROUND(AB460*$F460,2)</f>
        <v>175610.7</v>
      </c>
      <c r="AC463" s="64">
        <f>AC460*$F460</f>
        <v>295936.55</v>
      </c>
      <c r="AD463" s="64">
        <f>AD460*$F460</f>
        <v>0</v>
      </c>
      <c r="AE463" s="64">
        <f>AE460*$F460</f>
        <v>0</v>
      </c>
      <c r="AF463" s="91"/>
      <c r="AG463" s="91"/>
      <c r="AH463" s="91"/>
      <c r="AI463" s="91"/>
      <c r="AJ463" s="91"/>
      <c r="AK463" s="91"/>
      <c r="AL463" s="123"/>
      <c r="AM463" s="91"/>
      <c r="AN463" s="91"/>
      <c r="AO463" s="91"/>
      <c r="AQ463" s="69">
        <f>SUM(O463:AO463)</f>
        <v>731711.25</v>
      </c>
      <c r="AR463" s="69">
        <f>+K463-AQ463</f>
        <v>0</v>
      </c>
      <c r="AT463" s="390"/>
      <c r="AV463" s="196"/>
      <c r="AW463" s="196"/>
      <c r="BA463" s="318">
        <f t="shared" si="282"/>
        <v>0</v>
      </c>
    </row>
    <row r="464" spans="1:53" s="2" customFormat="1" ht="10.5" customHeight="1">
      <c r="A464" s="12"/>
      <c r="B464" s="15"/>
      <c r="C464" s="342">
        <v>99</v>
      </c>
      <c r="D464" s="339" t="s">
        <v>143</v>
      </c>
      <c r="E464" s="357" t="s">
        <v>237</v>
      </c>
      <c r="F464" s="369">
        <v>318.98</v>
      </c>
      <c r="G464" s="284">
        <v>336</v>
      </c>
      <c r="H464" s="284">
        <v>336</v>
      </c>
      <c r="I464" s="284"/>
      <c r="J464" s="284"/>
      <c r="K464" s="284">
        <f>H464+J464</f>
        <v>336</v>
      </c>
      <c r="L464" s="284">
        <f>+H464-I464+J464</f>
        <v>336</v>
      </c>
      <c r="M464" s="59"/>
      <c r="N464" s="47" t="s">
        <v>162</v>
      </c>
      <c r="O464" s="250"/>
      <c r="P464" s="250"/>
      <c r="Q464" s="250"/>
      <c r="R464" s="250"/>
      <c r="S464" s="250"/>
      <c r="T464" s="250"/>
      <c r="U464" s="95">
        <f>+I464</f>
        <v>0</v>
      </c>
      <c r="V464" s="119"/>
      <c r="W464" s="95"/>
      <c r="X464" s="61"/>
      <c r="Y464" s="61"/>
      <c r="Z464" s="61"/>
      <c r="AA464" s="61"/>
      <c r="AB464" s="61">
        <v>160</v>
      </c>
      <c r="AC464" s="61">
        <v>176</v>
      </c>
      <c r="AD464" s="61"/>
      <c r="AE464" s="61"/>
      <c r="AF464" s="92"/>
      <c r="AG464" s="92"/>
      <c r="AH464" s="92"/>
      <c r="AI464" s="92"/>
      <c r="AJ464" s="92"/>
      <c r="AK464" s="92"/>
      <c r="AL464" s="117"/>
      <c r="AM464" s="92"/>
      <c r="AN464" s="92"/>
      <c r="AO464" s="92"/>
      <c r="AQ464" s="144">
        <f>SUM(O464:AO464)</f>
        <v>336</v>
      </c>
      <c r="AR464" s="144">
        <f>+K464-AQ464</f>
        <v>0</v>
      </c>
      <c r="AT464" s="372">
        <f>+F464*K464</f>
        <v>107177.28</v>
      </c>
      <c r="AV464" s="263">
        <f>SUM(W464:AO464)</f>
        <v>336</v>
      </c>
      <c r="AW464" s="263">
        <f>+L464-AV464</f>
        <v>0</v>
      </c>
      <c r="BA464" s="318">
        <f t="shared" si="282"/>
        <v>0</v>
      </c>
    </row>
    <row r="465" spans="1:53" s="2" customFormat="1" ht="10.5" customHeight="1">
      <c r="A465" s="10" t="s">
        <v>12</v>
      </c>
      <c r="B465" s="15"/>
      <c r="C465" s="343"/>
      <c r="D465" s="340"/>
      <c r="E465" s="358"/>
      <c r="F465" s="370"/>
      <c r="G465" s="277"/>
      <c r="H465" s="277"/>
      <c r="I465" s="277"/>
      <c r="J465" s="277"/>
      <c r="K465" s="277"/>
      <c r="L465" s="277"/>
      <c r="M465" s="59"/>
      <c r="N465" s="47" t="s">
        <v>163</v>
      </c>
      <c r="O465" s="251"/>
      <c r="P465" s="251"/>
      <c r="Q465" s="251"/>
      <c r="R465" s="251"/>
      <c r="S465" s="251"/>
      <c r="T465" s="251"/>
      <c r="U465" s="93">
        <f>+U464/K464</f>
        <v>0</v>
      </c>
      <c r="V465" s="116"/>
      <c r="W465" s="93"/>
      <c r="X465" s="62">
        <f>+X464/$K464</f>
        <v>0</v>
      </c>
      <c r="Y465" s="62">
        <f>+Y464/$K464</f>
        <v>0</v>
      </c>
      <c r="Z465" s="62">
        <f>ROUND(Z464/$K464,5)</f>
        <v>0</v>
      </c>
      <c r="AA465" s="62">
        <f>ROUND(AA464/$K464,5)</f>
        <v>0</v>
      </c>
      <c r="AB465" s="62">
        <f>ROUND(AB464/$K464,5)</f>
        <v>0.47620000000000001</v>
      </c>
      <c r="AC465" s="62">
        <f>ROUND(AC464/$K464,5)</f>
        <v>0.52380000000000004</v>
      </c>
      <c r="AD465" s="62">
        <f>+AD464/$K464</f>
        <v>0</v>
      </c>
      <c r="AE465" s="62">
        <f>+AE464/$K464</f>
        <v>0</v>
      </c>
      <c r="AF465" s="88"/>
      <c r="AG465" s="88"/>
      <c r="AH465" s="88"/>
      <c r="AI465" s="88"/>
      <c r="AJ465" s="88"/>
      <c r="AK465" s="88"/>
      <c r="AL465" s="117"/>
      <c r="AM465" s="88"/>
      <c r="AN465" s="88"/>
      <c r="AO465" s="88"/>
      <c r="AQ465" s="149">
        <f>SUM(O465:AO465)</f>
        <v>1</v>
      </c>
      <c r="AR465" s="146"/>
      <c r="AT465" s="389"/>
      <c r="AV465" s="266"/>
      <c r="AW465" s="266"/>
      <c r="BA465" s="318">
        <f t="shared" si="282"/>
        <v>0</v>
      </c>
    </row>
    <row r="466" spans="1:53" s="2" customFormat="1" ht="10.5" hidden="1" customHeight="1">
      <c r="A466" s="11" t="s">
        <v>13</v>
      </c>
      <c r="B466" s="15"/>
      <c r="C466" s="343"/>
      <c r="D466" s="340"/>
      <c r="E466" s="358"/>
      <c r="F466" s="370"/>
      <c r="G466" s="277"/>
      <c r="H466" s="277"/>
      <c r="I466" s="277"/>
      <c r="J466" s="277"/>
      <c r="K466" s="277"/>
      <c r="L466" s="277"/>
      <c r="M466" s="59"/>
      <c r="N466" s="48"/>
      <c r="O466" s="251"/>
      <c r="P466" s="251"/>
      <c r="Q466" s="251"/>
      <c r="R466" s="251"/>
      <c r="S466" s="251"/>
      <c r="T466" s="251"/>
      <c r="U466" s="93"/>
      <c r="V466" s="117"/>
      <c r="W466" s="96"/>
      <c r="X466" s="93"/>
      <c r="Y466" s="93"/>
      <c r="Z466" s="63"/>
      <c r="AA466" s="63"/>
      <c r="AB466" s="63"/>
      <c r="AC466" s="63"/>
      <c r="AD466" s="63"/>
      <c r="AE466" s="63"/>
      <c r="AF466" s="88"/>
      <c r="AG466" s="88"/>
      <c r="AH466" s="88"/>
      <c r="AI466" s="88"/>
      <c r="AJ466" s="88"/>
      <c r="AK466" s="88"/>
      <c r="AL466" s="117"/>
      <c r="AM466" s="88"/>
      <c r="AN466" s="88"/>
      <c r="AO466" s="88"/>
      <c r="AQ466" s="145"/>
      <c r="AR466" s="146"/>
      <c r="AT466" s="389"/>
      <c r="AV466" s="197"/>
      <c r="AW466" s="197"/>
      <c r="BA466" s="318">
        <f t="shared" si="282"/>
        <v>0</v>
      </c>
    </row>
    <row r="467" spans="1:53" s="2" customFormat="1" ht="10.5" customHeight="1">
      <c r="A467" s="12">
        <v>1</v>
      </c>
      <c r="B467" s="15"/>
      <c r="C467" s="344"/>
      <c r="D467" s="341"/>
      <c r="E467" s="359"/>
      <c r="F467" s="371"/>
      <c r="G467" s="307">
        <f>ROUND(G464*$F464,2)</f>
        <v>107177.28</v>
      </c>
      <c r="H467" s="307">
        <f>ROUND(H464*$F464,2)</f>
        <v>107177.28</v>
      </c>
      <c r="I467" s="307">
        <f>ROUND(I464*$F464,2)</f>
        <v>0</v>
      </c>
      <c r="J467" s="307">
        <f>J464*$F464</f>
        <v>0</v>
      </c>
      <c r="K467" s="307">
        <f>ROUND(K464*$F464,2)</f>
        <v>107177.28</v>
      </c>
      <c r="L467" s="307">
        <f>ROUND(L464*$F464,2)</f>
        <v>107177.28</v>
      </c>
      <c r="M467" s="59"/>
      <c r="N467" s="49" t="s">
        <v>164</v>
      </c>
      <c r="O467" s="252"/>
      <c r="P467" s="252"/>
      <c r="Q467" s="252"/>
      <c r="R467" s="252"/>
      <c r="S467" s="252"/>
      <c r="T467" s="252"/>
      <c r="U467" s="94">
        <f>U464*$F464</f>
        <v>0</v>
      </c>
      <c r="V467" s="118"/>
      <c r="W467" s="94"/>
      <c r="X467" s="64">
        <f>X464*$F464</f>
        <v>0</v>
      </c>
      <c r="Y467" s="64">
        <f>Y464*$F464</f>
        <v>0</v>
      </c>
      <c r="Z467" s="64">
        <f>ROUND(Z464*$F464,2)</f>
        <v>0</v>
      </c>
      <c r="AA467" s="64">
        <f>ROUND(AA464*$F464,2)</f>
        <v>0</v>
      </c>
      <c r="AB467" s="64">
        <f>ROUND(AB464*$F464,2)</f>
        <v>51036.800000000003</v>
      </c>
      <c r="AC467" s="64">
        <f>ROUND(AC464*$F464,2)</f>
        <v>56140.480000000003</v>
      </c>
      <c r="AD467" s="64">
        <f>AD464*$F464</f>
        <v>0</v>
      </c>
      <c r="AE467" s="64">
        <f>AE464*$F464</f>
        <v>0</v>
      </c>
      <c r="AF467" s="91"/>
      <c r="AG467" s="91"/>
      <c r="AH467" s="91"/>
      <c r="AI467" s="91"/>
      <c r="AJ467" s="91"/>
      <c r="AK467" s="91"/>
      <c r="AL467" s="123"/>
      <c r="AM467" s="91"/>
      <c r="AN467" s="91"/>
      <c r="AO467" s="91"/>
      <c r="AQ467" s="69">
        <f>SUM(O467:AO467)</f>
        <v>107177.28</v>
      </c>
      <c r="AR467" s="69">
        <f>+K467-AQ467</f>
        <v>0</v>
      </c>
      <c r="AT467" s="390"/>
      <c r="AV467" s="196"/>
      <c r="AW467" s="196"/>
      <c r="BA467" s="318">
        <f t="shared" si="282"/>
        <v>0</v>
      </c>
    </row>
    <row r="468" spans="1:53" s="2" customFormat="1" ht="10.5" customHeight="1">
      <c r="A468" s="12"/>
      <c r="B468" s="15"/>
      <c r="C468" s="342">
        <v>100</v>
      </c>
      <c r="D468" s="339" t="s">
        <v>144</v>
      </c>
      <c r="E468" s="357" t="s">
        <v>235</v>
      </c>
      <c r="F468" s="369">
        <v>77.5</v>
      </c>
      <c r="G468" s="284">
        <v>1225</v>
      </c>
      <c r="H468" s="284">
        <v>1225</v>
      </c>
      <c r="I468" s="284"/>
      <c r="J468" s="284"/>
      <c r="K468" s="284">
        <f>H468+J468</f>
        <v>1225</v>
      </c>
      <c r="L468" s="284">
        <f>+H468-I468+J468</f>
        <v>1225</v>
      </c>
      <c r="M468" s="59"/>
      <c r="N468" s="47" t="s">
        <v>162</v>
      </c>
      <c r="O468" s="250"/>
      <c r="P468" s="250"/>
      <c r="Q468" s="250"/>
      <c r="R468" s="250"/>
      <c r="S468" s="250"/>
      <c r="T468" s="250"/>
      <c r="U468" s="95">
        <f>+I468</f>
        <v>0</v>
      </c>
      <c r="V468" s="119"/>
      <c r="W468" s="95"/>
      <c r="X468" s="61"/>
      <c r="Y468" s="61"/>
      <c r="Z468" s="61"/>
      <c r="AA468" s="61"/>
      <c r="AB468" s="61">
        <v>400</v>
      </c>
      <c r="AC468" s="61">
        <v>825</v>
      </c>
      <c r="AD468" s="61"/>
      <c r="AE468" s="61"/>
      <c r="AF468" s="92"/>
      <c r="AG468" s="92"/>
      <c r="AH468" s="92"/>
      <c r="AI468" s="92"/>
      <c r="AJ468" s="92"/>
      <c r="AK468" s="92"/>
      <c r="AL468" s="117"/>
      <c r="AM468" s="92"/>
      <c r="AN468" s="92"/>
      <c r="AO468" s="92"/>
      <c r="AQ468" s="144">
        <f>SUM(O468:AO468)</f>
        <v>1225</v>
      </c>
      <c r="AR468" s="144">
        <f>+K468-AQ468</f>
        <v>0</v>
      </c>
      <c r="AT468" s="372">
        <f>+F468*K468</f>
        <v>94937.5</v>
      </c>
      <c r="AV468" s="263">
        <f>SUM(W468:AO468)</f>
        <v>1225</v>
      </c>
      <c r="AW468" s="263">
        <f>+L468-AV468</f>
        <v>0</v>
      </c>
      <c r="BA468" s="318">
        <f t="shared" si="282"/>
        <v>0</v>
      </c>
    </row>
    <row r="469" spans="1:53" s="2" customFormat="1" ht="10.5" customHeight="1">
      <c r="A469" s="10" t="s">
        <v>12</v>
      </c>
      <c r="B469" s="15"/>
      <c r="C469" s="343"/>
      <c r="D469" s="340"/>
      <c r="E469" s="358"/>
      <c r="F469" s="370"/>
      <c r="G469" s="277"/>
      <c r="H469" s="277"/>
      <c r="I469" s="277"/>
      <c r="J469" s="277"/>
      <c r="K469" s="277"/>
      <c r="L469" s="277"/>
      <c r="M469" s="59"/>
      <c r="N469" s="47" t="s">
        <v>163</v>
      </c>
      <c r="O469" s="251"/>
      <c r="P469" s="251"/>
      <c r="Q469" s="251"/>
      <c r="R469" s="251"/>
      <c r="S469" s="251"/>
      <c r="T469" s="251"/>
      <c r="U469" s="93">
        <f>+U468/K468</f>
        <v>0</v>
      </c>
      <c r="V469" s="116"/>
      <c r="W469" s="93"/>
      <c r="X469" s="62">
        <f>+X468/$K468</f>
        <v>0</v>
      </c>
      <c r="Y469" s="62">
        <f>+Y468/$K468</f>
        <v>0</v>
      </c>
      <c r="Z469" s="62">
        <f>ROUND(Z468/$K468,5)</f>
        <v>0</v>
      </c>
      <c r="AA469" s="62">
        <f>ROUND(AA468/$K468,5)</f>
        <v>0</v>
      </c>
      <c r="AB469" s="62">
        <f>ROUND(AB468/$K468,5)</f>
        <v>0.32650000000000001</v>
      </c>
      <c r="AC469" s="62">
        <f>ROUND(AC468/$K468,5)</f>
        <v>0.67349999999999999</v>
      </c>
      <c r="AD469" s="62">
        <f>+AD468/$K468</f>
        <v>0</v>
      </c>
      <c r="AE469" s="62">
        <f>+AE468/$K468</f>
        <v>0</v>
      </c>
      <c r="AF469" s="88"/>
      <c r="AG469" s="88"/>
      <c r="AH469" s="88"/>
      <c r="AI469" s="88"/>
      <c r="AJ469" s="88"/>
      <c r="AK469" s="88"/>
      <c r="AL469" s="117"/>
      <c r="AM469" s="88"/>
      <c r="AN469" s="88"/>
      <c r="AO469" s="88"/>
      <c r="AQ469" s="149">
        <f>SUM(O469:AO469)</f>
        <v>1</v>
      </c>
      <c r="AR469" s="146"/>
      <c r="AT469" s="389"/>
      <c r="AV469" s="266"/>
      <c r="AW469" s="266"/>
      <c r="BA469" s="318">
        <f t="shared" si="282"/>
        <v>0</v>
      </c>
    </row>
    <row r="470" spans="1:53" s="2" customFormat="1" ht="10.5" hidden="1" customHeight="1">
      <c r="A470" s="11" t="s">
        <v>13</v>
      </c>
      <c r="B470" s="15"/>
      <c r="C470" s="343"/>
      <c r="D470" s="340"/>
      <c r="E470" s="358" t="s">
        <v>191</v>
      </c>
      <c r="F470" s="370"/>
      <c r="G470" s="277"/>
      <c r="H470" s="277"/>
      <c r="I470" s="277"/>
      <c r="J470" s="277"/>
      <c r="K470" s="277"/>
      <c r="L470" s="277"/>
      <c r="M470" s="59"/>
      <c r="N470" s="48"/>
      <c r="O470" s="251"/>
      <c r="P470" s="251"/>
      <c r="Q470" s="251"/>
      <c r="R470" s="251"/>
      <c r="S470" s="251"/>
      <c r="T470" s="251"/>
      <c r="U470" s="93"/>
      <c r="V470" s="117"/>
      <c r="W470" s="96"/>
      <c r="X470" s="93"/>
      <c r="Y470" s="93"/>
      <c r="Z470" s="63"/>
      <c r="AA470" s="63"/>
      <c r="AB470" s="63"/>
      <c r="AC470" s="63"/>
      <c r="AD470" s="63"/>
      <c r="AE470" s="63"/>
      <c r="AF470" s="88"/>
      <c r="AG470" s="88"/>
      <c r="AH470" s="88"/>
      <c r="AI470" s="88"/>
      <c r="AJ470" s="88"/>
      <c r="AK470" s="88"/>
      <c r="AL470" s="117"/>
      <c r="AM470" s="88"/>
      <c r="AN470" s="88"/>
      <c r="AO470" s="88"/>
      <c r="AQ470" s="145"/>
      <c r="AR470" s="146"/>
      <c r="AT470" s="389"/>
      <c r="AV470" s="197"/>
      <c r="AW470" s="197"/>
      <c r="BA470" s="318">
        <f t="shared" si="282"/>
        <v>0</v>
      </c>
    </row>
    <row r="471" spans="1:53" s="2" customFormat="1" ht="10.5" customHeight="1">
      <c r="A471" s="12">
        <v>1</v>
      </c>
      <c r="B471" s="15"/>
      <c r="C471" s="344"/>
      <c r="D471" s="341"/>
      <c r="E471" s="359"/>
      <c r="F471" s="371"/>
      <c r="G471" s="307">
        <f>ROUND(G468*$F468,2)</f>
        <v>94937.5</v>
      </c>
      <c r="H471" s="307">
        <f>ROUND(H468*$F468,2)</f>
        <v>94937.5</v>
      </c>
      <c r="I471" s="307">
        <f>ROUND(I468*$F468,2)</f>
        <v>0</v>
      </c>
      <c r="J471" s="307">
        <f>J468*$F468</f>
        <v>0</v>
      </c>
      <c r="K471" s="307">
        <f>ROUND(K468*$F468,2)</f>
        <v>94937.5</v>
      </c>
      <c r="L471" s="307">
        <f>ROUND(L468*$F468,2)</f>
        <v>94937.5</v>
      </c>
      <c r="M471" s="60"/>
      <c r="N471" s="49" t="s">
        <v>164</v>
      </c>
      <c r="O471" s="252"/>
      <c r="P471" s="252"/>
      <c r="Q471" s="252"/>
      <c r="R471" s="252"/>
      <c r="S471" s="252"/>
      <c r="T471" s="252"/>
      <c r="U471" s="94">
        <f>U468*$F468</f>
        <v>0</v>
      </c>
      <c r="V471" s="205"/>
      <c r="W471" s="94"/>
      <c r="X471" s="64">
        <f>X468*$F468</f>
        <v>0</v>
      </c>
      <c r="Y471" s="64">
        <f>Y468*$F468</f>
        <v>0</v>
      </c>
      <c r="Z471" s="64">
        <f>ROUND(Z468*$F468,2)</f>
        <v>0</v>
      </c>
      <c r="AA471" s="64">
        <f>ROUND(AA468*$F468,2)</f>
        <v>0</v>
      </c>
      <c r="AB471" s="64">
        <f>ROUND(AB468*$F468,2)</f>
        <v>31000</v>
      </c>
      <c r="AC471" s="64">
        <f>ROUND(AC468*$F468,2)</f>
        <v>63937.5</v>
      </c>
      <c r="AD471" s="64">
        <f>AD468*$F468</f>
        <v>0</v>
      </c>
      <c r="AE471" s="64">
        <f>AE468*$F468</f>
        <v>0</v>
      </c>
      <c r="AF471" s="91"/>
      <c r="AG471" s="91"/>
      <c r="AH471" s="91"/>
      <c r="AI471" s="91"/>
      <c r="AJ471" s="91"/>
      <c r="AK471" s="91"/>
      <c r="AL471" s="123"/>
      <c r="AM471" s="91"/>
      <c r="AN471" s="91"/>
      <c r="AO471" s="91"/>
      <c r="AQ471" s="69">
        <f>SUM(O471:AO471)</f>
        <v>94937.5</v>
      </c>
      <c r="AR471" s="69">
        <f>+K471-AQ471</f>
        <v>0</v>
      </c>
      <c r="AT471" s="390"/>
      <c r="AV471" s="197"/>
      <c r="AW471" s="197"/>
      <c r="BA471" s="318">
        <f t="shared" si="282"/>
        <v>0</v>
      </c>
    </row>
    <row r="472" spans="1:53" s="2" customFormat="1" ht="7.5" customHeight="1">
      <c r="A472" s="12"/>
      <c r="B472" s="15"/>
      <c r="C472" s="199"/>
      <c r="D472" s="237"/>
      <c r="E472" s="200"/>
      <c r="F472" s="218"/>
      <c r="G472" s="230"/>
      <c r="H472" s="230"/>
      <c r="I472" s="230"/>
      <c r="J472" s="230"/>
      <c r="K472" s="230"/>
      <c r="L472" s="231"/>
      <c r="M472" s="230"/>
      <c r="N472" s="202"/>
      <c r="O472" s="202"/>
      <c r="P472" s="202"/>
      <c r="Q472" s="202"/>
      <c r="R472" s="202"/>
      <c r="S472" s="202"/>
      <c r="T472" s="202"/>
      <c r="U472" s="128"/>
      <c r="V472" s="140"/>
      <c r="W472" s="140"/>
      <c r="X472" s="140"/>
      <c r="Y472" s="197"/>
      <c r="Z472" s="197"/>
      <c r="AA472" s="197"/>
      <c r="AB472" s="203"/>
      <c r="AC472" s="203"/>
      <c r="AD472" s="203"/>
      <c r="AE472" s="203"/>
      <c r="AF472" s="197"/>
      <c r="AG472" s="197"/>
      <c r="AH472" s="197"/>
      <c r="AI472" s="197"/>
      <c r="AJ472" s="197"/>
      <c r="AK472" s="197"/>
      <c r="AL472" s="229"/>
      <c r="AM472" s="197"/>
      <c r="AN472" s="197"/>
      <c r="AO472" s="298"/>
      <c r="AP472" s="204"/>
      <c r="AQ472" s="197"/>
      <c r="AR472" s="197"/>
      <c r="AS472" s="204"/>
      <c r="AT472" s="198"/>
      <c r="AU472" s="204"/>
      <c r="AV472" s="243"/>
      <c r="AW472" s="243"/>
      <c r="AX472" s="204"/>
      <c r="AY472" s="204"/>
      <c r="BA472" s="318">
        <f t="shared" si="282"/>
        <v>0</v>
      </c>
    </row>
    <row r="473" spans="1:53" s="2" customFormat="1" ht="10.5" customHeight="1">
      <c r="A473" s="12"/>
      <c r="B473" s="15"/>
      <c r="C473" s="381" t="s">
        <v>225</v>
      </c>
      <c r="D473" s="382"/>
      <c r="E473" s="382"/>
      <c r="F473" s="382"/>
      <c r="G473" s="382"/>
      <c r="H473" s="382"/>
      <c r="I473" s="383"/>
      <c r="J473" s="212" t="s">
        <v>218</v>
      </c>
      <c r="K473" s="267">
        <f>SUM(U473:AO473)</f>
        <v>0.99980000000000002</v>
      </c>
      <c r="L473"/>
      <c r="M473" s="222"/>
      <c r="N473" s="215" t="s">
        <v>218</v>
      </c>
      <c r="O473" s="215"/>
      <c r="P473" s="215"/>
      <c r="Q473" s="215"/>
      <c r="R473" s="215"/>
      <c r="S473" s="215"/>
      <c r="T473" s="215"/>
      <c r="U473" s="258">
        <f>+U474/$K$474</f>
        <v>0.1535</v>
      </c>
      <c r="V473" s="140"/>
      <c r="W473" s="248">
        <f t="shared" ref="W473:AK473" si="283">+W474/$K$474</f>
        <v>9.4000000000000004E-3</v>
      </c>
      <c r="X473" s="248">
        <f t="shared" si="283"/>
        <v>1.1299999999999999E-2</v>
      </c>
      <c r="Y473" s="248">
        <f t="shared" si="283"/>
        <v>1.1299999999999999E-2</v>
      </c>
      <c r="Z473" s="248">
        <f t="shared" si="283"/>
        <v>8.2799999999999999E-2</v>
      </c>
      <c r="AA473" s="248">
        <f t="shared" si="283"/>
        <v>0.10009999999999999</v>
      </c>
      <c r="AB473" s="248">
        <f t="shared" si="283"/>
        <v>0.13</v>
      </c>
      <c r="AC473" s="248">
        <f t="shared" si="283"/>
        <v>0.20530000000000001</v>
      </c>
      <c r="AD473" s="248">
        <f t="shared" si="283"/>
        <v>4.36E-2</v>
      </c>
      <c r="AE473" s="248">
        <f t="shared" si="283"/>
        <v>1.61E-2</v>
      </c>
      <c r="AF473" s="248">
        <f t="shared" si="283"/>
        <v>3.9300000000000002E-2</v>
      </c>
      <c r="AG473" s="248">
        <f t="shared" si="283"/>
        <v>3.9300000000000002E-2</v>
      </c>
      <c r="AH473" s="248">
        <f t="shared" si="283"/>
        <v>3.9300000000000002E-2</v>
      </c>
      <c r="AI473" s="248">
        <f t="shared" si="283"/>
        <v>3.9300000000000002E-2</v>
      </c>
      <c r="AJ473" s="248">
        <f t="shared" si="283"/>
        <v>3.9300000000000002E-2</v>
      </c>
      <c r="AK473" s="248">
        <f t="shared" si="283"/>
        <v>3.9899999999999998E-2</v>
      </c>
      <c r="AL473" s="229"/>
      <c r="AM473" s="197"/>
      <c r="AN473" s="197"/>
      <c r="AO473" s="299"/>
      <c r="AP473" s="243"/>
      <c r="AQ473" s="197"/>
      <c r="AR473" s="197"/>
      <c r="AS473" s="243"/>
      <c r="AT473" s="198"/>
      <c r="AU473" s="243"/>
      <c r="AV473" s="243"/>
      <c r="AW473" s="243"/>
      <c r="AX473" s="243"/>
      <c r="AY473" s="243"/>
      <c r="BA473" s="318"/>
    </row>
    <row r="474" spans="1:53" s="2" customFormat="1" ht="10.5" customHeight="1">
      <c r="A474" s="12"/>
      <c r="B474" s="15"/>
      <c r="C474" s="384"/>
      <c r="D474" s="385"/>
      <c r="E474" s="385"/>
      <c r="F474" s="385"/>
      <c r="G474" s="385"/>
      <c r="H474" s="385"/>
      <c r="I474" s="386"/>
      <c r="J474" s="213" t="s">
        <v>219</v>
      </c>
      <c r="K474" s="268">
        <f>+K443+K447+K451+K455+K459+K463+K467+K471</f>
        <v>7102457.6799999997</v>
      </c>
      <c r="L474"/>
      <c r="M474" s="222"/>
      <c r="N474" s="213" t="s">
        <v>219</v>
      </c>
      <c r="O474" s="315"/>
      <c r="P474" s="315"/>
      <c r="Q474" s="315"/>
      <c r="R474" s="315"/>
      <c r="S474" s="315"/>
      <c r="T474" s="315"/>
      <c r="U474" s="261">
        <f>+U443+U447+U451+U455+U459+U463+U467+U471</f>
        <v>1090347.3400000001</v>
      </c>
      <c r="V474" s="140"/>
      <c r="W474" s="269">
        <f t="shared" ref="W474:AK474" si="284">+W443+W447+W451+W455+W459+W463+W467+W471</f>
        <v>66952.02</v>
      </c>
      <c r="X474" s="269">
        <f t="shared" si="284"/>
        <v>80410.69</v>
      </c>
      <c r="Y474" s="269">
        <f t="shared" si="284"/>
        <v>80410.69</v>
      </c>
      <c r="Z474" s="269">
        <f t="shared" si="284"/>
        <v>587728.49</v>
      </c>
      <c r="AA474" s="269">
        <f t="shared" si="284"/>
        <v>711305.89</v>
      </c>
      <c r="AB474" s="269">
        <f t="shared" si="284"/>
        <v>923424.19</v>
      </c>
      <c r="AC474" s="269">
        <f t="shared" si="284"/>
        <v>1458376.68</v>
      </c>
      <c r="AD474" s="269">
        <f t="shared" si="284"/>
        <v>309787.25</v>
      </c>
      <c r="AE474" s="269">
        <f t="shared" si="284"/>
        <v>114346.69</v>
      </c>
      <c r="AF474" s="269">
        <f t="shared" si="284"/>
        <v>279256.69</v>
      </c>
      <c r="AG474" s="269">
        <f t="shared" si="284"/>
        <v>279256.69</v>
      </c>
      <c r="AH474" s="269">
        <f t="shared" si="284"/>
        <v>279256.69</v>
      </c>
      <c r="AI474" s="269">
        <f t="shared" si="284"/>
        <v>279256.69</v>
      </c>
      <c r="AJ474" s="269">
        <f t="shared" si="284"/>
        <v>279256.69</v>
      </c>
      <c r="AK474" s="269">
        <f t="shared" si="284"/>
        <v>283084.3</v>
      </c>
      <c r="AL474" s="229"/>
      <c r="AM474" s="197"/>
      <c r="AN474" s="197"/>
      <c r="AO474" s="299"/>
      <c r="AP474" s="243"/>
      <c r="AQ474" s="197"/>
      <c r="AR474" s="197"/>
      <c r="AS474" s="243"/>
      <c r="AT474" s="198"/>
      <c r="AU474" s="243"/>
      <c r="AV474" s="243"/>
      <c r="AW474" s="243"/>
      <c r="AX474" s="243"/>
      <c r="AY474" s="243"/>
      <c r="BA474" s="318"/>
    </row>
    <row r="475" spans="1:53" s="2" customFormat="1" ht="7.5" customHeight="1">
      <c r="A475" s="12"/>
      <c r="B475" s="15"/>
      <c r="C475" s="199"/>
      <c r="D475" s="237"/>
      <c r="E475" s="190"/>
      <c r="F475" s="216"/>
      <c r="G475" s="226"/>
      <c r="H475" s="226"/>
      <c r="I475" s="226"/>
      <c r="J475" s="226"/>
      <c r="K475" s="226"/>
      <c r="L475" s="227"/>
      <c r="M475" s="226"/>
      <c r="N475" s="192"/>
      <c r="O475" s="192"/>
      <c r="P475" s="192"/>
      <c r="Q475" s="192"/>
      <c r="R475" s="192"/>
      <c r="S475" s="192"/>
      <c r="T475" s="192"/>
      <c r="U475" s="195"/>
      <c r="V475" s="140"/>
      <c r="W475" s="195"/>
      <c r="X475" s="195"/>
      <c r="Y475" s="196"/>
      <c r="Z475" s="196"/>
      <c r="AA475" s="196"/>
      <c r="AB475" s="193"/>
      <c r="AC475" s="193"/>
      <c r="AD475" s="193"/>
      <c r="AE475" s="193"/>
      <c r="AF475" s="196"/>
      <c r="AG475" s="196"/>
      <c r="AH475" s="196"/>
      <c r="AI475" s="196"/>
      <c r="AJ475" s="196"/>
      <c r="AK475" s="196"/>
      <c r="AL475" s="229"/>
      <c r="AM475" s="196"/>
      <c r="AN475" s="196"/>
      <c r="AO475" s="300"/>
      <c r="AP475" s="204"/>
      <c r="AQ475" s="197"/>
      <c r="AR475" s="197"/>
      <c r="AS475" s="204"/>
      <c r="AT475" s="198"/>
      <c r="AU475" s="204"/>
      <c r="AV475" s="243"/>
      <c r="AW475" s="243"/>
      <c r="AX475" s="204"/>
      <c r="AY475" s="204"/>
      <c r="BA475" s="318">
        <f t="shared" si="282"/>
        <v>0</v>
      </c>
    </row>
    <row r="476" spans="1:53" s="2" customFormat="1" ht="15" customHeight="1">
      <c r="A476" s="12"/>
      <c r="B476" s="15"/>
      <c r="C476" s="28">
        <v>8</v>
      </c>
      <c r="D476" s="37" t="s">
        <v>226</v>
      </c>
      <c r="E476" s="124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U476" s="125"/>
      <c r="V476" s="239"/>
      <c r="W476" s="125"/>
      <c r="X476" s="125"/>
      <c r="Y476" s="125"/>
      <c r="Z476" s="125"/>
      <c r="AA476" s="125"/>
      <c r="AB476" s="125"/>
      <c r="AC476" s="125"/>
      <c r="AD476" s="125"/>
      <c r="AE476" s="125"/>
      <c r="AF476" s="125"/>
      <c r="AG476" s="125"/>
      <c r="AH476" s="125"/>
      <c r="AI476" s="125"/>
      <c r="AJ476" s="125"/>
      <c r="AK476" s="125"/>
      <c r="AL476" s="239"/>
      <c r="AM476" s="125"/>
      <c r="AN476" s="125"/>
      <c r="AO476" s="304"/>
      <c r="AR476" s="83"/>
      <c r="AT476" s="154">
        <f>SUM(AT440:AT471)</f>
        <v>7102457.6799999997</v>
      </c>
      <c r="AU476" s="153">
        <v>15056477.470000001</v>
      </c>
      <c r="AV476" s="100">
        <f>+AU476-AT476</f>
        <v>7954019.79</v>
      </c>
      <c r="AW476" s="82"/>
      <c r="BA476" s="318">
        <f t="shared" si="282"/>
        <v>0</v>
      </c>
    </row>
    <row r="477" spans="1:53" s="2" customFormat="1" ht="10.5" customHeight="1">
      <c r="A477" s="12"/>
      <c r="B477" s="15"/>
      <c r="C477" s="362">
        <v>101</v>
      </c>
      <c r="D477" s="339" t="s">
        <v>48</v>
      </c>
      <c r="E477" s="369" t="s">
        <v>196</v>
      </c>
      <c r="F477" s="387">
        <v>2613750</v>
      </c>
      <c r="G477" s="284">
        <v>3</v>
      </c>
      <c r="H477" s="284">
        <v>3</v>
      </c>
      <c r="I477" s="284">
        <v>0</v>
      </c>
      <c r="J477" s="284"/>
      <c r="K477" s="284">
        <f>H477+J477</f>
        <v>3</v>
      </c>
      <c r="L477" s="284">
        <f>+H477-I477+J477</f>
        <v>3</v>
      </c>
      <c r="M477" s="366"/>
      <c r="N477" s="85" t="s">
        <v>162</v>
      </c>
      <c r="O477" s="85"/>
      <c r="P477" s="85"/>
      <c r="Q477" s="85"/>
      <c r="R477" s="85"/>
      <c r="S477" s="85"/>
      <c r="T477" s="85"/>
      <c r="U477" s="95">
        <f>+I477</f>
        <v>0</v>
      </c>
      <c r="V477" s="117"/>
      <c r="W477" s="92"/>
      <c r="X477" s="92"/>
      <c r="Y477" s="92"/>
      <c r="Z477" s="92"/>
      <c r="AA477" s="92"/>
      <c r="AB477" s="92"/>
      <c r="AC477" s="92"/>
      <c r="AD477" s="92"/>
      <c r="AE477" s="92"/>
      <c r="AF477" s="92"/>
      <c r="AG477" s="92"/>
      <c r="AH477" s="92"/>
      <c r="AI477" s="92"/>
      <c r="AJ477" s="92"/>
      <c r="AK477" s="92"/>
      <c r="AL477" s="117"/>
      <c r="AM477" s="61">
        <v>1</v>
      </c>
      <c r="AN477" s="61">
        <v>1</v>
      </c>
      <c r="AO477" s="61">
        <v>1</v>
      </c>
      <c r="AQ477" s="144">
        <f>SUM(O477:AO477)</f>
        <v>3</v>
      </c>
      <c r="AR477" s="144">
        <f>+K477-AQ477</f>
        <v>0</v>
      </c>
      <c r="AT477" s="372">
        <f>+F477*K477</f>
        <v>7841250</v>
      </c>
      <c r="AV477" s="263">
        <f>SUM(W477:AO477)</f>
        <v>3</v>
      </c>
      <c r="AW477" s="263">
        <f>+L477-AV477</f>
        <v>0</v>
      </c>
      <c r="BA477" s="318">
        <f t="shared" si="282"/>
        <v>0</v>
      </c>
    </row>
    <row r="478" spans="1:53" s="2" customFormat="1" ht="10.5" customHeight="1">
      <c r="A478" s="10" t="s">
        <v>12</v>
      </c>
      <c r="B478" s="15"/>
      <c r="C478" s="362"/>
      <c r="D478" s="340"/>
      <c r="E478" s="370"/>
      <c r="F478" s="387"/>
      <c r="G478" s="277"/>
      <c r="H478" s="277"/>
      <c r="I478" s="277"/>
      <c r="J478" s="277"/>
      <c r="K478" s="277"/>
      <c r="L478" s="277"/>
      <c r="M478" s="367"/>
      <c r="N478" s="87" t="s">
        <v>163</v>
      </c>
      <c r="O478" s="87"/>
      <c r="P478" s="87"/>
      <c r="Q478" s="87"/>
      <c r="R478" s="87"/>
      <c r="S478" s="87"/>
      <c r="T478" s="87"/>
      <c r="U478" s="93">
        <f>+U477/K477</f>
        <v>0</v>
      </c>
      <c r="V478" s="117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117"/>
      <c r="AM478" s="62">
        <f>ROUND(AM477/$K477,5)</f>
        <v>0.33329999999999999</v>
      </c>
      <c r="AN478" s="62">
        <f>ROUND(AN477/$K477,5)</f>
        <v>0.33329999999999999</v>
      </c>
      <c r="AO478" s="62">
        <f>ROUND(AO477/$K477,5)</f>
        <v>0.33329999999999999</v>
      </c>
      <c r="AQ478" s="149">
        <f>SUM(O478:AO478)</f>
        <v>0.99990000000000001</v>
      </c>
      <c r="AR478" s="146"/>
      <c r="AT478" s="389"/>
      <c r="AV478" s="266"/>
      <c r="AW478" s="266"/>
      <c r="BA478" s="318">
        <f t="shared" si="282"/>
        <v>0</v>
      </c>
    </row>
    <row r="479" spans="1:53" s="2" customFormat="1" ht="10.5" hidden="1" customHeight="1">
      <c r="A479" s="11" t="s">
        <v>13</v>
      </c>
      <c r="B479" s="15"/>
      <c r="C479" s="362"/>
      <c r="D479" s="340"/>
      <c r="E479" s="370"/>
      <c r="F479" s="387"/>
      <c r="G479" s="277"/>
      <c r="H479" s="277"/>
      <c r="I479" s="277"/>
      <c r="J479" s="277"/>
      <c r="K479" s="277"/>
      <c r="L479" s="277"/>
      <c r="M479" s="367"/>
      <c r="N479" s="89"/>
      <c r="O479" s="89"/>
      <c r="P479" s="89"/>
      <c r="Q479" s="89"/>
      <c r="R479" s="89"/>
      <c r="S479" s="89"/>
      <c r="T479" s="89"/>
      <c r="U479" s="93"/>
      <c r="V479" s="117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117"/>
      <c r="AM479" s="63"/>
      <c r="AN479" s="63"/>
      <c r="AO479" s="63"/>
      <c r="AQ479" s="145"/>
      <c r="AR479" s="146"/>
      <c r="AT479" s="389"/>
      <c r="AV479" s="197"/>
      <c r="AW479" s="197"/>
      <c r="BA479" s="318">
        <f t="shared" si="282"/>
        <v>0</v>
      </c>
    </row>
    <row r="480" spans="1:53" s="2" customFormat="1" ht="10.5" customHeight="1">
      <c r="A480" s="12">
        <v>1</v>
      </c>
      <c r="B480" s="15"/>
      <c r="C480" s="362"/>
      <c r="D480" s="341"/>
      <c r="E480" s="371"/>
      <c r="F480" s="388"/>
      <c r="G480" s="307">
        <f>ROUND(G477*$F477,2)</f>
        <v>7841250</v>
      </c>
      <c r="H480" s="307">
        <f>ROUND(H477*$F477,2)</f>
        <v>7841250</v>
      </c>
      <c r="I480" s="307">
        <f>ROUND(I477*$F477,2)</f>
        <v>0</v>
      </c>
      <c r="J480" s="307">
        <f>J477*$F477</f>
        <v>0</v>
      </c>
      <c r="K480" s="307">
        <f>ROUND(K477*$F477,2)</f>
        <v>7841250</v>
      </c>
      <c r="L480" s="307">
        <f>ROUND(L477*$F477,2)</f>
        <v>7841250</v>
      </c>
      <c r="M480" s="368"/>
      <c r="N480" s="90" t="s">
        <v>164</v>
      </c>
      <c r="O480" s="90"/>
      <c r="P480" s="90"/>
      <c r="Q480" s="90"/>
      <c r="R480" s="90"/>
      <c r="S480" s="90"/>
      <c r="T480" s="90"/>
      <c r="U480" s="94">
        <f>U477*$F477</f>
        <v>0</v>
      </c>
      <c r="V480" s="123"/>
      <c r="W480" s="91"/>
      <c r="X480" s="91"/>
      <c r="Y480" s="91"/>
      <c r="Z480" s="91"/>
      <c r="AA480" s="91"/>
      <c r="AB480" s="91"/>
      <c r="AC480" s="91"/>
      <c r="AD480" s="91"/>
      <c r="AE480" s="91"/>
      <c r="AF480" s="91"/>
      <c r="AG480" s="91"/>
      <c r="AH480" s="91"/>
      <c r="AI480" s="91"/>
      <c r="AJ480" s="91"/>
      <c r="AK480" s="91"/>
      <c r="AL480" s="123"/>
      <c r="AM480" s="64">
        <f>ROUND(AM477*$F477,2)</f>
        <v>2613750</v>
      </c>
      <c r="AN480" s="64">
        <f>ROUND(AN477*$F477,2)</f>
        <v>2613750</v>
      </c>
      <c r="AO480" s="64">
        <f>ROUND(AO477*$F477,2)</f>
        <v>2613750</v>
      </c>
      <c r="AQ480" s="69">
        <f>SUM(O480:AO480)</f>
        <v>7841250</v>
      </c>
      <c r="AR480" s="69">
        <f>+K480-AQ480</f>
        <v>0</v>
      </c>
      <c r="AT480" s="390"/>
      <c r="AV480" s="196"/>
      <c r="AW480" s="196"/>
      <c r="BA480" s="318">
        <f t="shared" si="282"/>
        <v>0</v>
      </c>
    </row>
    <row r="481" spans="1:57" s="2" customFormat="1" ht="10.5" customHeight="1">
      <c r="A481" s="12"/>
      <c r="B481" s="15"/>
      <c r="C481" s="362">
        <v>102</v>
      </c>
      <c r="D481" s="339" t="s">
        <v>194</v>
      </c>
      <c r="E481" s="369" t="s">
        <v>196</v>
      </c>
      <c r="F481" s="387">
        <v>125257.93</v>
      </c>
      <c r="G481" s="284">
        <v>0</v>
      </c>
      <c r="H481" s="284">
        <v>3</v>
      </c>
      <c r="I481" s="284"/>
      <c r="J481" s="284"/>
      <c r="K481" s="284">
        <f>H481+J481</f>
        <v>3</v>
      </c>
      <c r="L481" s="284">
        <f>+H481-I481+J481</f>
        <v>3</v>
      </c>
      <c r="M481" s="366"/>
      <c r="N481" s="85" t="s">
        <v>162</v>
      </c>
      <c r="O481" s="85"/>
      <c r="P481" s="85"/>
      <c r="Q481" s="85"/>
      <c r="R481" s="85"/>
      <c r="S481" s="85"/>
      <c r="T481" s="85"/>
      <c r="U481" s="95">
        <f>+I481</f>
        <v>0</v>
      </c>
      <c r="V481" s="117"/>
      <c r="W481" s="92"/>
      <c r="X481" s="92"/>
      <c r="Y481" s="92"/>
      <c r="Z481" s="92"/>
      <c r="AA481" s="92"/>
      <c r="AB481" s="92"/>
      <c r="AC481" s="92"/>
      <c r="AD481" s="92"/>
      <c r="AE481" s="92"/>
      <c r="AF481" s="92"/>
      <c r="AG481" s="92"/>
      <c r="AH481" s="92"/>
      <c r="AI481" s="92"/>
      <c r="AJ481" s="92"/>
      <c r="AK481" s="92"/>
      <c r="AL481" s="117"/>
      <c r="AM481" s="61">
        <v>1</v>
      </c>
      <c r="AN481" s="61">
        <v>1</v>
      </c>
      <c r="AO481" s="61">
        <v>1</v>
      </c>
      <c r="AQ481" s="144">
        <f>SUM(O481:AO481)</f>
        <v>3</v>
      </c>
      <c r="AR481" s="144">
        <f>+K481-AQ481</f>
        <v>0</v>
      </c>
      <c r="AT481" s="372">
        <f>+F481*K481</f>
        <v>375773.79</v>
      </c>
      <c r="AV481" s="263">
        <f>SUM(W481:AO481)</f>
        <v>3</v>
      </c>
      <c r="AW481" s="263">
        <f>+L481-AV481</f>
        <v>0</v>
      </c>
      <c r="BA481" s="318">
        <f t="shared" si="282"/>
        <v>0</v>
      </c>
    </row>
    <row r="482" spans="1:57" s="2" customFormat="1" ht="10.5" customHeight="1">
      <c r="A482" s="10" t="s">
        <v>12</v>
      </c>
      <c r="B482" s="15"/>
      <c r="C482" s="362"/>
      <c r="D482" s="340"/>
      <c r="E482" s="370"/>
      <c r="F482" s="387"/>
      <c r="G482" s="277"/>
      <c r="H482" s="277"/>
      <c r="I482" s="277"/>
      <c r="J482" s="277"/>
      <c r="K482" s="277"/>
      <c r="L482" s="277"/>
      <c r="M482" s="367"/>
      <c r="N482" s="87" t="s">
        <v>163</v>
      </c>
      <c r="O482" s="87"/>
      <c r="P482" s="87"/>
      <c r="Q482" s="87"/>
      <c r="R482" s="87"/>
      <c r="S482" s="87"/>
      <c r="T482" s="87"/>
      <c r="U482" s="93">
        <f>+U481/K481</f>
        <v>0</v>
      </c>
      <c r="V482" s="117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117"/>
      <c r="AM482" s="62">
        <f>ROUND(AM481/$K481,5)</f>
        <v>0.33329999999999999</v>
      </c>
      <c r="AN482" s="62">
        <f>ROUND(AN481/$K481,5)</f>
        <v>0.33329999999999999</v>
      </c>
      <c r="AO482" s="62">
        <f>ROUND(AO481/$K481,5)</f>
        <v>0.33329999999999999</v>
      </c>
      <c r="AQ482" s="149">
        <f>SUM(O482:AO482)</f>
        <v>0.99990000000000001</v>
      </c>
      <c r="AR482" s="146"/>
      <c r="AT482" s="389"/>
      <c r="AV482" s="266"/>
      <c r="AW482" s="266"/>
      <c r="BA482" s="318">
        <f t="shared" si="282"/>
        <v>0</v>
      </c>
    </row>
    <row r="483" spans="1:57" s="2" customFormat="1" ht="10.5" hidden="1" customHeight="1">
      <c r="A483" s="11" t="s">
        <v>13</v>
      </c>
      <c r="B483" s="15"/>
      <c r="C483" s="362"/>
      <c r="D483" s="340"/>
      <c r="E483" s="370"/>
      <c r="F483" s="387"/>
      <c r="G483" s="277"/>
      <c r="H483" s="277"/>
      <c r="I483" s="277"/>
      <c r="J483" s="277"/>
      <c r="K483" s="277"/>
      <c r="L483" s="277"/>
      <c r="M483" s="367"/>
      <c r="N483" s="89"/>
      <c r="O483" s="89"/>
      <c r="P483" s="89"/>
      <c r="Q483" s="89"/>
      <c r="R483" s="89"/>
      <c r="S483" s="89"/>
      <c r="T483" s="89"/>
      <c r="U483" s="93"/>
      <c r="V483" s="117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117"/>
      <c r="AM483" s="63"/>
      <c r="AN483" s="63"/>
      <c r="AO483" s="63"/>
      <c r="AQ483" s="145"/>
      <c r="AR483" s="146"/>
      <c r="AT483" s="389"/>
      <c r="AV483" s="197"/>
      <c r="AW483" s="197"/>
      <c r="BA483" s="318">
        <f t="shared" si="282"/>
        <v>0</v>
      </c>
    </row>
    <row r="484" spans="1:57" s="2" customFormat="1" ht="10.5" customHeight="1">
      <c r="A484" s="12">
        <v>1</v>
      </c>
      <c r="B484" s="15"/>
      <c r="C484" s="362"/>
      <c r="D484" s="341"/>
      <c r="E484" s="371"/>
      <c r="F484" s="388"/>
      <c r="G484" s="307">
        <f>ROUND(G481*$F481,2)</f>
        <v>0</v>
      </c>
      <c r="H484" s="307">
        <f>ROUND(H481*$F481,2)</f>
        <v>375773.79</v>
      </c>
      <c r="I484" s="307">
        <f>ROUND(I481*$F481,2)</f>
        <v>0</v>
      </c>
      <c r="J484" s="307">
        <f>J481*$F481</f>
        <v>0</v>
      </c>
      <c r="K484" s="307">
        <f>ROUND(K481*$F481,2)</f>
        <v>375773.79</v>
      </c>
      <c r="L484" s="307">
        <f>ROUND(L481*$F481,2)</f>
        <v>375773.79</v>
      </c>
      <c r="M484" s="368"/>
      <c r="N484" s="90" t="s">
        <v>164</v>
      </c>
      <c r="O484" s="90"/>
      <c r="P484" s="90"/>
      <c r="Q484" s="90"/>
      <c r="R484" s="90"/>
      <c r="S484" s="90"/>
      <c r="T484" s="90"/>
      <c r="U484" s="94">
        <f>U481*$F481</f>
        <v>0</v>
      </c>
      <c r="V484" s="123"/>
      <c r="W484" s="91"/>
      <c r="X484" s="91"/>
      <c r="Y484" s="91"/>
      <c r="Z484" s="91"/>
      <c r="AA484" s="91"/>
      <c r="AB484" s="91"/>
      <c r="AC484" s="91"/>
      <c r="AD484" s="91"/>
      <c r="AE484" s="91"/>
      <c r="AF484" s="91"/>
      <c r="AG484" s="91"/>
      <c r="AH484" s="91"/>
      <c r="AI484" s="91"/>
      <c r="AJ484" s="91"/>
      <c r="AK484" s="91"/>
      <c r="AL484" s="123"/>
      <c r="AM484" s="64">
        <f>ROUND(AM481*$F481,2)</f>
        <v>125257.93</v>
      </c>
      <c r="AN484" s="64">
        <f>ROUND(AN481*$F481,2)</f>
        <v>125257.93</v>
      </c>
      <c r="AO484" s="64">
        <f>ROUND(AO481*$F481,2)</f>
        <v>125257.93</v>
      </c>
      <c r="AQ484" s="69">
        <f>SUM(O484:AO484)</f>
        <v>375773.79</v>
      </c>
      <c r="AR484" s="69">
        <f>+K484-AQ484</f>
        <v>0</v>
      </c>
      <c r="AT484" s="390"/>
      <c r="AV484" s="197"/>
      <c r="AW484" s="197"/>
      <c r="BA484" s="318">
        <f t="shared" si="282"/>
        <v>0</v>
      </c>
    </row>
    <row r="485" spans="1:57" s="2" customFormat="1" ht="7.5" customHeight="1">
      <c r="A485" s="12"/>
      <c r="B485" s="15"/>
      <c r="C485" s="189"/>
      <c r="D485" s="240"/>
      <c r="E485" s="241"/>
      <c r="F485" s="218"/>
      <c r="G485" s="230"/>
      <c r="H485" s="230"/>
      <c r="I485" s="230"/>
      <c r="J485" s="230"/>
      <c r="K485" s="230"/>
      <c r="L485" s="231"/>
      <c r="M485" s="218"/>
      <c r="N485" s="202"/>
      <c r="O485" s="202"/>
      <c r="P485" s="202"/>
      <c r="Q485" s="202"/>
      <c r="R485" s="202"/>
      <c r="S485" s="202"/>
      <c r="T485" s="202"/>
      <c r="U485" s="140"/>
      <c r="V485" s="229"/>
      <c r="W485" s="197"/>
      <c r="X485" s="197"/>
      <c r="Y485" s="197"/>
      <c r="Z485" s="197"/>
      <c r="AA485" s="197"/>
      <c r="AB485" s="197"/>
      <c r="AC485" s="197"/>
      <c r="AD485" s="197"/>
      <c r="AE485" s="197"/>
      <c r="AF485" s="197"/>
      <c r="AG485" s="197"/>
      <c r="AH485" s="197"/>
      <c r="AI485" s="197"/>
      <c r="AJ485" s="197"/>
      <c r="AK485" s="197"/>
      <c r="AL485" s="229"/>
      <c r="AM485" s="203"/>
      <c r="AN485" s="203"/>
      <c r="AO485" s="305"/>
      <c r="AP485" s="204"/>
      <c r="AQ485" s="197"/>
      <c r="AR485" s="197"/>
      <c r="AS485" s="204"/>
      <c r="AT485" s="198"/>
      <c r="AU485" s="204"/>
      <c r="AV485" s="243"/>
      <c r="AW485" s="243"/>
      <c r="AX485" s="204"/>
      <c r="AY485" s="204"/>
      <c r="AZ485" s="204"/>
      <c r="BA485" s="318">
        <f t="shared" si="282"/>
        <v>0</v>
      </c>
      <c r="BB485" s="204"/>
      <c r="BC485" s="204"/>
      <c r="BD485" s="204"/>
      <c r="BE485" s="204"/>
    </row>
    <row r="486" spans="1:57" s="2" customFormat="1" ht="10.5" customHeight="1">
      <c r="A486" s="12"/>
      <c r="B486" s="15"/>
      <c r="C486" s="381" t="s">
        <v>228</v>
      </c>
      <c r="D486" s="382"/>
      <c r="E486" s="382"/>
      <c r="F486" s="382"/>
      <c r="G486" s="382"/>
      <c r="H486" s="382"/>
      <c r="I486" s="383"/>
      <c r="J486" s="212" t="s">
        <v>218</v>
      </c>
      <c r="K486" s="267">
        <f>SUM(U486:AO486)</f>
        <v>0.99990000000000001</v>
      </c>
      <c r="L486" s="265"/>
      <c r="M486" s="241"/>
      <c r="N486" s="215" t="s">
        <v>218</v>
      </c>
      <c r="O486" s="215"/>
      <c r="P486" s="215"/>
      <c r="Q486" s="215"/>
      <c r="R486" s="215"/>
      <c r="S486" s="215"/>
      <c r="T486" s="215"/>
      <c r="U486" s="248">
        <f>+U487/$K$487</f>
        <v>0</v>
      </c>
      <c r="V486" s="229"/>
      <c r="W486" s="248">
        <f t="shared" ref="W486:AC486" si="285">+W487/$K$487</f>
        <v>0</v>
      </c>
      <c r="X486" s="248">
        <f t="shared" si="285"/>
        <v>0</v>
      </c>
      <c r="Y486" s="248">
        <f t="shared" si="285"/>
        <v>0</v>
      </c>
      <c r="Z486" s="248">
        <f t="shared" si="285"/>
        <v>0</v>
      </c>
      <c r="AA486" s="248">
        <f t="shared" si="285"/>
        <v>0</v>
      </c>
      <c r="AB486" s="248">
        <f t="shared" si="285"/>
        <v>0</v>
      </c>
      <c r="AC486" s="248">
        <f t="shared" si="285"/>
        <v>0</v>
      </c>
      <c r="AD486" s="248">
        <f t="shared" ref="AD486:AK486" si="286">+AD487/$K$487</f>
        <v>0</v>
      </c>
      <c r="AE486" s="248">
        <f t="shared" si="286"/>
        <v>0</v>
      </c>
      <c r="AF486" s="248">
        <f t="shared" si="286"/>
        <v>0</v>
      </c>
      <c r="AG486" s="248">
        <f t="shared" si="286"/>
        <v>0</v>
      </c>
      <c r="AH486" s="248">
        <f t="shared" si="286"/>
        <v>0</v>
      </c>
      <c r="AI486" s="248">
        <f t="shared" si="286"/>
        <v>0</v>
      </c>
      <c r="AJ486" s="248">
        <f t="shared" si="286"/>
        <v>0</v>
      </c>
      <c r="AK486" s="248">
        <f t="shared" si="286"/>
        <v>0</v>
      </c>
      <c r="AL486" s="292"/>
      <c r="AM486" s="248">
        <f>+AM487/$K$487</f>
        <v>0.33329999999999999</v>
      </c>
      <c r="AN486" s="248">
        <f>+AN487/$K$487</f>
        <v>0.33329999999999999</v>
      </c>
      <c r="AO486" s="248">
        <f>+AO487/$K$487</f>
        <v>0.33329999999999999</v>
      </c>
      <c r="AP486" s="243"/>
      <c r="AQ486" s="197"/>
      <c r="AR486" s="197"/>
      <c r="AS486" s="204"/>
      <c r="AT486" s="198"/>
      <c r="AU486" s="204"/>
      <c r="AV486" s="243"/>
      <c r="AW486" s="243"/>
      <c r="AX486" s="204"/>
      <c r="AY486" s="204"/>
      <c r="AZ486" s="204"/>
      <c r="BA486" s="204"/>
      <c r="BB486" s="204"/>
      <c r="BC486" s="204"/>
      <c r="BD486" s="204"/>
      <c r="BE486" s="204"/>
    </row>
    <row r="487" spans="1:57" s="2" customFormat="1" ht="10.5" customHeight="1">
      <c r="A487" s="12"/>
      <c r="B487" s="15"/>
      <c r="C487" s="384"/>
      <c r="D487" s="385"/>
      <c r="E487" s="385"/>
      <c r="F487" s="385"/>
      <c r="G487" s="385"/>
      <c r="H487" s="385"/>
      <c r="I487" s="386"/>
      <c r="J487" s="213" t="s">
        <v>219</v>
      </c>
      <c r="K487" s="268">
        <f>+K480+K484</f>
        <v>8217023.79</v>
      </c>
      <c r="L487" s="265"/>
      <c r="M487" s="241"/>
      <c r="N487" s="213" t="s">
        <v>219</v>
      </c>
      <c r="O487" s="315"/>
      <c r="P487" s="315"/>
      <c r="Q487" s="315"/>
      <c r="R487" s="315"/>
      <c r="S487" s="315"/>
      <c r="T487" s="315"/>
      <c r="U487" s="268">
        <f>+U480+U484</f>
        <v>0</v>
      </c>
      <c r="V487" s="229"/>
      <c r="W487" s="269">
        <f t="shared" ref="W487:AC487" si="287">+W480+W484</f>
        <v>0</v>
      </c>
      <c r="X487" s="269">
        <f t="shared" si="287"/>
        <v>0</v>
      </c>
      <c r="Y487" s="269">
        <f t="shared" si="287"/>
        <v>0</v>
      </c>
      <c r="Z487" s="269">
        <f t="shared" si="287"/>
        <v>0</v>
      </c>
      <c r="AA487" s="269">
        <f t="shared" si="287"/>
        <v>0</v>
      </c>
      <c r="AB487" s="269">
        <f t="shared" si="287"/>
        <v>0</v>
      </c>
      <c r="AC487" s="269">
        <f t="shared" si="287"/>
        <v>0</v>
      </c>
      <c r="AD487" s="269">
        <f t="shared" ref="AD487:AK487" si="288">+AD480+AD484</f>
        <v>0</v>
      </c>
      <c r="AE487" s="269">
        <f t="shared" si="288"/>
        <v>0</v>
      </c>
      <c r="AF487" s="269">
        <f t="shared" si="288"/>
        <v>0</v>
      </c>
      <c r="AG487" s="269">
        <f t="shared" si="288"/>
        <v>0</v>
      </c>
      <c r="AH487" s="269">
        <f t="shared" si="288"/>
        <v>0</v>
      </c>
      <c r="AI487" s="269">
        <f t="shared" si="288"/>
        <v>0</v>
      </c>
      <c r="AJ487" s="269">
        <f t="shared" si="288"/>
        <v>0</v>
      </c>
      <c r="AK487" s="269">
        <f t="shared" si="288"/>
        <v>0</v>
      </c>
      <c r="AL487" s="293"/>
      <c r="AM487" s="269">
        <f>+AM480+AM484</f>
        <v>2739007.93</v>
      </c>
      <c r="AN487" s="269">
        <f>+AN480+AN484</f>
        <v>2739007.93</v>
      </c>
      <c r="AO487" s="269">
        <f>+AO480+AO484</f>
        <v>2739007.93</v>
      </c>
      <c r="AP487" s="243"/>
      <c r="AQ487" s="197"/>
      <c r="AR487" s="197"/>
      <c r="AS487" s="204"/>
      <c r="AT487" s="198"/>
      <c r="AU487" s="204"/>
      <c r="AV487" s="243"/>
      <c r="AW487" s="243"/>
      <c r="AX487" s="204"/>
      <c r="AY487" s="204"/>
      <c r="AZ487" s="204"/>
      <c r="BA487" s="204"/>
      <c r="BB487" s="204"/>
      <c r="BC487" s="204"/>
      <c r="BD487" s="204"/>
      <c r="BE487" s="204"/>
    </row>
    <row r="488" spans="1:57" s="2" customFormat="1" ht="9.75" customHeight="1">
      <c r="B488" s="25"/>
      <c r="C488" s="199"/>
      <c r="D488" s="242"/>
      <c r="E488" s="35"/>
      <c r="F488" s="35"/>
      <c r="G488" s="35"/>
      <c r="H488" s="35"/>
      <c r="I488" s="35"/>
      <c r="J488" s="35"/>
      <c r="K488" s="35"/>
      <c r="L488" s="35"/>
      <c r="M488" s="129"/>
      <c r="N488" s="129"/>
      <c r="O488" s="129"/>
      <c r="P488" s="129"/>
      <c r="Q488" s="129"/>
      <c r="R488" s="129"/>
      <c r="S488" s="129"/>
      <c r="T488" s="129"/>
      <c r="U488" s="129"/>
      <c r="V488" s="135"/>
      <c r="W488" s="129"/>
      <c r="X488" s="129"/>
      <c r="Y488" s="129"/>
      <c r="Z488" s="129"/>
      <c r="AA488" s="129"/>
      <c r="AB488" s="129"/>
      <c r="AC488" s="129"/>
      <c r="AD488" s="129"/>
      <c r="AE488" s="129"/>
      <c r="AF488" s="129"/>
      <c r="AG488" s="129"/>
      <c r="AH488" s="129"/>
      <c r="AI488" s="129"/>
      <c r="AJ488" s="129"/>
      <c r="AK488" s="129"/>
      <c r="AL488" s="135"/>
      <c r="AM488" s="129"/>
      <c r="AN488" s="129"/>
      <c r="AO488" s="306"/>
      <c r="AP488" s="204"/>
      <c r="AQ488" s="204"/>
      <c r="AR488" s="243"/>
      <c r="AS488" s="204"/>
      <c r="AT488" s="244">
        <f>SUM(AT477:AT484)</f>
        <v>8217023.79</v>
      </c>
      <c r="AU488" s="245"/>
      <c r="AV488" s="151"/>
      <c r="AW488" s="243"/>
      <c r="AX488" s="204"/>
      <c r="AY488" s="204"/>
      <c r="AZ488" s="204"/>
      <c r="BA488" s="204"/>
      <c r="BB488" s="204"/>
      <c r="BC488" s="204"/>
      <c r="BD488" s="204"/>
      <c r="BE488" s="204"/>
    </row>
    <row r="489" spans="1:57" s="25" customFormat="1" ht="11.25" customHeight="1">
      <c r="A489" s="27"/>
      <c r="C489" s="363" t="s">
        <v>158</v>
      </c>
      <c r="D489" s="364"/>
      <c r="E489" s="364"/>
      <c r="F489" s="364"/>
      <c r="G489" s="364"/>
      <c r="H489" s="364"/>
      <c r="I489" s="364"/>
      <c r="J489" s="364"/>
      <c r="K489" s="364"/>
      <c r="L489" s="364"/>
      <c r="M489" s="364"/>
      <c r="N489" s="365"/>
      <c r="O489" s="72">
        <f>SUMIF($A$9:$A$488,1,O$9:O$488)</f>
        <v>0</v>
      </c>
      <c r="P489" s="72">
        <f t="shared" ref="P489:T489" si="289">SUMIF($A$9:$A$488,1,P$9:P$488)</f>
        <v>0</v>
      </c>
      <c r="Q489" s="72">
        <f t="shared" si="289"/>
        <v>0</v>
      </c>
      <c r="R489" s="72">
        <f t="shared" si="289"/>
        <v>0</v>
      </c>
      <c r="S489" s="72">
        <f t="shared" si="289"/>
        <v>0</v>
      </c>
      <c r="T489" s="72">
        <f t="shared" si="289"/>
        <v>0</v>
      </c>
      <c r="U489" s="72">
        <f>SUMIF($A$9:$A$488,1,U$9:U$488)</f>
        <v>23948636.73</v>
      </c>
      <c r="V489" s="126"/>
      <c r="W489" s="72">
        <f t="shared" ref="W489:AJ489" si="290">SUMIF($A$9:$A$488,1,W$9:W$488)</f>
        <v>3801368.89</v>
      </c>
      <c r="X489" s="72">
        <f t="shared" si="290"/>
        <v>6224643.5599999996</v>
      </c>
      <c r="Y489" s="72">
        <f t="shared" si="290"/>
        <v>8526568.3499999996</v>
      </c>
      <c r="Z489" s="72">
        <f t="shared" si="290"/>
        <v>10676786.869999999</v>
      </c>
      <c r="AA489" s="72">
        <f t="shared" si="290"/>
        <v>12837837.18</v>
      </c>
      <c r="AB489" s="72">
        <f t="shared" si="290"/>
        <v>12721621.67</v>
      </c>
      <c r="AC489" s="72">
        <f t="shared" si="290"/>
        <v>11582343.57</v>
      </c>
      <c r="AD489" s="72">
        <f t="shared" si="290"/>
        <v>11865788.77</v>
      </c>
      <c r="AE489" s="72">
        <f t="shared" si="290"/>
        <v>16873601.670000002</v>
      </c>
      <c r="AF489" s="72">
        <f t="shared" si="290"/>
        <v>20203384.5</v>
      </c>
      <c r="AG489" s="72">
        <f t="shared" si="290"/>
        <v>21281478.73</v>
      </c>
      <c r="AH489" s="72">
        <f t="shared" si="290"/>
        <v>21295591.879999999</v>
      </c>
      <c r="AI489" s="72">
        <f t="shared" si="290"/>
        <v>17657242.489999998</v>
      </c>
      <c r="AJ489" s="72">
        <f t="shared" si="290"/>
        <v>12188725.42</v>
      </c>
      <c r="AK489" s="72">
        <f>SUMIF($A$9:$A$488,1,AK$9:AK$488)-0.01</f>
        <v>4291994.49</v>
      </c>
      <c r="AL489" s="126"/>
      <c r="AM489" s="72">
        <f>SUMIF($A$9:$A$488,1,AM$9:AM$488)</f>
        <v>2739007.93</v>
      </c>
      <c r="AN489" s="72">
        <f>SUMIF($A$9:$A$488,1,AN$9:AN$488)</f>
        <v>2739007.93</v>
      </c>
      <c r="AO489" s="72">
        <f>SUMIF($A$9:$A$488,1,AO$9:AO$488)</f>
        <v>2739007.93</v>
      </c>
      <c r="AQ489" s="310">
        <f>SUM(U489:AO489)</f>
        <v>224194638.56</v>
      </c>
      <c r="AR489" s="100"/>
      <c r="AS489" s="34"/>
      <c r="AT489" s="155">
        <f>+AT58+AT99+AT212+AT337+AT422+AT439+AT476+AT488</f>
        <v>224194638.44</v>
      </c>
      <c r="AU489" s="153">
        <v>224194638.56</v>
      </c>
      <c r="AV489" s="100">
        <f>+AU489-AT489</f>
        <v>0.12</v>
      </c>
      <c r="AW489" s="82"/>
    </row>
    <row r="490" spans="1:57" s="25" customFormat="1" ht="11.25" customHeight="1">
      <c r="A490" s="27"/>
      <c r="C490" s="101"/>
      <c r="D490" s="102"/>
      <c r="E490" s="102"/>
      <c r="F490" s="115"/>
      <c r="G490" s="102"/>
      <c r="H490" s="183"/>
      <c r="I490" s="115"/>
      <c r="J490" s="115"/>
      <c r="K490" s="138"/>
      <c r="L490" s="115"/>
      <c r="M490" s="102"/>
      <c r="N490" s="103" t="s">
        <v>175</v>
      </c>
      <c r="O490" s="72">
        <f t="shared" ref="O490:U490" si="291">+O489*0.2</f>
        <v>0</v>
      </c>
      <c r="P490" s="72">
        <f t="shared" si="291"/>
        <v>0</v>
      </c>
      <c r="Q490" s="72">
        <f t="shared" si="291"/>
        <v>0</v>
      </c>
      <c r="R490" s="72">
        <f t="shared" si="291"/>
        <v>0</v>
      </c>
      <c r="S490" s="72">
        <f t="shared" si="291"/>
        <v>0</v>
      </c>
      <c r="T490" s="72">
        <f t="shared" si="291"/>
        <v>0</v>
      </c>
      <c r="U490" s="72">
        <f t="shared" si="291"/>
        <v>4789727.3499999996</v>
      </c>
      <c r="V490" s="126"/>
      <c r="W490" s="72">
        <f t="shared" ref="W490:AK490" si="292">+W489*0.2</f>
        <v>760273.78</v>
      </c>
      <c r="X490" s="72">
        <f t="shared" si="292"/>
        <v>1244928.71</v>
      </c>
      <c r="Y490" s="72">
        <f t="shared" si="292"/>
        <v>1705313.67</v>
      </c>
      <c r="Z490" s="72">
        <f t="shared" si="292"/>
        <v>2135357.37</v>
      </c>
      <c r="AA490" s="72">
        <f t="shared" si="292"/>
        <v>2567567.44</v>
      </c>
      <c r="AB490" s="72">
        <f t="shared" si="292"/>
        <v>2544324.33</v>
      </c>
      <c r="AC490" s="72">
        <f t="shared" si="292"/>
        <v>2316468.71</v>
      </c>
      <c r="AD490" s="72">
        <f t="shared" si="292"/>
        <v>2373157.75</v>
      </c>
      <c r="AE490" s="72">
        <f t="shared" si="292"/>
        <v>3374720.33</v>
      </c>
      <c r="AF490" s="72">
        <f t="shared" si="292"/>
        <v>4040676.9</v>
      </c>
      <c r="AG490" s="72">
        <f t="shared" si="292"/>
        <v>4256295.75</v>
      </c>
      <c r="AH490" s="72">
        <f t="shared" si="292"/>
        <v>4259118.38</v>
      </c>
      <c r="AI490" s="72">
        <f t="shared" si="292"/>
        <v>3531448.5</v>
      </c>
      <c r="AJ490" s="72">
        <f t="shared" si="292"/>
        <v>2437745.08</v>
      </c>
      <c r="AK490" s="72">
        <f t="shared" si="292"/>
        <v>858398.9</v>
      </c>
      <c r="AL490" s="126"/>
      <c r="AM490" s="72"/>
      <c r="AN490" s="72"/>
      <c r="AO490" s="72"/>
      <c r="AQ490" s="100"/>
      <c r="AR490" s="82"/>
      <c r="AT490" s="100"/>
      <c r="AV490" s="82"/>
      <c r="AW490" s="82"/>
    </row>
    <row r="491" spans="1:57" s="25" customFormat="1" ht="11.25" customHeight="1">
      <c r="A491" s="27"/>
      <c r="C491" s="101"/>
      <c r="D491" s="102"/>
      <c r="E491" s="102"/>
      <c r="F491" s="115"/>
      <c r="G491" s="102"/>
      <c r="H491" s="183"/>
      <c r="I491" s="115"/>
      <c r="J491" s="115"/>
      <c r="K491" s="138"/>
      <c r="L491" s="115"/>
      <c r="M491" s="102"/>
      <c r="N491" s="103" t="s">
        <v>176</v>
      </c>
      <c r="O491" s="72">
        <f t="shared" ref="O491:U491" si="293">+O489-O490</f>
        <v>0</v>
      </c>
      <c r="P491" s="72">
        <f t="shared" si="293"/>
        <v>0</v>
      </c>
      <c r="Q491" s="72">
        <f t="shared" si="293"/>
        <v>0</v>
      </c>
      <c r="R491" s="72">
        <f t="shared" si="293"/>
        <v>0</v>
      </c>
      <c r="S491" s="72">
        <f t="shared" si="293"/>
        <v>0</v>
      </c>
      <c r="T491" s="72">
        <f t="shared" si="293"/>
        <v>0</v>
      </c>
      <c r="U491" s="72">
        <f t="shared" si="293"/>
        <v>19158909.379999999</v>
      </c>
      <c r="V491" s="126"/>
      <c r="W491" s="72">
        <f t="shared" ref="W491:AO491" si="294">+W489-W490</f>
        <v>3041095.11</v>
      </c>
      <c r="X491" s="72">
        <f t="shared" si="294"/>
        <v>4979714.8499999996</v>
      </c>
      <c r="Y491" s="72">
        <f t="shared" si="294"/>
        <v>6821254.6799999997</v>
      </c>
      <c r="Z491" s="72">
        <f t="shared" si="294"/>
        <v>8541429.5</v>
      </c>
      <c r="AA491" s="72">
        <f t="shared" si="294"/>
        <v>10270269.74</v>
      </c>
      <c r="AB491" s="72">
        <f t="shared" si="294"/>
        <v>10177297.34</v>
      </c>
      <c r="AC491" s="72">
        <f t="shared" si="294"/>
        <v>9265874.8599999994</v>
      </c>
      <c r="AD491" s="72">
        <f t="shared" si="294"/>
        <v>9492631.0199999996</v>
      </c>
      <c r="AE491" s="72">
        <f t="shared" si="294"/>
        <v>13498881.34</v>
      </c>
      <c r="AF491" s="72">
        <f t="shared" si="294"/>
        <v>16162707.6</v>
      </c>
      <c r="AG491" s="72">
        <f t="shared" si="294"/>
        <v>17025182.98</v>
      </c>
      <c r="AH491" s="72">
        <f t="shared" si="294"/>
        <v>17036473.5</v>
      </c>
      <c r="AI491" s="72">
        <f t="shared" si="294"/>
        <v>14125793.99</v>
      </c>
      <c r="AJ491" s="72">
        <f t="shared" si="294"/>
        <v>9750980.3399999999</v>
      </c>
      <c r="AK491" s="72">
        <f t="shared" si="294"/>
        <v>3433595.59</v>
      </c>
      <c r="AL491" s="126"/>
      <c r="AM491" s="72">
        <f t="shared" si="294"/>
        <v>2739007.93</v>
      </c>
      <c r="AN491" s="72">
        <f t="shared" si="294"/>
        <v>2739007.93</v>
      </c>
      <c r="AO491" s="72">
        <f t="shared" si="294"/>
        <v>2739007.93</v>
      </c>
      <c r="AQ491" s="100"/>
      <c r="AR491" s="82"/>
      <c r="AT491" s="100">
        <v>0.7</v>
      </c>
      <c r="AV491" s="82"/>
      <c r="AW491" s="82"/>
    </row>
    <row r="492" spans="1:57" s="25" customFormat="1" ht="11.25" customHeight="1">
      <c r="A492" s="27"/>
      <c r="C492" s="363" t="s">
        <v>180</v>
      </c>
      <c r="D492" s="364"/>
      <c r="E492" s="364"/>
      <c r="F492" s="364"/>
      <c r="G492" s="364"/>
      <c r="H492" s="364"/>
      <c r="I492" s="364"/>
      <c r="J492" s="364"/>
      <c r="K492" s="364"/>
      <c r="L492" s="364"/>
      <c r="M492" s="364"/>
      <c r="N492" s="365"/>
      <c r="O492" s="73">
        <f t="shared" ref="O492:U492" si="295">+O489/$D$509</f>
        <v>0</v>
      </c>
      <c r="P492" s="73">
        <f t="shared" si="295"/>
        <v>0</v>
      </c>
      <c r="Q492" s="73">
        <f t="shared" si="295"/>
        <v>0</v>
      </c>
      <c r="R492" s="73">
        <f t="shared" si="295"/>
        <v>0</v>
      </c>
      <c r="S492" s="73">
        <f t="shared" si="295"/>
        <v>0</v>
      </c>
      <c r="T492" s="73">
        <f t="shared" si="295"/>
        <v>0</v>
      </c>
      <c r="U492" s="73">
        <f t="shared" si="295"/>
        <v>0.10680000000000001</v>
      </c>
      <c r="V492" s="127"/>
      <c r="W492" s="73">
        <f t="shared" ref="W492:AA492" si="296">+W489/$D$509</f>
        <v>1.7000000000000001E-2</v>
      </c>
      <c r="X492" s="73">
        <f t="shared" si="296"/>
        <v>2.7799999999999998E-2</v>
      </c>
      <c r="Y492" s="73">
        <f t="shared" si="296"/>
        <v>3.7999999999999999E-2</v>
      </c>
      <c r="Z492" s="73">
        <f>+Z489/$D$509</f>
        <v>4.7600000000000003E-2</v>
      </c>
      <c r="AA492" s="73">
        <f t="shared" si="296"/>
        <v>5.7299999999999997E-2</v>
      </c>
      <c r="AB492" s="73">
        <f>+AB489/$D$509</f>
        <v>5.67E-2</v>
      </c>
      <c r="AC492" s="73">
        <f>+AC489/$D$509</f>
        <v>5.1700000000000003E-2</v>
      </c>
      <c r="AD492" s="73">
        <f t="shared" ref="AD492:AK492" si="297">+AD489/$D$509</f>
        <v>5.2900000000000003E-2</v>
      </c>
      <c r="AE492" s="73">
        <f t="shared" si="297"/>
        <v>7.5300000000000006E-2</v>
      </c>
      <c r="AF492" s="73">
        <f t="shared" si="297"/>
        <v>9.01E-2</v>
      </c>
      <c r="AG492" s="73">
        <f t="shared" si="297"/>
        <v>9.4899999999999998E-2</v>
      </c>
      <c r="AH492" s="73">
        <f t="shared" si="297"/>
        <v>9.5000000000000001E-2</v>
      </c>
      <c r="AI492" s="73">
        <f t="shared" si="297"/>
        <v>7.8799999999999995E-2</v>
      </c>
      <c r="AJ492" s="73">
        <f t="shared" si="297"/>
        <v>5.4399999999999997E-2</v>
      </c>
      <c r="AK492" s="73">
        <f t="shared" si="297"/>
        <v>1.9099999999999999E-2</v>
      </c>
      <c r="AL492" s="127"/>
      <c r="AM492" s="73">
        <f>+AM489/$D$509</f>
        <v>1.2200000000000001E-2</v>
      </c>
      <c r="AN492" s="73">
        <f>+AN489/$D$509</f>
        <v>1.2200000000000001E-2</v>
      </c>
      <c r="AO492" s="73">
        <f>+AO489/$D$509</f>
        <v>1.2200000000000001E-2</v>
      </c>
      <c r="AQ492" s="316">
        <f>SUM(U492:AO492)</f>
        <v>1</v>
      </c>
      <c r="AR492" s="82"/>
      <c r="AT492" s="100"/>
      <c r="AV492" s="82"/>
      <c r="AW492" s="82"/>
    </row>
    <row r="493" spans="1:57" s="26" customFormat="1" ht="7.5" customHeight="1">
      <c r="C493" s="78"/>
      <c r="D493" s="79"/>
      <c r="E493" s="80"/>
      <c r="F493" s="80"/>
      <c r="G493" s="80"/>
      <c r="H493" s="80"/>
      <c r="I493" s="80"/>
      <c r="J493" s="80"/>
      <c r="K493" s="80"/>
      <c r="L493" s="80"/>
      <c r="M493" s="80"/>
      <c r="N493" s="80"/>
      <c r="O493" s="74"/>
      <c r="P493" s="75"/>
      <c r="Q493" s="75"/>
      <c r="R493" s="75"/>
      <c r="S493" s="75"/>
      <c r="T493" s="75"/>
      <c r="U493" s="75"/>
      <c r="V493" s="128"/>
      <c r="W493" s="75"/>
      <c r="X493" s="75"/>
      <c r="Y493" s="75"/>
      <c r="Z493" s="75"/>
      <c r="AA493" s="75"/>
      <c r="AB493" s="75"/>
      <c r="AC493" s="75"/>
      <c r="AD493" s="75"/>
      <c r="AE493" s="75"/>
      <c r="AF493" s="75"/>
      <c r="AG493" s="75"/>
      <c r="AH493" s="75"/>
      <c r="AI493" s="75"/>
      <c r="AJ493" s="75"/>
      <c r="AK493" s="75"/>
      <c r="AL493" s="128"/>
      <c r="AM493" s="75"/>
      <c r="AN493" s="75"/>
      <c r="AO493" s="75"/>
      <c r="AR493" s="84"/>
      <c r="AT493" s="151"/>
      <c r="AV493" s="84"/>
      <c r="AW493" s="84"/>
    </row>
    <row r="494" spans="1:57" s="25" customFormat="1" ht="11.25" customHeight="1">
      <c r="C494" s="363" t="s">
        <v>157</v>
      </c>
      <c r="D494" s="364"/>
      <c r="E494" s="364"/>
      <c r="F494" s="364"/>
      <c r="G494" s="364"/>
      <c r="H494" s="364"/>
      <c r="I494" s="364"/>
      <c r="J494" s="364"/>
      <c r="K494" s="364"/>
      <c r="L494" s="364"/>
      <c r="M494" s="364"/>
      <c r="N494" s="365"/>
      <c r="O494" s="72">
        <f>O489</f>
        <v>0</v>
      </c>
      <c r="P494" s="72">
        <f t="shared" ref="P494:T494" si="298">P489+O494</f>
        <v>0</v>
      </c>
      <c r="Q494" s="72">
        <f t="shared" si="298"/>
        <v>0</v>
      </c>
      <c r="R494" s="72">
        <f t="shared" si="298"/>
        <v>0</v>
      </c>
      <c r="S494" s="72">
        <f t="shared" si="298"/>
        <v>0</v>
      </c>
      <c r="T494" s="72">
        <f t="shared" si="298"/>
        <v>0</v>
      </c>
      <c r="U494" s="72">
        <f>U489+T494</f>
        <v>23948636.73</v>
      </c>
      <c r="V494" s="126"/>
      <c r="W494" s="72">
        <f>W489+U494</f>
        <v>27750005.620000001</v>
      </c>
      <c r="X494" s="72">
        <f t="shared" ref="X494:AJ494" si="299">X489+W494</f>
        <v>33974649.18</v>
      </c>
      <c r="Y494" s="72">
        <f t="shared" si="299"/>
        <v>42501217.530000001</v>
      </c>
      <c r="Z494" s="72">
        <f t="shared" si="299"/>
        <v>53178004.399999999</v>
      </c>
      <c r="AA494" s="72">
        <f t="shared" si="299"/>
        <v>66015841.579999998</v>
      </c>
      <c r="AB494" s="72">
        <f t="shared" si="299"/>
        <v>78737463.25</v>
      </c>
      <c r="AC494" s="72">
        <f t="shared" si="299"/>
        <v>90319806.819999993</v>
      </c>
      <c r="AD494" s="72">
        <f t="shared" si="299"/>
        <v>102185595.59</v>
      </c>
      <c r="AE494" s="72">
        <f t="shared" si="299"/>
        <v>119059197.26000001</v>
      </c>
      <c r="AF494" s="72">
        <f t="shared" si="299"/>
        <v>139262581.75999999</v>
      </c>
      <c r="AG494" s="72">
        <f t="shared" si="299"/>
        <v>160544060.49000001</v>
      </c>
      <c r="AH494" s="72">
        <f t="shared" si="299"/>
        <v>181839652.37</v>
      </c>
      <c r="AI494" s="72">
        <f t="shared" si="299"/>
        <v>199496894.86000001</v>
      </c>
      <c r="AJ494" s="72">
        <f t="shared" si="299"/>
        <v>211685620.28</v>
      </c>
      <c r="AK494" s="72">
        <f>AK489+AJ494</f>
        <v>215977614.77000001</v>
      </c>
      <c r="AL494" s="126"/>
      <c r="AM494" s="72">
        <f>AM489+AK494</f>
        <v>218716622.69999999</v>
      </c>
      <c r="AN494" s="72">
        <f>AN489+AM494</f>
        <v>221455630.63</v>
      </c>
      <c r="AO494" s="72">
        <f>AO489+AN494</f>
        <v>224194638.56</v>
      </c>
      <c r="AQ494" s="34"/>
      <c r="AR494" s="82"/>
      <c r="AT494" s="100">
        <f>+AT489*AT491/1000</f>
        <v>156936.25</v>
      </c>
      <c r="AV494" s="82"/>
      <c r="AW494" s="82"/>
    </row>
    <row r="495" spans="1:57" s="25" customFormat="1" ht="11.25" customHeight="1">
      <c r="C495" s="101"/>
      <c r="D495" s="102"/>
      <c r="E495" s="102"/>
      <c r="F495" s="115"/>
      <c r="G495" s="102"/>
      <c r="H495" s="183"/>
      <c r="I495" s="115"/>
      <c r="J495" s="115"/>
      <c r="K495" s="138"/>
      <c r="L495" s="115"/>
      <c r="M495" s="102"/>
      <c r="N495" s="103" t="s">
        <v>177</v>
      </c>
      <c r="O495" s="72">
        <f>+O490</f>
        <v>0</v>
      </c>
      <c r="P495" s="72">
        <f t="shared" ref="P495:U496" si="300">+O495+P490</f>
        <v>0</v>
      </c>
      <c r="Q495" s="72">
        <f t="shared" si="300"/>
        <v>0</v>
      </c>
      <c r="R495" s="72">
        <f t="shared" si="300"/>
        <v>0</v>
      </c>
      <c r="S495" s="72">
        <f t="shared" si="300"/>
        <v>0</v>
      </c>
      <c r="T495" s="72">
        <f t="shared" si="300"/>
        <v>0</v>
      </c>
      <c r="U495" s="72">
        <f t="shared" si="300"/>
        <v>4789727.3499999996</v>
      </c>
      <c r="V495" s="126"/>
      <c r="W495" s="72">
        <f>+U495+W490</f>
        <v>5550001.1299999999</v>
      </c>
      <c r="X495" s="72">
        <f t="shared" ref="X495:AK495" si="301">+W495+X490</f>
        <v>6794929.8399999999</v>
      </c>
      <c r="Y495" s="72">
        <f t="shared" si="301"/>
        <v>8500243.5099999998</v>
      </c>
      <c r="Z495" s="72">
        <f t="shared" si="301"/>
        <v>10635600.880000001</v>
      </c>
      <c r="AA495" s="72">
        <f t="shared" si="301"/>
        <v>13203168.32</v>
      </c>
      <c r="AB495" s="72">
        <f t="shared" si="301"/>
        <v>15747492.65</v>
      </c>
      <c r="AC495" s="72">
        <f t="shared" si="301"/>
        <v>18063961.359999999</v>
      </c>
      <c r="AD495" s="72">
        <f t="shared" si="301"/>
        <v>20437119.109999999</v>
      </c>
      <c r="AE495" s="72">
        <f t="shared" si="301"/>
        <v>23811839.440000001</v>
      </c>
      <c r="AF495" s="72">
        <f t="shared" si="301"/>
        <v>27852516.34</v>
      </c>
      <c r="AG495" s="72">
        <f t="shared" si="301"/>
        <v>32108812.09</v>
      </c>
      <c r="AH495" s="72">
        <f t="shared" si="301"/>
        <v>36367930.469999999</v>
      </c>
      <c r="AI495" s="72">
        <f t="shared" si="301"/>
        <v>39899378.969999999</v>
      </c>
      <c r="AJ495" s="72">
        <f t="shared" si="301"/>
        <v>42337124.049999997</v>
      </c>
      <c r="AK495" s="72">
        <f t="shared" si="301"/>
        <v>43195522.950000003</v>
      </c>
      <c r="AL495" s="126"/>
      <c r="AM495" s="72">
        <f>+AM490+AK495</f>
        <v>43195522.950000003</v>
      </c>
      <c r="AN495" s="72">
        <f>+AM495+AN490</f>
        <v>43195522.950000003</v>
      </c>
      <c r="AO495" s="72">
        <f>+AN495+AO490</f>
        <v>43195522.950000003</v>
      </c>
      <c r="AQ495" s="34"/>
      <c r="AR495" s="82"/>
      <c r="AT495" s="100"/>
      <c r="AV495" s="82"/>
      <c r="AW495" s="82"/>
    </row>
    <row r="496" spans="1:57" s="25" customFormat="1" ht="11.25" customHeight="1">
      <c r="C496" s="101"/>
      <c r="D496" s="102"/>
      <c r="E496" s="102"/>
      <c r="F496" s="115"/>
      <c r="G496" s="102"/>
      <c r="H496" s="183"/>
      <c r="I496" s="115"/>
      <c r="J496" s="115"/>
      <c r="K496" s="138"/>
      <c r="L496" s="115"/>
      <c r="M496" s="102"/>
      <c r="N496" s="103" t="s">
        <v>178</v>
      </c>
      <c r="O496" s="72">
        <f>+O491</f>
        <v>0</v>
      </c>
      <c r="P496" s="72">
        <f t="shared" si="300"/>
        <v>0</v>
      </c>
      <c r="Q496" s="72">
        <f t="shared" si="300"/>
        <v>0</v>
      </c>
      <c r="R496" s="72">
        <f t="shared" si="300"/>
        <v>0</v>
      </c>
      <c r="S496" s="72">
        <f t="shared" si="300"/>
        <v>0</v>
      </c>
      <c r="T496" s="72">
        <f t="shared" si="300"/>
        <v>0</v>
      </c>
      <c r="U496" s="72">
        <f t="shared" si="300"/>
        <v>19158909.379999999</v>
      </c>
      <c r="V496" s="126"/>
      <c r="W496" s="72">
        <f>+U496+W491</f>
        <v>22200004.489999998</v>
      </c>
      <c r="X496" s="72">
        <f t="shared" ref="X496:AK496" si="302">+W496+X491</f>
        <v>27179719.34</v>
      </c>
      <c r="Y496" s="72">
        <f t="shared" si="302"/>
        <v>34000974.020000003</v>
      </c>
      <c r="Z496" s="72">
        <f t="shared" si="302"/>
        <v>42542403.520000003</v>
      </c>
      <c r="AA496" s="72">
        <f t="shared" si="302"/>
        <v>52812673.259999998</v>
      </c>
      <c r="AB496" s="72">
        <f t="shared" si="302"/>
        <v>62989970.600000001</v>
      </c>
      <c r="AC496" s="72">
        <f t="shared" si="302"/>
        <v>72255845.459999993</v>
      </c>
      <c r="AD496" s="72">
        <f t="shared" si="302"/>
        <v>81748476.480000004</v>
      </c>
      <c r="AE496" s="72">
        <f t="shared" si="302"/>
        <v>95247357.819999993</v>
      </c>
      <c r="AF496" s="72">
        <f t="shared" si="302"/>
        <v>111410065.42</v>
      </c>
      <c r="AG496" s="72">
        <f t="shared" si="302"/>
        <v>128435248.40000001</v>
      </c>
      <c r="AH496" s="72">
        <f t="shared" si="302"/>
        <v>145471721.90000001</v>
      </c>
      <c r="AI496" s="72">
        <f t="shared" si="302"/>
        <v>159597515.88999999</v>
      </c>
      <c r="AJ496" s="72">
        <f t="shared" si="302"/>
        <v>169348496.22999999</v>
      </c>
      <c r="AK496" s="72">
        <f t="shared" si="302"/>
        <v>172782091.81999999</v>
      </c>
      <c r="AL496" s="126"/>
      <c r="AM496" s="72">
        <f>+AM491+AK496</f>
        <v>175521099.75</v>
      </c>
      <c r="AN496" s="72">
        <f>+AM496+AN491</f>
        <v>178260107.68000001</v>
      </c>
      <c r="AO496" s="72">
        <f>+AN496+AO491</f>
        <v>180999115.61000001</v>
      </c>
      <c r="AQ496" s="34"/>
      <c r="AR496" s="82"/>
      <c r="AT496" s="100">
        <f>+AT489*0.1</f>
        <v>22419463.84</v>
      </c>
      <c r="AV496" s="82"/>
      <c r="AW496" s="82"/>
    </row>
    <row r="497" spans="2:49" s="25" customFormat="1" ht="11.25" customHeight="1">
      <c r="C497" s="363" t="s">
        <v>181</v>
      </c>
      <c r="D497" s="364"/>
      <c r="E497" s="364"/>
      <c r="F497" s="364"/>
      <c r="G497" s="364"/>
      <c r="H497" s="364"/>
      <c r="I497" s="364"/>
      <c r="J497" s="364"/>
      <c r="K497" s="364"/>
      <c r="L497" s="364"/>
      <c r="M497" s="364"/>
      <c r="N497" s="365"/>
      <c r="O497" s="73">
        <f t="shared" ref="O497:U497" si="303">+O494/$D$509</f>
        <v>0</v>
      </c>
      <c r="P497" s="73">
        <f t="shared" si="303"/>
        <v>0</v>
      </c>
      <c r="Q497" s="73">
        <f t="shared" si="303"/>
        <v>0</v>
      </c>
      <c r="R497" s="73">
        <f t="shared" si="303"/>
        <v>0</v>
      </c>
      <c r="S497" s="73">
        <f t="shared" si="303"/>
        <v>0</v>
      </c>
      <c r="T497" s="73">
        <f t="shared" si="303"/>
        <v>0</v>
      </c>
      <c r="U497" s="73">
        <f t="shared" si="303"/>
        <v>0.10680000000000001</v>
      </c>
      <c r="V497" s="127"/>
      <c r="W497" s="73">
        <f>+W494/$D$509</f>
        <v>0.12379999999999999</v>
      </c>
      <c r="X497" s="73">
        <f t="shared" ref="X497:AK497" si="304">+X494/$D$509</f>
        <v>0.1515</v>
      </c>
      <c r="Y497" s="73">
        <f t="shared" si="304"/>
        <v>0.18959999999999999</v>
      </c>
      <c r="Z497" s="73">
        <f t="shared" si="304"/>
        <v>0.23719999999999999</v>
      </c>
      <c r="AA497" s="73">
        <f t="shared" si="304"/>
        <v>0.29449999999999998</v>
      </c>
      <c r="AB497" s="73">
        <f t="shared" si="304"/>
        <v>0.35120000000000001</v>
      </c>
      <c r="AC497" s="73">
        <f t="shared" si="304"/>
        <v>0.40289999999999998</v>
      </c>
      <c r="AD497" s="73">
        <f t="shared" si="304"/>
        <v>0.45579999999999998</v>
      </c>
      <c r="AE497" s="73">
        <f t="shared" si="304"/>
        <v>0.53110000000000002</v>
      </c>
      <c r="AF497" s="73">
        <f t="shared" si="304"/>
        <v>0.62119999999999997</v>
      </c>
      <c r="AG497" s="73">
        <f t="shared" si="304"/>
        <v>0.71609999999999996</v>
      </c>
      <c r="AH497" s="73">
        <f t="shared" si="304"/>
        <v>0.81110000000000004</v>
      </c>
      <c r="AI497" s="73">
        <f t="shared" si="304"/>
        <v>0.88980000000000004</v>
      </c>
      <c r="AJ497" s="73">
        <f t="shared" si="304"/>
        <v>0.94420000000000004</v>
      </c>
      <c r="AK497" s="73">
        <f t="shared" si="304"/>
        <v>0.96330000000000005</v>
      </c>
      <c r="AL497" s="127"/>
      <c r="AM497" s="73">
        <f>+AM494/$D$509</f>
        <v>0.97560000000000002</v>
      </c>
      <c r="AN497" s="73">
        <f>+AN494/$D$509</f>
        <v>0.98780000000000001</v>
      </c>
      <c r="AO497" s="73">
        <f>+AO494/$D$509</f>
        <v>1</v>
      </c>
      <c r="AQ497" s="34"/>
      <c r="AR497" s="82"/>
      <c r="AT497" s="100"/>
      <c r="AV497" s="82"/>
      <c r="AW497" s="82"/>
    </row>
    <row r="498" spans="2:49" s="106" customFormat="1" ht="12.75" hidden="1" customHeight="1">
      <c r="B498" s="104"/>
      <c r="C498" s="411" t="s">
        <v>166</v>
      </c>
      <c r="D498" s="412"/>
      <c r="E498" s="412"/>
      <c r="F498" s="412"/>
      <c r="G498" s="412"/>
      <c r="H498" s="412"/>
      <c r="I498" s="233"/>
      <c r="J498" s="233"/>
      <c r="K498" s="337" t="s">
        <v>170</v>
      </c>
      <c r="L498" s="338"/>
      <c r="M498" s="338"/>
      <c r="N498" s="338"/>
      <c r="O498" s="338"/>
      <c r="P498" s="338"/>
      <c r="Q498" s="338"/>
      <c r="R498" s="338"/>
      <c r="S498" s="338"/>
      <c r="T498" s="338"/>
      <c r="U498" s="338"/>
      <c r="V498" s="338"/>
      <c r="W498" s="338"/>
      <c r="X498" s="338"/>
      <c r="Y498" s="338"/>
      <c r="Z498" s="105"/>
      <c r="AA498" s="164"/>
      <c r="AB498" s="337" t="s">
        <v>170</v>
      </c>
      <c r="AC498" s="338"/>
      <c r="AD498" s="338"/>
      <c r="AE498" s="338"/>
      <c r="AF498" s="338"/>
      <c r="AG498" s="338"/>
      <c r="AH498" s="338"/>
      <c r="AI498" s="338"/>
      <c r="AJ498" s="163"/>
      <c r="AK498" s="164"/>
      <c r="AL498" s="163"/>
      <c r="AM498" s="163"/>
      <c r="AN498" s="164"/>
      <c r="AO498" s="159"/>
      <c r="AT498" s="150"/>
      <c r="AV498" s="65"/>
      <c r="AW498" s="65"/>
    </row>
    <row r="499" spans="2:49" s="106" customFormat="1" ht="12.75" hidden="1" customHeight="1">
      <c r="B499" s="104"/>
      <c r="C499" s="413" t="s">
        <v>167</v>
      </c>
      <c r="D499" s="414"/>
      <c r="E499" s="414"/>
      <c r="F499" s="414"/>
      <c r="G499" s="414"/>
      <c r="H499" s="414"/>
      <c r="I499" s="169"/>
      <c r="J499" s="169"/>
      <c r="K499" s="417" t="s">
        <v>169</v>
      </c>
      <c r="L499" s="418"/>
      <c r="M499" s="418"/>
      <c r="N499" s="418"/>
      <c r="O499" s="418"/>
      <c r="P499" s="418"/>
      <c r="Q499" s="418"/>
      <c r="R499" s="418"/>
      <c r="S499" s="418"/>
      <c r="T499" s="418"/>
      <c r="U499" s="418"/>
      <c r="V499" s="418"/>
      <c r="W499" s="418"/>
      <c r="X499" s="418"/>
      <c r="Y499" s="418"/>
      <c r="Z499" s="107"/>
      <c r="AA499" s="166"/>
      <c r="AB499" s="417" t="s">
        <v>229</v>
      </c>
      <c r="AC499" s="418"/>
      <c r="AD499" s="418"/>
      <c r="AE499" s="418"/>
      <c r="AF499" s="418"/>
      <c r="AG499" s="418"/>
      <c r="AH499" s="418"/>
      <c r="AI499" s="418"/>
      <c r="AJ499" s="165"/>
      <c r="AK499" s="166"/>
      <c r="AL499" s="165"/>
      <c r="AM499" s="165"/>
      <c r="AN499" s="166"/>
      <c r="AO499" s="160"/>
      <c r="AT499" s="150"/>
      <c r="AV499" s="65"/>
      <c r="AW499" s="65"/>
    </row>
    <row r="500" spans="2:49" s="106" customFormat="1" ht="12.75" hidden="1" customHeight="1">
      <c r="B500" s="104"/>
      <c r="C500" s="168"/>
      <c r="D500" s="169"/>
      <c r="E500" s="169"/>
      <c r="F500" s="169"/>
      <c r="G500" s="170"/>
      <c r="H500" s="170"/>
      <c r="I500" s="170"/>
      <c r="J500" s="170"/>
      <c r="K500" s="309"/>
      <c r="L500" s="170"/>
      <c r="M500" s="170"/>
      <c r="N500" s="170"/>
      <c r="O500" s="170"/>
      <c r="P500" s="170"/>
      <c r="Q500" s="170"/>
      <c r="R500" s="170"/>
      <c r="S500" s="170"/>
      <c r="T500" s="170"/>
      <c r="U500" s="107"/>
      <c r="V500" s="134"/>
      <c r="W500" s="107"/>
      <c r="X500" s="107"/>
      <c r="Y500" s="107"/>
      <c r="Z500" s="107"/>
      <c r="AA500" s="108"/>
      <c r="AB500" s="107"/>
      <c r="AC500" s="107"/>
      <c r="AD500" s="107"/>
      <c r="AE500" s="107"/>
      <c r="AF500" s="107"/>
      <c r="AG500" s="107"/>
      <c r="AH500" s="107"/>
      <c r="AI500" s="107"/>
      <c r="AJ500" s="107"/>
      <c r="AK500" s="108"/>
      <c r="AL500" s="173"/>
      <c r="AM500" s="172"/>
      <c r="AN500" s="174"/>
      <c r="AO500" s="162" t="s">
        <v>173</v>
      </c>
      <c r="AT500" s="150"/>
      <c r="AV500" s="65"/>
      <c r="AW500" s="65"/>
    </row>
    <row r="501" spans="2:49" s="106" customFormat="1" ht="12.75" hidden="1" customHeight="1">
      <c r="B501" s="104"/>
      <c r="C501" s="168"/>
      <c r="D501" s="169"/>
      <c r="E501" s="171"/>
      <c r="F501" s="171"/>
      <c r="G501" s="170"/>
      <c r="H501" s="170"/>
      <c r="I501" s="170"/>
      <c r="J501" s="170"/>
      <c r="K501" s="309"/>
      <c r="L501" s="170"/>
      <c r="M501" s="170"/>
      <c r="N501" s="170"/>
      <c r="O501" s="170"/>
      <c r="P501" s="170"/>
      <c r="Q501" s="170"/>
      <c r="R501" s="170"/>
      <c r="S501" s="170"/>
      <c r="T501" s="170"/>
      <c r="U501" s="107"/>
      <c r="V501" s="134"/>
      <c r="W501" s="107"/>
      <c r="X501" s="107"/>
      <c r="Y501" s="107"/>
      <c r="Z501" s="107"/>
      <c r="AA501" s="108"/>
      <c r="AB501" s="107"/>
      <c r="AC501" s="107"/>
      <c r="AD501" s="107"/>
      <c r="AE501" s="107"/>
      <c r="AF501" s="107"/>
      <c r="AG501" s="107"/>
      <c r="AH501" s="107"/>
      <c r="AI501" s="107"/>
      <c r="AJ501" s="107"/>
      <c r="AK501" s="108"/>
      <c r="AL501" s="173"/>
      <c r="AM501" s="172"/>
      <c r="AN501" s="174"/>
      <c r="AO501" s="162" t="s">
        <v>230</v>
      </c>
      <c r="AT501" s="150"/>
      <c r="AV501" s="65"/>
      <c r="AW501" s="65"/>
    </row>
    <row r="502" spans="2:49" s="106" customFormat="1" ht="12.75" hidden="1" customHeight="1">
      <c r="B502" s="104"/>
      <c r="C502" s="168"/>
      <c r="D502" s="169"/>
      <c r="E502" s="169"/>
      <c r="F502" s="169"/>
      <c r="G502" s="170"/>
      <c r="H502" s="170"/>
      <c r="I502" s="170"/>
      <c r="J502" s="170"/>
      <c r="K502" s="309"/>
      <c r="L502" s="170"/>
      <c r="M502" s="170"/>
      <c r="N502" s="170"/>
      <c r="O502" s="170"/>
      <c r="P502" s="170"/>
      <c r="Q502" s="170"/>
      <c r="R502" s="170"/>
      <c r="S502" s="170"/>
      <c r="T502" s="170"/>
      <c r="U502" s="107"/>
      <c r="V502" s="134"/>
      <c r="W502" s="107"/>
      <c r="X502" s="107"/>
      <c r="Y502" s="107"/>
      <c r="Z502" s="107"/>
      <c r="AA502" s="108"/>
      <c r="AB502" s="107"/>
      <c r="AC502" s="107"/>
      <c r="AD502" s="107"/>
      <c r="AE502" s="107"/>
      <c r="AF502" s="107"/>
      <c r="AG502" s="107"/>
      <c r="AH502" s="107"/>
      <c r="AI502" s="107"/>
      <c r="AJ502" s="107"/>
      <c r="AK502" s="108"/>
      <c r="AL502" s="173"/>
      <c r="AM502" s="172"/>
      <c r="AN502" s="174"/>
      <c r="AO502" s="160"/>
      <c r="AT502" s="150"/>
      <c r="AV502" s="65"/>
      <c r="AW502" s="65"/>
    </row>
    <row r="503" spans="2:49" s="106" customFormat="1" ht="12.75" hidden="1" customHeight="1">
      <c r="B503" s="104"/>
      <c r="C503" s="413" t="s">
        <v>207</v>
      </c>
      <c r="D503" s="414"/>
      <c r="E503" s="414"/>
      <c r="F503" s="414"/>
      <c r="G503" s="414"/>
      <c r="H503" s="414"/>
      <c r="I503" s="143" t="s">
        <v>179</v>
      </c>
      <c r="J503" s="169"/>
      <c r="K503" s="417" t="s">
        <v>208</v>
      </c>
      <c r="L503" s="418"/>
      <c r="M503" s="418"/>
      <c r="N503" s="418"/>
      <c r="O503" s="418"/>
      <c r="P503" s="418"/>
      <c r="Q503" s="418"/>
      <c r="R503" s="418"/>
      <c r="S503" s="418"/>
      <c r="T503" s="418"/>
      <c r="U503" s="418"/>
      <c r="V503" s="418"/>
      <c r="W503" s="418"/>
      <c r="X503" s="418"/>
      <c r="Y503" s="418"/>
      <c r="Z503" s="143" t="s">
        <v>179</v>
      </c>
      <c r="AA503" s="166"/>
      <c r="AB503" s="417" t="s">
        <v>171</v>
      </c>
      <c r="AC503" s="418"/>
      <c r="AD503" s="418"/>
      <c r="AE503" s="418"/>
      <c r="AF503" s="418"/>
      <c r="AG503" s="418"/>
      <c r="AH503" s="418"/>
      <c r="AI503" s="418"/>
      <c r="AJ503" s="143" t="s">
        <v>179</v>
      </c>
      <c r="AK503" s="167"/>
      <c r="AL503" s="165"/>
      <c r="AM503" s="143"/>
      <c r="AN503" s="166"/>
      <c r="AO503" s="160"/>
      <c r="AT503" s="150"/>
      <c r="AV503" s="65"/>
      <c r="AW503" s="65"/>
    </row>
    <row r="504" spans="2:49" s="106" customFormat="1" ht="12.75" hidden="1" customHeight="1">
      <c r="B504" s="104"/>
      <c r="C504" s="415" t="s">
        <v>168</v>
      </c>
      <c r="D504" s="416"/>
      <c r="E504" s="416"/>
      <c r="F504" s="416"/>
      <c r="G504" s="416"/>
      <c r="H504" s="416"/>
      <c r="I504" s="235"/>
      <c r="J504" s="235"/>
      <c r="K504" s="360" t="s">
        <v>209</v>
      </c>
      <c r="L504" s="361"/>
      <c r="M504" s="361"/>
      <c r="N504" s="361"/>
      <c r="O504" s="361"/>
      <c r="P504" s="361"/>
      <c r="Q504" s="361"/>
      <c r="R504" s="361"/>
      <c r="S504" s="361"/>
      <c r="T504" s="361"/>
      <c r="U504" s="361"/>
      <c r="V504" s="361"/>
      <c r="W504" s="361"/>
      <c r="X504" s="361"/>
      <c r="Y504" s="361"/>
      <c r="Z504" s="111"/>
      <c r="AA504" s="110"/>
      <c r="AB504" s="360" t="s">
        <v>172</v>
      </c>
      <c r="AC504" s="361"/>
      <c r="AD504" s="361"/>
      <c r="AE504" s="361"/>
      <c r="AF504" s="361"/>
      <c r="AG504" s="361"/>
      <c r="AH504" s="361"/>
      <c r="AI504" s="361"/>
      <c r="AJ504" s="109"/>
      <c r="AK504" s="110"/>
      <c r="AL504" s="109"/>
      <c r="AM504" s="109"/>
      <c r="AN504" s="110"/>
      <c r="AO504" s="161"/>
      <c r="AT504" s="150"/>
      <c r="AV504" s="65"/>
      <c r="AW504" s="65"/>
    </row>
    <row r="507" spans="2:49">
      <c r="D507" s="175">
        <v>204391690.56999999</v>
      </c>
      <c r="F507" s="41"/>
      <c r="W507" s="178">
        <f>+W489/$D$509</f>
        <v>1.7000000000000001E-2</v>
      </c>
      <c r="X507" s="178">
        <f t="shared" ref="X507:AO507" si="305">+X489/$D$509</f>
        <v>2.7799999999999998E-2</v>
      </c>
      <c r="Y507" s="178">
        <f>+Y489/$D$509</f>
        <v>3.7999999999999999E-2</v>
      </c>
      <c r="Z507" s="178">
        <f t="shared" si="305"/>
        <v>4.7600000000000003E-2</v>
      </c>
      <c r="AA507" s="178">
        <f t="shared" si="305"/>
        <v>5.7299999999999997E-2</v>
      </c>
      <c r="AB507" s="178">
        <f t="shared" si="305"/>
        <v>5.67E-2</v>
      </c>
      <c r="AC507" s="178">
        <f t="shared" si="305"/>
        <v>5.1700000000000003E-2</v>
      </c>
      <c r="AD507" s="178">
        <f t="shared" si="305"/>
        <v>5.2900000000000003E-2</v>
      </c>
      <c r="AE507" s="178">
        <f t="shared" si="305"/>
        <v>7.5300000000000006E-2</v>
      </c>
      <c r="AF507" s="178">
        <f t="shared" si="305"/>
        <v>9.01E-2</v>
      </c>
      <c r="AG507" s="178">
        <f t="shared" si="305"/>
        <v>9.4899999999999998E-2</v>
      </c>
      <c r="AH507" s="178">
        <f t="shared" si="305"/>
        <v>9.5000000000000001E-2</v>
      </c>
      <c r="AI507" s="178">
        <f t="shared" si="305"/>
        <v>7.8799999999999995E-2</v>
      </c>
      <c r="AJ507" s="178">
        <f t="shared" si="305"/>
        <v>5.4399999999999997E-2</v>
      </c>
      <c r="AK507" s="178">
        <f t="shared" si="305"/>
        <v>1.9099999999999999E-2</v>
      </c>
      <c r="AL507" s="178">
        <f t="shared" si="305"/>
        <v>0</v>
      </c>
      <c r="AM507" s="178">
        <f t="shared" si="305"/>
        <v>1.2200000000000001E-2</v>
      </c>
      <c r="AN507" s="178">
        <f t="shared" si="305"/>
        <v>1.2200000000000001E-2</v>
      </c>
      <c r="AO507" s="178">
        <f t="shared" si="305"/>
        <v>1.2200000000000001E-2</v>
      </c>
    </row>
    <row r="508" spans="2:49">
      <c r="D508" s="175">
        <f>+D507*0.2</f>
        <v>40878338.109999999</v>
      </c>
      <c r="AL508" s="65"/>
    </row>
    <row r="509" spans="2:49">
      <c r="D509" s="175">
        <v>224194638.56</v>
      </c>
      <c r="W509" s="178">
        <f t="shared" ref="W509:AO509" si="306">+W494/$D$509</f>
        <v>0.12379999999999999</v>
      </c>
      <c r="X509" s="178">
        <f t="shared" si="306"/>
        <v>0.1515</v>
      </c>
      <c r="Y509" s="178">
        <f t="shared" si="306"/>
        <v>0.18959999999999999</v>
      </c>
      <c r="Z509" s="178">
        <f t="shared" si="306"/>
        <v>0.23719999999999999</v>
      </c>
      <c r="AA509" s="178">
        <f t="shared" si="306"/>
        <v>0.29449999999999998</v>
      </c>
      <c r="AB509" s="178">
        <f t="shared" si="306"/>
        <v>0.35120000000000001</v>
      </c>
      <c r="AC509" s="178">
        <f t="shared" si="306"/>
        <v>0.40289999999999998</v>
      </c>
      <c r="AD509" s="178">
        <f t="shared" si="306"/>
        <v>0.45579999999999998</v>
      </c>
      <c r="AE509" s="178">
        <f t="shared" si="306"/>
        <v>0.53110000000000002</v>
      </c>
      <c r="AF509" s="178">
        <f t="shared" si="306"/>
        <v>0.62119999999999997</v>
      </c>
      <c r="AG509" s="178">
        <f t="shared" si="306"/>
        <v>0.71609999999999996</v>
      </c>
      <c r="AH509" s="178">
        <f t="shared" si="306"/>
        <v>0.81110000000000004</v>
      </c>
      <c r="AI509" s="178">
        <f t="shared" si="306"/>
        <v>0.88980000000000004</v>
      </c>
      <c r="AJ509" s="178">
        <f t="shared" si="306"/>
        <v>0.94420000000000004</v>
      </c>
      <c r="AK509" s="178">
        <f t="shared" si="306"/>
        <v>0.96330000000000005</v>
      </c>
      <c r="AL509" s="178">
        <f t="shared" si="306"/>
        <v>0</v>
      </c>
      <c r="AM509" s="178">
        <f t="shared" si="306"/>
        <v>0.97560000000000002</v>
      </c>
      <c r="AN509" s="178">
        <f t="shared" si="306"/>
        <v>0.98780000000000001</v>
      </c>
      <c r="AO509" s="178">
        <f t="shared" si="306"/>
        <v>1</v>
      </c>
    </row>
    <row r="510" spans="2:49">
      <c r="X510" s="176"/>
    </row>
    <row r="511" spans="2:49">
      <c r="D511" s="36" t="s">
        <v>206</v>
      </c>
      <c r="W511" s="176">
        <f t="shared" ref="W511:AC511" si="307">W491/$D$509</f>
        <v>1.3599999999999999E-2</v>
      </c>
      <c r="X511" s="176">
        <f t="shared" si="307"/>
        <v>2.2200000000000001E-2</v>
      </c>
      <c r="Y511" s="176">
        <f t="shared" si="307"/>
        <v>3.04E-2</v>
      </c>
      <c r="Z511" s="176">
        <f t="shared" si="307"/>
        <v>3.8100000000000002E-2</v>
      </c>
      <c r="AA511" s="176">
        <f t="shared" si="307"/>
        <v>4.58E-2</v>
      </c>
      <c r="AB511" s="176">
        <f t="shared" si="307"/>
        <v>4.5400000000000003E-2</v>
      </c>
      <c r="AC511" s="176">
        <f t="shared" si="307"/>
        <v>4.1300000000000003E-2</v>
      </c>
    </row>
    <row r="512" spans="2:49">
      <c r="W512" s="178"/>
      <c r="X512" s="176"/>
    </row>
    <row r="513" spans="3:41">
      <c r="W513" s="178"/>
      <c r="X513" s="176"/>
    </row>
    <row r="514" spans="3:41">
      <c r="W514" s="178"/>
      <c r="X514" s="176"/>
    </row>
    <row r="515" spans="3:41">
      <c r="W515" s="178"/>
      <c r="X515" s="177"/>
    </row>
    <row r="516" spans="3:41">
      <c r="C516" s="50"/>
      <c r="D516" s="51"/>
      <c r="E516" s="51"/>
      <c r="F516" s="51"/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6"/>
      <c r="V516" s="136"/>
      <c r="W516" s="72"/>
      <c r="X516" s="56"/>
      <c r="Y516" s="56"/>
      <c r="Z516" s="56"/>
      <c r="AA516" s="56"/>
      <c r="AB516" s="56"/>
      <c r="AC516" s="56"/>
      <c r="AD516" s="56"/>
      <c r="AE516" s="76"/>
      <c r="AF516" s="56"/>
      <c r="AG516" s="56"/>
      <c r="AH516" s="56"/>
      <c r="AI516" s="56"/>
      <c r="AJ516" s="56"/>
      <c r="AK516" s="56"/>
      <c r="AL516" s="136"/>
      <c r="AM516" s="56"/>
      <c r="AN516" s="76"/>
      <c r="AO516"/>
    </row>
    <row r="517" spans="3:41">
      <c r="C517" s="53"/>
      <c r="D517" s="54"/>
      <c r="E517" s="54"/>
      <c r="F517" s="54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7"/>
      <c r="V517" s="137"/>
      <c r="W517" s="179"/>
      <c r="X517" s="57"/>
      <c r="Y517" s="57"/>
      <c r="Z517" s="57"/>
      <c r="AA517" s="57"/>
      <c r="AB517" s="57"/>
      <c r="AC517" s="57"/>
      <c r="AD517" s="57"/>
      <c r="AE517" s="77"/>
      <c r="AF517" s="57"/>
      <c r="AG517" s="57"/>
      <c r="AH517" s="57"/>
      <c r="AI517" s="57"/>
      <c r="AJ517" s="57"/>
      <c r="AK517" s="57"/>
      <c r="AL517" s="137"/>
      <c r="AM517" s="57"/>
      <c r="AN517" s="77"/>
      <c r="AO517"/>
    </row>
    <row r="518" spans="3:41">
      <c r="AO518"/>
    </row>
    <row r="523" spans="3:41">
      <c r="K523" s="72">
        <f>SUMIF($A$9:$A$488,1,K$9:K$488)</f>
        <v>224194638.56</v>
      </c>
      <c r="L523" s="312">
        <f>D509-K523</f>
        <v>0</v>
      </c>
    </row>
    <row r="525" spans="3:41">
      <c r="K525" s="312">
        <f>D509-K523</f>
        <v>0</v>
      </c>
    </row>
  </sheetData>
  <mergeCells count="603">
    <mergeCell ref="C498:H498"/>
    <mergeCell ref="C499:H499"/>
    <mergeCell ref="C503:H503"/>
    <mergeCell ref="C504:H504"/>
    <mergeCell ref="AB503:AI503"/>
    <mergeCell ref="AB504:AI504"/>
    <mergeCell ref="AB498:AI498"/>
    <mergeCell ref="AB499:AI499"/>
    <mergeCell ref="K498:Y498"/>
    <mergeCell ref="K499:Y499"/>
    <mergeCell ref="K503:Y503"/>
    <mergeCell ref="K504:Y504"/>
    <mergeCell ref="AV8:AW8"/>
    <mergeCell ref="AM6:AM8"/>
    <mergeCell ref="F346:F349"/>
    <mergeCell ref="F350:F353"/>
    <mergeCell ref="F354:F357"/>
    <mergeCell ref="F358:F361"/>
    <mergeCell ref="F362:F365"/>
    <mergeCell ref="F366:F369"/>
    <mergeCell ref="F370:F373"/>
    <mergeCell ref="AO6:AO8"/>
    <mergeCell ref="H7:H8"/>
    <mergeCell ref="I7:I8"/>
    <mergeCell ref="J7:J8"/>
    <mergeCell ref="K7:K8"/>
    <mergeCell ref="L7:L8"/>
    <mergeCell ref="F192:F195"/>
    <mergeCell ref="F196:F199"/>
    <mergeCell ref="F200:F203"/>
    <mergeCell ref="F204:F207"/>
    <mergeCell ref="F213:F216"/>
    <mergeCell ref="F217:F220"/>
    <mergeCell ref="F221:F224"/>
    <mergeCell ref="F225:F228"/>
    <mergeCell ref="F229:F232"/>
    <mergeCell ref="C209:I210"/>
    <mergeCell ref="C334:I335"/>
    <mergeCell ref="N6:N8"/>
    <mergeCell ref="F233:F236"/>
    <mergeCell ref="F237:F240"/>
    <mergeCell ref="AN6:AN8"/>
    <mergeCell ref="F313:F316"/>
    <mergeCell ref="F317:F320"/>
    <mergeCell ref="F321:F324"/>
    <mergeCell ref="F325:F328"/>
    <mergeCell ref="F329:F332"/>
    <mergeCell ref="F241:F244"/>
    <mergeCell ref="F245:F248"/>
    <mergeCell ref="F249:F252"/>
    <mergeCell ref="F253:F256"/>
    <mergeCell ref="F257:F260"/>
    <mergeCell ref="F261:F264"/>
    <mergeCell ref="F265:F268"/>
    <mergeCell ref="F269:F272"/>
    <mergeCell ref="G6:L6"/>
    <mergeCell ref="G7:G8"/>
    <mergeCell ref="C6:C8"/>
    <mergeCell ref="D6:D8"/>
    <mergeCell ref="E6:E8"/>
    <mergeCell ref="F6:F8"/>
    <mergeCell ref="C321:C324"/>
    <mergeCell ref="E79:E82"/>
    <mergeCell ref="E83:E86"/>
    <mergeCell ref="E87:E90"/>
    <mergeCell ref="E91:E94"/>
    <mergeCell ref="E10:E13"/>
    <mergeCell ref="E14:E17"/>
    <mergeCell ref="E18:E21"/>
    <mergeCell ref="E22:E25"/>
    <mergeCell ref="E26:E29"/>
    <mergeCell ref="E30:E33"/>
    <mergeCell ref="E34:E37"/>
    <mergeCell ref="E38:E41"/>
    <mergeCell ref="E42:E45"/>
    <mergeCell ref="F144:F147"/>
    <mergeCell ref="F148:F151"/>
    <mergeCell ref="F152:F155"/>
    <mergeCell ref="F156:F159"/>
    <mergeCell ref="F160:F163"/>
    <mergeCell ref="F164:F167"/>
    <mergeCell ref="E46:E49"/>
    <mergeCell ref="E50:E53"/>
    <mergeCell ref="E301:E304"/>
    <mergeCell ref="AT346:AT349"/>
    <mergeCell ref="AT350:AT353"/>
    <mergeCell ref="AT354:AT357"/>
    <mergeCell ref="AT431:AT434"/>
    <mergeCell ref="AT440:AT443"/>
    <mergeCell ref="AT444:AT447"/>
    <mergeCell ref="AT448:AT451"/>
    <mergeCell ref="AT452:AT455"/>
    <mergeCell ref="C419:I420"/>
    <mergeCell ref="C436:I437"/>
    <mergeCell ref="F386:F389"/>
    <mergeCell ref="F390:F393"/>
    <mergeCell ref="F394:F397"/>
    <mergeCell ref="F398:F401"/>
    <mergeCell ref="F402:F405"/>
    <mergeCell ref="F406:F409"/>
    <mergeCell ref="F410:F413"/>
    <mergeCell ref="F414:F417"/>
    <mergeCell ref="F378:F381"/>
    <mergeCell ref="F382:F385"/>
    <mergeCell ref="D370:D373"/>
    <mergeCell ref="D374:D377"/>
    <mergeCell ref="E423:E426"/>
    <mergeCell ref="E427:E430"/>
    <mergeCell ref="AT468:AT471"/>
    <mergeCell ref="AT477:AT480"/>
    <mergeCell ref="AT481:AT484"/>
    <mergeCell ref="AT358:AT361"/>
    <mergeCell ref="AT362:AT365"/>
    <mergeCell ref="AT366:AT369"/>
    <mergeCell ref="AT370:AT373"/>
    <mergeCell ref="AT374:AT377"/>
    <mergeCell ref="AT378:AT381"/>
    <mergeCell ref="AT382:AT385"/>
    <mergeCell ref="AT386:AT389"/>
    <mergeCell ref="AT390:AT393"/>
    <mergeCell ref="AT394:AT397"/>
    <mergeCell ref="AT398:AT401"/>
    <mergeCell ref="AT402:AT405"/>
    <mergeCell ref="AT406:AT409"/>
    <mergeCell ref="AT410:AT413"/>
    <mergeCell ref="AT414:AT417"/>
    <mergeCell ref="AT423:AT426"/>
    <mergeCell ref="AT229:AT232"/>
    <mergeCell ref="AT233:AT236"/>
    <mergeCell ref="AT237:AT240"/>
    <mergeCell ref="AT241:AT244"/>
    <mergeCell ref="AT245:AT248"/>
    <mergeCell ref="AT464:AT467"/>
    <mergeCell ref="AT249:AT252"/>
    <mergeCell ref="AT253:AT256"/>
    <mergeCell ref="AT257:AT260"/>
    <mergeCell ref="AT261:AT264"/>
    <mergeCell ref="AT265:AT268"/>
    <mergeCell ref="AT269:AT272"/>
    <mergeCell ref="AT273:AT276"/>
    <mergeCell ref="AT277:AT280"/>
    <mergeCell ref="AT281:AT284"/>
    <mergeCell ref="AT285:AT288"/>
    <mergeCell ref="AT289:AT292"/>
    <mergeCell ref="AT293:AT296"/>
    <mergeCell ref="AT297:AT300"/>
    <mergeCell ref="AT301:AT304"/>
    <mergeCell ref="AT305:AT308"/>
    <mergeCell ref="AT456:AT459"/>
    <mergeCell ref="AT460:AT463"/>
    <mergeCell ref="AT342:AT345"/>
    <mergeCell ref="AT309:AT312"/>
    <mergeCell ref="AT313:AT316"/>
    <mergeCell ref="AT427:AT430"/>
    <mergeCell ref="AT317:AT320"/>
    <mergeCell ref="AT321:AT324"/>
    <mergeCell ref="AT325:AT328"/>
    <mergeCell ref="AT329:AT332"/>
    <mergeCell ref="AT338:AT341"/>
    <mergeCell ref="AT156:AT159"/>
    <mergeCell ref="AT160:AT163"/>
    <mergeCell ref="AT164:AT167"/>
    <mergeCell ref="AT168:AT171"/>
    <mergeCell ref="AT172:AT175"/>
    <mergeCell ref="AT180:AT183"/>
    <mergeCell ref="AT184:AT187"/>
    <mergeCell ref="AT188:AT191"/>
    <mergeCell ref="AT192:AT195"/>
    <mergeCell ref="AT196:AT199"/>
    <mergeCell ref="AT200:AT203"/>
    <mergeCell ref="AT204:AT207"/>
    <mergeCell ref="AT213:AT216"/>
    <mergeCell ref="AT217:AT220"/>
    <mergeCell ref="AT221:AT224"/>
    <mergeCell ref="AT225:AT228"/>
    <mergeCell ref="AT10:AT13"/>
    <mergeCell ref="AT14:AT17"/>
    <mergeCell ref="AT18:AT21"/>
    <mergeCell ref="AT22:AT25"/>
    <mergeCell ref="AT26:AT29"/>
    <mergeCell ref="AT30:AT33"/>
    <mergeCell ref="AT34:AT37"/>
    <mergeCell ref="AT38:AT41"/>
    <mergeCell ref="AT42:AT45"/>
    <mergeCell ref="AT46:AT49"/>
    <mergeCell ref="AT50:AT53"/>
    <mergeCell ref="AT59:AT62"/>
    <mergeCell ref="AT63:AT66"/>
    <mergeCell ref="AT67:AT70"/>
    <mergeCell ref="AT71:AT74"/>
    <mergeCell ref="AT75:AT78"/>
    <mergeCell ref="AT79:AT82"/>
    <mergeCell ref="AT176:AT179"/>
    <mergeCell ref="AT83:AT86"/>
    <mergeCell ref="AT87:AT90"/>
    <mergeCell ref="AT91:AT94"/>
    <mergeCell ref="AT100:AT103"/>
    <mergeCell ref="AT104:AT107"/>
    <mergeCell ref="AT108:AT111"/>
    <mergeCell ref="AT112:AT115"/>
    <mergeCell ref="AT116:AT119"/>
    <mergeCell ref="AT120:AT123"/>
    <mergeCell ref="AT124:AT127"/>
    <mergeCell ref="AT128:AT131"/>
    <mergeCell ref="AT132:AT135"/>
    <mergeCell ref="AT136:AT139"/>
    <mergeCell ref="AT140:AT143"/>
    <mergeCell ref="AT144:AT147"/>
    <mergeCell ref="AT148:AT151"/>
    <mergeCell ref="AT152:AT155"/>
    <mergeCell ref="C329:C332"/>
    <mergeCell ref="D329:D332"/>
    <mergeCell ref="E329:E332"/>
    <mergeCell ref="E180:E183"/>
    <mergeCell ref="E184:E187"/>
    <mergeCell ref="E188:E191"/>
    <mergeCell ref="E192:E195"/>
    <mergeCell ref="E196:E199"/>
    <mergeCell ref="E200:E203"/>
    <mergeCell ref="E204:E207"/>
    <mergeCell ref="C317:C320"/>
    <mergeCell ref="D317:D320"/>
    <mergeCell ref="E317:E320"/>
    <mergeCell ref="C204:C207"/>
    <mergeCell ref="C213:C216"/>
    <mergeCell ref="C217:C220"/>
    <mergeCell ref="C221:C224"/>
    <mergeCell ref="C225:C228"/>
    <mergeCell ref="C188:C191"/>
    <mergeCell ref="C200:C203"/>
    <mergeCell ref="C192:C195"/>
    <mergeCell ref="C196:C199"/>
    <mergeCell ref="E233:E236"/>
    <mergeCell ref="E237:E240"/>
    <mergeCell ref="E241:E244"/>
    <mergeCell ref="E245:E248"/>
    <mergeCell ref="E249:E252"/>
    <mergeCell ref="F10:F13"/>
    <mergeCell ref="F14:F17"/>
    <mergeCell ref="F59:F62"/>
    <mergeCell ref="F63:F66"/>
    <mergeCell ref="F67:F70"/>
    <mergeCell ref="F71:F74"/>
    <mergeCell ref="F75:F78"/>
    <mergeCell ref="F18:F21"/>
    <mergeCell ref="F22:F25"/>
    <mergeCell ref="F26:F29"/>
    <mergeCell ref="F30:F33"/>
    <mergeCell ref="F34:F37"/>
    <mergeCell ref="F38:F41"/>
    <mergeCell ref="F120:F123"/>
    <mergeCell ref="F100:F103"/>
    <mergeCell ref="F104:F107"/>
    <mergeCell ref="F42:F45"/>
    <mergeCell ref="F46:F49"/>
    <mergeCell ref="F50:F53"/>
    <mergeCell ref="E257:E260"/>
    <mergeCell ref="E261:E264"/>
    <mergeCell ref="E265:E268"/>
    <mergeCell ref="E269:E272"/>
    <mergeCell ref="E273:E276"/>
    <mergeCell ref="E253:E256"/>
    <mergeCell ref="F273:F276"/>
    <mergeCell ref="F277:F280"/>
    <mergeCell ref="F281:F284"/>
    <mergeCell ref="E277:E280"/>
    <mergeCell ref="F108:F111"/>
    <mergeCell ref="F112:F115"/>
    <mergeCell ref="C55:I56"/>
    <mergeCell ref="C96:I97"/>
    <mergeCell ref="D152:D155"/>
    <mergeCell ref="D144:D147"/>
    <mergeCell ref="D148:D151"/>
    <mergeCell ref="C152:C155"/>
    <mergeCell ref="C164:C167"/>
    <mergeCell ref="D156:D159"/>
    <mergeCell ref="D160:D163"/>
    <mergeCell ref="E160:E163"/>
    <mergeCell ref="E164:E167"/>
    <mergeCell ref="E148:E151"/>
    <mergeCell ref="E152:E155"/>
    <mergeCell ref="C136:C139"/>
    <mergeCell ref="D120:D123"/>
    <mergeCell ref="D124:D127"/>
    <mergeCell ref="C116:C119"/>
    <mergeCell ref="C120:C123"/>
    <mergeCell ref="C124:C127"/>
    <mergeCell ref="D112:D115"/>
    <mergeCell ref="F124:F127"/>
    <mergeCell ref="F128:F131"/>
    <mergeCell ref="C168:C171"/>
    <mergeCell ref="E406:E409"/>
    <mergeCell ref="E410:E413"/>
    <mergeCell ref="F79:F82"/>
    <mergeCell ref="F83:F86"/>
    <mergeCell ref="F87:F90"/>
    <mergeCell ref="F91:F94"/>
    <mergeCell ref="E100:E103"/>
    <mergeCell ref="E104:E107"/>
    <mergeCell ref="E108:E111"/>
    <mergeCell ref="E112:E115"/>
    <mergeCell ref="E116:E119"/>
    <mergeCell ref="E120:E123"/>
    <mergeCell ref="F168:F171"/>
    <mergeCell ref="F172:F175"/>
    <mergeCell ref="F176:F179"/>
    <mergeCell ref="F180:F183"/>
    <mergeCell ref="F184:F187"/>
    <mergeCell ref="F188:F191"/>
    <mergeCell ref="E156:E159"/>
    <mergeCell ref="C184:C187"/>
    <mergeCell ref="C156:C159"/>
    <mergeCell ref="C160:C163"/>
    <mergeCell ref="C172:C175"/>
    <mergeCell ref="E168:E171"/>
    <mergeCell ref="D164:D167"/>
    <mergeCell ref="E225:E228"/>
    <mergeCell ref="E229:E232"/>
    <mergeCell ref="C144:C147"/>
    <mergeCell ref="C148:C151"/>
    <mergeCell ref="D116:D119"/>
    <mergeCell ref="D229:D232"/>
    <mergeCell ref="D192:D195"/>
    <mergeCell ref="D221:D224"/>
    <mergeCell ref="D204:D207"/>
    <mergeCell ref="D196:D199"/>
    <mergeCell ref="D200:D203"/>
    <mergeCell ref="C140:C143"/>
    <mergeCell ref="D132:D135"/>
    <mergeCell ref="D136:D139"/>
    <mergeCell ref="D140:D143"/>
    <mergeCell ref="D180:D183"/>
    <mergeCell ref="D184:D187"/>
    <mergeCell ref="C180:C183"/>
    <mergeCell ref="C229:C232"/>
    <mergeCell ref="C128:C131"/>
    <mergeCell ref="C132:C135"/>
    <mergeCell ref="E144:E147"/>
    <mergeCell ref="D297:D300"/>
    <mergeCell ref="D289:D292"/>
    <mergeCell ref="D285:D288"/>
    <mergeCell ref="E281:E284"/>
    <mergeCell ref="E285:E288"/>
    <mergeCell ref="E289:E292"/>
    <mergeCell ref="E293:E296"/>
    <mergeCell ref="E297:E300"/>
    <mergeCell ref="D293:D296"/>
    <mergeCell ref="D281:D284"/>
    <mergeCell ref="C293:C296"/>
    <mergeCell ref="E402:E405"/>
    <mergeCell ref="C362:C365"/>
    <mergeCell ref="C366:C369"/>
    <mergeCell ref="C305:C308"/>
    <mergeCell ref="D305:D308"/>
    <mergeCell ref="E305:E308"/>
    <mergeCell ref="C309:C312"/>
    <mergeCell ref="D309:D312"/>
    <mergeCell ref="E309:E312"/>
    <mergeCell ref="D321:D324"/>
    <mergeCell ref="E321:E324"/>
    <mergeCell ref="E346:E349"/>
    <mergeCell ref="E350:E353"/>
    <mergeCell ref="E354:E357"/>
    <mergeCell ref="E358:E361"/>
    <mergeCell ref="E362:E365"/>
    <mergeCell ref="C370:C373"/>
    <mergeCell ref="D350:D353"/>
    <mergeCell ref="D354:D357"/>
    <mergeCell ref="D358:D361"/>
    <mergeCell ref="D362:D365"/>
    <mergeCell ref="D366:D369"/>
    <mergeCell ref="D301:D304"/>
    <mergeCell ref="C398:C401"/>
    <mergeCell ref="C402:C405"/>
    <mergeCell ref="C406:C409"/>
    <mergeCell ref="C410:C413"/>
    <mergeCell ref="E338:E341"/>
    <mergeCell ref="E342:E345"/>
    <mergeCell ref="C390:C393"/>
    <mergeCell ref="E374:E377"/>
    <mergeCell ref="E378:E381"/>
    <mergeCell ref="E382:E385"/>
    <mergeCell ref="E386:E389"/>
    <mergeCell ref="E390:E393"/>
    <mergeCell ref="D338:D341"/>
    <mergeCell ref="D342:D345"/>
    <mergeCell ref="D346:D349"/>
    <mergeCell ref="C378:C381"/>
    <mergeCell ref="C382:C385"/>
    <mergeCell ref="D386:D389"/>
    <mergeCell ref="C386:C389"/>
    <mergeCell ref="D390:D393"/>
    <mergeCell ref="C358:C361"/>
    <mergeCell ref="C374:C377"/>
    <mergeCell ref="E366:E369"/>
    <mergeCell ref="C394:C397"/>
    <mergeCell ref="M338:M417"/>
    <mergeCell ref="C473:I474"/>
    <mergeCell ref="C486:I487"/>
    <mergeCell ref="F338:F341"/>
    <mergeCell ref="F342:F345"/>
    <mergeCell ref="C448:C451"/>
    <mergeCell ref="D448:D451"/>
    <mergeCell ref="F440:F443"/>
    <mergeCell ref="F444:F447"/>
    <mergeCell ref="F477:F480"/>
    <mergeCell ref="C481:C484"/>
    <mergeCell ref="D481:D484"/>
    <mergeCell ref="F481:F484"/>
    <mergeCell ref="E481:E484"/>
    <mergeCell ref="C456:C459"/>
    <mergeCell ref="C460:C463"/>
    <mergeCell ref="E477:E480"/>
    <mergeCell ref="F448:F451"/>
    <mergeCell ref="F452:F455"/>
    <mergeCell ref="C452:C455"/>
    <mergeCell ref="F423:F426"/>
    <mergeCell ref="F427:F430"/>
    <mergeCell ref="F431:F434"/>
    <mergeCell ref="M423:M434"/>
    <mergeCell ref="F305:F308"/>
    <mergeCell ref="F309:F312"/>
    <mergeCell ref="D460:D463"/>
    <mergeCell ref="D431:D434"/>
    <mergeCell ref="E431:E434"/>
    <mergeCell ref="D394:D397"/>
    <mergeCell ref="D398:D401"/>
    <mergeCell ref="E448:E451"/>
    <mergeCell ref="D378:D381"/>
    <mergeCell ref="D382:D385"/>
    <mergeCell ref="D414:D417"/>
    <mergeCell ref="E414:E417"/>
    <mergeCell ref="D313:D316"/>
    <mergeCell ref="D325:D328"/>
    <mergeCell ref="F374:F377"/>
    <mergeCell ref="E313:E316"/>
    <mergeCell ref="E325:E328"/>
    <mergeCell ref="C297:C300"/>
    <mergeCell ref="C354:C357"/>
    <mergeCell ref="C338:C341"/>
    <mergeCell ref="C342:C345"/>
    <mergeCell ref="C346:C349"/>
    <mergeCell ref="C350:C353"/>
    <mergeCell ref="C301:C304"/>
    <mergeCell ref="C313:C316"/>
    <mergeCell ref="C325:C328"/>
    <mergeCell ref="M10:M53"/>
    <mergeCell ref="M6:M7"/>
    <mergeCell ref="M59:M94"/>
    <mergeCell ref="C104:C107"/>
    <mergeCell ref="C108:C111"/>
    <mergeCell ref="D128:D131"/>
    <mergeCell ref="D108:D111"/>
    <mergeCell ref="D172:D175"/>
    <mergeCell ref="D176:D179"/>
    <mergeCell ref="C176:C179"/>
    <mergeCell ref="D104:D107"/>
    <mergeCell ref="C91:C94"/>
    <mergeCell ref="C14:C17"/>
    <mergeCell ref="D18:D21"/>
    <mergeCell ref="D22:D25"/>
    <mergeCell ref="D26:D29"/>
    <mergeCell ref="D30:D33"/>
    <mergeCell ref="D34:D37"/>
    <mergeCell ref="C22:C25"/>
    <mergeCell ref="C18:C21"/>
    <mergeCell ref="D63:D66"/>
    <mergeCell ref="D67:D70"/>
    <mergeCell ref="D71:D74"/>
    <mergeCell ref="C112:C115"/>
    <mergeCell ref="D38:D41"/>
    <mergeCell ref="C100:C103"/>
    <mergeCell ref="D83:D86"/>
    <mergeCell ref="D87:D90"/>
    <mergeCell ref="C87:C90"/>
    <mergeCell ref="D50:D53"/>
    <mergeCell ref="C79:C82"/>
    <mergeCell ref="C83:C86"/>
    <mergeCell ref="C42:C45"/>
    <mergeCell ref="D91:D94"/>
    <mergeCell ref="D75:D78"/>
    <mergeCell ref="C63:C66"/>
    <mergeCell ref="D59:D62"/>
    <mergeCell ref="D100:D103"/>
    <mergeCell ref="D1:AO1"/>
    <mergeCell ref="D4:AO4"/>
    <mergeCell ref="C2:AO2"/>
    <mergeCell ref="C50:C53"/>
    <mergeCell ref="C46:C49"/>
    <mergeCell ref="D79:D82"/>
    <mergeCell ref="D10:D13"/>
    <mergeCell ref="C10:C13"/>
    <mergeCell ref="D14:D17"/>
    <mergeCell ref="C34:C37"/>
    <mergeCell ref="C30:C33"/>
    <mergeCell ref="C26:C29"/>
    <mergeCell ref="C38:C41"/>
    <mergeCell ref="E59:E62"/>
    <mergeCell ref="E63:E66"/>
    <mergeCell ref="E67:E70"/>
    <mergeCell ref="E71:E74"/>
    <mergeCell ref="E75:E78"/>
    <mergeCell ref="D42:D45"/>
    <mergeCell ref="D46:D49"/>
    <mergeCell ref="C59:C62"/>
    <mergeCell ref="C67:C70"/>
    <mergeCell ref="C71:C74"/>
    <mergeCell ref="C75:C78"/>
    <mergeCell ref="C233:C236"/>
    <mergeCell ref="C237:C240"/>
    <mergeCell ref="C241:C244"/>
    <mergeCell ref="C289:C292"/>
    <mergeCell ref="C281:C284"/>
    <mergeCell ref="C285:C288"/>
    <mergeCell ref="C273:C276"/>
    <mergeCell ref="D213:D216"/>
    <mergeCell ref="D217:D220"/>
    <mergeCell ref="D241:D244"/>
    <mergeCell ref="D257:D260"/>
    <mergeCell ref="C245:C248"/>
    <mergeCell ref="C249:C252"/>
    <mergeCell ref="C253:C256"/>
    <mergeCell ref="C257:C260"/>
    <mergeCell ref="D249:D252"/>
    <mergeCell ref="D253:D256"/>
    <mergeCell ref="D245:D248"/>
    <mergeCell ref="C261:C264"/>
    <mergeCell ref="C265:C268"/>
    <mergeCell ref="C269:C272"/>
    <mergeCell ref="C277:C280"/>
    <mergeCell ref="D273:D276"/>
    <mergeCell ref="D277:D280"/>
    <mergeCell ref="D261:D264"/>
    <mergeCell ref="D265:D268"/>
    <mergeCell ref="D269:D272"/>
    <mergeCell ref="F116:F119"/>
    <mergeCell ref="F285:F288"/>
    <mergeCell ref="F289:F292"/>
    <mergeCell ref="F293:F296"/>
    <mergeCell ref="F297:F300"/>
    <mergeCell ref="F301:F304"/>
    <mergeCell ref="F132:F135"/>
    <mergeCell ref="F136:F139"/>
    <mergeCell ref="F140:F143"/>
    <mergeCell ref="E124:E127"/>
    <mergeCell ref="E128:E131"/>
    <mergeCell ref="E132:E135"/>
    <mergeCell ref="E136:E139"/>
    <mergeCell ref="E140:E143"/>
    <mergeCell ref="D233:D236"/>
    <mergeCell ref="D188:D191"/>
    <mergeCell ref="D225:D228"/>
    <mergeCell ref="D237:D240"/>
    <mergeCell ref="E213:E216"/>
    <mergeCell ref="E217:E220"/>
    <mergeCell ref="E221:E224"/>
    <mergeCell ref="Z421:AI421"/>
    <mergeCell ref="D477:D480"/>
    <mergeCell ref="C477:C480"/>
    <mergeCell ref="C464:C467"/>
    <mergeCell ref="E468:E471"/>
    <mergeCell ref="E464:E467"/>
    <mergeCell ref="C492:N492"/>
    <mergeCell ref="C494:N494"/>
    <mergeCell ref="C497:N497"/>
    <mergeCell ref="M477:M480"/>
    <mergeCell ref="M481:M484"/>
    <mergeCell ref="C489:N489"/>
    <mergeCell ref="C427:C430"/>
    <mergeCell ref="F460:F463"/>
    <mergeCell ref="F464:F467"/>
    <mergeCell ref="F468:F471"/>
    <mergeCell ref="D464:D467"/>
    <mergeCell ref="D468:D471"/>
    <mergeCell ref="C468:C471"/>
    <mergeCell ref="D456:D459"/>
    <mergeCell ref="F456:F459"/>
    <mergeCell ref="E456:E459"/>
    <mergeCell ref="E460:E463"/>
    <mergeCell ref="C3:AO3"/>
    <mergeCell ref="Z418:AI418"/>
    <mergeCell ref="D444:D447"/>
    <mergeCell ref="C440:C443"/>
    <mergeCell ref="C444:C447"/>
    <mergeCell ref="D452:D455"/>
    <mergeCell ref="D168:D171"/>
    <mergeCell ref="E172:E175"/>
    <mergeCell ref="E176:E179"/>
    <mergeCell ref="E394:E397"/>
    <mergeCell ref="C414:C417"/>
    <mergeCell ref="D402:D405"/>
    <mergeCell ref="D406:D409"/>
    <mergeCell ref="D410:D413"/>
    <mergeCell ref="D423:D426"/>
    <mergeCell ref="D427:D430"/>
    <mergeCell ref="C423:C426"/>
    <mergeCell ref="E398:E401"/>
    <mergeCell ref="E370:E373"/>
    <mergeCell ref="C431:C434"/>
    <mergeCell ref="D440:D443"/>
    <mergeCell ref="E452:E455"/>
    <mergeCell ref="E440:E443"/>
    <mergeCell ref="E444:E447"/>
  </mergeCells>
  <phoneticPr fontId="1" type="noConversion"/>
  <printOptions horizontalCentered="1" verticalCentered="1"/>
  <pageMargins left="0.78740157480314965" right="0.78740157480314965" top="0.35433070866141736" bottom="0.39370078740157483" header="0.39370078740157483" footer="0"/>
  <pageSetup paperSize="3" scale="42" orientation="landscape" horizontalDpi="300" verticalDpi="300" r:id="rId1"/>
  <headerFooter alignWithMargins="0"/>
  <rowBreaks count="2" manualBreakCount="2">
    <brk id="211" min="1" max="45" man="1"/>
    <brk id="421" min="1" max="36" man="1"/>
  </rowBreaks>
  <ignoredErrors>
    <ignoredError sqref="J13 J17 J62 J66 J103 J107 J216 J341 J345:J417 J426 J443 J480:J484 AJ80:AJ82 AI10 J92:J94 J218:J219 J234:J235 J278:J279 J221:J225 J237:J276 J281:J332 J227:J232 J68:J70 J72:J90 AJ84:AJ86 AH47:AH48 J109:J187 J445:J471 AQ342:AQ417 AQ285:AQ332 J189:J199 J428:J434 J22:J53 J204:J20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GRA-FINANC.</vt:lpstr>
      <vt:lpstr>CRONO</vt:lpstr>
      <vt:lpstr>CRONO!Área_de_impresión</vt:lpstr>
      <vt:lpstr>'GRA-FINANC.'!Área_de_impresión</vt:lpstr>
      <vt:lpstr>CRONO!Títulos_a_imprimir</vt:lpstr>
    </vt:vector>
  </TitlesOfParts>
  <Company>Hogar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</dc:creator>
  <cp:lastModifiedBy>User</cp:lastModifiedBy>
  <cp:lastPrinted>2012-08-04T01:26:03Z</cp:lastPrinted>
  <dcterms:created xsi:type="dcterms:W3CDTF">2004-11-17T11:44:03Z</dcterms:created>
  <dcterms:modified xsi:type="dcterms:W3CDTF">2012-09-13T18:08:30Z</dcterms:modified>
</cp:coreProperties>
</file>