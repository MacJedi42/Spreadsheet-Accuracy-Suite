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7.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drawings/drawing8.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9.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620" yWindow="165" windowWidth="11070" windowHeight="7035" tabRatio="848"/>
  </bookViews>
  <sheets>
    <sheet name="Access" sheetId="1" r:id="rId1"/>
    <sheet name="Access URP" sheetId="2" r:id="rId2"/>
    <sheet name="Affordability-Tuition" sheetId="11" r:id="rId3"/>
    <sheet name="Affordability-Financial Aid" sheetId="13" r:id="rId4"/>
    <sheet name="Student Success" sheetId="14" r:id="rId5"/>
    <sheet name="Student Success-URP" sheetId="15" r:id="rId6"/>
    <sheet name="Employers Served" sheetId="16" r:id="rId7"/>
    <sheet name="Resources" sheetId="7" r:id="rId8"/>
  </sheets>
  <calcPr calcId="145621"/>
</workbook>
</file>

<file path=xl/calcChain.xml><?xml version="1.0" encoding="utf-8"?>
<calcChain xmlns="http://schemas.openxmlformats.org/spreadsheetml/2006/main">
  <c r="E11" i="7" l="1"/>
  <c r="E35" i="1" l="1"/>
  <c r="D35" i="1" l="1"/>
  <c r="C35" i="1"/>
  <c r="B35" i="1"/>
</calcChain>
</file>

<file path=xl/sharedStrings.xml><?xml version="1.0" encoding="utf-8"?>
<sst xmlns="http://schemas.openxmlformats.org/spreadsheetml/2006/main" count="307" uniqueCount="86">
  <si>
    <t>Increase the number of individuals who are educated and trained each year by Virginia’s Community Colleges by 50,000 to an annual total of 423,000, with emphasis on increasing the number from underserved populations by at least 25,000 individuals.</t>
  </si>
  <si>
    <t xml:space="preserve">Achieve 2015 </t>
  </si>
  <si>
    <t>Access</t>
  </si>
  <si>
    <t>FY2009</t>
  </si>
  <si>
    <t>FY2010</t>
  </si>
  <si>
    <t>FY2011</t>
  </si>
  <si>
    <t>FY2012</t>
  </si>
  <si>
    <t>FY2013</t>
  </si>
  <si>
    <t>FY2014</t>
  </si>
  <si>
    <t>FY2015</t>
  </si>
  <si>
    <t>Credit</t>
  </si>
  <si>
    <t>Total</t>
  </si>
  <si>
    <t>Location</t>
  </si>
  <si>
    <t>Pell</t>
  </si>
  <si>
    <t>Race</t>
  </si>
  <si>
    <t>1st Gen</t>
  </si>
  <si>
    <t>Total Students</t>
  </si>
  <si>
    <t>URP Population</t>
  </si>
  <si>
    <t>N</t>
  </si>
  <si>
    <t>%</t>
  </si>
  <si>
    <t>.</t>
  </si>
  <si>
    <t>VCCS</t>
  </si>
  <si>
    <t>2007-2008</t>
  </si>
  <si>
    <t>2008-2009</t>
  </si>
  <si>
    <t>College</t>
  </si>
  <si>
    <t>2009-2010</t>
  </si>
  <si>
    <t>Resources</t>
  </si>
  <si>
    <t>Revenues</t>
  </si>
  <si>
    <t>Cumulative Total</t>
  </si>
  <si>
    <r>
      <t>Baseline FY2008</t>
    </r>
    <r>
      <rPr>
        <vertAlign val="superscript"/>
        <sz val="11"/>
        <color theme="1"/>
        <rFont val="Calibri"/>
        <family val="2"/>
        <scheme val="minor"/>
      </rPr>
      <t>1</t>
    </r>
  </si>
  <si>
    <t>Affordability</t>
  </si>
  <si>
    <t>Maintain tuition and fees at less than half of the comparable cost of attending Virginia’s public four-year institutions, and increase the annual number of students who receive financial assistance through grants and scholarships by 36,000.</t>
  </si>
  <si>
    <t>2010-2011</t>
  </si>
  <si>
    <t>2011-2012</t>
  </si>
  <si>
    <t>2012-2013</t>
  </si>
  <si>
    <t>2013-2014</t>
  </si>
  <si>
    <t>2014-2015</t>
  </si>
  <si>
    <t>DATA NOT AVAILABLE FOR THIS TIME PERIOD</t>
  </si>
  <si>
    <t>Annual Non-Credit Headcount - Underserved Populations</t>
  </si>
  <si>
    <t>Annual Unduplicated Headcount</t>
  </si>
  <si>
    <t>Complete 
Data</t>
  </si>
  <si>
    <t>% of Complete Data</t>
  </si>
  <si>
    <t>Student Success</t>
  </si>
  <si>
    <t>Increase the number of students graduating, transferring, or completing a workforce credential by 50%, including increasing the success of students from underserved populations by 75%.</t>
  </si>
  <si>
    <t>Graduates</t>
  </si>
  <si>
    <t>Transfers</t>
  </si>
  <si>
    <t>Completed a Workforce Credential</t>
  </si>
  <si>
    <t>Employers Served</t>
  </si>
  <si>
    <t>NA</t>
  </si>
  <si>
    <t>VCCS Tuition as % of Average 4-year</t>
  </si>
  <si>
    <t>Grant &amp; Scholarship Recipients</t>
  </si>
  <si>
    <t>Raise at least $550 milllion in cumulative gifts and grants to support the mission of Virginia's Community Colleges.</t>
  </si>
  <si>
    <r>
      <t>Workforce &amp; Non-Credit</t>
    </r>
    <r>
      <rPr>
        <vertAlign val="superscript"/>
        <sz val="11"/>
        <color theme="1"/>
        <rFont val="Calibri"/>
        <family val="2"/>
        <scheme val="minor"/>
      </rPr>
      <t>2</t>
    </r>
  </si>
  <si>
    <r>
      <rPr>
        <vertAlign val="superscript"/>
        <sz val="8"/>
        <color theme="1"/>
        <rFont val="Calibri"/>
        <family val="2"/>
        <scheme val="minor"/>
      </rPr>
      <t>2</t>
    </r>
    <r>
      <rPr>
        <sz val="8"/>
        <color theme="1"/>
        <rFont val="Calibri"/>
        <family val="2"/>
        <scheme val="minor"/>
      </rPr>
      <t xml:space="preserve"> The decrease in Workforce &amp; Non-Credit individuals educated or trained from 2008-2009 to 2009-2010 is attributed to the depressed economy.</t>
    </r>
  </si>
  <si>
    <r>
      <t>Access - Underserved Populations (URP)</t>
    </r>
    <r>
      <rPr>
        <b/>
        <vertAlign val="superscript"/>
        <sz val="12"/>
        <color theme="1"/>
        <rFont val="Calibri"/>
        <family val="2"/>
        <scheme val="minor"/>
      </rPr>
      <t>1</t>
    </r>
  </si>
  <si>
    <r>
      <t>Workforce &amp; Non-Credit</t>
    </r>
    <r>
      <rPr>
        <vertAlign val="superscript"/>
        <sz val="11"/>
        <color theme="1"/>
        <rFont val="Calibri"/>
        <family val="2"/>
        <scheme val="minor"/>
      </rPr>
      <t>3</t>
    </r>
  </si>
  <si>
    <r>
      <t>Student Success - Underserved Populations (URP)</t>
    </r>
    <r>
      <rPr>
        <b/>
        <vertAlign val="superscript"/>
        <sz val="12"/>
        <color theme="1"/>
        <rFont val="Calibri"/>
        <family val="2"/>
        <scheme val="minor"/>
      </rPr>
      <t>1</t>
    </r>
  </si>
  <si>
    <r>
      <rPr>
        <vertAlign val="superscript"/>
        <sz val="8"/>
        <color theme="1"/>
        <rFont val="Calibri"/>
        <family val="2"/>
        <scheme val="minor"/>
      </rPr>
      <t>1</t>
    </r>
    <r>
      <rPr>
        <sz val="8"/>
        <color theme="1"/>
        <rFont val="Calibri"/>
        <family val="2"/>
        <scheme val="minor"/>
      </rPr>
      <t xml:space="preserve">The Underserved Population includes low income Pell recipients, who reside in a specific domicile, are first-generation college students or are of minority ethnicity or race.  This population is also referred to as the under-represented population (URP).  
</t>
    </r>
    <r>
      <rPr>
        <vertAlign val="superscript"/>
        <sz val="8"/>
        <color theme="1"/>
        <rFont val="Calibri"/>
        <family val="2"/>
        <scheme val="minor"/>
      </rPr>
      <t>2</t>
    </r>
    <r>
      <rPr>
        <sz val="8"/>
        <color theme="1"/>
        <rFont val="Calibri"/>
        <family val="2"/>
        <scheme val="minor"/>
      </rPr>
      <t xml:space="preserve"> Duplicated student count.</t>
    </r>
    <r>
      <rPr>
        <vertAlign val="superscript"/>
        <sz val="8"/>
        <color theme="1"/>
        <rFont val="Calibri"/>
        <family val="2"/>
        <scheme val="minor"/>
      </rPr>
      <t/>
    </r>
  </si>
  <si>
    <t>Data Source for the 4-year Average Tuition is the SCHEV Tuition and Fees Report which is published each August and is available on the SCHEV website (http://www.schev.edu/reports/reportsindex.asp) .</t>
  </si>
  <si>
    <r>
      <t>Students</t>
    </r>
    <r>
      <rPr>
        <vertAlign val="superscript"/>
        <sz val="11"/>
        <color theme="1"/>
        <rFont val="Calibri"/>
        <family val="2"/>
        <scheme val="minor"/>
      </rPr>
      <t>1</t>
    </r>
  </si>
  <si>
    <r>
      <t>Total</t>
    </r>
    <r>
      <rPr>
        <vertAlign val="superscript"/>
        <sz val="11"/>
        <color theme="1"/>
        <rFont val="Calibri"/>
        <family val="2"/>
        <scheme val="minor"/>
      </rPr>
      <t>2</t>
    </r>
  </si>
  <si>
    <t>Workforce</t>
  </si>
  <si>
    <t>Double the annual number of employes provided training and services to 10,000, with a particular focus on high-demand occupational fields.</t>
  </si>
  <si>
    <t>FY 2008</t>
  </si>
  <si>
    <t>FY 2009</t>
  </si>
  <si>
    <t>FY 2010</t>
  </si>
  <si>
    <t>FY2008</t>
  </si>
  <si>
    <r>
      <rPr>
        <vertAlign val="superscript"/>
        <sz val="10"/>
        <color theme="1"/>
        <rFont val="Calibri"/>
        <family val="2"/>
        <scheme val="minor"/>
      </rPr>
      <t>1</t>
    </r>
    <r>
      <rPr>
        <sz val="10"/>
        <color theme="1"/>
        <rFont val="Calibri"/>
        <family val="2"/>
        <scheme val="minor"/>
      </rPr>
      <t>The goal is to raise  new monies in cumulative gifts and grants with an assumed baseline in FY08 of zero ($0).  Actual FY08 revenues were $93 million.</t>
    </r>
  </si>
  <si>
    <r>
      <rPr>
        <vertAlign val="superscript"/>
        <sz val="8"/>
        <color theme="1"/>
        <rFont val="Calibri"/>
        <family val="2"/>
        <scheme val="minor"/>
      </rPr>
      <t>2</t>
    </r>
    <r>
      <rPr>
        <sz val="8"/>
        <color theme="1"/>
        <rFont val="Calibri"/>
        <family val="2"/>
        <scheme val="minor"/>
      </rPr>
      <t>2011-2012 Average 4-year Tuition is preliminary</t>
    </r>
  </si>
  <si>
    <r>
      <t>Average 4-year</t>
    </r>
    <r>
      <rPr>
        <vertAlign val="superscript"/>
        <sz val="11"/>
        <color theme="1"/>
        <rFont val="Calibri"/>
        <family val="2"/>
        <scheme val="minor"/>
      </rPr>
      <t>1,2</t>
    </r>
  </si>
  <si>
    <r>
      <rPr>
        <vertAlign val="superscript"/>
        <sz val="8"/>
        <color theme="1"/>
        <rFont val="Calibri"/>
        <family val="2"/>
        <scheme val="minor"/>
      </rPr>
      <t>1</t>
    </r>
    <r>
      <rPr>
        <sz val="8"/>
        <color theme="1"/>
        <rFont val="Calibri"/>
        <family val="2"/>
        <scheme val="minor"/>
      </rPr>
      <t>VCCS Tuition for 2009-2010 reflects Summer 2010 Tuition Rate</t>
    </r>
  </si>
  <si>
    <r>
      <rPr>
        <vertAlign val="superscript"/>
        <sz val="8"/>
        <color theme="1"/>
        <rFont val="Calibri"/>
        <family val="2"/>
        <scheme val="minor"/>
      </rPr>
      <t>1,2</t>
    </r>
    <r>
      <rPr>
        <sz val="8"/>
        <color theme="1"/>
        <rFont val="Calibri"/>
        <family val="2"/>
        <scheme val="minor"/>
      </rPr>
      <t xml:space="preserve"> Duplicated student count across Graduates, Transfers, and Workforce Credential.</t>
    </r>
  </si>
  <si>
    <r>
      <t>Students</t>
    </r>
    <r>
      <rPr>
        <vertAlign val="superscript"/>
        <sz val="11"/>
        <color theme="1"/>
        <rFont val="Calibri"/>
        <family val="2"/>
        <scheme val="minor"/>
      </rPr>
      <t>2</t>
    </r>
  </si>
  <si>
    <t>MECC</t>
  </si>
  <si>
    <t>2007-08</t>
  </si>
  <si>
    <t>2008-09</t>
  </si>
  <si>
    <t>2009-10</t>
  </si>
  <si>
    <t>2010-11</t>
  </si>
  <si>
    <t>Annual Credit Headcount - Underserved Populations</t>
  </si>
  <si>
    <t>July 1 - June 30</t>
  </si>
  <si>
    <t>Baseline      FY2008</t>
  </si>
  <si>
    <t>Workforce &amp; Non-Credit*</t>
  </si>
  <si>
    <t>* The decrease in Workforce &amp; Non-Credit individuals educated or trained from 2008-2009 to 2009-2010 is attributed to the depressed economy.</t>
  </si>
  <si>
    <t>Transfer incomplete data</t>
  </si>
  <si>
    <t>Individuals</t>
  </si>
  <si>
    <r>
      <rPr>
        <vertAlign val="superscript"/>
        <sz val="8"/>
        <color theme="1"/>
        <rFont val="Calibri"/>
        <family val="2"/>
        <scheme val="minor"/>
      </rPr>
      <t>1</t>
    </r>
    <r>
      <rPr>
        <sz val="8"/>
        <color theme="1"/>
        <rFont val="Calibri"/>
        <family val="2"/>
        <scheme val="minor"/>
      </rPr>
      <t xml:space="preserve">The Underserved Population includes low income Pell recipients, who reside in a specific domicile, are first-generation college students or are of minority ethnicity or race.  This population is also referred to as the under-represented population (URP).  
</t>
    </r>
    <r>
      <rPr>
        <sz val="8"/>
        <color theme="1"/>
        <rFont val="Calibri"/>
        <family val="2"/>
        <scheme val="minor"/>
      </rPr>
      <t xml:space="preserve">
</t>
    </r>
    <r>
      <rPr>
        <vertAlign val="superscript"/>
        <sz val="8"/>
        <color theme="1"/>
        <rFont val="Calibri"/>
        <family val="2"/>
        <scheme val="minor"/>
      </rPr>
      <t>3</t>
    </r>
    <r>
      <rPr>
        <sz val="8"/>
        <color theme="1"/>
        <rFont val="Calibri"/>
        <family val="2"/>
        <scheme val="minor"/>
      </rPr>
      <t>Workforce Development Services has begun to capture domicile and minority ethnicity/race data for non-credit students.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</si>
</sst>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
    <numFmt numFmtId="165" formatCode="_(* #,##0_);_(* \(#,##0\);_(* &quot;-&quot;??_);_(@_)"/>
  </numFmts>
  <fonts count="16" x14ac:knownFonts="1">
    <font>
      <sz val="11"/>
      <color theme="1"/>
      <name val="Calibri"/>
      <family val="2"/>
      <scheme val="minor"/>
    </font>
    <font>
      <sz val="11"/>
      <color theme="0"/>
      <name val="Calibri"/>
      <family val="2"/>
      <scheme val="minor"/>
    </font>
    <font>
      <b/>
      <i/>
      <sz val="11"/>
      <color theme="1"/>
      <name val="Calibri"/>
      <family val="2"/>
      <scheme val="minor"/>
    </font>
    <font>
      <b/>
      <sz val="12"/>
      <color theme="1"/>
      <name val="Calibri"/>
      <family val="2"/>
      <scheme val="minor"/>
    </font>
    <font>
      <b/>
      <sz val="14"/>
      <color theme="1"/>
      <name val="Calibri"/>
      <family val="2"/>
      <scheme val="minor"/>
    </font>
    <font>
      <b/>
      <sz val="11"/>
      <color theme="1"/>
      <name val="Calibri"/>
      <family val="2"/>
      <scheme val="minor"/>
    </font>
    <font>
      <b/>
      <sz val="11"/>
      <color rgb="FF000000"/>
      <name val="Calibri"/>
      <family val="2"/>
      <scheme val="minor"/>
    </font>
    <font>
      <sz val="8"/>
      <color theme="1"/>
      <name val="Calibri"/>
      <family val="2"/>
      <scheme val="minor"/>
    </font>
    <font>
      <vertAlign val="superscript"/>
      <sz val="11"/>
      <color theme="1"/>
      <name val="Calibri"/>
      <family val="2"/>
      <scheme val="minor"/>
    </font>
    <font>
      <sz val="11"/>
      <color theme="1"/>
      <name val="Calibri"/>
      <family val="2"/>
      <scheme val="minor"/>
    </font>
    <font>
      <sz val="9"/>
      <color theme="1"/>
      <name val="Calibri"/>
      <family val="2"/>
      <scheme val="minor"/>
    </font>
    <font>
      <sz val="11"/>
      <color rgb="FFFF0000"/>
      <name val="Calibri"/>
      <family val="2"/>
      <scheme val="minor"/>
    </font>
    <font>
      <sz val="10"/>
      <color theme="1"/>
      <name val="Calibri"/>
      <family val="2"/>
      <scheme val="minor"/>
    </font>
    <font>
      <vertAlign val="superscript"/>
      <sz val="10"/>
      <color theme="1"/>
      <name val="Calibri"/>
      <family val="2"/>
      <scheme val="minor"/>
    </font>
    <font>
      <vertAlign val="superscript"/>
      <sz val="8"/>
      <color theme="1"/>
      <name val="Calibri"/>
      <family val="2"/>
      <scheme val="minor"/>
    </font>
    <font>
      <b/>
      <vertAlign val="superscript"/>
      <sz val="12"/>
      <color theme="1"/>
      <name val="Calibri"/>
      <family val="2"/>
      <scheme val="minor"/>
    </font>
  </fonts>
  <fills count="2">
    <fill>
      <patternFill patternType="none"/>
    </fill>
    <fill>
      <patternFill patternType="gray125"/>
    </fill>
  </fills>
  <borders count="10">
    <border>
      <left/>
      <right/>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theme="0" tint="-0.24994659260841701"/>
      </right>
      <top style="medium">
        <color theme="0" tint="-0.24994659260841701"/>
      </top>
      <bottom/>
      <diagonal/>
    </border>
    <border>
      <left/>
      <right/>
      <top/>
      <bottom style="medium">
        <color theme="0" tint="-0.24994659260841701"/>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right/>
      <top style="medium">
        <color theme="0" tint="-0.24994659260841701"/>
      </top>
      <bottom/>
      <diagonal/>
    </border>
    <border>
      <left style="thin">
        <color auto="1"/>
      </left>
      <right style="thin">
        <color auto="1"/>
      </right>
      <top style="thin">
        <color auto="1"/>
      </top>
      <bottom style="thin">
        <color auto="1"/>
      </bottom>
      <diagonal/>
    </border>
    <border>
      <left style="medium">
        <color theme="0" tint="-0.24994659260841701"/>
      </left>
      <right style="medium">
        <color theme="0" tint="-0.24994659260841701"/>
      </right>
      <top/>
      <bottom style="medium">
        <color theme="0" tint="-0.24994659260841701"/>
      </bottom>
      <diagonal/>
    </border>
  </borders>
  <cellStyleXfs count="3">
    <xf numFmtId="0" fontId="0" fillId="0" borderId="0"/>
    <xf numFmtId="43" fontId="9" fillId="0" borderId="0" applyFont="0" applyFill="0" applyBorder="0" applyAlignment="0" applyProtection="0"/>
    <xf numFmtId="9" fontId="9" fillId="0" borderId="0" applyFont="0" applyFill="0" applyBorder="0" applyAlignment="0" applyProtection="0"/>
  </cellStyleXfs>
  <cellXfs count="114">
    <xf numFmtId="0" fontId="0" fillId="0" borderId="0" xfId="0"/>
    <xf numFmtId="0" fontId="0" fillId="0" borderId="0" xfId="0" applyAlignment="1">
      <alignment horizontal="center"/>
    </xf>
    <xf numFmtId="3" fontId="0" fillId="0" borderId="0" xfId="0" applyNumberFormat="1"/>
    <xf numFmtId="3" fontId="1" fillId="0" borderId="0" xfId="0" applyNumberFormat="1" applyFont="1"/>
    <xf numFmtId="0" fontId="0" fillId="0" borderId="1" xfId="0" applyBorder="1" applyAlignment="1">
      <alignment horizontal="right"/>
    </xf>
    <xf numFmtId="3" fontId="0" fillId="0" borderId="1" xfId="0" applyNumberFormat="1" applyBorder="1"/>
    <xf numFmtId="0" fontId="0" fillId="0" borderId="1" xfId="0" applyBorder="1"/>
    <xf numFmtId="0" fontId="0" fillId="0" borderId="2" xfId="0" applyBorder="1"/>
    <xf numFmtId="0" fontId="7" fillId="0" borderId="0" xfId="0" applyFont="1"/>
    <xf numFmtId="3" fontId="0" fillId="0" borderId="1" xfId="0" applyNumberFormat="1" applyBorder="1" applyAlignment="1">
      <alignment horizontal="right"/>
    </xf>
    <xf numFmtId="0" fontId="0" fillId="0" borderId="1" xfId="0" applyBorder="1" applyAlignment="1">
      <alignment wrapText="1"/>
    </xf>
    <xf numFmtId="0" fontId="10" fillId="0" borderId="0" xfId="0" applyFont="1" applyAlignment="1">
      <alignment wrapText="1"/>
    </xf>
    <xf numFmtId="2" fontId="1" fillId="0" borderId="0" xfId="1" applyNumberFormat="1" applyFont="1"/>
    <xf numFmtId="2" fontId="1" fillId="0" borderId="0" xfId="0" applyNumberFormat="1" applyFont="1"/>
    <xf numFmtId="0" fontId="0" fillId="0" borderId="0" xfId="0" quotePrefix="1"/>
    <xf numFmtId="43" fontId="1" fillId="0" borderId="0" xfId="1" applyFont="1"/>
    <xf numFmtId="0" fontId="0" fillId="0" borderId="0" xfId="0" applyBorder="1"/>
    <xf numFmtId="3" fontId="0" fillId="0" borderId="0" xfId="0" applyNumberFormat="1" applyBorder="1"/>
    <xf numFmtId="0" fontId="0" fillId="0" borderId="0" xfId="0" applyBorder="1" applyAlignment="1">
      <alignment wrapText="1"/>
    </xf>
    <xf numFmtId="0" fontId="0" fillId="0" borderId="0" xfId="0" applyAlignment="1">
      <alignment horizontal="center"/>
    </xf>
    <xf numFmtId="0" fontId="5" fillId="0" borderId="0" xfId="0" applyFont="1"/>
    <xf numFmtId="3" fontId="0" fillId="0" borderId="2" xfId="0" applyNumberFormat="1" applyBorder="1"/>
    <xf numFmtId="165" fontId="0" fillId="0" borderId="1" xfId="1" applyNumberFormat="1" applyFont="1" applyBorder="1" applyAlignment="1">
      <alignment horizontal="right" wrapText="1"/>
    </xf>
    <xf numFmtId="0" fontId="0" fillId="0" borderId="1" xfId="0" applyBorder="1" applyAlignment="1">
      <alignment horizontal="center"/>
    </xf>
    <xf numFmtId="0" fontId="11" fillId="0" borderId="0" xfId="0" applyFont="1"/>
    <xf numFmtId="3" fontId="0" fillId="0" borderId="1" xfId="0" applyNumberFormat="1" applyBorder="1" applyAlignment="1">
      <alignment horizontal="right" wrapText="1"/>
    </xf>
    <xf numFmtId="0" fontId="5" fillId="0" borderId="1" xfId="0" applyFont="1" applyBorder="1"/>
    <xf numFmtId="0" fontId="7" fillId="0" borderId="0" xfId="0" applyFont="1" applyFill="1" applyBorder="1"/>
    <xf numFmtId="0" fontId="1" fillId="0" borderId="0" xfId="0" applyFont="1"/>
    <xf numFmtId="165" fontId="1" fillId="0" borderId="0" xfId="1" applyNumberFormat="1" applyFont="1" applyAlignment="1">
      <alignment horizontal="right" wrapText="1"/>
    </xf>
    <xf numFmtId="164" fontId="0" fillId="0" borderId="1" xfId="1" applyNumberFormat="1" applyFont="1" applyBorder="1" applyAlignment="1">
      <alignment horizontal="right" wrapText="1"/>
    </xf>
    <xf numFmtId="0" fontId="5" fillId="0" borderId="1" xfId="0" applyFont="1" applyBorder="1" applyAlignment="1">
      <alignment horizontal="left"/>
    </xf>
    <xf numFmtId="164" fontId="0" fillId="0" borderId="1" xfId="0" applyNumberFormat="1" applyBorder="1" applyAlignment="1">
      <alignment horizontal="right"/>
    </xf>
    <xf numFmtId="164" fontId="0" fillId="0" borderId="1" xfId="1" applyNumberFormat="1" applyFont="1" applyBorder="1" applyAlignment="1">
      <alignment horizontal="right"/>
    </xf>
    <xf numFmtId="3" fontId="0" fillId="0" borderId="1" xfId="1" applyNumberFormat="1" applyFont="1" applyBorder="1" applyAlignment="1">
      <alignment horizontal="right"/>
    </xf>
    <xf numFmtId="3" fontId="0" fillId="0" borderId="1" xfId="1" applyNumberFormat="1" applyFont="1" applyBorder="1" applyAlignment="1">
      <alignment horizontal="right" wrapText="1"/>
    </xf>
    <xf numFmtId="0" fontId="0" fillId="0" borderId="1" xfId="0" applyBorder="1" applyAlignment="1">
      <alignment horizontal="center" wrapText="1"/>
    </xf>
    <xf numFmtId="0" fontId="0" fillId="0" borderId="0" xfId="0" applyAlignment="1">
      <alignment horizontal="center"/>
    </xf>
    <xf numFmtId="3" fontId="0" fillId="0" borderId="1" xfId="0" applyNumberFormat="1" applyFont="1" applyBorder="1"/>
    <xf numFmtId="0" fontId="7" fillId="0" borderId="0" xfId="0" quotePrefix="1" applyFont="1"/>
    <xf numFmtId="0" fontId="0" fillId="0" borderId="1" xfId="0" applyFont="1" applyBorder="1" applyAlignment="1">
      <alignment wrapText="1"/>
    </xf>
    <xf numFmtId="0" fontId="0" fillId="0" borderId="1" xfId="0" applyFont="1" applyBorder="1" applyAlignment="1">
      <alignment horizontal="center" wrapText="1"/>
    </xf>
    <xf numFmtId="0" fontId="0" fillId="0" borderId="1" xfId="0" applyFont="1" applyBorder="1"/>
    <xf numFmtId="0" fontId="0" fillId="0" borderId="1" xfId="0" quotePrefix="1" applyFont="1" applyBorder="1" applyAlignment="1">
      <alignment wrapText="1"/>
    </xf>
    <xf numFmtId="9" fontId="0" fillId="0" borderId="1" xfId="2" applyFont="1" applyBorder="1"/>
    <xf numFmtId="0" fontId="5" fillId="0" borderId="0" xfId="0" applyFont="1" applyAlignment="1">
      <alignment horizontal="center"/>
    </xf>
    <xf numFmtId="0" fontId="6" fillId="0" borderId="1" xfId="0" applyFont="1" applyFill="1" applyBorder="1" applyAlignment="1">
      <alignment horizontal="center" wrapText="1"/>
    </xf>
    <xf numFmtId="0" fontId="5" fillId="0" borderId="0" xfId="0" applyFont="1" applyAlignment="1">
      <alignment horizontal="center"/>
    </xf>
    <xf numFmtId="0" fontId="5" fillId="0" borderId="1" xfId="0" applyFont="1" applyBorder="1" applyAlignment="1">
      <alignment horizontal="center" wrapText="1"/>
    </xf>
    <xf numFmtId="0" fontId="5" fillId="0" borderId="0" xfId="0" applyFont="1" applyAlignment="1">
      <alignment horizontal="center" vertical="center"/>
    </xf>
    <xf numFmtId="0" fontId="0" fillId="0" borderId="1" xfId="0" applyFont="1" applyBorder="1" applyAlignment="1">
      <alignment horizontal="left"/>
    </xf>
    <xf numFmtId="0" fontId="10" fillId="0" borderId="0" xfId="0" applyFont="1"/>
    <xf numFmtId="3" fontId="0" fillId="0" borderId="1" xfId="0" applyNumberFormat="1" applyFont="1" applyBorder="1" applyAlignment="1">
      <alignment horizontal="center"/>
    </xf>
    <xf numFmtId="3" fontId="9" fillId="0" borderId="1" xfId="1" applyNumberFormat="1" applyFont="1" applyBorder="1" applyAlignment="1">
      <alignment horizontal="right"/>
    </xf>
    <xf numFmtId="0" fontId="5" fillId="0" borderId="0" xfId="0" applyFont="1" applyAlignment="1">
      <alignment horizontal="center"/>
    </xf>
    <xf numFmtId="0" fontId="0" fillId="0" borderId="0" xfId="0" applyAlignment="1">
      <alignment horizontal="center"/>
    </xf>
    <xf numFmtId="0" fontId="0" fillId="0" borderId="1" xfId="0" applyFont="1" applyFill="1" applyBorder="1" applyAlignment="1">
      <alignment horizontal="center" wrapText="1"/>
    </xf>
    <xf numFmtId="0" fontId="0" fillId="0" borderId="8" xfId="0" applyBorder="1"/>
    <xf numFmtId="3" fontId="0" fillId="0" borderId="8" xfId="0" applyNumberFormat="1" applyBorder="1"/>
    <xf numFmtId="0" fontId="0" fillId="0" borderId="8" xfId="0" applyBorder="1" applyAlignment="1">
      <alignment horizontal="center" wrapText="1"/>
    </xf>
    <xf numFmtId="3" fontId="0" fillId="0" borderId="1" xfId="0" applyNumberFormat="1" applyBorder="1"/>
    <xf numFmtId="3" fontId="0" fillId="0" borderId="1" xfId="0" applyNumberFormat="1" applyBorder="1" applyAlignment="1">
      <alignment horizontal="right"/>
    </xf>
    <xf numFmtId="3" fontId="0" fillId="0" borderId="1" xfId="0" applyNumberFormat="1" applyBorder="1"/>
    <xf numFmtId="3" fontId="0" fillId="0" borderId="1" xfId="0" applyNumberFormat="1" applyBorder="1"/>
    <xf numFmtId="3" fontId="0" fillId="0" borderId="1" xfId="0" applyNumberFormat="1" applyBorder="1"/>
    <xf numFmtId="3" fontId="0" fillId="0" borderId="1" xfId="0" applyNumberFormat="1" applyBorder="1" applyAlignment="1">
      <alignment horizontal="right"/>
    </xf>
    <xf numFmtId="3" fontId="0" fillId="0" borderId="1" xfId="0" applyNumberFormat="1" applyBorder="1"/>
    <xf numFmtId="3" fontId="0" fillId="0" borderId="1" xfId="0" applyNumberFormat="1" applyBorder="1"/>
    <xf numFmtId="164" fontId="0" fillId="0" borderId="1" xfId="2" applyNumberFormat="1" applyFont="1" applyBorder="1"/>
    <xf numFmtId="3" fontId="0" fillId="0" borderId="1" xfId="0" applyNumberFormat="1" applyBorder="1"/>
    <xf numFmtId="3" fontId="0" fillId="0" borderId="1" xfId="0" applyNumberFormat="1" applyBorder="1"/>
    <xf numFmtId="165" fontId="0" fillId="0" borderId="1" xfId="1" applyNumberFormat="1" applyFont="1" applyBorder="1" applyAlignment="1">
      <alignment horizontal="right" wrapText="1"/>
    </xf>
    <xf numFmtId="3" fontId="0" fillId="0" borderId="1" xfId="0" applyNumberFormat="1" applyBorder="1"/>
    <xf numFmtId="3" fontId="0" fillId="0" borderId="1" xfId="0" applyNumberFormat="1" applyBorder="1" applyAlignment="1">
      <alignment horizontal="right" wrapText="1"/>
    </xf>
    <xf numFmtId="3" fontId="0" fillId="0" borderId="1" xfId="0" applyNumberFormat="1" applyBorder="1"/>
    <xf numFmtId="165" fontId="0" fillId="0" borderId="1" xfId="1" applyNumberFormat="1" applyFont="1" applyBorder="1" applyAlignment="1">
      <alignment horizontal="right" wrapText="1"/>
    </xf>
    <xf numFmtId="3" fontId="0" fillId="0" borderId="1" xfId="0" applyNumberFormat="1" applyBorder="1"/>
    <xf numFmtId="165" fontId="0" fillId="0" borderId="1" xfId="1" applyNumberFormat="1" applyFont="1" applyBorder="1" applyAlignment="1">
      <alignment horizontal="right" wrapText="1"/>
    </xf>
    <xf numFmtId="3" fontId="0" fillId="0" borderId="1" xfId="0" applyNumberFormat="1" applyBorder="1"/>
    <xf numFmtId="3" fontId="0" fillId="0" borderId="1" xfId="0" applyNumberFormat="1" applyBorder="1"/>
    <xf numFmtId="3" fontId="0" fillId="0" borderId="1" xfId="0" applyNumberFormat="1" applyBorder="1"/>
    <xf numFmtId="3" fontId="0" fillId="0" borderId="1" xfId="0" applyNumberFormat="1" applyBorder="1" applyAlignment="1">
      <alignment horizontal="right"/>
    </xf>
    <xf numFmtId="3" fontId="0" fillId="0" borderId="1" xfId="0" applyNumberFormat="1" applyBorder="1"/>
    <xf numFmtId="3" fontId="0" fillId="0" borderId="1" xfId="0" applyNumberFormat="1" applyBorder="1"/>
    <xf numFmtId="3" fontId="0" fillId="0" borderId="1" xfId="0" applyNumberFormat="1" applyBorder="1"/>
    <xf numFmtId="3" fontId="0" fillId="0" borderId="1" xfId="0" applyNumberFormat="1" applyBorder="1"/>
    <xf numFmtId="3" fontId="0" fillId="0" borderId="1" xfId="0" applyNumberFormat="1" applyBorder="1"/>
    <xf numFmtId="3" fontId="0" fillId="0" borderId="1" xfId="0" applyNumberFormat="1" applyBorder="1"/>
    <xf numFmtId="3" fontId="0" fillId="0" borderId="1" xfId="0" applyNumberFormat="1" applyBorder="1"/>
    <xf numFmtId="0" fontId="0" fillId="0" borderId="9" xfId="0" applyBorder="1"/>
    <xf numFmtId="3" fontId="0" fillId="0" borderId="1" xfId="0" applyNumberFormat="1" applyBorder="1" applyAlignment="1">
      <alignment horizontal="center" wrapText="1"/>
    </xf>
    <xf numFmtId="0" fontId="0" fillId="0" borderId="1" xfId="0" applyBorder="1" applyAlignment="1">
      <alignment horizontal="left" wrapText="1"/>
    </xf>
    <xf numFmtId="0" fontId="7" fillId="0" borderId="0" xfId="0" applyFont="1" applyAlignment="1">
      <alignment horizontal="left" wrapText="1"/>
    </xf>
    <xf numFmtId="0" fontId="2" fillId="0" borderId="0" xfId="0" applyFont="1" applyAlignment="1">
      <alignment horizontal="center" wrapText="1"/>
    </xf>
    <xf numFmtId="0" fontId="4" fillId="0" borderId="0" xfId="0" applyFont="1" applyAlignment="1">
      <alignment horizontal="center"/>
    </xf>
    <xf numFmtId="0" fontId="3" fillId="0" borderId="0" xfId="0" applyFont="1" applyAlignment="1">
      <alignment horizont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0" xfId="0" applyFont="1" applyAlignment="1">
      <alignment horizontal="center"/>
    </xf>
    <xf numFmtId="0" fontId="6" fillId="0" borderId="1" xfId="0" applyFont="1" applyFill="1" applyBorder="1" applyAlignment="1">
      <alignment horizontal="center" vertical="center" wrapText="1"/>
    </xf>
    <xf numFmtId="0" fontId="6" fillId="0" borderId="1" xfId="0" applyFont="1" applyFill="1" applyBorder="1" applyAlignment="1">
      <alignment horizontal="center" wrapText="1"/>
    </xf>
    <xf numFmtId="0" fontId="7" fillId="0" borderId="7" xfId="0" applyFont="1" applyBorder="1" applyAlignment="1">
      <alignment horizontal="left" wrapText="1"/>
    </xf>
    <xf numFmtId="0" fontId="5" fillId="0" borderId="1" xfId="0" applyFont="1" applyBorder="1" applyAlignment="1">
      <alignment horizontal="center" vertical="center" wrapText="1"/>
    </xf>
    <xf numFmtId="0" fontId="5" fillId="0" borderId="1" xfId="0" applyFont="1" applyBorder="1" applyAlignment="1">
      <alignment horizontal="center" wrapText="1"/>
    </xf>
    <xf numFmtId="0" fontId="5" fillId="0" borderId="3" xfId="0" applyFont="1" applyBorder="1" applyAlignment="1">
      <alignment horizontal="center"/>
    </xf>
    <xf numFmtId="0" fontId="12" fillId="0" borderId="0" xfId="0" applyFont="1" applyBorder="1" applyAlignment="1">
      <alignment horizontal="left" wrapText="1"/>
    </xf>
    <xf numFmtId="0" fontId="0" fillId="0" borderId="4" xfId="0" applyFont="1" applyBorder="1" applyAlignment="1">
      <alignment horizontal="center"/>
    </xf>
    <xf numFmtId="0" fontId="0" fillId="0" borderId="5"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7" fillId="0" borderId="0" xfId="0" applyFont="1" applyFill="1" applyBorder="1" applyAlignment="1">
      <alignment horizontal="left" vertical="top" wrapText="1"/>
    </xf>
    <xf numFmtId="0" fontId="8" fillId="0" borderId="0" xfId="0" applyFont="1" applyFill="1" applyBorder="1" applyAlignment="1">
      <alignment horizontal="left" vertical="top" wrapText="1"/>
    </xf>
    <xf numFmtId="0" fontId="12" fillId="0" borderId="0" xfId="0" applyFont="1" applyAlignment="1">
      <alignment horizontal="left" wrapText="1"/>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Achieve 2015: Access</a:t>
            </a:r>
          </a:p>
          <a:p>
            <a:pPr>
              <a:defRPr/>
            </a:pPr>
            <a:r>
              <a:rPr lang="en-US"/>
              <a:t>Individuals</a:t>
            </a:r>
            <a:r>
              <a:rPr lang="en-US" baseline="0"/>
              <a:t> Educated &amp; Trained</a:t>
            </a:r>
          </a:p>
        </c:rich>
      </c:tx>
      <c:layout/>
      <c:overlay val="0"/>
    </c:title>
    <c:autoTitleDeleted val="0"/>
    <c:plotArea>
      <c:layout/>
      <c:barChart>
        <c:barDir val="col"/>
        <c:grouping val="clustered"/>
        <c:varyColors val="0"/>
        <c:ser>
          <c:idx val="0"/>
          <c:order val="0"/>
          <c:invertIfNegative val="0"/>
          <c:cat>
            <c:strRef>
              <c:f>Access!$B$7:$I$7</c:f>
              <c:strCache>
                <c:ptCount val="8"/>
                <c:pt idx="0">
                  <c:v>2007-2008</c:v>
                </c:pt>
                <c:pt idx="1">
                  <c:v>2008-2009</c:v>
                </c:pt>
                <c:pt idx="2">
                  <c:v>2009-2010</c:v>
                </c:pt>
                <c:pt idx="3">
                  <c:v>2010-2011</c:v>
                </c:pt>
                <c:pt idx="4">
                  <c:v>2011-2012</c:v>
                </c:pt>
                <c:pt idx="5">
                  <c:v>2012-2013</c:v>
                </c:pt>
                <c:pt idx="6">
                  <c:v>2013-2014</c:v>
                </c:pt>
                <c:pt idx="7">
                  <c:v>2014-2015</c:v>
                </c:pt>
              </c:strCache>
            </c:strRef>
          </c:cat>
          <c:val>
            <c:numRef>
              <c:f>Access!$B$8:$I$8</c:f>
              <c:numCache>
                <c:formatCode>#,##0</c:formatCode>
                <c:ptCount val="8"/>
                <c:pt idx="0">
                  <c:v>375577</c:v>
                </c:pt>
                <c:pt idx="1">
                  <c:v>403208</c:v>
                </c:pt>
                <c:pt idx="2">
                  <c:v>393707</c:v>
                </c:pt>
                <c:pt idx="3">
                  <c:v>401491</c:v>
                </c:pt>
              </c:numCache>
            </c:numRef>
          </c:val>
        </c:ser>
        <c:dLbls>
          <c:showLegendKey val="0"/>
          <c:showVal val="0"/>
          <c:showCatName val="0"/>
          <c:showSerName val="0"/>
          <c:showPercent val="0"/>
          <c:showBubbleSize val="0"/>
        </c:dLbls>
        <c:gapWidth val="150"/>
        <c:axId val="91610112"/>
        <c:axId val="92276992"/>
      </c:barChart>
      <c:lineChart>
        <c:grouping val="standard"/>
        <c:varyColors val="0"/>
        <c:ser>
          <c:idx val="1"/>
          <c:order val="1"/>
          <c:marker>
            <c:symbol val="none"/>
          </c:marker>
          <c:dLbls>
            <c:dLbl>
              <c:idx val="0"/>
              <c:delete val="1"/>
            </c:dLbl>
            <c:dLbl>
              <c:idx val="1"/>
              <c:delete val="1"/>
            </c:dLbl>
            <c:dLbl>
              <c:idx val="2"/>
              <c:delete val="1"/>
            </c:dLbl>
            <c:dLbl>
              <c:idx val="3"/>
              <c:delete val="1"/>
            </c:dLbl>
            <c:dLbl>
              <c:idx val="4"/>
              <c:delete val="1"/>
            </c:dLbl>
            <c:dLbl>
              <c:idx val="5"/>
              <c:delete val="1"/>
            </c:dLbl>
            <c:dLbl>
              <c:idx val="6"/>
              <c:layout>
                <c:manualLayout>
                  <c:x val="0"/>
                  <c:y val="0"/>
                </c:manualLayout>
              </c:layout>
              <c:tx>
                <c:rich>
                  <a:bodyPr/>
                  <a:lstStyle/>
                  <a:p>
                    <a:pPr>
                      <a:defRPr/>
                    </a:pPr>
                    <a:r>
                      <a:rPr lang="en-US" b="1"/>
                      <a:t>Target</a:t>
                    </a:r>
                  </a:p>
                  <a:p>
                    <a:pPr>
                      <a:defRPr/>
                    </a:pPr>
                    <a:r>
                      <a:rPr lang="en-US" b="1"/>
                      <a:t>423,000</a:t>
                    </a:r>
                  </a:p>
                </c:rich>
              </c:tx>
              <c:spPr/>
              <c:dLblPos val="r"/>
              <c:showLegendKey val="0"/>
              <c:showVal val="0"/>
              <c:showCatName val="0"/>
              <c:showSerName val="0"/>
              <c:showPercent val="0"/>
              <c:showBubbleSize val="0"/>
            </c:dLbl>
            <c:dLbl>
              <c:idx val="7"/>
              <c:delete val="1"/>
            </c:dLbl>
            <c:showLegendKey val="0"/>
            <c:showVal val="1"/>
            <c:showCatName val="0"/>
            <c:showSerName val="0"/>
            <c:showPercent val="0"/>
            <c:showBubbleSize val="0"/>
            <c:showLeaderLines val="0"/>
          </c:dLbls>
          <c:val>
            <c:numRef>
              <c:f>Access!$B$10:$I$10</c:f>
              <c:numCache>
                <c:formatCode>#,##0</c:formatCode>
                <c:ptCount val="8"/>
                <c:pt idx="0">
                  <c:v>423000</c:v>
                </c:pt>
                <c:pt idx="1">
                  <c:v>423000</c:v>
                </c:pt>
                <c:pt idx="2">
                  <c:v>423000</c:v>
                </c:pt>
                <c:pt idx="3">
                  <c:v>423000</c:v>
                </c:pt>
                <c:pt idx="4">
                  <c:v>423000</c:v>
                </c:pt>
                <c:pt idx="5">
                  <c:v>423000</c:v>
                </c:pt>
                <c:pt idx="6">
                  <c:v>423000</c:v>
                </c:pt>
                <c:pt idx="7">
                  <c:v>423000</c:v>
                </c:pt>
              </c:numCache>
            </c:numRef>
          </c:val>
          <c:smooth val="0"/>
        </c:ser>
        <c:dLbls>
          <c:showLegendKey val="0"/>
          <c:showVal val="0"/>
          <c:showCatName val="0"/>
          <c:showSerName val="0"/>
          <c:showPercent val="0"/>
          <c:showBubbleSize val="0"/>
        </c:dLbls>
        <c:marker val="1"/>
        <c:smooth val="0"/>
        <c:axId val="91610112"/>
        <c:axId val="92276992"/>
      </c:lineChart>
      <c:catAx>
        <c:axId val="91610112"/>
        <c:scaling>
          <c:orientation val="minMax"/>
        </c:scaling>
        <c:delete val="0"/>
        <c:axPos val="b"/>
        <c:numFmt formatCode="General" sourceLinked="1"/>
        <c:majorTickMark val="none"/>
        <c:minorTickMark val="none"/>
        <c:tickLblPos val="nextTo"/>
        <c:crossAx val="92276992"/>
        <c:crosses val="autoZero"/>
        <c:auto val="1"/>
        <c:lblAlgn val="ctr"/>
        <c:lblOffset val="100"/>
        <c:noMultiLvlLbl val="0"/>
      </c:catAx>
      <c:valAx>
        <c:axId val="92276992"/>
        <c:scaling>
          <c:orientation val="minMax"/>
          <c:max val="450000"/>
          <c:min val="320000"/>
        </c:scaling>
        <c:delete val="0"/>
        <c:axPos val="l"/>
        <c:majorGridlines/>
        <c:numFmt formatCode="#,##0" sourceLinked="1"/>
        <c:majorTickMark val="none"/>
        <c:minorTickMark val="none"/>
        <c:tickLblPos val="nextTo"/>
        <c:spPr>
          <a:ln w="9525">
            <a:noFill/>
          </a:ln>
        </c:spPr>
        <c:crossAx val="91610112"/>
        <c:crosses val="autoZero"/>
        <c:crossBetween val="between"/>
      </c:valAx>
    </c:plotArea>
    <c:plotVisOnly val="1"/>
    <c:dispBlanksAs val="gap"/>
    <c:showDLblsOverMax val="0"/>
  </c:chart>
  <c:printSettings>
    <c:headerFooter/>
    <c:pageMargins b="0.75000000000000178" l="0.70000000000000062" r="0.70000000000000062" t="0.75000000000000178" header="0.30000000000000032" footer="0.3000000000000003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baseline="0"/>
              <a:t>Achieve 2015: Access</a:t>
            </a:r>
            <a:endParaRPr lang="en-US"/>
          </a:p>
          <a:p>
            <a:pPr>
              <a:defRPr/>
            </a:pPr>
            <a:r>
              <a:rPr lang="en-US" sz="1800" b="1" i="0" baseline="0"/>
              <a:t>Individuals Educated &amp; Trained</a:t>
            </a:r>
            <a:endParaRPr lang="en-US"/>
          </a:p>
        </c:rich>
      </c:tx>
      <c:layout/>
      <c:overlay val="1"/>
    </c:title>
    <c:autoTitleDeleted val="0"/>
    <c:plotArea>
      <c:layout>
        <c:manualLayout>
          <c:layoutTarget val="inner"/>
          <c:xMode val="edge"/>
          <c:yMode val="edge"/>
          <c:x val="0.11139069127466257"/>
          <c:y val="0.26625535732084132"/>
          <c:w val="0.87163213331659906"/>
          <c:h val="0.48163460580085765"/>
        </c:manualLayout>
      </c:layout>
      <c:barChart>
        <c:barDir val="col"/>
        <c:grouping val="clustered"/>
        <c:varyColors val="0"/>
        <c:ser>
          <c:idx val="0"/>
          <c:order val="0"/>
          <c:invertIfNegative val="0"/>
          <c:cat>
            <c:strRef>
              <c:f>Access!$L$7:$S$7</c:f>
              <c:strCache>
                <c:ptCount val="8"/>
                <c:pt idx="0">
                  <c:v>2007-2008</c:v>
                </c:pt>
                <c:pt idx="1">
                  <c:v>2008-2009</c:v>
                </c:pt>
                <c:pt idx="2">
                  <c:v>2009-2010</c:v>
                </c:pt>
                <c:pt idx="3">
                  <c:v>2010-2011</c:v>
                </c:pt>
                <c:pt idx="4">
                  <c:v>2011-2012</c:v>
                </c:pt>
                <c:pt idx="5">
                  <c:v>2012-2013</c:v>
                </c:pt>
                <c:pt idx="6">
                  <c:v>2013-2014</c:v>
                </c:pt>
                <c:pt idx="7">
                  <c:v>2014-2015</c:v>
                </c:pt>
              </c:strCache>
            </c:strRef>
          </c:cat>
          <c:val>
            <c:numRef>
              <c:f>Access!$L$8:$S$8</c:f>
              <c:numCache>
                <c:formatCode>#,##0</c:formatCode>
                <c:ptCount val="8"/>
                <c:pt idx="0">
                  <c:v>8647</c:v>
                </c:pt>
                <c:pt idx="1">
                  <c:v>9328</c:v>
                </c:pt>
                <c:pt idx="2">
                  <c:v>8621</c:v>
                </c:pt>
                <c:pt idx="3">
                  <c:v>9406</c:v>
                </c:pt>
              </c:numCache>
            </c:numRef>
          </c:val>
        </c:ser>
        <c:dLbls>
          <c:showLegendKey val="0"/>
          <c:showVal val="0"/>
          <c:showCatName val="0"/>
          <c:showSerName val="0"/>
          <c:showPercent val="0"/>
          <c:showBubbleSize val="0"/>
        </c:dLbls>
        <c:gapWidth val="150"/>
        <c:axId val="104041472"/>
        <c:axId val="149554304"/>
      </c:barChart>
      <c:catAx>
        <c:axId val="104041472"/>
        <c:scaling>
          <c:orientation val="minMax"/>
        </c:scaling>
        <c:delete val="0"/>
        <c:axPos val="b"/>
        <c:majorTickMark val="out"/>
        <c:minorTickMark val="none"/>
        <c:tickLblPos val="nextTo"/>
        <c:crossAx val="149554304"/>
        <c:crosses val="autoZero"/>
        <c:auto val="1"/>
        <c:lblAlgn val="ctr"/>
        <c:lblOffset val="100"/>
        <c:noMultiLvlLbl val="0"/>
      </c:catAx>
      <c:valAx>
        <c:axId val="149554304"/>
        <c:scaling>
          <c:orientation val="minMax"/>
        </c:scaling>
        <c:delete val="0"/>
        <c:axPos val="l"/>
        <c:majorGridlines/>
        <c:numFmt formatCode="#,##0" sourceLinked="1"/>
        <c:majorTickMark val="out"/>
        <c:minorTickMark val="none"/>
        <c:tickLblPos val="nextTo"/>
        <c:crossAx val="10404147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Achieve 2015: Access</a:t>
            </a:r>
          </a:p>
          <a:p>
            <a:pPr>
              <a:defRPr/>
            </a:pPr>
            <a:r>
              <a:rPr lang="en-US"/>
              <a:t>Individuals Educated &amp; Trained, URP</a:t>
            </a:r>
          </a:p>
        </c:rich>
      </c:tx>
      <c:layout>
        <c:manualLayout>
          <c:xMode val="edge"/>
          <c:yMode val="edge"/>
          <c:x val="0.16476652993226146"/>
          <c:y val="4.1666746202179271E-2"/>
        </c:manualLayout>
      </c:layout>
      <c:overlay val="0"/>
    </c:title>
    <c:autoTitleDeleted val="0"/>
    <c:plotArea>
      <c:layout/>
      <c:barChart>
        <c:barDir val="col"/>
        <c:grouping val="clustered"/>
        <c:varyColors val="0"/>
        <c:ser>
          <c:idx val="0"/>
          <c:order val="0"/>
          <c:invertIfNegative val="0"/>
          <c:cat>
            <c:strRef>
              <c:f>'Access URP'!$B$7:$I$7</c:f>
              <c:strCache>
                <c:ptCount val="8"/>
                <c:pt idx="0">
                  <c:v>2007-2008</c:v>
                </c:pt>
                <c:pt idx="1">
                  <c:v>2008-2009</c:v>
                </c:pt>
                <c:pt idx="2">
                  <c:v>2009-2010</c:v>
                </c:pt>
                <c:pt idx="3">
                  <c:v>2010-2011</c:v>
                </c:pt>
                <c:pt idx="4">
                  <c:v>2011-2012</c:v>
                </c:pt>
                <c:pt idx="5">
                  <c:v>2012-2013</c:v>
                </c:pt>
                <c:pt idx="6">
                  <c:v>2013-2014</c:v>
                </c:pt>
                <c:pt idx="7">
                  <c:v>2014-2015</c:v>
                </c:pt>
              </c:strCache>
            </c:strRef>
          </c:cat>
          <c:val>
            <c:numRef>
              <c:f>'Access URP'!$B$8:$I$8</c:f>
              <c:numCache>
                <c:formatCode>#,##0</c:formatCode>
                <c:ptCount val="8"/>
                <c:pt idx="0">
                  <c:v>115909</c:v>
                </c:pt>
                <c:pt idx="1">
                  <c:v>155501</c:v>
                </c:pt>
                <c:pt idx="2">
                  <c:v>183649</c:v>
                </c:pt>
                <c:pt idx="3">
                  <c:v>191602</c:v>
                </c:pt>
              </c:numCache>
            </c:numRef>
          </c:val>
        </c:ser>
        <c:dLbls>
          <c:showLegendKey val="0"/>
          <c:showVal val="0"/>
          <c:showCatName val="0"/>
          <c:showSerName val="0"/>
          <c:showPercent val="0"/>
          <c:showBubbleSize val="0"/>
        </c:dLbls>
        <c:gapWidth val="75"/>
        <c:overlap val="-25"/>
        <c:axId val="174625920"/>
        <c:axId val="174627456"/>
      </c:barChart>
      <c:lineChart>
        <c:grouping val="standard"/>
        <c:varyColors val="0"/>
        <c:ser>
          <c:idx val="1"/>
          <c:order val="1"/>
          <c:marker>
            <c:symbol val="none"/>
          </c:marker>
          <c:dLbls>
            <c:dLbl>
              <c:idx val="0"/>
              <c:delete val="1"/>
            </c:dLbl>
            <c:dLbl>
              <c:idx val="1"/>
              <c:delete val="1"/>
            </c:dLbl>
            <c:dLbl>
              <c:idx val="2"/>
              <c:delete val="1"/>
            </c:dLbl>
            <c:dLbl>
              <c:idx val="3"/>
              <c:delete val="1"/>
            </c:dLbl>
            <c:dLbl>
              <c:idx val="4"/>
              <c:delete val="1"/>
            </c:dLbl>
            <c:dLbl>
              <c:idx val="5"/>
              <c:delete val="1"/>
            </c:dLbl>
            <c:dLbl>
              <c:idx val="6"/>
              <c:tx>
                <c:rich>
                  <a:bodyPr/>
                  <a:lstStyle/>
                  <a:p>
                    <a:pPr>
                      <a:defRPr/>
                    </a:pPr>
                    <a:r>
                      <a:rPr lang="en-US" b="1"/>
                      <a:t>Target</a:t>
                    </a:r>
                  </a:p>
                  <a:p>
                    <a:pPr>
                      <a:defRPr/>
                    </a:pPr>
                    <a:r>
                      <a:rPr lang="en-US" b="1"/>
                      <a:t>150,627</a:t>
                    </a:r>
                  </a:p>
                </c:rich>
              </c:tx>
              <c:spPr/>
              <c:showLegendKey val="0"/>
              <c:showVal val="0"/>
              <c:showCatName val="0"/>
              <c:showSerName val="0"/>
              <c:showPercent val="0"/>
              <c:showBubbleSize val="0"/>
            </c:dLbl>
            <c:dLbl>
              <c:idx val="7"/>
              <c:delete val="1"/>
            </c:dLbl>
            <c:showLegendKey val="0"/>
            <c:showVal val="1"/>
            <c:showCatName val="0"/>
            <c:showSerName val="0"/>
            <c:showPercent val="0"/>
            <c:showBubbleSize val="0"/>
            <c:showLeaderLines val="0"/>
          </c:dLbls>
          <c:val>
            <c:numRef>
              <c:f>'Access URP'!$B$10:$I$10</c:f>
              <c:numCache>
                <c:formatCode>#,##0</c:formatCode>
                <c:ptCount val="8"/>
                <c:pt idx="0">
                  <c:v>150627</c:v>
                </c:pt>
                <c:pt idx="1">
                  <c:v>150627</c:v>
                </c:pt>
                <c:pt idx="2">
                  <c:v>150627</c:v>
                </c:pt>
                <c:pt idx="3">
                  <c:v>150627</c:v>
                </c:pt>
                <c:pt idx="4">
                  <c:v>150627</c:v>
                </c:pt>
                <c:pt idx="5">
                  <c:v>150627</c:v>
                </c:pt>
                <c:pt idx="6">
                  <c:v>150627</c:v>
                </c:pt>
                <c:pt idx="7">
                  <c:v>150627</c:v>
                </c:pt>
              </c:numCache>
            </c:numRef>
          </c:val>
          <c:smooth val="0"/>
        </c:ser>
        <c:dLbls>
          <c:showLegendKey val="0"/>
          <c:showVal val="0"/>
          <c:showCatName val="0"/>
          <c:showSerName val="0"/>
          <c:showPercent val="0"/>
          <c:showBubbleSize val="0"/>
        </c:dLbls>
        <c:marker val="1"/>
        <c:smooth val="0"/>
        <c:axId val="174625920"/>
        <c:axId val="174627456"/>
      </c:lineChart>
      <c:catAx>
        <c:axId val="174625920"/>
        <c:scaling>
          <c:orientation val="minMax"/>
        </c:scaling>
        <c:delete val="0"/>
        <c:axPos val="b"/>
        <c:numFmt formatCode="General" sourceLinked="1"/>
        <c:majorTickMark val="none"/>
        <c:minorTickMark val="none"/>
        <c:tickLblPos val="nextTo"/>
        <c:crossAx val="174627456"/>
        <c:crosses val="autoZero"/>
        <c:auto val="1"/>
        <c:lblAlgn val="ctr"/>
        <c:lblOffset val="100"/>
        <c:noMultiLvlLbl val="0"/>
      </c:catAx>
      <c:valAx>
        <c:axId val="174627456"/>
        <c:scaling>
          <c:orientation val="minMax"/>
          <c:max val="200000"/>
          <c:min val="80000"/>
        </c:scaling>
        <c:delete val="0"/>
        <c:axPos val="l"/>
        <c:majorGridlines/>
        <c:numFmt formatCode="#,##0" sourceLinked="1"/>
        <c:majorTickMark val="none"/>
        <c:minorTickMark val="none"/>
        <c:tickLblPos val="nextTo"/>
        <c:spPr>
          <a:ln w="9525">
            <a:noFill/>
          </a:ln>
        </c:spPr>
        <c:crossAx val="174625920"/>
        <c:crosses val="autoZero"/>
        <c:crossBetween val="between"/>
      </c:valAx>
    </c:plotArea>
    <c:plotVisOnly val="1"/>
    <c:dispBlanksAs val="gap"/>
    <c:showDLblsOverMax val="0"/>
  </c:chart>
  <c:printSettings>
    <c:headerFooter/>
    <c:pageMargins b="0.75000000000000178" l="0.70000000000000062" r="0.70000000000000062" t="0.750000000000001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800" b="1" i="0" baseline="0"/>
              <a:t>Achieve 2015: Access</a:t>
            </a:r>
            <a:endParaRPr lang="en-US"/>
          </a:p>
          <a:p>
            <a:pPr algn="ctr">
              <a:defRPr/>
            </a:pPr>
            <a:r>
              <a:rPr lang="en-US" sz="1800" b="1" i="0" baseline="0"/>
              <a:t>Individuals Educated &amp; Trained, URP</a:t>
            </a:r>
            <a:endParaRPr lang="en-US"/>
          </a:p>
        </c:rich>
      </c:tx>
      <c:overlay val="1"/>
    </c:title>
    <c:autoTitleDeleted val="0"/>
    <c:plotArea>
      <c:layout>
        <c:manualLayout>
          <c:layoutTarget val="inner"/>
          <c:xMode val="edge"/>
          <c:yMode val="edge"/>
          <c:x val="9.7290075663494707E-2"/>
          <c:y val="0.25781662441164982"/>
          <c:w val="0.87785117169782134"/>
          <c:h val="0.6051332619466625"/>
        </c:manualLayout>
      </c:layout>
      <c:barChart>
        <c:barDir val="col"/>
        <c:grouping val="clustered"/>
        <c:varyColors val="0"/>
        <c:ser>
          <c:idx val="0"/>
          <c:order val="0"/>
          <c:invertIfNegative val="0"/>
          <c:cat>
            <c:strRef>
              <c:f>'Access URP'!$L$7:$S$7</c:f>
              <c:strCache>
                <c:ptCount val="8"/>
                <c:pt idx="0">
                  <c:v>2007-2008</c:v>
                </c:pt>
                <c:pt idx="1">
                  <c:v>2008-2009</c:v>
                </c:pt>
                <c:pt idx="2">
                  <c:v>2009-2010</c:v>
                </c:pt>
                <c:pt idx="3">
                  <c:v>2010-2011</c:v>
                </c:pt>
                <c:pt idx="4">
                  <c:v>2011-2012</c:v>
                </c:pt>
                <c:pt idx="5">
                  <c:v>2012-2013</c:v>
                </c:pt>
                <c:pt idx="6">
                  <c:v>2013-2014</c:v>
                </c:pt>
                <c:pt idx="7">
                  <c:v>2014-2015</c:v>
                </c:pt>
              </c:strCache>
            </c:strRef>
          </c:cat>
          <c:val>
            <c:numRef>
              <c:f>'Access URP'!$L$8:$S$8</c:f>
              <c:numCache>
                <c:formatCode>#,##0</c:formatCode>
                <c:ptCount val="8"/>
                <c:pt idx="0">
                  <c:v>2266</c:v>
                </c:pt>
                <c:pt idx="1">
                  <c:v>2900</c:v>
                </c:pt>
                <c:pt idx="2">
                  <c:v>3344</c:v>
                </c:pt>
                <c:pt idx="3">
                  <c:v>3696</c:v>
                </c:pt>
              </c:numCache>
            </c:numRef>
          </c:val>
        </c:ser>
        <c:dLbls>
          <c:showLegendKey val="0"/>
          <c:showVal val="0"/>
          <c:showCatName val="0"/>
          <c:showSerName val="0"/>
          <c:showPercent val="0"/>
          <c:showBubbleSize val="0"/>
        </c:dLbls>
        <c:gapWidth val="150"/>
        <c:axId val="174647936"/>
        <c:axId val="174723456"/>
      </c:barChart>
      <c:catAx>
        <c:axId val="174647936"/>
        <c:scaling>
          <c:orientation val="minMax"/>
        </c:scaling>
        <c:delete val="0"/>
        <c:axPos val="b"/>
        <c:majorTickMark val="out"/>
        <c:minorTickMark val="none"/>
        <c:tickLblPos val="nextTo"/>
        <c:crossAx val="174723456"/>
        <c:crosses val="autoZero"/>
        <c:auto val="1"/>
        <c:lblAlgn val="ctr"/>
        <c:lblOffset val="100"/>
        <c:noMultiLvlLbl val="0"/>
      </c:catAx>
      <c:valAx>
        <c:axId val="174723456"/>
        <c:scaling>
          <c:orientation val="minMax"/>
        </c:scaling>
        <c:delete val="0"/>
        <c:axPos val="l"/>
        <c:majorGridlines/>
        <c:numFmt formatCode="#,##0" sourceLinked="1"/>
        <c:majorTickMark val="out"/>
        <c:minorTickMark val="none"/>
        <c:tickLblPos val="nextTo"/>
        <c:crossAx val="17464793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baseline="0">
                <a:effectLst/>
              </a:rPr>
              <a:t>Achieve 2015: Affordability</a:t>
            </a:r>
            <a:endParaRPr lang="en-US">
              <a:effectLst/>
            </a:endParaRPr>
          </a:p>
          <a:p>
            <a:pPr>
              <a:defRPr/>
            </a:pPr>
            <a:r>
              <a:rPr lang="en-US" sz="1800" b="1" baseline="0">
                <a:effectLst/>
              </a:rPr>
              <a:t>Tuition and Mandatory Fees  </a:t>
            </a:r>
            <a:endParaRPr lang="en-US">
              <a:effectLst/>
            </a:endParaRPr>
          </a:p>
        </c:rich>
      </c:tx>
      <c:overlay val="0"/>
    </c:title>
    <c:autoTitleDeleted val="0"/>
    <c:plotArea>
      <c:layout/>
      <c:barChart>
        <c:barDir val="col"/>
        <c:grouping val="clustered"/>
        <c:varyColors val="0"/>
        <c:ser>
          <c:idx val="0"/>
          <c:order val="0"/>
          <c:tx>
            <c:strRef>
              <c:f>'Affordability-Tuition'!$A$8</c:f>
              <c:strCache>
                <c:ptCount val="1"/>
                <c:pt idx="0">
                  <c:v>Average 4-year1,2</c:v>
                </c:pt>
              </c:strCache>
            </c:strRef>
          </c:tx>
          <c:spPr>
            <a:ln>
              <a:solidFill>
                <a:schemeClr val="tx1"/>
              </a:solidFill>
            </a:ln>
          </c:spPr>
          <c:invertIfNegative val="0"/>
          <c:dPt>
            <c:idx val="0"/>
            <c:invertIfNegative val="0"/>
            <c:bubble3D val="0"/>
            <c:spPr>
              <a:ln w="12700">
                <a:solidFill>
                  <a:schemeClr val="tx1"/>
                </a:solidFill>
              </a:ln>
            </c:spPr>
          </c:dPt>
          <c:cat>
            <c:strRef>
              <c:f>'Affordability-Tuition'!$B$7:$F$7</c:f>
              <c:strCache>
                <c:ptCount val="5"/>
                <c:pt idx="0">
                  <c:v>2007-2008</c:v>
                </c:pt>
                <c:pt idx="1">
                  <c:v>2008-2009</c:v>
                </c:pt>
                <c:pt idx="2">
                  <c:v>2009-2010</c:v>
                </c:pt>
                <c:pt idx="3">
                  <c:v>2010-2011</c:v>
                </c:pt>
                <c:pt idx="4">
                  <c:v>2011-2012</c:v>
                </c:pt>
              </c:strCache>
            </c:strRef>
          </c:cat>
          <c:val>
            <c:numRef>
              <c:f>'Affordability-Tuition'!$B$8:$F$8</c:f>
              <c:numCache>
                <c:formatCode>#,##0</c:formatCode>
                <c:ptCount val="5"/>
                <c:pt idx="0">
                  <c:v>7083</c:v>
                </c:pt>
                <c:pt idx="1">
                  <c:v>7582</c:v>
                </c:pt>
                <c:pt idx="2">
                  <c:v>7984</c:v>
                </c:pt>
                <c:pt idx="3">
                  <c:v>8830</c:v>
                </c:pt>
                <c:pt idx="4">
                  <c:v>9536</c:v>
                </c:pt>
              </c:numCache>
            </c:numRef>
          </c:val>
        </c:ser>
        <c:ser>
          <c:idx val="1"/>
          <c:order val="1"/>
          <c:tx>
            <c:strRef>
              <c:f>'Affordability-Tuition'!$A$9</c:f>
              <c:strCache>
                <c:ptCount val="1"/>
                <c:pt idx="0">
                  <c:v>VCCS</c:v>
                </c:pt>
              </c:strCache>
            </c:strRef>
          </c:tx>
          <c:spPr>
            <a:ln>
              <a:solidFill>
                <a:prstClr val="black"/>
              </a:solidFill>
            </a:ln>
          </c:spPr>
          <c:invertIfNegative val="0"/>
          <c:cat>
            <c:strRef>
              <c:f>'Affordability-Tuition'!$B$7:$F$7</c:f>
              <c:strCache>
                <c:ptCount val="5"/>
                <c:pt idx="0">
                  <c:v>2007-2008</c:v>
                </c:pt>
                <c:pt idx="1">
                  <c:v>2008-2009</c:v>
                </c:pt>
                <c:pt idx="2">
                  <c:v>2009-2010</c:v>
                </c:pt>
                <c:pt idx="3">
                  <c:v>2010-2011</c:v>
                </c:pt>
                <c:pt idx="4">
                  <c:v>2011-2012</c:v>
                </c:pt>
              </c:strCache>
            </c:strRef>
          </c:cat>
          <c:val>
            <c:numRef>
              <c:f>'Affordability-Tuition'!$B$9:$F$9</c:f>
              <c:numCache>
                <c:formatCode>#,##0</c:formatCode>
                <c:ptCount val="5"/>
                <c:pt idx="0">
                  <c:v>2404</c:v>
                </c:pt>
                <c:pt idx="1">
                  <c:v>2584</c:v>
                </c:pt>
                <c:pt idx="2">
                  <c:v>3000</c:v>
                </c:pt>
                <c:pt idx="3">
                  <c:v>3225</c:v>
                </c:pt>
                <c:pt idx="4">
                  <c:v>3570</c:v>
                </c:pt>
              </c:numCache>
            </c:numRef>
          </c:val>
        </c:ser>
        <c:dLbls>
          <c:showLegendKey val="0"/>
          <c:showVal val="0"/>
          <c:showCatName val="0"/>
          <c:showSerName val="0"/>
          <c:showPercent val="0"/>
          <c:showBubbleSize val="0"/>
        </c:dLbls>
        <c:gapWidth val="75"/>
        <c:axId val="174831872"/>
        <c:axId val="174837760"/>
      </c:barChart>
      <c:catAx>
        <c:axId val="174831872"/>
        <c:scaling>
          <c:orientation val="minMax"/>
        </c:scaling>
        <c:delete val="0"/>
        <c:axPos val="b"/>
        <c:numFmt formatCode="General" sourceLinked="1"/>
        <c:majorTickMark val="none"/>
        <c:minorTickMark val="none"/>
        <c:tickLblPos val="nextTo"/>
        <c:txPr>
          <a:bodyPr/>
          <a:lstStyle/>
          <a:p>
            <a:pPr>
              <a:defRPr b="0"/>
            </a:pPr>
            <a:endParaRPr lang="en-US"/>
          </a:p>
        </c:txPr>
        <c:crossAx val="174837760"/>
        <c:crosses val="autoZero"/>
        <c:auto val="1"/>
        <c:lblAlgn val="ctr"/>
        <c:lblOffset val="100"/>
        <c:tickLblSkip val="1"/>
        <c:noMultiLvlLbl val="0"/>
      </c:catAx>
      <c:valAx>
        <c:axId val="174837760"/>
        <c:scaling>
          <c:orientation val="minMax"/>
        </c:scaling>
        <c:delete val="0"/>
        <c:axPos val="l"/>
        <c:majorGridlines/>
        <c:numFmt formatCode="&quot;$&quot;#,##0" sourceLinked="0"/>
        <c:majorTickMark val="none"/>
        <c:minorTickMark val="none"/>
        <c:tickLblPos val="nextTo"/>
        <c:spPr>
          <a:ln w="9525">
            <a:noFill/>
          </a:ln>
        </c:spPr>
        <c:txPr>
          <a:bodyPr/>
          <a:lstStyle/>
          <a:p>
            <a:pPr>
              <a:defRPr b="0"/>
            </a:pPr>
            <a:endParaRPr lang="en-US"/>
          </a:p>
        </c:txPr>
        <c:crossAx val="174831872"/>
        <c:crosses val="autoZero"/>
        <c:crossBetween val="between"/>
      </c:valAx>
    </c:plotArea>
    <c:legend>
      <c:legendPos val="b"/>
      <c:overlay val="0"/>
      <c:spPr>
        <a:ln>
          <a:solidFill>
            <a:sysClr val="windowText" lastClr="000000">
              <a:alpha val="84000"/>
            </a:sysClr>
          </a:solidFill>
        </a:ln>
      </c:spPr>
    </c:legend>
    <c:plotVisOnly val="1"/>
    <c:dispBlanksAs val="gap"/>
    <c:showDLblsOverMax val="0"/>
  </c:chart>
  <c:printSettings>
    <c:headerFooter/>
    <c:pageMargins b="0.75000000000000189" l="0.70000000000000062" r="0.70000000000000062" t="0.75000000000000189" header="0.30000000000000032" footer="0.30000000000000032"/>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Achieve 2015: Affordability</a:t>
            </a:r>
          </a:p>
          <a:p>
            <a:pPr>
              <a:defRPr/>
            </a:pPr>
            <a:r>
              <a:rPr lang="en-US"/>
              <a:t>Grant</a:t>
            </a:r>
            <a:r>
              <a:rPr lang="en-US" baseline="0"/>
              <a:t> &amp; Scholarship Recipients</a:t>
            </a:r>
            <a:endParaRPr lang="en-US"/>
          </a:p>
        </c:rich>
      </c:tx>
      <c:overlay val="0"/>
    </c:title>
    <c:autoTitleDeleted val="0"/>
    <c:plotArea>
      <c:layout/>
      <c:barChart>
        <c:barDir val="col"/>
        <c:grouping val="clustered"/>
        <c:varyColors val="0"/>
        <c:ser>
          <c:idx val="0"/>
          <c:order val="0"/>
          <c:tx>
            <c:strRef>
              <c:f>'Affordability-Financial Aid'!$A$8</c:f>
              <c:strCache>
                <c:ptCount val="1"/>
                <c:pt idx="0">
                  <c:v>Grant &amp; Scholarship Recipients</c:v>
                </c:pt>
              </c:strCache>
            </c:strRef>
          </c:tx>
          <c:invertIfNegative val="0"/>
          <c:cat>
            <c:strRef>
              <c:f>'Affordability-Financial Aid'!$B$7:$I$7</c:f>
              <c:strCache>
                <c:ptCount val="8"/>
                <c:pt idx="0">
                  <c:v>2007-2008</c:v>
                </c:pt>
                <c:pt idx="1">
                  <c:v>2008-2009</c:v>
                </c:pt>
                <c:pt idx="2">
                  <c:v>2009-2010</c:v>
                </c:pt>
                <c:pt idx="3">
                  <c:v>2010-2011</c:v>
                </c:pt>
                <c:pt idx="4">
                  <c:v>2011-2012</c:v>
                </c:pt>
                <c:pt idx="5">
                  <c:v>2012-2013</c:v>
                </c:pt>
                <c:pt idx="6">
                  <c:v>2013-2014</c:v>
                </c:pt>
                <c:pt idx="7">
                  <c:v>2014-2015</c:v>
                </c:pt>
              </c:strCache>
            </c:strRef>
          </c:cat>
          <c:val>
            <c:numRef>
              <c:f>'Affordability-Financial Aid'!$B$8:$I$8</c:f>
              <c:numCache>
                <c:formatCode>#,##0</c:formatCode>
                <c:ptCount val="8"/>
                <c:pt idx="0">
                  <c:v>53917</c:v>
                </c:pt>
                <c:pt idx="1">
                  <c:v>62996</c:v>
                </c:pt>
                <c:pt idx="2">
                  <c:v>83056</c:v>
                </c:pt>
                <c:pt idx="3">
                  <c:v>96557</c:v>
                </c:pt>
              </c:numCache>
            </c:numRef>
          </c:val>
        </c:ser>
        <c:dLbls>
          <c:showLegendKey val="0"/>
          <c:showVal val="0"/>
          <c:showCatName val="0"/>
          <c:showSerName val="0"/>
          <c:showPercent val="0"/>
          <c:showBubbleSize val="0"/>
        </c:dLbls>
        <c:gapWidth val="75"/>
        <c:overlap val="-25"/>
        <c:axId val="175195264"/>
        <c:axId val="175196800"/>
      </c:barChart>
      <c:lineChart>
        <c:grouping val="standard"/>
        <c:varyColors val="0"/>
        <c:ser>
          <c:idx val="1"/>
          <c:order val="1"/>
          <c:marker>
            <c:symbol val="none"/>
          </c:marker>
          <c:dLbls>
            <c:dLbl>
              <c:idx val="0"/>
              <c:delete val="1"/>
            </c:dLbl>
            <c:dLbl>
              <c:idx val="1"/>
              <c:delete val="1"/>
            </c:dLbl>
            <c:dLbl>
              <c:idx val="2"/>
              <c:delete val="1"/>
            </c:dLbl>
            <c:dLbl>
              <c:idx val="3"/>
              <c:delete val="1"/>
            </c:dLbl>
            <c:dLbl>
              <c:idx val="4"/>
              <c:delete val="1"/>
            </c:dLbl>
            <c:dLbl>
              <c:idx val="5"/>
              <c:delete val="1"/>
            </c:dLbl>
            <c:dLbl>
              <c:idx val="6"/>
              <c:layout>
                <c:manualLayout>
                  <c:x val="2.2909511578232651E-3"/>
                  <c:y val="0"/>
                </c:manualLayout>
              </c:layout>
              <c:tx>
                <c:rich>
                  <a:bodyPr/>
                  <a:lstStyle/>
                  <a:p>
                    <a:r>
                      <a:rPr lang="en-US"/>
                      <a:t>Target </a:t>
                    </a:r>
                  </a:p>
                  <a:p>
                    <a:r>
                      <a:rPr lang="en-US"/>
                      <a:t>87,000</a:t>
                    </a:r>
                  </a:p>
                </c:rich>
              </c:tx>
              <c:showLegendKey val="0"/>
              <c:showVal val="1"/>
              <c:showCatName val="0"/>
              <c:showSerName val="0"/>
              <c:showPercent val="0"/>
              <c:showBubbleSize val="0"/>
            </c:dLbl>
            <c:dLbl>
              <c:idx val="7"/>
              <c:delete val="1"/>
            </c:dLbl>
            <c:txPr>
              <a:bodyPr/>
              <a:lstStyle/>
              <a:p>
                <a:pPr>
                  <a:defRPr b="1"/>
                </a:pPr>
                <a:endParaRPr lang="en-US"/>
              </a:p>
            </c:txPr>
            <c:showLegendKey val="0"/>
            <c:showVal val="1"/>
            <c:showCatName val="0"/>
            <c:showSerName val="0"/>
            <c:showPercent val="0"/>
            <c:showBubbleSize val="0"/>
            <c:showLeaderLines val="0"/>
          </c:dLbls>
          <c:val>
            <c:numRef>
              <c:f>'Affordability-Financial Aid'!$B$10:$I$10</c:f>
              <c:numCache>
                <c:formatCode>General</c:formatCode>
                <c:ptCount val="8"/>
                <c:pt idx="0">
                  <c:v>87000</c:v>
                </c:pt>
                <c:pt idx="1">
                  <c:v>87000</c:v>
                </c:pt>
                <c:pt idx="2">
                  <c:v>87000</c:v>
                </c:pt>
                <c:pt idx="3">
                  <c:v>87000</c:v>
                </c:pt>
                <c:pt idx="4">
                  <c:v>87000</c:v>
                </c:pt>
                <c:pt idx="5">
                  <c:v>87000</c:v>
                </c:pt>
                <c:pt idx="6">
                  <c:v>87000</c:v>
                </c:pt>
                <c:pt idx="7">
                  <c:v>87000</c:v>
                </c:pt>
              </c:numCache>
            </c:numRef>
          </c:val>
          <c:smooth val="0"/>
        </c:ser>
        <c:dLbls>
          <c:showLegendKey val="0"/>
          <c:showVal val="0"/>
          <c:showCatName val="0"/>
          <c:showSerName val="0"/>
          <c:showPercent val="0"/>
          <c:showBubbleSize val="0"/>
        </c:dLbls>
        <c:marker val="1"/>
        <c:smooth val="0"/>
        <c:axId val="175195264"/>
        <c:axId val="175196800"/>
      </c:lineChart>
      <c:catAx>
        <c:axId val="175195264"/>
        <c:scaling>
          <c:orientation val="minMax"/>
        </c:scaling>
        <c:delete val="0"/>
        <c:axPos val="b"/>
        <c:majorTickMark val="none"/>
        <c:minorTickMark val="none"/>
        <c:tickLblPos val="nextTo"/>
        <c:crossAx val="175196800"/>
        <c:crosses val="autoZero"/>
        <c:auto val="1"/>
        <c:lblAlgn val="ctr"/>
        <c:lblOffset val="100"/>
        <c:noMultiLvlLbl val="0"/>
      </c:catAx>
      <c:valAx>
        <c:axId val="175196800"/>
        <c:scaling>
          <c:orientation val="minMax"/>
        </c:scaling>
        <c:delete val="0"/>
        <c:axPos val="l"/>
        <c:majorGridlines/>
        <c:numFmt formatCode="#,##0" sourceLinked="1"/>
        <c:majorTickMark val="none"/>
        <c:minorTickMark val="none"/>
        <c:tickLblPos val="nextTo"/>
        <c:spPr>
          <a:ln w="9525">
            <a:noFill/>
          </a:ln>
        </c:spPr>
        <c:crossAx val="175195264"/>
        <c:crosses val="autoZero"/>
        <c:crossBetween val="between"/>
      </c:valAx>
    </c:plotArea>
    <c:plotVisOnly val="1"/>
    <c:dispBlanksAs val="gap"/>
    <c:showDLblsOverMax val="0"/>
  </c:chart>
  <c:printSettings>
    <c:headerFooter/>
    <c:pageMargins b="0.75000000000000122" l="0.70000000000000062" r="0.70000000000000062" t="0.75000000000000122" header="0.30000000000000032" footer="0.30000000000000032"/>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800" b="1" i="0" baseline="0"/>
              <a:t>Achieve 2015: Affordability</a:t>
            </a:r>
            <a:endParaRPr lang="en-US"/>
          </a:p>
          <a:p>
            <a:pPr algn="ctr">
              <a:defRPr/>
            </a:pPr>
            <a:r>
              <a:rPr lang="en-US" sz="1800" b="1" i="0" baseline="0"/>
              <a:t>Grant &amp; Scholarship Recipients</a:t>
            </a:r>
          </a:p>
        </c:rich>
      </c:tx>
      <c:overlay val="1"/>
    </c:title>
    <c:autoTitleDeleted val="0"/>
    <c:plotArea>
      <c:layout>
        <c:manualLayout>
          <c:layoutTarget val="inner"/>
          <c:xMode val="edge"/>
          <c:yMode val="edge"/>
          <c:x val="8.1535731329038463E-2"/>
          <c:y val="0.23398097530802281"/>
          <c:w val="0.89763093533762828"/>
          <c:h val="0.5762702910543831"/>
        </c:manualLayout>
      </c:layout>
      <c:barChart>
        <c:barDir val="col"/>
        <c:grouping val="clustered"/>
        <c:varyColors val="0"/>
        <c:ser>
          <c:idx val="0"/>
          <c:order val="0"/>
          <c:invertIfNegative val="0"/>
          <c:cat>
            <c:strRef>
              <c:f>'Affordability-Financial Aid'!$L$8:$R$8</c:f>
              <c:strCache>
                <c:ptCount val="7"/>
                <c:pt idx="0">
                  <c:v>2007-2008</c:v>
                </c:pt>
                <c:pt idx="1">
                  <c:v>2008-2009</c:v>
                </c:pt>
                <c:pt idx="2">
                  <c:v>2009-2010</c:v>
                </c:pt>
                <c:pt idx="3">
                  <c:v>2010-2011</c:v>
                </c:pt>
                <c:pt idx="4">
                  <c:v>2012-2013</c:v>
                </c:pt>
                <c:pt idx="5">
                  <c:v>2013-2014</c:v>
                </c:pt>
                <c:pt idx="6">
                  <c:v>2014-2015</c:v>
                </c:pt>
              </c:strCache>
            </c:strRef>
          </c:cat>
          <c:val>
            <c:numRef>
              <c:f>'Affordability-Financial Aid'!$L$9:$R$9</c:f>
              <c:numCache>
                <c:formatCode>#,##0</c:formatCode>
                <c:ptCount val="7"/>
                <c:pt idx="0">
                  <c:v>2460</c:v>
                </c:pt>
                <c:pt idx="1">
                  <c:v>2473</c:v>
                </c:pt>
                <c:pt idx="2">
                  <c:v>2693</c:v>
                </c:pt>
                <c:pt idx="3">
                  <c:v>3120</c:v>
                </c:pt>
              </c:numCache>
            </c:numRef>
          </c:val>
        </c:ser>
        <c:dLbls>
          <c:showLegendKey val="0"/>
          <c:showVal val="0"/>
          <c:showCatName val="0"/>
          <c:showSerName val="0"/>
          <c:showPercent val="0"/>
          <c:showBubbleSize val="0"/>
        </c:dLbls>
        <c:gapWidth val="150"/>
        <c:axId val="169740928"/>
        <c:axId val="169742720"/>
      </c:barChart>
      <c:catAx>
        <c:axId val="169740928"/>
        <c:scaling>
          <c:orientation val="minMax"/>
        </c:scaling>
        <c:delete val="0"/>
        <c:axPos val="b"/>
        <c:majorTickMark val="out"/>
        <c:minorTickMark val="none"/>
        <c:tickLblPos val="nextTo"/>
        <c:crossAx val="169742720"/>
        <c:crosses val="autoZero"/>
        <c:auto val="1"/>
        <c:lblAlgn val="ctr"/>
        <c:lblOffset val="100"/>
        <c:noMultiLvlLbl val="0"/>
      </c:catAx>
      <c:valAx>
        <c:axId val="169742720"/>
        <c:scaling>
          <c:orientation val="minMax"/>
        </c:scaling>
        <c:delete val="0"/>
        <c:axPos val="l"/>
        <c:majorGridlines/>
        <c:numFmt formatCode="#,##0" sourceLinked="1"/>
        <c:majorTickMark val="out"/>
        <c:minorTickMark val="none"/>
        <c:tickLblPos val="nextTo"/>
        <c:crossAx val="169740928"/>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Achieve 2015: Student Success</a:t>
            </a:r>
          </a:p>
          <a:p>
            <a:pPr>
              <a:defRPr/>
            </a:pPr>
            <a:r>
              <a:rPr lang="en-US"/>
              <a:t>Graduates, Transfers, Workforce Credential</a:t>
            </a:r>
          </a:p>
        </c:rich>
      </c:tx>
      <c:overlay val="0"/>
    </c:title>
    <c:autoTitleDeleted val="0"/>
    <c:plotArea>
      <c:layout/>
      <c:barChart>
        <c:barDir val="col"/>
        <c:grouping val="clustered"/>
        <c:varyColors val="0"/>
        <c:ser>
          <c:idx val="0"/>
          <c:order val="0"/>
          <c:tx>
            <c:strRef>
              <c:f>'Student Success'!$A$8</c:f>
              <c:strCache>
                <c:ptCount val="1"/>
                <c:pt idx="0">
                  <c:v>Students1</c:v>
                </c:pt>
              </c:strCache>
            </c:strRef>
          </c:tx>
          <c:invertIfNegative val="0"/>
          <c:cat>
            <c:strRef>
              <c:f>'Student Success'!$B$7:$I$7</c:f>
              <c:strCache>
                <c:ptCount val="8"/>
                <c:pt idx="0">
                  <c:v>2007-2008</c:v>
                </c:pt>
                <c:pt idx="1">
                  <c:v>2008-2009</c:v>
                </c:pt>
                <c:pt idx="2">
                  <c:v>2009-2010</c:v>
                </c:pt>
                <c:pt idx="3">
                  <c:v>2010-2011</c:v>
                </c:pt>
                <c:pt idx="4">
                  <c:v>2011-2012</c:v>
                </c:pt>
                <c:pt idx="5">
                  <c:v>2012-2013</c:v>
                </c:pt>
                <c:pt idx="6">
                  <c:v>2013-2014</c:v>
                </c:pt>
                <c:pt idx="7">
                  <c:v>2014-2015</c:v>
                </c:pt>
              </c:strCache>
            </c:strRef>
          </c:cat>
          <c:val>
            <c:numRef>
              <c:f>'Student Success'!$B$8:$I$8</c:f>
              <c:numCache>
                <c:formatCode>#,##0</c:formatCode>
                <c:ptCount val="8"/>
                <c:pt idx="0">
                  <c:v>31347</c:v>
                </c:pt>
                <c:pt idx="1">
                  <c:v>35616</c:v>
                </c:pt>
                <c:pt idx="2">
                  <c:v>43550</c:v>
                </c:pt>
                <c:pt idx="3">
                  <c:v>46209</c:v>
                </c:pt>
              </c:numCache>
            </c:numRef>
          </c:val>
        </c:ser>
        <c:dLbls>
          <c:showLegendKey val="0"/>
          <c:showVal val="0"/>
          <c:showCatName val="0"/>
          <c:showSerName val="0"/>
          <c:showPercent val="0"/>
          <c:showBubbleSize val="0"/>
        </c:dLbls>
        <c:gapWidth val="75"/>
        <c:overlap val="-25"/>
        <c:axId val="175053056"/>
        <c:axId val="175058944"/>
      </c:barChart>
      <c:lineChart>
        <c:grouping val="standard"/>
        <c:varyColors val="0"/>
        <c:ser>
          <c:idx val="1"/>
          <c:order val="1"/>
          <c:marker>
            <c:symbol val="none"/>
          </c:marker>
          <c:dLbls>
            <c:dLbl>
              <c:idx val="0"/>
              <c:delete val="1"/>
            </c:dLbl>
            <c:dLbl>
              <c:idx val="1"/>
              <c:delete val="1"/>
            </c:dLbl>
            <c:dLbl>
              <c:idx val="2"/>
              <c:delete val="1"/>
            </c:dLbl>
            <c:dLbl>
              <c:idx val="3"/>
              <c:delete val="1"/>
            </c:dLbl>
            <c:dLbl>
              <c:idx val="4"/>
              <c:delete val="1"/>
            </c:dLbl>
            <c:dLbl>
              <c:idx val="5"/>
              <c:delete val="1"/>
            </c:dLbl>
            <c:dLbl>
              <c:idx val="6"/>
              <c:layout>
                <c:manualLayout>
                  <c:x val="6.2597809076682404E-3"/>
                  <c:y val="-4.6296296296296424E-3"/>
                </c:manualLayout>
              </c:layout>
              <c:tx>
                <c:rich>
                  <a:bodyPr/>
                  <a:lstStyle/>
                  <a:p>
                    <a:r>
                      <a:rPr lang="en-US"/>
                      <a:t>Target</a:t>
                    </a:r>
                  </a:p>
                  <a:p>
                    <a:r>
                      <a:rPr lang="en-US"/>
                      <a:t>46,965 </a:t>
                    </a:r>
                  </a:p>
                </c:rich>
              </c:tx>
              <c:showLegendKey val="0"/>
              <c:showVal val="1"/>
              <c:showCatName val="0"/>
              <c:showSerName val="0"/>
              <c:showPercent val="0"/>
              <c:showBubbleSize val="0"/>
            </c:dLbl>
            <c:dLbl>
              <c:idx val="7"/>
              <c:delete val="1"/>
            </c:dLbl>
            <c:txPr>
              <a:bodyPr/>
              <a:lstStyle/>
              <a:p>
                <a:pPr>
                  <a:defRPr b="1"/>
                </a:pPr>
                <a:endParaRPr lang="en-US"/>
              </a:p>
            </c:txPr>
            <c:showLegendKey val="0"/>
            <c:showVal val="1"/>
            <c:showCatName val="0"/>
            <c:showSerName val="0"/>
            <c:showPercent val="0"/>
            <c:showBubbleSize val="0"/>
            <c:showLeaderLines val="0"/>
          </c:dLbls>
          <c:val>
            <c:numRef>
              <c:f>'Student Success'!$B$10:$I$10</c:f>
              <c:numCache>
                <c:formatCode>_(* #,##0_);_(* \(#,##0\);_(* "-"??_);_(@_)</c:formatCode>
                <c:ptCount val="8"/>
                <c:pt idx="0">
                  <c:v>46965</c:v>
                </c:pt>
                <c:pt idx="1">
                  <c:v>46965</c:v>
                </c:pt>
                <c:pt idx="2">
                  <c:v>46965</c:v>
                </c:pt>
                <c:pt idx="3">
                  <c:v>46965</c:v>
                </c:pt>
                <c:pt idx="4">
                  <c:v>46965</c:v>
                </c:pt>
                <c:pt idx="5">
                  <c:v>46965</c:v>
                </c:pt>
                <c:pt idx="6">
                  <c:v>46965</c:v>
                </c:pt>
                <c:pt idx="7">
                  <c:v>46965</c:v>
                </c:pt>
              </c:numCache>
            </c:numRef>
          </c:val>
          <c:smooth val="0"/>
        </c:ser>
        <c:dLbls>
          <c:showLegendKey val="0"/>
          <c:showVal val="0"/>
          <c:showCatName val="0"/>
          <c:showSerName val="0"/>
          <c:showPercent val="0"/>
          <c:showBubbleSize val="0"/>
        </c:dLbls>
        <c:marker val="1"/>
        <c:smooth val="0"/>
        <c:axId val="175053056"/>
        <c:axId val="175058944"/>
      </c:lineChart>
      <c:catAx>
        <c:axId val="175053056"/>
        <c:scaling>
          <c:orientation val="minMax"/>
        </c:scaling>
        <c:delete val="0"/>
        <c:axPos val="b"/>
        <c:majorTickMark val="none"/>
        <c:minorTickMark val="none"/>
        <c:tickLblPos val="nextTo"/>
        <c:crossAx val="175058944"/>
        <c:crosses val="autoZero"/>
        <c:auto val="1"/>
        <c:lblAlgn val="ctr"/>
        <c:lblOffset val="100"/>
        <c:noMultiLvlLbl val="0"/>
      </c:catAx>
      <c:valAx>
        <c:axId val="175058944"/>
        <c:scaling>
          <c:orientation val="minMax"/>
          <c:max val="70000"/>
        </c:scaling>
        <c:delete val="0"/>
        <c:axPos val="l"/>
        <c:majorGridlines/>
        <c:numFmt formatCode="#,##0" sourceLinked="1"/>
        <c:majorTickMark val="none"/>
        <c:minorTickMark val="none"/>
        <c:tickLblPos val="nextTo"/>
        <c:spPr>
          <a:ln w="9525">
            <a:noFill/>
          </a:ln>
        </c:spPr>
        <c:crossAx val="175053056"/>
        <c:crosses val="autoZero"/>
        <c:crossBetween val="between"/>
      </c:valAx>
    </c:plotArea>
    <c:plotVisOnly val="1"/>
    <c:dispBlanksAs val="gap"/>
    <c:showDLblsOverMax val="0"/>
  </c:chart>
  <c:printSettings>
    <c:headerFooter/>
    <c:pageMargins b="0.75000000000000122" l="0.70000000000000062" r="0.70000000000000062" t="0.75000000000000122"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800" b="1" i="0" baseline="0"/>
              <a:t>Achieve 2015: Student Success</a:t>
            </a:r>
            <a:endParaRPr lang="en-US"/>
          </a:p>
          <a:p>
            <a:pPr algn="ctr">
              <a:defRPr/>
            </a:pPr>
            <a:r>
              <a:rPr lang="en-US" sz="1800" b="1" i="0" baseline="0"/>
              <a:t>Graduates, Transfers, Workforce Credential</a:t>
            </a:r>
            <a:endParaRPr lang="en-US"/>
          </a:p>
        </c:rich>
      </c:tx>
      <c:overlay val="1"/>
    </c:title>
    <c:autoTitleDeleted val="0"/>
    <c:plotArea>
      <c:layout>
        <c:manualLayout>
          <c:layoutTarget val="inner"/>
          <c:xMode val="edge"/>
          <c:yMode val="edge"/>
          <c:x val="8.046672737336405E-2"/>
          <c:y val="0.23867301853725964"/>
          <c:w val="0.89458996196903895"/>
          <c:h val="0.62556578546803909"/>
        </c:manualLayout>
      </c:layout>
      <c:barChart>
        <c:barDir val="col"/>
        <c:grouping val="clustered"/>
        <c:varyColors val="0"/>
        <c:ser>
          <c:idx val="0"/>
          <c:order val="0"/>
          <c:invertIfNegative val="0"/>
          <c:cat>
            <c:strRef>
              <c:f>'Student Success'!$M$7:$T$7</c:f>
              <c:strCache>
                <c:ptCount val="8"/>
                <c:pt idx="0">
                  <c:v>2007-2008</c:v>
                </c:pt>
                <c:pt idx="1">
                  <c:v>2008-2009</c:v>
                </c:pt>
                <c:pt idx="2">
                  <c:v>2009-2010</c:v>
                </c:pt>
                <c:pt idx="3">
                  <c:v>2010-2011</c:v>
                </c:pt>
                <c:pt idx="4">
                  <c:v>2011-2012</c:v>
                </c:pt>
                <c:pt idx="5">
                  <c:v>2012-2013</c:v>
                </c:pt>
                <c:pt idx="6">
                  <c:v>2013-2014</c:v>
                </c:pt>
                <c:pt idx="7">
                  <c:v>2014-2015</c:v>
                </c:pt>
              </c:strCache>
            </c:strRef>
          </c:cat>
          <c:val>
            <c:numRef>
              <c:f>'Student Success'!$M$8:$T$8</c:f>
              <c:numCache>
                <c:formatCode>#,##0</c:formatCode>
                <c:ptCount val="8"/>
                <c:pt idx="0">
                  <c:v>607</c:v>
                </c:pt>
                <c:pt idx="1">
                  <c:v>636</c:v>
                </c:pt>
                <c:pt idx="2">
                  <c:v>709</c:v>
                </c:pt>
                <c:pt idx="3">
                  <c:v>816</c:v>
                </c:pt>
              </c:numCache>
            </c:numRef>
          </c:val>
        </c:ser>
        <c:dLbls>
          <c:showLegendKey val="0"/>
          <c:showVal val="0"/>
          <c:showCatName val="0"/>
          <c:showSerName val="0"/>
          <c:showPercent val="0"/>
          <c:showBubbleSize val="0"/>
        </c:dLbls>
        <c:gapWidth val="150"/>
        <c:axId val="175079424"/>
        <c:axId val="175080960"/>
      </c:barChart>
      <c:catAx>
        <c:axId val="175079424"/>
        <c:scaling>
          <c:orientation val="minMax"/>
        </c:scaling>
        <c:delete val="0"/>
        <c:axPos val="b"/>
        <c:majorTickMark val="out"/>
        <c:minorTickMark val="none"/>
        <c:tickLblPos val="nextTo"/>
        <c:crossAx val="175080960"/>
        <c:crosses val="autoZero"/>
        <c:auto val="1"/>
        <c:lblAlgn val="ctr"/>
        <c:lblOffset val="100"/>
        <c:noMultiLvlLbl val="0"/>
      </c:catAx>
      <c:valAx>
        <c:axId val="175080960"/>
        <c:scaling>
          <c:orientation val="minMax"/>
        </c:scaling>
        <c:delete val="0"/>
        <c:axPos val="l"/>
        <c:majorGridlines/>
        <c:numFmt formatCode="#,##0" sourceLinked="1"/>
        <c:majorTickMark val="out"/>
        <c:minorTickMark val="none"/>
        <c:tickLblPos val="nextTo"/>
        <c:crossAx val="175079424"/>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Achieve 2015: Student Success</a:t>
            </a:r>
          </a:p>
          <a:p>
            <a:pPr>
              <a:defRPr/>
            </a:pPr>
            <a:r>
              <a:rPr lang="en-US"/>
              <a:t>Graduates &amp; Transfers, URP</a:t>
            </a:r>
          </a:p>
        </c:rich>
      </c:tx>
      <c:overlay val="0"/>
    </c:title>
    <c:autoTitleDeleted val="0"/>
    <c:plotArea>
      <c:layout/>
      <c:barChart>
        <c:barDir val="col"/>
        <c:grouping val="clustered"/>
        <c:varyColors val="0"/>
        <c:ser>
          <c:idx val="0"/>
          <c:order val="0"/>
          <c:invertIfNegative val="0"/>
          <c:cat>
            <c:strRef>
              <c:f>'Student Success-URP'!$B$7:$I$7</c:f>
              <c:strCache>
                <c:ptCount val="8"/>
                <c:pt idx="0">
                  <c:v>2007-2008</c:v>
                </c:pt>
                <c:pt idx="1">
                  <c:v>2008-2009</c:v>
                </c:pt>
                <c:pt idx="2">
                  <c:v>2009-2010</c:v>
                </c:pt>
                <c:pt idx="3">
                  <c:v>2010-2011</c:v>
                </c:pt>
                <c:pt idx="4">
                  <c:v>2011-2012</c:v>
                </c:pt>
                <c:pt idx="5">
                  <c:v>2012-2013</c:v>
                </c:pt>
                <c:pt idx="6">
                  <c:v>2013-2014</c:v>
                </c:pt>
                <c:pt idx="7">
                  <c:v>2014-2015</c:v>
                </c:pt>
              </c:strCache>
            </c:strRef>
          </c:cat>
          <c:val>
            <c:numRef>
              <c:f>'Student Success-URP'!$B$8:$I$8</c:f>
              <c:numCache>
                <c:formatCode>#,##0</c:formatCode>
                <c:ptCount val="8"/>
                <c:pt idx="0">
                  <c:v>12484</c:v>
                </c:pt>
                <c:pt idx="1">
                  <c:v>15483</c:v>
                </c:pt>
                <c:pt idx="2">
                  <c:v>21884</c:v>
                </c:pt>
                <c:pt idx="3">
                  <c:v>24009</c:v>
                </c:pt>
              </c:numCache>
            </c:numRef>
          </c:val>
        </c:ser>
        <c:dLbls>
          <c:showLegendKey val="0"/>
          <c:showVal val="0"/>
          <c:showCatName val="0"/>
          <c:showSerName val="0"/>
          <c:showPercent val="0"/>
          <c:showBubbleSize val="0"/>
        </c:dLbls>
        <c:gapWidth val="75"/>
        <c:overlap val="-25"/>
        <c:axId val="179924352"/>
        <c:axId val="179930240"/>
      </c:barChart>
      <c:lineChart>
        <c:grouping val="standard"/>
        <c:varyColors val="0"/>
        <c:ser>
          <c:idx val="1"/>
          <c:order val="1"/>
          <c:marker>
            <c:symbol val="none"/>
          </c:marker>
          <c:dLbls>
            <c:dLbl>
              <c:idx val="0"/>
              <c:delete val="1"/>
            </c:dLbl>
            <c:dLbl>
              <c:idx val="1"/>
              <c:delete val="1"/>
            </c:dLbl>
            <c:dLbl>
              <c:idx val="2"/>
              <c:delete val="1"/>
            </c:dLbl>
            <c:dLbl>
              <c:idx val="3"/>
              <c:delete val="1"/>
            </c:dLbl>
            <c:dLbl>
              <c:idx val="4"/>
              <c:delete val="1"/>
            </c:dLbl>
            <c:dLbl>
              <c:idx val="5"/>
              <c:delete val="1"/>
            </c:dLbl>
            <c:dLbl>
              <c:idx val="6"/>
              <c:tx>
                <c:rich>
                  <a:bodyPr/>
                  <a:lstStyle/>
                  <a:p>
                    <a:r>
                      <a:rPr lang="en-US" b="1"/>
                      <a:t>Target</a:t>
                    </a:r>
                  </a:p>
                  <a:p>
                    <a:r>
                      <a:rPr lang="en-US" b="1"/>
                      <a:t>40,620</a:t>
                    </a:r>
                  </a:p>
                </c:rich>
              </c:tx>
              <c:showLegendKey val="0"/>
              <c:showVal val="1"/>
              <c:showCatName val="0"/>
              <c:showSerName val="0"/>
              <c:showPercent val="0"/>
              <c:showBubbleSize val="0"/>
            </c:dLbl>
            <c:dLbl>
              <c:idx val="7"/>
              <c:delete val="1"/>
            </c:dLbl>
            <c:showLegendKey val="0"/>
            <c:showVal val="1"/>
            <c:showCatName val="0"/>
            <c:showSerName val="0"/>
            <c:showPercent val="0"/>
            <c:showBubbleSize val="0"/>
            <c:showLeaderLines val="0"/>
          </c:dLbls>
          <c:val>
            <c:numRef>
              <c:f>'Student Success-URP'!$B$10:$I$10</c:f>
              <c:numCache>
                <c:formatCode>General</c:formatCode>
                <c:ptCount val="8"/>
                <c:pt idx="0">
                  <c:v>40620</c:v>
                </c:pt>
                <c:pt idx="1">
                  <c:v>40620</c:v>
                </c:pt>
                <c:pt idx="2">
                  <c:v>40620</c:v>
                </c:pt>
                <c:pt idx="3">
                  <c:v>40620</c:v>
                </c:pt>
                <c:pt idx="4">
                  <c:v>40620</c:v>
                </c:pt>
                <c:pt idx="5">
                  <c:v>40620</c:v>
                </c:pt>
                <c:pt idx="6">
                  <c:v>40620</c:v>
                </c:pt>
                <c:pt idx="7">
                  <c:v>40620</c:v>
                </c:pt>
              </c:numCache>
            </c:numRef>
          </c:val>
          <c:smooth val="0"/>
        </c:ser>
        <c:dLbls>
          <c:showLegendKey val="0"/>
          <c:showVal val="0"/>
          <c:showCatName val="0"/>
          <c:showSerName val="0"/>
          <c:showPercent val="0"/>
          <c:showBubbleSize val="0"/>
        </c:dLbls>
        <c:marker val="1"/>
        <c:smooth val="0"/>
        <c:axId val="179924352"/>
        <c:axId val="179930240"/>
      </c:lineChart>
      <c:catAx>
        <c:axId val="179924352"/>
        <c:scaling>
          <c:orientation val="minMax"/>
        </c:scaling>
        <c:delete val="0"/>
        <c:axPos val="b"/>
        <c:majorTickMark val="none"/>
        <c:minorTickMark val="none"/>
        <c:tickLblPos val="nextTo"/>
        <c:crossAx val="179930240"/>
        <c:crosses val="autoZero"/>
        <c:auto val="1"/>
        <c:lblAlgn val="ctr"/>
        <c:lblOffset val="100"/>
        <c:noMultiLvlLbl val="0"/>
      </c:catAx>
      <c:valAx>
        <c:axId val="179930240"/>
        <c:scaling>
          <c:orientation val="minMax"/>
        </c:scaling>
        <c:delete val="0"/>
        <c:axPos val="l"/>
        <c:majorGridlines/>
        <c:numFmt formatCode="#,##0" sourceLinked="1"/>
        <c:majorTickMark val="none"/>
        <c:minorTickMark val="none"/>
        <c:tickLblPos val="nextTo"/>
        <c:spPr>
          <a:ln w="9525">
            <a:noFill/>
          </a:ln>
        </c:spPr>
        <c:crossAx val="179924352"/>
        <c:crosses val="autoZero"/>
        <c:crossBetween val="between"/>
      </c:valAx>
    </c:plotArea>
    <c:plotVisOnly val="1"/>
    <c:dispBlanksAs val="gap"/>
    <c:showDLblsOverMax val="0"/>
  </c:chart>
  <c:printSettings>
    <c:headerFooter/>
    <c:pageMargins b="0.75000000000000122" l="0.70000000000000062" r="0.70000000000000062" t="0.7500000000000012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800" b="1" i="0" baseline="0"/>
              <a:t>Achieve 2015: Student Success</a:t>
            </a:r>
            <a:endParaRPr lang="en-US" b="1"/>
          </a:p>
          <a:p>
            <a:pPr algn="ctr">
              <a:defRPr/>
            </a:pPr>
            <a:r>
              <a:rPr lang="en-US" sz="1800" b="1" i="0" baseline="0"/>
              <a:t>Graduates &amp; Transfers, URP</a:t>
            </a:r>
            <a:endParaRPr lang="en-US" b="1"/>
          </a:p>
        </c:rich>
      </c:tx>
      <c:overlay val="1"/>
    </c:title>
    <c:autoTitleDeleted val="0"/>
    <c:plotArea>
      <c:layout>
        <c:manualLayout>
          <c:layoutTarget val="inner"/>
          <c:xMode val="edge"/>
          <c:yMode val="edge"/>
          <c:x val="8.0330111537416052E-2"/>
          <c:y val="0.25863500395783862"/>
          <c:w val="0.89476892637995797"/>
          <c:h val="0.60387984835229003"/>
        </c:manualLayout>
      </c:layout>
      <c:barChart>
        <c:barDir val="col"/>
        <c:grouping val="clustered"/>
        <c:varyColors val="0"/>
        <c:ser>
          <c:idx val="0"/>
          <c:order val="0"/>
          <c:invertIfNegative val="0"/>
          <c:cat>
            <c:strRef>
              <c:f>'Student Success-URP'!$M$7:$T$7</c:f>
              <c:strCache>
                <c:ptCount val="8"/>
                <c:pt idx="0">
                  <c:v>2007-2008</c:v>
                </c:pt>
                <c:pt idx="1">
                  <c:v>2008-2009</c:v>
                </c:pt>
                <c:pt idx="2">
                  <c:v>2009-2010</c:v>
                </c:pt>
                <c:pt idx="3">
                  <c:v>2010-2011</c:v>
                </c:pt>
                <c:pt idx="4">
                  <c:v>2011-2012</c:v>
                </c:pt>
                <c:pt idx="5">
                  <c:v>2012-2013</c:v>
                </c:pt>
                <c:pt idx="6">
                  <c:v>2013-2014</c:v>
                </c:pt>
                <c:pt idx="7">
                  <c:v>2014-2015</c:v>
                </c:pt>
              </c:strCache>
            </c:strRef>
          </c:cat>
          <c:val>
            <c:numRef>
              <c:f>'Student Success-URP'!$M$8:$T$8</c:f>
              <c:numCache>
                <c:formatCode>#,##0</c:formatCode>
                <c:ptCount val="8"/>
                <c:pt idx="0">
                  <c:v>339</c:v>
                </c:pt>
                <c:pt idx="1">
                  <c:v>373</c:v>
                </c:pt>
                <c:pt idx="2">
                  <c:v>451</c:v>
                </c:pt>
                <c:pt idx="3">
                  <c:v>542</c:v>
                </c:pt>
              </c:numCache>
            </c:numRef>
          </c:val>
        </c:ser>
        <c:dLbls>
          <c:showLegendKey val="0"/>
          <c:showVal val="0"/>
          <c:showCatName val="0"/>
          <c:showSerName val="0"/>
          <c:showPercent val="0"/>
          <c:showBubbleSize val="0"/>
        </c:dLbls>
        <c:gapWidth val="150"/>
        <c:axId val="179954816"/>
        <c:axId val="179956352"/>
      </c:barChart>
      <c:catAx>
        <c:axId val="179954816"/>
        <c:scaling>
          <c:orientation val="minMax"/>
        </c:scaling>
        <c:delete val="0"/>
        <c:axPos val="b"/>
        <c:majorTickMark val="out"/>
        <c:minorTickMark val="none"/>
        <c:tickLblPos val="nextTo"/>
        <c:crossAx val="179956352"/>
        <c:crosses val="autoZero"/>
        <c:auto val="1"/>
        <c:lblAlgn val="ctr"/>
        <c:lblOffset val="100"/>
        <c:noMultiLvlLbl val="0"/>
      </c:catAx>
      <c:valAx>
        <c:axId val="179956352"/>
        <c:scaling>
          <c:orientation val="minMax"/>
        </c:scaling>
        <c:delete val="0"/>
        <c:axPos val="l"/>
        <c:majorGridlines/>
        <c:numFmt formatCode="#,##0" sourceLinked="1"/>
        <c:majorTickMark val="out"/>
        <c:minorTickMark val="none"/>
        <c:tickLblPos val="nextTo"/>
        <c:crossAx val="179954816"/>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Achieve 2015: Workforce</a:t>
            </a:r>
          </a:p>
          <a:p>
            <a:pPr>
              <a:defRPr/>
            </a:pPr>
            <a:r>
              <a:rPr lang="en-US"/>
              <a:t>Employers Servied</a:t>
            </a:r>
          </a:p>
        </c:rich>
      </c:tx>
      <c:overlay val="0"/>
    </c:title>
    <c:autoTitleDeleted val="0"/>
    <c:plotArea>
      <c:layout/>
      <c:barChart>
        <c:barDir val="col"/>
        <c:grouping val="clustered"/>
        <c:varyColors val="0"/>
        <c:ser>
          <c:idx val="0"/>
          <c:order val="0"/>
          <c:tx>
            <c:strRef>
              <c:f>'Employers Served'!$A$8</c:f>
              <c:strCache>
                <c:ptCount val="1"/>
                <c:pt idx="0">
                  <c:v>Employers Served</c:v>
                </c:pt>
              </c:strCache>
            </c:strRef>
          </c:tx>
          <c:invertIfNegative val="0"/>
          <c:cat>
            <c:strRef>
              <c:f>'Employers Served'!$B$7:$I$7</c:f>
              <c:strCache>
                <c:ptCount val="8"/>
                <c:pt idx="0">
                  <c:v>FY2008</c:v>
                </c:pt>
                <c:pt idx="1">
                  <c:v>FY2009</c:v>
                </c:pt>
                <c:pt idx="2">
                  <c:v>FY2010</c:v>
                </c:pt>
                <c:pt idx="3">
                  <c:v>FY2011</c:v>
                </c:pt>
                <c:pt idx="4">
                  <c:v>FY2012</c:v>
                </c:pt>
                <c:pt idx="5">
                  <c:v>FY2013</c:v>
                </c:pt>
                <c:pt idx="6">
                  <c:v>FY2014</c:v>
                </c:pt>
                <c:pt idx="7">
                  <c:v>FY2015</c:v>
                </c:pt>
              </c:strCache>
            </c:strRef>
          </c:cat>
          <c:val>
            <c:numRef>
              <c:f>'Employers Served'!$B$8:$I$8</c:f>
              <c:numCache>
                <c:formatCode>#,##0</c:formatCode>
                <c:ptCount val="8"/>
                <c:pt idx="0">
                  <c:v>5888</c:v>
                </c:pt>
                <c:pt idx="1">
                  <c:v>6210</c:v>
                </c:pt>
                <c:pt idx="2">
                  <c:v>6497</c:v>
                </c:pt>
                <c:pt idx="3">
                  <c:v>7267</c:v>
                </c:pt>
              </c:numCache>
            </c:numRef>
          </c:val>
        </c:ser>
        <c:dLbls>
          <c:showLegendKey val="0"/>
          <c:showVal val="0"/>
          <c:showCatName val="0"/>
          <c:showSerName val="0"/>
          <c:showPercent val="0"/>
          <c:showBubbleSize val="0"/>
        </c:dLbls>
        <c:gapWidth val="75"/>
        <c:overlap val="-25"/>
        <c:axId val="180163328"/>
        <c:axId val="180164864"/>
      </c:barChart>
      <c:lineChart>
        <c:grouping val="standard"/>
        <c:varyColors val="0"/>
        <c:ser>
          <c:idx val="1"/>
          <c:order val="1"/>
          <c:marker>
            <c:symbol val="none"/>
          </c:marker>
          <c:dLbls>
            <c:dLbl>
              <c:idx val="0"/>
              <c:delete val="1"/>
            </c:dLbl>
            <c:dLbl>
              <c:idx val="1"/>
              <c:delete val="1"/>
            </c:dLbl>
            <c:dLbl>
              <c:idx val="2"/>
              <c:delete val="1"/>
            </c:dLbl>
            <c:dLbl>
              <c:idx val="3"/>
              <c:delete val="1"/>
            </c:dLbl>
            <c:dLbl>
              <c:idx val="4"/>
              <c:delete val="1"/>
            </c:dLbl>
            <c:dLbl>
              <c:idx val="5"/>
              <c:delete val="1"/>
            </c:dLbl>
            <c:dLbl>
              <c:idx val="6"/>
              <c:tx>
                <c:rich>
                  <a:bodyPr/>
                  <a:lstStyle/>
                  <a:p>
                    <a:r>
                      <a:rPr lang="en-US" b="1"/>
                      <a:t>Target</a:t>
                    </a:r>
                  </a:p>
                  <a:p>
                    <a:r>
                      <a:rPr lang="en-US" b="1"/>
                      <a:t>10,000</a:t>
                    </a:r>
                  </a:p>
                </c:rich>
              </c:tx>
              <c:showLegendKey val="0"/>
              <c:showVal val="1"/>
              <c:showCatName val="0"/>
              <c:showSerName val="0"/>
              <c:showPercent val="0"/>
              <c:showBubbleSize val="0"/>
            </c:dLbl>
            <c:dLbl>
              <c:idx val="7"/>
              <c:delete val="1"/>
            </c:dLbl>
            <c:showLegendKey val="0"/>
            <c:showVal val="1"/>
            <c:showCatName val="0"/>
            <c:showSerName val="0"/>
            <c:showPercent val="0"/>
            <c:showBubbleSize val="0"/>
            <c:showLeaderLines val="0"/>
          </c:dLbls>
          <c:val>
            <c:numRef>
              <c:f>'Employers Served'!$B$10:$I$10</c:f>
              <c:numCache>
                <c:formatCode>#,##0</c:formatCode>
                <c:ptCount val="8"/>
                <c:pt idx="0">
                  <c:v>10000</c:v>
                </c:pt>
                <c:pt idx="1">
                  <c:v>10000</c:v>
                </c:pt>
                <c:pt idx="2">
                  <c:v>10000</c:v>
                </c:pt>
                <c:pt idx="3">
                  <c:v>10000</c:v>
                </c:pt>
                <c:pt idx="4">
                  <c:v>10000</c:v>
                </c:pt>
                <c:pt idx="5">
                  <c:v>10000</c:v>
                </c:pt>
                <c:pt idx="6">
                  <c:v>10000</c:v>
                </c:pt>
                <c:pt idx="7">
                  <c:v>10000</c:v>
                </c:pt>
              </c:numCache>
            </c:numRef>
          </c:val>
          <c:smooth val="0"/>
        </c:ser>
        <c:dLbls>
          <c:showLegendKey val="0"/>
          <c:showVal val="0"/>
          <c:showCatName val="0"/>
          <c:showSerName val="0"/>
          <c:showPercent val="0"/>
          <c:showBubbleSize val="0"/>
        </c:dLbls>
        <c:marker val="1"/>
        <c:smooth val="0"/>
        <c:axId val="180163328"/>
        <c:axId val="180164864"/>
      </c:lineChart>
      <c:catAx>
        <c:axId val="180163328"/>
        <c:scaling>
          <c:orientation val="minMax"/>
        </c:scaling>
        <c:delete val="0"/>
        <c:axPos val="b"/>
        <c:majorTickMark val="none"/>
        <c:minorTickMark val="none"/>
        <c:tickLblPos val="nextTo"/>
        <c:crossAx val="180164864"/>
        <c:crosses val="autoZero"/>
        <c:auto val="1"/>
        <c:lblAlgn val="ctr"/>
        <c:lblOffset val="100"/>
        <c:noMultiLvlLbl val="0"/>
      </c:catAx>
      <c:valAx>
        <c:axId val="180164864"/>
        <c:scaling>
          <c:orientation val="minMax"/>
        </c:scaling>
        <c:delete val="0"/>
        <c:axPos val="l"/>
        <c:majorGridlines/>
        <c:numFmt formatCode="#,##0" sourceLinked="1"/>
        <c:majorTickMark val="none"/>
        <c:minorTickMark val="none"/>
        <c:tickLblPos val="nextTo"/>
        <c:spPr>
          <a:ln w="9525">
            <a:noFill/>
          </a:ln>
        </c:spPr>
        <c:crossAx val="180163328"/>
        <c:crosses val="autoZero"/>
        <c:crossBetween val="between"/>
      </c:valAx>
    </c:plotArea>
    <c:plotVisOnly val="1"/>
    <c:dispBlanksAs val="gap"/>
    <c:showDLblsOverMax val="0"/>
  </c:chart>
  <c:printSettings>
    <c:headerFooter/>
    <c:pageMargins b="0.75000000000000122" l="0.70000000000000062" r="0.70000000000000062" t="0.7500000000000012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800" b="1" i="0" baseline="0"/>
              <a:t>Achieve 2015: Workforce</a:t>
            </a:r>
            <a:endParaRPr lang="en-US"/>
          </a:p>
          <a:p>
            <a:pPr algn="ctr">
              <a:defRPr/>
            </a:pPr>
            <a:r>
              <a:rPr lang="en-US" sz="1800" b="1" i="0" baseline="0"/>
              <a:t>Employers Servied</a:t>
            </a:r>
            <a:endParaRPr lang="en-US"/>
          </a:p>
        </c:rich>
      </c:tx>
      <c:overlay val="1"/>
    </c:title>
    <c:autoTitleDeleted val="0"/>
    <c:plotArea>
      <c:layout>
        <c:manualLayout>
          <c:layoutTarget val="inner"/>
          <c:xMode val="edge"/>
          <c:yMode val="edge"/>
          <c:x val="7.6190717706180452E-2"/>
          <c:y val="0.26436351706036748"/>
          <c:w val="0.9001914615745501"/>
          <c:h val="0.58526210265383449"/>
        </c:manualLayout>
      </c:layout>
      <c:barChart>
        <c:barDir val="col"/>
        <c:grouping val="clustered"/>
        <c:varyColors val="0"/>
        <c:ser>
          <c:idx val="0"/>
          <c:order val="0"/>
          <c:invertIfNegative val="0"/>
          <c:cat>
            <c:strRef>
              <c:f>'Employers Served'!$L$7:$S$7</c:f>
              <c:strCache>
                <c:ptCount val="8"/>
                <c:pt idx="0">
                  <c:v>FY 2008</c:v>
                </c:pt>
                <c:pt idx="1">
                  <c:v>FY 2009</c:v>
                </c:pt>
                <c:pt idx="2">
                  <c:v>FY 2010</c:v>
                </c:pt>
                <c:pt idx="3">
                  <c:v>FY2011</c:v>
                </c:pt>
                <c:pt idx="4">
                  <c:v>FY2012</c:v>
                </c:pt>
                <c:pt idx="5">
                  <c:v>FY2013</c:v>
                </c:pt>
                <c:pt idx="6">
                  <c:v>FY2014</c:v>
                </c:pt>
                <c:pt idx="7">
                  <c:v>FY2015</c:v>
                </c:pt>
              </c:strCache>
            </c:strRef>
          </c:cat>
          <c:val>
            <c:numRef>
              <c:f>'Employers Served'!$L$8:$S$8</c:f>
              <c:numCache>
                <c:formatCode>#,##0</c:formatCode>
                <c:ptCount val="8"/>
                <c:pt idx="0">
                  <c:v>91</c:v>
                </c:pt>
                <c:pt idx="1">
                  <c:v>69</c:v>
                </c:pt>
                <c:pt idx="2">
                  <c:v>105</c:v>
                </c:pt>
                <c:pt idx="3">
                  <c:v>190</c:v>
                </c:pt>
              </c:numCache>
            </c:numRef>
          </c:val>
        </c:ser>
        <c:dLbls>
          <c:showLegendKey val="0"/>
          <c:showVal val="0"/>
          <c:showCatName val="0"/>
          <c:showSerName val="0"/>
          <c:showPercent val="0"/>
          <c:showBubbleSize val="0"/>
        </c:dLbls>
        <c:gapWidth val="150"/>
        <c:axId val="180189440"/>
        <c:axId val="180195328"/>
      </c:barChart>
      <c:catAx>
        <c:axId val="180189440"/>
        <c:scaling>
          <c:orientation val="minMax"/>
        </c:scaling>
        <c:delete val="0"/>
        <c:axPos val="b"/>
        <c:majorTickMark val="out"/>
        <c:minorTickMark val="none"/>
        <c:tickLblPos val="nextTo"/>
        <c:crossAx val="180195328"/>
        <c:crosses val="autoZero"/>
        <c:auto val="1"/>
        <c:lblAlgn val="ctr"/>
        <c:lblOffset val="100"/>
        <c:noMultiLvlLbl val="0"/>
      </c:catAx>
      <c:valAx>
        <c:axId val="180195328"/>
        <c:scaling>
          <c:orientation val="minMax"/>
        </c:scaling>
        <c:delete val="0"/>
        <c:axPos val="l"/>
        <c:majorGridlines/>
        <c:numFmt formatCode="#,##0" sourceLinked="1"/>
        <c:majorTickMark val="out"/>
        <c:minorTickMark val="none"/>
        <c:tickLblPos val="nextTo"/>
        <c:crossAx val="180189440"/>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Achieve 2015: Resources</a:t>
            </a:r>
          </a:p>
        </c:rich>
      </c:tx>
      <c:layout>
        <c:manualLayout>
          <c:xMode val="edge"/>
          <c:yMode val="edge"/>
          <c:x val="0.27278776994981013"/>
          <c:y val="4.1380218352184805E-2"/>
        </c:manualLayout>
      </c:layout>
      <c:overlay val="0"/>
    </c:title>
    <c:autoTitleDeleted val="0"/>
    <c:plotArea>
      <c:layout>
        <c:manualLayout>
          <c:layoutTarget val="inner"/>
          <c:xMode val="edge"/>
          <c:yMode val="edge"/>
          <c:x val="0.19971062992125985"/>
          <c:y val="0.21384557322491538"/>
          <c:w val="0.77251159230096234"/>
          <c:h val="0.53855326819087368"/>
        </c:manualLayout>
      </c:layout>
      <c:barChart>
        <c:barDir val="col"/>
        <c:grouping val="clustered"/>
        <c:varyColors val="0"/>
        <c:ser>
          <c:idx val="0"/>
          <c:order val="0"/>
          <c:invertIfNegative val="0"/>
          <c:cat>
            <c:strRef>
              <c:f>Resources!$C$9:$I$9</c:f>
              <c:strCache>
                <c:ptCount val="7"/>
                <c:pt idx="0">
                  <c:v>FY2009</c:v>
                </c:pt>
                <c:pt idx="1">
                  <c:v>FY2010</c:v>
                </c:pt>
                <c:pt idx="2">
                  <c:v>FY2011</c:v>
                </c:pt>
                <c:pt idx="3">
                  <c:v>FY2012</c:v>
                </c:pt>
                <c:pt idx="4">
                  <c:v>FY2013</c:v>
                </c:pt>
                <c:pt idx="5">
                  <c:v>FY2014</c:v>
                </c:pt>
                <c:pt idx="6">
                  <c:v>FY2015</c:v>
                </c:pt>
              </c:strCache>
            </c:strRef>
          </c:cat>
          <c:val>
            <c:numRef>
              <c:f>Resources!$C$11:$I$11</c:f>
              <c:numCache>
                <c:formatCode>#,##0</c:formatCode>
                <c:ptCount val="7"/>
                <c:pt idx="0">
                  <c:v>80185661</c:v>
                </c:pt>
                <c:pt idx="1">
                  <c:v>197440557</c:v>
                </c:pt>
                <c:pt idx="2">
                  <c:v>336661596</c:v>
                </c:pt>
              </c:numCache>
            </c:numRef>
          </c:val>
        </c:ser>
        <c:dLbls>
          <c:showLegendKey val="0"/>
          <c:showVal val="0"/>
          <c:showCatName val="0"/>
          <c:showSerName val="0"/>
          <c:showPercent val="0"/>
          <c:showBubbleSize val="0"/>
        </c:dLbls>
        <c:gapWidth val="75"/>
        <c:overlap val="-25"/>
        <c:axId val="186787712"/>
        <c:axId val="186814464"/>
      </c:barChart>
      <c:lineChart>
        <c:grouping val="standard"/>
        <c:varyColors val="0"/>
        <c:ser>
          <c:idx val="1"/>
          <c:order val="1"/>
          <c:marker>
            <c:symbol val="none"/>
          </c:marker>
          <c:dLbls>
            <c:dLbl>
              <c:idx val="0"/>
              <c:delete val="1"/>
            </c:dLbl>
            <c:dLbl>
              <c:idx val="1"/>
              <c:delete val="1"/>
            </c:dLbl>
            <c:dLbl>
              <c:idx val="2"/>
              <c:delete val="1"/>
            </c:dLbl>
            <c:dLbl>
              <c:idx val="3"/>
              <c:delete val="1"/>
            </c:dLbl>
            <c:dLbl>
              <c:idx val="4"/>
              <c:delete val="1"/>
            </c:dLbl>
            <c:dLbl>
              <c:idx val="5"/>
              <c:tx>
                <c:rich>
                  <a:bodyPr/>
                  <a:lstStyle/>
                  <a:p>
                    <a:r>
                      <a:rPr lang="en-US" b="1"/>
                      <a:t>Target</a:t>
                    </a:r>
                  </a:p>
                  <a:p>
                    <a:r>
                      <a:rPr lang="en-US" b="1"/>
                      <a:t>550,000,000</a:t>
                    </a:r>
                  </a:p>
                </c:rich>
              </c:tx>
              <c:showLegendKey val="0"/>
              <c:showVal val="1"/>
              <c:showCatName val="0"/>
              <c:showSerName val="0"/>
              <c:showPercent val="0"/>
              <c:showBubbleSize val="0"/>
            </c:dLbl>
            <c:dLbl>
              <c:idx val="6"/>
              <c:delete val="1"/>
            </c:dLbl>
            <c:dLbl>
              <c:idx val="7"/>
              <c:delete val="1"/>
            </c:dLbl>
            <c:txPr>
              <a:bodyPr/>
              <a:lstStyle/>
              <a:p>
                <a:pPr>
                  <a:defRPr b="1"/>
                </a:pPr>
                <a:endParaRPr lang="en-US"/>
              </a:p>
            </c:txPr>
            <c:showLegendKey val="0"/>
            <c:showVal val="1"/>
            <c:showCatName val="0"/>
            <c:showSerName val="0"/>
            <c:showPercent val="0"/>
            <c:showBubbleSize val="0"/>
            <c:showLeaderLines val="0"/>
          </c:dLbls>
          <c:val>
            <c:numRef>
              <c:f>Resources!$C$13:$I$13</c:f>
              <c:numCache>
                <c:formatCode>#,##0</c:formatCode>
                <c:ptCount val="7"/>
                <c:pt idx="0">
                  <c:v>550000000</c:v>
                </c:pt>
                <c:pt idx="1">
                  <c:v>550000000</c:v>
                </c:pt>
                <c:pt idx="2">
                  <c:v>550000000</c:v>
                </c:pt>
                <c:pt idx="3">
                  <c:v>550000000</c:v>
                </c:pt>
                <c:pt idx="4">
                  <c:v>550000000</c:v>
                </c:pt>
                <c:pt idx="5">
                  <c:v>550000000</c:v>
                </c:pt>
                <c:pt idx="6">
                  <c:v>550000000</c:v>
                </c:pt>
              </c:numCache>
            </c:numRef>
          </c:val>
          <c:smooth val="0"/>
        </c:ser>
        <c:dLbls>
          <c:showLegendKey val="0"/>
          <c:showVal val="0"/>
          <c:showCatName val="0"/>
          <c:showSerName val="0"/>
          <c:showPercent val="0"/>
          <c:showBubbleSize val="0"/>
        </c:dLbls>
        <c:marker val="1"/>
        <c:smooth val="0"/>
        <c:axId val="186787712"/>
        <c:axId val="186814464"/>
      </c:lineChart>
      <c:catAx>
        <c:axId val="186787712"/>
        <c:scaling>
          <c:orientation val="minMax"/>
        </c:scaling>
        <c:delete val="0"/>
        <c:axPos val="b"/>
        <c:title>
          <c:tx>
            <c:rich>
              <a:bodyPr/>
              <a:lstStyle/>
              <a:p>
                <a:pPr>
                  <a:defRPr/>
                </a:pPr>
                <a:r>
                  <a:rPr lang="en-US"/>
                  <a:t>Cumulative Total Revenue</a:t>
                </a:r>
              </a:p>
            </c:rich>
          </c:tx>
          <c:layout>
            <c:manualLayout>
              <c:xMode val="edge"/>
              <c:yMode val="edge"/>
              <c:x val="0.40486476032601287"/>
              <c:y val="0.86710679080424358"/>
            </c:manualLayout>
          </c:layout>
          <c:overlay val="0"/>
        </c:title>
        <c:majorTickMark val="none"/>
        <c:minorTickMark val="none"/>
        <c:tickLblPos val="nextTo"/>
        <c:crossAx val="186814464"/>
        <c:crosses val="autoZero"/>
        <c:auto val="1"/>
        <c:lblAlgn val="ctr"/>
        <c:lblOffset val="100"/>
        <c:noMultiLvlLbl val="0"/>
      </c:catAx>
      <c:valAx>
        <c:axId val="186814464"/>
        <c:scaling>
          <c:orientation val="minMax"/>
        </c:scaling>
        <c:delete val="0"/>
        <c:axPos val="l"/>
        <c:majorGridlines/>
        <c:numFmt formatCode="&quot;$&quot;#,##0" sourceLinked="0"/>
        <c:majorTickMark val="none"/>
        <c:minorTickMark val="none"/>
        <c:tickLblPos val="nextTo"/>
        <c:spPr>
          <a:ln w="9525">
            <a:noFill/>
          </a:ln>
        </c:spPr>
        <c:crossAx val="186787712"/>
        <c:crosses val="autoZero"/>
        <c:crossBetween val="between"/>
      </c:valAx>
    </c:plotArea>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baseline="0">
                <a:effectLst/>
              </a:rPr>
              <a:t>Achieve 2015: Resources</a:t>
            </a:r>
            <a:endParaRPr lang="en-US">
              <a:effectLst/>
            </a:endParaRPr>
          </a:p>
        </c:rich>
      </c:tx>
      <c:overlay val="1"/>
    </c:title>
    <c:autoTitleDeleted val="0"/>
    <c:plotArea>
      <c:layout>
        <c:manualLayout>
          <c:layoutTarget val="inner"/>
          <c:xMode val="edge"/>
          <c:yMode val="edge"/>
          <c:x val="0.14421141801719256"/>
          <c:y val="0.19945831656097199"/>
          <c:w val="0.82992144500456022"/>
          <c:h val="0.63578021775980775"/>
        </c:manualLayout>
      </c:layout>
      <c:barChart>
        <c:barDir val="col"/>
        <c:grouping val="clustered"/>
        <c:varyColors val="0"/>
        <c:ser>
          <c:idx val="0"/>
          <c:order val="0"/>
          <c:invertIfNegative val="0"/>
          <c:cat>
            <c:strRef>
              <c:f>Resources!$L$9:$S$9</c:f>
              <c:strCache>
                <c:ptCount val="8"/>
                <c:pt idx="0">
                  <c:v>Baseline      FY2008</c:v>
                </c:pt>
                <c:pt idx="1">
                  <c:v>FY2009</c:v>
                </c:pt>
                <c:pt idx="2">
                  <c:v>FY2010</c:v>
                </c:pt>
                <c:pt idx="3">
                  <c:v>FY2011</c:v>
                </c:pt>
                <c:pt idx="4">
                  <c:v>FY2012</c:v>
                </c:pt>
                <c:pt idx="5">
                  <c:v>FY2013</c:v>
                </c:pt>
                <c:pt idx="6">
                  <c:v>FY2014</c:v>
                </c:pt>
                <c:pt idx="7">
                  <c:v>FY2015</c:v>
                </c:pt>
              </c:strCache>
            </c:strRef>
          </c:cat>
          <c:val>
            <c:numRef>
              <c:f>Resources!$L$11:$S$11</c:f>
              <c:numCache>
                <c:formatCode>#,##0</c:formatCode>
                <c:ptCount val="8"/>
                <c:pt idx="0" formatCode="General">
                  <c:v>0</c:v>
                </c:pt>
                <c:pt idx="1">
                  <c:v>2555939</c:v>
                </c:pt>
                <c:pt idx="2">
                  <c:v>7427971</c:v>
                </c:pt>
                <c:pt idx="3">
                  <c:v>12078205</c:v>
                </c:pt>
              </c:numCache>
            </c:numRef>
          </c:val>
        </c:ser>
        <c:dLbls>
          <c:showLegendKey val="0"/>
          <c:showVal val="0"/>
          <c:showCatName val="0"/>
          <c:showSerName val="0"/>
          <c:showPercent val="0"/>
          <c:showBubbleSize val="0"/>
        </c:dLbls>
        <c:gapWidth val="150"/>
        <c:axId val="186834944"/>
        <c:axId val="186836480"/>
      </c:barChart>
      <c:catAx>
        <c:axId val="186834944"/>
        <c:scaling>
          <c:orientation val="minMax"/>
        </c:scaling>
        <c:delete val="0"/>
        <c:axPos val="b"/>
        <c:majorTickMark val="out"/>
        <c:minorTickMark val="none"/>
        <c:tickLblPos val="nextTo"/>
        <c:crossAx val="186836480"/>
        <c:crosses val="autoZero"/>
        <c:auto val="1"/>
        <c:lblAlgn val="ctr"/>
        <c:lblOffset val="100"/>
        <c:noMultiLvlLbl val="0"/>
      </c:catAx>
      <c:valAx>
        <c:axId val="186836480"/>
        <c:scaling>
          <c:orientation val="minMax"/>
          <c:max val="20000000"/>
          <c:min val="0"/>
        </c:scaling>
        <c:delete val="0"/>
        <c:axPos val="l"/>
        <c:majorGridlines/>
        <c:numFmt formatCode="&quot;$&quot;#,##0" sourceLinked="0"/>
        <c:majorTickMark val="out"/>
        <c:minorTickMark val="none"/>
        <c:tickLblPos val="nextTo"/>
        <c:crossAx val="186834944"/>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104775</xdr:colOff>
      <xdr:row>10</xdr:row>
      <xdr:rowOff>0</xdr:rowOff>
    </xdr:from>
    <xdr:to>
      <xdr:col>8</xdr:col>
      <xdr:colOff>495300</xdr:colOff>
      <xdr:row>25</xdr:row>
      <xdr:rowOff>133350</xdr:rowOff>
    </xdr:to>
    <xdr:graphicFrame macro="">
      <xdr:nvGraphicFramePr>
        <xdr:cNvPr id="1028"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28574</xdr:colOff>
      <xdr:row>9</xdr:row>
      <xdr:rowOff>171450</xdr:rowOff>
    </xdr:from>
    <xdr:to>
      <xdr:col>18</xdr:col>
      <xdr:colOff>533400</xdr:colOff>
      <xdr:row>25</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114301</xdr:colOff>
      <xdr:row>10</xdr:row>
      <xdr:rowOff>38100</xdr:rowOff>
    </xdr:from>
    <xdr:to>
      <xdr:col>8</xdr:col>
      <xdr:colOff>561976</xdr:colOff>
      <xdr:row>25</xdr:row>
      <xdr:rowOff>170688</xdr:rowOff>
    </xdr:to>
    <xdr:graphicFrame macro="">
      <xdr:nvGraphicFramePr>
        <xdr:cNvPr id="3076"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180974</xdr:colOff>
      <xdr:row>10</xdr:row>
      <xdr:rowOff>28575</xdr:rowOff>
    </xdr:from>
    <xdr:to>
      <xdr:col>18</xdr:col>
      <xdr:colOff>762000</xdr:colOff>
      <xdr:row>25</xdr:row>
      <xdr:rowOff>180974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742950</xdr:colOff>
      <xdr:row>12</xdr:row>
      <xdr:rowOff>28576</xdr:rowOff>
    </xdr:from>
    <xdr:to>
      <xdr:col>7</xdr:col>
      <xdr:colOff>348996</xdr:colOff>
      <xdr:row>27</xdr:row>
      <xdr:rowOff>161164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0.20833</cdr:x>
      <cdr:y>0.03822</cdr:y>
    </cdr:from>
    <cdr:to>
      <cdr:x>0.7625</cdr:x>
      <cdr:y>0.18153</cdr:y>
    </cdr:to>
    <cdr:sp macro="" textlink="">
      <cdr:nvSpPr>
        <cdr:cNvPr id="2" name="TextBox 1"/>
        <cdr:cNvSpPr txBox="1"/>
      </cdr:nvSpPr>
      <cdr:spPr>
        <a:xfrm xmlns:a="http://schemas.openxmlformats.org/drawingml/2006/main">
          <a:off x="952500" y="114300"/>
          <a:ext cx="253365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0.09375</cdr:x>
      <cdr:y>0.04571</cdr:y>
    </cdr:from>
    <cdr:to>
      <cdr:x>0.90208</cdr:x>
      <cdr:y>0.19143</cdr:y>
    </cdr:to>
    <cdr:sp macro="" textlink="">
      <cdr:nvSpPr>
        <cdr:cNvPr id="3" name="TextBox 2"/>
        <cdr:cNvSpPr txBox="1"/>
      </cdr:nvSpPr>
      <cdr:spPr>
        <a:xfrm xmlns:a="http://schemas.openxmlformats.org/drawingml/2006/main">
          <a:off x="428625" y="152398"/>
          <a:ext cx="3695700" cy="485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endParaRPr lang="en-US" sz="1200" b="1"/>
        </a:p>
      </cdr:txBody>
    </cdr:sp>
  </cdr:relSizeAnchor>
  <cdr:relSizeAnchor xmlns:cdr="http://schemas.openxmlformats.org/drawingml/2006/chartDrawing">
    <cdr:from>
      <cdr:x>0.77292</cdr:x>
      <cdr:y>0.76571</cdr:y>
    </cdr:from>
    <cdr:to>
      <cdr:x>0.87917</cdr:x>
      <cdr:y>0.82571</cdr:y>
    </cdr:to>
    <cdr:sp macro="" textlink="">
      <cdr:nvSpPr>
        <cdr:cNvPr id="4" name="TextBox 3"/>
        <cdr:cNvSpPr txBox="1"/>
      </cdr:nvSpPr>
      <cdr:spPr>
        <a:xfrm xmlns:a="http://schemas.openxmlformats.org/drawingml/2006/main">
          <a:off x="3533774" y="2552699"/>
          <a:ext cx="48577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0.67919</cdr:x>
      <cdr:y>0.70286</cdr:y>
    </cdr:from>
    <cdr:to>
      <cdr:x>0.76589</cdr:x>
      <cdr:y>0.79714</cdr:y>
    </cdr:to>
    <cdr:sp macro="" textlink="">
      <cdr:nvSpPr>
        <cdr:cNvPr id="5" name="TextBox 4"/>
        <cdr:cNvSpPr txBox="1"/>
      </cdr:nvSpPr>
      <cdr:spPr>
        <a:xfrm xmlns:a="http://schemas.openxmlformats.org/drawingml/2006/main">
          <a:off x="3868638" y="2343148"/>
          <a:ext cx="493812"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b="1"/>
        </a:p>
      </cdr:txBody>
    </cdr:sp>
  </cdr:relSizeAnchor>
  <cdr:relSizeAnchor xmlns:cdr="http://schemas.openxmlformats.org/drawingml/2006/chartDrawing">
    <cdr:from>
      <cdr:x>0.62876</cdr:x>
      <cdr:y>0.68857</cdr:y>
    </cdr:from>
    <cdr:to>
      <cdr:x>0.73719</cdr:x>
      <cdr:y>0.82286</cdr:y>
    </cdr:to>
    <cdr:sp macro="" textlink="">
      <cdr:nvSpPr>
        <cdr:cNvPr id="6" name="TextBox 5"/>
        <cdr:cNvSpPr txBox="1"/>
      </cdr:nvSpPr>
      <cdr:spPr>
        <a:xfrm xmlns:a="http://schemas.openxmlformats.org/drawingml/2006/main">
          <a:off x="3623308" y="2295524"/>
          <a:ext cx="624842" cy="4476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b="1"/>
        </a:p>
      </cdr:txBody>
    </cdr:sp>
  </cdr:relSizeAnchor>
  <cdr:relSizeAnchor xmlns:cdr="http://schemas.openxmlformats.org/drawingml/2006/chartDrawing">
    <cdr:from>
      <cdr:x>0.22917</cdr:x>
      <cdr:y>0.59429</cdr:y>
    </cdr:from>
    <cdr:to>
      <cdr:x>0.30625</cdr:x>
      <cdr:y>0.66</cdr:y>
    </cdr:to>
    <cdr:sp macro="" textlink="">
      <cdr:nvSpPr>
        <cdr:cNvPr id="7" name="TextBox 6"/>
        <cdr:cNvSpPr txBox="1"/>
      </cdr:nvSpPr>
      <cdr:spPr>
        <a:xfrm xmlns:a="http://schemas.openxmlformats.org/drawingml/2006/main">
          <a:off x="1047750" y="1981199"/>
          <a:ext cx="3524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0.16475</cdr:x>
      <cdr:y>0.63649</cdr:y>
    </cdr:from>
    <cdr:to>
      <cdr:x>0.26298</cdr:x>
      <cdr:y>0.70506</cdr:y>
    </cdr:to>
    <cdr:sp macro="" textlink="">
      <cdr:nvSpPr>
        <cdr:cNvPr id="8" name="TextBox 7"/>
        <cdr:cNvSpPr txBox="1"/>
      </cdr:nvSpPr>
      <cdr:spPr>
        <a:xfrm xmlns:a="http://schemas.openxmlformats.org/drawingml/2006/main">
          <a:off x="774640" y="1903158"/>
          <a:ext cx="461869" cy="205030"/>
        </a:xfrm>
        <a:prstGeom xmlns:a="http://schemas.openxmlformats.org/drawingml/2006/main" prst="rect">
          <a:avLst/>
        </a:prstGeom>
        <a:solidFill xmlns:a="http://schemas.openxmlformats.org/drawingml/2006/main">
          <a:srgbClr val="92D050"/>
        </a:solidFill>
        <a:ln xmlns:a="http://schemas.openxmlformats.org/drawingml/2006/main">
          <a:solidFill>
            <a:sysClr val="windowText" lastClr="000000"/>
          </a:solidFill>
        </a:ln>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900" b="1"/>
            <a:t>33.9%</a:t>
          </a:r>
        </a:p>
      </cdr:txBody>
    </cdr:sp>
  </cdr:relSizeAnchor>
  <cdr:relSizeAnchor xmlns:cdr="http://schemas.openxmlformats.org/drawingml/2006/chartDrawing">
    <cdr:from>
      <cdr:x>0.33505</cdr:x>
      <cdr:y>0.64033</cdr:y>
    </cdr:from>
    <cdr:to>
      <cdr:x>0.43328</cdr:x>
      <cdr:y>0.70719</cdr:y>
    </cdr:to>
    <cdr:sp macro="" textlink="">
      <cdr:nvSpPr>
        <cdr:cNvPr id="9" name="TextBox 8"/>
        <cdr:cNvSpPr txBox="1"/>
      </cdr:nvSpPr>
      <cdr:spPr>
        <a:xfrm xmlns:a="http://schemas.openxmlformats.org/drawingml/2006/main">
          <a:off x="1575377" y="1914630"/>
          <a:ext cx="461870" cy="199917"/>
        </a:xfrm>
        <a:prstGeom xmlns:a="http://schemas.openxmlformats.org/drawingml/2006/main" prst="rect">
          <a:avLst/>
        </a:prstGeom>
        <a:solidFill xmlns:a="http://schemas.openxmlformats.org/drawingml/2006/main">
          <a:srgbClr val="92D050"/>
        </a:solidFill>
        <a:ln xmlns:a="http://schemas.openxmlformats.org/drawingml/2006/main">
          <a:solidFill>
            <a:sysClr val="windowText" lastClr="000000"/>
          </a:solidFill>
        </a:ln>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900" b="1"/>
            <a:t>34.1%</a:t>
          </a:r>
        </a:p>
      </cdr:txBody>
    </cdr:sp>
  </cdr:relSizeAnchor>
  <cdr:relSizeAnchor xmlns:cdr="http://schemas.openxmlformats.org/drawingml/2006/chartDrawing">
    <cdr:from>
      <cdr:x>0.66406</cdr:x>
      <cdr:y>0.59714</cdr:y>
    </cdr:from>
    <cdr:to>
      <cdr:x>0.75391</cdr:x>
      <cdr:y>0.64286</cdr:y>
    </cdr:to>
    <cdr:sp macro="" textlink="">
      <cdr:nvSpPr>
        <cdr:cNvPr id="10" name="TextBox 9"/>
        <cdr:cNvSpPr txBox="1"/>
      </cdr:nvSpPr>
      <cdr:spPr>
        <a:xfrm xmlns:a="http://schemas.openxmlformats.org/drawingml/2006/main">
          <a:off x="3238500" y="1990724"/>
          <a:ext cx="43815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0.50099</cdr:x>
      <cdr:y>0.6401</cdr:y>
    </cdr:from>
    <cdr:to>
      <cdr:x>0.59922</cdr:x>
      <cdr:y>0.70867</cdr:y>
    </cdr:to>
    <cdr:sp macro="" textlink="">
      <cdr:nvSpPr>
        <cdr:cNvPr id="12" name="TextBox 11"/>
        <cdr:cNvSpPr txBox="1"/>
      </cdr:nvSpPr>
      <cdr:spPr>
        <a:xfrm xmlns:a="http://schemas.openxmlformats.org/drawingml/2006/main">
          <a:off x="2355621" y="1913955"/>
          <a:ext cx="461870" cy="205030"/>
        </a:xfrm>
        <a:prstGeom xmlns:a="http://schemas.openxmlformats.org/drawingml/2006/main" prst="rect">
          <a:avLst/>
        </a:prstGeom>
        <a:solidFill xmlns:a="http://schemas.openxmlformats.org/drawingml/2006/main">
          <a:srgbClr val="92D050"/>
        </a:solidFill>
        <a:ln xmlns:a="http://schemas.openxmlformats.org/drawingml/2006/main">
          <a:solidFill>
            <a:sysClr val="windowText" lastClr="000000"/>
          </a:solidFill>
        </a:ln>
      </cdr:spPr>
      <cdr:txBody>
        <a:bodyPr xmlns:a="http://schemas.openxmlformats.org/drawingml/2006/main" vertOverflow="clip" wrap="square" lIns="45720" rIns="45720" rtlCol="0" anchor="ctr" anchorCtr="1">
          <a:noAutofit/>
        </a:bodyPr>
        <a:lstStyle xmlns:a="http://schemas.openxmlformats.org/drawingml/2006/main"/>
        <a:p xmlns:a="http://schemas.openxmlformats.org/drawingml/2006/main">
          <a:r>
            <a:rPr lang="en-US" sz="900" b="1"/>
            <a:t>37.6%</a:t>
          </a:r>
        </a:p>
      </cdr:txBody>
    </cdr:sp>
  </cdr:relSizeAnchor>
  <cdr:relSizeAnchor xmlns:cdr="http://schemas.openxmlformats.org/drawingml/2006/chartDrawing">
    <cdr:from>
      <cdr:x>0.20833</cdr:x>
      <cdr:y>0.03822</cdr:y>
    </cdr:from>
    <cdr:to>
      <cdr:x>0.7625</cdr:x>
      <cdr:y>0.18153</cdr:y>
    </cdr:to>
    <cdr:sp macro="" textlink="">
      <cdr:nvSpPr>
        <cdr:cNvPr id="13" name="TextBox 1"/>
        <cdr:cNvSpPr txBox="1"/>
      </cdr:nvSpPr>
      <cdr:spPr>
        <a:xfrm xmlns:a="http://schemas.openxmlformats.org/drawingml/2006/main">
          <a:off x="952500" y="114300"/>
          <a:ext cx="253365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0.77292</cdr:x>
      <cdr:y>0.76571</cdr:y>
    </cdr:from>
    <cdr:to>
      <cdr:x>0.87917</cdr:x>
      <cdr:y>0.82571</cdr:y>
    </cdr:to>
    <cdr:sp macro="" textlink="">
      <cdr:nvSpPr>
        <cdr:cNvPr id="15" name="TextBox 3"/>
        <cdr:cNvSpPr txBox="1"/>
      </cdr:nvSpPr>
      <cdr:spPr>
        <a:xfrm xmlns:a="http://schemas.openxmlformats.org/drawingml/2006/main">
          <a:off x="3533774" y="2552699"/>
          <a:ext cx="48577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0.83262</cdr:x>
      <cdr:y>0.63744</cdr:y>
    </cdr:from>
    <cdr:to>
      <cdr:x>0.93569</cdr:x>
      <cdr:y>0.70472</cdr:y>
    </cdr:to>
    <cdr:sp macro="" textlink="">
      <cdr:nvSpPr>
        <cdr:cNvPr id="21" name="TextBox 9"/>
        <cdr:cNvSpPr txBox="1"/>
      </cdr:nvSpPr>
      <cdr:spPr>
        <a:xfrm xmlns:a="http://schemas.openxmlformats.org/drawingml/2006/main">
          <a:off x="3914931" y="1905999"/>
          <a:ext cx="484632" cy="201168"/>
        </a:xfrm>
        <a:prstGeom xmlns:a="http://schemas.openxmlformats.org/drawingml/2006/main" prst="rect">
          <a:avLst/>
        </a:prstGeom>
        <a:solidFill xmlns:a="http://schemas.openxmlformats.org/drawingml/2006/main">
          <a:srgbClr val="92D050"/>
        </a:solidFill>
        <a:ln xmlns:a="http://schemas.openxmlformats.org/drawingml/2006/main" w="9525">
          <a:solidFill>
            <a:schemeClr val="tx1"/>
          </a:solidFill>
        </a:ln>
      </cdr:spPr>
      <cdr:txBody>
        <a:bodyPr xmlns:a="http://schemas.openxmlformats.org/drawingml/2006/main" vertOverflow="clip" wrap="square" rtlCol="0" anchor="ctr" anchorCtr="1"/>
        <a:lstStyle xmlns:a="http://schemas.openxmlformats.org/drawingml/2006/main"/>
        <a:p xmlns:a="http://schemas.openxmlformats.org/drawingml/2006/main">
          <a:r>
            <a:rPr lang="en-US" sz="900" b="1"/>
            <a:t>37.4%</a:t>
          </a:r>
          <a:endParaRPr lang="en-US" sz="900"/>
        </a:p>
        <a:p xmlns:a="http://schemas.openxmlformats.org/drawingml/2006/main">
          <a:endParaRPr lang="en-US" sz="900"/>
        </a:p>
      </cdr:txBody>
    </cdr:sp>
  </cdr:relSizeAnchor>
  <cdr:relSizeAnchor xmlns:cdr="http://schemas.openxmlformats.org/drawingml/2006/chartDrawing">
    <cdr:from>
      <cdr:x>0.48264</cdr:x>
      <cdr:y>0.75143</cdr:y>
    </cdr:from>
    <cdr:to>
      <cdr:x>0.53223</cdr:x>
      <cdr:y>0.84286</cdr:y>
    </cdr:to>
    <cdr:sp macro="" textlink="">
      <cdr:nvSpPr>
        <cdr:cNvPr id="11" name="TextBox 10"/>
        <cdr:cNvSpPr txBox="1"/>
      </cdr:nvSpPr>
      <cdr:spPr>
        <a:xfrm xmlns:a="http://schemas.openxmlformats.org/drawingml/2006/main">
          <a:off x="2781300" y="2505075"/>
          <a:ext cx="2857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0.56694</cdr:x>
      <cdr:y>0.75714</cdr:y>
    </cdr:from>
    <cdr:to>
      <cdr:x>0.60992</cdr:x>
      <cdr:y>0.85429</cdr:y>
    </cdr:to>
    <cdr:sp macro="" textlink="">
      <cdr:nvSpPr>
        <cdr:cNvPr id="17" name="TextBox 16"/>
        <cdr:cNvSpPr txBox="1"/>
      </cdr:nvSpPr>
      <cdr:spPr>
        <a:xfrm xmlns:a="http://schemas.openxmlformats.org/drawingml/2006/main">
          <a:off x="3267075" y="2524124"/>
          <a:ext cx="247649"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0.57234</cdr:x>
      <cdr:y>0.71714</cdr:y>
    </cdr:from>
    <cdr:to>
      <cdr:x>0.63593</cdr:x>
      <cdr:y>0.84286</cdr:y>
    </cdr:to>
    <cdr:sp macro="" textlink="">
      <cdr:nvSpPr>
        <cdr:cNvPr id="19" name="TextBox 18"/>
        <cdr:cNvSpPr txBox="1"/>
      </cdr:nvSpPr>
      <cdr:spPr>
        <a:xfrm xmlns:a="http://schemas.openxmlformats.org/drawingml/2006/main">
          <a:off x="3429000" y="2390774"/>
          <a:ext cx="381000" cy="419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b="1"/>
        </a:p>
      </cdr:txBody>
    </cdr:sp>
  </cdr:relSizeAnchor>
  <cdr:relSizeAnchor xmlns:cdr="http://schemas.openxmlformats.org/drawingml/2006/chartDrawing">
    <cdr:from>
      <cdr:x>0.66847</cdr:x>
      <cdr:y>0.64029</cdr:y>
    </cdr:from>
    <cdr:to>
      <cdr:x>0.7667</cdr:x>
      <cdr:y>0.70869</cdr:y>
    </cdr:to>
    <cdr:sp macro="" textlink="">
      <cdr:nvSpPr>
        <cdr:cNvPr id="23" name="TextBox 22"/>
        <cdr:cNvSpPr txBox="1"/>
      </cdr:nvSpPr>
      <cdr:spPr>
        <a:xfrm xmlns:a="http://schemas.openxmlformats.org/drawingml/2006/main">
          <a:off x="3143086" y="1914529"/>
          <a:ext cx="461870" cy="204522"/>
        </a:xfrm>
        <a:prstGeom xmlns:a="http://schemas.openxmlformats.org/drawingml/2006/main" prst="rect">
          <a:avLst/>
        </a:prstGeom>
        <a:solidFill xmlns:a="http://schemas.openxmlformats.org/drawingml/2006/main">
          <a:srgbClr val="92D050"/>
        </a:solidFill>
        <a:ln xmlns:a="http://schemas.openxmlformats.org/drawingml/2006/main">
          <a:solidFill>
            <a:sysClr val="windowText" lastClr="000000"/>
          </a:solidFill>
        </a:ln>
      </cdr:spPr>
      <cdr:txBody>
        <a:bodyPr xmlns:a="http://schemas.openxmlformats.org/drawingml/2006/main" vertOverflow="clip" wrap="square" lIns="45720" rIns="45720" rtlCol="0" anchor="ctr" anchorCtr="1"/>
        <a:lstStyle xmlns:a="http://schemas.openxmlformats.org/drawingml/2006/main"/>
        <a:p xmlns:a="http://schemas.openxmlformats.org/drawingml/2006/main">
          <a:r>
            <a:rPr lang="en-US" sz="900" b="1"/>
            <a:t>36.5%</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85726</xdr:colOff>
      <xdr:row>10</xdr:row>
      <xdr:rowOff>33337</xdr:rowOff>
    </xdr:from>
    <xdr:to>
      <xdr:col>8</xdr:col>
      <xdr:colOff>514350</xdr:colOff>
      <xdr:row>25</xdr:row>
      <xdr:rowOff>165925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47625</xdr:colOff>
      <xdr:row>10</xdr:row>
      <xdr:rowOff>28575</xdr:rowOff>
    </xdr:from>
    <xdr:to>
      <xdr:col>17</xdr:col>
      <xdr:colOff>733425</xdr:colOff>
      <xdr:row>25</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123825</xdr:colOff>
      <xdr:row>10</xdr:row>
      <xdr:rowOff>9525</xdr:rowOff>
    </xdr:from>
    <xdr:to>
      <xdr:col>8</xdr:col>
      <xdr:colOff>523875</xdr:colOff>
      <xdr:row>26</xdr:row>
      <xdr:rowOff>4000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152400</xdr:colOff>
      <xdr:row>10</xdr:row>
      <xdr:rowOff>9524</xdr:rowOff>
    </xdr:from>
    <xdr:to>
      <xdr:col>19</xdr:col>
      <xdr:colOff>552450</xdr:colOff>
      <xdr:row>25</xdr:row>
      <xdr:rowOff>190499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133351</xdr:colOff>
      <xdr:row>10</xdr:row>
      <xdr:rowOff>38100</xdr:rowOff>
    </xdr:from>
    <xdr:to>
      <xdr:col>8</xdr:col>
      <xdr:colOff>552450</xdr:colOff>
      <xdr:row>25</xdr:row>
      <xdr:rowOff>171449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104774</xdr:colOff>
      <xdr:row>10</xdr:row>
      <xdr:rowOff>28574</xdr:rowOff>
    </xdr:from>
    <xdr:to>
      <xdr:col>19</xdr:col>
      <xdr:colOff>523874</xdr:colOff>
      <xdr:row>25</xdr:row>
      <xdr:rowOff>171449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609600</xdr:colOff>
      <xdr:row>10</xdr:row>
      <xdr:rowOff>23812</xdr:rowOff>
    </xdr:from>
    <xdr:to>
      <xdr:col>8</xdr:col>
      <xdr:colOff>238125</xdr:colOff>
      <xdr:row>24</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657225</xdr:colOff>
      <xdr:row>10</xdr:row>
      <xdr:rowOff>19050</xdr:rowOff>
    </xdr:from>
    <xdr:to>
      <xdr:col>18</xdr:col>
      <xdr:colOff>161925</xdr:colOff>
      <xdr:row>24</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657225</xdr:colOff>
      <xdr:row>12</xdr:row>
      <xdr:rowOff>95250</xdr:rowOff>
    </xdr:from>
    <xdr:to>
      <xdr:col>8</xdr:col>
      <xdr:colOff>152400</xdr:colOff>
      <xdr:row>27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57149</xdr:colOff>
      <xdr:row>12</xdr:row>
      <xdr:rowOff>128587</xdr:rowOff>
    </xdr:from>
    <xdr:to>
      <xdr:col>18</xdr:col>
      <xdr:colOff>257174</xdr:colOff>
      <xdr:row>27</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tabSelected="1" zoomScaleNormal="100" workbookViewId="0">
      <selection activeCell="A2" sqref="A2"/>
    </sheetView>
  </sheetViews>
  <sheetFormatPr defaultRowHeight="15" x14ac:dyDescent="0.25"/>
  <cols>
    <col min="1" max="1" width="11.85546875" customWidth="1"/>
    <col min="2" max="9" width="9.7109375" customWidth="1"/>
    <col min="11" max="11" width="11" customWidth="1"/>
  </cols>
  <sheetData>
    <row r="1" spans="1:19" ht="18.75" x14ac:dyDescent="0.3">
      <c r="A1" s="94" t="s">
        <v>1</v>
      </c>
      <c r="B1" s="94"/>
      <c r="C1" s="94"/>
      <c r="D1" s="94"/>
      <c r="E1" s="94"/>
      <c r="F1" s="94"/>
      <c r="G1" s="94"/>
      <c r="H1" s="94"/>
      <c r="I1" s="94"/>
    </row>
    <row r="2" spans="1:19" x14ac:dyDescent="0.25">
      <c r="A2" s="24"/>
      <c r="B2" s="1"/>
      <c r="C2" s="1"/>
      <c r="D2" s="1"/>
      <c r="E2" s="1"/>
      <c r="F2" s="1"/>
      <c r="G2" s="1"/>
      <c r="H2" s="1"/>
      <c r="I2" s="1"/>
    </row>
    <row r="3" spans="1:19" ht="15.75" x14ac:dyDescent="0.25">
      <c r="A3" s="95" t="s">
        <v>2</v>
      </c>
      <c r="B3" s="95"/>
      <c r="C3" s="95"/>
      <c r="D3" s="95"/>
      <c r="E3" s="95"/>
      <c r="F3" s="95"/>
      <c r="G3" s="95"/>
      <c r="H3" s="95"/>
      <c r="I3" s="95"/>
    </row>
    <row r="4" spans="1:19" ht="50.25" customHeight="1" x14ac:dyDescent="0.25">
      <c r="A4" s="93" t="s">
        <v>0</v>
      </c>
      <c r="B4" s="93"/>
      <c r="C4" s="93"/>
      <c r="D4" s="93"/>
      <c r="E4" s="93"/>
      <c r="F4" s="93"/>
      <c r="G4" s="93"/>
      <c r="H4" s="93"/>
      <c r="I4" s="93"/>
    </row>
    <row r="5" spans="1:19" x14ac:dyDescent="0.25">
      <c r="E5" s="47" t="s">
        <v>21</v>
      </c>
      <c r="O5" s="45" t="s">
        <v>73</v>
      </c>
    </row>
    <row r="6" spans="1:19" ht="15.75" thickBot="1" x14ac:dyDescent="0.3"/>
    <row r="7" spans="1:19" ht="15.75" thickBot="1" x14ac:dyDescent="0.3">
      <c r="A7" s="7"/>
      <c r="B7" s="23" t="s">
        <v>22</v>
      </c>
      <c r="C7" s="23" t="s">
        <v>23</v>
      </c>
      <c r="D7" s="23" t="s">
        <v>25</v>
      </c>
      <c r="E7" s="23" t="s">
        <v>32</v>
      </c>
      <c r="F7" s="23" t="s">
        <v>33</v>
      </c>
      <c r="G7" s="23" t="s">
        <v>34</v>
      </c>
      <c r="H7" s="23" t="s">
        <v>35</v>
      </c>
      <c r="I7" s="23" t="s">
        <v>36</v>
      </c>
      <c r="K7" s="7"/>
      <c r="L7" s="23" t="s">
        <v>22</v>
      </c>
      <c r="M7" s="23" t="s">
        <v>23</v>
      </c>
      <c r="N7" s="23" t="s">
        <v>25</v>
      </c>
      <c r="O7" s="23" t="s">
        <v>32</v>
      </c>
      <c r="P7" s="23" t="s">
        <v>33</v>
      </c>
      <c r="Q7" s="23" t="s">
        <v>34</v>
      </c>
      <c r="R7" s="23" t="s">
        <v>35</v>
      </c>
      <c r="S7" s="23" t="s">
        <v>36</v>
      </c>
    </row>
    <row r="8" spans="1:19" ht="15.75" thickBot="1" x14ac:dyDescent="0.3">
      <c r="A8" s="6" t="s">
        <v>84</v>
      </c>
      <c r="B8" s="86">
        <v>375577</v>
      </c>
      <c r="C8" s="86">
        <v>403208</v>
      </c>
      <c r="D8" s="86">
        <v>393707</v>
      </c>
      <c r="E8" s="86">
        <v>401491</v>
      </c>
      <c r="F8" s="5"/>
      <c r="G8" s="5"/>
      <c r="H8" s="5"/>
      <c r="I8" s="5"/>
      <c r="K8" s="6" t="s">
        <v>84</v>
      </c>
      <c r="L8" s="5">
        <v>8647</v>
      </c>
      <c r="M8" s="5">
        <v>9328</v>
      </c>
      <c r="N8" s="5">
        <v>8621</v>
      </c>
      <c r="O8" s="5">
        <v>9406</v>
      </c>
      <c r="P8" s="5"/>
      <c r="Q8" s="5"/>
      <c r="R8" s="5"/>
      <c r="S8" s="5"/>
    </row>
    <row r="9" spans="1:19" x14ac:dyDescent="0.25">
      <c r="A9" s="8"/>
      <c r="B9" s="2"/>
      <c r="C9" s="2"/>
      <c r="D9" s="2"/>
      <c r="E9" s="2"/>
      <c r="F9" s="2"/>
      <c r="G9" s="2"/>
      <c r="H9" s="2"/>
      <c r="I9" s="2"/>
      <c r="K9" s="8"/>
      <c r="L9" s="2"/>
      <c r="M9" s="2"/>
      <c r="N9" s="2"/>
      <c r="O9" s="2"/>
      <c r="P9" s="2"/>
      <c r="Q9" s="2"/>
      <c r="R9" s="2"/>
      <c r="S9" s="2"/>
    </row>
    <row r="10" spans="1:19" x14ac:dyDescent="0.25">
      <c r="B10" s="3">
        <v>423000</v>
      </c>
      <c r="C10" s="3">
        <v>423000</v>
      </c>
      <c r="D10" s="3">
        <v>423000</v>
      </c>
      <c r="E10" s="3">
        <v>423000</v>
      </c>
      <c r="F10" s="3">
        <v>423000</v>
      </c>
      <c r="G10" s="3">
        <v>423000</v>
      </c>
      <c r="H10" s="3">
        <v>423000</v>
      </c>
      <c r="I10" s="3">
        <v>423000</v>
      </c>
    </row>
    <row r="28" spans="1:19" ht="15.75" thickBot="1" x14ac:dyDescent="0.3"/>
    <row r="29" spans="1:19" ht="15.75" thickBot="1" x14ac:dyDescent="0.3">
      <c r="A29" s="6"/>
      <c r="B29" s="23" t="s">
        <v>22</v>
      </c>
      <c r="C29" s="23" t="s">
        <v>23</v>
      </c>
      <c r="D29" s="23" t="s">
        <v>25</v>
      </c>
      <c r="E29" s="23" t="s">
        <v>32</v>
      </c>
      <c r="F29" s="23" t="s">
        <v>33</v>
      </c>
      <c r="G29" s="23" t="s">
        <v>34</v>
      </c>
      <c r="H29" s="23" t="s">
        <v>35</v>
      </c>
      <c r="I29" s="23" t="s">
        <v>36</v>
      </c>
      <c r="K29" s="6"/>
      <c r="L29" s="23" t="s">
        <v>22</v>
      </c>
      <c r="M29" s="23" t="s">
        <v>23</v>
      </c>
      <c r="N29" s="23" t="s">
        <v>25</v>
      </c>
      <c r="O29" s="23" t="s">
        <v>32</v>
      </c>
      <c r="P29" s="23" t="s">
        <v>33</v>
      </c>
      <c r="Q29" s="23" t="s">
        <v>34</v>
      </c>
      <c r="R29" s="23" t="s">
        <v>35</v>
      </c>
      <c r="S29" s="23" t="s">
        <v>36</v>
      </c>
    </row>
    <row r="30" spans="1:19" ht="15.75" thickBot="1" x14ac:dyDescent="0.3">
      <c r="A30" s="6" t="s">
        <v>10</v>
      </c>
      <c r="B30" s="87">
        <v>244153</v>
      </c>
      <c r="C30" s="87">
        <v>256764</v>
      </c>
      <c r="D30" s="87">
        <v>275294</v>
      </c>
      <c r="E30" s="87">
        <v>280788</v>
      </c>
      <c r="F30" s="88">
        <v>288834</v>
      </c>
      <c r="G30" s="6"/>
      <c r="H30" s="6"/>
      <c r="I30" s="6"/>
      <c r="K30" s="6" t="s">
        <v>10</v>
      </c>
      <c r="L30" s="2">
        <v>4312</v>
      </c>
      <c r="M30" s="5">
        <v>4440</v>
      </c>
      <c r="N30" s="5">
        <v>4507</v>
      </c>
      <c r="O30" s="5">
        <v>4442</v>
      </c>
      <c r="P30" s="88">
        <v>4429</v>
      </c>
      <c r="Q30" s="6"/>
      <c r="R30" s="6"/>
      <c r="S30" s="6"/>
    </row>
    <row r="31" spans="1:19" ht="15.75" thickBot="1" x14ac:dyDescent="0.3">
      <c r="A31" s="6"/>
      <c r="F31" s="5"/>
      <c r="G31" s="5"/>
      <c r="H31" s="5"/>
      <c r="I31" s="5"/>
      <c r="K31" s="6"/>
      <c r="L31" s="5"/>
      <c r="M31" s="5"/>
      <c r="N31" s="5"/>
      <c r="O31" s="5"/>
      <c r="P31" s="5"/>
      <c r="Q31" s="5"/>
      <c r="R31" s="5"/>
      <c r="S31" s="5"/>
    </row>
    <row r="32" spans="1:19" ht="15.75" thickBot="1" x14ac:dyDescent="0.3">
      <c r="A32" s="91" t="s">
        <v>52</v>
      </c>
      <c r="B32" s="91"/>
      <c r="C32" s="91"/>
      <c r="D32" s="91"/>
      <c r="E32" s="91"/>
      <c r="F32" s="91"/>
      <c r="G32" s="91"/>
      <c r="H32" s="91"/>
      <c r="I32" s="91"/>
      <c r="K32" s="91" t="s">
        <v>81</v>
      </c>
      <c r="L32" s="91"/>
      <c r="M32" s="91"/>
      <c r="N32" s="91"/>
      <c r="O32" s="91"/>
      <c r="P32" s="91"/>
      <c r="Q32" s="91"/>
      <c r="R32" s="91"/>
      <c r="S32" s="91"/>
    </row>
    <row r="33" spans="1:19" ht="15.75" thickBot="1" x14ac:dyDescent="0.3">
      <c r="A33" s="6"/>
      <c r="B33" s="60">
        <v>131424</v>
      </c>
      <c r="C33" s="60">
        <v>146444</v>
      </c>
      <c r="D33" s="61">
        <v>118413</v>
      </c>
      <c r="E33" s="60">
        <v>120703</v>
      </c>
      <c r="F33" s="5"/>
      <c r="G33" s="5"/>
      <c r="H33" s="5"/>
      <c r="I33" s="5"/>
      <c r="K33" s="6"/>
      <c r="L33" s="5">
        <v>4335</v>
      </c>
      <c r="M33" s="5">
        <v>4888</v>
      </c>
      <c r="N33" s="9">
        <v>4114</v>
      </c>
      <c r="O33" s="5">
        <v>4964</v>
      </c>
      <c r="P33" s="5"/>
      <c r="Q33" s="5"/>
      <c r="R33" s="5"/>
      <c r="S33" s="5"/>
    </row>
    <row r="34" spans="1:19" ht="15.75" thickBot="1" x14ac:dyDescent="0.3">
      <c r="A34" s="6" t="s">
        <v>11</v>
      </c>
      <c r="B34" s="5"/>
      <c r="C34" s="5"/>
      <c r="D34" s="5"/>
      <c r="E34" s="5"/>
      <c r="F34" s="5"/>
      <c r="G34" s="5"/>
      <c r="H34" s="5"/>
      <c r="I34" s="5"/>
      <c r="K34" s="6" t="s">
        <v>11</v>
      </c>
      <c r="L34" s="5"/>
      <c r="M34" s="5"/>
      <c r="N34" s="5"/>
      <c r="O34" s="5"/>
      <c r="P34" s="5"/>
      <c r="Q34" s="5"/>
      <c r="R34" s="5"/>
      <c r="S34" s="5"/>
    </row>
    <row r="35" spans="1:19" ht="15.75" thickBot="1" x14ac:dyDescent="0.3">
      <c r="A35" s="6"/>
      <c r="B35" s="5">
        <f>SUM(B30:B33)</f>
        <v>375577</v>
      </c>
      <c r="C35" s="5">
        <f>SUM(C30:C33)</f>
        <v>403208</v>
      </c>
      <c r="D35" s="5">
        <f>SUM(D30:D33)</f>
        <v>393707</v>
      </c>
      <c r="E35" s="5">
        <f>SUM(E30:E33)</f>
        <v>401491</v>
      </c>
      <c r="F35" s="5"/>
      <c r="G35" s="5"/>
      <c r="H35" s="5"/>
      <c r="I35" s="5"/>
      <c r="K35" s="6"/>
      <c r="L35" s="5">
        <v>8647</v>
      </c>
      <c r="M35" s="5">
        <v>9328</v>
      </c>
      <c r="N35" s="5">
        <v>8621</v>
      </c>
      <c r="O35" s="5">
        <v>9406</v>
      </c>
      <c r="P35" s="5"/>
      <c r="Q35" s="5"/>
      <c r="R35" s="5"/>
      <c r="S35" s="5"/>
    </row>
    <row r="36" spans="1:19" x14ac:dyDescent="0.25">
      <c r="A36" s="8"/>
      <c r="K36" s="8"/>
    </row>
    <row r="37" spans="1:19" ht="24.75" customHeight="1" x14ac:dyDescent="0.25">
      <c r="A37" s="92" t="s">
        <v>53</v>
      </c>
      <c r="B37" s="92"/>
      <c r="C37" s="92"/>
      <c r="D37" s="92"/>
      <c r="E37" s="92"/>
      <c r="F37" s="92"/>
      <c r="G37" s="92"/>
      <c r="H37" s="92"/>
      <c r="I37" s="92"/>
      <c r="K37" s="92" t="s">
        <v>82</v>
      </c>
      <c r="L37" s="92"/>
      <c r="M37" s="92"/>
      <c r="N37" s="92"/>
      <c r="O37" s="92"/>
      <c r="P37" s="92"/>
      <c r="Q37" s="92"/>
      <c r="R37" s="92"/>
      <c r="S37" s="92"/>
    </row>
  </sheetData>
  <mergeCells count="7">
    <mergeCell ref="K32:S32"/>
    <mergeCell ref="K37:S37"/>
    <mergeCell ref="A4:I4"/>
    <mergeCell ref="A1:I1"/>
    <mergeCell ref="A3:I3"/>
    <mergeCell ref="A32:I32"/>
    <mergeCell ref="A37:I37"/>
  </mergeCells>
  <printOptions horizontalCentered="1"/>
  <pageMargins left="0.7" right="0.7" top="1.25" bottom="0.75" header="0.3" footer="0.3"/>
  <pageSetup orientation="portrait" r:id="rId1"/>
  <headerFooter>
    <oddHeader>&amp;LDRAFT&amp;R&amp;G
&amp;"-,Bold Italic"Office of Institutional Research &amp;&amp; Effectiveness</oddHeader>
    <oddFooter>&amp;LMay 13, 2011</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zoomScaleNormal="100" workbookViewId="0">
      <selection activeCell="A2" sqref="A2"/>
    </sheetView>
  </sheetViews>
  <sheetFormatPr defaultRowHeight="15" x14ac:dyDescent="0.25"/>
  <cols>
    <col min="1" max="1" width="11.42578125" customWidth="1"/>
    <col min="2" max="9" width="9.7109375" customWidth="1"/>
    <col min="11" max="11" width="11.5703125" customWidth="1"/>
    <col min="12" max="19" width="9.7109375" customWidth="1"/>
  </cols>
  <sheetData>
    <row r="1" spans="1:19" ht="18.75" x14ac:dyDescent="0.3">
      <c r="A1" s="94" t="s">
        <v>1</v>
      </c>
      <c r="B1" s="94"/>
      <c r="C1" s="94"/>
      <c r="D1" s="94"/>
      <c r="E1" s="94"/>
      <c r="F1" s="94"/>
      <c r="G1" s="94"/>
      <c r="H1" s="94"/>
      <c r="I1" s="94"/>
      <c r="J1" s="24"/>
    </row>
    <row r="2" spans="1:19" x14ac:dyDescent="0.25">
      <c r="A2" s="24"/>
      <c r="B2" s="1"/>
      <c r="C2" s="1"/>
      <c r="D2" s="1"/>
      <c r="E2" s="1"/>
      <c r="F2" s="1"/>
      <c r="G2" s="1"/>
      <c r="H2" s="1"/>
      <c r="I2" s="1"/>
    </row>
    <row r="3" spans="1:19" ht="18" x14ac:dyDescent="0.25">
      <c r="A3" s="95" t="s">
        <v>54</v>
      </c>
      <c r="B3" s="95"/>
      <c r="C3" s="95"/>
      <c r="D3" s="95"/>
      <c r="E3" s="95"/>
      <c r="F3" s="95"/>
      <c r="G3" s="95"/>
      <c r="H3" s="95"/>
      <c r="I3" s="95"/>
    </row>
    <row r="4" spans="1:19" ht="50.25" customHeight="1" x14ac:dyDescent="0.25">
      <c r="A4" s="93" t="s">
        <v>0</v>
      </c>
      <c r="B4" s="93"/>
      <c r="C4" s="93"/>
      <c r="D4" s="93"/>
      <c r="E4" s="93"/>
      <c r="F4" s="93"/>
      <c r="G4" s="93"/>
      <c r="H4" s="93"/>
      <c r="I4" s="93"/>
    </row>
    <row r="5" spans="1:19" x14ac:dyDescent="0.25">
      <c r="O5" s="49"/>
    </row>
    <row r="6" spans="1:19" ht="15.75" thickBot="1" x14ac:dyDescent="0.3">
      <c r="E6" s="49" t="s">
        <v>21</v>
      </c>
      <c r="O6" s="49" t="s">
        <v>73</v>
      </c>
    </row>
    <row r="7" spans="1:19" ht="15.75" thickBot="1" x14ac:dyDescent="0.3">
      <c r="A7" s="6"/>
      <c r="B7" s="23" t="s">
        <v>22</v>
      </c>
      <c r="C7" s="23" t="s">
        <v>23</v>
      </c>
      <c r="D7" s="23" t="s">
        <v>25</v>
      </c>
      <c r="E7" s="23" t="s">
        <v>32</v>
      </c>
      <c r="F7" s="23" t="s">
        <v>33</v>
      </c>
      <c r="G7" s="23" t="s">
        <v>34</v>
      </c>
      <c r="H7" s="23" t="s">
        <v>35</v>
      </c>
      <c r="I7" s="23" t="s">
        <v>36</v>
      </c>
      <c r="K7" s="6"/>
      <c r="L7" s="23" t="s">
        <v>22</v>
      </c>
      <c r="M7" s="23" t="s">
        <v>23</v>
      </c>
      <c r="N7" s="23" t="s">
        <v>25</v>
      </c>
      <c r="O7" s="23" t="s">
        <v>32</v>
      </c>
      <c r="P7" s="23" t="s">
        <v>33</v>
      </c>
      <c r="Q7" s="23" t="s">
        <v>34</v>
      </c>
      <c r="R7" s="23" t="s">
        <v>35</v>
      </c>
      <c r="S7" s="23" t="s">
        <v>36</v>
      </c>
    </row>
    <row r="8" spans="1:19" ht="15.75" thickBot="1" x14ac:dyDescent="0.3">
      <c r="A8" s="6" t="s">
        <v>84</v>
      </c>
      <c r="B8" s="62">
        <v>115909</v>
      </c>
      <c r="C8" s="62">
        <v>155501</v>
      </c>
      <c r="D8" s="62">
        <v>183649</v>
      </c>
      <c r="E8" s="62">
        <v>191602</v>
      </c>
      <c r="F8" s="5"/>
      <c r="G8" s="5"/>
      <c r="H8" s="5"/>
      <c r="I8" s="5"/>
      <c r="K8" s="6" t="s">
        <v>84</v>
      </c>
      <c r="L8" s="5">
        <v>2266</v>
      </c>
      <c r="M8" s="5">
        <v>2900</v>
      </c>
      <c r="N8" s="5">
        <v>3344</v>
      </c>
      <c r="O8" s="5">
        <v>3696</v>
      </c>
      <c r="P8" s="5"/>
      <c r="Q8" s="5"/>
      <c r="R8" s="5"/>
      <c r="S8" s="5"/>
    </row>
    <row r="9" spans="1:19" ht="15" customHeight="1" x14ac:dyDescent="0.25">
      <c r="A9" s="102"/>
      <c r="B9" s="102"/>
      <c r="C9" s="102"/>
      <c r="D9" s="102"/>
      <c r="E9" s="102"/>
      <c r="F9" s="102"/>
      <c r="G9" s="102"/>
      <c r="H9" s="102"/>
      <c r="I9" s="102"/>
      <c r="K9" s="102"/>
      <c r="L9" s="102"/>
      <c r="M9" s="102"/>
      <c r="N9" s="102"/>
      <c r="O9" s="102"/>
      <c r="P9" s="102"/>
      <c r="Q9" s="102"/>
      <c r="R9" s="102"/>
      <c r="S9" s="102"/>
    </row>
    <row r="10" spans="1:19" x14ac:dyDescent="0.25">
      <c r="B10" s="3">
        <v>150627</v>
      </c>
      <c r="C10" s="3">
        <v>150627</v>
      </c>
      <c r="D10" s="3">
        <v>150627</v>
      </c>
      <c r="E10" s="3">
        <v>150627</v>
      </c>
      <c r="F10" s="3">
        <v>150627</v>
      </c>
      <c r="G10" s="3">
        <v>150627</v>
      </c>
      <c r="H10" s="3">
        <v>150627</v>
      </c>
      <c r="I10" s="3">
        <v>150627</v>
      </c>
    </row>
    <row r="28" spans="1:19" ht="15.75" thickBot="1" x14ac:dyDescent="0.3"/>
    <row r="29" spans="1:19" ht="15.75" thickBot="1" x14ac:dyDescent="0.3">
      <c r="A29" s="26" t="s">
        <v>21</v>
      </c>
      <c r="B29" s="23" t="s">
        <v>22</v>
      </c>
      <c r="C29" s="23" t="s">
        <v>23</v>
      </c>
      <c r="D29" s="23" t="s">
        <v>25</v>
      </c>
      <c r="E29" s="23" t="s">
        <v>32</v>
      </c>
      <c r="F29" s="23" t="s">
        <v>33</v>
      </c>
      <c r="G29" s="23" t="s">
        <v>34</v>
      </c>
      <c r="H29" s="23" t="s">
        <v>35</v>
      </c>
      <c r="I29" s="23" t="s">
        <v>36</v>
      </c>
      <c r="K29" s="26" t="s">
        <v>73</v>
      </c>
      <c r="L29" s="23" t="s">
        <v>22</v>
      </c>
      <c r="M29" s="23" t="s">
        <v>23</v>
      </c>
      <c r="N29" s="23" t="s">
        <v>25</v>
      </c>
      <c r="O29" s="23" t="s">
        <v>32</v>
      </c>
      <c r="P29" s="23" t="s">
        <v>33</v>
      </c>
      <c r="Q29" s="23" t="s">
        <v>34</v>
      </c>
      <c r="R29" s="23" t="s">
        <v>35</v>
      </c>
      <c r="S29" s="23" t="s">
        <v>36</v>
      </c>
    </row>
    <row r="30" spans="1:19" ht="15.75" thickBot="1" x14ac:dyDescent="0.3">
      <c r="A30" s="6" t="s">
        <v>10</v>
      </c>
      <c r="C30" s="6"/>
      <c r="D30" s="6"/>
      <c r="E30" s="6"/>
      <c r="F30" s="6"/>
      <c r="G30" s="6"/>
      <c r="H30" s="6"/>
      <c r="I30" s="6"/>
      <c r="K30" s="6" t="s">
        <v>10</v>
      </c>
      <c r="M30" s="6"/>
      <c r="N30" s="6"/>
      <c r="O30" s="6"/>
      <c r="P30" s="6"/>
      <c r="Q30" s="6"/>
      <c r="R30" s="6"/>
      <c r="S30" s="6"/>
    </row>
    <row r="31" spans="1:19" ht="15.75" thickBot="1" x14ac:dyDescent="0.3">
      <c r="A31" s="6"/>
      <c r="B31" s="63">
        <v>115909</v>
      </c>
      <c r="C31" s="63">
        <v>131461</v>
      </c>
      <c r="D31" s="63">
        <v>163815</v>
      </c>
      <c r="E31" s="63">
        <v>175132</v>
      </c>
      <c r="F31" s="5"/>
      <c r="G31" s="5"/>
      <c r="H31" s="5"/>
      <c r="I31" s="5"/>
      <c r="K31" s="6"/>
      <c r="L31" s="5">
        <v>2266</v>
      </c>
      <c r="M31" s="5">
        <v>2400</v>
      </c>
      <c r="N31" s="5">
        <v>2787</v>
      </c>
      <c r="O31" s="5">
        <v>2995</v>
      </c>
      <c r="P31" s="5"/>
      <c r="Q31" s="5"/>
      <c r="R31" s="5"/>
      <c r="S31" s="5"/>
    </row>
    <row r="32" spans="1:19" ht="15.75" thickBot="1" x14ac:dyDescent="0.3">
      <c r="A32" s="91" t="s">
        <v>55</v>
      </c>
      <c r="B32" s="91"/>
      <c r="C32" s="91"/>
      <c r="D32" s="91"/>
      <c r="E32" s="91"/>
      <c r="F32" s="91"/>
      <c r="G32" s="91"/>
      <c r="H32" s="91"/>
      <c r="I32" s="91"/>
      <c r="K32" s="91" t="s">
        <v>55</v>
      </c>
      <c r="L32" s="91"/>
      <c r="M32" s="91"/>
      <c r="N32" s="91"/>
      <c r="O32" s="91"/>
      <c r="P32" s="91"/>
      <c r="Q32" s="91"/>
      <c r="R32" s="91"/>
      <c r="S32" s="91"/>
    </row>
    <row r="33" spans="1:19" ht="15.75" thickBot="1" x14ac:dyDescent="0.3">
      <c r="A33" s="6"/>
      <c r="B33" s="9" t="s">
        <v>48</v>
      </c>
      <c r="C33" s="64">
        <v>24040</v>
      </c>
      <c r="D33" s="65">
        <v>19834</v>
      </c>
      <c r="E33" s="64">
        <v>16470</v>
      </c>
      <c r="F33" s="5"/>
      <c r="G33" s="5"/>
      <c r="H33" s="5"/>
      <c r="I33" s="5"/>
      <c r="K33" s="6"/>
      <c r="L33" s="9" t="s">
        <v>48</v>
      </c>
      <c r="M33" s="5">
        <v>500</v>
      </c>
      <c r="N33" s="9">
        <v>557</v>
      </c>
      <c r="O33" s="5">
        <v>701</v>
      </c>
      <c r="P33" s="5"/>
      <c r="Q33" s="5"/>
      <c r="R33" s="5"/>
      <c r="S33" s="5"/>
    </row>
    <row r="34" spans="1:19" ht="15.75" thickBot="1" x14ac:dyDescent="0.3">
      <c r="A34" s="6" t="s">
        <v>11</v>
      </c>
      <c r="B34" s="5"/>
      <c r="C34" s="5"/>
      <c r="D34" s="5"/>
      <c r="E34" s="5"/>
      <c r="F34" s="5"/>
      <c r="G34" s="5"/>
      <c r="H34" s="5"/>
      <c r="I34" s="5"/>
      <c r="K34" s="6" t="s">
        <v>11</v>
      </c>
      <c r="L34" s="5"/>
      <c r="M34" s="5"/>
      <c r="N34" s="5"/>
      <c r="O34" s="5"/>
      <c r="P34" s="5"/>
      <c r="Q34" s="5"/>
      <c r="R34" s="5"/>
      <c r="S34" s="5"/>
    </row>
    <row r="35" spans="1:19" ht="15.75" thickBot="1" x14ac:dyDescent="0.3">
      <c r="A35" s="6"/>
      <c r="B35" s="66">
        <v>115909</v>
      </c>
      <c r="C35" s="66">
        <v>155501</v>
      </c>
      <c r="D35" s="66">
        <v>183649</v>
      </c>
      <c r="E35" s="66">
        <v>191602</v>
      </c>
      <c r="F35" s="5"/>
      <c r="G35" s="5"/>
      <c r="H35" s="5"/>
      <c r="I35" s="5"/>
      <c r="K35" s="6"/>
      <c r="L35" s="67">
        <v>2266</v>
      </c>
      <c r="M35" s="67">
        <v>2900</v>
      </c>
      <c r="N35" s="67">
        <v>3344</v>
      </c>
      <c r="O35" s="67">
        <v>3696</v>
      </c>
      <c r="P35" s="5"/>
      <c r="Q35" s="5"/>
      <c r="R35" s="5"/>
      <c r="S35" s="5"/>
    </row>
    <row r="36" spans="1:19" ht="12" customHeight="1" x14ac:dyDescent="0.25"/>
    <row r="37" spans="1:19" ht="54.75" customHeight="1" x14ac:dyDescent="0.25">
      <c r="A37" s="92" t="s">
        <v>85</v>
      </c>
      <c r="B37" s="92"/>
      <c r="C37" s="92"/>
      <c r="D37" s="92"/>
      <c r="E37" s="92"/>
      <c r="F37" s="92"/>
      <c r="G37" s="92"/>
      <c r="H37" s="92"/>
      <c r="I37" s="92"/>
      <c r="K37" s="92" t="s">
        <v>85</v>
      </c>
      <c r="L37" s="92"/>
      <c r="M37" s="92"/>
      <c r="N37" s="92"/>
      <c r="O37" s="92"/>
      <c r="P37" s="92"/>
      <c r="Q37" s="92"/>
      <c r="R37" s="92"/>
      <c r="S37" s="92"/>
    </row>
    <row r="39" spans="1:19" ht="15.75" thickBot="1" x14ac:dyDescent="0.3">
      <c r="K39" s="105" t="s">
        <v>78</v>
      </c>
      <c r="L39" s="105"/>
      <c r="M39" s="105"/>
      <c r="N39" s="105"/>
      <c r="O39" s="105"/>
      <c r="P39" s="105"/>
      <c r="Q39" s="105"/>
      <c r="R39" s="105"/>
    </row>
    <row r="40" spans="1:19" ht="15.75" thickBot="1" x14ac:dyDescent="0.3">
      <c r="K40" s="103" t="s">
        <v>73</v>
      </c>
      <c r="L40" s="104" t="s">
        <v>12</v>
      </c>
      <c r="M40" s="104" t="s">
        <v>13</v>
      </c>
      <c r="N40" s="104" t="s">
        <v>14</v>
      </c>
      <c r="O40" s="104" t="s">
        <v>15</v>
      </c>
      <c r="P40" s="104" t="s">
        <v>39</v>
      </c>
      <c r="Q40" s="104" t="s">
        <v>17</v>
      </c>
      <c r="R40" s="104"/>
    </row>
    <row r="41" spans="1:19" ht="15.75" thickBot="1" x14ac:dyDescent="0.3">
      <c r="K41" s="103"/>
      <c r="L41" s="104"/>
      <c r="M41" s="104"/>
      <c r="N41" s="104"/>
      <c r="O41" s="104"/>
      <c r="P41" s="104"/>
      <c r="Q41" s="48" t="s">
        <v>18</v>
      </c>
      <c r="R41" s="48" t="s">
        <v>19</v>
      </c>
    </row>
    <row r="42" spans="1:19" ht="15.75" thickBot="1" x14ac:dyDescent="0.3">
      <c r="K42" s="50" t="s">
        <v>74</v>
      </c>
      <c r="L42" s="4">
        <v>979</v>
      </c>
      <c r="M42" s="9">
        <v>1598</v>
      </c>
      <c r="N42" s="4">
        <v>103</v>
      </c>
      <c r="O42" s="4" t="s">
        <v>20</v>
      </c>
      <c r="P42" s="9">
        <v>4312</v>
      </c>
      <c r="Q42" s="9">
        <v>2268</v>
      </c>
      <c r="R42" s="32">
        <v>0.52600000000000002</v>
      </c>
    </row>
    <row r="43" spans="1:19" ht="15.75" thickBot="1" x14ac:dyDescent="0.3">
      <c r="K43" s="7" t="s">
        <v>75</v>
      </c>
      <c r="L43" s="9">
        <v>1007</v>
      </c>
      <c r="M43" s="9">
        <v>1544</v>
      </c>
      <c r="N43" s="4">
        <v>122</v>
      </c>
      <c r="O43" s="4">
        <v>380</v>
      </c>
      <c r="P43" s="9">
        <v>4440</v>
      </c>
      <c r="Q43" s="9">
        <v>2400</v>
      </c>
      <c r="R43" s="32">
        <v>0.54100000000000004</v>
      </c>
    </row>
    <row r="44" spans="1:19" ht="15.75" thickBot="1" x14ac:dyDescent="0.3">
      <c r="K44" s="6" t="s">
        <v>76</v>
      </c>
      <c r="L44" s="9">
        <v>1063</v>
      </c>
      <c r="M44" s="9">
        <v>1857</v>
      </c>
      <c r="N44" s="4">
        <v>155</v>
      </c>
      <c r="O44" s="4">
        <v>780</v>
      </c>
      <c r="P44" s="9">
        <v>4507</v>
      </c>
      <c r="Q44" s="9">
        <v>2787</v>
      </c>
      <c r="R44" s="32">
        <v>0.61799999999999999</v>
      </c>
    </row>
    <row r="45" spans="1:19" ht="15.75" thickBot="1" x14ac:dyDescent="0.3">
      <c r="K45" s="89" t="s">
        <v>77</v>
      </c>
      <c r="L45" s="9">
        <v>959</v>
      </c>
      <c r="M45" s="9">
        <v>2087</v>
      </c>
      <c r="N45" s="9">
        <v>145</v>
      </c>
      <c r="O45" s="9">
        <v>1058</v>
      </c>
      <c r="P45" s="9">
        <v>4442</v>
      </c>
      <c r="Q45" s="9">
        <v>2995</v>
      </c>
      <c r="R45" s="32">
        <v>0.67400000000000004</v>
      </c>
    </row>
    <row r="46" spans="1:19" x14ac:dyDescent="0.25">
      <c r="K46" s="51"/>
    </row>
    <row r="48" spans="1:19" x14ac:dyDescent="0.25">
      <c r="N48" s="20"/>
    </row>
    <row r="49" spans="11:17" x14ac:dyDescent="0.25">
      <c r="K49" s="99" t="s">
        <v>38</v>
      </c>
      <c r="L49" s="99"/>
      <c r="M49" s="99"/>
      <c r="N49" s="99"/>
      <c r="O49" s="99"/>
      <c r="P49" s="99"/>
      <c r="Q49" s="99"/>
    </row>
    <row r="50" spans="11:17" x14ac:dyDescent="0.25">
      <c r="K50" s="99" t="s">
        <v>79</v>
      </c>
      <c r="L50" s="99"/>
      <c r="M50" s="99"/>
      <c r="N50" s="99"/>
      <c r="O50" s="99"/>
      <c r="P50" s="99"/>
      <c r="Q50" s="99"/>
    </row>
    <row r="51" spans="11:17" ht="15.75" thickBot="1" x14ac:dyDescent="0.3">
      <c r="L51" s="20"/>
      <c r="M51" s="20"/>
      <c r="N51" s="20"/>
      <c r="O51" s="20"/>
      <c r="P51" s="20"/>
      <c r="Q51" s="20"/>
    </row>
    <row r="52" spans="11:17" ht="15.75" thickBot="1" x14ac:dyDescent="0.3">
      <c r="K52" s="100" t="s">
        <v>73</v>
      </c>
      <c r="L52" s="101" t="s">
        <v>12</v>
      </c>
      <c r="M52" s="101" t="s">
        <v>14</v>
      </c>
      <c r="N52" s="101" t="s">
        <v>40</v>
      </c>
      <c r="O52" s="101" t="s">
        <v>16</v>
      </c>
      <c r="P52" s="101" t="s">
        <v>17</v>
      </c>
      <c r="Q52" s="101"/>
    </row>
    <row r="53" spans="11:17" ht="45.75" thickBot="1" x14ac:dyDescent="0.3">
      <c r="K53" s="100"/>
      <c r="L53" s="101"/>
      <c r="M53" s="101"/>
      <c r="N53" s="101"/>
      <c r="O53" s="101"/>
      <c r="P53" s="46" t="s">
        <v>18</v>
      </c>
      <c r="Q53" s="46" t="s">
        <v>41</v>
      </c>
    </row>
    <row r="54" spans="11:17" ht="15.75" thickBot="1" x14ac:dyDescent="0.3">
      <c r="K54" s="50" t="s">
        <v>74</v>
      </c>
      <c r="L54" s="96" t="s">
        <v>37</v>
      </c>
      <c r="M54" s="97"/>
      <c r="N54" s="97"/>
      <c r="O54" s="97"/>
      <c r="P54" s="97"/>
      <c r="Q54" s="98"/>
    </row>
    <row r="55" spans="11:17" ht="15.75" thickBot="1" x14ac:dyDescent="0.3">
      <c r="K55" s="6" t="s">
        <v>75</v>
      </c>
      <c r="L55" s="34">
        <v>478</v>
      </c>
      <c r="M55" s="34">
        <v>28</v>
      </c>
      <c r="N55" s="34">
        <v>2273</v>
      </c>
      <c r="O55" s="34">
        <v>2273</v>
      </c>
      <c r="P55" s="34">
        <v>500</v>
      </c>
      <c r="Q55" s="33">
        <v>0.22</v>
      </c>
    </row>
    <row r="56" spans="11:17" ht="15.75" thickBot="1" x14ac:dyDescent="0.3">
      <c r="K56" s="6" t="s">
        <v>76</v>
      </c>
      <c r="L56" s="34">
        <v>538</v>
      </c>
      <c r="M56" s="34">
        <v>43</v>
      </c>
      <c r="N56" s="34">
        <v>2442</v>
      </c>
      <c r="O56" s="34">
        <v>2442</v>
      </c>
      <c r="P56" s="34">
        <v>557</v>
      </c>
      <c r="Q56" s="33">
        <v>0.22800000000000001</v>
      </c>
    </row>
    <row r="57" spans="11:17" ht="15.75" thickBot="1" x14ac:dyDescent="0.3">
      <c r="K57" s="6" t="s">
        <v>77</v>
      </c>
      <c r="L57" s="35">
        <v>696</v>
      </c>
      <c r="M57" s="35">
        <v>7</v>
      </c>
      <c r="N57" s="35">
        <v>2899</v>
      </c>
      <c r="O57" s="35">
        <v>2899</v>
      </c>
      <c r="P57" s="35">
        <v>701</v>
      </c>
      <c r="Q57" s="30">
        <v>0.24199999999999999</v>
      </c>
    </row>
    <row r="58" spans="11:17" x14ac:dyDescent="0.25">
      <c r="K58" s="51"/>
    </row>
  </sheetData>
  <mergeCells count="26">
    <mergeCell ref="A1:I1"/>
    <mergeCell ref="A3:I3"/>
    <mergeCell ref="A4:I4"/>
    <mergeCell ref="A37:I37"/>
    <mergeCell ref="A32:I32"/>
    <mergeCell ref="A9:I9"/>
    <mergeCell ref="K9:S9"/>
    <mergeCell ref="K32:S32"/>
    <mergeCell ref="K37:S37"/>
    <mergeCell ref="K40:K41"/>
    <mergeCell ref="L40:L41"/>
    <mergeCell ref="M40:M41"/>
    <mergeCell ref="N40:N41"/>
    <mergeCell ref="O40:O41"/>
    <mergeCell ref="P40:P41"/>
    <mergeCell ref="Q40:R40"/>
    <mergeCell ref="K39:R39"/>
    <mergeCell ref="L54:Q54"/>
    <mergeCell ref="K49:Q49"/>
    <mergeCell ref="K50:Q50"/>
    <mergeCell ref="K52:K53"/>
    <mergeCell ref="L52:L53"/>
    <mergeCell ref="M52:M53"/>
    <mergeCell ref="N52:N53"/>
    <mergeCell ref="O52:O53"/>
    <mergeCell ref="P52:Q52"/>
  </mergeCells>
  <printOptions horizontalCentered="1"/>
  <pageMargins left="0.7" right="0.7" top="1.25" bottom="0.75" header="0.3" footer="0.3"/>
  <pageSetup orientation="portrait" r:id="rId1"/>
  <headerFooter>
    <oddHeader>&amp;R&amp;G
&amp;"-,Bold Italic"Office of Institutional Research &amp;&amp; Effectiveness</oddHeader>
    <oddFooter>&amp;LMay 13, 2011</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topLeftCell="A4" zoomScaleNormal="100" workbookViewId="0">
      <selection activeCell="B10" sqref="B10:F10"/>
    </sheetView>
  </sheetViews>
  <sheetFormatPr defaultRowHeight="15" x14ac:dyDescent="0.25"/>
  <cols>
    <col min="1" max="1" width="16.42578125" customWidth="1"/>
    <col min="2" max="5" width="9.7109375" customWidth="1"/>
    <col min="6" max="6" width="10" customWidth="1"/>
    <col min="7" max="9" width="9.7109375" customWidth="1"/>
  </cols>
  <sheetData>
    <row r="1" spans="1:9" ht="18.75" x14ac:dyDescent="0.3">
      <c r="A1" s="94" t="s">
        <v>1</v>
      </c>
      <c r="B1" s="94"/>
      <c r="C1" s="94"/>
      <c r="D1" s="94"/>
      <c r="E1" s="94"/>
      <c r="F1" s="94"/>
      <c r="G1" s="94"/>
      <c r="H1" s="94"/>
      <c r="I1" s="94"/>
    </row>
    <row r="2" spans="1:9" x14ac:dyDescent="0.25">
      <c r="A2" s="1"/>
      <c r="B2" s="1"/>
      <c r="C2" s="1"/>
      <c r="D2" s="1"/>
      <c r="E2" s="1"/>
      <c r="F2" s="1"/>
      <c r="G2" s="1"/>
      <c r="H2" s="1"/>
      <c r="I2" s="1"/>
    </row>
    <row r="3" spans="1:9" ht="15.75" x14ac:dyDescent="0.25">
      <c r="A3" s="95" t="s">
        <v>30</v>
      </c>
      <c r="B3" s="95"/>
      <c r="C3" s="95"/>
      <c r="D3" s="95"/>
      <c r="E3" s="95"/>
      <c r="F3" s="95"/>
      <c r="G3" s="95"/>
      <c r="H3" s="95"/>
      <c r="I3" s="95"/>
    </row>
    <row r="4" spans="1:9" ht="45.75" customHeight="1" x14ac:dyDescent="0.25">
      <c r="A4" s="93" t="s">
        <v>31</v>
      </c>
      <c r="B4" s="93"/>
      <c r="C4" s="93"/>
      <c r="D4" s="93"/>
      <c r="E4" s="93"/>
      <c r="F4" s="93"/>
      <c r="G4" s="93"/>
      <c r="H4" s="93"/>
      <c r="I4" s="93"/>
    </row>
    <row r="6" spans="1:9" ht="15.75" thickBot="1" x14ac:dyDescent="0.3"/>
    <row r="7" spans="1:9" s="11" customFormat="1" ht="18.75" customHeight="1" thickBot="1" x14ac:dyDescent="0.3">
      <c r="A7" s="40"/>
      <c r="B7" s="41" t="s">
        <v>22</v>
      </c>
      <c r="C7" s="41" t="s">
        <v>23</v>
      </c>
      <c r="D7" s="41" t="s">
        <v>25</v>
      </c>
      <c r="E7" s="41" t="s">
        <v>32</v>
      </c>
      <c r="F7" s="41" t="s">
        <v>33</v>
      </c>
      <c r="G7" s="41" t="s">
        <v>34</v>
      </c>
      <c r="H7" s="41" t="s">
        <v>35</v>
      </c>
      <c r="I7" s="41" t="s">
        <v>36</v>
      </c>
    </row>
    <row r="8" spans="1:9" ht="18" thickBot="1" x14ac:dyDescent="0.3">
      <c r="A8" s="42" t="s">
        <v>69</v>
      </c>
      <c r="B8" s="38">
        <v>7083</v>
      </c>
      <c r="C8" s="38">
        <v>7582</v>
      </c>
      <c r="D8" s="38">
        <v>7984</v>
      </c>
      <c r="E8" s="38">
        <v>8830</v>
      </c>
      <c r="F8" s="38">
        <v>9536</v>
      </c>
      <c r="G8" s="38"/>
      <c r="H8" s="38"/>
      <c r="I8" s="42"/>
    </row>
    <row r="9" spans="1:9" ht="18" customHeight="1" thickBot="1" x14ac:dyDescent="0.3">
      <c r="A9" s="42" t="s">
        <v>21</v>
      </c>
      <c r="B9" s="38">
        <v>2404</v>
      </c>
      <c r="C9" s="38">
        <v>2584</v>
      </c>
      <c r="D9" s="38">
        <v>3000</v>
      </c>
      <c r="E9" s="38">
        <v>3225</v>
      </c>
      <c r="F9" s="38">
        <v>3570</v>
      </c>
      <c r="G9" s="38"/>
      <c r="H9" s="38"/>
      <c r="I9" s="42"/>
    </row>
    <row r="10" spans="1:9" ht="34.5" customHeight="1" thickBot="1" x14ac:dyDescent="0.3">
      <c r="A10" s="43" t="s">
        <v>49</v>
      </c>
      <c r="B10" s="68">
        <v>0.33940420725681208</v>
      </c>
      <c r="C10" s="68">
        <v>0.34080717488789236</v>
      </c>
      <c r="D10" s="68">
        <v>0.37575150300601201</v>
      </c>
      <c r="E10" s="68">
        <v>0.36523216308040768</v>
      </c>
      <c r="F10" s="68">
        <v>0.37437080536912754</v>
      </c>
      <c r="G10" s="44"/>
      <c r="H10" s="44"/>
      <c r="I10" s="42"/>
    </row>
    <row r="11" spans="1:9" x14ac:dyDescent="0.25">
      <c r="A11" s="27" t="s">
        <v>70</v>
      </c>
      <c r="B11" s="12"/>
      <c r="C11" s="13"/>
      <c r="D11" s="13"/>
      <c r="E11" s="13"/>
      <c r="F11" s="13"/>
      <c r="G11" s="13"/>
      <c r="H11" s="13"/>
      <c r="I11" s="3"/>
    </row>
    <row r="12" spans="1:9" x14ac:dyDescent="0.25">
      <c r="A12" s="39" t="s">
        <v>68</v>
      </c>
      <c r="B12" s="15"/>
      <c r="C12" s="3"/>
      <c r="D12" s="3"/>
      <c r="E12" s="3"/>
      <c r="F12" s="3"/>
      <c r="G12" s="3"/>
      <c r="H12" s="3"/>
      <c r="I12" s="3"/>
    </row>
    <row r="13" spans="1:9" x14ac:dyDescent="0.25">
      <c r="A13" s="14"/>
      <c r="B13" s="15"/>
      <c r="C13" s="3"/>
      <c r="D13" s="3"/>
      <c r="E13" s="3"/>
      <c r="F13" s="3"/>
      <c r="G13" s="3"/>
      <c r="H13" s="3"/>
      <c r="I13" s="3"/>
    </row>
    <row r="14" spans="1:9" x14ac:dyDescent="0.25">
      <c r="A14" s="14"/>
      <c r="B14" s="15"/>
      <c r="C14" s="3"/>
      <c r="D14" s="3"/>
      <c r="E14" s="3"/>
      <c r="F14" s="3"/>
      <c r="G14" s="3"/>
      <c r="H14" s="3"/>
      <c r="I14" s="3"/>
    </row>
    <row r="34" spans="1:9" ht="28.5" customHeight="1" x14ac:dyDescent="0.25">
      <c r="A34" s="106" t="s">
        <v>58</v>
      </c>
      <c r="B34" s="106"/>
      <c r="C34" s="106"/>
      <c r="D34" s="106"/>
      <c r="E34" s="106"/>
      <c r="F34" s="106"/>
      <c r="G34" s="106"/>
      <c r="H34" s="106"/>
      <c r="I34" s="106"/>
    </row>
    <row r="35" spans="1:9" x14ac:dyDescent="0.25">
      <c r="A35" s="16"/>
      <c r="B35" s="16"/>
      <c r="C35" s="16"/>
      <c r="D35" s="16"/>
      <c r="E35" s="16"/>
      <c r="F35" s="16"/>
      <c r="G35" s="16"/>
      <c r="H35" s="16"/>
      <c r="I35" s="16"/>
    </row>
    <row r="36" spans="1:9" x14ac:dyDescent="0.25">
      <c r="A36" s="16"/>
      <c r="B36" s="17"/>
      <c r="C36" s="17"/>
      <c r="D36" s="17"/>
      <c r="E36" s="17"/>
      <c r="F36" s="17"/>
      <c r="G36" s="17"/>
      <c r="H36" s="17"/>
      <c r="I36" s="17"/>
    </row>
    <row r="37" spans="1:9" x14ac:dyDescent="0.25">
      <c r="A37" s="18"/>
      <c r="B37" s="18"/>
      <c r="C37" s="18"/>
      <c r="D37" s="18"/>
      <c r="E37" s="18"/>
      <c r="F37" s="18"/>
      <c r="G37" s="18"/>
      <c r="H37" s="18"/>
      <c r="I37" s="18"/>
    </row>
    <row r="38" spans="1:9" x14ac:dyDescent="0.25">
      <c r="A38" s="16"/>
      <c r="B38" s="17"/>
      <c r="C38" s="17"/>
      <c r="D38" s="17"/>
      <c r="E38" s="17"/>
      <c r="F38" s="17"/>
      <c r="G38" s="17"/>
      <c r="H38" s="17"/>
      <c r="I38" s="17"/>
    </row>
    <row r="39" spans="1:9" x14ac:dyDescent="0.25">
      <c r="A39" s="16"/>
      <c r="B39" s="17"/>
      <c r="C39" s="17"/>
      <c r="D39" s="17"/>
      <c r="E39" s="17"/>
      <c r="F39" s="17"/>
      <c r="G39" s="17"/>
      <c r="H39" s="17"/>
      <c r="I39" s="17"/>
    </row>
    <row r="40" spans="1:9" x14ac:dyDescent="0.25">
      <c r="A40" s="16"/>
      <c r="B40" s="17"/>
      <c r="C40" s="17"/>
      <c r="D40" s="17"/>
      <c r="E40" s="17"/>
      <c r="F40" s="17"/>
      <c r="G40" s="17"/>
      <c r="H40" s="17"/>
      <c r="I40" s="17"/>
    </row>
  </sheetData>
  <mergeCells count="4">
    <mergeCell ref="A1:I1"/>
    <mergeCell ref="A3:I3"/>
    <mergeCell ref="A4:I4"/>
    <mergeCell ref="A34:I34"/>
  </mergeCells>
  <printOptions horizontalCentered="1"/>
  <pageMargins left="0.5" right="0.5" top="1.25" bottom="0.75" header="0.3" footer="0.3"/>
  <pageSetup orientation="portrait" r:id="rId1"/>
  <headerFooter>
    <oddHeader>&amp;R&amp;G
&amp;"-,Bold Italic"Office of Institutional Research &amp;&amp; Effectiveness</oddHeader>
    <oddFooter>&amp;LMay 13, 2011</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
  <sheetViews>
    <sheetView workbookViewId="0">
      <selection activeCell="A2" sqref="A2"/>
    </sheetView>
  </sheetViews>
  <sheetFormatPr defaultRowHeight="15" x14ac:dyDescent="0.25"/>
  <cols>
    <col min="1" max="1" width="11.28515625" customWidth="1"/>
    <col min="2" max="4" width="9.7109375" customWidth="1"/>
    <col min="5" max="5" width="10" customWidth="1"/>
    <col min="6" max="9" width="9.7109375" customWidth="1"/>
    <col min="11" max="11" width="12.28515625" customWidth="1"/>
    <col min="12" max="12" width="12" customWidth="1"/>
    <col min="13" max="14" width="13" customWidth="1"/>
    <col min="15" max="15" width="14" customWidth="1"/>
    <col min="16" max="18" width="13" customWidth="1"/>
  </cols>
  <sheetData>
    <row r="1" spans="1:18" ht="18.75" x14ac:dyDescent="0.3">
      <c r="A1" s="94" t="s">
        <v>1</v>
      </c>
      <c r="B1" s="94"/>
      <c r="C1" s="94"/>
      <c r="D1" s="94"/>
      <c r="E1" s="94"/>
      <c r="F1" s="94"/>
      <c r="G1" s="94"/>
      <c r="H1" s="94"/>
      <c r="I1" s="94"/>
    </row>
    <row r="2" spans="1:18" x14ac:dyDescent="0.25">
      <c r="A2" s="1"/>
      <c r="B2" s="1"/>
      <c r="C2" s="1"/>
      <c r="D2" s="1"/>
      <c r="E2" s="1"/>
      <c r="F2" s="1"/>
      <c r="G2" s="1"/>
      <c r="H2" s="1"/>
      <c r="I2" s="1"/>
    </row>
    <row r="3" spans="1:18" ht="15.75" x14ac:dyDescent="0.25">
      <c r="A3" s="95" t="s">
        <v>30</v>
      </c>
      <c r="B3" s="95"/>
      <c r="C3" s="95"/>
      <c r="D3" s="95"/>
      <c r="E3" s="95"/>
      <c r="F3" s="95"/>
      <c r="G3" s="95"/>
      <c r="H3" s="95"/>
      <c r="I3" s="95"/>
    </row>
    <row r="4" spans="1:18" ht="45.75" customHeight="1" x14ac:dyDescent="0.25">
      <c r="A4" s="93" t="s">
        <v>31</v>
      </c>
      <c r="B4" s="93"/>
      <c r="C4" s="93"/>
      <c r="D4" s="93"/>
      <c r="E4" s="93"/>
      <c r="F4" s="93"/>
      <c r="G4" s="93"/>
      <c r="H4" s="93"/>
      <c r="I4" s="93"/>
    </row>
    <row r="6" spans="1:18" ht="15.75" thickBot="1" x14ac:dyDescent="0.3"/>
    <row r="7" spans="1:18" ht="15.75" thickBot="1" x14ac:dyDescent="0.3">
      <c r="A7" s="7"/>
      <c r="B7" s="23" t="s">
        <v>22</v>
      </c>
      <c r="C7" s="23" t="s">
        <v>23</v>
      </c>
      <c r="D7" s="23" t="s">
        <v>25</v>
      </c>
      <c r="E7" s="23" t="s">
        <v>32</v>
      </c>
      <c r="F7" s="23" t="s">
        <v>33</v>
      </c>
      <c r="G7" s="23" t="s">
        <v>34</v>
      </c>
      <c r="H7" s="23" t="s">
        <v>35</v>
      </c>
      <c r="I7" s="23" t="s">
        <v>36</v>
      </c>
      <c r="K7" s="107" t="s">
        <v>50</v>
      </c>
      <c r="L7" s="108"/>
      <c r="M7" s="108"/>
      <c r="N7" s="108"/>
      <c r="O7" s="108"/>
      <c r="P7" s="109"/>
      <c r="Q7" s="109"/>
      <c r="R7" s="110"/>
    </row>
    <row r="8" spans="1:18" ht="48" customHeight="1" thickBot="1" x14ac:dyDescent="0.3">
      <c r="A8" s="10" t="s">
        <v>50</v>
      </c>
      <c r="B8" s="88">
        <v>53917</v>
      </c>
      <c r="C8" s="88">
        <v>62996</v>
      </c>
      <c r="D8" s="88">
        <v>83056</v>
      </c>
      <c r="E8" s="88">
        <v>96557</v>
      </c>
      <c r="F8" s="5"/>
      <c r="G8" s="5"/>
      <c r="H8" s="5"/>
      <c r="I8" s="5"/>
      <c r="K8" s="50" t="s">
        <v>24</v>
      </c>
      <c r="L8" s="52" t="s">
        <v>22</v>
      </c>
      <c r="M8" s="52" t="s">
        <v>23</v>
      </c>
      <c r="N8" s="52" t="s">
        <v>25</v>
      </c>
      <c r="O8" s="90" t="s">
        <v>32</v>
      </c>
      <c r="P8" s="23" t="s">
        <v>34</v>
      </c>
      <c r="Q8" s="23" t="s">
        <v>35</v>
      </c>
      <c r="R8" s="23" t="s">
        <v>36</v>
      </c>
    </row>
    <row r="9" spans="1:18" ht="15.75" thickBot="1" x14ac:dyDescent="0.3">
      <c r="A9" s="8"/>
      <c r="K9" s="31" t="s">
        <v>73</v>
      </c>
      <c r="L9" s="53">
        <v>2460</v>
      </c>
      <c r="M9" s="53">
        <v>2473</v>
      </c>
      <c r="N9" s="53">
        <v>2693</v>
      </c>
      <c r="O9" s="38">
        <v>3120</v>
      </c>
      <c r="P9" s="5"/>
      <c r="Q9" s="5"/>
      <c r="R9" s="5"/>
    </row>
    <row r="10" spans="1:18" x14ac:dyDescent="0.25">
      <c r="B10" s="28">
        <v>87000</v>
      </c>
      <c r="C10" s="28">
        <v>87000</v>
      </c>
      <c r="D10" s="28">
        <v>87000</v>
      </c>
      <c r="E10" s="28">
        <v>87000</v>
      </c>
      <c r="F10" s="28">
        <v>87000</v>
      </c>
      <c r="G10" s="28">
        <v>87000</v>
      </c>
      <c r="H10" s="28">
        <v>87000</v>
      </c>
      <c r="I10" s="28">
        <v>87000</v>
      </c>
    </row>
  </sheetData>
  <mergeCells count="4">
    <mergeCell ref="A1:I1"/>
    <mergeCell ref="A3:I3"/>
    <mergeCell ref="A4:I4"/>
    <mergeCell ref="K7:R7"/>
  </mergeCells>
  <printOptions horizontalCentered="1"/>
  <pageMargins left="0.7" right="0.7" top="1.25" bottom="0.75" header="0.3" footer="0.3"/>
  <pageSetup orientation="portrait" r:id="rId1"/>
  <headerFooter>
    <oddHeader>&amp;R&amp;G
&amp;"-,Bold Italic"Office of Institutional Research &amp;&amp; Effectiveness</oddHeader>
    <oddFooter>&amp;LMay 13, 2011</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
  <sheetViews>
    <sheetView workbookViewId="0">
      <selection activeCell="A2" sqref="A2"/>
    </sheetView>
  </sheetViews>
  <sheetFormatPr defaultRowHeight="15" x14ac:dyDescent="0.25"/>
  <cols>
    <col min="1" max="1" width="10" customWidth="1"/>
    <col min="2" max="9" width="9.7109375" customWidth="1"/>
    <col min="12" max="12" width="10" customWidth="1"/>
    <col min="13" max="20" width="9.7109375" customWidth="1"/>
  </cols>
  <sheetData>
    <row r="1" spans="1:20" ht="18.75" x14ac:dyDescent="0.3">
      <c r="A1" s="94" t="s">
        <v>1</v>
      </c>
      <c r="B1" s="94"/>
      <c r="C1" s="94"/>
      <c r="D1" s="94"/>
      <c r="E1" s="94"/>
      <c r="F1" s="94"/>
      <c r="G1" s="94"/>
      <c r="H1" s="94"/>
      <c r="I1" s="94"/>
    </row>
    <row r="2" spans="1:20" x14ac:dyDescent="0.25">
      <c r="A2" s="19"/>
      <c r="B2" s="19"/>
      <c r="C2" s="19"/>
      <c r="D2" s="19"/>
      <c r="E2" s="19"/>
      <c r="F2" s="19"/>
      <c r="G2" s="19"/>
      <c r="H2" s="19"/>
      <c r="I2" s="19"/>
    </row>
    <row r="3" spans="1:20" ht="15.75" x14ac:dyDescent="0.25">
      <c r="A3" s="95" t="s">
        <v>42</v>
      </c>
      <c r="B3" s="95"/>
      <c r="C3" s="95"/>
      <c r="D3" s="95"/>
      <c r="E3" s="95"/>
      <c r="F3" s="95"/>
      <c r="G3" s="95"/>
      <c r="H3" s="95"/>
      <c r="I3" s="95"/>
    </row>
    <row r="4" spans="1:20" ht="36.75" customHeight="1" x14ac:dyDescent="0.25">
      <c r="A4" s="93" t="s">
        <v>43</v>
      </c>
      <c r="B4" s="93"/>
      <c r="C4" s="93"/>
      <c r="D4" s="93"/>
      <c r="E4" s="93"/>
      <c r="F4" s="93"/>
      <c r="G4" s="93"/>
      <c r="H4" s="93"/>
      <c r="I4" s="93"/>
    </row>
    <row r="6" spans="1:20" ht="15.75" thickBot="1" x14ac:dyDescent="0.3"/>
    <row r="7" spans="1:20" ht="15.75" thickBot="1" x14ac:dyDescent="0.3">
      <c r="A7" s="7"/>
      <c r="B7" s="23" t="s">
        <v>22</v>
      </c>
      <c r="C7" s="23" t="s">
        <v>23</v>
      </c>
      <c r="D7" s="23" t="s">
        <v>25</v>
      </c>
      <c r="E7" s="23" t="s">
        <v>32</v>
      </c>
      <c r="F7" s="23" t="s">
        <v>33</v>
      </c>
      <c r="G7" s="23" t="s">
        <v>34</v>
      </c>
      <c r="H7" s="23" t="s">
        <v>35</v>
      </c>
      <c r="I7" s="23" t="s">
        <v>36</v>
      </c>
      <c r="L7" s="7"/>
      <c r="M7" s="23" t="s">
        <v>22</v>
      </c>
      <c r="N7" s="23" t="s">
        <v>23</v>
      </c>
      <c r="O7" s="23" t="s">
        <v>25</v>
      </c>
      <c r="P7" s="23" t="s">
        <v>32</v>
      </c>
      <c r="Q7" s="23" t="s">
        <v>33</v>
      </c>
      <c r="R7" s="23" t="s">
        <v>34</v>
      </c>
      <c r="S7" s="23" t="s">
        <v>35</v>
      </c>
      <c r="T7" s="23" t="s">
        <v>36</v>
      </c>
    </row>
    <row r="8" spans="1:20" ht="18" thickBot="1" x14ac:dyDescent="0.3">
      <c r="A8" s="10" t="s">
        <v>59</v>
      </c>
      <c r="B8" s="69">
        <v>31347</v>
      </c>
      <c r="C8" s="69">
        <v>35616</v>
      </c>
      <c r="D8" s="69">
        <v>43550</v>
      </c>
      <c r="E8" s="5">
        <v>46209</v>
      </c>
      <c r="F8" s="5"/>
      <c r="G8" s="5"/>
      <c r="H8" s="5"/>
      <c r="I8" s="5"/>
      <c r="L8" s="10" t="s">
        <v>59</v>
      </c>
      <c r="M8" s="76">
        <v>607</v>
      </c>
      <c r="N8" s="76">
        <v>636</v>
      </c>
      <c r="O8" s="76">
        <v>709</v>
      </c>
      <c r="P8" s="5">
        <v>816</v>
      </c>
      <c r="Q8" s="5"/>
      <c r="R8" s="5"/>
      <c r="S8" s="5"/>
      <c r="T8" s="5"/>
    </row>
    <row r="9" spans="1:20" x14ac:dyDescent="0.25">
      <c r="L9" s="18"/>
      <c r="M9" s="17"/>
      <c r="N9" s="17"/>
      <c r="O9" s="17"/>
      <c r="P9" s="17"/>
      <c r="Q9" s="17"/>
      <c r="R9" s="17"/>
      <c r="S9" s="17"/>
      <c r="T9" s="17"/>
    </row>
    <row r="10" spans="1:20" x14ac:dyDescent="0.25">
      <c r="B10" s="29">
        <v>46965</v>
      </c>
      <c r="C10" s="29">
        <v>46965</v>
      </c>
      <c r="D10" s="29">
        <v>46965</v>
      </c>
      <c r="E10" s="29">
        <v>46965</v>
      </c>
      <c r="F10" s="29">
        <v>46965</v>
      </c>
      <c r="G10" s="29">
        <v>46965</v>
      </c>
      <c r="H10" s="29">
        <v>46965</v>
      </c>
      <c r="I10" s="29">
        <v>46965</v>
      </c>
      <c r="L10" s="18"/>
      <c r="M10" s="17"/>
      <c r="N10" s="17"/>
      <c r="O10" s="17"/>
      <c r="P10" s="17"/>
      <c r="Q10" s="17"/>
      <c r="R10" s="17"/>
      <c r="S10" s="17"/>
      <c r="T10" s="17"/>
    </row>
    <row r="11" spans="1:20" x14ac:dyDescent="0.25">
      <c r="L11" s="18"/>
      <c r="M11" s="17"/>
      <c r="N11" s="17"/>
      <c r="O11" s="17"/>
      <c r="P11" s="17"/>
      <c r="Q11" s="17"/>
      <c r="R11" s="17"/>
      <c r="S11" s="17"/>
      <c r="T11" s="17"/>
    </row>
    <row r="16" spans="1:20" x14ac:dyDescent="0.25">
      <c r="L16" s="111"/>
      <c r="M16" s="111"/>
      <c r="N16" s="111"/>
      <c r="O16" s="111"/>
      <c r="P16" s="111"/>
    </row>
    <row r="17" spans="1:20" x14ac:dyDescent="0.25">
      <c r="L17" s="8"/>
    </row>
    <row r="18" spans="1:20" x14ac:dyDescent="0.25">
      <c r="L18" s="92"/>
      <c r="M18" s="92"/>
      <c r="N18" s="92"/>
      <c r="O18" s="92"/>
      <c r="P18" s="92"/>
    </row>
    <row r="29" spans="1:20" ht="15.75" thickBot="1" x14ac:dyDescent="0.3"/>
    <row r="30" spans="1:20" ht="15.75" thickBot="1" x14ac:dyDescent="0.3">
      <c r="A30" s="6"/>
      <c r="B30" s="23" t="s">
        <v>22</v>
      </c>
      <c r="C30" s="23" t="s">
        <v>23</v>
      </c>
      <c r="D30" s="23" t="s">
        <v>25</v>
      </c>
      <c r="E30" s="23" t="s">
        <v>32</v>
      </c>
      <c r="F30" s="23" t="s">
        <v>33</v>
      </c>
      <c r="G30" s="23" t="s">
        <v>34</v>
      </c>
      <c r="H30" s="23" t="s">
        <v>35</v>
      </c>
      <c r="I30" s="23" t="s">
        <v>36</v>
      </c>
      <c r="L30" s="6"/>
      <c r="M30" s="23" t="s">
        <v>22</v>
      </c>
      <c r="N30" s="23" t="s">
        <v>23</v>
      </c>
      <c r="O30" s="23" t="s">
        <v>25</v>
      </c>
      <c r="P30" s="23" t="s">
        <v>32</v>
      </c>
      <c r="Q30" s="23" t="s">
        <v>33</v>
      </c>
      <c r="R30" s="23" t="s">
        <v>34</v>
      </c>
      <c r="S30" s="23" t="s">
        <v>35</v>
      </c>
      <c r="T30" s="23" t="s">
        <v>36</v>
      </c>
    </row>
    <row r="31" spans="1:20" ht="15.75" thickBot="1" x14ac:dyDescent="0.3">
      <c r="A31" s="6" t="s">
        <v>44</v>
      </c>
      <c r="C31" s="6"/>
      <c r="D31" s="6"/>
      <c r="E31" s="6"/>
      <c r="F31" s="6"/>
      <c r="G31" s="6"/>
      <c r="H31" s="6"/>
      <c r="I31" s="6"/>
      <c r="L31" s="6" t="s">
        <v>44</v>
      </c>
      <c r="N31" s="6"/>
      <c r="O31" s="6"/>
      <c r="P31" s="6"/>
      <c r="Q31" s="6"/>
      <c r="R31" s="6"/>
      <c r="S31" s="6"/>
      <c r="T31" s="6"/>
    </row>
    <row r="32" spans="1:20" ht="15.75" thickBot="1" x14ac:dyDescent="0.3">
      <c r="A32" s="6"/>
      <c r="B32" s="71">
        <v>15491</v>
      </c>
      <c r="C32" s="70">
        <v>16476</v>
      </c>
      <c r="D32" s="70">
        <v>18333</v>
      </c>
      <c r="E32" s="5">
        <v>22460</v>
      </c>
      <c r="F32" s="5"/>
      <c r="G32" s="5"/>
      <c r="H32" s="5"/>
      <c r="I32" s="5"/>
      <c r="L32" s="6"/>
      <c r="M32" s="22">
        <v>417</v>
      </c>
      <c r="N32" s="5">
        <v>436</v>
      </c>
      <c r="O32" s="5">
        <v>475</v>
      </c>
      <c r="P32" s="5">
        <v>531</v>
      </c>
      <c r="Q32" s="5"/>
      <c r="R32" s="5"/>
      <c r="S32" s="5"/>
      <c r="T32" s="5"/>
    </row>
    <row r="33" spans="1:20" ht="15.75" thickBot="1" x14ac:dyDescent="0.3">
      <c r="A33" s="91" t="s">
        <v>45</v>
      </c>
      <c r="B33" s="91"/>
      <c r="C33" s="91"/>
      <c r="D33" s="91"/>
      <c r="E33" s="91"/>
      <c r="F33" s="91"/>
      <c r="G33" s="91"/>
      <c r="H33" s="91"/>
      <c r="I33" s="91"/>
      <c r="L33" s="91" t="s">
        <v>45</v>
      </c>
      <c r="M33" s="91"/>
      <c r="N33" s="91"/>
      <c r="O33" s="91"/>
      <c r="P33" s="91"/>
      <c r="Q33" s="91"/>
      <c r="R33" s="91"/>
      <c r="S33" s="91"/>
      <c r="T33" s="91"/>
    </row>
    <row r="34" spans="1:20" ht="15.75" thickBot="1" x14ac:dyDescent="0.3">
      <c r="A34" s="6"/>
      <c r="B34" s="72">
        <v>10633</v>
      </c>
      <c r="C34" s="73">
        <v>11523</v>
      </c>
      <c r="D34" s="72">
        <v>13144</v>
      </c>
      <c r="E34" s="5">
        <v>16256</v>
      </c>
      <c r="F34" s="5"/>
      <c r="G34" s="5"/>
      <c r="H34" s="5"/>
      <c r="I34" s="5"/>
      <c r="L34" s="6"/>
      <c r="M34" s="5">
        <v>177</v>
      </c>
      <c r="N34" s="25">
        <v>177</v>
      </c>
      <c r="O34" s="5">
        <v>200</v>
      </c>
      <c r="P34" s="5">
        <v>225</v>
      </c>
      <c r="Q34" s="5"/>
      <c r="R34" s="5"/>
      <c r="S34" s="5"/>
      <c r="T34" s="5"/>
    </row>
    <row r="35" spans="1:20" ht="15.75" thickBot="1" x14ac:dyDescent="0.3">
      <c r="A35" s="7" t="s">
        <v>46</v>
      </c>
      <c r="B35" s="21"/>
      <c r="C35" s="21"/>
      <c r="D35" s="21"/>
      <c r="E35" s="21"/>
      <c r="F35" s="21"/>
      <c r="G35" s="21"/>
      <c r="H35" s="21"/>
      <c r="I35" s="21"/>
      <c r="L35" s="7" t="s">
        <v>46</v>
      </c>
      <c r="M35" s="21"/>
      <c r="N35" s="21"/>
      <c r="O35" s="21"/>
      <c r="P35" s="21"/>
      <c r="Q35" s="21"/>
      <c r="R35" s="21"/>
      <c r="S35" s="21"/>
      <c r="T35" s="21"/>
    </row>
    <row r="36" spans="1:20" ht="15.75" thickBot="1" x14ac:dyDescent="0.3">
      <c r="A36" s="6"/>
      <c r="B36" s="74">
        <v>4267</v>
      </c>
      <c r="C36" s="74">
        <v>5265</v>
      </c>
      <c r="D36" s="74">
        <v>5821</v>
      </c>
      <c r="E36" s="5">
        <v>7493</v>
      </c>
      <c r="F36" s="5"/>
      <c r="G36" s="5"/>
      <c r="H36" s="5"/>
      <c r="I36" s="5"/>
      <c r="L36" s="6"/>
      <c r="M36" s="5">
        <v>13</v>
      </c>
      <c r="N36" s="5">
        <v>23</v>
      </c>
      <c r="O36" s="5">
        <v>34</v>
      </c>
      <c r="P36" s="5">
        <v>60</v>
      </c>
      <c r="Q36" s="5"/>
      <c r="R36" s="5"/>
      <c r="S36" s="5"/>
      <c r="T36" s="5"/>
    </row>
    <row r="37" spans="1:20" ht="18" thickBot="1" x14ac:dyDescent="0.3">
      <c r="A37" s="6" t="s">
        <v>60</v>
      </c>
      <c r="B37" s="5"/>
      <c r="C37" s="5"/>
      <c r="D37" s="5"/>
      <c r="E37" s="5"/>
      <c r="F37" s="5"/>
      <c r="G37" s="5"/>
      <c r="H37" s="5"/>
      <c r="I37" s="5"/>
      <c r="L37" s="6" t="s">
        <v>60</v>
      </c>
      <c r="M37" s="5"/>
      <c r="N37" s="5"/>
      <c r="O37" s="5"/>
      <c r="P37" s="5"/>
      <c r="Q37" s="5"/>
      <c r="R37" s="5"/>
      <c r="S37" s="5"/>
      <c r="T37" s="5"/>
    </row>
    <row r="38" spans="1:20" ht="15.75" thickBot="1" x14ac:dyDescent="0.3">
      <c r="A38" s="5"/>
      <c r="B38" s="75">
        <v>31347</v>
      </c>
      <c r="C38" s="75">
        <v>35616</v>
      </c>
      <c r="D38" s="75">
        <v>43550</v>
      </c>
      <c r="E38" s="88">
        <v>46209</v>
      </c>
      <c r="F38" s="6"/>
      <c r="G38" s="6"/>
      <c r="H38" s="6"/>
      <c r="I38" s="6"/>
      <c r="L38" s="5"/>
      <c r="M38" s="77">
        <v>607</v>
      </c>
      <c r="N38" s="77">
        <v>636</v>
      </c>
      <c r="O38" s="77">
        <v>709</v>
      </c>
      <c r="P38" s="6">
        <v>816</v>
      </c>
      <c r="Q38" s="6"/>
      <c r="R38" s="6"/>
      <c r="S38" s="6"/>
      <c r="T38" s="6"/>
    </row>
    <row r="40" spans="1:20" x14ac:dyDescent="0.25">
      <c r="A40" s="8" t="s">
        <v>71</v>
      </c>
      <c r="L40" s="112" t="s">
        <v>83</v>
      </c>
      <c r="M40" s="111"/>
      <c r="N40" s="111"/>
      <c r="O40" s="111"/>
      <c r="P40" s="111"/>
    </row>
    <row r="41" spans="1:20" x14ac:dyDescent="0.25">
      <c r="L41" s="8" t="s">
        <v>71</v>
      </c>
    </row>
    <row r="42" spans="1:20" x14ac:dyDescent="0.25">
      <c r="L42" s="92"/>
      <c r="M42" s="92"/>
      <c r="N42" s="92"/>
      <c r="O42" s="92"/>
      <c r="P42" s="92"/>
    </row>
  </sheetData>
  <mergeCells count="9">
    <mergeCell ref="L42:P42"/>
    <mergeCell ref="L16:P16"/>
    <mergeCell ref="L18:P18"/>
    <mergeCell ref="L33:T33"/>
    <mergeCell ref="A1:I1"/>
    <mergeCell ref="A3:I3"/>
    <mergeCell ref="A4:I4"/>
    <mergeCell ref="A33:I33"/>
    <mergeCell ref="L40:P40"/>
  </mergeCells>
  <printOptions horizontalCentered="1"/>
  <pageMargins left="0.7" right="0.7" top="1.25" bottom="0.75" header="0.3" footer="0.3"/>
  <pageSetup orientation="portrait" r:id="rId1"/>
  <headerFooter>
    <oddHeader>&amp;R&amp;G
&amp;"-,Bold Italic"Office of Institutional Research &amp;&amp; Effectiveness</oddHeader>
    <oddFooter>&amp;LMay 27, 2011</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8"/>
  <sheetViews>
    <sheetView workbookViewId="0">
      <selection activeCell="A2" sqref="A2"/>
    </sheetView>
  </sheetViews>
  <sheetFormatPr defaultRowHeight="15" x14ac:dyDescent="0.25"/>
  <cols>
    <col min="1" max="1" width="9.85546875" customWidth="1"/>
    <col min="2" max="9" width="9.7109375" customWidth="1"/>
    <col min="12" max="12" width="9.85546875" customWidth="1"/>
    <col min="13" max="20" width="9.7109375" customWidth="1"/>
  </cols>
  <sheetData>
    <row r="1" spans="1:20" ht="18.75" x14ac:dyDescent="0.3">
      <c r="A1" s="94" t="s">
        <v>1</v>
      </c>
      <c r="B1" s="94"/>
      <c r="C1" s="94"/>
      <c r="D1" s="94"/>
      <c r="E1" s="94"/>
      <c r="F1" s="94"/>
      <c r="G1" s="94"/>
      <c r="H1" s="94"/>
      <c r="I1" s="94"/>
    </row>
    <row r="2" spans="1:20" x14ac:dyDescent="0.25">
      <c r="A2" s="19"/>
      <c r="B2" s="19"/>
      <c r="C2" s="19"/>
      <c r="D2" s="19"/>
      <c r="E2" s="19"/>
      <c r="F2" s="19"/>
      <c r="G2" s="19"/>
      <c r="H2" s="19"/>
      <c r="I2" s="19"/>
    </row>
    <row r="3" spans="1:20" ht="18" x14ac:dyDescent="0.25">
      <c r="A3" s="95" t="s">
        <v>56</v>
      </c>
      <c r="B3" s="95"/>
      <c r="C3" s="95"/>
      <c r="D3" s="95"/>
      <c r="E3" s="95"/>
      <c r="F3" s="95"/>
      <c r="G3" s="95"/>
      <c r="H3" s="95"/>
      <c r="I3" s="95"/>
    </row>
    <row r="4" spans="1:20" ht="36.75" customHeight="1" x14ac:dyDescent="0.25">
      <c r="A4" s="93" t="s">
        <v>43</v>
      </c>
      <c r="B4" s="93"/>
      <c r="C4" s="93"/>
      <c r="D4" s="93"/>
      <c r="E4" s="93"/>
      <c r="F4" s="93"/>
      <c r="G4" s="93"/>
      <c r="H4" s="93"/>
      <c r="I4" s="93"/>
    </row>
    <row r="6" spans="1:20" ht="15.75" thickBot="1" x14ac:dyDescent="0.3"/>
    <row r="7" spans="1:20" ht="15.75" thickBot="1" x14ac:dyDescent="0.3">
      <c r="A7" s="7"/>
      <c r="B7" s="23" t="s">
        <v>22</v>
      </c>
      <c r="C7" s="23" t="s">
        <v>23</v>
      </c>
      <c r="D7" s="23" t="s">
        <v>25</v>
      </c>
      <c r="E7" s="23" t="s">
        <v>32</v>
      </c>
      <c r="F7" s="23" t="s">
        <v>33</v>
      </c>
      <c r="G7" s="23" t="s">
        <v>34</v>
      </c>
      <c r="H7" s="23" t="s">
        <v>35</v>
      </c>
      <c r="I7" s="23" t="s">
        <v>36</v>
      </c>
      <c r="L7" s="7"/>
      <c r="M7" s="23" t="s">
        <v>22</v>
      </c>
      <c r="N7" s="23" t="s">
        <v>23</v>
      </c>
      <c r="O7" s="23" t="s">
        <v>25</v>
      </c>
      <c r="P7" s="23" t="s">
        <v>32</v>
      </c>
      <c r="Q7" s="23" t="s">
        <v>33</v>
      </c>
      <c r="R7" s="23" t="s">
        <v>34</v>
      </c>
      <c r="S7" s="23" t="s">
        <v>35</v>
      </c>
      <c r="T7" s="23" t="s">
        <v>36</v>
      </c>
    </row>
    <row r="8" spans="1:20" ht="18" thickBot="1" x14ac:dyDescent="0.3">
      <c r="A8" s="10" t="s">
        <v>72</v>
      </c>
      <c r="B8" s="78">
        <v>12484</v>
      </c>
      <c r="C8" s="78">
        <v>15483</v>
      </c>
      <c r="D8" s="78">
        <v>21884</v>
      </c>
      <c r="E8" s="5">
        <v>24009</v>
      </c>
      <c r="F8" s="5"/>
      <c r="G8" s="5"/>
      <c r="H8" s="5"/>
      <c r="I8" s="5"/>
      <c r="L8" s="10" t="s">
        <v>72</v>
      </c>
      <c r="M8" s="83">
        <v>339</v>
      </c>
      <c r="N8" s="83">
        <v>373</v>
      </c>
      <c r="O8" s="83">
        <v>451</v>
      </c>
      <c r="P8" s="5">
        <v>542</v>
      </c>
      <c r="Q8" s="5"/>
      <c r="R8" s="5"/>
      <c r="S8" s="5"/>
      <c r="T8" s="5"/>
    </row>
    <row r="9" spans="1:20" x14ac:dyDescent="0.25">
      <c r="L9" s="18"/>
      <c r="M9" s="17"/>
      <c r="N9" s="17"/>
      <c r="O9" s="17"/>
      <c r="P9" s="17"/>
      <c r="Q9" s="17"/>
      <c r="R9" s="17"/>
      <c r="S9" s="17"/>
      <c r="T9" s="17"/>
    </row>
    <row r="10" spans="1:20" x14ac:dyDescent="0.25">
      <c r="B10" s="28">
        <v>40620</v>
      </c>
      <c r="C10" s="28">
        <v>40620</v>
      </c>
      <c r="D10" s="28">
        <v>40620</v>
      </c>
      <c r="E10" s="28">
        <v>40620</v>
      </c>
      <c r="F10" s="28">
        <v>40620</v>
      </c>
      <c r="G10" s="28">
        <v>40620</v>
      </c>
      <c r="H10" s="28">
        <v>40620</v>
      </c>
      <c r="I10" s="28">
        <v>40620</v>
      </c>
      <c r="L10" s="18"/>
      <c r="M10" s="17"/>
      <c r="N10" s="17"/>
      <c r="O10" s="17"/>
      <c r="P10" s="17"/>
      <c r="Q10" s="17"/>
      <c r="R10" s="17"/>
      <c r="S10" s="17"/>
      <c r="T10" s="17"/>
    </row>
    <row r="11" spans="1:20" x14ac:dyDescent="0.25">
      <c r="L11" s="18"/>
      <c r="M11" s="17"/>
      <c r="N11" s="17"/>
      <c r="O11" s="17"/>
      <c r="P11" s="17"/>
      <c r="Q11" s="17"/>
      <c r="R11" s="17"/>
      <c r="S11" s="17"/>
      <c r="T11" s="17"/>
    </row>
    <row r="29" spans="1:20" ht="15.75" thickBot="1" x14ac:dyDescent="0.3"/>
    <row r="30" spans="1:20" ht="15.75" thickBot="1" x14ac:dyDescent="0.3">
      <c r="A30" s="6"/>
      <c r="B30" s="23" t="s">
        <v>22</v>
      </c>
      <c r="C30" s="23" t="s">
        <v>23</v>
      </c>
      <c r="D30" s="23" t="s">
        <v>25</v>
      </c>
      <c r="E30" s="23" t="s">
        <v>32</v>
      </c>
      <c r="F30" s="23" t="s">
        <v>33</v>
      </c>
      <c r="G30" s="23" t="s">
        <v>34</v>
      </c>
      <c r="H30" s="23" t="s">
        <v>35</v>
      </c>
      <c r="I30" s="23" t="s">
        <v>36</v>
      </c>
      <c r="L30" s="6"/>
      <c r="M30" s="23" t="s">
        <v>22</v>
      </c>
      <c r="N30" s="23" t="s">
        <v>23</v>
      </c>
      <c r="O30" s="23" t="s">
        <v>25</v>
      </c>
      <c r="P30" s="23" t="s">
        <v>32</v>
      </c>
      <c r="Q30" s="23" t="s">
        <v>33</v>
      </c>
      <c r="R30" s="23" t="s">
        <v>34</v>
      </c>
      <c r="S30" s="23" t="s">
        <v>35</v>
      </c>
      <c r="T30" s="23" t="s">
        <v>36</v>
      </c>
    </row>
    <row r="31" spans="1:20" ht="15.75" thickBot="1" x14ac:dyDescent="0.3">
      <c r="A31" s="6" t="s">
        <v>44</v>
      </c>
      <c r="B31" s="6"/>
      <c r="C31" s="6"/>
      <c r="D31" s="6"/>
      <c r="E31" s="6"/>
      <c r="F31" s="6"/>
      <c r="G31" s="6"/>
      <c r="H31" s="6"/>
      <c r="I31" s="6"/>
      <c r="L31" s="6" t="s">
        <v>44</v>
      </c>
      <c r="M31" s="6"/>
      <c r="N31" s="6"/>
      <c r="O31" s="6"/>
      <c r="P31" s="6"/>
      <c r="Q31" s="6"/>
      <c r="R31" s="6"/>
      <c r="S31" s="6"/>
      <c r="T31" s="6"/>
    </row>
    <row r="32" spans="1:20" ht="15.75" thickBot="1" x14ac:dyDescent="0.3">
      <c r="A32" s="6"/>
      <c r="B32" s="79">
        <v>8373</v>
      </c>
      <c r="C32" s="79">
        <v>9389</v>
      </c>
      <c r="D32" s="79">
        <v>11243</v>
      </c>
      <c r="E32" s="5">
        <v>14770</v>
      </c>
      <c r="F32" s="5"/>
      <c r="G32" s="5"/>
      <c r="H32" s="5"/>
      <c r="I32" s="5"/>
      <c r="L32" s="6"/>
      <c r="M32" s="5">
        <v>275</v>
      </c>
      <c r="N32" s="5">
        <v>299</v>
      </c>
      <c r="O32" s="5">
        <v>361</v>
      </c>
      <c r="P32" s="5">
        <v>437</v>
      </c>
      <c r="Q32" s="5"/>
      <c r="R32" s="5"/>
      <c r="S32" s="5"/>
      <c r="T32" s="5"/>
    </row>
    <row r="33" spans="1:20" ht="15.75" thickBot="1" x14ac:dyDescent="0.3">
      <c r="A33" s="91" t="s">
        <v>45</v>
      </c>
      <c r="B33" s="91"/>
      <c r="C33" s="91"/>
      <c r="D33" s="91"/>
      <c r="E33" s="91"/>
      <c r="F33" s="91"/>
      <c r="G33" s="91"/>
      <c r="H33" s="91"/>
      <c r="I33" s="91"/>
      <c r="L33" s="91" t="s">
        <v>45</v>
      </c>
      <c r="M33" s="91"/>
      <c r="N33" s="91"/>
      <c r="O33" s="91"/>
      <c r="P33" s="91"/>
      <c r="Q33" s="91"/>
      <c r="R33" s="91"/>
      <c r="S33" s="91"/>
      <c r="T33" s="91"/>
    </row>
    <row r="34" spans="1:20" ht="15.75" thickBot="1" x14ac:dyDescent="0.3">
      <c r="A34" s="6"/>
      <c r="B34" s="80">
        <v>4758</v>
      </c>
      <c r="C34" s="80">
        <v>5437</v>
      </c>
      <c r="D34" s="81">
        <v>6596</v>
      </c>
      <c r="E34" s="5">
        <v>9239</v>
      </c>
      <c r="F34" s="5"/>
      <c r="G34" s="5"/>
      <c r="H34" s="5"/>
      <c r="I34" s="5"/>
      <c r="L34" s="6"/>
      <c r="M34" s="5">
        <v>64</v>
      </c>
      <c r="N34" s="5">
        <v>74</v>
      </c>
      <c r="O34" s="9">
        <v>90</v>
      </c>
      <c r="P34" s="5">
        <v>105</v>
      </c>
      <c r="Q34" s="5"/>
      <c r="R34" s="5"/>
      <c r="S34" s="5"/>
      <c r="T34" s="5"/>
    </row>
    <row r="35" spans="1:20" ht="18" thickBot="1" x14ac:dyDescent="0.3">
      <c r="A35" s="6" t="s">
        <v>60</v>
      </c>
      <c r="B35" s="5"/>
      <c r="C35" s="5"/>
      <c r="D35" s="9"/>
      <c r="E35" s="5"/>
      <c r="F35" s="5"/>
      <c r="G35" s="5"/>
      <c r="H35" s="5"/>
      <c r="I35" s="5"/>
      <c r="L35" s="6" t="s">
        <v>60</v>
      </c>
      <c r="M35" s="5"/>
      <c r="N35" s="5"/>
      <c r="O35" s="9"/>
      <c r="P35" s="5"/>
      <c r="Q35" s="5"/>
      <c r="R35" s="5"/>
      <c r="S35" s="5"/>
      <c r="T35" s="5"/>
    </row>
    <row r="36" spans="1:20" ht="15.75" thickBot="1" x14ac:dyDescent="0.3">
      <c r="A36" s="6"/>
      <c r="B36" s="82">
        <v>13131</v>
      </c>
      <c r="C36" s="82">
        <v>14826</v>
      </c>
      <c r="D36" s="82">
        <v>17839</v>
      </c>
      <c r="E36" s="88">
        <v>24009</v>
      </c>
      <c r="F36" s="6"/>
      <c r="G36" s="6"/>
      <c r="H36" s="6"/>
      <c r="I36" s="6"/>
      <c r="L36" s="6"/>
      <c r="M36" s="5">
        <v>339</v>
      </c>
      <c r="N36" s="5">
        <v>373</v>
      </c>
      <c r="O36" s="5">
        <v>451</v>
      </c>
      <c r="P36" s="6">
        <v>542</v>
      </c>
      <c r="Q36" s="6"/>
      <c r="R36" s="6"/>
      <c r="S36" s="6"/>
      <c r="T36" s="6"/>
    </row>
    <row r="38" spans="1:20" ht="40.5" customHeight="1" x14ac:dyDescent="0.25">
      <c r="A38" s="92" t="s">
        <v>57</v>
      </c>
      <c r="B38" s="92"/>
      <c r="C38" s="92"/>
      <c r="D38" s="92"/>
      <c r="E38" s="92"/>
      <c r="F38" s="92"/>
      <c r="G38" s="92"/>
      <c r="H38" s="92"/>
      <c r="I38" s="92"/>
      <c r="L38" s="92" t="s">
        <v>57</v>
      </c>
      <c r="M38" s="92"/>
      <c r="N38" s="92"/>
      <c r="O38" s="92"/>
      <c r="P38" s="92"/>
      <c r="Q38" s="92"/>
      <c r="R38" s="92"/>
      <c r="S38" s="92"/>
      <c r="T38" s="92"/>
    </row>
  </sheetData>
  <mergeCells count="7">
    <mergeCell ref="L33:T33"/>
    <mergeCell ref="L38:T38"/>
    <mergeCell ref="A1:I1"/>
    <mergeCell ref="A3:I3"/>
    <mergeCell ref="A4:I4"/>
    <mergeCell ref="A33:I33"/>
    <mergeCell ref="A38:I38"/>
  </mergeCells>
  <printOptions horizontalCentered="1"/>
  <pageMargins left="0.7" right="0.7" top="1.25" bottom="0.75" header="0.3" footer="0.3"/>
  <pageSetup orientation="portrait" r:id="rId1"/>
  <headerFooter>
    <oddHeader>&amp;R&amp;G
&amp;"-,Bold Italic"Office of Institutional Research &amp;&amp; Effectiveness</oddHeader>
    <oddFooter>&amp;LMay 27, 2011</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
  <sheetViews>
    <sheetView workbookViewId="0">
      <selection activeCell="A2" sqref="A2"/>
    </sheetView>
  </sheetViews>
  <sheetFormatPr defaultRowHeight="15" x14ac:dyDescent="0.25"/>
  <cols>
    <col min="1" max="1" width="10.140625" customWidth="1"/>
    <col min="4" max="4" width="9.140625" customWidth="1"/>
    <col min="11" max="11" width="19.5703125" customWidth="1"/>
  </cols>
  <sheetData>
    <row r="1" spans="1:19" ht="18.75" x14ac:dyDescent="0.3">
      <c r="A1" s="94" t="s">
        <v>1</v>
      </c>
      <c r="B1" s="94"/>
      <c r="C1" s="94"/>
      <c r="D1" s="94"/>
      <c r="E1" s="94"/>
      <c r="F1" s="94"/>
      <c r="G1" s="94"/>
      <c r="H1" s="94"/>
      <c r="I1" s="94"/>
    </row>
    <row r="2" spans="1:19" x14ac:dyDescent="0.25">
      <c r="A2" s="37"/>
      <c r="B2" s="37"/>
      <c r="C2" s="37"/>
      <c r="D2" s="37"/>
      <c r="E2" s="37"/>
      <c r="F2" s="37"/>
      <c r="G2" s="37"/>
      <c r="H2" s="37"/>
      <c r="I2" s="37"/>
    </row>
    <row r="3" spans="1:19" ht="15.75" x14ac:dyDescent="0.25">
      <c r="A3" s="95" t="s">
        <v>61</v>
      </c>
      <c r="B3" s="95"/>
      <c r="C3" s="95"/>
      <c r="D3" s="95"/>
      <c r="E3" s="95"/>
      <c r="F3" s="95"/>
      <c r="G3" s="95"/>
      <c r="H3" s="95"/>
      <c r="I3" s="95"/>
    </row>
    <row r="4" spans="1:19" ht="45.75" customHeight="1" x14ac:dyDescent="0.25">
      <c r="A4" s="93" t="s">
        <v>62</v>
      </c>
      <c r="B4" s="93"/>
      <c r="C4" s="93"/>
      <c r="D4" s="93"/>
      <c r="E4" s="93"/>
      <c r="F4" s="93"/>
      <c r="G4" s="93"/>
      <c r="H4" s="93"/>
      <c r="I4" s="93"/>
    </row>
    <row r="6" spans="1:19" ht="15.75" thickBot="1" x14ac:dyDescent="0.3"/>
    <row r="7" spans="1:19" ht="15.75" thickBot="1" x14ac:dyDescent="0.3">
      <c r="A7" s="7"/>
      <c r="B7" s="23" t="s">
        <v>66</v>
      </c>
      <c r="C7" s="23" t="s">
        <v>3</v>
      </c>
      <c r="D7" s="23" t="s">
        <v>4</v>
      </c>
      <c r="E7" s="23" t="s">
        <v>5</v>
      </c>
      <c r="F7" s="23" t="s">
        <v>6</v>
      </c>
      <c r="G7" s="23" t="s">
        <v>7</v>
      </c>
      <c r="H7" s="23" t="s">
        <v>8</v>
      </c>
      <c r="I7" s="23" t="s">
        <v>9</v>
      </c>
      <c r="K7" s="56" t="s">
        <v>73</v>
      </c>
      <c r="L7" s="56" t="s">
        <v>63</v>
      </c>
      <c r="M7" s="56" t="s">
        <v>64</v>
      </c>
      <c r="N7" s="56" t="s">
        <v>65</v>
      </c>
      <c r="O7" s="23" t="s">
        <v>5</v>
      </c>
      <c r="P7" s="23" t="s">
        <v>6</v>
      </c>
      <c r="Q7" s="23" t="s">
        <v>7</v>
      </c>
      <c r="R7" s="23" t="s">
        <v>8</v>
      </c>
      <c r="S7" s="23" t="s">
        <v>9</v>
      </c>
    </row>
    <row r="8" spans="1:19" ht="30.75" thickBot="1" x14ac:dyDescent="0.3">
      <c r="A8" s="10" t="s">
        <v>47</v>
      </c>
      <c r="B8" s="84">
        <v>5888</v>
      </c>
      <c r="C8" s="84">
        <v>6210</v>
      </c>
      <c r="D8" s="84">
        <v>6497</v>
      </c>
      <c r="E8" s="5">
        <v>7267</v>
      </c>
      <c r="F8" s="5"/>
      <c r="G8" s="5"/>
      <c r="H8" s="5"/>
      <c r="I8" s="5"/>
      <c r="K8" s="6" t="s">
        <v>47</v>
      </c>
      <c r="L8" s="38">
        <v>91</v>
      </c>
      <c r="M8" s="38">
        <v>69</v>
      </c>
      <c r="N8" s="38">
        <v>105</v>
      </c>
      <c r="O8" s="5">
        <v>190</v>
      </c>
      <c r="P8" s="5"/>
      <c r="Q8" s="5"/>
      <c r="R8" s="5"/>
      <c r="S8" s="5"/>
    </row>
    <row r="10" spans="1:19" x14ac:dyDescent="0.25">
      <c r="B10" s="3">
        <v>10000</v>
      </c>
      <c r="C10" s="3">
        <v>10000</v>
      </c>
      <c r="D10" s="3">
        <v>10000</v>
      </c>
      <c r="E10" s="3">
        <v>10000</v>
      </c>
      <c r="F10" s="3">
        <v>10000</v>
      </c>
      <c r="G10" s="3">
        <v>10000</v>
      </c>
      <c r="H10" s="3">
        <v>10000</v>
      </c>
      <c r="I10" s="3">
        <v>10000</v>
      </c>
    </row>
  </sheetData>
  <mergeCells count="3">
    <mergeCell ref="A1:I1"/>
    <mergeCell ref="A3:I3"/>
    <mergeCell ref="A4:I4"/>
  </mergeCells>
  <printOptions horizontalCentered="1"/>
  <pageMargins left="0.7" right="0.7" top="1.25" bottom="0.75" header="0.3" footer="0.3"/>
  <pageSetup orientation="portrait" r:id="rId1"/>
  <headerFooter>
    <oddHeader>&amp;R&amp;G
&amp;"-,Bold Italic"Office of Institutional Research &amp;&amp; Effectiveness</oddHeader>
    <oddFooter>&amp;LJune 16, 2011</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workbookViewId="0">
      <selection activeCell="A2" sqref="A2"/>
    </sheetView>
  </sheetViews>
  <sheetFormatPr defaultRowHeight="15" x14ac:dyDescent="0.25"/>
  <cols>
    <col min="1" max="1" width="11" customWidth="1"/>
    <col min="2" max="2" width="11.140625" customWidth="1"/>
    <col min="3" max="9" width="11.140625" bestFit="1" customWidth="1"/>
    <col min="11" max="19" width="11.140625" customWidth="1"/>
  </cols>
  <sheetData>
    <row r="1" spans="1:19" ht="18.75" x14ac:dyDescent="0.3">
      <c r="A1" s="94" t="s">
        <v>1</v>
      </c>
      <c r="B1" s="94"/>
      <c r="C1" s="94"/>
      <c r="D1" s="94"/>
      <c r="E1" s="94"/>
      <c r="F1" s="94"/>
      <c r="G1" s="94"/>
      <c r="H1" s="94"/>
      <c r="I1" s="94"/>
    </row>
    <row r="2" spans="1:19" x14ac:dyDescent="0.25">
      <c r="A2" s="1"/>
      <c r="B2" s="1"/>
      <c r="C2" s="1"/>
      <c r="D2" s="1"/>
      <c r="E2" s="1"/>
      <c r="F2" s="1"/>
      <c r="G2" s="1"/>
      <c r="H2" s="1"/>
      <c r="I2" s="1"/>
    </row>
    <row r="3" spans="1:19" ht="15.75" x14ac:dyDescent="0.25">
      <c r="A3" s="95" t="s">
        <v>26</v>
      </c>
      <c r="B3" s="95"/>
      <c r="C3" s="95"/>
      <c r="D3" s="95"/>
      <c r="E3" s="95"/>
      <c r="F3" s="95"/>
      <c r="G3" s="95"/>
      <c r="H3" s="95"/>
      <c r="I3" s="95"/>
    </row>
    <row r="4" spans="1:19" ht="33" customHeight="1" x14ac:dyDescent="0.25">
      <c r="A4" s="93" t="s">
        <v>51</v>
      </c>
      <c r="B4" s="93"/>
      <c r="C4" s="93"/>
      <c r="D4" s="93"/>
      <c r="E4" s="93"/>
      <c r="F4" s="93"/>
      <c r="G4" s="93"/>
      <c r="H4" s="93"/>
      <c r="I4" s="93"/>
    </row>
    <row r="7" spans="1:19" x14ac:dyDescent="0.25">
      <c r="O7" s="54" t="s">
        <v>73</v>
      </c>
    </row>
    <row r="8" spans="1:19" ht="15.75" thickBot="1" x14ac:dyDescent="0.3">
      <c r="N8" s="55"/>
    </row>
    <row r="9" spans="1:19" ht="33" thickBot="1" x14ac:dyDescent="0.3">
      <c r="A9" s="6"/>
      <c r="B9" s="36" t="s">
        <v>29</v>
      </c>
      <c r="C9" s="23" t="s">
        <v>3</v>
      </c>
      <c r="D9" s="23" t="s">
        <v>4</v>
      </c>
      <c r="E9" s="23" t="s">
        <v>5</v>
      </c>
      <c r="F9" s="23" t="s">
        <v>6</v>
      </c>
      <c r="G9" s="23" t="s">
        <v>7</v>
      </c>
      <c r="H9" s="23" t="s">
        <v>8</v>
      </c>
      <c r="I9" s="23" t="s">
        <v>9</v>
      </c>
      <c r="K9" s="57"/>
      <c r="L9" s="59" t="s">
        <v>80</v>
      </c>
      <c r="M9" s="57" t="s">
        <v>3</v>
      </c>
      <c r="N9" s="57" t="s">
        <v>4</v>
      </c>
      <c r="O9" s="57" t="s">
        <v>5</v>
      </c>
      <c r="P9" s="57" t="s">
        <v>6</v>
      </c>
      <c r="Q9" s="57" t="s">
        <v>7</v>
      </c>
      <c r="R9" s="57" t="s">
        <v>8</v>
      </c>
      <c r="S9" s="57" t="s">
        <v>9</v>
      </c>
    </row>
    <row r="10" spans="1:19" ht="16.5" customHeight="1" thickBot="1" x14ac:dyDescent="0.3">
      <c r="A10" s="10" t="s">
        <v>27</v>
      </c>
      <c r="B10" s="5">
        <v>0</v>
      </c>
      <c r="C10" s="5">
        <v>80185661</v>
      </c>
      <c r="D10" s="5">
        <v>117254896</v>
      </c>
      <c r="E10" s="88">
        <v>139221039</v>
      </c>
      <c r="F10" s="5"/>
      <c r="G10" s="5"/>
      <c r="H10" s="5"/>
      <c r="I10" s="5"/>
      <c r="K10" s="57" t="s">
        <v>27</v>
      </c>
      <c r="L10" s="57">
        <v>0</v>
      </c>
      <c r="M10" s="58">
        <v>2555939</v>
      </c>
      <c r="N10" s="58">
        <v>4872032</v>
      </c>
      <c r="O10" s="58">
        <v>4650234</v>
      </c>
      <c r="P10" s="57"/>
      <c r="Q10" s="57"/>
      <c r="R10" s="57"/>
      <c r="S10" s="57"/>
    </row>
    <row r="11" spans="1:19" ht="29.25" customHeight="1" thickBot="1" x14ac:dyDescent="0.3">
      <c r="A11" s="10" t="s">
        <v>28</v>
      </c>
      <c r="B11" s="85">
        <v>0</v>
      </c>
      <c r="C11" s="85">
        <v>80185661</v>
      </c>
      <c r="D11" s="85">
        <v>197440557</v>
      </c>
      <c r="E11" s="88">
        <f>D11+E10</f>
        <v>336661596</v>
      </c>
      <c r="F11" s="6"/>
      <c r="G11" s="6"/>
      <c r="H11" s="6"/>
      <c r="I11" s="6"/>
      <c r="K11" s="57" t="s">
        <v>28</v>
      </c>
      <c r="L11" s="57">
        <v>0</v>
      </c>
      <c r="M11" s="58">
        <v>2555939</v>
      </c>
      <c r="N11" s="58">
        <v>7427971</v>
      </c>
      <c r="O11" s="58">
        <v>12078205</v>
      </c>
      <c r="P11" s="57"/>
      <c r="Q11" s="57"/>
      <c r="R11" s="57"/>
      <c r="S11" s="57"/>
    </row>
    <row r="13" spans="1:19" x14ac:dyDescent="0.25">
      <c r="B13" s="3">
        <v>550000000</v>
      </c>
      <c r="C13" s="3">
        <v>550000000</v>
      </c>
      <c r="D13" s="3">
        <v>550000000</v>
      </c>
      <c r="E13" s="3">
        <v>550000000</v>
      </c>
      <c r="F13" s="3">
        <v>550000000</v>
      </c>
      <c r="G13" s="3">
        <v>550000000</v>
      </c>
      <c r="H13" s="3">
        <v>550000000</v>
      </c>
      <c r="I13" s="3">
        <v>550000000</v>
      </c>
    </row>
    <row r="30" spans="1:19" ht="29.25" customHeight="1" x14ac:dyDescent="0.25">
      <c r="A30" s="113" t="s">
        <v>67</v>
      </c>
      <c r="B30" s="113"/>
      <c r="C30" s="113"/>
      <c r="D30" s="113"/>
      <c r="E30" s="113"/>
      <c r="F30" s="113"/>
      <c r="G30" s="113"/>
      <c r="H30" s="113"/>
      <c r="I30" s="113"/>
      <c r="K30" s="113"/>
      <c r="L30" s="113"/>
      <c r="M30" s="113"/>
      <c r="N30" s="113"/>
      <c r="O30" s="113"/>
      <c r="P30" s="113"/>
      <c r="Q30" s="113"/>
      <c r="R30" s="113"/>
      <c r="S30" s="113"/>
    </row>
  </sheetData>
  <mergeCells count="5">
    <mergeCell ref="A1:I1"/>
    <mergeCell ref="A3:I3"/>
    <mergeCell ref="A4:I4"/>
    <mergeCell ref="A30:I30"/>
    <mergeCell ref="K30:S30"/>
  </mergeCells>
  <printOptions horizontalCentered="1"/>
  <pageMargins left="0.34" right="0.26" top="1.25" bottom="0.75" header="0.3" footer="0.3"/>
  <pageSetup orientation="portrait" r:id="rId1"/>
  <headerFooter>
    <oddHeader>&amp;R&amp;G
&amp;"-,Bold Italic"Office of Institutional Research &amp;&amp; Effectiveness</oddHeader>
    <oddFooter>&amp;LMay 27, 2011</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Access</vt:lpstr>
      <vt:lpstr>Access URP</vt:lpstr>
      <vt:lpstr>Affordability-Tuition</vt:lpstr>
      <vt:lpstr>Affordability-Financial Aid</vt:lpstr>
      <vt:lpstr>Student Success</vt:lpstr>
      <vt:lpstr>Student Success-URP</vt:lpstr>
      <vt:lpstr>Employers Served</vt:lpstr>
      <vt:lpstr>Resources</vt:lpstr>
    </vt:vector>
  </TitlesOfParts>
  <Company>VCCS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rkittelberger</dc:creator>
  <cp:lastModifiedBy>Beth Robinette</cp:lastModifiedBy>
  <cp:lastPrinted>2011-06-19T18:22:02Z</cp:lastPrinted>
  <dcterms:created xsi:type="dcterms:W3CDTF">2010-04-02T15:16:30Z</dcterms:created>
  <dcterms:modified xsi:type="dcterms:W3CDTF">2012-06-19T16:06:32Z</dcterms:modified>
</cp:coreProperties>
</file>