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95" yWindow="75" windowWidth="12180" windowHeight="5820"/>
  </bookViews>
  <sheets>
    <sheet name="1011 Community Education" sheetId="1" r:id="rId1"/>
    <sheet name="1011 ECFE" sheetId="2" r:id="rId2"/>
    <sheet name="1011 School Readiness" sheetId="3" r:id="rId3"/>
  </sheets>
  <definedNames>
    <definedName name="_xlnm.Print_Titles" localSheetId="0">'1011 Community Education'!$A:$D,'1011 Community Education'!$1:$2</definedName>
    <definedName name="_xlnm.Print_Titles" localSheetId="1">'1011 ECFE'!$A:$D,'1011 ECFE'!$1:$2</definedName>
    <definedName name="_xlnm.Print_Titles" localSheetId="2">'1011 School Readiness'!$A:$D,'1011 School Readiness'!$1:$2</definedName>
  </definedNames>
  <calcPr calcId="145621"/>
</workbook>
</file>

<file path=xl/calcChain.xml><?xml version="1.0" encoding="utf-8"?>
<calcChain xmlns="http://schemas.openxmlformats.org/spreadsheetml/2006/main">
  <c r="G3" i="3" l="1"/>
  <c r="Q4" i="1"/>
  <c r="N4" i="1"/>
  <c r="AF4" i="2" l="1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L4" i="2"/>
  <c r="K4" i="2"/>
  <c r="J4" i="2"/>
  <c r="I4" i="2"/>
  <c r="H4" i="2"/>
  <c r="G4" i="2"/>
  <c r="F4" i="2"/>
  <c r="E4" i="2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P4" i="1"/>
  <c r="O4" i="1"/>
  <c r="M4" i="1"/>
  <c r="L4" i="1"/>
  <c r="K4" i="1"/>
  <c r="J4" i="1"/>
  <c r="I4" i="1"/>
  <c r="H4" i="1"/>
  <c r="G4" i="1"/>
  <c r="E4" i="1"/>
</calcChain>
</file>

<file path=xl/sharedStrings.xml><?xml version="1.0" encoding="utf-8"?>
<sst xmlns="http://schemas.openxmlformats.org/spreadsheetml/2006/main" count="2445" uniqueCount="744">
  <si>
    <t>Fiscal Year</t>
  </si>
  <si>
    <t>Number</t>
  </si>
  <si>
    <t>Type</t>
  </si>
  <si>
    <t>Name</t>
  </si>
  <si>
    <t>Census Population</t>
  </si>
  <si>
    <t>Year Census Last Updated</t>
  </si>
  <si>
    <t>2008 Adjusted Net Tax Capacity (ANTC)</t>
  </si>
  <si>
    <t>General Community Education Revenue $5.42 x Census (1,335)</t>
  </si>
  <si>
    <t>Youth Service Revenue $1.00 x Census (1,335)</t>
  </si>
  <si>
    <t>Youth After-School Enrichment Revenue $1.85 x Census up to 10,000 (1,335); $0.43 x Pop &gt; 10,000</t>
  </si>
  <si>
    <t>Total Community Education Revenue = General + Youth Service + Youth After-School Enrichment</t>
  </si>
  <si>
    <t>Certify 2009 - Pay 2010 Community Education Levy Limit = Lesser of 2008 ANTC x 0.9% or Total Community Education Revenue</t>
  </si>
  <si>
    <t>Certified 2009 Community Education Levy</t>
  </si>
  <si>
    <t>Percent of Levy Certified</t>
  </si>
  <si>
    <t>FY 2011 Aid Limit = Total Revenue - Levy Limit</t>
  </si>
  <si>
    <t>FY 2011 Aid Entitlement = Aid Limit x Pct Levy Certified</t>
  </si>
  <si>
    <t>Aid Proration Factor</t>
  </si>
  <si>
    <t>Prorated Initial FY 2011 Aid Entitlement</t>
  </si>
  <si>
    <t xml:space="preserve">FY 2010 Community  Education Fund Balance Limit </t>
  </si>
  <si>
    <t xml:space="preserve">Three-Year Adjusted Average Fund Balance, Community Education Reserve Account and Community Service Fund (Fund 04) Unreserved Account </t>
  </si>
  <si>
    <t>FY 2011 Revenue Adjustment for Excess Fund Balance</t>
  </si>
  <si>
    <t>FY 2010 Community Education Aid and Levy</t>
  </si>
  <si>
    <t>FY 2010 Revenue from Other Sources</t>
  </si>
  <si>
    <t>FY 2010 Total Program Revenue</t>
  </si>
  <si>
    <t>FY 2010 Fund Balance Limit = 0.25 x FY 2010 Total Program Revenue</t>
  </si>
  <si>
    <t>(A) FY 2008 Fund Balance</t>
  </si>
  <si>
    <t>(B) FY 2009 Excess Fund Balance Adjustment</t>
  </si>
  <si>
    <t>(C) FY 2009 Fund Balance</t>
  </si>
  <si>
    <t>(D) FY 2010 Excess Fund Balance Adjustment</t>
  </si>
  <si>
    <t>(E) FY 2010 Waiver</t>
  </si>
  <si>
    <t>(F) FY 2010 Fund Balance</t>
  </si>
  <si>
    <t>(A-B+C-D-E+F) / 3 = Adjusted Average Fund Balance</t>
  </si>
  <si>
    <t>FY 2011 Adjustment for Excess Fund Balance</t>
  </si>
  <si>
    <t>Adjustment to Levy (Certify 2011-Payable 2012)</t>
  </si>
  <si>
    <t>Adjustment to Aid Entitlement</t>
  </si>
  <si>
    <t>Certified 2009 Levy, Adjusted for Excess Fund Balance</t>
  </si>
  <si>
    <t>FY 2011 Aid Entitlement, Adjusted for Excess Fund Balance</t>
  </si>
  <si>
    <t>STATE TOTAL</t>
  </si>
  <si>
    <t>10-11</t>
  </si>
  <si>
    <t>AITKIN PUBLIC SCHOOL DISTRICT</t>
  </si>
  <si>
    <t>MINNEAPOLIS PUBLIC SCHOOL DIST.</t>
  </si>
  <si>
    <t>HILL CITY PUBLIC SCHOOL DISTRICT</t>
  </si>
  <si>
    <t>MCGREGOR PUBLIC SCHOOL DISTRICT</t>
  </si>
  <si>
    <t>SOUTH ST. PAUL PUBLIC SCHOOL DIST.</t>
  </si>
  <si>
    <t>ANOKA-HENNEPIN PUBLIC SCHOOL DIST.</t>
  </si>
  <si>
    <t>CENTENNIAL PUBLIC SCHOOL DISTRICT</t>
  </si>
  <si>
    <t>COLUMBIA HEIGHTS PUBLIC SCHOOL DIST</t>
  </si>
  <si>
    <t>FRIDLEY PUBLIC SCHOOL DISTRICT</t>
  </si>
  <si>
    <t>ST. FRANCIS PUBLIC SCHOOL DISTRICT</t>
  </si>
  <si>
    <t>SPRING LAKE PARK PUBLIC SCHOOLS</t>
  </si>
  <si>
    <t>DETROIT LAKES PUBLIC SCHOOL DIST.</t>
  </si>
  <si>
    <t>FRAZEE-VERGAS PUBLIC SCHOOL DIST.</t>
  </si>
  <si>
    <t>PINE POINT PUBLIC SCHOOL DISTRICT</t>
  </si>
  <si>
    <t>BEMIDJI PUBLIC SCHOOL DISTRICT</t>
  </si>
  <si>
    <t>BLACKDUCK PUBLIC SCHOOL DISTRICT</t>
  </si>
  <si>
    <t>KELLIHER PUBLIC SCHOOL DISTRICT</t>
  </si>
  <si>
    <t>RED LAKE PUBLIC SCHOOL DISTRICT</t>
  </si>
  <si>
    <t>SAUK RAPIDS PUBLIC SCHOOL DISTRICT</t>
  </si>
  <si>
    <t>FOLEY PUBLIC SCHOOL DISTRICT</t>
  </si>
  <si>
    <t>ST. CLAIR PUBLIC SCHOOL DISTRICT</t>
  </si>
  <si>
    <t>MANKATO PUBLIC SCHOOL DISTRICT</t>
  </si>
  <si>
    <t>COMFREY PUBLIC SCHOOL DISTRICT</t>
  </si>
  <si>
    <t>SLEEPY EYE PUBLIC SCHOOL DISTRICT</t>
  </si>
  <si>
    <t>SPRINGFIELD PUBLIC SCHOOL DISTRICT</t>
  </si>
  <si>
    <t>NEW ULM PUBLIC SCHOOL DISTRICT</t>
  </si>
  <si>
    <t>BARNUM PUBLIC SCHOOL DISTRICT</t>
  </si>
  <si>
    <t>CARLTON PUBLIC SCHOOL DISTRICT</t>
  </si>
  <si>
    <t>CLOQUET PUBLIC SCHOOL DISTRICT</t>
  </si>
  <si>
    <t>CROMWELL-WRIGHT PUBLIC SCHOOLS</t>
  </si>
  <si>
    <t>MOOSE LAKE PUBLIC SCHOOL DISTRICT</t>
  </si>
  <si>
    <t>ESKO PUBLIC SCHOOL DISTRICT</t>
  </si>
  <si>
    <t>WRENSHALL PUBLIC SCHOOL DISTRICT</t>
  </si>
  <si>
    <t>NORWOOD PUBLIC SCHOOL DISTRICT</t>
  </si>
  <si>
    <t>WACONIA PUBLIC SCHOOL DISTRICT</t>
  </si>
  <si>
    <t>WATERTOWN-MAYER PUBLIC SCHOOL DIST.</t>
  </si>
  <si>
    <t>EASTERN CARVER COUNTY PUBLIC SCHOOL</t>
  </si>
  <si>
    <t>WALKER-HACKENSACK-AKELEY SCHL. DIST</t>
  </si>
  <si>
    <t>CASS LAKE-BENA PUBLIC SCHOOLS</t>
  </si>
  <si>
    <t>PILLAGER PUBLIC SCHOOL DISTRICT</t>
  </si>
  <si>
    <t>NORTHLAND COMMUNITY SCHOOLS</t>
  </si>
  <si>
    <t>MONTEVIDEO PUBLIC SCHOOL DISTRICT</t>
  </si>
  <si>
    <t>NORTH BRANCH PUBLIC SCHOOLS</t>
  </si>
  <si>
    <t>RUSH CITY PUBLIC SCHOOL DISTRICT</t>
  </si>
  <si>
    <t>BARNESVILLE PUBLIC SCHOOL DIST.</t>
  </si>
  <si>
    <t>HAWLEY PUBLIC SCHOOL DISTRICT</t>
  </si>
  <si>
    <t>MOORHEAD PUBLIC SCHOOL DISTRICT</t>
  </si>
  <si>
    <t>BAGLEY PUBLIC SCHOOL DISTRICT</t>
  </si>
  <si>
    <t>COOK COUNTY PUBLIC SCHOOLS</t>
  </si>
  <si>
    <t>MOUNTAIN LAKE PUBLIC SCHOOLS</t>
  </si>
  <si>
    <t>WINDOM PUBLIC SCHOOL DISTRICT</t>
  </si>
  <si>
    <t>BRAINERD PUBLIC SCHOOL DISTRICT</t>
  </si>
  <si>
    <t>CROSBY-IRONTON PUBLIC SCHOOL DIST.</t>
  </si>
  <si>
    <t>PEQUOT LAKES PUBLIC SCHOOLS</t>
  </si>
  <si>
    <t>BURNSVILLE PUBLIC SCHOOL DISTRICT</t>
  </si>
  <si>
    <t>FARMINGTON PUBLIC SCHOOL DISTRICT</t>
  </si>
  <si>
    <t>LAKEVILLE PUBLIC SCHOOL DISTRICT</t>
  </si>
  <si>
    <t>RANDOLPH PUBLIC SCHOOL DISTRICT</t>
  </si>
  <si>
    <t>ROSEMOUNT-APPLE VALLEY-EAGAN</t>
  </si>
  <si>
    <t>WEST ST. PAUL-MENDOTA HTS.-EAGAN</t>
  </si>
  <si>
    <t>INVER GROVE HEIGHTS SCHOOLS</t>
  </si>
  <si>
    <t>HASTINGS PUBLIC SCHOOL DISTRICT</t>
  </si>
  <si>
    <t>HAYFIELD PUBLIC SCHOOL DISTRICT</t>
  </si>
  <si>
    <t>KASSON-MANTORVILLE SCHOOL DISTRICT</t>
  </si>
  <si>
    <t>ALEXANDRIA PUBLIC SCHOOL DISTRICT</t>
  </si>
  <si>
    <t>BRANDON PUBLIC SCHOOL DISTRICT</t>
  </si>
  <si>
    <t>EVANSVILLE PUBLIC SCHOOL DISTRICT</t>
  </si>
  <si>
    <t>OSAKIS PUBLIC SCHOOL DISTRICT</t>
  </si>
  <si>
    <t>CHATFIELD PUBLIC SCHOOLS</t>
  </si>
  <si>
    <t>LANESBORO PUBLIC SCHOOL DISTRICT</t>
  </si>
  <si>
    <t>MABEL-CANTON PUBLIC SCHOOL DIST.</t>
  </si>
  <si>
    <t>RUSHFORD-PETERSON PUBLIC SCHOOLS</t>
  </si>
  <si>
    <t>ALBERT LEA PUBLIC SCHOOL DISTRICT</t>
  </si>
  <si>
    <t>ALDEN-CONGER PUBLIC SCHOOL DISTRICT</t>
  </si>
  <si>
    <t>CANNON FALLS PUBLIC SCHOOL DISTRICT</t>
  </si>
  <si>
    <t>GOODHUE PUBLIC SCHOOL DISTRICT</t>
  </si>
  <si>
    <t>PINE ISLAND PUBLIC SCHOOL DIST.</t>
  </si>
  <si>
    <t>RED WING PUBLIC SCHOOL DISTRICT</t>
  </si>
  <si>
    <t>ASHBY PUBLIC SCHOOL DISTRICT</t>
  </si>
  <si>
    <t>HERMAN-NORCROSS SCHOOL DISTRICT</t>
  </si>
  <si>
    <t>HOPKINS PUBLIC SCHOOL DISTRICT</t>
  </si>
  <si>
    <t>BLOOMINGTON PUBLIC SCHOOL DISTRICT</t>
  </si>
  <si>
    <t>EDEN PRAIRIE PUBLIC SCHOOL DISTRICT</t>
  </si>
  <si>
    <t>EDINA PUBLIC SCHOOL DISTRICT</t>
  </si>
  <si>
    <t>MINNETONKA PUBLIC SCHOOL DISTRICT</t>
  </si>
  <si>
    <t>WESTONKA PUBLIC SCHOOL DISTRICT</t>
  </si>
  <si>
    <t>ORONO PUBLIC SCHOOL DISTRICT</t>
  </si>
  <si>
    <t>OSSEO PUBLIC SCHOOL DISTRICT</t>
  </si>
  <si>
    <t>RICHFIELD PUBLIC SCHOOL DISTRICT</t>
  </si>
  <si>
    <t>ROBBINSDALE PUBLIC SCHOOL DISTRICT</t>
  </si>
  <si>
    <t>ST. ANTHONY-NEW BRIGHTON SCHOOLS</t>
  </si>
  <si>
    <t>ST. LOUIS PARK PUBLIC SCHOOL DIST.</t>
  </si>
  <si>
    <t>WAYZATA PUBLIC SCHOOL DISTRICT</t>
  </si>
  <si>
    <t>BROOKLYN CENTER SCHOOL DISTRICT</t>
  </si>
  <si>
    <t>HOUSTON PUBLIC SCHOOL DISTRICT</t>
  </si>
  <si>
    <t>SPRING GROVE SCHOOL DISTRICT</t>
  </si>
  <si>
    <t>CALEDONIA PUBLIC SCHOOL DISTRICT</t>
  </si>
  <si>
    <t>LACRESCENT-HOKAH SCHOOL DISTRICT</t>
  </si>
  <si>
    <t>LAPORTE PUBLIC SCHOOL DISTRICT</t>
  </si>
  <si>
    <t>NEVIS PUBLIC SCHOOL DISTRICT</t>
  </si>
  <si>
    <t>PARK RAPIDS PUBLIC SCHOOL DISTRICT</t>
  </si>
  <si>
    <t>BRAHAM PUBLIC SCHOOL DISTRICT</t>
  </si>
  <si>
    <t>GREENWAY PUBLIC SCHOOL DISTRICT</t>
  </si>
  <si>
    <t>DEER RIVER PUBLIC SCHOOL DISTRICT</t>
  </si>
  <si>
    <t>GRAND RAPIDS PUBLIC SCHOOL DISTRICT</t>
  </si>
  <si>
    <t>NASHWAUK-KEEWATIN SCHOOL DISTRICT</t>
  </si>
  <si>
    <t>HERON LAKE-OKABENA SCHOOL DISTRICT</t>
  </si>
  <si>
    <t>MORA PUBLIC SCHOOL DISTRICT</t>
  </si>
  <si>
    <t>OGILVIE PUBLIC SCHOOL DISTRICT</t>
  </si>
  <si>
    <t>NEW LONDON-SPICER SCHOOL DISTRICT</t>
  </si>
  <si>
    <t>WILLMAR PUBLIC SCHOOL DISTRICT</t>
  </si>
  <si>
    <t>LANCASTER PUBLIC SCHOOL DISTRICT</t>
  </si>
  <si>
    <t>INTERNATIONAL FALLS SCHOOL DISTRICT</t>
  </si>
  <si>
    <t>LITTLEFORK-BIG FALLS SCHOOL DIST.</t>
  </si>
  <si>
    <t>SOUTH KOOCHICHING SCHOOL DISTRICT</t>
  </si>
  <si>
    <t>DAWSON-BOYD PUBLIC SCHOOL DISTRICT</t>
  </si>
  <si>
    <t>LAKE SUPERIOR PUBLIC SCHOOL DIST.</t>
  </si>
  <si>
    <t>LAKE OF THE WOODS SCHOOL DISTRICT</t>
  </si>
  <si>
    <t>CLEVELAND PUBLIC SCHOOL DISTRICT</t>
  </si>
  <si>
    <t>LECENTER PUBLIC SCHOOL DISTRICT</t>
  </si>
  <si>
    <t>MONTGOMERY-LONSDALE SCHOOL DISTRICT</t>
  </si>
  <si>
    <t>HENDRICKS PUBLIC SCHOOL DISTRICT</t>
  </si>
  <si>
    <t>IVANHOE PUBLIC SCHOOL DISTRICT</t>
  </si>
  <si>
    <t>LAKE BENTON PUBLIC SCHOOL DISTRICT</t>
  </si>
  <si>
    <t>MARSHALL PUBLIC SCHOOL DISTRICT</t>
  </si>
  <si>
    <t>MINNEOTA PUBLIC SCHOOL DISTRICT</t>
  </si>
  <si>
    <t>LYND PUBLIC SCHOOL DISTRICT</t>
  </si>
  <si>
    <t>HUTCHINSON PUBLIC SCHOOL DISTRICT</t>
  </si>
  <si>
    <t>LESTER PRAIRIE PUBLIC SCHOOL DIST.</t>
  </si>
  <si>
    <t>MAHNOMEN PUBLIC SCHOOL DISTRICT</t>
  </si>
  <si>
    <t>WAUBUN PUBLIC SCHOOL DISTRICT</t>
  </si>
  <si>
    <t>MARSHALL COUNTY CENTRAL SCHOOLS</t>
  </si>
  <si>
    <t>GRYGLA PUBLIC SCHOOL DISTRICT</t>
  </si>
  <si>
    <t>TRUMAN PUBLIC SCHOOL DISTRICT</t>
  </si>
  <si>
    <t>EDEN VALLEY-WATKINS SCHOOL DISTRICT</t>
  </si>
  <si>
    <t>LITCHFIELD PUBLIC SCHOOL DISTRICT</t>
  </si>
  <si>
    <t>DASSEL-COKATO PUBLIC SCHOOL DIST.</t>
  </si>
  <si>
    <t>ISLE PUBLIC SCHOOL DISTRICT</t>
  </si>
  <si>
    <t>PRINCETON PUBLIC SCHOOL DISTRICT</t>
  </si>
  <si>
    <t>ONAMIA PUBLIC SCHOOL DISTRICT</t>
  </si>
  <si>
    <t>LITTLE FALLS PUBLIC SCHOOL DISTRICT</t>
  </si>
  <si>
    <t>PIERZ PUBLIC SCHOOL DISTRICT</t>
  </si>
  <si>
    <t>ROYALTON PUBLIC SCHOOL DISTRICT</t>
  </si>
  <si>
    <t>SWANVILLE PUBLIC SCHOOL DISTRICT</t>
  </si>
  <si>
    <t>UPSALA PUBLIC SCHOOL DISTRICT</t>
  </si>
  <si>
    <t>AUSTIN PUBLIC SCHOOL DISTRICT</t>
  </si>
  <si>
    <t>GRAND MEADOW PUBLIC SCHOOL DISTRICT</t>
  </si>
  <si>
    <t>LYLE PUBLIC SCHOOL DISTRICT</t>
  </si>
  <si>
    <t>LEROY PUBLIC SCHOOL DISTRICT</t>
  </si>
  <si>
    <t>SOUTHLAND PUBLIC SCHOOL DISTRICT</t>
  </si>
  <si>
    <t>FULDA PUBLIC SCHOOL DISTRICT</t>
  </si>
  <si>
    <t>NICOLLET PUBLIC SCHOOL DISTRICT</t>
  </si>
  <si>
    <t>ST. PETER PUBLIC SCHOOL DISTRICT</t>
  </si>
  <si>
    <t>ADRIAN PUBLIC SCHOOL DISTRICT</t>
  </si>
  <si>
    <t>BREWSTER PUBLIC SCHOOL DISTRICT</t>
  </si>
  <si>
    <t>ELLSWORTH PUBLIC SCHOOL DISTRICT</t>
  </si>
  <si>
    <t>ROUND LAKE PUBLIC SCHOOL DISTRICT</t>
  </si>
  <si>
    <t>WORTHINGTON PUBLIC SCHOOL DISTRICT</t>
  </si>
  <si>
    <t>BYRON PUBLIC SCHOOL DISTRICT</t>
  </si>
  <si>
    <t>DOVER-EYOTA PUBLIC SCHOOL DISTRICT</t>
  </si>
  <si>
    <t>STEWARTVILLE PUBLIC SCHOOL DISTRICT</t>
  </si>
  <si>
    <t>ROCHESTER PUBLIC SCHOOL DISTRICT</t>
  </si>
  <si>
    <t>BATTLE LAKE PUBLIC SCHOOL DISTRICT</t>
  </si>
  <si>
    <t>FERGUS FALLS PUBLIC SCHOOL DISTRICT</t>
  </si>
  <si>
    <t>HENNING PUBLIC SCHOOL DISTRICT</t>
  </si>
  <si>
    <t>PARKERS PRAIRIE PUBLIC SCHOOL DIST.</t>
  </si>
  <si>
    <t>PELICAN RAPIDS PUBLIC SCHOOL DIST.</t>
  </si>
  <si>
    <t>PERHAM PUBLIC SCHOOL DISTRICT</t>
  </si>
  <si>
    <t>UNDERWOOD PUBLIC SCHOOL DISTRICT</t>
  </si>
  <si>
    <t>NEW YORK MILLS PUBLIC SCHOOL DIST.</t>
  </si>
  <si>
    <t>GOODRIDGE PUBLIC SCHOOL DISTRICT</t>
  </si>
  <si>
    <t>THIEF RIVER FALLS SCHOOL DISTRICT</t>
  </si>
  <si>
    <t>WILLOW RIVER PUBLIC SCHOOL DISTRICT</t>
  </si>
  <si>
    <t>PINE CITY PUBLIC SCHOOL DISTRICT</t>
  </si>
  <si>
    <t>EDGERTON PUBLIC SCHOOL DISTRICT</t>
  </si>
  <si>
    <t>CLIMAX PUBLIC SCHOOL DISTRICT</t>
  </si>
  <si>
    <t>CROOKSTON PUBLIC SCHOOL DISTRICT</t>
  </si>
  <si>
    <t>EAST GRAND FORKS PUBLIC SCHOOL DIST</t>
  </si>
  <si>
    <t>FERTILE-BELTRAMI SCHOOL DISTRICT</t>
  </si>
  <si>
    <t>FISHER PUBLIC SCHOOL DISTRICT</t>
  </si>
  <si>
    <t>FOSSTON PUBLIC SCHOOL DISTRICT</t>
  </si>
  <si>
    <t>CYRUS PUBLIC SCHOOL DISTRICT</t>
  </si>
  <si>
    <t>MOUNDS VIEW PUBLIC SCHOOL DISTRICT</t>
  </si>
  <si>
    <t>NORTH ST PAUL-MAPLEWOOD SCHOOL DIST</t>
  </si>
  <si>
    <t>ROSEVILLE PUBLIC SCHOOL DISTRICT</t>
  </si>
  <si>
    <t>WHITE BEAR LAKE SCHOOL DISTRICT</t>
  </si>
  <si>
    <t>ST. PAUL PUBLIC SCHOOL DISTRICT</t>
  </si>
  <si>
    <t>OKLEE PUBLIC SCHOOL DISTRICT</t>
  </si>
  <si>
    <t>PLUMMER PUBLIC SCHOOL DISTRICT</t>
  </si>
  <si>
    <t>RED LAKE FALLS PUBLIC SCHOOL DIST.</t>
  </si>
  <si>
    <t>MILROY PUBLIC SCHOOL DISTRICT</t>
  </si>
  <si>
    <t>WABASSO PUBLIC SCHOOL DISTRICT</t>
  </si>
  <si>
    <t>FARIBAULT PUBLIC SCHOOL DISTRICT</t>
  </si>
  <si>
    <t>NORTHFIELD PUBLIC SCHOOL DISTRICT</t>
  </si>
  <si>
    <t>HILLS-BEAVER CREEK SCHOOL DISTRICT</t>
  </si>
  <si>
    <t>BADGER PUBLIC SCHOOL DISTRICT</t>
  </si>
  <si>
    <t>ROSEAU PUBLIC SCHOOL DISTRICT</t>
  </si>
  <si>
    <t>WARROAD PUBLIC SCHOOL DISTRICT</t>
  </si>
  <si>
    <t>CHISHOLM PUBLIC SCHOOL DISTRICT</t>
  </si>
  <si>
    <t>ELY PUBLIC SCHOOL DISTRICT</t>
  </si>
  <si>
    <t>FLOODWOOD PUBLIC SCHOOL DISTRICT</t>
  </si>
  <si>
    <t>HERMANTOWN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</si>
  <si>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</si>
  <si>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</si>
  <si>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</si>
  <si>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</si>
  <si>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</si>
  <si>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</si>
  <si>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BELLE PLAINE PUBLIC SCHOOL DISTRICT</t>
  </si>
  <si>
    <t>JORDAN PUBLIC SCHOOL DISTRICT</t>
  </si>
  <si>
    <t>PRIOR LAKE-SAVAGE AREA SCHOOLS</t>
  </si>
  <si>
    <t>SHAKOPEE PUBLIC SCHOOL DISTRICT</t>
  </si>
  <si>
    <t>NEW PRAGUE AREA SCHOOLS</t>
  </si>
  <si>
    <t>BECKER PUBLIC SCHOOL DISTRICT</t>
  </si>
  <si>
    <t>BIG LAKE PUBLIC SCHOOL DISTRICT</t>
  </si>
  <si>
    <t>ELK RIVER PUBLIC SCHOOL DISTRICT</t>
  </si>
  <si>
    <t>HOLDINGFORD PUBLIC SCHOOL DISTRICT</t>
  </si>
  <si>
    <t>KIMBALL PUBLIC SCHOOL DISTRICT</t>
  </si>
  <si>
    <t>MELROSE PUBLIC SCHOOL DISTRICT</t>
  </si>
  <si>
    <t>PAYNESVILLE PUBLIC SCHOOL DISTRICT</t>
  </si>
  <si>
    <t>ST. CLOUD PUBLIC SCHOOL DISTRICT</t>
  </si>
  <si>
    <t>SAUK CENTRE PUBLIC SCHOOL DISTRICT</t>
  </si>
  <si>
    <t>ALBANY PUBLIC SCHOOL DISTRICT</t>
  </si>
  <si>
    <t>SARTELL-ST. STEPHEN SCHOOL DISTRICT</t>
  </si>
  <si>
    <t>ROCORI PUBLIC SCHOOL DISTRICT</t>
  </si>
  <si>
    <t>BLOOMING PRAIRIE PUBLIC SCHOOL DIST</t>
  </si>
  <si>
    <t>OWATONNA PUBLIC SCHOOL DISTRICT</t>
  </si>
  <si>
    <t>MEDFORD PUBLIC SCHOOL DISTRICT</t>
  </si>
  <si>
    <t>HANCOCK PUBLIC SCHOOL DISTRICT</t>
  </si>
  <si>
    <t>MORRIS PUBLIC SCHOOL DISTRICT</t>
  </si>
  <si>
    <t>CHOKIO-ALBERTA PUBLIC SCHOOL DIST.</t>
  </si>
  <si>
    <t>KERKHOVEN-MURDOCK-SUNBURG</t>
  </si>
  <si>
    <t>BENSON PUBLIC SCHOOL DISTRICT</t>
  </si>
  <si>
    <t>BERTHA-HEWITT PUBLIC SCHOOL DIST.</t>
  </si>
  <si>
    <t>BROWERVILLE PUBLIC SCHOOL DISTRICT</t>
  </si>
  <si>
    <t>BROWNS VALLEY PUBLIC SCHOOL DIST.</t>
  </si>
  <si>
    <t>WHEATON AREA PUBLIC SCHOOL DISTRICT</t>
  </si>
  <si>
    <t>WABASHA-KELLOGG PUBLIC SCHOOL DIST.</t>
  </si>
  <si>
    <t>LAKE CITY PUBLIC SCHOOL DISTRICT</t>
  </si>
  <si>
    <t>PRINSBURG</t>
  </si>
  <si>
    <t>VERNDALE PUBLIC SCHOOL DISTRICT</t>
  </si>
  <si>
    <t>SEBEKA PUBLIC SCHOOL DISTRICT</t>
  </si>
  <si>
    <t>MENAHGA PUBLIC SCHOOL DISTRICT</t>
  </si>
  <si>
    <t>WASECA PUBLIC SCHOOL DISTRICT</t>
  </si>
  <si>
    <t>FOREST LAKE PUBLIC SCHOOL DISTRICT</t>
  </si>
  <si>
    <t>MAHTOMEDI PUBLIC SCHOOL DISTRICT</t>
  </si>
  <si>
    <t>SOUTH WASHINGTON COUNTY SCHOOL DIST</t>
  </si>
  <si>
    <t>STILLWATER AREA PUBLIC SCHOOL DIST.</t>
  </si>
  <si>
    <t>BUTTERFIELD PUBLIC SCHOOL DISTRICT</t>
  </si>
  <si>
    <t>MADELIA PUBLIC SCHOOL DISTRICT</t>
  </si>
  <si>
    <t>ST. JAMES PUBLIC SCHOOL DISTRICT</t>
  </si>
  <si>
    <t>BRECKENRIDGE PUBLIC SCHOOL DISTRICT</t>
  </si>
  <si>
    <t>ROTHSAY PUBLIC SCHOOL DISTRICT</t>
  </si>
  <si>
    <t>CAMPBELL-TINTAH PUBLIC SCHOOL DIST.</t>
  </si>
  <si>
    <t>LEWISTON-ALTURA PUBLIC SCHOOL DIST.</t>
  </si>
  <si>
    <t>ST. CHARLES PUBLIC SCHOOL DISTRICT</t>
  </si>
  <si>
    <t>WINONA AREA PUBLIC SCHOOL DISTRICT</t>
  </si>
  <si>
    <t>ANNANDALE PUBLIC SCHOOL DISTRICT</t>
  </si>
  <si>
    <t>BUFFALO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</si>
  <si>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</si>
  <si>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</si>
  <si>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</si>
  <si>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</si>
  <si>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ST. MICHAEL-ALBERTVILLE SCHOOL DIST</t>
  </si>
  <si>
    <t>CANBY PUBLIC SCHOOL DISTRICT</t>
  </si>
  <si>
    <t>CAMBRIDGE-ISANTI PUBLIC SCHOOL DIST</t>
  </si>
  <si>
    <t>MILACA PUBLIC SCHOOL DISTRICT</t>
  </si>
  <si>
    <t>ULEN-HITTERDAL PUBLIC SCHOOL DIST</t>
  </si>
  <si>
    <t>LAKE CRYSTAL-WELLCOME MEMORIAL</t>
  </si>
  <si>
    <t>TRITON SCHOOL DISTRICT</t>
  </si>
  <si>
    <t>UNITED SOUTH CENTRAL SCHOOL DIST.</t>
  </si>
  <si>
    <t>MAPLE RIVER SCHOOL DISTRICT</t>
  </si>
  <si>
    <t>KINGSLAND PUBLIC SCHOOL DISTRICT</t>
  </si>
  <si>
    <t>ST. LOUIS COUNTY SCHOOL DISTRICT</t>
  </si>
  <si>
    <t>WATERVILLE-ELYSIAN-MORRISTOWN</t>
  </si>
  <si>
    <t>CHISAGO LAKES SCHOOL DISTRICT</t>
  </si>
  <si>
    <t>MINNEWASKA SCHOOL DISTRICT</t>
  </si>
  <si>
    <t>EVELETH-GILBERT SCHOOL DISTRICT</t>
  </si>
  <si>
    <t>WADENA-DEER CREEK SCHOOL DISTRICT</t>
  </si>
  <si>
    <t>BUFFALO LAKE-HECTOR SCHOOL DISTRICT</t>
  </si>
  <si>
    <t>DILWORTH-GLYNDON-FELTON</t>
  </si>
  <si>
    <t>HINCKLEY-FINLAYSON SCHOOL DISTRICT</t>
  </si>
  <si>
    <t>LAKEVIEW SCHOOL DISTRICT</t>
  </si>
  <si>
    <t>NRHEG SCHOOL DISTRICT</t>
  </si>
  <si>
    <t>MURRAY COUNTY CENTRAL SCHOOL DIST.</t>
  </si>
  <si>
    <t>STAPLES-MOTLEY SCHOOL DISTRICT</t>
  </si>
  <si>
    <t>KITTSON CENTRAL SCHOOL DISTRICT</t>
  </si>
  <si>
    <t>KENYON-WANAMINGO SCHOOL DISTRICT</t>
  </si>
  <si>
    <t>PINE RIVER-BACKUS SCHOOL DISTRICT</t>
  </si>
  <si>
    <t>WARREN-ALVARADO-OSLO SCHOOL DIST.</t>
  </si>
  <si>
    <t>M.A.C.C.R.A.Y. SCHOOL DISTRICT</t>
  </si>
  <si>
    <t>LUVERNE PUBLIC SCHOOL DISTRICT</t>
  </si>
  <si>
    <t>YELLOW MEDICINE EAST</t>
  </si>
  <si>
    <t>FILLMORE CENTRAL</t>
  </si>
  <si>
    <t>NORMAN COUNTY EAST SCHOOL DISTRICT</t>
  </si>
  <si>
    <t>SIBLEY EAST SCHOOL DISTRICT</t>
  </si>
  <si>
    <t>CLEARBROOK-GONVICK SCHOOL DISTRICT</t>
  </si>
  <si>
    <t>WEST CENTRAL AREA</t>
  </si>
  <si>
    <t>TRI-COUNTY SCHOOL DISTRICT</t>
  </si>
  <si>
    <t>BELGRADE-BROOTEN-ELROSA SCHOOL DIST</t>
  </si>
  <si>
    <t>G.F.W.</t>
  </si>
  <si>
    <t>A.C.G.C.</t>
  </si>
  <si>
    <t>LESUEUR-HENDERSON SCHOOL DISTRICT</t>
  </si>
  <si>
    <t>MARTIN COUNTY WEST SCHOOL DISTRICT</t>
  </si>
  <si>
    <t>NORMAN COUNTY WEST SCHOOL DISTRICT</t>
  </si>
  <si>
    <t>BIRD ISLAND-OLIVIA-LAKE LILLIAN</t>
  </si>
  <si>
    <t>GRANADA HUNTLEY-EAST CHAIN</t>
  </si>
  <si>
    <t>EAST CENTRAL SCHOOL DISTRICT</t>
  </si>
  <si>
    <t>WIN-E-MAC SCHOOL DISTRICT</t>
  </si>
  <si>
    <t>GREENBUSH-MIDDLE RIVER SCHOOL DIST.</t>
  </si>
  <si>
    <t>HOWARD LAKE-WAVERLY-WINSTED</t>
  </si>
  <si>
    <t>PIPESTONE AREA SCHOOL DISTRICT</t>
  </si>
  <si>
    <t>MESABI EAST SCHOOL DISTRICT</t>
  </si>
  <si>
    <t>FAIRMONT AREA SCHOOL DISTRICT</t>
  </si>
  <si>
    <t>LONG PRAIRIE-GREY EAGLE SCHOOL DIST</t>
  </si>
  <si>
    <t>CEDAR MOUNTAIN SCHOOL DISTRICT</t>
  </si>
  <si>
    <t>EAGLE VALLEY PUBLIC SCHOOL DISTRICT</t>
  </si>
  <si>
    <t>ZUMBROTA-MAZEPPA SCHOOL DISTRICT</t>
  </si>
  <si>
    <t>JANESVILLE-WALDORF-PEMBERTON</t>
  </si>
  <si>
    <t>LAC QUI PARLE VALLEY SCHOOL DIST.</t>
  </si>
  <si>
    <t>ADA-BORUP PUBLIC SCHOOL DISTRICT</t>
  </si>
  <si>
    <t>STEPHEN-ARGYLE CENTRAL SCHOOLS</t>
  </si>
  <si>
    <t>GLENCOE-SILVER LAKE SCHOOL DISTRICT</t>
  </si>
  <si>
    <t>BLUE EARTH AREA PUBLIC SCHOOL</t>
  </si>
  <si>
    <t>RED ROCK CENTRAL SCHOOL DISTRICT</t>
  </si>
  <si>
    <t>GLENVILLE-EMMONS SCHOOL DISTRICT</t>
  </si>
  <si>
    <t>CLINTON-GRACEVILLE-BEARDSLEY</t>
  </si>
  <si>
    <t>LAKE PARK AUDUBON SCHOOL DISTRICT</t>
  </si>
  <si>
    <t>RENVILLE COUNTY WEST SCHOOL DIST.</t>
  </si>
  <si>
    <t>JACKSON COUNTY CENTRAL SCHOOL DIST.</t>
  </si>
  <si>
    <t>REDWOOD AREA SCHOOL DISTRICT</t>
  </si>
  <si>
    <t>WESTBROOK-WALNUT GROVE SCHOOLS</t>
  </si>
  <si>
    <t>PLAINVIEW-ELGIN-MILLVILLE</t>
  </si>
  <si>
    <t>RTR PUBLIC SCHOOLS</t>
  </si>
  <si>
    <t>ORTONVILLE PUBLIC SCHOOLS</t>
  </si>
  <si>
    <t>TRACY AREA PUBLIC SCHOOL DISTRICT</t>
  </si>
  <si>
    <t>Fall 2008 Age 0-4 Census, Used for Levy</t>
  </si>
  <si>
    <t>Fall 2009 Age 0-4 Census, Used for Final Revenue</t>
  </si>
  <si>
    <t>Adjusted Net Tax Capacity (ANTC)</t>
  </si>
  <si>
    <t>Estimated FY 2011 ECFE Revenue Limit, Used for Levy = $120 x Fall 2008 Age 0-4 Population</t>
  </si>
  <si>
    <t>Revised/Final FY 2011 ECFE Revenue Limit = $120 x Fall 2009 Age 0-4 Population</t>
  </si>
  <si>
    <t>Certified 2009 - Pay 2010 Levy Limit - Lesser of 2008 ANTC x 0.0033792 -or- $120 x 2008 Age 0-4 Census</t>
  </si>
  <si>
    <t>Revised FY 2011 Levy Authority = Lesser of 2008 ANTC x 0.0033792 -or- $120 x 2009 Age 0-4 Census</t>
  </si>
  <si>
    <t>Certified 2009 - Pay 2010 Levy</t>
  </si>
  <si>
    <t>Revised Aid Limit = Revised Revenue Limit - Revised Levy Authority</t>
  </si>
  <si>
    <t>Fy 2011 Initial Aid Entitlement = Aid Limit x Percent of Levy Certified</t>
  </si>
  <si>
    <t>Home Visiting Levy Authority = $1.60 x Fall 2009 Age 0-4 Census</t>
  </si>
  <si>
    <t>FY 2009 ECFE Fund Balance Limit</t>
  </si>
  <si>
    <t>Adjusted Three-Year Average ECFE Reserve Account Fund Balance</t>
  </si>
  <si>
    <t>FY 2010 ECFE Aid Entitlement and Levy Authority</t>
  </si>
  <si>
    <t>FY 2010 Revenue, Other Sources</t>
  </si>
  <si>
    <t>FY 2010 Total ECFE Program Revenue</t>
  </si>
  <si>
    <t>Limit = 0.25 x FY 2010 Total Program Revenue</t>
  </si>
  <si>
    <t>(B) FY 2009 Adjustment for Excess Fund Balance</t>
  </si>
  <si>
    <t>(D) FY 2010 Adjusment for Excess Fund Balance</t>
  </si>
  <si>
    <t>(E) FY 2010 Fund Balance Limit Waiver</t>
  </si>
  <si>
    <t>(A-B+C-D-E+F)/3 = Adjusted Average Fund Balance</t>
  </si>
  <si>
    <t>Levy Adjustment (Certify 2011 - Payable 2012)</t>
  </si>
  <si>
    <t>Aid Entitlement Adjustment</t>
  </si>
  <si>
    <t>FY 2011 Levy Authority, Adjusted for Excess Fund Balance</t>
  </si>
  <si>
    <t xml:space="preserve">AITKIN          </t>
  </si>
  <si>
    <t xml:space="preserve">MINNEAPOLIS     </t>
  </si>
  <si>
    <t xml:space="preserve">HILL CITY       </t>
  </si>
  <si>
    <t xml:space="preserve">MCGREGOR        </t>
  </si>
  <si>
    <t xml:space="preserve">SOUTH ST. PAUL  </t>
  </si>
  <si>
    <t xml:space="preserve">ANOKA-HENNEPIN  </t>
  </si>
  <si>
    <t xml:space="preserve">CENTENNIAL      </t>
  </si>
  <si>
    <t>COLUMBIA HEIGHTS</t>
  </si>
  <si>
    <t xml:space="preserve">FRIDLEY         </t>
  </si>
  <si>
    <t xml:space="preserve">ST. FRANCIS     </t>
  </si>
  <si>
    <t>SPRING LAKE PARK</t>
  </si>
  <si>
    <t xml:space="preserve">DETROIT LAKES   </t>
  </si>
  <si>
    <t xml:space="preserve">FRAZEE-VERGAS   </t>
  </si>
  <si>
    <t xml:space="preserve">PINE POINT      </t>
  </si>
  <si>
    <t xml:space="preserve">BEMIDJI         </t>
  </si>
  <si>
    <t xml:space="preserve">BLACKDUCK       </t>
  </si>
  <si>
    <t xml:space="preserve">KELLIHER        </t>
  </si>
  <si>
    <t xml:space="preserve">RED LAKE        </t>
  </si>
  <si>
    <t xml:space="preserve">SAUK RAPIDS     </t>
  </si>
  <si>
    <t xml:space="preserve">FOLEY           </t>
  </si>
  <si>
    <t xml:space="preserve">ST. CLAIR       </t>
  </si>
  <si>
    <t xml:space="preserve">MANKATO         </t>
  </si>
  <si>
    <t xml:space="preserve">COMFREY         </t>
  </si>
  <si>
    <t xml:space="preserve">SLEEPY EYE      </t>
  </si>
  <si>
    <t xml:space="preserve">SPRINGFIELD     </t>
  </si>
  <si>
    <t xml:space="preserve">NEW ULM         </t>
  </si>
  <si>
    <t xml:space="preserve">BARNUM          </t>
  </si>
  <si>
    <t xml:space="preserve">CARLTON         </t>
  </si>
  <si>
    <t xml:space="preserve">CLOQUET         </t>
  </si>
  <si>
    <t xml:space="preserve">CROMWELL-WRIGHT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</si>
  <si>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</si>
  <si>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</si>
  <si>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</si>
  <si>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</si>
  <si>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</si>
  <si>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WATERTOWN-MAYER </t>
  </si>
  <si>
    <t xml:space="preserve">CHASKA          </t>
  </si>
  <si>
    <t>WALKER-HACKENSAC</t>
  </si>
  <si>
    <t>CASS LAKE-BENA S</t>
  </si>
  <si>
    <t xml:space="preserve">PILLAGER        </t>
  </si>
  <si>
    <t>NORTHLAND COMMUN</t>
  </si>
  <si>
    <t xml:space="preserve">MONTEVIDEO      </t>
  </si>
  <si>
    <t xml:space="preserve">NORTH BRANCH    </t>
  </si>
  <si>
    <t xml:space="preserve">RUSH CITY    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</si>
  <si>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</si>
  <si>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</si>
  <si>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</si>
  <si>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</si>
  <si>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</si>
  <si>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MOUNTAIN LAKE   </t>
  </si>
  <si>
    <t xml:space="preserve">WINDOM          </t>
  </si>
  <si>
    <t xml:space="preserve">BRAINERD        </t>
  </si>
  <si>
    <t xml:space="preserve">CROSBY-IRONTON  </t>
  </si>
  <si>
    <t xml:space="preserve">PEQUOT LAKES    </t>
  </si>
  <si>
    <t xml:space="preserve">BURNSVILLE      </t>
  </si>
  <si>
    <t xml:space="preserve">FARMINGTON      </t>
  </si>
  <si>
    <t xml:space="preserve">LAKEVILLE       </t>
  </si>
  <si>
    <t xml:space="preserve">RANDOLPH        </t>
  </si>
  <si>
    <t xml:space="preserve">ROSEMOUNT-APPLE </t>
  </si>
  <si>
    <t>WEST ST. PAUL-ME</t>
  </si>
  <si>
    <t>INVER GROVE HEIG</t>
  </si>
  <si>
    <t xml:space="preserve">HASTINGS        </t>
  </si>
  <si>
    <t xml:space="preserve">HAYFIELD        </t>
  </si>
  <si>
    <t>KASSON-MANTORVIL</t>
  </si>
  <si>
    <t xml:space="preserve">ALEXANDRIA      </t>
  </si>
  <si>
    <t xml:space="preserve">BRANDON         </t>
  </si>
  <si>
    <t xml:space="preserve">EVANSVILLE      </t>
  </si>
  <si>
    <t xml:space="preserve">OSAKIS          </t>
  </si>
  <si>
    <t xml:space="preserve">CHATFIELD       </t>
  </si>
  <si>
    <t xml:space="preserve">LANESBORO       </t>
  </si>
  <si>
    <t xml:space="preserve">MABEL-CANTON    </t>
  </si>
  <si>
    <t>RUSHFORD-PETERSO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</si>
  <si>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</si>
  <si>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</si>
  <si>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</si>
  <si>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</si>
  <si>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</si>
  <si>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</si>
  <si>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</si>
  <si>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HERMAN-NORCROSS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</si>
  <si>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</si>
  <si>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</si>
  <si>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</si>
  <si>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</si>
  <si>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</si>
  <si>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</si>
  <si>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          </t>
  </si>
  <si>
    <t xml:space="preserve">OSSEO           </t>
  </si>
  <si>
    <t xml:space="preserve">RICHFIELD       </t>
  </si>
  <si>
    <t xml:space="preserve">ROBBINSDALE     </t>
  </si>
  <si>
    <t xml:space="preserve">ST. ANTHONY-NEW </t>
  </si>
  <si>
    <t xml:space="preserve">ST. LOUIS PARK  </t>
  </si>
  <si>
    <t xml:space="preserve">WAYZATA         </t>
  </si>
  <si>
    <t xml:space="preserve">BROOKLYN CENTER </t>
  </si>
  <si>
    <t xml:space="preserve">HOUSTON         </t>
  </si>
  <si>
    <t xml:space="preserve">SPRING GROVE    </t>
  </si>
  <si>
    <t xml:space="preserve">CALEDONIA       </t>
  </si>
  <si>
    <t>LACRESCENT-HOKAH</t>
  </si>
  <si>
    <t xml:space="preserve">LAPORTE         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</si>
  <si>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</si>
  <si>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</si>
  <si>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</si>
  <si>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</si>
  <si>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</si>
  <si>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GRAND RAPIDS    </t>
  </si>
  <si>
    <t>NASHWAUK-KEEWATI</t>
  </si>
  <si>
    <t>HERON LAKE-OKABE</t>
  </si>
  <si>
    <t xml:space="preserve">MORA            </t>
  </si>
  <si>
    <t xml:space="preserve">OGILVIE         </t>
  </si>
  <si>
    <t>NEW LONDON-SPICE</t>
  </si>
  <si>
    <t xml:space="preserve">WILLMAR         </t>
  </si>
  <si>
    <t xml:space="preserve">LANCASTER       </t>
  </si>
  <si>
    <t>INTERNATIONAL FA</t>
  </si>
  <si>
    <t>LITTLEFORK-BIG F</t>
  </si>
  <si>
    <t>SOUTH KOOCHICHIN</t>
  </si>
  <si>
    <t xml:space="preserve">DAWSON-BOYD     </t>
  </si>
  <si>
    <t xml:space="preserve">LAKE SUPERIOR   </t>
  </si>
  <si>
    <t>LAKE OF THE WOOD</t>
  </si>
  <si>
    <t>CLEVELAND PUBLIC</t>
  </si>
  <si>
    <t xml:space="preserve">LECENTER        </t>
  </si>
  <si>
    <t>MONTGOMERY-LONSD</t>
  </si>
  <si>
    <t xml:space="preserve">HENDRICKS       </t>
  </si>
  <si>
    <t xml:space="preserve">IVANHOE         </t>
  </si>
  <si>
    <t xml:space="preserve">LAKE BENTON     </t>
  </si>
  <si>
    <t xml:space="preserve">MARSHALL        </t>
  </si>
  <si>
    <t xml:space="preserve">MINNEOTA        </t>
  </si>
  <si>
    <t xml:space="preserve">LYND            </t>
  </si>
  <si>
    <t xml:space="preserve">HUTCHINSON      </t>
  </si>
  <si>
    <t xml:space="preserve">LESTER PRAIRIE  </t>
  </si>
  <si>
    <t xml:space="preserve">MAHNOMEN        </t>
  </si>
  <si>
    <t xml:space="preserve">WAUBUN          </t>
  </si>
  <si>
    <t xml:space="preserve">MARSHALL COUNTY </t>
  </si>
  <si>
    <t xml:space="preserve">GRYGLA          </t>
  </si>
  <si>
    <t xml:space="preserve">TRUMAN          </t>
  </si>
  <si>
    <t>EDEN VALLEY-WATK</t>
  </si>
  <si>
    <t xml:space="preserve">LITCHFIELD      </t>
  </si>
  <si>
    <t xml:space="preserve">DASSEL-COKATO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</si>
  <si>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</si>
  <si>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</si>
  <si>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</si>
  <si>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</si>
  <si>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</si>
  <si>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</si>
  <si>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</si>
  <si>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</si>
  <si>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</si>
  <si>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GRAND MEADOW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</si>
  <si>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</si>
  <si>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</si>
  <si>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</si>
  <si>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</si>
  <si>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</si>
  <si>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</si>
  <si>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</si>
  <si>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BREWSTER        </t>
  </si>
  <si>
    <t xml:space="preserve">ELLSWORTH       </t>
  </si>
  <si>
    <t xml:space="preserve">ROUND LAKE      </t>
  </si>
  <si>
    <t xml:space="preserve">WORTHINGTON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</si>
  <si>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</si>
  <si>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</si>
  <si>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</si>
  <si>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</si>
  <si>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</si>
  <si>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</si>
  <si>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</si>
  <si>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PARKERS PRAIRIE </t>
  </si>
  <si>
    <t xml:space="preserve">PELICAN RAPIDS  </t>
  </si>
  <si>
    <t xml:space="preserve">PERHAM          </t>
  </si>
  <si>
    <t xml:space="preserve">UNDERWOOD       </t>
  </si>
  <si>
    <t xml:space="preserve">NEW YORK MILLS  </t>
  </si>
  <si>
    <t xml:space="preserve">GOODRIDGE       </t>
  </si>
  <si>
    <t>THIEF RIVER FALL</t>
  </si>
  <si>
    <t xml:space="preserve">WILLOW RIVER    </t>
  </si>
  <si>
    <t xml:space="preserve">PINE CITY       </t>
  </si>
  <si>
    <t xml:space="preserve">EDGERTON        </t>
  </si>
  <si>
    <t xml:space="preserve">CLIMAX          </t>
  </si>
  <si>
    <t xml:space="preserve">CROOKSTON       </t>
  </si>
  <si>
    <t>EAST GRAND FORKS</t>
  </si>
  <si>
    <t>FERTILE-BELTRAMI</t>
  </si>
  <si>
    <t xml:space="preserve">FISHER          </t>
  </si>
  <si>
    <t xml:space="preserve">FOSSTON         </t>
  </si>
  <si>
    <t xml:space="preserve">CYRUS    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</si>
  <si>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</si>
  <si>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</si>
  <si>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</si>
  <si>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</si>
  <si>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</si>
  <si>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OKLEE           </t>
  </si>
  <si>
    <t xml:space="preserve">PLUMMER         </t>
  </si>
  <si>
    <t xml:space="preserve">RED LAKE FALLS  </t>
  </si>
  <si>
    <t xml:space="preserve">MILROY          </t>
  </si>
  <si>
    <t xml:space="preserve">WABASSO         </t>
  </si>
  <si>
    <t xml:space="preserve">FARIBAULT       </t>
  </si>
  <si>
    <t xml:space="preserve">NORTHFIELD      </t>
  </si>
  <si>
    <t>HILLS-BEAVER CRE</t>
  </si>
  <si>
    <t xml:space="preserve">BADGER          </t>
  </si>
  <si>
    <t xml:space="preserve">ROSEAU          </t>
  </si>
  <si>
    <t xml:space="preserve">WARROAD         </t>
  </si>
  <si>
    <t xml:space="preserve">CHISHOLM        </t>
  </si>
  <si>
    <t xml:space="preserve">ELY             </t>
  </si>
  <si>
    <t xml:space="preserve">FLOODWOOD       </t>
  </si>
  <si>
    <t xml:space="preserve">HERMANTOWN      </t>
  </si>
  <si>
    <t xml:space="preserve">HIBBING         </t>
  </si>
  <si>
    <t xml:space="preserve">PROCTOR         </t>
  </si>
  <si>
    <t xml:space="preserve">VIRGINIA        </t>
  </si>
  <si>
    <t xml:space="preserve">NETT LAKE       </t>
  </si>
  <si>
    <t xml:space="preserve">DULUTH          </t>
  </si>
  <si>
    <t>MOUNTAIN IRON-BU</t>
  </si>
  <si>
    <t xml:space="preserve">BELLE PLAINE    </t>
  </si>
  <si>
    <t xml:space="preserve">JORDAN          </t>
  </si>
  <si>
    <t>PRIOR LAKE-SAVAG</t>
  </si>
  <si>
    <t xml:space="preserve">SHAKOPEE        </t>
  </si>
  <si>
    <t xml:space="preserve">NEW PRAGUE AREA </t>
  </si>
  <si>
    <t xml:space="preserve">BECKER          </t>
  </si>
  <si>
    <t xml:space="preserve">BIG LAKE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</si>
  <si>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</si>
  <si>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</si>
  <si>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</si>
  <si>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</si>
  <si>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</si>
  <si>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</si>
  <si>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</si>
  <si>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</si>
  <si>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</si>
  <si>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</si>
  <si>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>BLOOMING PRAIRIE</t>
  </si>
  <si>
    <t xml:space="preserve">OWATONNA        </t>
  </si>
  <si>
    <t xml:space="preserve">MEDFORD         </t>
  </si>
  <si>
    <t xml:space="preserve">HANCOCK         </t>
  </si>
  <si>
    <t xml:space="preserve">MORRIS          </t>
  </si>
  <si>
    <t xml:space="preserve">CHOKIO-ALBERTA  </t>
  </si>
  <si>
    <t>KERKHOVEN-MURDOC</t>
  </si>
  <si>
    <t xml:space="preserve">BENSON          </t>
  </si>
  <si>
    <t xml:space="preserve">BERTHA-HEWITT   </t>
  </si>
  <si>
    <t xml:space="preserve">BROWERVILLE     </t>
  </si>
  <si>
    <t xml:space="preserve">BROWNS VALLEY   </t>
  </si>
  <si>
    <t>WHEATON AREA SCH</t>
  </si>
  <si>
    <t xml:space="preserve">WABASHA-KELLOGG </t>
  </si>
  <si>
    <t xml:space="preserve">LAKE CITY       </t>
  </si>
  <si>
    <t xml:space="preserve">VERNDALE        </t>
  </si>
  <si>
    <t xml:space="preserve">SEBEKA  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</si>
  <si>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</si>
  <si>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</si>
  <si>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</si>
  <si>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</si>
  <si>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>SOUTH WASHINGTON</t>
  </si>
  <si>
    <t xml:space="preserve">STILLWATER      </t>
  </si>
  <si>
    <t xml:space="preserve">BUTTERFIELD     </t>
  </si>
  <si>
    <t xml:space="preserve">MADELIA         </t>
  </si>
  <si>
    <t xml:space="preserve">ST. JAMES       </t>
  </si>
  <si>
    <t xml:space="preserve">BRECKENRIDGE    </t>
  </si>
  <si>
    <t xml:space="preserve">ROTHSAY         </t>
  </si>
  <si>
    <t xml:space="preserve">CAMPBELL-TINTAH </t>
  </si>
  <si>
    <t xml:space="preserve">LEWISTON-ALTURA </t>
  </si>
  <si>
    <t xml:space="preserve">ST. CHARLES     </t>
  </si>
  <si>
    <t>WINONA AREA PUBL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</si>
  <si>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</si>
  <si>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</si>
  <si>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</si>
  <si>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</si>
  <si>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</si>
  <si>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</si>
  <si>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>ST. MICHAEL-ALBE</t>
  </si>
  <si>
    <t xml:space="preserve">CANBY           </t>
  </si>
  <si>
    <t>CAMBRIDGE-ISANTI</t>
  </si>
  <si>
    <t xml:space="preserve">MILACA          </t>
  </si>
  <si>
    <t xml:space="preserve">ULEN-HITTERDAL  </t>
  </si>
  <si>
    <t>LAKE CRYSTAL-WEL</t>
  </si>
  <si>
    <t xml:space="preserve">TRITON          </t>
  </si>
  <si>
    <t>UNITED SOUTH CEN</t>
  </si>
  <si>
    <t xml:space="preserve">MAPLE RIVER     </t>
  </si>
  <si>
    <t xml:space="preserve">KINGSLAND       </t>
  </si>
  <si>
    <t>ST. LOUIS COUNTY</t>
  </si>
  <si>
    <t>WATERVILLE-ELYSI</t>
  </si>
  <si>
    <t xml:space="preserve">CHISAGO LAKES   </t>
  </si>
  <si>
    <t xml:space="preserve">MINNEWASKA      </t>
  </si>
  <si>
    <t xml:space="preserve">EVELETH-GILBERT </t>
  </si>
  <si>
    <t>WADENA-DEER CREE</t>
  </si>
  <si>
    <t>BUFFALO LAKE-HEC</t>
  </si>
  <si>
    <t>DILWORTH-GLYNDON</t>
  </si>
  <si>
    <t>HINCKLEY-FINLAYS</t>
  </si>
  <si>
    <t xml:space="preserve">LAKEVIEW        </t>
  </si>
  <si>
    <t xml:space="preserve">N.R.H.E.G.      </t>
  </si>
  <si>
    <t>MURRAY COUNTY CE</t>
  </si>
  <si>
    <t xml:space="preserve">STAPLES-MOTLEY  </t>
  </si>
  <si>
    <t xml:space="preserve">KITTSON CENTRAL </t>
  </si>
  <si>
    <t>KENYON-WANAMINGO</t>
  </si>
  <si>
    <t>PINE RIVER-BACKU</t>
  </si>
  <si>
    <t>WARREN-ALVARADO-</t>
  </si>
  <si>
    <t xml:space="preserve">M.A.C.C.R.A.Y.  </t>
  </si>
  <si>
    <t xml:space="preserve">LUVERNE         </t>
  </si>
  <si>
    <t xml:space="preserve">YELLOW MEDICINE </t>
  </si>
  <si>
    <t>NORMAN COUNTY EA</t>
  </si>
  <si>
    <t xml:space="preserve">SIBLEY EAST     </t>
  </si>
  <si>
    <t>CLEARBROOK-GONVI</t>
  </si>
  <si>
    <t>WEST CENTRAL ARE</t>
  </si>
  <si>
    <t xml:space="preserve">TRI-COUNTY      </t>
  </si>
  <si>
    <t>BELGRADE-BROOTEN</t>
  </si>
  <si>
    <t xml:space="preserve">G.F.W.          </t>
  </si>
  <si>
    <t xml:space="preserve">A.C.G.C.        </t>
  </si>
  <si>
    <t>LESUEUR-HENDERSO</t>
  </si>
  <si>
    <t>MARTIN COUNTY WE</t>
  </si>
  <si>
    <t>NORMAN COUNTY WE</t>
  </si>
  <si>
    <t>BIRD ISLAND-OLIV</t>
  </si>
  <si>
    <t>GRANADA HUNTLEY-</t>
  </si>
  <si>
    <t xml:space="preserve">EAST CENTRAL    </t>
  </si>
  <si>
    <t xml:space="preserve">WIN-E-MAC       </t>
  </si>
  <si>
    <t>GREENBUSH-MIDDLE</t>
  </si>
  <si>
    <t>HOWARD LAKE-WAVE</t>
  </si>
  <si>
    <t>PIPESTONE AREA S</t>
  </si>
  <si>
    <t xml:space="preserve">MESABI EAST     </t>
  </si>
  <si>
    <t>FAIRMONT AREA SC</t>
  </si>
  <si>
    <t>LONG PRAIRIE-GRE</t>
  </si>
  <si>
    <t xml:space="preserve">CEDAR MOUNTAIN  </t>
  </si>
  <si>
    <t>EAGLE VALLEY PUB</t>
  </si>
  <si>
    <t>ZUMBROTA-MAZEPPA</t>
  </si>
  <si>
    <t>JANESVILLE-WALDO</t>
  </si>
  <si>
    <t>LAC QUI PARLE VA</t>
  </si>
  <si>
    <t xml:space="preserve">ADA-BORUP       </t>
  </si>
  <si>
    <t>STEPHEN-ARGYLE C</t>
  </si>
  <si>
    <t>GLENCOE-SILVER L</t>
  </si>
  <si>
    <t xml:space="preserve">BLUE EARTH AREA </t>
  </si>
  <si>
    <t>RED ROCK CENTRAL</t>
  </si>
  <si>
    <t>GLENVILLE-EMMONS</t>
  </si>
  <si>
    <t>CLINTON-GRACEVIL</t>
  </si>
  <si>
    <t>LAKE PARK AUDUBO</t>
  </si>
  <si>
    <t xml:space="preserve">RENVILLE COUNTY </t>
  </si>
  <si>
    <t>JACKSON COUNTY C</t>
  </si>
  <si>
    <t>REDWOOD AREA SCH</t>
  </si>
  <si>
    <t>WESTBROOK-WALNUT</t>
  </si>
  <si>
    <t>PLAINVIEW-ELGIN-</t>
  </si>
  <si>
    <t>RTR PUBLIC SCHOO</t>
  </si>
  <si>
    <t>ORTONVILLE BELLINGHAM</t>
  </si>
  <si>
    <t>TRACY AREA</t>
  </si>
  <si>
    <t>Fall 2009 Age 4 Population</t>
  </si>
  <si>
    <t>Fall 2009 Free/Reduced-Price Lunch K-12 Pupils</t>
  </si>
  <si>
    <t>Approved School Readiness Biennial Plan?</t>
  </si>
  <si>
    <t>(A) Age 4 Aid = $5.0475 million x Fall 2009 Age 4 Pop / 73,931</t>
  </si>
  <si>
    <t>(B) FRL Aid = $5.0475 million x Fall 2009 Free/Reduced Lunch Pupils / 273,391</t>
  </si>
  <si>
    <t>A + B = Total FY 2011 Aid Entitlement</t>
  </si>
  <si>
    <t>FY 2010 School Readiness Aid Entitlement</t>
  </si>
  <si>
    <t>Fy 2010 Revenue, Other Sources</t>
  </si>
  <si>
    <t>FY 2010 Fund Balance Limit = 0.25 x Total Revenue</t>
  </si>
  <si>
    <t>(D) FY 2010 Adjustment for Excess Fund Balance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</si>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</sst>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39">
    <xf numFmtId="0" fontId="0" fillId="0" borderId="0" xfId="0"/>
    <xf numFmtId="3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Fill="1" applyBorder="1"/>
    <xf numFmtId="0" fontId="1" fillId="0" borderId="1" xfId="0" applyFont="1" applyBorder="1" applyAlignment="1">
      <alignment horizontal="center"/>
    </xf>
    <xf numFmtId="3" fontId="0" fillId="0" borderId="1" xfId="0" applyNumberFormat="1" applyFont="1" applyFill="1" applyBorder="1"/>
    <xf numFmtId="4" fontId="0" fillId="0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3" fontId="1" fillId="0" borderId="1" xfId="0" applyNumberFormat="1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5" fillId="0" borderId="1" xfId="1" applyFont="1" applyFill="1" applyBorder="1"/>
    <xf numFmtId="0" fontId="0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top" wrapText="1"/>
    </xf>
    <xf numFmtId="0" fontId="0" fillId="0" borderId="1" xfId="0" applyBorder="1"/>
    <xf numFmtId="3" fontId="0" fillId="0" borderId="1" xfId="0" applyNumberFormat="1" applyBorder="1"/>
    <xf numFmtId="39" fontId="0" fillId="0" borderId="1" xfId="0" applyNumberFormat="1" applyBorder="1"/>
    <xf numFmtId="9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3" fontId="1" fillId="0" borderId="1" xfId="0" applyNumberFormat="1" applyFont="1" applyBorder="1"/>
    <xf numFmtId="0" fontId="3" fillId="0" borderId="1" xfId="0" applyFont="1" applyBorder="1" applyProtection="1"/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Border="1"/>
    <xf numFmtId="0" fontId="2" fillId="0" borderId="0" xfId="0" applyFont="1" applyAlignment="1" applyProtection="1">
      <alignment horizontal="center"/>
    </xf>
    <xf numFmtId="0" fontId="2" fillId="0" borderId="1" xfId="0" applyFont="1" applyBorder="1" applyAlignment="1" applyProtection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/>
    <xf numFmtId="3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41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RowHeight="15" x14ac:dyDescent="0.25"/>
  <cols>
    <col min="1" max="1" width="7.42578125" customWidth="1"/>
    <col min="2" max="2" width="8.28515625" bestFit="1" customWidth="1"/>
    <col min="3" max="3" width="5.28515625" bestFit="1" customWidth="1"/>
    <col min="4" max="4" width="35.7109375" bestFit="1" customWidth="1"/>
    <col min="6" max="6" width="12.28515625" customWidth="1"/>
    <col min="7" max="7" width="15.85546875" customWidth="1"/>
    <col min="8" max="8" width="15.42578125" customWidth="1"/>
    <col min="9" max="9" width="13.28515625" customWidth="1"/>
    <col min="10" max="10" width="11.140625" customWidth="1"/>
    <col min="11" max="11" width="13.85546875" customWidth="1"/>
    <col min="12" max="12" width="17" customWidth="1"/>
    <col min="13" max="13" width="13.140625" customWidth="1"/>
    <col min="14" max="14" width="9" customWidth="1"/>
    <col min="15" max="15" width="11" customWidth="1"/>
    <col min="16" max="16" width="12" customWidth="1"/>
    <col min="17" max="17" width="12.140625" customWidth="1"/>
    <col min="18" max="18" width="12.28515625" customWidth="1"/>
    <col min="19" max="19" width="12.5703125" customWidth="1"/>
    <col min="20" max="20" width="14.42578125" customWidth="1"/>
    <col min="21" max="21" width="14.5703125" customWidth="1"/>
    <col min="22" max="22" width="12.85546875" customWidth="1"/>
    <col min="23" max="23" width="12.42578125" customWidth="1"/>
    <col min="24" max="24" width="10.85546875" customWidth="1"/>
    <col min="25" max="25" width="12.7109375" customWidth="1"/>
    <col min="26" max="26" width="22.28515625" customWidth="1"/>
    <col min="27" max="27" width="11" customWidth="1"/>
    <col min="28" max="28" width="12.28515625" customWidth="1"/>
    <col min="29" max="29" width="12.42578125" customWidth="1"/>
    <col min="30" max="30" width="11" customWidth="1"/>
    <col min="31" max="31" width="10.85546875" customWidth="1"/>
    <col min="32" max="32" width="11.28515625" customWidth="1"/>
    <col min="33" max="33" width="12.42578125" customWidth="1"/>
    <col min="34" max="34" width="10.5703125" customWidth="1"/>
  </cols>
  <sheetData>
    <row r="1" spans="1:34" x14ac:dyDescent="0.25">
      <c r="A1" s="29" t="s">
        <v>0</v>
      </c>
      <c r="B1" s="29" t="s">
        <v>1</v>
      </c>
      <c r="C1" s="29" t="s">
        <v>2</v>
      </c>
      <c r="D1" s="29" t="s">
        <v>3</v>
      </c>
      <c r="E1" s="31" t="s">
        <v>4</v>
      </c>
      <c r="F1" s="31" t="s">
        <v>5</v>
      </c>
      <c r="G1" s="31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2" t="s">
        <v>18</v>
      </c>
      <c r="T1" s="32"/>
      <c r="U1" s="32"/>
      <c r="V1" s="32"/>
      <c r="W1" s="33" t="s">
        <v>19</v>
      </c>
      <c r="X1" s="33"/>
      <c r="Y1" s="33"/>
      <c r="Z1" s="33"/>
      <c r="AA1" s="33"/>
      <c r="AB1" s="33"/>
      <c r="AC1" s="33"/>
      <c r="AD1" s="32" t="s">
        <v>20</v>
      </c>
      <c r="AE1" s="32"/>
      <c r="AF1" s="32"/>
      <c r="AG1" s="32"/>
      <c r="AH1" s="32"/>
    </row>
    <row r="2" spans="1:34" ht="76.5" x14ac:dyDescent="0.25">
      <c r="A2" s="30"/>
      <c r="B2" s="30"/>
      <c r="C2" s="30"/>
      <c r="D2" s="30"/>
      <c r="E2" s="31"/>
      <c r="F2" s="31"/>
      <c r="G2" s="31"/>
      <c r="H2" s="28"/>
      <c r="I2" s="28"/>
      <c r="J2" s="28"/>
      <c r="K2" s="28"/>
      <c r="L2" s="28"/>
      <c r="M2" s="31"/>
      <c r="N2" s="31"/>
      <c r="O2" s="31"/>
      <c r="P2" s="31"/>
      <c r="Q2" s="31"/>
      <c r="R2" s="31"/>
      <c r="S2" s="16" t="s">
        <v>21</v>
      </c>
      <c r="T2" s="16" t="s">
        <v>22</v>
      </c>
      <c r="U2" s="16" t="s">
        <v>23</v>
      </c>
      <c r="V2" s="16" t="s">
        <v>24</v>
      </c>
      <c r="W2" s="16" t="s">
        <v>25</v>
      </c>
      <c r="X2" s="16" t="s">
        <v>26</v>
      </c>
      <c r="Y2" s="16" t="s">
        <v>27</v>
      </c>
      <c r="Z2" s="16" t="s">
        <v>28</v>
      </c>
      <c r="AA2" s="16" t="s">
        <v>29</v>
      </c>
      <c r="AB2" s="16" t="s">
        <v>30</v>
      </c>
      <c r="AC2" s="16" t="s">
        <v>31</v>
      </c>
      <c r="AD2" s="16" t="s">
        <v>32</v>
      </c>
      <c r="AE2" s="16" t="s">
        <v>33</v>
      </c>
      <c r="AF2" s="16" t="s">
        <v>34</v>
      </c>
      <c r="AG2" s="16" t="s">
        <v>35</v>
      </c>
      <c r="AH2" s="16" t="s">
        <v>36</v>
      </c>
    </row>
    <row r="3" spans="1:34" x14ac:dyDescent="0.25">
      <c r="A3" s="17"/>
      <c r="B3" s="17"/>
      <c r="C3" s="17"/>
      <c r="D3" s="17"/>
      <c r="E3" s="18"/>
      <c r="F3" s="17"/>
      <c r="G3" s="18"/>
      <c r="H3" s="19"/>
      <c r="I3" s="18"/>
      <c r="J3" s="19"/>
      <c r="K3" s="19"/>
      <c r="L3" s="19"/>
      <c r="M3" s="19"/>
      <c r="N3" s="20"/>
      <c r="O3" s="21"/>
      <c r="P3" s="21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 x14ac:dyDescent="0.25">
      <c r="A4" s="22"/>
      <c r="B4" s="22"/>
      <c r="C4" s="22"/>
      <c r="D4" s="22" t="s">
        <v>37</v>
      </c>
      <c r="E4" s="23">
        <f>SUM(E6:E341)</f>
        <v>5359448</v>
      </c>
      <c r="F4" s="22">
        <v>2009</v>
      </c>
      <c r="G4" s="23">
        <f t="shared" ref="G4:M4" si="0">SUM(G6:G341)</f>
        <v>6799790065</v>
      </c>
      <c r="H4" s="23">
        <f t="shared" si="0"/>
        <v>29100516.57999998</v>
      </c>
      <c r="I4" s="23">
        <f t="shared" si="0"/>
        <v>5258364</v>
      </c>
      <c r="J4" s="23">
        <f t="shared" si="0"/>
        <v>5028133.6899999985</v>
      </c>
      <c r="K4" s="23">
        <f t="shared" si="0"/>
        <v>39387014.269999996</v>
      </c>
      <c r="L4" s="23">
        <f t="shared" si="0"/>
        <v>38902377.719999991</v>
      </c>
      <c r="M4" s="23">
        <f t="shared" si="0"/>
        <v>38895142.019999988</v>
      </c>
      <c r="N4" s="26">
        <f>COUNT(N6:N341)</f>
        <v>336</v>
      </c>
      <c r="O4" s="23">
        <f t="shared" ref="O4:P4" si="1">SUM(O6:O341)</f>
        <v>484636.5500000001</v>
      </c>
      <c r="P4" s="23">
        <f t="shared" si="1"/>
        <v>484636.5500000001</v>
      </c>
      <c r="Q4" s="22">
        <f>Q6</f>
        <v>0.95535506999999997</v>
      </c>
      <c r="R4" s="23">
        <f>SUM(R6:R341)</f>
        <v>462999.99999999994</v>
      </c>
      <c r="S4" s="23">
        <f t="shared" ref="S4:AH4" si="2">SUM(S6:S341)</f>
        <v>39253333.190000005</v>
      </c>
      <c r="T4" s="23">
        <f t="shared" si="2"/>
        <v>228399646.68999994</v>
      </c>
      <c r="U4" s="23">
        <f t="shared" si="2"/>
        <v>267652979.87999997</v>
      </c>
      <c r="V4" s="23">
        <f t="shared" si="2"/>
        <v>66913245.420000017</v>
      </c>
      <c r="W4" s="23">
        <f t="shared" si="2"/>
        <v>33550152.609999992</v>
      </c>
      <c r="X4" s="23">
        <f t="shared" si="2"/>
        <v>369861.71</v>
      </c>
      <c r="Y4" s="23">
        <f t="shared" si="2"/>
        <v>34352129.32000003</v>
      </c>
      <c r="Z4" s="23">
        <f t="shared" si="2"/>
        <v>384306.99000000005</v>
      </c>
      <c r="AA4" s="23">
        <f t="shared" si="2"/>
        <v>0</v>
      </c>
      <c r="AB4" s="23">
        <f t="shared" si="2"/>
        <v>33321835.370000023</v>
      </c>
      <c r="AC4" s="23">
        <f t="shared" si="2"/>
        <v>33489982.909999996</v>
      </c>
      <c r="AD4" s="23">
        <f t="shared" si="2"/>
        <v>468336.61999999982</v>
      </c>
      <c r="AE4" s="23">
        <f t="shared" si="2"/>
        <v>431901.68999999994</v>
      </c>
      <c r="AF4" s="23">
        <f t="shared" si="2"/>
        <v>36434.930000000008</v>
      </c>
      <c r="AG4" s="23">
        <f t="shared" si="2"/>
        <v>38463240.330000006</v>
      </c>
      <c r="AH4" s="23">
        <f t="shared" si="2"/>
        <v>448201.62000000011</v>
      </c>
    </row>
    <row r="5" spans="1:34" x14ac:dyDescent="0.25">
      <c r="A5" s="17"/>
      <c r="B5" s="17"/>
      <c r="C5" s="17"/>
      <c r="D5" s="17"/>
      <c r="E5" s="18"/>
      <c r="F5" s="17"/>
      <c r="G5" s="18"/>
      <c r="H5" s="19"/>
      <c r="I5" s="18"/>
      <c r="J5" s="19"/>
      <c r="K5" s="19"/>
      <c r="L5" s="19"/>
      <c r="M5" s="19"/>
      <c r="N5" s="20"/>
      <c r="O5" s="21"/>
      <c r="P5" s="21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x14ac:dyDescent="0.25">
      <c r="A6" s="12" t="s">
        <v>38</v>
      </c>
      <c r="B6" s="17">
        <v>1</v>
      </c>
      <c r="C6" s="17">
        <v>1</v>
      </c>
      <c r="D6" s="24" t="s">
        <v>39</v>
      </c>
      <c r="E6" s="18">
        <v>9012</v>
      </c>
      <c r="F6" s="17">
        <v>2000</v>
      </c>
      <c r="G6" s="18">
        <v>21340966</v>
      </c>
      <c r="H6" s="19">
        <v>48845.04</v>
      </c>
      <c r="I6" s="18">
        <v>9012</v>
      </c>
      <c r="J6" s="19">
        <v>16672.2</v>
      </c>
      <c r="K6" s="19">
        <v>74529.240000000005</v>
      </c>
      <c r="L6" s="19">
        <v>74529.240000000005</v>
      </c>
      <c r="M6" s="19">
        <v>74529.240000000005</v>
      </c>
      <c r="N6" s="20">
        <v>1</v>
      </c>
      <c r="O6" s="21">
        <v>0</v>
      </c>
      <c r="P6" s="21">
        <v>0</v>
      </c>
      <c r="Q6" s="17">
        <v>0.95535506999999997</v>
      </c>
      <c r="R6" s="19">
        <v>0</v>
      </c>
      <c r="S6" s="19">
        <v>74529.240000000005</v>
      </c>
      <c r="T6" s="19">
        <v>109745.37</v>
      </c>
      <c r="U6" s="19">
        <v>184274.61</v>
      </c>
      <c r="V6" s="19">
        <v>46068.65</v>
      </c>
      <c r="W6" s="19">
        <v>11565.14</v>
      </c>
      <c r="X6" s="19">
        <v>0</v>
      </c>
      <c r="Y6" s="19">
        <v>16221.39</v>
      </c>
      <c r="Z6" s="19">
        <v>0</v>
      </c>
      <c r="AA6" s="19">
        <v>0</v>
      </c>
      <c r="AB6" s="19">
        <v>33338.29</v>
      </c>
      <c r="AC6" s="19">
        <v>20374.939999999999</v>
      </c>
      <c r="AD6" s="19">
        <v>0</v>
      </c>
      <c r="AE6" s="19">
        <v>0</v>
      </c>
      <c r="AF6" s="19">
        <v>0</v>
      </c>
      <c r="AG6" s="19">
        <v>74529.240000000005</v>
      </c>
      <c r="AH6" s="19">
        <v>0</v>
      </c>
    </row>
    <row r="7" spans="1:34" x14ac:dyDescent="0.25">
      <c r="A7" s="12" t="s">
        <v>38</v>
      </c>
      <c r="B7" s="17">
        <v>1</v>
      </c>
      <c r="C7" s="17">
        <v>3</v>
      </c>
      <c r="D7" s="24" t="s">
        <v>40</v>
      </c>
      <c r="E7" s="18">
        <v>382618</v>
      </c>
      <c r="F7" s="17">
        <v>2000</v>
      </c>
      <c r="G7" s="18">
        <v>452093373</v>
      </c>
      <c r="H7" s="19">
        <v>2073789.56</v>
      </c>
      <c r="I7" s="18">
        <v>382618</v>
      </c>
      <c r="J7" s="19">
        <v>178725.74</v>
      </c>
      <c r="K7" s="19">
        <v>2635133.2999999998</v>
      </c>
      <c r="L7" s="19">
        <v>2635133.2999999998</v>
      </c>
      <c r="M7" s="19">
        <v>2635133.2999999998</v>
      </c>
      <c r="N7" s="20">
        <v>1</v>
      </c>
      <c r="O7" s="21">
        <v>0</v>
      </c>
      <c r="P7" s="21">
        <v>0</v>
      </c>
      <c r="Q7" s="17">
        <v>0.95535506999999997</v>
      </c>
      <c r="R7" s="19">
        <v>0</v>
      </c>
      <c r="S7" s="19">
        <v>2635133.2999999998</v>
      </c>
      <c r="T7" s="19">
        <v>9892671.1300000008</v>
      </c>
      <c r="U7" s="19">
        <v>12527804.43</v>
      </c>
      <c r="V7" s="19">
        <v>3131951.11</v>
      </c>
      <c r="W7" s="19">
        <v>2262207.7999999998</v>
      </c>
      <c r="X7" s="19">
        <v>0</v>
      </c>
      <c r="Y7" s="19">
        <v>3867286.52</v>
      </c>
      <c r="Z7" s="19">
        <v>0</v>
      </c>
      <c r="AA7" s="19">
        <v>0</v>
      </c>
      <c r="AB7" s="19">
        <v>3040051.94</v>
      </c>
      <c r="AC7" s="19">
        <v>3056515.42</v>
      </c>
      <c r="AD7" s="19">
        <v>0</v>
      </c>
      <c r="AE7" s="19">
        <v>0</v>
      </c>
      <c r="AF7" s="19">
        <v>0</v>
      </c>
      <c r="AG7" s="19">
        <v>2635133.2999999998</v>
      </c>
      <c r="AH7" s="19">
        <v>0</v>
      </c>
    </row>
    <row r="8" spans="1:34" x14ac:dyDescent="0.25">
      <c r="A8" s="12" t="s">
        <v>38</v>
      </c>
      <c r="B8" s="17">
        <v>2</v>
      </c>
      <c r="C8" s="17">
        <v>1</v>
      </c>
      <c r="D8" s="24" t="s">
        <v>41</v>
      </c>
      <c r="E8" s="18">
        <v>1523</v>
      </c>
      <c r="F8" s="17">
        <v>2000</v>
      </c>
      <c r="G8" s="18">
        <v>1799529</v>
      </c>
      <c r="H8" s="19">
        <v>8254.66</v>
      </c>
      <c r="I8" s="18">
        <v>1523</v>
      </c>
      <c r="J8" s="19">
        <v>2817.55</v>
      </c>
      <c r="K8" s="19">
        <v>12595.21</v>
      </c>
      <c r="L8" s="19">
        <v>12595.21</v>
      </c>
      <c r="M8" s="19">
        <v>12595.21</v>
      </c>
      <c r="N8" s="20">
        <v>1</v>
      </c>
      <c r="O8" s="21">
        <v>0</v>
      </c>
      <c r="P8" s="21">
        <v>0</v>
      </c>
      <c r="Q8" s="17">
        <v>0.95535506999999997</v>
      </c>
      <c r="R8" s="19">
        <v>0</v>
      </c>
      <c r="S8" s="19">
        <v>12595.21</v>
      </c>
      <c r="T8" s="19">
        <v>19657.240000000002</v>
      </c>
      <c r="U8" s="19">
        <v>32252.45</v>
      </c>
      <c r="V8" s="19">
        <v>8063.11</v>
      </c>
      <c r="W8" s="19">
        <v>4656.43</v>
      </c>
      <c r="X8" s="19">
        <v>0</v>
      </c>
      <c r="Y8" s="19">
        <v>6577.28</v>
      </c>
      <c r="Z8" s="19">
        <v>0</v>
      </c>
      <c r="AA8" s="19">
        <v>0</v>
      </c>
      <c r="AB8" s="19">
        <v>7558.88</v>
      </c>
      <c r="AC8" s="19">
        <v>6264.2</v>
      </c>
      <c r="AD8" s="19">
        <v>0</v>
      </c>
      <c r="AE8" s="19">
        <v>0</v>
      </c>
      <c r="AF8" s="19">
        <v>0</v>
      </c>
      <c r="AG8" s="19">
        <v>12595.21</v>
      </c>
      <c r="AH8" s="19">
        <v>0</v>
      </c>
    </row>
    <row r="9" spans="1:34" x14ac:dyDescent="0.25">
      <c r="A9" s="12" t="s">
        <v>38</v>
      </c>
      <c r="B9" s="17">
        <v>4</v>
      </c>
      <c r="C9" s="17">
        <v>1</v>
      </c>
      <c r="D9" s="24" t="s">
        <v>42</v>
      </c>
      <c r="E9" s="18">
        <v>4005</v>
      </c>
      <c r="F9" s="17">
        <v>2000</v>
      </c>
      <c r="G9" s="18">
        <v>11562500</v>
      </c>
      <c r="H9" s="19">
        <v>21707.1</v>
      </c>
      <c r="I9" s="18">
        <v>4005</v>
      </c>
      <c r="J9" s="19">
        <v>7409.25</v>
      </c>
      <c r="K9" s="19">
        <v>33121.35</v>
      </c>
      <c r="L9" s="19">
        <v>33121.35</v>
      </c>
      <c r="M9" s="19">
        <v>33121.35</v>
      </c>
      <c r="N9" s="20">
        <v>1</v>
      </c>
      <c r="O9" s="21">
        <v>0</v>
      </c>
      <c r="P9" s="21">
        <v>0</v>
      </c>
      <c r="Q9" s="17">
        <v>0.95535506999999997</v>
      </c>
      <c r="R9" s="19">
        <v>0</v>
      </c>
      <c r="S9" s="19">
        <v>33121.35</v>
      </c>
      <c r="T9" s="19">
        <v>355803.07</v>
      </c>
      <c r="U9" s="19">
        <v>388924.42</v>
      </c>
      <c r="V9" s="19">
        <v>97231.11</v>
      </c>
      <c r="W9" s="19">
        <v>-20239.03</v>
      </c>
      <c r="X9" s="19">
        <v>0</v>
      </c>
      <c r="Y9" s="19">
        <v>-25860.13</v>
      </c>
      <c r="Z9" s="19">
        <v>0</v>
      </c>
      <c r="AA9" s="19">
        <v>0</v>
      </c>
      <c r="AB9" s="19">
        <v>18704.53</v>
      </c>
      <c r="AC9" s="19">
        <v>-9131.5400000000009</v>
      </c>
      <c r="AD9" s="19">
        <v>0</v>
      </c>
      <c r="AE9" s="19">
        <v>0</v>
      </c>
      <c r="AF9" s="19">
        <v>0</v>
      </c>
      <c r="AG9" s="19">
        <v>33121.35</v>
      </c>
      <c r="AH9" s="19">
        <v>0</v>
      </c>
    </row>
    <row r="10" spans="1:34" x14ac:dyDescent="0.25">
      <c r="A10" s="12" t="s">
        <v>38</v>
      </c>
      <c r="B10" s="17">
        <v>6</v>
      </c>
      <c r="C10" s="17">
        <v>3</v>
      </c>
      <c r="D10" s="24" t="s">
        <v>43</v>
      </c>
      <c r="E10" s="18">
        <v>19992</v>
      </c>
      <c r="F10" s="17">
        <v>2000</v>
      </c>
      <c r="G10" s="18">
        <v>19343652</v>
      </c>
      <c r="H10" s="19">
        <v>108356.64</v>
      </c>
      <c r="I10" s="18">
        <v>19992</v>
      </c>
      <c r="J10" s="19">
        <v>22796.560000000001</v>
      </c>
      <c r="K10" s="19">
        <v>151145.20000000001</v>
      </c>
      <c r="L10" s="19">
        <v>151145.20000000001</v>
      </c>
      <c r="M10" s="19">
        <v>151145.20000000001</v>
      </c>
      <c r="N10" s="20">
        <v>1</v>
      </c>
      <c r="O10" s="21">
        <v>0</v>
      </c>
      <c r="P10" s="21">
        <v>0</v>
      </c>
      <c r="Q10" s="17">
        <v>0.95535506999999997</v>
      </c>
      <c r="R10" s="19">
        <v>0</v>
      </c>
      <c r="S10" s="19">
        <v>151145.20000000001</v>
      </c>
      <c r="T10" s="19">
        <v>1224153.69</v>
      </c>
      <c r="U10" s="19">
        <v>1375298.89</v>
      </c>
      <c r="V10" s="19">
        <v>343824.72</v>
      </c>
      <c r="W10" s="19">
        <v>149742.98000000001</v>
      </c>
      <c r="X10" s="19">
        <v>0</v>
      </c>
      <c r="Y10" s="19">
        <v>226216.45</v>
      </c>
      <c r="Z10" s="19">
        <v>0</v>
      </c>
      <c r="AA10" s="19">
        <v>0</v>
      </c>
      <c r="AB10" s="19">
        <v>279501.48</v>
      </c>
      <c r="AC10" s="19">
        <v>218486.97</v>
      </c>
      <c r="AD10" s="19">
        <v>0</v>
      </c>
      <c r="AE10" s="19">
        <v>0</v>
      </c>
      <c r="AF10" s="19">
        <v>0</v>
      </c>
      <c r="AG10" s="19">
        <v>151145.20000000001</v>
      </c>
      <c r="AH10" s="19">
        <v>0</v>
      </c>
    </row>
    <row r="11" spans="1:34" x14ac:dyDescent="0.25">
      <c r="A11" s="12" t="s">
        <v>38</v>
      </c>
      <c r="B11" s="17">
        <v>11</v>
      </c>
      <c r="C11" s="17">
        <v>1</v>
      </c>
      <c r="D11" s="24" t="s">
        <v>44</v>
      </c>
      <c r="E11" s="18">
        <v>248650</v>
      </c>
      <c r="F11" s="17">
        <v>2007</v>
      </c>
      <c r="G11" s="18">
        <v>244237037</v>
      </c>
      <c r="H11" s="19">
        <v>1347683</v>
      </c>
      <c r="I11" s="18">
        <v>248650</v>
      </c>
      <c r="J11" s="19">
        <v>121119.5</v>
      </c>
      <c r="K11" s="19">
        <v>1717452.5</v>
      </c>
      <c r="L11" s="19">
        <v>1717452.5</v>
      </c>
      <c r="M11" s="19">
        <v>1717452.5</v>
      </c>
      <c r="N11" s="20">
        <v>1</v>
      </c>
      <c r="O11" s="21">
        <v>0</v>
      </c>
      <c r="P11" s="21">
        <v>0</v>
      </c>
      <c r="Q11" s="17">
        <v>0.95535506999999997</v>
      </c>
      <c r="R11" s="19">
        <v>0</v>
      </c>
      <c r="S11" s="19">
        <v>1717452.5</v>
      </c>
      <c r="T11" s="19">
        <v>10579739.439999999</v>
      </c>
      <c r="U11" s="19">
        <v>12297191.939999999</v>
      </c>
      <c r="V11" s="19">
        <v>3074297.99</v>
      </c>
      <c r="W11" s="19">
        <v>2153933</v>
      </c>
      <c r="X11" s="19">
        <v>0</v>
      </c>
      <c r="Y11" s="19">
        <v>2004455.25</v>
      </c>
      <c r="Z11" s="19">
        <v>0</v>
      </c>
      <c r="AA11" s="19">
        <v>0</v>
      </c>
      <c r="AB11" s="19">
        <v>2405616.67</v>
      </c>
      <c r="AC11" s="19">
        <v>2188001.64</v>
      </c>
      <c r="AD11" s="19">
        <v>0</v>
      </c>
      <c r="AE11" s="19">
        <v>0</v>
      </c>
      <c r="AF11" s="19">
        <v>0</v>
      </c>
      <c r="AG11" s="19">
        <v>1717452.5</v>
      </c>
      <c r="AH11" s="19">
        <v>0</v>
      </c>
    </row>
    <row r="12" spans="1:34" x14ac:dyDescent="0.25">
      <c r="A12" s="12" t="s">
        <v>38</v>
      </c>
      <c r="B12" s="17">
        <v>12</v>
      </c>
      <c r="C12" s="17">
        <v>1</v>
      </c>
      <c r="D12" s="24" t="s">
        <v>45</v>
      </c>
      <c r="E12" s="18">
        <v>42287</v>
      </c>
      <c r="F12" s="17">
        <v>2008</v>
      </c>
      <c r="G12" s="18">
        <v>34816393</v>
      </c>
      <c r="H12" s="19">
        <v>229195.54</v>
      </c>
      <c r="I12" s="18">
        <v>42287</v>
      </c>
      <c r="J12" s="19">
        <v>32383.41</v>
      </c>
      <c r="K12" s="19">
        <v>303865.95</v>
      </c>
      <c r="L12" s="19">
        <v>303865.95</v>
      </c>
      <c r="M12" s="19">
        <v>303865.95</v>
      </c>
      <c r="N12" s="20">
        <v>1</v>
      </c>
      <c r="O12" s="21">
        <v>0</v>
      </c>
      <c r="P12" s="21">
        <v>0</v>
      </c>
      <c r="Q12" s="17">
        <v>0.95535506999999997</v>
      </c>
      <c r="R12" s="19">
        <v>0</v>
      </c>
      <c r="S12" s="19">
        <v>303865.95</v>
      </c>
      <c r="T12" s="19">
        <v>2258350.94</v>
      </c>
      <c r="U12" s="19">
        <v>2562216.89</v>
      </c>
      <c r="V12" s="19">
        <v>640554.22</v>
      </c>
      <c r="W12" s="19">
        <v>438965.21</v>
      </c>
      <c r="X12" s="19">
        <v>0</v>
      </c>
      <c r="Y12" s="19">
        <v>271326.82</v>
      </c>
      <c r="Z12" s="19">
        <v>0</v>
      </c>
      <c r="AA12" s="19">
        <v>0</v>
      </c>
      <c r="AB12" s="19">
        <v>132615.98000000001</v>
      </c>
      <c r="AC12" s="19">
        <v>280969.34000000003</v>
      </c>
      <c r="AD12" s="19">
        <v>0</v>
      </c>
      <c r="AE12" s="19">
        <v>0</v>
      </c>
      <c r="AF12" s="19">
        <v>0</v>
      </c>
      <c r="AG12" s="19">
        <v>303865.95</v>
      </c>
      <c r="AH12" s="19">
        <v>0</v>
      </c>
    </row>
    <row r="13" spans="1:34" x14ac:dyDescent="0.25">
      <c r="A13" s="12" t="s">
        <v>38</v>
      </c>
      <c r="B13" s="17">
        <v>13</v>
      </c>
      <c r="C13" s="17">
        <v>1</v>
      </c>
      <c r="D13" s="24" t="s">
        <v>46</v>
      </c>
      <c r="E13" s="18">
        <v>24441</v>
      </c>
      <c r="F13" s="17">
        <v>2000</v>
      </c>
      <c r="G13" s="18">
        <v>24276254</v>
      </c>
      <c r="H13" s="19">
        <v>132470.22</v>
      </c>
      <c r="I13" s="18">
        <v>24441</v>
      </c>
      <c r="J13" s="19">
        <v>24709.63</v>
      </c>
      <c r="K13" s="19">
        <v>181620.85</v>
      </c>
      <c r="L13" s="19">
        <v>181620.85</v>
      </c>
      <c r="M13" s="19">
        <v>181620.85</v>
      </c>
      <c r="N13" s="20">
        <v>1</v>
      </c>
      <c r="O13" s="21">
        <v>0</v>
      </c>
      <c r="P13" s="21">
        <v>0</v>
      </c>
      <c r="Q13" s="17">
        <v>0.95535506999999997</v>
      </c>
      <c r="R13" s="19">
        <v>0</v>
      </c>
      <c r="S13" s="19">
        <v>181620.85</v>
      </c>
      <c r="T13" s="19">
        <v>623767.39</v>
      </c>
      <c r="U13" s="19">
        <v>805388.24</v>
      </c>
      <c r="V13" s="19">
        <v>201347.06</v>
      </c>
      <c r="W13" s="19">
        <v>86097.21</v>
      </c>
      <c r="X13" s="19">
        <v>0</v>
      </c>
      <c r="Y13" s="19">
        <v>144934.54</v>
      </c>
      <c r="Z13" s="19">
        <v>0</v>
      </c>
      <c r="AA13" s="19">
        <v>0</v>
      </c>
      <c r="AB13" s="19">
        <v>236359.9</v>
      </c>
      <c r="AC13" s="19">
        <v>155797.22</v>
      </c>
      <c r="AD13" s="19">
        <v>0</v>
      </c>
      <c r="AE13" s="19">
        <v>0</v>
      </c>
      <c r="AF13" s="19">
        <v>0</v>
      </c>
      <c r="AG13" s="19">
        <v>181620.85</v>
      </c>
      <c r="AH13" s="19">
        <v>0</v>
      </c>
    </row>
    <row r="14" spans="1:34" x14ac:dyDescent="0.25">
      <c r="A14" s="12" t="s">
        <v>38</v>
      </c>
      <c r="B14" s="17">
        <v>14</v>
      </c>
      <c r="C14" s="17">
        <v>1</v>
      </c>
      <c r="D14" s="24" t="s">
        <v>47</v>
      </c>
      <c r="E14" s="18">
        <v>15564</v>
      </c>
      <c r="F14" s="17">
        <v>2000</v>
      </c>
      <c r="G14" s="18">
        <v>16616084</v>
      </c>
      <c r="H14" s="19">
        <v>84356.88</v>
      </c>
      <c r="I14" s="18">
        <v>15564</v>
      </c>
      <c r="J14" s="19">
        <v>20892.52</v>
      </c>
      <c r="K14" s="19">
        <v>120813.4</v>
      </c>
      <c r="L14" s="19">
        <v>120813.4</v>
      </c>
      <c r="M14" s="19">
        <v>120813.4</v>
      </c>
      <c r="N14" s="20">
        <v>1</v>
      </c>
      <c r="O14" s="21">
        <v>0</v>
      </c>
      <c r="P14" s="21">
        <v>0</v>
      </c>
      <c r="Q14" s="17">
        <v>0.95535506999999997</v>
      </c>
      <c r="R14" s="19">
        <v>0</v>
      </c>
      <c r="S14" s="19">
        <v>120813.4</v>
      </c>
      <c r="T14" s="19">
        <v>1089935.71</v>
      </c>
      <c r="U14" s="19">
        <v>1210749.1100000001</v>
      </c>
      <c r="V14" s="19">
        <v>302687.28000000003</v>
      </c>
      <c r="W14" s="19">
        <v>-27266.65</v>
      </c>
      <c r="X14" s="19">
        <v>0</v>
      </c>
      <c r="Y14" s="19">
        <v>-22355.16</v>
      </c>
      <c r="Z14" s="19">
        <v>0</v>
      </c>
      <c r="AA14" s="19">
        <v>0</v>
      </c>
      <c r="AB14" s="19">
        <v>-100941.42</v>
      </c>
      <c r="AC14" s="19">
        <v>-50187.74</v>
      </c>
      <c r="AD14" s="19">
        <v>0</v>
      </c>
      <c r="AE14" s="19">
        <v>0</v>
      </c>
      <c r="AF14" s="19">
        <v>0</v>
      </c>
      <c r="AG14" s="19">
        <v>120813.4</v>
      </c>
      <c r="AH14" s="19">
        <v>0</v>
      </c>
    </row>
    <row r="15" spans="1:34" x14ac:dyDescent="0.25">
      <c r="A15" s="12" t="s">
        <v>38</v>
      </c>
      <c r="B15" s="17">
        <v>15</v>
      </c>
      <c r="C15" s="17">
        <v>1</v>
      </c>
      <c r="D15" s="24" t="s">
        <v>48</v>
      </c>
      <c r="E15" s="18">
        <v>36731</v>
      </c>
      <c r="F15" s="17">
        <v>2002</v>
      </c>
      <c r="G15" s="18">
        <v>37064506</v>
      </c>
      <c r="H15" s="19">
        <v>199082.02</v>
      </c>
      <c r="I15" s="18">
        <v>36731</v>
      </c>
      <c r="J15" s="19">
        <v>29994.33</v>
      </c>
      <c r="K15" s="19">
        <v>265807.34999999998</v>
      </c>
      <c r="L15" s="19">
        <v>265807.34999999998</v>
      </c>
      <c r="M15" s="19">
        <v>265807.34999999998</v>
      </c>
      <c r="N15" s="20">
        <v>1</v>
      </c>
      <c r="O15" s="21">
        <v>0</v>
      </c>
      <c r="P15" s="21">
        <v>0</v>
      </c>
      <c r="Q15" s="17">
        <v>0.95535506999999997</v>
      </c>
      <c r="R15" s="19">
        <v>0</v>
      </c>
      <c r="S15" s="19">
        <v>265807.34999999998</v>
      </c>
      <c r="T15" s="19">
        <v>1438618.61</v>
      </c>
      <c r="U15" s="19">
        <v>1704425.96</v>
      </c>
      <c r="V15" s="19">
        <v>426106.49</v>
      </c>
      <c r="W15" s="19">
        <v>197971.92</v>
      </c>
      <c r="X15" s="19">
        <v>0</v>
      </c>
      <c r="Y15" s="19">
        <v>78891.8</v>
      </c>
      <c r="Z15" s="19">
        <v>0</v>
      </c>
      <c r="AA15" s="19">
        <v>0</v>
      </c>
      <c r="AB15" s="19">
        <v>53876.93</v>
      </c>
      <c r="AC15" s="19">
        <v>110246.88</v>
      </c>
      <c r="AD15" s="19">
        <v>0</v>
      </c>
      <c r="AE15" s="19">
        <v>0</v>
      </c>
      <c r="AF15" s="19">
        <v>0</v>
      </c>
      <c r="AG15" s="19">
        <v>265807.34999999998</v>
      </c>
      <c r="AH15" s="19">
        <v>0</v>
      </c>
    </row>
    <row r="16" spans="1:34" x14ac:dyDescent="0.25">
      <c r="A16" s="12" t="s">
        <v>38</v>
      </c>
      <c r="B16" s="17">
        <v>16</v>
      </c>
      <c r="C16" s="17">
        <v>1</v>
      </c>
      <c r="D16" s="24" t="s">
        <v>49</v>
      </c>
      <c r="E16" s="18">
        <v>26712</v>
      </c>
      <c r="F16" s="17">
        <v>2009</v>
      </c>
      <c r="G16" s="18">
        <v>45628284</v>
      </c>
      <c r="H16" s="19">
        <v>144779.04</v>
      </c>
      <c r="I16" s="18">
        <v>26712</v>
      </c>
      <c r="J16" s="19">
        <v>25686.16</v>
      </c>
      <c r="K16" s="19">
        <v>197177.2</v>
      </c>
      <c r="L16" s="19">
        <v>197177.2</v>
      </c>
      <c r="M16" s="19">
        <v>197177.2</v>
      </c>
      <c r="N16" s="20">
        <v>1</v>
      </c>
      <c r="O16" s="21">
        <v>0</v>
      </c>
      <c r="P16" s="21">
        <v>0</v>
      </c>
      <c r="Q16" s="17">
        <v>0.95535506999999997</v>
      </c>
      <c r="R16" s="19">
        <v>0</v>
      </c>
      <c r="S16" s="19">
        <v>195471.55</v>
      </c>
      <c r="T16" s="19">
        <v>1705542.01</v>
      </c>
      <c r="U16" s="19">
        <v>1901013.56</v>
      </c>
      <c r="V16" s="19">
        <v>475253.39</v>
      </c>
      <c r="W16" s="19">
        <v>1471.36</v>
      </c>
      <c r="X16" s="19">
        <v>0</v>
      </c>
      <c r="Y16" s="19">
        <v>2976.18</v>
      </c>
      <c r="Z16" s="19">
        <v>0</v>
      </c>
      <c r="AA16" s="19">
        <v>0</v>
      </c>
      <c r="AB16" s="19">
        <v>2372.02</v>
      </c>
      <c r="AC16" s="19">
        <v>2273.19</v>
      </c>
      <c r="AD16" s="19">
        <v>0</v>
      </c>
      <c r="AE16" s="19">
        <v>0</v>
      </c>
      <c r="AF16" s="19">
        <v>0</v>
      </c>
      <c r="AG16" s="19">
        <v>197177.2</v>
      </c>
      <c r="AH16" s="19">
        <v>0</v>
      </c>
    </row>
    <row r="17" spans="1:34" x14ac:dyDescent="0.25">
      <c r="A17" s="12" t="s">
        <v>38</v>
      </c>
      <c r="B17" s="17">
        <v>22</v>
      </c>
      <c r="C17" s="17">
        <v>1</v>
      </c>
      <c r="D17" s="24" t="s">
        <v>50</v>
      </c>
      <c r="E17" s="18">
        <v>15216</v>
      </c>
      <c r="F17" s="17">
        <v>2000</v>
      </c>
      <c r="G17" s="18">
        <v>22398088</v>
      </c>
      <c r="H17" s="19">
        <v>82470.720000000001</v>
      </c>
      <c r="I17" s="18">
        <v>15216</v>
      </c>
      <c r="J17" s="19">
        <v>20742.88</v>
      </c>
      <c r="K17" s="19">
        <v>118429.6</v>
      </c>
      <c r="L17" s="19">
        <v>118429.6</v>
      </c>
      <c r="M17" s="19">
        <v>118429.6</v>
      </c>
      <c r="N17" s="20">
        <v>1</v>
      </c>
      <c r="O17" s="21">
        <v>0</v>
      </c>
      <c r="P17" s="21">
        <v>0</v>
      </c>
      <c r="Q17" s="17">
        <v>0.95535506999999997</v>
      </c>
      <c r="R17" s="19">
        <v>0</v>
      </c>
      <c r="S17" s="19">
        <v>118429.6</v>
      </c>
      <c r="T17" s="19">
        <v>194870.74</v>
      </c>
      <c r="U17" s="19">
        <v>313300.34000000003</v>
      </c>
      <c r="V17" s="19">
        <v>78325.09</v>
      </c>
      <c r="W17" s="19">
        <v>68294.509999999995</v>
      </c>
      <c r="X17" s="19">
        <v>0</v>
      </c>
      <c r="Y17" s="19">
        <v>66608.86</v>
      </c>
      <c r="Z17" s="19">
        <v>0</v>
      </c>
      <c r="AA17" s="19">
        <v>0</v>
      </c>
      <c r="AB17" s="19">
        <v>69615.77</v>
      </c>
      <c r="AC17" s="19">
        <v>68173.05</v>
      </c>
      <c r="AD17" s="19">
        <v>0</v>
      </c>
      <c r="AE17" s="19">
        <v>0</v>
      </c>
      <c r="AF17" s="19">
        <v>0</v>
      </c>
      <c r="AG17" s="19">
        <v>118429.6</v>
      </c>
      <c r="AH17" s="19">
        <v>0</v>
      </c>
    </row>
    <row r="18" spans="1:34" x14ac:dyDescent="0.25">
      <c r="A18" s="12" t="s">
        <v>38</v>
      </c>
      <c r="B18" s="17">
        <v>23</v>
      </c>
      <c r="C18" s="17">
        <v>1</v>
      </c>
      <c r="D18" s="24" t="s">
        <v>51</v>
      </c>
      <c r="E18" s="18">
        <v>6607</v>
      </c>
      <c r="F18" s="17">
        <v>2000</v>
      </c>
      <c r="G18" s="18">
        <v>8827261</v>
      </c>
      <c r="H18" s="19">
        <v>35809.94</v>
      </c>
      <c r="I18" s="18">
        <v>6607</v>
      </c>
      <c r="J18" s="19">
        <v>12222.95</v>
      </c>
      <c r="K18" s="19">
        <v>54639.89</v>
      </c>
      <c r="L18" s="19">
        <v>54639.89</v>
      </c>
      <c r="M18" s="19">
        <v>54639.89</v>
      </c>
      <c r="N18" s="20">
        <v>1</v>
      </c>
      <c r="O18" s="21">
        <v>0</v>
      </c>
      <c r="P18" s="21">
        <v>0</v>
      </c>
      <c r="Q18" s="17">
        <v>0.95535506999999997</v>
      </c>
      <c r="R18" s="19">
        <v>0</v>
      </c>
      <c r="S18" s="19">
        <v>54639.89</v>
      </c>
      <c r="T18" s="19">
        <v>39240.31</v>
      </c>
      <c r="U18" s="19">
        <v>93880.2</v>
      </c>
      <c r="V18" s="19">
        <v>23470.05</v>
      </c>
      <c r="W18" s="19">
        <v>17965.02</v>
      </c>
      <c r="X18" s="19">
        <v>0</v>
      </c>
      <c r="Y18" s="19">
        <v>20756.419999999998</v>
      </c>
      <c r="Z18" s="19">
        <v>23.82</v>
      </c>
      <c r="AA18" s="19">
        <v>0</v>
      </c>
      <c r="AB18" s="19">
        <v>16902.12</v>
      </c>
      <c r="AC18" s="19">
        <v>18533.25</v>
      </c>
      <c r="AD18" s="19">
        <v>0</v>
      </c>
      <c r="AE18" s="19">
        <v>0</v>
      </c>
      <c r="AF18" s="19">
        <v>0</v>
      </c>
      <c r="AG18" s="19">
        <v>54639.89</v>
      </c>
      <c r="AH18" s="19">
        <v>0</v>
      </c>
    </row>
    <row r="19" spans="1:34" x14ac:dyDescent="0.25">
      <c r="A19" s="12" t="s">
        <v>38</v>
      </c>
      <c r="B19" s="17">
        <v>25</v>
      </c>
      <c r="C19" s="17">
        <v>1</v>
      </c>
      <c r="D19" s="24" t="s">
        <v>52</v>
      </c>
      <c r="E19" s="18">
        <v>316</v>
      </c>
      <c r="F19" s="17">
        <v>2000</v>
      </c>
      <c r="G19" s="18">
        <v>0</v>
      </c>
      <c r="H19" s="19">
        <v>7235.7</v>
      </c>
      <c r="I19" s="18">
        <v>1335</v>
      </c>
      <c r="J19" s="19">
        <v>2469.75</v>
      </c>
      <c r="K19" s="19">
        <v>11040.45</v>
      </c>
      <c r="L19" s="19">
        <v>0</v>
      </c>
      <c r="M19" s="19">
        <v>0</v>
      </c>
      <c r="N19" s="20">
        <v>1</v>
      </c>
      <c r="O19" s="21">
        <v>11040.45</v>
      </c>
      <c r="P19" s="21">
        <v>11040.45</v>
      </c>
      <c r="Q19" s="17">
        <v>0.95535506999999997</v>
      </c>
      <c r="R19" s="19">
        <v>10547.55</v>
      </c>
      <c r="S19" s="19">
        <v>11040.45</v>
      </c>
      <c r="T19" s="19">
        <v>103316.08</v>
      </c>
      <c r="U19" s="19">
        <v>114356.53</v>
      </c>
      <c r="V19" s="19">
        <v>28589.13</v>
      </c>
      <c r="W19" s="19">
        <v>733.24</v>
      </c>
      <c r="X19" s="19">
        <v>0</v>
      </c>
      <c r="Y19" s="19">
        <v>3550.32</v>
      </c>
      <c r="Z19" s="19">
        <v>0</v>
      </c>
      <c r="AA19" s="19">
        <v>0</v>
      </c>
      <c r="AB19" s="19">
        <v>3602.53</v>
      </c>
      <c r="AC19" s="19">
        <v>2628.7</v>
      </c>
      <c r="AD19" s="19">
        <v>0</v>
      </c>
      <c r="AE19" s="19">
        <v>0</v>
      </c>
      <c r="AF19" s="19">
        <v>0</v>
      </c>
      <c r="AG19" s="19">
        <v>0</v>
      </c>
      <c r="AH19" s="19">
        <v>11040.45</v>
      </c>
    </row>
    <row r="20" spans="1:34" x14ac:dyDescent="0.25">
      <c r="A20" s="12" t="s">
        <v>38</v>
      </c>
      <c r="B20" s="17">
        <v>31</v>
      </c>
      <c r="C20" s="17">
        <v>1</v>
      </c>
      <c r="D20" s="24" t="s">
        <v>53</v>
      </c>
      <c r="E20" s="18">
        <v>32020</v>
      </c>
      <c r="F20" s="17">
        <v>2000</v>
      </c>
      <c r="G20" s="18">
        <v>31887996</v>
      </c>
      <c r="H20" s="19">
        <v>173548.4</v>
      </c>
      <c r="I20" s="18">
        <v>32020</v>
      </c>
      <c r="J20" s="19">
        <v>27968.6</v>
      </c>
      <c r="K20" s="19">
        <v>233537</v>
      </c>
      <c r="L20" s="19">
        <v>233537</v>
      </c>
      <c r="M20" s="19">
        <v>233537</v>
      </c>
      <c r="N20" s="20">
        <v>1</v>
      </c>
      <c r="O20" s="21">
        <v>0</v>
      </c>
      <c r="P20" s="21">
        <v>0</v>
      </c>
      <c r="Q20" s="17">
        <v>0.95535506999999997</v>
      </c>
      <c r="R20" s="19">
        <v>0</v>
      </c>
      <c r="S20" s="19">
        <v>233537</v>
      </c>
      <c r="T20" s="19">
        <v>770704.83</v>
      </c>
      <c r="U20" s="19">
        <v>1004241.83</v>
      </c>
      <c r="V20" s="19">
        <v>251060.46</v>
      </c>
      <c r="W20" s="19">
        <v>-88133.64</v>
      </c>
      <c r="X20" s="19">
        <v>0</v>
      </c>
      <c r="Y20" s="19">
        <v>-29221.33</v>
      </c>
      <c r="Z20" s="19">
        <v>0</v>
      </c>
      <c r="AA20" s="19">
        <v>0</v>
      </c>
      <c r="AB20" s="19">
        <v>37986.44</v>
      </c>
      <c r="AC20" s="19">
        <v>-26456.18</v>
      </c>
      <c r="AD20" s="19">
        <v>0</v>
      </c>
      <c r="AE20" s="19">
        <v>0</v>
      </c>
      <c r="AF20" s="19">
        <v>0</v>
      </c>
      <c r="AG20" s="19">
        <v>233537</v>
      </c>
      <c r="AH20" s="19">
        <v>0</v>
      </c>
    </row>
    <row r="21" spans="1:34" x14ac:dyDescent="0.25">
      <c r="A21" s="12" t="s">
        <v>38</v>
      </c>
      <c r="B21" s="17">
        <v>32</v>
      </c>
      <c r="C21" s="17">
        <v>1</v>
      </c>
      <c r="D21" s="24" t="s">
        <v>54</v>
      </c>
      <c r="E21" s="18">
        <v>4022</v>
      </c>
      <c r="F21" s="17">
        <v>2001</v>
      </c>
      <c r="G21" s="18">
        <v>4329006</v>
      </c>
      <c r="H21" s="19">
        <v>21799.24</v>
      </c>
      <c r="I21" s="18">
        <v>0</v>
      </c>
      <c r="J21" s="19">
        <v>0</v>
      </c>
      <c r="K21" s="19">
        <v>21799.24</v>
      </c>
      <c r="L21" s="19">
        <v>21799.24</v>
      </c>
      <c r="M21" s="19">
        <v>21799.24</v>
      </c>
      <c r="N21" s="20">
        <v>1</v>
      </c>
      <c r="O21" s="21">
        <v>0</v>
      </c>
      <c r="P21" s="21">
        <v>0</v>
      </c>
      <c r="Q21" s="17">
        <v>0.95535506999999997</v>
      </c>
      <c r="R21" s="19">
        <v>0</v>
      </c>
      <c r="S21" s="19">
        <v>21799.24</v>
      </c>
      <c r="T21" s="19">
        <v>23106.03</v>
      </c>
      <c r="U21" s="19">
        <v>44905.27</v>
      </c>
      <c r="V21" s="19">
        <v>11226.32</v>
      </c>
      <c r="W21" s="19">
        <v>15824.38</v>
      </c>
      <c r="X21" s="19">
        <v>3141.12</v>
      </c>
      <c r="Y21" s="19">
        <v>-11623.31</v>
      </c>
      <c r="Z21" s="19">
        <v>0</v>
      </c>
      <c r="AA21" s="19">
        <v>0</v>
      </c>
      <c r="AB21" s="19">
        <v>-27867.27</v>
      </c>
      <c r="AC21" s="19">
        <v>-8935.77</v>
      </c>
      <c r="AD21" s="19">
        <v>0</v>
      </c>
      <c r="AE21" s="19">
        <v>0</v>
      </c>
      <c r="AF21" s="19">
        <v>0</v>
      </c>
      <c r="AG21" s="19">
        <v>21799.24</v>
      </c>
      <c r="AH21" s="19">
        <v>0</v>
      </c>
    </row>
    <row r="22" spans="1:34" x14ac:dyDescent="0.25">
      <c r="A22" s="12" t="s">
        <v>38</v>
      </c>
      <c r="B22" s="17">
        <v>36</v>
      </c>
      <c r="C22" s="17">
        <v>1</v>
      </c>
      <c r="D22" s="24" t="s">
        <v>55</v>
      </c>
      <c r="E22" s="18">
        <v>1142</v>
      </c>
      <c r="F22" s="17">
        <v>2000</v>
      </c>
      <c r="G22" s="18">
        <v>1557006</v>
      </c>
      <c r="H22" s="19">
        <v>7235.7</v>
      </c>
      <c r="I22" s="18">
        <v>0</v>
      </c>
      <c r="J22" s="19">
        <v>0</v>
      </c>
      <c r="K22" s="19">
        <v>7235.7</v>
      </c>
      <c r="L22" s="19">
        <v>7235.7</v>
      </c>
      <c r="M22" s="19">
        <v>0</v>
      </c>
      <c r="N22" s="20">
        <v>0</v>
      </c>
      <c r="O22" s="21">
        <v>0</v>
      </c>
      <c r="P22" s="21">
        <v>0</v>
      </c>
      <c r="Q22" s="17">
        <v>0.95535506999999997</v>
      </c>
      <c r="R22" s="19">
        <v>0</v>
      </c>
      <c r="S22" s="19">
        <v>7235.7</v>
      </c>
      <c r="T22" s="19">
        <v>16666.650000000001</v>
      </c>
      <c r="U22" s="19">
        <v>23902.35</v>
      </c>
      <c r="V22" s="19">
        <v>5975.59</v>
      </c>
      <c r="W22" s="19">
        <v>2.99</v>
      </c>
      <c r="X22" s="19">
        <v>0</v>
      </c>
      <c r="Y22" s="19">
        <v>-24.41</v>
      </c>
      <c r="Z22" s="19">
        <v>0</v>
      </c>
      <c r="AA22" s="19">
        <v>0</v>
      </c>
      <c r="AB22" s="19">
        <v>824.72</v>
      </c>
      <c r="AC22" s="19">
        <v>267.77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</row>
    <row r="23" spans="1:34" x14ac:dyDescent="0.25">
      <c r="A23" s="12" t="s">
        <v>38</v>
      </c>
      <c r="B23" s="17">
        <v>38</v>
      </c>
      <c r="C23" s="17">
        <v>1</v>
      </c>
      <c r="D23" s="24" t="s">
        <v>56</v>
      </c>
      <c r="E23" s="18">
        <v>5932</v>
      </c>
      <c r="F23" s="17">
        <v>2004</v>
      </c>
      <c r="G23" s="18">
        <v>9782</v>
      </c>
      <c r="H23" s="19">
        <v>32151.439999999999</v>
      </c>
      <c r="I23" s="18">
        <v>5932</v>
      </c>
      <c r="J23" s="19">
        <v>10974.2</v>
      </c>
      <c r="K23" s="19">
        <v>49057.64</v>
      </c>
      <c r="L23" s="19">
        <v>88.04</v>
      </c>
      <c r="M23" s="19">
        <v>88.04</v>
      </c>
      <c r="N23" s="20">
        <v>1</v>
      </c>
      <c r="O23" s="21">
        <v>48969.599999999999</v>
      </c>
      <c r="P23" s="21">
        <v>48969.599999999999</v>
      </c>
      <c r="Q23" s="17">
        <v>0.95535506999999997</v>
      </c>
      <c r="R23" s="19">
        <v>46783.360000000001</v>
      </c>
      <c r="S23" s="19">
        <v>49057.64</v>
      </c>
      <c r="T23" s="19">
        <v>107695.87</v>
      </c>
      <c r="U23" s="19">
        <v>156753.51</v>
      </c>
      <c r="V23" s="19">
        <v>39188.379999999997</v>
      </c>
      <c r="W23" s="19">
        <v>0</v>
      </c>
      <c r="X23" s="19">
        <v>0</v>
      </c>
      <c r="Y23" s="19">
        <v>15856.27</v>
      </c>
      <c r="Z23" s="19">
        <v>0</v>
      </c>
      <c r="AA23" s="19">
        <v>0</v>
      </c>
      <c r="AB23" s="19">
        <v>0</v>
      </c>
      <c r="AC23" s="19">
        <v>5285.42</v>
      </c>
      <c r="AD23" s="19">
        <v>0</v>
      </c>
      <c r="AE23" s="19">
        <v>0</v>
      </c>
      <c r="AF23" s="19">
        <v>0</v>
      </c>
      <c r="AG23" s="19">
        <v>88.04</v>
      </c>
      <c r="AH23" s="19">
        <v>48969.599999999999</v>
      </c>
    </row>
    <row r="24" spans="1:34" x14ac:dyDescent="0.25">
      <c r="A24" s="12" t="s">
        <v>38</v>
      </c>
      <c r="B24" s="17">
        <v>47</v>
      </c>
      <c r="C24" s="17">
        <v>1</v>
      </c>
      <c r="D24" s="24" t="s">
        <v>57</v>
      </c>
      <c r="E24" s="18">
        <v>27443</v>
      </c>
      <c r="F24" s="17">
        <v>2009</v>
      </c>
      <c r="G24" s="18">
        <v>19112342</v>
      </c>
      <c r="H24" s="19">
        <v>148741.06</v>
      </c>
      <c r="I24" s="18">
        <v>27443</v>
      </c>
      <c r="J24" s="19">
        <v>26000.49</v>
      </c>
      <c r="K24" s="19">
        <v>202184.55</v>
      </c>
      <c r="L24" s="19">
        <v>172011.08</v>
      </c>
      <c r="M24" s="19">
        <v>172011.08</v>
      </c>
      <c r="N24" s="20">
        <v>1</v>
      </c>
      <c r="O24" s="21">
        <v>30173.47</v>
      </c>
      <c r="P24" s="21">
        <v>30173.47</v>
      </c>
      <c r="Q24" s="17">
        <v>0.95535506999999997</v>
      </c>
      <c r="R24" s="19">
        <v>28826.38</v>
      </c>
      <c r="S24" s="19">
        <v>180778.3</v>
      </c>
      <c r="T24" s="19">
        <v>514069.04</v>
      </c>
      <c r="U24" s="19">
        <v>694847.34</v>
      </c>
      <c r="V24" s="19">
        <v>173711.84</v>
      </c>
      <c r="W24" s="19">
        <v>131756.51999999999</v>
      </c>
      <c r="X24" s="19">
        <v>0</v>
      </c>
      <c r="Y24" s="19">
        <v>148498.07999999999</v>
      </c>
      <c r="Z24" s="19">
        <v>0</v>
      </c>
      <c r="AA24" s="19">
        <v>0</v>
      </c>
      <c r="AB24" s="19">
        <v>159953.9</v>
      </c>
      <c r="AC24" s="19">
        <v>146736.17000000001</v>
      </c>
      <c r="AD24" s="19">
        <v>0</v>
      </c>
      <c r="AE24" s="19">
        <v>0</v>
      </c>
      <c r="AF24" s="19">
        <v>0</v>
      </c>
      <c r="AG24" s="19">
        <v>172011.08</v>
      </c>
      <c r="AH24" s="19">
        <v>30173.47</v>
      </c>
    </row>
    <row r="25" spans="1:34" x14ac:dyDescent="0.25">
      <c r="A25" s="12" t="s">
        <v>38</v>
      </c>
      <c r="B25" s="17">
        <v>51</v>
      </c>
      <c r="C25" s="17">
        <v>1</v>
      </c>
      <c r="D25" s="24" t="s">
        <v>58</v>
      </c>
      <c r="E25" s="18">
        <v>8212</v>
      </c>
      <c r="F25" s="17">
        <v>2000</v>
      </c>
      <c r="G25" s="18">
        <v>9190905</v>
      </c>
      <c r="H25" s="19">
        <v>44509.04</v>
      </c>
      <c r="I25" s="18">
        <v>8212</v>
      </c>
      <c r="J25" s="19">
        <v>15192.2</v>
      </c>
      <c r="K25" s="19">
        <v>67913.240000000005</v>
      </c>
      <c r="L25" s="19">
        <v>67913.240000000005</v>
      </c>
      <c r="M25" s="19">
        <v>67913.240000000005</v>
      </c>
      <c r="N25" s="20">
        <v>1</v>
      </c>
      <c r="O25" s="21">
        <v>0</v>
      </c>
      <c r="P25" s="21">
        <v>0</v>
      </c>
      <c r="Q25" s="17">
        <v>0.95535506999999997</v>
      </c>
      <c r="R25" s="19">
        <v>0</v>
      </c>
      <c r="S25" s="19">
        <v>67913.240000000005</v>
      </c>
      <c r="T25" s="19">
        <v>246865.64</v>
      </c>
      <c r="U25" s="19">
        <v>314778.88</v>
      </c>
      <c r="V25" s="19">
        <v>78694.720000000001</v>
      </c>
      <c r="W25" s="19">
        <v>57615.56</v>
      </c>
      <c r="X25" s="19">
        <v>0</v>
      </c>
      <c r="Y25" s="19">
        <v>55702.85</v>
      </c>
      <c r="Z25" s="19">
        <v>0</v>
      </c>
      <c r="AA25" s="19">
        <v>0</v>
      </c>
      <c r="AB25" s="19">
        <v>48742.42</v>
      </c>
      <c r="AC25" s="19">
        <v>54020.28</v>
      </c>
      <c r="AD25" s="19">
        <v>0</v>
      </c>
      <c r="AE25" s="19">
        <v>0</v>
      </c>
      <c r="AF25" s="19">
        <v>0</v>
      </c>
      <c r="AG25" s="19">
        <v>67913.240000000005</v>
      </c>
      <c r="AH25" s="19">
        <v>0</v>
      </c>
    </row>
    <row r="26" spans="1:34" x14ac:dyDescent="0.25">
      <c r="A26" s="12" t="s">
        <v>38</v>
      </c>
      <c r="B26" s="17">
        <v>75</v>
      </c>
      <c r="C26" s="17">
        <v>1</v>
      </c>
      <c r="D26" s="24" t="s">
        <v>59</v>
      </c>
      <c r="E26" s="18">
        <v>2442</v>
      </c>
      <c r="F26" s="17">
        <v>2000</v>
      </c>
      <c r="G26" s="18">
        <v>3463622</v>
      </c>
      <c r="H26" s="19">
        <v>13235.64</v>
      </c>
      <c r="I26" s="18">
        <v>0</v>
      </c>
      <c r="J26" s="19">
        <v>4517.7</v>
      </c>
      <c r="K26" s="19">
        <v>17753.34</v>
      </c>
      <c r="L26" s="19">
        <v>17753.34</v>
      </c>
      <c r="M26" s="19">
        <v>17753.34</v>
      </c>
      <c r="N26" s="20">
        <v>1</v>
      </c>
      <c r="O26" s="21">
        <v>0</v>
      </c>
      <c r="P26" s="21">
        <v>0</v>
      </c>
      <c r="Q26" s="17">
        <v>0.95535506999999997</v>
      </c>
      <c r="R26" s="19">
        <v>0</v>
      </c>
      <c r="S26" s="19">
        <v>17753.34</v>
      </c>
      <c r="T26" s="19">
        <v>135974.48000000001</v>
      </c>
      <c r="U26" s="19">
        <v>153727.82</v>
      </c>
      <c r="V26" s="19">
        <v>38431.96</v>
      </c>
      <c r="W26" s="19">
        <v>0</v>
      </c>
      <c r="X26" s="19">
        <v>0</v>
      </c>
      <c r="Y26" s="19">
        <v>-12961.18</v>
      </c>
      <c r="Z26" s="19">
        <v>0</v>
      </c>
      <c r="AA26" s="19">
        <v>0</v>
      </c>
      <c r="AB26" s="19">
        <v>0</v>
      </c>
      <c r="AC26" s="19">
        <v>-4320.3900000000003</v>
      </c>
      <c r="AD26" s="19">
        <v>0</v>
      </c>
      <c r="AE26" s="19">
        <v>0</v>
      </c>
      <c r="AF26" s="19">
        <v>0</v>
      </c>
      <c r="AG26" s="19">
        <v>17753.34</v>
      </c>
      <c r="AH26" s="19">
        <v>0</v>
      </c>
    </row>
    <row r="27" spans="1:34" x14ac:dyDescent="0.25">
      <c r="A27" s="12" t="s">
        <v>38</v>
      </c>
      <c r="B27" s="17">
        <v>77</v>
      </c>
      <c r="C27" s="17">
        <v>1</v>
      </c>
      <c r="D27" s="24" t="s">
        <v>60</v>
      </c>
      <c r="E27" s="18">
        <v>53639</v>
      </c>
      <c r="F27" s="17">
        <v>2000</v>
      </c>
      <c r="G27" s="18">
        <v>58287449</v>
      </c>
      <c r="H27" s="19">
        <v>290723.38</v>
      </c>
      <c r="I27" s="18">
        <v>53639</v>
      </c>
      <c r="J27" s="19">
        <v>37264.769999999997</v>
      </c>
      <c r="K27" s="19">
        <v>381627.15</v>
      </c>
      <c r="L27" s="19">
        <v>381627.15</v>
      </c>
      <c r="M27" s="19">
        <v>381627.15</v>
      </c>
      <c r="N27" s="20">
        <v>1</v>
      </c>
      <c r="O27" s="21">
        <v>0</v>
      </c>
      <c r="P27" s="21">
        <v>0</v>
      </c>
      <c r="Q27" s="17">
        <v>0.95535506999999997</v>
      </c>
      <c r="R27" s="19">
        <v>0</v>
      </c>
      <c r="S27" s="19">
        <v>381627.15</v>
      </c>
      <c r="T27" s="19">
        <v>1815971.75</v>
      </c>
      <c r="U27" s="19">
        <v>2197598.9</v>
      </c>
      <c r="V27" s="19">
        <v>549399.73</v>
      </c>
      <c r="W27" s="19">
        <v>414769.89</v>
      </c>
      <c r="X27" s="19">
        <v>0</v>
      </c>
      <c r="Y27" s="19">
        <v>539388.11</v>
      </c>
      <c r="Z27" s="19">
        <v>0</v>
      </c>
      <c r="AA27" s="19">
        <v>0</v>
      </c>
      <c r="AB27" s="19">
        <v>694460.98</v>
      </c>
      <c r="AC27" s="19">
        <v>549539.66</v>
      </c>
      <c r="AD27" s="19">
        <v>139.93</v>
      </c>
      <c r="AE27" s="19">
        <v>139.93</v>
      </c>
      <c r="AF27" s="19">
        <v>0</v>
      </c>
      <c r="AG27" s="19">
        <v>381487.22</v>
      </c>
      <c r="AH27" s="19">
        <v>0</v>
      </c>
    </row>
    <row r="28" spans="1:34" x14ac:dyDescent="0.25">
      <c r="A28" s="12" t="s">
        <v>38</v>
      </c>
      <c r="B28" s="17">
        <v>81</v>
      </c>
      <c r="C28" s="17">
        <v>1</v>
      </c>
      <c r="D28" s="24" t="s">
        <v>61</v>
      </c>
      <c r="E28" s="18">
        <v>1172</v>
      </c>
      <c r="F28" s="17">
        <v>2000</v>
      </c>
      <c r="G28" s="18">
        <v>2410273</v>
      </c>
      <c r="H28" s="19">
        <v>7235.7</v>
      </c>
      <c r="I28" s="18">
        <v>1335</v>
      </c>
      <c r="J28" s="19">
        <v>2469.75</v>
      </c>
      <c r="K28" s="19">
        <v>11040.45</v>
      </c>
      <c r="L28" s="19">
        <v>11040.45</v>
      </c>
      <c r="M28" s="19">
        <v>11040.45</v>
      </c>
      <c r="N28" s="20">
        <v>1</v>
      </c>
      <c r="O28" s="21">
        <v>0</v>
      </c>
      <c r="P28" s="21">
        <v>0</v>
      </c>
      <c r="Q28" s="17">
        <v>0.95535506999999997</v>
      </c>
      <c r="R28" s="19">
        <v>0</v>
      </c>
      <c r="S28" s="19">
        <v>11040.45</v>
      </c>
      <c r="T28" s="19">
        <v>133285.53</v>
      </c>
      <c r="U28" s="19">
        <v>144325.98000000001</v>
      </c>
      <c r="V28" s="19">
        <v>36081.5</v>
      </c>
      <c r="W28" s="19">
        <v>-2489.6999999999998</v>
      </c>
      <c r="X28" s="19">
        <v>0</v>
      </c>
      <c r="Y28" s="19">
        <v>6479.75</v>
      </c>
      <c r="Z28" s="19">
        <v>0</v>
      </c>
      <c r="AA28" s="19">
        <v>0</v>
      </c>
      <c r="AB28" s="19">
        <v>10890.42</v>
      </c>
      <c r="AC28" s="19">
        <v>4960.16</v>
      </c>
      <c r="AD28" s="19">
        <v>0</v>
      </c>
      <c r="AE28" s="19">
        <v>0</v>
      </c>
      <c r="AF28" s="19">
        <v>0</v>
      </c>
      <c r="AG28" s="19">
        <v>11040.45</v>
      </c>
      <c r="AH28" s="19">
        <v>0</v>
      </c>
    </row>
    <row r="29" spans="1:34" x14ac:dyDescent="0.25">
      <c r="A29" s="12" t="s">
        <v>38</v>
      </c>
      <c r="B29" s="17">
        <v>84</v>
      </c>
      <c r="C29" s="17">
        <v>1</v>
      </c>
      <c r="D29" s="24" t="s">
        <v>62</v>
      </c>
      <c r="E29" s="18">
        <v>5878</v>
      </c>
      <c r="F29" s="17">
        <v>2000</v>
      </c>
      <c r="G29" s="18">
        <v>5752213</v>
      </c>
      <c r="H29" s="19">
        <v>31858.76</v>
      </c>
      <c r="I29" s="18">
        <v>5878</v>
      </c>
      <c r="J29" s="19">
        <v>10874.3</v>
      </c>
      <c r="K29" s="19">
        <v>48611.06</v>
      </c>
      <c r="L29" s="19">
        <v>48611.06</v>
      </c>
      <c r="M29" s="19">
        <v>48611.06</v>
      </c>
      <c r="N29" s="20">
        <v>1</v>
      </c>
      <c r="O29" s="21">
        <v>0</v>
      </c>
      <c r="P29" s="21">
        <v>0</v>
      </c>
      <c r="Q29" s="17">
        <v>0.95535506999999997</v>
      </c>
      <c r="R29" s="19">
        <v>0</v>
      </c>
      <c r="S29" s="19">
        <v>48611.06</v>
      </c>
      <c r="T29" s="19">
        <v>43118.9</v>
      </c>
      <c r="U29" s="19">
        <v>91729.96</v>
      </c>
      <c r="V29" s="19">
        <v>22932.49</v>
      </c>
      <c r="W29" s="19">
        <v>-4028.05</v>
      </c>
      <c r="X29" s="19">
        <v>0</v>
      </c>
      <c r="Y29" s="19">
        <v>12079.96</v>
      </c>
      <c r="Z29" s="19">
        <v>0</v>
      </c>
      <c r="AA29" s="19">
        <v>0</v>
      </c>
      <c r="AB29" s="19">
        <v>22728.98</v>
      </c>
      <c r="AC29" s="19">
        <v>10260.299999999999</v>
      </c>
      <c r="AD29" s="19">
        <v>0</v>
      </c>
      <c r="AE29" s="19">
        <v>0</v>
      </c>
      <c r="AF29" s="19">
        <v>0</v>
      </c>
      <c r="AG29" s="19">
        <v>48611.06</v>
      </c>
      <c r="AH29" s="19">
        <v>0</v>
      </c>
    </row>
    <row r="30" spans="1:34" x14ac:dyDescent="0.25">
      <c r="A30" s="12" t="s">
        <v>38</v>
      </c>
      <c r="B30" s="17">
        <v>85</v>
      </c>
      <c r="C30" s="17">
        <v>1</v>
      </c>
      <c r="D30" s="24" t="s">
        <v>63</v>
      </c>
      <c r="E30" s="18">
        <v>3618</v>
      </c>
      <c r="F30" s="17">
        <v>2000</v>
      </c>
      <c r="G30" s="18">
        <v>3936282</v>
      </c>
      <c r="H30" s="19">
        <v>19609.560000000001</v>
      </c>
      <c r="I30" s="18">
        <v>0</v>
      </c>
      <c r="J30" s="19">
        <v>0</v>
      </c>
      <c r="K30" s="19">
        <v>19609.560000000001</v>
      </c>
      <c r="L30" s="19">
        <v>19609.560000000001</v>
      </c>
      <c r="M30" s="19">
        <v>19609.560000000001</v>
      </c>
      <c r="N30" s="20">
        <v>1</v>
      </c>
      <c r="O30" s="21">
        <v>0</v>
      </c>
      <c r="P30" s="21">
        <v>0</v>
      </c>
      <c r="Q30" s="17">
        <v>0.95535506999999997</v>
      </c>
      <c r="R30" s="19">
        <v>0</v>
      </c>
      <c r="S30" s="19">
        <v>19609.560000000001</v>
      </c>
      <c r="T30" s="19">
        <v>20488.310000000001</v>
      </c>
      <c r="U30" s="19">
        <v>40097.870000000003</v>
      </c>
      <c r="V30" s="19">
        <v>10024.469999999999</v>
      </c>
      <c r="W30" s="19">
        <v>13199.91</v>
      </c>
      <c r="X30" s="19">
        <v>1379.94</v>
      </c>
      <c r="Y30" s="19">
        <v>1836.31</v>
      </c>
      <c r="Z30" s="19">
        <v>1856.08</v>
      </c>
      <c r="AA30" s="19">
        <v>0</v>
      </c>
      <c r="AB30" s="19">
        <v>9147.94</v>
      </c>
      <c r="AC30" s="19">
        <v>6982.71</v>
      </c>
      <c r="AD30" s="19">
        <v>0</v>
      </c>
      <c r="AE30" s="19">
        <v>0</v>
      </c>
      <c r="AF30" s="19">
        <v>0</v>
      </c>
      <c r="AG30" s="19">
        <v>19609.560000000001</v>
      </c>
      <c r="AH30" s="19">
        <v>0</v>
      </c>
    </row>
    <row r="31" spans="1:34" x14ac:dyDescent="0.25">
      <c r="A31" s="12" t="s">
        <v>38</v>
      </c>
      <c r="B31" s="17">
        <v>88</v>
      </c>
      <c r="C31" s="17">
        <v>1</v>
      </c>
      <c r="D31" s="24" t="s">
        <v>64</v>
      </c>
      <c r="E31" s="18">
        <v>19819</v>
      </c>
      <c r="F31" s="17">
        <v>2000</v>
      </c>
      <c r="G31" s="18">
        <v>17571373</v>
      </c>
      <c r="H31" s="19">
        <v>107418.98</v>
      </c>
      <c r="I31" s="18">
        <v>19819</v>
      </c>
      <c r="J31" s="19">
        <v>22722.17</v>
      </c>
      <c r="K31" s="19">
        <v>149960.15</v>
      </c>
      <c r="L31" s="19">
        <v>149960.15</v>
      </c>
      <c r="M31" s="19">
        <v>149960.15</v>
      </c>
      <c r="N31" s="20">
        <v>1</v>
      </c>
      <c r="O31" s="21">
        <v>0</v>
      </c>
      <c r="P31" s="21">
        <v>0</v>
      </c>
      <c r="Q31" s="17">
        <v>0.95535506999999997</v>
      </c>
      <c r="R31" s="19">
        <v>0</v>
      </c>
      <c r="S31" s="19">
        <v>149960.15</v>
      </c>
      <c r="T31" s="19">
        <v>239385.38</v>
      </c>
      <c r="U31" s="19">
        <v>389345.53</v>
      </c>
      <c r="V31" s="19">
        <v>97336.38</v>
      </c>
      <c r="W31" s="19">
        <v>124557.75999999999</v>
      </c>
      <c r="X31" s="19">
        <v>24113.1</v>
      </c>
      <c r="Y31" s="19">
        <v>85453.5</v>
      </c>
      <c r="Z31" s="19">
        <v>12208.96</v>
      </c>
      <c r="AA31" s="19">
        <v>0</v>
      </c>
      <c r="AB31" s="19">
        <v>70094.73</v>
      </c>
      <c r="AC31" s="19">
        <v>81261.31</v>
      </c>
      <c r="AD31" s="19">
        <v>0</v>
      </c>
      <c r="AE31" s="19">
        <v>0</v>
      </c>
      <c r="AF31" s="19">
        <v>0</v>
      </c>
      <c r="AG31" s="19">
        <v>149960.15</v>
      </c>
      <c r="AH31" s="19">
        <v>0</v>
      </c>
    </row>
    <row r="32" spans="1:34" x14ac:dyDescent="0.25">
      <c r="A32" s="12" t="s">
        <v>38</v>
      </c>
      <c r="B32" s="17">
        <v>91</v>
      </c>
      <c r="C32" s="17">
        <v>1</v>
      </c>
      <c r="D32" s="24" t="s">
        <v>65</v>
      </c>
      <c r="E32" s="18">
        <v>3762</v>
      </c>
      <c r="F32" s="17">
        <v>2005</v>
      </c>
      <c r="G32" s="18">
        <v>4158665</v>
      </c>
      <c r="H32" s="19">
        <v>20390.04</v>
      </c>
      <c r="I32" s="18">
        <v>3762</v>
      </c>
      <c r="J32" s="19">
        <v>6959.7</v>
      </c>
      <c r="K32" s="19">
        <v>31111.74</v>
      </c>
      <c r="L32" s="19">
        <v>31111.74</v>
      </c>
      <c r="M32" s="19">
        <v>31111.74</v>
      </c>
      <c r="N32" s="20">
        <v>1</v>
      </c>
      <c r="O32" s="21">
        <v>0</v>
      </c>
      <c r="P32" s="21">
        <v>0</v>
      </c>
      <c r="Q32" s="17">
        <v>0.95535506999999997</v>
      </c>
      <c r="R32" s="19">
        <v>0</v>
      </c>
      <c r="S32" s="19">
        <v>31111.74</v>
      </c>
      <c r="T32" s="19">
        <v>157147.35999999999</v>
      </c>
      <c r="U32" s="19">
        <v>188259.1</v>
      </c>
      <c r="V32" s="19">
        <v>47064.78</v>
      </c>
      <c r="W32" s="19">
        <v>39403.35</v>
      </c>
      <c r="X32" s="19">
        <v>0</v>
      </c>
      <c r="Y32" s="19">
        <v>15033.77</v>
      </c>
      <c r="Z32" s="19">
        <v>0</v>
      </c>
      <c r="AA32" s="19">
        <v>0</v>
      </c>
      <c r="AB32" s="19">
        <v>36315.08</v>
      </c>
      <c r="AC32" s="19">
        <v>30250.73</v>
      </c>
      <c r="AD32" s="19">
        <v>0</v>
      </c>
      <c r="AE32" s="19">
        <v>0</v>
      </c>
      <c r="AF32" s="19">
        <v>0</v>
      </c>
      <c r="AG32" s="19">
        <v>31111.74</v>
      </c>
      <c r="AH32" s="19">
        <v>0</v>
      </c>
    </row>
    <row r="33" spans="1:34" x14ac:dyDescent="0.25">
      <c r="A33" s="12" t="s">
        <v>38</v>
      </c>
      <c r="B33" s="17">
        <v>93</v>
      </c>
      <c r="C33" s="17">
        <v>1</v>
      </c>
      <c r="D33" s="24" t="s">
        <v>66</v>
      </c>
      <c r="E33" s="18">
        <v>3936</v>
      </c>
      <c r="F33" s="17">
        <v>2000</v>
      </c>
      <c r="G33" s="18">
        <v>4470313</v>
      </c>
      <c r="H33" s="19">
        <v>21333.119999999999</v>
      </c>
      <c r="I33" s="18">
        <v>3936</v>
      </c>
      <c r="J33" s="19">
        <v>7281.6</v>
      </c>
      <c r="K33" s="19">
        <v>32550.720000000001</v>
      </c>
      <c r="L33" s="19">
        <v>32550.720000000001</v>
      </c>
      <c r="M33" s="19">
        <v>32550.720000000001</v>
      </c>
      <c r="N33" s="20">
        <v>1</v>
      </c>
      <c r="O33" s="21">
        <v>0</v>
      </c>
      <c r="P33" s="21">
        <v>0</v>
      </c>
      <c r="Q33" s="17">
        <v>0.95535506999999997</v>
      </c>
      <c r="R33" s="19">
        <v>0</v>
      </c>
      <c r="S33" s="19">
        <v>32550.720000000001</v>
      </c>
      <c r="T33" s="19">
        <v>54832.22</v>
      </c>
      <c r="U33" s="19">
        <v>87382.94</v>
      </c>
      <c r="V33" s="19">
        <v>21845.74</v>
      </c>
      <c r="W33" s="19">
        <v>12430.16</v>
      </c>
      <c r="X33" s="19">
        <v>215.28</v>
      </c>
      <c r="Y33" s="19">
        <v>7617.22</v>
      </c>
      <c r="Z33" s="19">
        <v>0</v>
      </c>
      <c r="AA33" s="19">
        <v>0</v>
      </c>
      <c r="AB33" s="19">
        <v>-14886.06</v>
      </c>
      <c r="AC33" s="19">
        <v>1648.68</v>
      </c>
      <c r="AD33" s="19">
        <v>0</v>
      </c>
      <c r="AE33" s="19">
        <v>0</v>
      </c>
      <c r="AF33" s="19">
        <v>0</v>
      </c>
      <c r="AG33" s="19">
        <v>32550.720000000001</v>
      </c>
      <c r="AH33" s="19">
        <v>0</v>
      </c>
    </row>
    <row r="34" spans="1:34" x14ac:dyDescent="0.25">
      <c r="A34" s="12" t="s">
        <v>38</v>
      </c>
      <c r="B34" s="17">
        <v>94</v>
      </c>
      <c r="C34" s="17">
        <v>1</v>
      </c>
      <c r="D34" s="24" t="s">
        <v>67</v>
      </c>
      <c r="E34" s="18">
        <v>13968</v>
      </c>
      <c r="F34" s="17">
        <v>2007</v>
      </c>
      <c r="G34" s="18">
        <v>11291455</v>
      </c>
      <c r="H34" s="19">
        <v>75706.559999999998</v>
      </c>
      <c r="I34" s="18">
        <v>13968</v>
      </c>
      <c r="J34" s="19">
        <v>20206.240000000002</v>
      </c>
      <c r="K34" s="19">
        <v>109880.8</v>
      </c>
      <c r="L34" s="19">
        <v>101623.1</v>
      </c>
      <c r="M34" s="19">
        <v>101623.1</v>
      </c>
      <c r="N34" s="20">
        <v>1</v>
      </c>
      <c r="O34" s="21">
        <v>8257.7000000000007</v>
      </c>
      <c r="P34" s="21">
        <v>8257.7000000000007</v>
      </c>
      <c r="Q34" s="17">
        <v>0.95535506999999997</v>
      </c>
      <c r="R34" s="19">
        <v>7889.04</v>
      </c>
      <c r="S34" s="19">
        <v>109880.8</v>
      </c>
      <c r="T34" s="19">
        <v>1110262.21</v>
      </c>
      <c r="U34" s="19">
        <v>1220143.01</v>
      </c>
      <c r="V34" s="19">
        <v>305035.75</v>
      </c>
      <c r="W34" s="19">
        <v>150307.6</v>
      </c>
      <c r="X34" s="19">
        <v>0</v>
      </c>
      <c r="Y34" s="19">
        <v>158865.29</v>
      </c>
      <c r="Z34" s="19">
        <v>0</v>
      </c>
      <c r="AA34" s="19">
        <v>0</v>
      </c>
      <c r="AB34" s="19">
        <v>179457.8</v>
      </c>
      <c r="AC34" s="19">
        <v>162876.9</v>
      </c>
      <c r="AD34" s="19">
        <v>0</v>
      </c>
      <c r="AE34" s="19">
        <v>0</v>
      </c>
      <c r="AF34" s="19">
        <v>0</v>
      </c>
      <c r="AG34" s="19">
        <v>101623.1</v>
      </c>
      <c r="AH34" s="19">
        <v>8257.7000000000007</v>
      </c>
    </row>
    <row r="35" spans="1:34" x14ac:dyDescent="0.25">
      <c r="A35" s="12" t="s">
        <v>38</v>
      </c>
      <c r="B35" s="17">
        <v>95</v>
      </c>
      <c r="C35" s="17">
        <v>1</v>
      </c>
      <c r="D35" s="24" t="s">
        <v>68</v>
      </c>
      <c r="E35" s="18">
        <v>1681</v>
      </c>
      <c r="F35" s="17">
        <v>2000</v>
      </c>
      <c r="G35" s="18">
        <v>2473878</v>
      </c>
      <c r="H35" s="19">
        <v>9111.02</v>
      </c>
      <c r="I35" s="18">
        <v>1681</v>
      </c>
      <c r="J35" s="19">
        <v>3109.85</v>
      </c>
      <c r="K35" s="19">
        <v>13901.87</v>
      </c>
      <c r="L35" s="19">
        <v>13901.87</v>
      </c>
      <c r="M35" s="19">
        <v>13901.87</v>
      </c>
      <c r="N35" s="20">
        <v>1</v>
      </c>
      <c r="O35" s="21">
        <v>0</v>
      </c>
      <c r="P35" s="21">
        <v>0</v>
      </c>
      <c r="Q35" s="17">
        <v>0.95535506999999997</v>
      </c>
      <c r="R35" s="19">
        <v>0</v>
      </c>
      <c r="S35" s="19">
        <v>13901.87</v>
      </c>
      <c r="T35" s="19">
        <v>96440.21</v>
      </c>
      <c r="U35" s="19">
        <v>110342.08</v>
      </c>
      <c r="V35" s="19">
        <v>27585.52</v>
      </c>
      <c r="W35" s="19">
        <v>-2768.85</v>
      </c>
      <c r="X35" s="19">
        <v>0</v>
      </c>
      <c r="Y35" s="19">
        <v>-6450.42</v>
      </c>
      <c r="Z35" s="19">
        <v>0</v>
      </c>
      <c r="AA35" s="19">
        <v>0</v>
      </c>
      <c r="AB35" s="19">
        <v>3389.62</v>
      </c>
      <c r="AC35" s="19">
        <v>-1943.22</v>
      </c>
      <c r="AD35" s="19">
        <v>0</v>
      </c>
      <c r="AE35" s="19">
        <v>0</v>
      </c>
      <c r="AF35" s="19">
        <v>0</v>
      </c>
      <c r="AG35" s="19">
        <v>13901.87</v>
      </c>
      <c r="AH35" s="19">
        <v>0</v>
      </c>
    </row>
    <row r="36" spans="1:34" x14ac:dyDescent="0.25">
      <c r="A36" s="12" t="s">
        <v>38</v>
      </c>
      <c r="B36" s="17">
        <v>97</v>
      </c>
      <c r="C36" s="17">
        <v>1</v>
      </c>
      <c r="D36" s="24" t="s">
        <v>69</v>
      </c>
      <c r="E36" s="18">
        <v>5064</v>
      </c>
      <c r="F36" s="17">
        <v>2000</v>
      </c>
      <c r="G36" s="18">
        <v>5645052</v>
      </c>
      <c r="H36" s="19">
        <v>27446.880000000001</v>
      </c>
      <c r="I36" s="18">
        <v>5064</v>
      </c>
      <c r="J36" s="19">
        <v>9368.4</v>
      </c>
      <c r="K36" s="19">
        <v>41879.279999999999</v>
      </c>
      <c r="L36" s="19">
        <v>41879.279999999999</v>
      </c>
      <c r="M36" s="19">
        <v>41879.279999999999</v>
      </c>
      <c r="N36" s="20">
        <v>1</v>
      </c>
      <c r="O36" s="21">
        <v>0</v>
      </c>
      <c r="P36" s="21">
        <v>0</v>
      </c>
      <c r="Q36" s="17">
        <v>0.95535506999999997</v>
      </c>
      <c r="R36" s="19">
        <v>0</v>
      </c>
      <c r="S36" s="19">
        <v>41879.279999999999</v>
      </c>
      <c r="T36" s="19">
        <v>38813.46</v>
      </c>
      <c r="U36" s="19">
        <v>80692.740000000005</v>
      </c>
      <c r="V36" s="19">
        <v>20173.189999999999</v>
      </c>
      <c r="W36" s="19">
        <v>-7054.73</v>
      </c>
      <c r="X36" s="19">
        <v>0</v>
      </c>
      <c r="Y36" s="19">
        <v>-1952.87</v>
      </c>
      <c r="Z36" s="19">
        <v>0</v>
      </c>
      <c r="AA36" s="19">
        <v>0</v>
      </c>
      <c r="AB36" s="19">
        <v>11288.19</v>
      </c>
      <c r="AC36" s="19">
        <v>760.2</v>
      </c>
      <c r="AD36" s="19">
        <v>0</v>
      </c>
      <c r="AE36" s="19">
        <v>0</v>
      </c>
      <c r="AF36" s="19">
        <v>0</v>
      </c>
      <c r="AG36" s="19">
        <v>41879.279999999999</v>
      </c>
      <c r="AH36" s="19">
        <v>0</v>
      </c>
    </row>
    <row r="37" spans="1:34" x14ac:dyDescent="0.25">
      <c r="A37" s="12" t="s">
        <v>38</v>
      </c>
      <c r="B37" s="17">
        <v>99</v>
      </c>
      <c r="C37" s="17">
        <v>1</v>
      </c>
      <c r="D37" s="24" t="s">
        <v>70</v>
      </c>
      <c r="E37" s="18">
        <v>4810</v>
      </c>
      <c r="F37" s="17">
        <v>2005</v>
      </c>
      <c r="G37" s="18">
        <v>4489392</v>
      </c>
      <c r="H37" s="19">
        <v>26070.2</v>
      </c>
      <c r="I37" s="18">
        <v>4810</v>
      </c>
      <c r="J37" s="19">
        <v>8898.5</v>
      </c>
      <c r="K37" s="19">
        <v>39778.699999999997</v>
      </c>
      <c r="L37" s="19">
        <v>39778.699999999997</v>
      </c>
      <c r="M37" s="19">
        <v>39778.699999999997</v>
      </c>
      <c r="N37" s="20">
        <v>1</v>
      </c>
      <c r="O37" s="21">
        <v>0</v>
      </c>
      <c r="P37" s="21">
        <v>0</v>
      </c>
      <c r="Q37" s="17">
        <v>0.95535506999999997</v>
      </c>
      <c r="R37" s="19">
        <v>0</v>
      </c>
      <c r="S37" s="19">
        <v>39778.699999999997</v>
      </c>
      <c r="T37" s="19">
        <v>289691.13</v>
      </c>
      <c r="U37" s="19">
        <v>329469.83</v>
      </c>
      <c r="V37" s="19">
        <v>82367.460000000006</v>
      </c>
      <c r="W37" s="19">
        <v>61763.15</v>
      </c>
      <c r="X37" s="19">
        <v>0</v>
      </c>
      <c r="Y37" s="19">
        <v>48094.99</v>
      </c>
      <c r="Z37" s="19">
        <v>0</v>
      </c>
      <c r="AA37" s="19">
        <v>0</v>
      </c>
      <c r="AB37" s="19">
        <v>78098.490000000005</v>
      </c>
      <c r="AC37" s="19">
        <v>62652.21</v>
      </c>
      <c r="AD37" s="19">
        <v>0</v>
      </c>
      <c r="AE37" s="19">
        <v>0</v>
      </c>
      <c r="AF37" s="19">
        <v>0</v>
      </c>
      <c r="AG37" s="19">
        <v>39778.699999999997</v>
      </c>
      <c r="AH37" s="19">
        <v>0</v>
      </c>
    </row>
    <row r="38" spans="1:34" x14ac:dyDescent="0.25">
      <c r="A38" s="12" t="s">
        <v>38</v>
      </c>
      <c r="B38" s="17">
        <v>100</v>
      </c>
      <c r="C38" s="17">
        <v>1</v>
      </c>
      <c r="D38" s="24" t="s">
        <v>71</v>
      </c>
      <c r="E38" s="18">
        <v>1621</v>
      </c>
      <c r="F38" s="17">
        <v>2000</v>
      </c>
      <c r="G38" s="18">
        <v>2643755</v>
      </c>
      <c r="H38" s="19">
        <v>8785.82</v>
      </c>
      <c r="I38" s="18">
        <v>1621</v>
      </c>
      <c r="J38" s="19">
        <v>2998.85</v>
      </c>
      <c r="K38" s="19">
        <v>13405.67</v>
      </c>
      <c r="L38" s="19">
        <v>13405.67</v>
      </c>
      <c r="M38" s="19">
        <v>13405.67</v>
      </c>
      <c r="N38" s="20">
        <v>1</v>
      </c>
      <c r="O38" s="21">
        <v>0</v>
      </c>
      <c r="P38" s="21">
        <v>0</v>
      </c>
      <c r="Q38" s="17">
        <v>0.95535506999999997</v>
      </c>
      <c r="R38" s="19">
        <v>0</v>
      </c>
      <c r="S38" s="19">
        <v>13405.67</v>
      </c>
      <c r="T38" s="19">
        <v>32977.43</v>
      </c>
      <c r="U38" s="19">
        <v>46383.1</v>
      </c>
      <c r="V38" s="19">
        <v>11595.78</v>
      </c>
      <c r="W38" s="19">
        <v>-1968.27</v>
      </c>
      <c r="X38" s="19">
        <v>0</v>
      </c>
      <c r="Y38" s="19">
        <v>-8339.07</v>
      </c>
      <c r="Z38" s="19">
        <v>0</v>
      </c>
      <c r="AA38" s="19">
        <v>0</v>
      </c>
      <c r="AB38" s="19">
        <v>-10815.29</v>
      </c>
      <c r="AC38" s="19">
        <v>-7040.88</v>
      </c>
      <c r="AD38" s="19">
        <v>0</v>
      </c>
      <c r="AE38" s="19">
        <v>0</v>
      </c>
      <c r="AF38" s="19">
        <v>0</v>
      </c>
      <c r="AG38" s="19">
        <v>13405.67</v>
      </c>
      <c r="AH38" s="19">
        <v>0</v>
      </c>
    </row>
    <row r="39" spans="1:34" x14ac:dyDescent="0.25">
      <c r="A39" s="12" t="s">
        <v>38</v>
      </c>
      <c r="B39" s="17">
        <v>108</v>
      </c>
      <c r="C39" s="17">
        <v>1</v>
      </c>
      <c r="D39" s="24" t="s">
        <v>72</v>
      </c>
      <c r="E39" s="18">
        <v>7328</v>
      </c>
      <c r="F39" s="17">
        <v>2000</v>
      </c>
      <c r="G39" s="18">
        <v>11271443</v>
      </c>
      <c r="H39" s="19">
        <v>39717.760000000002</v>
      </c>
      <c r="I39" s="18">
        <v>7328</v>
      </c>
      <c r="J39" s="19">
        <v>13556.8</v>
      </c>
      <c r="K39" s="19">
        <v>60602.559999999998</v>
      </c>
      <c r="L39" s="19">
        <v>60602.559999999998</v>
      </c>
      <c r="M39" s="19">
        <v>60602.559999999998</v>
      </c>
      <c r="N39" s="20">
        <v>1</v>
      </c>
      <c r="O39" s="21">
        <v>0</v>
      </c>
      <c r="P39" s="21">
        <v>0</v>
      </c>
      <c r="Q39" s="17">
        <v>0.95535506999999997</v>
      </c>
      <c r="R39" s="19">
        <v>0</v>
      </c>
      <c r="S39" s="19">
        <v>60602.559999999998</v>
      </c>
      <c r="T39" s="19">
        <v>540619.62</v>
      </c>
      <c r="U39" s="19">
        <v>601222.18000000005</v>
      </c>
      <c r="V39" s="19">
        <v>150305.54999999999</v>
      </c>
      <c r="W39" s="19">
        <v>83204.179999999993</v>
      </c>
      <c r="X39" s="19">
        <v>0</v>
      </c>
      <c r="Y39" s="19">
        <v>108577.09</v>
      </c>
      <c r="Z39" s="19">
        <v>0</v>
      </c>
      <c r="AA39" s="19">
        <v>0</v>
      </c>
      <c r="AB39" s="19">
        <v>118464.09</v>
      </c>
      <c r="AC39" s="19">
        <v>103415.12</v>
      </c>
      <c r="AD39" s="19">
        <v>0</v>
      </c>
      <c r="AE39" s="19">
        <v>0</v>
      </c>
      <c r="AF39" s="19">
        <v>0</v>
      </c>
      <c r="AG39" s="19">
        <v>60602.559999999998</v>
      </c>
      <c r="AH39" s="19">
        <v>0</v>
      </c>
    </row>
    <row r="40" spans="1:34" x14ac:dyDescent="0.25">
      <c r="A40" s="12" t="s">
        <v>38</v>
      </c>
      <c r="B40" s="17">
        <v>110</v>
      </c>
      <c r="C40" s="17">
        <v>1</v>
      </c>
      <c r="D40" s="24" t="s">
        <v>73</v>
      </c>
      <c r="E40" s="18">
        <v>14628</v>
      </c>
      <c r="F40" s="17">
        <v>2004</v>
      </c>
      <c r="G40" s="18">
        <v>27222914</v>
      </c>
      <c r="H40" s="19">
        <v>79283.759999999995</v>
      </c>
      <c r="I40" s="18">
        <v>14628</v>
      </c>
      <c r="J40" s="19">
        <v>20490.04</v>
      </c>
      <c r="K40" s="19">
        <v>114401.8</v>
      </c>
      <c r="L40" s="19">
        <v>114401.8</v>
      </c>
      <c r="M40" s="19">
        <v>114401.8</v>
      </c>
      <c r="N40" s="20">
        <v>1</v>
      </c>
      <c r="O40" s="21">
        <v>0</v>
      </c>
      <c r="P40" s="21">
        <v>0</v>
      </c>
      <c r="Q40" s="17">
        <v>0.95535506999999997</v>
      </c>
      <c r="R40" s="19">
        <v>0</v>
      </c>
      <c r="S40" s="19">
        <v>114401.8</v>
      </c>
      <c r="T40" s="19">
        <v>1694908.81</v>
      </c>
      <c r="U40" s="19">
        <v>1809310.61</v>
      </c>
      <c r="V40" s="19">
        <v>452327.65</v>
      </c>
      <c r="W40" s="19">
        <v>214854.71</v>
      </c>
      <c r="X40" s="19">
        <v>0</v>
      </c>
      <c r="Y40" s="19">
        <v>83356.899999999994</v>
      </c>
      <c r="Z40" s="19">
        <v>0</v>
      </c>
      <c r="AA40" s="19">
        <v>0</v>
      </c>
      <c r="AB40" s="19">
        <v>72339.509999999995</v>
      </c>
      <c r="AC40" s="19">
        <v>123517.04</v>
      </c>
      <c r="AD40" s="19">
        <v>0</v>
      </c>
      <c r="AE40" s="19">
        <v>0</v>
      </c>
      <c r="AF40" s="19">
        <v>0</v>
      </c>
      <c r="AG40" s="19">
        <v>114401.8</v>
      </c>
      <c r="AH40" s="19">
        <v>0</v>
      </c>
    </row>
    <row r="41" spans="1:34" x14ac:dyDescent="0.25">
      <c r="A41" s="12" t="s">
        <v>38</v>
      </c>
      <c r="B41" s="17">
        <v>111</v>
      </c>
      <c r="C41" s="17">
        <v>1</v>
      </c>
      <c r="D41" s="24" t="s">
        <v>74</v>
      </c>
      <c r="E41" s="18">
        <v>9841</v>
      </c>
      <c r="F41" s="17">
        <v>2008</v>
      </c>
      <c r="G41" s="18">
        <v>14125065</v>
      </c>
      <c r="H41" s="19">
        <v>53338.22</v>
      </c>
      <c r="I41" s="18">
        <v>9841</v>
      </c>
      <c r="J41" s="19">
        <v>18205.849999999999</v>
      </c>
      <c r="K41" s="19">
        <v>81385.070000000007</v>
      </c>
      <c r="L41" s="19">
        <v>81385.070000000007</v>
      </c>
      <c r="M41" s="19">
        <v>81385.070000000007</v>
      </c>
      <c r="N41" s="20">
        <v>1</v>
      </c>
      <c r="O41" s="21">
        <v>0</v>
      </c>
      <c r="P41" s="21">
        <v>0</v>
      </c>
      <c r="Q41" s="17">
        <v>0.95535506999999997</v>
      </c>
      <c r="R41" s="19">
        <v>0</v>
      </c>
      <c r="S41" s="19">
        <v>81385.070000000007</v>
      </c>
      <c r="T41" s="19">
        <v>642095.26</v>
      </c>
      <c r="U41" s="19">
        <v>723480.33</v>
      </c>
      <c r="V41" s="19">
        <v>180870.08</v>
      </c>
      <c r="W41" s="19">
        <v>55060.25</v>
      </c>
      <c r="X41" s="19">
        <v>0</v>
      </c>
      <c r="Y41" s="19">
        <v>19783.150000000001</v>
      </c>
      <c r="Z41" s="19">
        <v>0</v>
      </c>
      <c r="AA41" s="19">
        <v>0</v>
      </c>
      <c r="AB41" s="19">
        <v>46266.37</v>
      </c>
      <c r="AC41" s="19">
        <v>40369.919999999998</v>
      </c>
      <c r="AD41" s="19">
        <v>0</v>
      </c>
      <c r="AE41" s="19">
        <v>0</v>
      </c>
      <c r="AF41" s="19">
        <v>0</v>
      </c>
      <c r="AG41" s="19">
        <v>81385.070000000007</v>
      </c>
      <c r="AH41" s="19">
        <v>0</v>
      </c>
    </row>
    <row r="42" spans="1:34" x14ac:dyDescent="0.25">
      <c r="A42" s="12" t="s">
        <v>38</v>
      </c>
      <c r="B42" s="17">
        <v>112</v>
      </c>
      <c r="C42" s="17">
        <v>1</v>
      </c>
      <c r="D42" s="24" t="s">
        <v>75</v>
      </c>
      <c r="E42" s="18">
        <v>56000</v>
      </c>
      <c r="F42" s="17">
        <v>2008</v>
      </c>
      <c r="G42" s="18">
        <v>70777872</v>
      </c>
      <c r="H42" s="19">
        <v>303520</v>
      </c>
      <c r="I42" s="18">
        <v>56000</v>
      </c>
      <c r="J42" s="19">
        <v>38280</v>
      </c>
      <c r="K42" s="19">
        <v>397800</v>
      </c>
      <c r="L42" s="19">
        <v>397800</v>
      </c>
      <c r="M42" s="19">
        <v>397800</v>
      </c>
      <c r="N42" s="20">
        <v>1</v>
      </c>
      <c r="O42" s="21">
        <v>0</v>
      </c>
      <c r="P42" s="21">
        <v>0</v>
      </c>
      <c r="Q42" s="17">
        <v>0.95535506999999997</v>
      </c>
      <c r="R42" s="19">
        <v>0</v>
      </c>
      <c r="S42" s="19">
        <v>397800</v>
      </c>
      <c r="T42" s="19">
        <v>4821811.3499999996</v>
      </c>
      <c r="U42" s="19">
        <v>5219611.3499999996</v>
      </c>
      <c r="V42" s="19">
        <v>1304902.8400000001</v>
      </c>
      <c r="W42" s="19">
        <v>651355.73</v>
      </c>
      <c r="X42" s="19">
        <v>0</v>
      </c>
      <c r="Y42" s="19">
        <v>491252.71</v>
      </c>
      <c r="Z42" s="19">
        <v>0</v>
      </c>
      <c r="AA42" s="19">
        <v>0</v>
      </c>
      <c r="AB42" s="19">
        <v>294352.2</v>
      </c>
      <c r="AC42" s="19">
        <v>478986.88</v>
      </c>
      <c r="AD42" s="19">
        <v>0</v>
      </c>
      <c r="AE42" s="19">
        <v>0</v>
      </c>
      <c r="AF42" s="19">
        <v>0</v>
      </c>
      <c r="AG42" s="19">
        <v>397800</v>
      </c>
      <c r="AH42" s="19">
        <v>0</v>
      </c>
    </row>
    <row r="43" spans="1:34" x14ac:dyDescent="0.25">
      <c r="A43" s="12" t="s">
        <v>38</v>
      </c>
      <c r="B43" s="17">
        <v>113</v>
      </c>
      <c r="C43" s="17">
        <v>1</v>
      </c>
      <c r="D43" s="24" t="s">
        <v>76</v>
      </c>
      <c r="E43" s="18">
        <v>7213</v>
      </c>
      <c r="F43" s="17">
        <v>2000</v>
      </c>
      <c r="G43" s="18">
        <v>24049940</v>
      </c>
      <c r="H43" s="19">
        <v>39094.46</v>
      </c>
      <c r="I43" s="18">
        <v>7213</v>
      </c>
      <c r="J43" s="19">
        <v>13344.05</v>
      </c>
      <c r="K43" s="19">
        <v>59651.51</v>
      </c>
      <c r="L43" s="19">
        <v>59651.51</v>
      </c>
      <c r="M43" s="19">
        <v>59651.51</v>
      </c>
      <c r="N43" s="20">
        <v>1</v>
      </c>
      <c r="O43" s="21">
        <v>0</v>
      </c>
      <c r="P43" s="21">
        <v>0</v>
      </c>
      <c r="Q43" s="17">
        <v>0.95535506999999997</v>
      </c>
      <c r="R43" s="19">
        <v>0</v>
      </c>
      <c r="S43" s="19">
        <v>59651.51</v>
      </c>
      <c r="T43" s="19">
        <v>226099.79</v>
      </c>
      <c r="U43" s="19">
        <v>285751.3</v>
      </c>
      <c r="V43" s="19">
        <v>71437.83</v>
      </c>
      <c r="W43" s="19">
        <v>-36.880000000000003</v>
      </c>
      <c r="X43" s="19">
        <v>0</v>
      </c>
      <c r="Y43" s="19">
        <v>7237.42</v>
      </c>
      <c r="Z43" s="19">
        <v>0</v>
      </c>
      <c r="AA43" s="19">
        <v>0</v>
      </c>
      <c r="AB43" s="19">
        <v>35072.57</v>
      </c>
      <c r="AC43" s="19">
        <v>14091.04</v>
      </c>
      <c r="AD43" s="19">
        <v>0</v>
      </c>
      <c r="AE43" s="19">
        <v>0</v>
      </c>
      <c r="AF43" s="19">
        <v>0</v>
      </c>
      <c r="AG43" s="19">
        <v>59651.51</v>
      </c>
      <c r="AH43" s="19">
        <v>0</v>
      </c>
    </row>
    <row r="44" spans="1:34" x14ac:dyDescent="0.25">
      <c r="A44" s="12" t="s">
        <v>38</v>
      </c>
      <c r="B44" s="17">
        <v>115</v>
      </c>
      <c r="C44" s="17">
        <v>1</v>
      </c>
      <c r="D44" s="24" t="s">
        <v>77</v>
      </c>
      <c r="E44" s="18">
        <v>4306</v>
      </c>
      <c r="F44" s="17">
        <v>2000</v>
      </c>
      <c r="G44" s="18">
        <v>5327371</v>
      </c>
      <c r="H44" s="19">
        <v>23338.52</v>
      </c>
      <c r="I44" s="18">
        <v>0</v>
      </c>
      <c r="J44" s="19">
        <v>7966.1</v>
      </c>
      <c r="K44" s="19">
        <v>31304.62</v>
      </c>
      <c r="L44" s="19">
        <v>31304.62</v>
      </c>
      <c r="M44" s="19">
        <v>31304.62</v>
      </c>
      <c r="N44" s="20">
        <v>1</v>
      </c>
      <c r="O44" s="21">
        <v>0</v>
      </c>
      <c r="P44" s="21">
        <v>0</v>
      </c>
      <c r="Q44" s="17">
        <v>0.95535506999999997</v>
      </c>
      <c r="R44" s="19">
        <v>0</v>
      </c>
      <c r="S44" s="19">
        <v>31304.62</v>
      </c>
      <c r="T44" s="19">
        <v>84336.81</v>
      </c>
      <c r="U44" s="19">
        <v>115641.43</v>
      </c>
      <c r="V44" s="19">
        <v>28910.36</v>
      </c>
      <c r="W44" s="19">
        <v>-85108.85</v>
      </c>
      <c r="X44" s="19">
        <v>0</v>
      </c>
      <c r="Y44" s="19">
        <v>-11654.13</v>
      </c>
      <c r="Z44" s="19">
        <v>0</v>
      </c>
      <c r="AA44" s="19">
        <v>0</v>
      </c>
      <c r="AB44" s="19">
        <v>-14679.62</v>
      </c>
      <c r="AC44" s="19">
        <v>-37147.53</v>
      </c>
      <c r="AD44" s="19">
        <v>0</v>
      </c>
      <c r="AE44" s="19">
        <v>0</v>
      </c>
      <c r="AF44" s="19">
        <v>0</v>
      </c>
      <c r="AG44" s="19">
        <v>31304.62</v>
      </c>
      <c r="AH44" s="19">
        <v>0</v>
      </c>
    </row>
    <row r="45" spans="1:34" x14ac:dyDescent="0.25">
      <c r="A45" s="12" t="s">
        <v>38</v>
      </c>
      <c r="B45" s="17">
        <v>116</v>
      </c>
      <c r="C45" s="17">
        <v>1</v>
      </c>
      <c r="D45" s="24" t="s">
        <v>78</v>
      </c>
      <c r="E45" s="18">
        <v>5011</v>
      </c>
      <c r="F45" s="17">
        <v>2005</v>
      </c>
      <c r="G45" s="18">
        <v>12679080</v>
      </c>
      <c r="H45" s="19">
        <v>27159.62</v>
      </c>
      <c r="I45" s="18">
        <v>5011</v>
      </c>
      <c r="J45" s="19">
        <v>9270.35</v>
      </c>
      <c r="K45" s="19">
        <v>41440.97</v>
      </c>
      <c r="L45" s="19">
        <v>41440.97</v>
      </c>
      <c r="M45" s="19">
        <v>41440.97</v>
      </c>
      <c r="N45" s="20">
        <v>1</v>
      </c>
      <c r="O45" s="21">
        <v>0</v>
      </c>
      <c r="P45" s="21">
        <v>0</v>
      </c>
      <c r="Q45" s="17">
        <v>0.95535506999999997</v>
      </c>
      <c r="R45" s="19">
        <v>0</v>
      </c>
      <c r="S45" s="19">
        <v>41440.97</v>
      </c>
      <c r="T45" s="19">
        <v>72947.47</v>
      </c>
      <c r="U45" s="19">
        <v>114388.44</v>
      </c>
      <c r="V45" s="19">
        <v>28597.11</v>
      </c>
      <c r="W45" s="19">
        <v>9078.7800000000007</v>
      </c>
      <c r="X45" s="19">
        <v>0</v>
      </c>
      <c r="Y45" s="19">
        <v>8590.49</v>
      </c>
      <c r="Z45" s="19">
        <v>0</v>
      </c>
      <c r="AA45" s="19">
        <v>0</v>
      </c>
      <c r="AB45" s="19">
        <v>7277.81</v>
      </c>
      <c r="AC45" s="19">
        <v>8315.69</v>
      </c>
      <c r="AD45" s="19">
        <v>0</v>
      </c>
      <c r="AE45" s="19">
        <v>0</v>
      </c>
      <c r="AF45" s="19">
        <v>0</v>
      </c>
      <c r="AG45" s="19">
        <v>41440.97</v>
      </c>
      <c r="AH45" s="19">
        <v>0</v>
      </c>
    </row>
    <row r="46" spans="1:34" x14ac:dyDescent="0.25">
      <c r="A46" s="12" t="s">
        <v>38</v>
      </c>
      <c r="B46" s="17">
        <v>118</v>
      </c>
      <c r="C46" s="17">
        <v>1</v>
      </c>
      <c r="D46" s="24" t="s">
        <v>79</v>
      </c>
      <c r="E46" s="18">
        <v>4278</v>
      </c>
      <c r="F46" s="17">
        <v>2000</v>
      </c>
      <c r="G46" s="18">
        <v>20458842</v>
      </c>
      <c r="H46" s="19">
        <v>23186.76</v>
      </c>
      <c r="I46" s="18">
        <v>4278</v>
      </c>
      <c r="J46" s="19">
        <v>7914.3</v>
      </c>
      <c r="K46" s="19">
        <v>35379.06</v>
      </c>
      <c r="L46" s="19">
        <v>35379.06</v>
      </c>
      <c r="M46" s="19">
        <v>35379.06</v>
      </c>
      <c r="N46" s="20">
        <v>1</v>
      </c>
      <c r="O46" s="21">
        <v>0</v>
      </c>
      <c r="P46" s="21">
        <v>0</v>
      </c>
      <c r="Q46" s="17">
        <v>0.95535506999999997</v>
      </c>
      <c r="R46" s="19">
        <v>0</v>
      </c>
      <c r="S46" s="19">
        <v>35379.06</v>
      </c>
      <c r="T46" s="19">
        <v>90101.05</v>
      </c>
      <c r="U46" s="19">
        <v>125480.11</v>
      </c>
      <c r="V46" s="19">
        <v>31370.03</v>
      </c>
      <c r="W46" s="19">
        <v>8985.7900000000009</v>
      </c>
      <c r="X46" s="19">
        <v>0</v>
      </c>
      <c r="Y46" s="19">
        <v>1324.63</v>
      </c>
      <c r="Z46" s="19">
        <v>0</v>
      </c>
      <c r="AA46" s="19">
        <v>0</v>
      </c>
      <c r="AB46" s="19">
        <v>15290.35</v>
      </c>
      <c r="AC46" s="19">
        <v>8533.59</v>
      </c>
      <c r="AD46" s="19">
        <v>0</v>
      </c>
      <c r="AE46" s="19">
        <v>0</v>
      </c>
      <c r="AF46" s="19">
        <v>0</v>
      </c>
      <c r="AG46" s="19">
        <v>35379.06</v>
      </c>
      <c r="AH46" s="19">
        <v>0</v>
      </c>
    </row>
    <row r="47" spans="1:34" x14ac:dyDescent="0.25">
      <c r="A47" s="12" t="s">
        <v>38</v>
      </c>
      <c r="B47" s="17">
        <v>129</v>
      </c>
      <c r="C47" s="17">
        <v>1</v>
      </c>
      <c r="D47" s="24" t="s">
        <v>80</v>
      </c>
      <c r="E47" s="18">
        <v>7640</v>
      </c>
      <c r="F47" s="17">
        <v>2000</v>
      </c>
      <c r="G47" s="18">
        <v>6607284</v>
      </c>
      <c r="H47" s="19">
        <v>41408.800000000003</v>
      </c>
      <c r="I47" s="18">
        <v>7640</v>
      </c>
      <c r="J47" s="19">
        <v>14134</v>
      </c>
      <c r="K47" s="19">
        <v>63182.8</v>
      </c>
      <c r="L47" s="19">
        <v>59465.56</v>
      </c>
      <c r="M47" s="19">
        <v>59465.56</v>
      </c>
      <c r="N47" s="20">
        <v>1</v>
      </c>
      <c r="O47" s="21">
        <v>3717.24</v>
      </c>
      <c r="P47" s="21">
        <v>3717.24</v>
      </c>
      <c r="Q47" s="17">
        <v>0.95535506999999997</v>
      </c>
      <c r="R47" s="19">
        <v>3551.28</v>
      </c>
      <c r="S47" s="19">
        <v>63182.8</v>
      </c>
      <c r="T47" s="19">
        <v>430153.41</v>
      </c>
      <c r="U47" s="19">
        <v>493336.21</v>
      </c>
      <c r="V47" s="19">
        <v>123334.05</v>
      </c>
      <c r="W47" s="19">
        <v>-41676.35</v>
      </c>
      <c r="X47" s="19">
        <v>0</v>
      </c>
      <c r="Y47" s="19">
        <v>-13968.28</v>
      </c>
      <c r="Z47" s="19">
        <v>0</v>
      </c>
      <c r="AA47" s="19">
        <v>0</v>
      </c>
      <c r="AB47" s="19">
        <v>27013.35</v>
      </c>
      <c r="AC47" s="19">
        <v>-9543.76</v>
      </c>
      <c r="AD47" s="19">
        <v>0</v>
      </c>
      <c r="AE47" s="19">
        <v>0</v>
      </c>
      <c r="AF47" s="19">
        <v>0</v>
      </c>
      <c r="AG47" s="19">
        <v>59465.56</v>
      </c>
      <c r="AH47" s="19">
        <v>3717.24</v>
      </c>
    </row>
    <row r="48" spans="1:34" x14ac:dyDescent="0.25">
      <c r="A48" s="12" t="s">
        <v>38</v>
      </c>
      <c r="B48" s="17">
        <v>138</v>
      </c>
      <c r="C48" s="17">
        <v>1</v>
      </c>
      <c r="D48" s="24" t="s">
        <v>81</v>
      </c>
      <c r="E48" s="18">
        <v>20891</v>
      </c>
      <c r="F48" s="17">
        <v>2007</v>
      </c>
      <c r="G48" s="18">
        <v>19815763</v>
      </c>
      <c r="H48" s="19">
        <v>113229.22</v>
      </c>
      <c r="I48" s="18">
        <v>20891</v>
      </c>
      <c r="J48" s="19">
        <v>23183.13</v>
      </c>
      <c r="K48" s="19">
        <v>157303.35</v>
      </c>
      <c r="L48" s="19">
        <v>157303.35</v>
      </c>
      <c r="M48" s="19">
        <v>157303.35</v>
      </c>
      <c r="N48" s="20">
        <v>1</v>
      </c>
      <c r="O48" s="21">
        <v>0</v>
      </c>
      <c r="P48" s="21">
        <v>0</v>
      </c>
      <c r="Q48" s="17">
        <v>0.95535506999999997</v>
      </c>
      <c r="R48" s="19">
        <v>0</v>
      </c>
      <c r="S48" s="19">
        <v>157303.35</v>
      </c>
      <c r="T48" s="19">
        <v>626951.53</v>
      </c>
      <c r="U48" s="19">
        <v>784254.88</v>
      </c>
      <c r="V48" s="19">
        <v>196063.72</v>
      </c>
      <c r="W48" s="19">
        <v>111538.62</v>
      </c>
      <c r="X48" s="19">
        <v>0</v>
      </c>
      <c r="Y48" s="19">
        <v>105372.43</v>
      </c>
      <c r="Z48" s="19">
        <v>0</v>
      </c>
      <c r="AA48" s="19">
        <v>0</v>
      </c>
      <c r="AB48" s="19">
        <v>65280.800000000003</v>
      </c>
      <c r="AC48" s="19">
        <v>94063.95</v>
      </c>
      <c r="AD48" s="19">
        <v>0</v>
      </c>
      <c r="AE48" s="19">
        <v>0</v>
      </c>
      <c r="AF48" s="19">
        <v>0</v>
      </c>
      <c r="AG48" s="19">
        <v>157303.35</v>
      </c>
      <c r="AH48" s="19">
        <v>0</v>
      </c>
    </row>
    <row r="49" spans="1:34" x14ac:dyDescent="0.25">
      <c r="A49" s="12" t="s">
        <v>38</v>
      </c>
      <c r="B49" s="17">
        <v>139</v>
      </c>
      <c r="C49" s="17">
        <v>1</v>
      </c>
      <c r="D49" s="24" t="s">
        <v>82</v>
      </c>
      <c r="E49" s="18">
        <v>5084</v>
      </c>
      <c r="F49" s="17">
        <v>2000</v>
      </c>
      <c r="G49" s="18">
        <v>5965348</v>
      </c>
      <c r="H49" s="19">
        <v>27555.279999999999</v>
      </c>
      <c r="I49" s="18">
        <v>5084</v>
      </c>
      <c r="J49" s="19">
        <v>0</v>
      </c>
      <c r="K49" s="19">
        <v>32639.279999999999</v>
      </c>
      <c r="L49" s="19">
        <v>32639.279999999999</v>
      </c>
      <c r="M49" s="19">
        <v>32639.279999999999</v>
      </c>
      <c r="N49" s="20">
        <v>1</v>
      </c>
      <c r="O49" s="21">
        <v>0</v>
      </c>
      <c r="P49" s="21">
        <v>0</v>
      </c>
      <c r="Q49" s="17">
        <v>0.95535506999999997</v>
      </c>
      <c r="R49" s="19">
        <v>0</v>
      </c>
      <c r="S49" s="19">
        <v>32639.279999999999</v>
      </c>
      <c r="T49" s="19">
        <v>307255.42</v>
      </c>
      <c r="U49" s="19">
        <v>339894.7</v>
      </c>
      <c r="V49" s="19">
        <v>84973.68</v>
      </c>
      <c r="W49" s="19">
        <v>18223.82</v>
      </c>
      <c r="X49" s="19">
        <v>0</v>
      </c>
      <c r="Y49" s="19">
        <v>29694.09</v>
      </c>
      <c r="Z49" s="19">
        <v>0</v>
      </c>
      <c r="AA49" s="19">
        <v>0</v>
      </c>
      <c r="AB49" s="19">
        <v>38409.550000000003</v>
      </c>
      <c r="AC49" s="19">
        <v>28775.82</v>
      </c>
      <c r="AD49" s="19">
        <v>0</v>
      </c>
      <c r="AE49" s="19">
        <v>0</v>
      </c>
      <c r="AF49" s="19">
        <v>0</v>
      </c>
      <c r="AG49" s="19">
        <v>32639.279999999999</v>
      </c>
      <c r="AH49" s="19">
        <v>0</v>
      </c>
    </row>
    <row r="50" spans="1:34" x14ac:dyDescent="0.25">
      <c r="A50" s="12" t="s">
        <v>38</v>
      </c>
      <c r="B50" s="17">
        <v>146</v>
      </c>
      <c r="C50" s="17">
        <v>1</v>
      </c>
      <c r="D50" s="24" t="s">
        <v>83</v>
      </c>
      <c r="E50" s="18">
        <v>4041</v>
      </c>
      <c r="F50" s="17">
        <v>2000</v>
      </c>
      <c r="G50" s="18">
        <v>5165548</v>
      </c>
      <c r="H50" s="19">
        <v>21902.22</v>
      </c>
      <c r="I50" s="18">
        <v>4041</v>
      </c>
      <c r="J50" s="19">
        <v>7475.85</v>
      </c>
      <c r="K50" s="19">
        <v>33419.07</v>
      </c>
      <c r="L50" s="19">
        <v>33419.07</v>
      </c>
      <c r="M50" s="19">
        <v>33419.07</v>
      </c>
      <c r="N50" s="20">
        <v>1</v>
      </c>
      <c r="O50" s="21">
        <v>0</v>
      </c>
      <c r="P50" s="21">
        <v>0</v>
      </c>
      <c r="Q50" s="17">
        <v>0.95535506999999997</v>
      </c>
      <c r="R50" s="19">
        <v>0</v>
      </c>
      <c r="S50" s="19">
        <v>33419.07</v>
      </c>
      <c r="T50" s="19">
        <v>101809.65</v>
      </c>
      <c r="U50" s="19">
        <v>135228.72</v>
      </c>
      <c r="V50" s="19">
        <v>33807.18</v>
      </c>
      <c r="W50" s="19">
        <v>44724.24</v>
      </c>
      <c r="X50" s="19">
        <v>0</v>
      </c>
      <c r="Y50" s="19">
        <v>39431.629999999997</v>
      </c>
      <c r="Z50" s="19">
        <v>0</v>
      </c>
      <c r="AA50" s="19">
        <v>0</v>
      </c>
      <c r="AB50" s="19">
        <v>16349.11</v>
      </c>
      <c r="AC50" s="19">
        <v>33501.660000000003</v>
      </c>
      <c r="AD50" s="19">
        <v>0</v>
      </c>
      <c r="AE50" s="19">
        <v>0</v>
      </c>
      <c r="AF50" s="19">
        <v>0</v>
      </c>
      <c r="AG50" s="19">
        <v>33419.07</v>
      </c>
      <c r="AH50" s="19">
        <v>0</v>
      </c>
    </row>
    <row r="51" spans="1:34" x14ac:dyDescent="0.25">
      <c r="A51" s="12" t="s">
        <v>38</v>
      </c>
      <c r="B51" s="17">
        <v>150</v>
      </c>
      <c r="C51" s="17">
        <v>1</v>
      </c>
      <c r="D51" s="24" t="s">
        <v>84</v>
      </c>
      <c r="E51" s="18">
        <v>3744</v>
      </c>
      <c r="F51" s="17">
        <v>2000</v>
      </c>
      <c r="G51" s="18">
        <v>3225733</v>
      </c>
      <c r="H51" s="19">
        <v>20292.48</v>
      </c>
      <c r="I51" s="18">
        <v>3744</v>
      </c>
      <c r="J51" s="19">
        <v>6926.4</v>
      </c>
      <c r="K51" s="19">
        <v>30962.880000000001</v>
      </c>
      <c r="L51" s="19">
        <v>29031.599999999999</v>
      </c>
      <c r="M51" s="19">
        <v>29031.599999999999</v>
      </c>
      <c r="N51" s="20">
        <v>1</v>
      </c>
      <c r="O51" s="21">
        <v>1931.28</v>
      </c>
      <c r="P51" s="21">
        <v>1931.28</v>
      </c>
      <c r="Q51" s="17">
        <v>0.95535506999999997</v>
      </c>
      <c r="R51" s="19">
        <v>1845.06</v>
      </c>
      <c r="S51" s="19">
        <v>30962.880000000001</v>
      </c>
      <c r="T51" s="19">
        <v>223742.64</v>
      </c>
      <c r="U51" s="19">
        <v>254705.52</v>
      </c>
      <c r="V51" s="19">
        <v>63676.38</v>
      </c>
      <c r="W51" s="19">
        <v>4819.1899999999996</v>
      </c>
      <c r="X51" s="19">
        <v>0</v>
      </c>
      <c r="Y51" s="19">
        <v>711.23</v>
      </c>
      <c r="Z51" s="19">
        <v>0</v>
      </c>
      <c r="AA51" s="19">
        <v>0</v>
      </c>
      <c r="AB51" s="19">
        <v>11359.72</v>
      </c>
      <c r="AC51" s="19">
        <v>5630.05</v>
      </c>
      <c r="AD51" s="19">
        <v>0</v>
      </c>
      <c r="AE51" s="19">
        <v>0</v>
      </c>
      <c r="AF51" s="19">
        <v>0</v>
      </c>
      <c r="AG51" s="19">
        <v>29031.599999999999</v>
      </c>
      <c r="AH51" s="19">
        <v>1931.28</v>
      </c>
    </row>
    <row r="52" spans="1:34" x14ac:dyDescent="0.25">
      <c r="A52" s="12" t="s">
        <v>38</v>
      </c>
      <c r="B52" s="17">
        <v>152</v>
      </c>
      <c r="C52" s="17">
        <v>1</v>
      </c>
      <c r="D52" s="24" t="s">
        <v>85</v>
      </c>
      <c r="E52" s="18">
        <v>40085</v>
      </c>
      <c r="F52" s="17">
        <v>2009</v>
      </c>
      <c r="G52" s="18">
        <v>27652899</v>
      </c>
      <c r="H52" s="19">
        <v>217260.7</v>
      </c>
      <c r="I52" s="18">
        <v>40085</v>
      </c>
      <c r="J52" s="19">
        <v>31436.55</v>
      </c>
      <c r="K52" s="19">
        <v>288782.25</v>
      </c>
      <c r="L52" s="19">
        <v>248876.09</v>
      </c>
      <c r="M52" s="19">
        <v>248876.09</v>
      </c>
      <c r="N52" s="20">
        <v>1</v>
      </c>
      <c r="O52" s="21">
        <v>39906.160000000003</v>
      </c>
      <c r="P52" s="21">
        <v>39906.160000000003</v>
      </c>
      <c r="Q52" s="17">
        <v>0.95535506999999997</v>
      </c>
      <c r="R52" s="19">
        <v>38124.550000000003</v>
      </c>
      <c r="S52" s="19">
        <v>282891.25</v>
      </c>
      <c r="T52" s="19">
        <v>453641.1</v>
      </c>
      <c r="U52" s="19">
        <v>736532.35</v>
      </c>
      <c r="V52" s="19">
        <v>184133.09</v>
      </c>
      <c r="W52" s="19">
        <v>-104659.67</v>
      </c>
      <c r="X52" s="19">
        <v>0</v>
      </c>
      <c r="Y52" s="19">
        <v>-7897.48</v>
      </c>
      <c r="Z52" s="19">
        <v>0</v>
      </c>
      <c r="AA52" s="19">
        <v>0</v>
      </c>
      <c r="AB52" s="19">
        <v>142695.54999999999</v>
      </c>
      <c r="AC52" s="19">
        <v>10046.129999999999</v>
      </c>
      <c r="AD52" s="19">
        <v>0</v>
      </c>
      <c r="AE52" s="19">
        <v>0</v>
      </c>
      <c r="AF52" s="19">
        <v>0</v>
      </c>
      <c r="AG52" s="19">
        <v>248876.09</v>
      </c>
      <c r="AH52" s="19">
        <v>39906.160000000003</v>
      </c>
    </row>
    <row r="53" spans="1:34" x14ac:dyDescent="0.25">
      <c r="A53" s="12" t="s">
        <v>38</v>
      </c>
      <c r="B53" s="17">
        <v>162</v>
      </c>
      <c r="C53" s="17">
        <v>1</v>
      </c>
      <c r="D53" s="24" t="s">
        <v>86</v>
      </c>
      <c r="E53" s="18">
        <v>5723</v>
      </c>
      <c r="F53" s="17">
        <v>2000</v>
      </c>
      <c r="G53" s="18">
        <v>4955486</v>
      </c>
      <c r="H53" s="19">
        <v>31018.66</v>
      </c>
      <c r="I53" s="18">
        <v>5723</v>
      </c>
      <c r="J53" s="19">
        <v>10587.55</v>
      </c>
      <c r="K53" s="19">
        <v>47329.21</v>
      </c>
      <c r="L53" s="19">
        <v>44599.37</v>
      </c>
      <c r="M53" s="19">
        <v>44599.37</v>
      </c>
      <c r="N53" s="20">
        <v>1</v>
      </c>
      <c r="O53" s="21">
        <v>2729.84</v>
      </c>
      <c r="P53" s="21">
        <v>2729.84</v>
      </c>
      <c r="Q53" s="17">
        <v>0.95535506999999997</v>
      </c>
      <c r="R53" s="19">
        <v>2607.9699999999998</v>
      </c>
      <c r="S53" s="19">
        <v>47329.21</v>
      </c>
      <c r="T53" s="19">
        <v>61218.63</v>
      </c>
      <c r="U53" s="19">
        <v>108547.84</v>
      </c>
      <c r="V53" s="19">
        <v>27136.959999999999</v>
      </c>
      <c r="W53" s="19">
        <v>19887.93</v>
      </c>
      <c r="X53" s="19">
        <v>0</v>
      </c>
      <c r="Y53" s="19">
        <v>28831.9</v>
      </c>
      <c r="Z53" s="19">
        <v>1066.55</v>
      </c>
      <c r="AA53" s="19">
        <v>0</v>
      </c>
      <c r="AB53" s="19">
        <v>34339.019999999997</v>
      </c>
      <c r="AC53" s="19">
        <v>27330.77</v>
      </c>
      <c r="AD53" s="19">
        <v>193.81</v>
      </c>
      <c r="AE53" s="19">
        <v>182.63</v>
      </c>
      <c r="AF53" s="19">
        <v>11.18</v>
      </c>
      <c r="AG53" s="19">
        <v>44416.74</v>
      </c>
      <c r="AH53" s="19">
        <v>2718.66</v>
      </c>
    </row>
    <row r="54" spans="1:34" x14ac:dyDescent="0.25">
      <c r="A54" s="12" t="s">
        <v>38</v>
      </c>
      <c r="B54" s="17">
        <v>166</v>
      </c>
      <c r="C54" s="17">
        <v>1</v>
      </c>
      <c r="D54" s="24" t="s">
        <v>87</v>
      </c>
      <c r="E54" s="18">
        <v>5280</v>
      </c>
      <c r="F54" s="17">
        <v>2005</v>
      </c>
      <c r="G54" s="18">
        <v>19974308</v>
      </c>
      <c r="H54" s="19">
        <v>28617.599999999999</v>
      </c>
      <c r="I54" s="18">
        <v>5280</v>
      </c>
      <c r="J54" s="19">
        <v>9768</v>
      </c>
      <c r="K54" s="19">
        <v>43665.599999999999</v>
      </c>
      <c r="L54" s="19">
        <v>43665.599999999999</v>
      </c>
      <c r="M54" s="19">
        <v>43665.599999999999</v>
      </c>
      <c r="N54" s="20">
        <v>1</v>
      </c>
      <c r="O54" s="21">
        <v>0</v>
      </c>
      <c r="P54" s="21">
        <v>0</v>
      </c>
      <c r="Q54" s="17">
        <v>0.95535506999999997</v>
      </c>
      <c r="R54" s="19">
        <v>0</v>
      </c>
      <c r="S54" s="19">
        <v>43665.599999999999</v>
      </c>
      <c r="T54" s="19">
        <v>125084.61</v>
      </c>
      <c r="U54" s="19">
        <v>168750.21</v>
      </c>
      <c r="V54" s="19">
        <v>42187.55</v>
      </c>
      <c r="W54" s="19">
        <v>44703.56</v>
      </c>
      <c r="X54" s="19">
        <v>0</v>
      </c>
      <c r="Y54" s="19">
        <v>15079.76</v>
      </c>
      <c r="Z54" s="19">
        <v>0</v>
      </c>
      <c r="AA54" s="19">
        <v>0</v>
      </c>
      <c r="AB54" s="19">
        <v>-24707.11</v>
      </c>
      <c r="AC54" s="19">
        <v>11692.07</v>
      </c>
      <c r="AD54" s="19">
        <v>0</v>
      </c>
      <c r="AE54" s="19">
        <v>0</v>
      </c>
      <c r="AF54" s="19">
        <v>0</v>
      </c>
      <c r="AG54" s="19">
        <v>43665.599999999999</v>
      </c>
      <c r="AH54" s="19">
        <v>0</v>
      </c>
    </row>
    <row r="55" spans="1:34" x14ac:dyDescent="0.25">
      <c r="A55" s="12" t="s">
        <v>38</v>
      </c>
      <c r="B55" s="17">
        <v>173</v>
      </c>
      <c r="C55" s="17">
        <v>1</v>
      </c>
      <c r="D55" s="24" t="s">
        <v>88</v>
      </c>
      <c r="E55" s="18">
        <v>3277</v>
      </c>
      <c r="F55" s="17">
        <v>2000</v>
      </c>
      <c r="G55" s="18">
        <v>4084225</v>
      </c>
      <c r="H55" s="19">
        <v>17761.34</v>
      </c>
      <c r="I55" s="18">
        <v>3277</v>
      </c>
      <c r="J55" s="19">
        <v>6062.45</v>
      </c>
      <c r="K55" s="19">
        <v>27100.79</v>
      </c>
      <c r="L55" s="19">
        <v>27100.79</v>
      </c>
      <c r="M55" s="19">
        <v>27100.79</v>
      </c>
      <c r="N55" s="20">
        <v>1</v>
      </c>
      <c r="O55" s="21">
        <v>0</v>
      </c>
      <c r="P55" s="21">
        <v>0</v>
      </c>
      <c r="Q55" s="17">
        <v>0.95535506999999997</v>
      </c>
      <c r="R55" s="19">
        <v>0</v>
      </c>
      <c r="S55" s="19">
        <v>27100.79</v>
      </c>
      <c r="T55" s="19">
        <v>230761.08</v>
      </c>
      <c r="U55" s="19">
        <v>257861.87</v>
      </c>
      <c r="V55" s="19">
        <v>64465.47</v>
      </c>
      <c r="W55" s="19">
        <v>8654.67</v>
      </c>
      <c r="X55" s="19">
        <v>0</v>
      </c>
      <c r="Y55" s="19">
        <v>-5474.04</v>
      </c>
      <c r="Z55" s="19">
        <v>0</v>
      </c>
      <c r="AA55" s="19">
        <v>0</v>
      </c>
      <c r="AB55" s="19">
        <v>10019.16</v>
      </c>
      <c r="AC55" s="19">
        <v>4399.93</v>
      </c>
      <c r="AD55" s="19">
        <v>0</v>
      </c>
      <c r="AE55" s="19">
        <v>0</v>
      </c>
      <c r="AF55" s="19">
        <v>0</v>
      </c>
      <c r="AG55" s="19">
        <v>27100.79</v>
      </c>
      <c r="AH55" s="19">
        <v>0</v>
      </c>
    </row>
    <row r="56" spans="1:34" x14ac:dyDescent="0.25">
      <c r="A56" s="12" t="s">
        <v>38</v>
      </c>
      <c r="B56" s="17">
        <v>177</v>
      </c>
      <c r="C56" s="17">
        <v>1</v>
      </c>
      <c r="D56" s="24" t="s">
        <v>89</v>
      </c>
      <c r="E56" s="18">
        <v>6125</v>
      </c>
      <c r="F56" s="17">
        <v>2000</v>
      </c>
      <c r="G56" s="18">
        <v>6884057</v>
      </c>
      <c r="H56" s="19">
        <v>33197.5</v>
      </c>
      <c r="I56" s="18">
        <v>6125</v>
      </c>
      <c r="J56" s="19">
        <v>11331.25</v>
      </c>
      <c r="K56" s="19">
        <v>50653.75</v>
      </c>
      <c r="L56" s="19">
        <v>50653.75</v>
      </c>
      <c r="M56" s="19">
        <v>50653.75</v>
      </c>
      <c r="N56" s="20">
        <v>1</v>
      </c>
      <c r="O56" s="21">
        <v>0</v>
      </c>
      <c r="P56" s="21">
        <v>0</v>
      </c>
      <c r="Q56" s="17">
        <v>0.95535506999999997</v>
      </c>
      <c r="R56" s="19">
        <v>0</v>
      </c>
      <c r="S56" s="19">
        <v>50653.75</v>
      </c>
      <c r="T56" s="19">
        <v>74763.179999999993</v>
      </c>
      <c r="U56" s="19">
        <v>125416.93</v>
      </c>
      <c r="V56" s="19">
        <v>31354.23</v>
      </c>
      <c r="W56" s="19">
        <v>25470.9</v>
      </c>
      <c r="X56" s="19">
        <v>0</v>
      </c>
      <c r="Y56" s="19">
        <v>28348.66</v>
      </c>
      <c r="Z56" s="19">
        <v>0</v>
      </c>
      <c r="AA56" s="19">
        <v>0</v>
      </c>
      <c r="AB56" s="19">
        <v>26622.12</v>
      </c>
      <c r="AC56" s="19">
        <v>26813.89</v>
      </c>
      <c r="AD56" s="19">
        <v>0</v>
      </c>
      <c r="AE56" s="19">
        <v>0</v>
      </c>
      <c r="AF56" s="19">
        <v>0</v>
      </c>
      <c r="AG56" s="19">
        <v>50653.75</v>
      </c>
      <c r="AH56" s="19">
        <v>0</v>
      </c>
    </row>
    <row r="57" spans="1:34" x14ac:dyDescent="0.25">
      <c r="A57" s="12" t="s">
        <v>38</v>
      </c>
      <c r="B57" s="17">
        <v>181</v>
      </c>
      <c r="C57" s="17">
        <v>1</v>
      </c>
      <c r="D57" s="24" t="s">
        <v>90</v>
      </c>
      <c r="E57" s="18">
        <v>41216</v>
      </c>
      <c r="F57" s="17">
        <v>2009</v>
      </c>
      <c r="G57" s="18">
        <v>71138505</v>
      </c>
      <c r="H57" s="19">
        <v>223390.72</v>
      </c>
      <c r="I57" s="18">
        <v>41216</v>
      </c>
      <c r="J57" s="19">
        <v>31922.880000000001</v>
      </c>
      <c r="K57" s="19">
        <v>296529.59999999998</v>
      </c>
      <c r="L57" s="19">
        <v>296529.59999999998</v>
      </c>
      <c r="M57" s="19">
        <v>296529.59999999998</v>
      </c>
      <c r="N57" s="20">
        <v>1</v>
      </c>
      <c r="O57" s="21">
        <v>0</v>
      </c>
      <c r="P57" s="21">
        <v>0</v>
      </c>
      <c r="Q57" s="17">
        <v>0.95535506999999997</v>
      </c>
      <c r="R57" s="19">
        <v>0</v>
      </c>
      <c r="S57" s="19">
        <v>273130</v>
      </c>
      <c r="T57" s="19">
        <v>1195023.6399999999</v>
      </c>
      <c r="U57" s="19">
        <v>1468153.64</v>
      </c>
      <c r="V57" s="19">
        <v>367038.41</v>
      </c>
      <c r="W57" s="19">
        <v>164455.24</v>
      </c>
      <c r="X57" s="19">
        <v>0</v>
      </c>
      <c r="Y57" s="19">
        <v>251983.43</v>
      </c>
      <c r="Z57" s="19">
        <v>0</v>
      </c>
      <c r="AA57" s="19">
        <v>0</v>
      </c>
      <c r="AB57" s="19">
        <v>285913.78999999998</v>
      </c>
      <c r="AC57" s="19">
        <v>234117.49</v>
      </c>
      <c r="AD57" s="19">
        <v>0</v>
      </c>
      <c r="AE57" s="19">
        <v>0</v>
      </c>
      <c r="AF57" s="19">
        <v>0</v>
      </c>
      <c r="AG57" s="19">
        <v>296529.59999999998</v>
      </c>
      <c r="AH57" s="19">
        <v>0</v>
      </c>
    </row>
    <row r="58" spans="1:34" x14ac:dyDescent="0.25">
      <c r="A58" s="12" t="s">
        <v>38</v>
      </c>
      <c r="B58" s="17">
        <v>182</v>
      </c>
      <c r="C58" s="17">
        <v>1</v>
      </c>
      <c r="D58" s="24" t="s">
        <v>91</v>
      </c>
      <c r="E58" s="18">
        <v>10207</v>
      </c>
      <c r="F58" s="17">
        <v>2000</v>
      </c>
      <c r="G58" s="18">
        <v>26599669</v>
      </c>
      <c r="H58" s="19">
        <v>55321.94</v>
      </c>
      <c r="I58" s="18">
        <v>10207</v>
      </c>
      <c r="J58" s="19">
        <v>18589.009999999998</v>
      </c>
      <c r="K58" s="19">
        <v>84117.95</v>
      </c>
      <c r="L58" s="19">
        <v>84117.95</v>
      </c>
      <c r="M58" s="19">
        <v>84117.95</v>
      </c>
      <c r="N58" s="20">
        <v>1</v>
      </c>
      <c r="O58" s="21">
        <v>0</v>
      </c>
      <c r="P58" s="21">
        <v>0</v>
      </c>
      <c r="Q58" s="17">
        <v>0.95535506999999997</v>
      </c>
      <c r="R58" s="19">
        <v>0</v>
      </c>
      <c r="S58" s="19">
        <v>84117.95</v>
      </c>
      <c r="T58" s="19">
        <v>35077.160000000003</v>
      </c>
      <c r="U58" s="19">
        <v>119195.11</v>
      </c>
      <c r="V58" s="19">
        <v>29798.78</v>
      </c>
      <c r="W58" s="19">
        <v>24522.91</v>
      </c>
      <c r="X58" s="19">
        <v>0</v>
      </c>
      <c r="Y58" s="19">
        <v>39429.39</v>
      </c>
      <c r="Z58" s="19">
        <v>0</v>
      </c>
      <c r="AA58" s="19">
        <v>0</v>
      </c>
      <c r="AB58" s="19">
        <v>45929.96</v>
      </c>
      <c r="AC58" s="19">
        <v>36627.42</v>
      </c>
      <c r="AD58" s="19">
        <v>6828.64</v>
      </c>
      <c r="AE58" s="19">
        <v>6828.64</v>
      </c>
      <c r="AF58" s="19">
        <v>0</v>
      </c>
      <c r="AG58" s="19">
        <v>77289.31</v>
      </c>
      <c r="AH58" s="19">
        <v>0</v>
      </c>
    </row>
    <row r="59" spans="1:34" x14ac:dyDescent="0.25">
      <c r="A59" s="12" t="s">
        <v>38</v>
      </c>
      <c r="B59" s="17">
        <v>186</v>
      </c>
      <c r="C59" s="17">
        <v>1</v>
      </c>
      <c r="D59" s="24" t="s">
        <v>92</v>
      </c>
      <c r="E59" s="18">
        <v>8240</v>
      </c>
      <c r="F59" s="17">
        <v>2005</v>
      </c>
      <c r="G59" s="18">
        <v>42588989</v>
      </c>
      <c r="H59" s="19">
        <v>44660.800000000003</v>
      </c>
      <c r="I59" s="18">
        <v>8240</v>
      </c>
      <c r="J59" s="19">
        <v>15244</v>
      </c>
      <c r="K59" s="19">
        <v>68144.800000000003</v>
      </c>
      <c r="L59" s="19">
        <v>68144.800000000003</v>
      </c>
      <c r="M59" s="19">
        <v>68144.800000000003</v>
      </c>
      <c r="N59" s="20">
        <v>1</v>
      </c>
      <c r="O59" s="21">
        <v>0</v>
      </c>
      <c r="P59" s="21">
        <v>0</v>
      </c>
      <c r="Q59" s="17">
        <v>0.95535506999999997</v>
      </c>
      <c r="R59" s="19">
        <v>0</v>
      </c>
      <c r="S59" s="19">
        <v>68144.800000000003</v>
      </c>
      <c r="T59" s="19">
        <v>230774.49</v>
      </c>
      <c r="U59" s="19">
        <v>298919.28999999998</v>
      </c>
      <c r="V59" s="19">
        <v>74729.820000000007</v>
      </c>
      <c r="W59" s="19">
        <v>69308.84</v>
      </c>
      <c r="X59" s="19">
        <v>0</v>
      </c>
      <c r="Y59" s="19">
        <v>81670.69</v>
      </c>
      <c r="Z59" s="19">
        <v>0</v>
      </c>
      <c r="AA59" s="19">
        <v>0</v>
      </c>
      <c r="AB59" s="19">
        <v>86222.56</v>
      </c>
      <c r="AC59" s="19">
        <v>79067.360000000001</v>
      </c>
      <c r="AD59" s="19">
        <v>4337.54</v>
      </c>
      <c r="AE59" s="19">
        <v>4337.54</v>
      </c>
      <c r="AF59" s="19">
        <v>0</v>
      </c>
      <c r="AG59" s="19">
        <v>63807.26</v>
      </c>
      <c r="AH59" s="19">
        <v>0</v>
      </c>
    </row>
    <row r="60" spans="1:34" x14ac:dyDescent="0.25">
      <c r="A60" s="12" t="s">
        <v>38</v>
      </c>
      <c r="B60" s="17">
        <v>191</v>
      </c>
      <c r="C60" s="17">
        <v>1</v>
      </c>
      <c r="D60" s="24" t="s">
        <v>93</v>
      </c>
      <c r="E60" s="18">
        <v>66158</v>
      </c>
      <c r="F60" s="17">
        <v>2000</v>
      </c>
      <c r="G60" s="18">
        <v>77947960</v>
      </c>
      <c r="H60" s="19">
        <v>358576.36</v>
      </c>
      <c r="I60" s="18">
        <v>66158</v>
      </c>
      <c r="J60" s="19">
        <v>42647.94</v>
      </c>
      <c r="K60" s="19">
        <v>467382.3</v>
      </c>
      <c r="L60" s="19">
        <v>467382.3</v>
      </c>
      <c r="M60" s="19">
        <v>467382.3</v>
      </c>
      <c r="N60" s="20">
        <v>1</v>
      </c>
      <c r="O60" s="21">
        <v>0</v>
      </c>
      <c r="P60" s="21">
        <v>0</v>
      </c>
      <c r="Q60" s="17">
        <v>0.95535506999999997</v>
      </c>
      <c r="R60" s="19">
        <v>0</v>
      </c>
      <c r="S60" s="19">
        <v>467382.3</v>
      </c>
      <c r="T60" s="19">
        <v>4882934.38</v>
      </c>
      <c r="U60" s="19">
        <v>5350316.68</v>
      </c>
      <c r="V60" s="19">
        <v>1337579.17</v>
      </c>
      <c r="W60" s="19">
        <v>-38577.15</v>
      </c>
      <c r="X60" s="19">
        <v>0</v>
      </c>
      <c r="Y60" s="19">
        <v>2504.3000000000002</v>
      </c>
      <c r="Z60" s="19">
        <v>0</v>
      </c>
      <c r="AA60" s="19">
        <v>0</v>
      </c>
      <c r="AB60" s="19">
        <v>-97441.65</v>
      </c>
      <c r="AC60" s="19">
        <v>-44504.83</v>
      </c>
      <c r="AD60" s="19">
        <v>0</v>
      </c>
      <c r="AE60" s="19">
        <v>0</v>
      </c>
      <c r="AF60" s="19">
        <v>0</v>
      </c>
      <c r="AG60" s="19">
        <v>467382.3</v>
      </c>
      <c r="AH60" s="19">
        <v>0</v>
      </c>
    </row>
    <row r="61" spans="1:34" x14ac:dyDescent="0.25">
      <c r="A61" s="12" t="s">
        <v>38</v>
      </c>
      <c r="B61" s="17">
        <v>192</v>
      </c>
      <c r="C61" s="17">
        <v>1</v>
      </c>
      <c r="D61" s="24" t="s">
        <v>94</v>
      </c>
      <c r="E61" s="18">
        <v>28048</v>
      </c>
      <c r="F61" s="17">
        <v>2008</v>
      </c>
      <c r="G61" s="18">
        <v>35460850</v>
      </c>
      <c r="H61" s="19">
        <v>152020.16</v>
      </c>
      <c r="I61" s="18">
        <v>28048</v>
      </c>
      <c r="J61" s="19">
        <v>26260.639999999999</v>
      </c>
      <c r="K61" s="19">
        <v>206328.8</v>
      </c>
      <c r="L61" s="19">
        <v>206328.8</v>
      </c>
      <c r="M61" s="19">
        <v>206328.8</v>
      </c>
      <c r="N61" s="20">
        <v>1</v>
      </c>
      <c r="O61" s="21">
        <v>0</v>
      </c>
      <c r="P61" s="21">
        <v>0</v>
      </c>
      <c r="Q61" s="17">
        <v>0.95535506999999997</v>
      </c>
      <c r="R61" s="19">
        <v>0</v>
      </c>
      <c r="S61" s="19">
        <v>206328.8</v>
      </c>
      <c r="T61" s="19">
        <v>2625360.2000000002</v>
      </c>
      <c r="U61" s="19">
        <v>2831689</v>
      </c>
      <c r="V61" s="19">
        <v>707922.25</v>
      </c>
      <c r="W61" s="19">
        <v>324718.74</v>
      </c>
      <c r="X61" s="19">
        <v>0</v>
      </c>
      <c r="Y61" s="19">
        <v>314128.09000000003</v>
      </c>
      <c r="Z61" s="19">
        <v>0</v>
      </c>
      <c r="AA61" s="19">
        <v>0</v>
      </c>
      <c r="AB61" s="19">
        <v>355135.36</v>
      </c>
      <c r="AC61" s="19">
        <v>331327.40000000002</v>
      </c>
      <c r="AD61" s="19">
        <v>0</v>
      </c>
      <c r="AE61" s="19">
        <v>0</v>
      </c>
      <c r="AF61" s="19">
        <v>0</v>
      </c>
      <c r="AG61" s="19">
        <v>206328.8</v>
      </c>
      <c r="AH61" s="19">
        <v>0</v>
      </c>
    </row>
    <row r="62" spans="1:34" x14ac:dyDescent="0.25">
      <c r="A62" s="12" t="s">
        <v>38</v>
      </c>
      <c r="B62" s="17">
        <v>194</v>
      </c>
      <c r="C62" s="17">
        <v>1</v>
      </c>
      <c r="D62" s="24" t="s">
        <v>95</v>
      </c>
      <c r="E62" s="18">
        <v>51305</v>
      </c>
      <c r="F62" s="17">
        <v>2009</v>
      </c>
      <c r="G62" s="18">
        <v>79183434</v>
      </c>
      <c r="H62" s="19">
        <v>278073.09999999998</v>
      </c>
      <c r="I62" s="18">
        <v>51305</v>
      </c>
      <c r="J62" s="19">
        <v>36261.15</v>
      </c>
      <c r="K62" s="19">
        <v>365639.25</v>
      </c>
      <c r="L62" s="19">
        <v>365639.25</v>
      </c>
      <c r="M62" s="19">
        <v>365639.25</v>
      </c>
      <c r="N62" s="20">
        <v>1</v>
      </c>
      <c r="O62" s="21">
        <v>0</v>
      </c>
      <c r="P62" s="21">
        <v>0</v>
      </c>
      <c r="Q62" s="17">
        <v>0.95535506999999997</v>
      </c>
      <c r="R62" s="19">
        <v>0</v>
      </c>
      <c r="S62" s="19">
        <v>364392.55</v>
      </c>
      <c r="T62" s="19">
        <v>4175884.31</v>
      </c>
      <c r="U62" s="19">
        <v>4540276.8600000003</v>
      </c>
      <c r="V62" s="19">
        <v>1135069.22</v>
      </c>
      <c r="W62" s="19">
        <v>336800.17</v>
      </c>
      <c r="X62" s="19">
        <v>0</v>
      </c>
      <c r="Y62" s="19">
        <v>472291.27</v>
      </c>
      <c r="Z62" s="19">
        <v>0</v>
      </c>
      <c r="AA62" s="19">
        <v>0</v>
      </c>
      <c r="AB62" s="19">
        <v>502898.18</v>
      </c>
      <c r="AC62" s="19">
        <v>437329.87</v>
      </c>
      <c r="AD62" s="19">
        <v>0</v>
      </c>
      <c r="AE62" s="19">
        <v>0</v>
      </c>
      <c r="AF62" s="19">
        <v>0</v>
      </c>
      <c r="AG62" s="19">
        <v>365639.25</v>
      </c>
      <c r="AH62" s="19">
        <v>0</v>
      </c>
    </row>
    <row r="63" spans="1:34" x14ac:dyDescent="0.25">
      <c r="A63" s="12" t="s">
        <v>38</v>
      </c>
      <c r="B63" s="17">
        <v>195</v>
      </c>
      <c r="C63" s="17">
        <v>1</v>
      </c>
      <c r="D63" s="24" t="s">
        <v>96</v>
      </c>
      <c r="E63" s="18">
        <v>2080</v>
      </c>
      <c r="F63" s="17">
        <v>2000</v>
      </c>
      <c r="G63" s="18">
        <v>5173825</v>
      </c>
      <c r="H63" s="19">
        <v>11273.6</v>
      </c>
      <c r="I63" s="18">
        <v>2080</v>
      </c>
      <c r="J63" s="19">
        <v>3848</v>
      </c>
      <c r="K63" s="19">
        <v>17201.599999999999</v>
      </c>
      <c r="L63" s="19">
        <v>17201.599999999999</v>
      </c>
      <c r="M63" s="19">
        <v>17201.599999999999</v>
      </c>
      <c r="N63" s="20">
        <v>1</v>
      </c>
      <c r="O63" s="21">
        <v>0</v>
      </c>
      <c r="P63" s="21">
        <v>0</v>
      </c>
      <c r="Q63" s="17">
        <v>0.95535506999999997</v>
      </c>
      <c r="R63" s="19">
        <v>0</v>
      </c>
      <c r="S63" s="19">
        <v>17201.599999999999</v>
      </c>
      <c r="T63" s="19">
        <v>178088.98</v>
      </c>
      <c r="U63" s="19">
        <v>195290.58</v>
      </c>
      <c r="V63" s="19">
        <v>48822.65</v>
      </c>
      <c r="W63" s="19">
        <v>8550.81</v>
      </c>
      <c r="X63" s="19">
        <v>0</v>
      </c>
      <c r="Y63" s="19">
        <v>34482.339999999997</v>
      </c>
      <c r="Z63" s="19">
        <v>0</v>
      </c>
      <c r="AA63" s="19">
        <v>0</v>
      </c>
      <c r="AB63" s="19">
        <v>36117.32</v>
      </c>
      <c r="AC63" s="19">
        <v>26383.49</v>
      </c>
      <c r="AD63" s="19">
        <v>0</v>
      </c>
      <c r="AE63" s="19">
        <v>0</v>
      </c>
      <c r="AF63" s="19">
        <v>0</v>
      </c>
      <c r="AG63" s="19">
        <v>17201.599999999999</v>
      </c>
      <c r="AH63" s="19">
        <v>0</v>
      </c>
    </row>
    <row r="64" spans="1:34" x14ac:dyDescent="0.25">
      <c r="A64" s="12" t="s">
        <v>38</v>
      </c>
      <c r="B64" s="17">
        <v>196</v>
      </c>
      <c r="C64" s="17">
        <v>1</v>
      </c>
      <c r="D64" s="24" t="s">
        <v>97</v>
      </c>
      <c r="E64" s="18">
        <v>150298</v>
      </c>
      <c r="F64" s="17">
        <v>2009</v>
      </c>
      <c r="G64" s="18">
        <v>186690900</v>
      </c>
      <c r="H64" s="19">
        <v>814615.16</v>
      </c>
      <c r="I64" s="18">
        <v>150298</v>
      </c>
      <c r="J64" s="19">
        <v>78828.14</v>
      </c>
      <c r="K64" s="19">
        <v>1043741.3</v>
      </c>
      <c r="L64" s="19">
        <v>1043741.3</v>
      </c>
      <c r="M64" s="19">
        <v>1043741.3</v>
      </c>
      <c r="N64" s="20">
        <v>1</v>
      </c>
      <c r="O64" s="21">
        <v>0</v>
      </c>
      <c r="P64" s="21">
        <v>0</v>
      </c>
      <c r="Q64" s="17">
        <v>0.95535506999999997</v>
      </c>
      <c r="R64" s="19">
        <v>0</v>
      </c>
      <c r="S64" s="19">
        <v>1026534.1</v>
      </c>
      <c r="T64" s="19">
        <v>4617876.29</v>
      </c>
      <c r="U64" s="19">
        <v>5644410.3899999997</v>
      </c>
      <c r="V64" s="19">
        <v>1411102.6</v>
      </c>
      <c r="W64" s="19">
        <v>678949.83</v>
      </c>
      <c r="X64" s="19">
        <v>0</v>
      </c>
      <c r="Y64" s="19">
        <v>561756.85</v>
      </c>
      <c r="Z64" s="19">
        <v>0</v>
      </c>
      <c r="AA64" s="19">
        <v>0</v>
      </c>
      <c r="AB64" s="19">
        <v>384689.75</v>
      </c>
      <c r="AC64" s="19">
        <v>541798.81000000006</v>
      </c>
      <c r="AD64" s="19">
        <v>0</v>
      </c>
      <c r="AE64" s="19">
        <v>0</v>
      </c>
      <c r="AF64" s="19">
        <v>0</v>
      </c>
      <c r="AG64" s="19">
        <v>1043741.3</v>
      </c>
      <c r="AH64" s="19">
        <v>0</v>
      </c>
    </row>
    <row r="65" spans="1:34" x14ac:dyDescent="0.25">
      <c r="A65" s="12" t="s">
        <v>38</v>
      </c>
      <c r="B65" s="17">
        <v>197</v>
      </c>
      <c r="C65" s="17">
        <v>1</v>
      </c>
      <c r="D65" s="24" t="s">
        <v>98</v>
      </c>
      <c r="E65" s="18">
        <v>41857</v>
      </c>
      <c r="F65" s="17">
        <v>2000</v>
      </c>
      <c r="G65" s="18">
        <v>75123468</v>
      </c>
      <c r="H65" s="19">
        <v>226864.94</v>
      </c>
      <c r="I65" s="18">
        <v>41857</v>
      </c>
      <c r="J65" s="19">
        <v>32198.51</v>
      </c>
      <c r="K65" s="19">
        <v>300920.45</v>
      </c>
      <c r="L65" s="19">
        <v>300920.45</v>
      </c>
      <c r="M65" s="19">
        <v>300920.45</v>
      </c>
      <c r="N65" s="20">
        <v>1</v>
      </c>
      <c r="O65" s="21">
        <v>0</v>
      </c>
      <c r="P65" s="21">
        <v>0</v>
      </c>
      <c r="Q65" s="17">
        <v>0.95535506999999997</v>
      </c>
      <c r="R65" s="19">
        <v>0</v>
      </c>
      <c r="S65" s="19">
        <v>300920.45</v>
      </c>
      <c r="T65" s="19">
        <v>1698037.29</v>
      </c>
      <c r="U65" s="19">
        <v>1998957.74</v>
      </c>
      <c r="V65" s="19">
        <v>499739.44</v>
      </c>
      <c r="W65" s="19">
        <v>8688.83</v>
      </c>
      <c r="X65" s="19">
        <v>0</v>
      </c>
      <c r="Y65" s="19">
        <v>97997.97</v>
      </c>
      <c r="Z65" s="19">
        <v>0</v>
      </c>
      <c r="AA65" s="19">
        <v>0</v>
      </c>
      <c r="AB65" s="19">
        <v>103543.59</v>
      </c>
      <c r="AC65" s="19">
        <v>70076.800000000003</v>
      </c>
      <c r="AD65" s="19">
        <v>0</v>
      </c>
      <c r="AE65" s="19">
        <v>0</v>
      </c>
      <c r="AF65" s="19">
        <v>0</v>
      </c>
      <c r="AG65" s="19">
        <v>300920.45</v>
      </c>
      <c r="AH65" s="19">
        <v>0</v>
      </c>
    </row>
    <row r="66" spans="1:34" x14ac:dyDescent="0.25">
      <c r="A66" s="12" t="s">
        <v>38</v>
      </c>
      <c r="B66" s="17">
        <v>199</v>
      </c>
      <c r="C66" s="17">
        <v>1</v>
      </c>
      <c r="D66" s="24" t="s">
        <v>99</v>
      </c>
      <c r="E66" s="18">
        <v>25770</v>
      </c>
      <c r="F66" s="17">
        <v>2000</v>
      </c>
      <c r="G66" s="18">
        <v>33502318</v>
      </c>
      <c r="H66" s="19">
        <v>139673.4</v>
      </c>
      <c r="I66" s="18">
        <v>25770</v>
      </c>
      <c r="J66" s="19">
        <v>25281.1</v>
      </c>
      <c r="K66" s="19">
        <v>190724.5</v>
      </c>
      <c r="L66" s="19">
        <v>190724.5</v>
      </c>
      <c r="M66" s="19">
        <v>190724.5</v>
      </c>
      <c r="N66" s="20">
        <v>1</v>
      </c>
      <c r="O66" s="21">
        <v>0</v>
      </c>
      <c r="P66" s="21">
        <v>0</v>
      </c>
      <c r="Q66" s="17">
        <v>0.95535506999999997</v>
      </c>
      <c r="R66" s="19">
        <v>0</v>
      </c>
      <c r="S66" s="19">
        <v>190724.5</v>
      </c>
      <c r="T66" s="19">
        <v>1548518.66</v>
      </c>
      <c r="U66" s="19">
        <v>1739243.16</v>
      </c>
      <c r="V66" s="19">
        <v>434810.79</v>
      </c>
      <c r="W66" s="19">
        <v>496291.6</v>
      </c>
      <c r="X66" s="19">
        <v>57549.02</v>
      </c>
      <c r="Y66" s="19">
        <v>341007.17</v>
      </c>
      <c r="Z66" s="19">
        <v>0</v>
      </c>
      <c r="AA66" s="19">
        <v>0</v>
      </c>
      <c r="AB66" s="19">
        <v>112883.56</v>
      </c>
      <c r="AC66" s="19">
        <v>297544.44</v>
      </c>
      <c r="AD66" s="19">
        <v>0</v>
      </c>
      <c r="AE66" s="19">
        <v>0</v>
      </c>
      <c r="AF66" s="19">
        <v>0</v>
      </c>
      <c r="AG66" s="19">
        <v>190724.5</v>
      </c>
      <c r="AH66" s="19">
        <v>0</v>
      </c>
    </row>
    <row r="67" spans="1:34" x14ac:dyDescent="0.25">
      <c r="A67" s="12" t="s">
        <v>38</v>
      </c>
      <c r="B67" s="17">
        <v>200</v>
      </c>
      <c r="C67" s="17">
        <v>1</v>
      </c>
      <c r="D67" s="24" t="s">
        <v>100</v>
      </c>
      <c r="E67" s="18">
        <v>33336</v>
      </c>
      <c r="F67" s="17">
        <v>2008</v>
      </c>
      <c r="G67" s="18">
        <v>42243317</v>
      </c>
      <c r="H67" s="19">
        <v>180681.12</v>
      </c>
      <c r="I67" s="18">
        <v>33336</v>
      </c>
      <c r="J67" s="19">
        <v>28534.48</v>
      </c>
      <c r="K67" s="19">
        <v>242551.6</v>
      </c>
      <c r="L67" s="19">
        <v>242551.6</v>
      </c>
      <c r="M67" s="19">
        <v>242551.6</v>
      </c>
      <c r="N67" s="20">
        <v>1</v>
      </c>
      <c r="O67" s="21">
        <v>0</v>
      </c>
      <c r="P67" s="21">
        <v>0</v>
      </c>
      <c r="Q67" s="17">
        <v>0.95535506999999997</v>
      </c>
      <c r="R67" s="19">
        <v>0</v>
      </c>
      <c r="S67" s="19">
        <v>242551.6</v>
      </c>
      <c r="T67" s="19">
        <v>1670539.45</v>
      </c>
      <c r="U67" s="19">
        <v>1913091.05</v>
      </c>
      <c r="V67" s="19">
        <v>478272.76</v>
      </c>
      <c r="W67" s="19">
        <v>260499.86</v>
      </c>
      <c r="X67" s="19">
        <v>0</v>
      </c>
      <c r="Y67" s="19">
        <v>270428.26</v>
      </c>
      <c r="Z67" s="19">
        <v>0</v>
      </c>
      <c r="AA67" s="19">
        <v>0</v>
      </c>
      <c r="AB67" s="19">
        <v>241874.97</v>
      </c>
      <c r="AC67" s="19">
        <v>257601.03</v>
      </c>
      <c r="AD67" s="19">
        <v>0</v>
      </c>
      <c r="AE67" s="19">
        <v>0</v>
      </c>
      <c r="AF67" s="19">
        <v>0</v>
      </c>
      <c r="AG67" s="19">
        <v>242551.6</v>
      </c>
      <c r="AH67" s="19">
        <v>0</v>
      </c>
    </row>
    <row r="68" spans="1:34" x14ac:dyDescent="0.25">
      <c r="A68" s="12" t="s">
        <v>38</v>
      </c>
      <c r="B68" s="17">
        <v>203</v>
      </c>
      <c r="C68" s="17">
        <v>1</v>
      </c>
      <c r="D68" s="24" t="s">
        <v>101</v>
      </c>
      <c r="E68" s="18">
        <v>4946</v>
      </c>
      <c r="F68" s="17">
        <v>2008</v>
      </c>
      <c r="G68" s="18">
        <v>6408576</v>
      </c>
      <c r="H68" s="19">
        <v>26807.32</v>
      </c>
      <c r="I68" s="18">
        <v>4946</v>
      </c>
      <c r="J68" s="19">
        <v>9150.1</v>
      </c>
      <c r="K68" s="19">
        <v>40903.42</v>
      </c>
      <c r="L68" s="19">
        <v>40903.42</v>
      </c>
      <c r="M68" s="19">
        <v>40903.42</v>
      </c>
      <c r="N68" s="20">
        <v>1</v>
      </c>
      <c r="O68" s="21">
        <v>0</v>
      </c>
      <c r="P68" s="21">
        <v>0</v>
      </c>
      <c r="Q68" s="17">
        <v>0.95535506999999997</v>
      </c>
      <c r="R68" s="19">
        <v>0</v>
      </c>
      <c r="S68" s="19">
        <v>40903.42</v>
      </c>
      <c r="T68" s="19">
        <v>135615.65</v>
      </c>
      <c r="U68" s="19">
        <v>176519.07</v>
      </c>
      <c r="V68" s="19">
        <v>44129.77</v>
      </c>
      <c r="W68" s="19">
        <v>-2118.0500000000002</v>
      </c>
      <c r="X68" s="19">
        <v>0</v>
      </c>
      <c r="Y68" s="19">
        <v>1923.2</v>
      </c>
      <c r="Z68" s="19">
        <v>0</v>
      </c>
      <c r="AA68" s="19">
        <v>0</v>
      </c>
      <c r="AB68" s="19">
        <v>6997.89</v>
      </c>
      <c r="AC68" s="19">
        <v>2267.6799999999998</v>
      </c>
      <c r="AD68" s="19">
        <v>0</v>
      </c>
      <c r="AE68" s="19">
        <v>0</v>
      </c>
      <c r="AF68" s="19">
        <v>0</v>
      </c>
      <c r="AG68" s="19">
        <v>40903.42</v>
      </c>
      <c r="AH68" s="19">
        <v>0</v>
      </c>
    </row>
    <row r="69" spans="1:34" x14ac:dyDescent="0.25">
      <c r="A69" s="12" t="s">
        <v>38</v>
      </c>
      <c r="B69" s="17">
        <v>204</v>
      </c>
      <c r="C69" s="17">
        <v>1</v>
      </c>
      <c r="D69" s="24" t="s">
        <v>102</v>
      </c>
      <c r="E69" s="18">
        <v>9641</v>
      </c>
      <c r="F69" s="17">
        <v>2009</v>
      </c>
      <c r="G69" s="18">
        <v>7866441</v>
      </c>
      <c r="H69" s="19">
        <v>52254.22</v>
      </c>
      <c r="I69" s="18">
        <v>9641</v>
      </c>
      <c r="J69" s="19">
        <v>17835.849999999999</v>
      </c>
      <c r="K69" s="19">
        <v>79731.070000000007</v>
      </c>
      <c r="L69" s="19">
        <v>70797.97</v>
      </c>
      <c r="M69" s="19">
        <v>70797.97</v>
      </c>
      <c r="N69" s="20">
        <v>1</v>
      </c>
      <c r="O69" s="21">
        <v>8933.1</v>
      </c>
      <c r="P69" s="21">
        <v>8933.1</v>
      </c>
      <c r="Q69" s="17">
        <v>0.95535506999999997</v>
      </c>
      <c r="R69" s="19">
        <v>8534.2800000000007</v>
      </c>
      <c r="S69" s="19">
        <v>76464.42</v>
      </c>
      <c r="T69" s="19">
        <v>453837.37</v>
      </c>
      <c r="U69" s="19">
        <v>530301.79</v>
      </c>
      <c r="V69" s="19">
        <v>132575.45000000001</v>
      </c>
      <c r="W69" s="19">
        <v>260508.92</v>
      </c>
      <c r="X69" s="19">
        <v>67279.59</v>
      </c>
      <c r="Y69" s="19">
        <v>151278.35</v>
      </c>
      <c r="Z69" s="19">
        <v>58018.09</v>
      </c>
      <c r="AA69" s="19">
        <v>0</v>
      </c>
      <c r="AB69" s="19">
        <v>33291.89</v>
      </c>
      <c r="AC69" s="19">
        <v>106593.83</v>
      </c>
      <c r="AD69" s="19">
        <v>0</v>
      </c>
      <c r="AE69" s="19">
        <v>0</v>
      </c>
      <c r="AF69" s="19">
        <v>0</v>
      </c>
      <c r="AG69" s="19">
        <v>70797.97</v>
      </c>
      <c r="AH69" s="19">
        <v>8933.1</v>
      </c>
    </row>
    <row r="70" spans="1:34" x14ac:dyDescent="0.25">
      <c r="A70" s="12" t="s">
        <v>38</v>
      </c>
      <c r="B70" s="17">
        <v>206</v>
      </c>
      <c r="C70" s="17">
        <v>1</v>
      </c>
      <c r="D70" s="24" t="s">
        <v>103</v>
      </c>
      <c r="E70" s="18">
        <v>29436</v>
      </c>
      <c r="F70" s="17">
        <v>2009</v>
      </c>
      <c r="G70" s="18">
        <v>47293888</v>
      </c>
      <c r="H70" s="19">
        <v>159543.12</v>
      </c>
      <c r="I70" s="18">
        <v>29436</v>
      </c>
      <c r="J70" s="19">
        <v>26857.48</v>
      </c>
      <c r="K70" s="19">
        <v>215836.6</v>
      </c>
      <c r="L70" s="19">
        <v>215836.6</v>
      </c>
      <c r="M70" s="19">
        <v>215836.6</v>
      </c>
      <c r="N70" s="20">
        <v>1</v>
      </c>
      <c r="O70" s="21">
        <v>0</v>
      </c>
      <c r="P70" s="21">
        <v>0</v>
      </c>
      <c r="Q70" s="17">
        <v>0.95535506999999997</v>
      </c>
      <c r="R70" s="19">
        <v>0</v>
      </c>
      <c r="S70" s="19">
        <v>212336.25</v>
      </c>
      <c r="T70" s="19">
        <v>480849.62</v>
      </c>
      <c r="U70" s="19">
        <v>693185.87</v>
      </c>
      <c r="V70" s="19">
        <v>173296.47</v>
      </c>
      <c r="W70" s="19">
        <v>116449.55</v>
      </c>
      <c r="X70" s="19">
        <v>0</v>
      </c>
      <c r="Y70" s="19">
        <v>146225.54</v>
      </c>
      <c r="Z70" s="19">
        <v>0</v>
      </c>
      <c r="AA70" s="19">
        <v>0</v>
      </c>
      <c r="AB70" s="19">
        <v>115817</v>
      </c>
      <c r="AC70" s="19">
        <v>126164.03</v>
      </c>
      <c r="AD70" s="19">
        <v>0</v>
      </c>
      <c r="AE70" s="19">
        <v>0</v>
      </c>
      <c r="AF70" s="19">
        <v>0</v>
      </c>
      <c r="AG70" s="19">
        <v>215836.6</v>
      </c>
      <c r="AH70" s="19">
        <v>0</v>
      </c>
    </row>
    <row r="71" spans="1:34" x14ac:dyDescent="0.25">
      <c r="A71" s="12" t="s">
        <v>38</v>
      </c>
      <c r="B71" s="17">
        <v>207</v>
      </c>
      <c r="C71" s="17">
        <v>1</v>
      </c>
      <c r="D71" s="24" t="s">
        <v>104</v>
      </c>
      <c r="E71" s="18">
        <v>1749</v>
      </c>
      <c r="F71" s="17">
        <v>2000</v>
      </c>
      <c r="G71" s="18">
        <v>3085962</v>
      </c>
      <c r="H71" s="19">
        <v>9479.58</v>
      </c>
      <c r="I71" s="18">
        <v>1749</v>
      </c>
      <c r="J71" s="19">
        <v>3235.65</v>
      </c>
      <c r="K71" s="19">
        <v>14464.23</v>
      </c>
      <c r="L71" s="19">
        <v>14464.23</v>
      </c>
      <c r="M71" s="19">
        <v>14464.23</v>
      </c>
      <c r="N71" s="20">
        <v>1</v>
      </c>
      <c r="O71" s="21">
        <v>0</v>
      </c>
      <c r="P71" s="21">
        <v>0</v>
      </c>
      <c r="Q71" s="17">
        <v>0.95535506999999997</v>
      </c>
      <c r="R71" s="19">
        <v>0</v>
      </c>
      <c r="S71" s="19">
        <v>14464.23</v>
      </c>
      <c r="T71" s="19">
        <v>44476.91</v>
      </c>
      <c r="U71" s="19">
        <v>58941.14</v>
      </c>
      <c r="V71" s="19">
        <v>14735.29</v>
      </c>
      <c r="W71" s="19">
        <v>-6682.13</v>
      </c>
      <c r="X71" s="19">
        <v>0</v>
      </c>
      <c r="Y71" s="19">
        <v>-9672.42</v>
      </c>
      <c r="Z71" s="19">
        <v>0</v>
      </c>
      <c r="AA71" s="19">
        <v>0</v>
      </c>
      <c r="AB71" s="19">
        <v>25347.74</v>
      </c>
      <c r="AC71" s="19">
        <v>2997.73</v>
      </c>
      <c r="AD71" s="19">
        <v>0</v>
      </c>
      <c r="AE71" s="19">
        <v>0</v>
      </c>
      <c r="AF71" s="19">
        <v>0</v>
      </c>
      <c r="AG71" s="19">
        <v>14464.23</v>
      </c>
      <c r="AH71" s="19">
        <v>0</v>
      </c>
    </row>
    <row r="72" spans="1:34" x14ac:dyDescent="0.25">
      <c r="A72" s="12" t="s">
        <v>38</v>
      </c>
      <c r="B72" s="17">
        <v>208</v>
      </c>
      <c r="C72" s="17">
        <v>1</v>
      </c>
      <c r="D72" s="24" t="s">
        <v>105</v>
      </c>
      <c r="E72" s="18">
        <v>1511</v>
      </c>
      <c r="F72" s="17">
        <v>2000</v>
      </c>
      <c r="G72" s="18">
        <v>2513379</v>
      </c>
      <c r="H72" s="19">
        <v>8189.62</v>
      </c>
      <c r="I72" s="18">
        <v>1511</v>
      </c>
      <c r="J72" s="19">
        <v>2795.35</v>
      </c>
      <c r="K72" s="19">
        <v>12495.97</v>
      </c>
      <c r="L72" s="19">
        <v>12495.97</v>
      </c>
      <c r="M72" s="19">
        <v>12495.97</v>
      </c>
      <c r="N72" s="20">
        <v>1</v>
      </c>
      <c r="O72" s="21">
        <v>0</v>
      </c>
      <c r="P72" s="21">
        <v>0</v>
      </c>
      <c r="Q72" s="17">
        <v>0.95535506999999997</v>
      </c>
      <c r="R72" s="19">
        <v>0</v>
      </c>
      <c r="S72" s="19">
        <v>12495.97</v>
      </c>
      <c r="T72" s="19">
        <v>4488.17</v>
      </c>
      <c r="U72" s="19">
        <v>16984.14</v>
      </c>
      <c r="V72" s="19">
        <v>4246.04</v>
      </c>
      <c r="W72" s="19">
        <v>10270.66</v>
      </c>
      <c r="X72" s="19">
        <v>678.28</v>
      </c>
      <c r="Y72" s="19">
        <v>-1896.02</v>
      </c>
      <c r="Z72" s="19">
        <v>455.38</v>
      </c>
      <c r="AA72" s="19">
        <v>0</v>
      </c>
      <c r="AB72" s="19">
        <v>1200.75</v>
      </c>
      <c r="AC72" s="19">
        <v>2813.91</v>
      </c>
      <c r="AD72" s="19">
        <v>0</v>
      </c>
      <c r="AE72" s="19">
        <v>0</v>
      </c>
      <c r="AF72" s="19">
        <v>0</v>
      </c>
      <c r="AG72" s="19">
        <v>12495.97</v>
      </c>
      <c r="AH72" s="19">
        <v>0</v>
      </c>
    </row>
    <row r="73" spans="1:34" x14ac:dyDescent="0.25">
      <c r="A73" s="12" t="s">
        <v>38</v>
      </c>
      <c r="B73" s="17">
        <v>213</v>
      </c>
      <c r="C73" s="17">
        <v>1</v>
      </c>
      <c r="D73" s="24" t="s">
        <v>106</v>
      </c>
      <c r="E73" s="18">
        <v>3636</v>
      </c>
      <c r="F73" s="17">
        <v>2000</v>
      </c>
      <c r="G73" s="18">
        <v>4683367</v>
      </c>
      <c r="H73" s="19">
        <v>19707.12</v>
      </c>
      <c r="I73" s="18">
        <v>3636</v>
      </c>
      <c r="J73" s="19">
        <v>6726.6</v>
      </c>
      <c r="K73" s="19">
        <v>30069.72</v>
      </c>
      <c r="L73" s="19">
        <v>30069.72</v>
      </c>
      <c r="M73" s="19">
        <v>30069.72</v>
      </c>
      <c r="N73" s="20">
        <v>1</v>
      </c>
      <c r="O73" s="21">
        <v>0</v>
      </c>
      <c r="P73" s="21">
        <v>0</v>
      </c>
      <c r="Q73" s="17">
        <v>0.95535506999999997</v>
      </c>
      <c r="R73" s="19">
        <v>0</v>
      </c>
      <c r="S73" s="19">
        <v>30069.72</v>
      </c>
      <c r="T73" s="19">
        <v>36487.24</v>
      </c>
      <c r="U73" s="19">
        <v>66556.960000000006</v>
      </c>
      <c r="V73" s="19">
        <v>16639.240000000002</v>
      </c>
      <c r="W73" s="19">
        <v>-50437.53</v>
      </c>
      <c r="X73" s="19">
        <v>0</v>
      </c>
      <c r="Y73" s="19">
        <v>-63598.49</v>
      </c>
      <c r="Z73" s="19">
        <v>0</v>
      </c>
      <c r="AA73" s="19">
        <v>0</v>
      </c>
      <c r="AB73" s="19">
        <v>-76578.53</v>
      </c>
      <c r="AC73" s="19">
        <v>-63538.18</v>
      </c>
      <c r="AD73" s="19">
        <v>0</v>
      </c>
      <c r="AE73" s="19">
        <v>0</v>
      </c>
      <c r="AF73" s="19">
        <v>0</v>
      </c>
      <c r="AG73" s="19">
        <v>30069.72</v>
      </c>
      <c r="AH73" s="19">
        <v>0</v>
      </c>
    </row>
    <row r="74" spans="1:34" x14ac:dyDescent="0.25">
      <c r="A74" s="12" t="s">
        <v>38</v>
      </c>
      <c r="B74" s="17">
        <v>227</v>
      </c>
      <c r="C74" s="17">
        <v>1</v>
      </c>
      <c r="D74" s="24" t="s">
        <v>107</v>
      </c>
      <c r="E74" s="18">
        <v>4657</v>
      </c>
      <c r="F74" s="17">
        <v>2000</v>
      </c>
      <c r="G74" s="18">
        <v>5768292</v>
      </c>
      <c r="H74" s="19">
        <v>25240.94</v>
      </c>
      <c r="I74" s="18">
        <v>4657</v>
      </c>
      <c r="J74" s="19">
        <v>8615.4500000000007</v>
      </c>
      <c r="K74" s="19">
        <v>38513.39</v>
      </c>
      <c r="L74" s="19">
        <v>38513.39</v>
      </c>
      <c r="M74" s="19">
        <v>38513.39</v>
      </c>
      <c r="N74" s="20">
        <v>1</v>
      </c>
      <c r="O74" s="21">
        <v>0</v>
      </c>
      <c r="P74" s="21">
        <v>0</v>
      </c>
      <c r="Q74" s="17">
        <v>0.95535506999999997</v>
      </c>
      <c r="R74" s="19">
        <v>0</v>
      </c>
      <c r="S74" s="19">
        <v>38513.39</v>
      </c>
      <c r="T74" s="19">
        <v>216621.96</v>
      </c>
      <c r="U74" s="19">
        <v>255135.35</v>
      </c>
      <c r="V74" s="19">
        <v>63783.839999999997</v>
      </c>
      <c r="W74" s="19">
        <v>2858.02</v>
      </c>
      <c r="X74" s="19">
        <v>0</v>
      </c>
      <c r="Y74" s="19">
        <v>9803.33</v>
      </c>
      <c r="Z74" s="19">
        <v>0</v>
      </c>
      <c r="AA74" s="19">
        <v>0</v>
      </c>
      <c r="AB74" s="19">
        <v>6937.31</v>
      </c>
      <c r="AC74" s="19">
        <v>6532.89</v>
      </c>
      <c r="AD74" s="19">
        <v>0</v>
      </c>
      <c r="AE74" s="19">
        <v>0</v>
      </c>
      <c r="AF74" s="19">
        <v>0</v>
      </c>
      <c r="AG74" s="19">
        <v>38513.39</v>
      </c>
      <c r="AH74" s="19">
        <v>0</v>
      </c>
    </row>
    <row r="75" spans="1:34" x14ac:dyDescent="0.25">
      <c r="A75" s="12" t="s">
        <v>38</v>
      </c>
      <c r="B75" s="17">
        <v>229</v>
      </c>
      <c r="C75" s="17">
        <v>1</v>
      </c>
      <c r="D75" s="24" t="s">
        <v>108</v>
      </c>
      <c r="E75" s="18">
        <v>1719</v>
      </c>
      <c r="F75" s="17">
        <v>2000</v>
      </c>
      <c r="G75" s="18">
        <v>2582208</v>
      </c>
      <c r="H75" s="19">
        <v>9316.98</v>
      </c>
      <c r="I75" s="18">
        <v>1719</v>
      </c>
      <c r="J75" s="19">
        <v>0</v>
      </c>
      <c r="K75" s="19">
        <v>11035.98</v>
      </c>
      <c r="L75" s="19">
        <v>11035.98</v>
      </c>
      <c r="M75" s="19">
        <v>11035.98</v>
      </c>
      <c r="N75" s="20">
        <v>1</v>
      </c>
      <c r="O75" s="21">
        <v>0</v>
      </c>
      <c r="P75" s="21">
        <v>0</v>
      </c>
      <c r="Q75" s="17">
        <v>0.95535506999999997</v>
      </c>
      <c r="R75" s="19">
        <v>0</v>
      </c>
      <c r="S75" s="19">
        <v>11035.98</v>
      </c>
      <c r="T75" s="19">
        <v>238507.48</v>
      </c>
      <c r="U75" s="19">
        <v>249543.46</v>
      </c>
      <c r="V75" s="19">
        <v>62385.87</v>
      </c>
      <c r="W75" s="19">
        <v>30755.74</v>
      </c>
      <c r="X75" s="19">
        <v>0</v>
      </c>
      <c r="Y75" s="19">
        <v>-4015.31</v>
      </c>
      <c r="Z75" s="19">
        <v>0</v>
      </c>
      <c r="AA75" s="19">
        <v>0</v>
      </c>
      <c r="AB75" s="19">
        <v>-32379.32</v>
      </c>
      <c r="AC75" s="19">
        <v>-1879.63</v>
      </c>
      <c r="AD75" s="19">
        <v>0</v>
      </c>
      <c r="AE75" s="19">
        <v>0</v>
      </c>
      <c r="AF75" s="19">
        <v>0</v>
      </c>
      <c r="AG75" s="19">
        <v>11035.98</v>
      </c>
      <c r="AH75" s="19">
        <v>0</v>
      </c>
    </row>
    <row r="76" spans="1:34" x14ac:dyDescent="0.25">
      <c r="A76" s="12" t="s">
        <v>38</v>
      </c>
      <c r="B76" s="17">
        <v>238</v>
      </c>
      <c r="C76" s="17">
        <v>1</v>
      </c>
      <c r="D76" s="24" t="s">
        <v>109</v>
      </c>
      <c r="E76" s="18">
        <v>2554</v>
      </c>
      <c r="F76" s="17">
        <v>2000</v>
      </c>
      <c r="G76" s="18">
        <v>2719313</v>
      </c>
      <c r="H76" s="19">
        <v>13842.68</v>
      </c>
      <c r="I76" s="18">
        <v>0</v>
      </c>
      <c r="J76" s="19">
        <v>0</v>
      </c>
      <c r="K76" s="19">
        <v>13842.68</v>
      </c>
      <c r="L76" s="19">
        <v>13842.68</v>
      </c>
      <c r="M76" s="19">
        <v>13842.68</v>
      </c>
      <c r="N76" s="20">
        <v>1</v>
      </c>
      <c r="O76" s="21">
        <v>0</v>
      </c>
      <c r="P76" s="21">
        <v>0</v>
      </c>
      <c r="Q76" s="17">
        <v>0.95535506999999997</v>
      </c>
      <c r="R76" s="19">
        <v>0</v>
      </c>
      <c r="S76" s="19">
        <v>13842.68</v>
      </c>
      <c r="T76" s="19">
        <v>5630.66</v>
      </c>
      <c r="U76" s="19">
        <v>19473.34</v>
      </c>
      <c r="V76" s="19">
        <v>4868.34</v>
      </c>
      <c r="W76" s="19">
        <v>73251.350000000006</v>
      </c>
      <c r="X76" s="19">
        <v>13842.68</v>
      </c>
      <c r="Y76" s="19">
        <v>79703.710000000006</v>
      </c>
      <c r="Z76" s="19">
        <v>13842.68</v>
      </c>
      <c r="AA76" s="19">
        <v>0</v>
      </c>
      <c r="AB76" s="19">
        <v>76603.59</v>
      </c>
      <c r="AC76" s="19">
        <v>67291.100000000006</v>
      </c>
      <c r="AD76" s="19">
        <v>13842.68</v>
      </c>
      <c r="AE76" s="19">
        <v>13842.68</v>
      </c>
      <c r="AF76" s="19">
        <v>0</v>
      </c>
      <c r="AG76" s="19">
        <v>0</v>
      </c>
      <c r="AH76" s="19">
        <v>0</v>
      </c>
    </row>
    <row r="77" spans="1:34" x14ac:dyDescent="0.25">
      <c r="A77" s="12" t="s">
        <v>38</v>
      </c>
      <c r="B77" s="17">
        <v>239</v>
      </c>
      <c r="C77" s="17">
        <v>1</v>
      </c>
      <c r="D77" s="24" t="s">
        <v>110</v>
      </c>
      <c r="E77" s="18">
        <v>3940</v>
      </c>
      <c r="F77" s="17">
        <v>2000</v>
      </c>
      <c r="G77" s="18">
        <v>4407172</v>
      </c>
      <c r="H77" s="19">
        <v>21354.799999999999</v>
      </c>
      <c r="I77" s="18">
        <v>3940</v>
      </c>
      <c r="J77" s="19">
        <v>7289</v>
      </c>
      <c r="K77" s="19">
        <v>32583.8</v>
      </c>
      <c r="L77" s="19">
        <v>32583.8</v>
      </c>
      <c r="M77" s="19">
        <v>32583.8</v>
      </c>
      <c r="N77" s="20">
        <v>1</v>
      </c>
      <c r="O77" s="21">
        <v>0</v>
      </c>
      <c r="P77" s="21">
        <v>0</v>
      </c>
      <c r="Q77" s="17">
        <v>0.95535506999999997</v>
      </c>
      <c r="R77" s="19">
        <v>0</v>
      </c>
      <c r="S77" s="19">
        <v>32583.8</v>
      </c>
      <c r="T77" s="19">
        <v>86652.07</v>
      </c>
      <c r="U77" s="19">
        <v>119235.87</v>
      </c>
      <c r="V77" s="19">
        <v>29808.97</v>
      </c>
      <c r="W77" s="19">
        <v>0</v>
      </c>
      <c r="X77" s="19">
        <v>0</v>
      </c>
      <c r="Y77" s="19">
        <v>17520.75</v>
      </c>
      <c r="Z77" s="19">
        <v>0</v>
      </c>
      <c r="AA77" s="19">
        <v>0</v>
      </c>
      <c r="AB77" s="19">
        <v>34035.440000000002</v>
      </c>
      <c r="AC77" s="19">
        <v>17185.400000000001</v>
      </c>
      <c r="AD77" s="19">
        <v>0</v>
      </c>
      <c r="AE77" s="19">
        <v>0</v>
      </c>
      <c r="AF77" s="19">
        <v>0</v>
      </c>
      <c r="AG77" s="19">
        <v>32583.8</v>
      </c>
      <c r="AH77" s="19">
        <v>0</v>
      </c>
    </row>
    <row r="78" spans="1:34" x14ac:dyDescent="0.25">
      <c r="A78" s="12" t="s">
        <v>38</v>
      </c>
      <c r="B78" s="17">
        <v>241</v>
      </c>
      <c r="C78" s="17">
        <v>1</v>
      </c>
      <c r="D78" s="24" t="s">
        <v>111</v>
      </c>
      <c r="E78" s="18">
        <v>24328</v>
      </c>
      <c r="F78" s="17">
        <v>2000</v>
      </c>
      <c r="G78" s="18">
        <v>19771234</v>
      </c>
      <c r="H78" s="19">
        <v>131857.76</v>
      </c>
      <c r="I78" s="18">
        <v>24328</v>
      </c>
      <c r="J78" s="19">
        <v>24661.040000000001</v>
      </c>
      <c r="K78" s="19">
        <v>180846.8</v>
      </c>
      <c r="L78" s="19">
        <v>177941.11</v>
      </c>
      <c r="M78" s="19">
        <v>177941.11</v>
      </c>
      <c r="N78" s="20">
        <v>1</v>
      </c>
      <c r="O78" s="21">
        <v>2905.69</v>
      </c>
      <c r="P78" s="21">
        <v>2905.69</v>
      </c>
      <c r="Q78" s="17">
        <v>0.95535506999999997</v>
      </c>
      <c r="R78" s="19">
        <v>2775.97</v>
      </c>
      <c r="S78" s="19">
        <v>180846.8</v>
      </c>
      <c r="T78" s="19">
        <v>155871.39000000001</v>
      </c>
      <c r="U78" s="19">
        <v>336718.19</v>
      </c>
      <c r="V78" s="19">
        <v>84179.55</v>
      </c>
      <c r="W78" s="19">
        <v>79204.92</v>
      </c>
      <c r="X78" s="19">
        <v>0</v>
      </c>
      <c r="Y78" s="19">
        <v>109691.22</v>
      </c>
      <c r="Z78" s="19">
        <v>0</v>
      </c>
      <c r="AA78" s="19">
        <v>0</v>
      </c>
      <c r="AB78" s="19">
        <v>94387.839999999997</v>
      </c>
      <c r="AC78" s="19">
        <v>94427.99</v>
      </c>
      <c r="AD78" s="19">
        <v>10248.44</v>
      </c>
      <c r="AE78" s="19">
        <v>10083.780000000001</v>
      </c>
      <c r="AF78" s="19">
        <v>164.66</v>
      </c>
      <c r="AG78" s="19">
        <v>167857.33</v>
      </c>
      <c r="AH78" s="19">
        <v>2741.03</v>
      </c>
    </row>
    <row r="79" spans="1:34" x14ac:dyDescent="0.25">
      <c r="A79" s="12" t="s">
        <v>38</v>
      </c>
      <c r="B79" s="17">
        <v>242</v>
      </c>
      <c r="C79" s="17">
        <v>1</v>
      </c>
      <c r="D79" s="24" t="s">
        <v>112</v>
      </c>
      <c r="E79" s="18">
        <v>1665</v>
      </c>
      <c r="F79" s="17">
        <v>2000</v>
      </c>
      <c r="G79" s="18">
        <v>2310337</v>
      </c>
      <c r="H79" s="19">
        <v>9024.2999999999993</v>
      </c>
      <c r="I79" s="18">
        <v>1665</v>
      </c>
      <c r="J79" s="19">
        <v>3080.25</v>
      </c>
      <c r="K79" s="19">
        <v>13769.55</v>
      </c>
      <c r="L79" s="19">
        <v>13769.55</v>
      </c>
      <c r="M79" s="19">
        <v>13769.55</v>
      </c>
      <c r="N79" s="20">
        <v>1</v>
      </c>
      <c r="O79" s="21">
        <v>0</v>
      </c>
      <c r="P79" s="21">
        <v>0</v>
      </c>
      <c r="Q79" s="17">
        <v>0.95535506999999997</v>
      </c>
      <c r="R79" s="19">
        <v>0</v>
      </c>
      <c r="S79" s="19">
        <v>9024.2999999999993</v>
      </c>
      <c r="T79" s="19">
        <v>15022.83</v>
      </c>
      <c r="U79" s="19">
        <v>24047.13</v>
      </c>
      <c r="V79" s="19">
        <v>6011.78</v>
      </c>
      <c r="W79" s="19">
        <v>4543.12</v>
      </c>
      <c r="X79" s="19">
        <v>0</v>
      </c>
      <c r="Y79" s="19">
        <v>-3930.66</v>
      </c>
      <c r="Z79" s="19">
        <v>0</v>
      </c>
      <c r="AA79" s="19">
        <v>0</v>
      </c>
      <c r="AB79" s="19">
        <v>0</v>
      </c>
      <c r="AC79" s="19">
        <v>204.15</v>
      </c>
      <c r="AD79" s="19">
        <v>0</v>
      </c>
      <c r="AE79" s="19">
        <v>0</v>
      </c>
      <c r="AF79" s="19">
        <v>0</v>
      </c>
      <c r="AG79" s="19">
        <v>13769.55</v>
      </c>
      <c r="AH79" s="19">
        <v>0</v>
      </c>
    </row>
    <row r="80" spans="1:34" x14ac:dyDescent="0.25">
      <c r="A80" s="12" t="s">
        <v>38</v>
      </c>
      <c r="B80" s="17">
        <v>252</v>
      </c>
      <c r="C80" s="17">
        <v>1</v>
      </c>
      <c r="D80" s="24" t="s">
        <v>113</v>
      </c>
      <c r="E80" s="18">
        <v>7718</v>
      </c>
      <c r="F80" s="17">
        <v>2000</v>
      </c>
      <c r="G80" s="18">
        <v>10729120</v>
      </c>
      <c r="H80" s="19">
        <v>41831.56</v>
      </c>
      <c r="I80" s="18">
        <v>7718</v>
      </c>
      <c r="J80" s="19">
        <v>14278.3</v>
      </c>
      <c r="K80" s="19">
        <v>63827.86</v>
      </c>
      <c r="L80" s="19">
        <v>63827.86</v>
      </c>
      <c r="M80" s="19">
        <v>63827.86</v>
      </c>
      <c r="N80" s="20">
        <v>1</v>
      </c>
      <c r="O80" s="21">
        <v>0</v>
      </c>
      <c r="P80" s="21">
        <v>0</v>
      </c>
      <c r="Q80" s="17">
        <v>0.95535506999999997</v>
      </c>
      <c r="R80" s="19">
        <v>0</v>
      </c>
      <c r="S80" s="19">
        <v>63827.86</v>
      </c>
      <c r="T80" s="19">
        <v>396328.37</v>
      </c>
      <c r="U80" s="19">
        <v>460156.23</v>
      </c>
      <c r="V80" s="19">
        <v>115039.06</v>
      </c>
      <c r="W80" s="19">
        <v>39225.47</v>
      </c>
      <c r="X80" s="19">
        <v>0</v>
      </c>
      <c r="Y80" s="19">
        <v>42331</v>
      </c>
      <c r="Z80" s="19">
        <v>0</v>
      </c>
      <c r="AA80" s="19">
        <v>0</v>
      </c>
      <c r="AB80" s="19">
        <v>79398.929999999993</v>
      </c>
      <c r="AC80" s="19">
        <v>53651.8</v>
      </c>
      <c r="AD80" s="19">
        <v>0</v>
      </c>
      <c r="AE80" s="19">
        <v>0</v>
      </c>
      <c r="AF80" s="19">
        <v>0</v>
      </c>
      <c r="AG80" s="19">
        <v>63827.86</v>
      </c>
      <c r="AH80" s="19">
        <v>0</v>
      </c>
    </row>
    <row r="81" spans="1:34" x14ac:dyDescent="0.25">
      <c r="A81" s="12" t="s">
        <v>38</v>
      </c>
      <c r="B81" s="17">
        <v>253</v>
      </c>
      <c r="C81" s="17">
        <v>1</v>
      </c>
      <c r="D81" s="24" t="s">
        <v>114</v>
      </c>
      <c r="E81" s="18">
        <v>2640</v>
      </c>
      <c r="F81" s="17">
        <v>2000</v>
      </c>
      <c r="G81" s="18">
        <v>3966349</v>
      </c>
      <c r="H81" s="19">
        <v>14308.8</v>
      </c>
      <c r="I81" s="18">
        <v>2640</v>
      </c>
      <c r="J81" s="19">
        <v>4884</v>
      </c>
      <c r="K81" s="19">
        <v>21832.799999999999</v>
      </c>
      <c r="L81" s="19">
        <v>21832.799999999999</v>
      </c>
      <c r="M81" s="19">
        <v>21832.799999999999</v>
      </c>
      <c r="N81" s="20">
        <v>1</v>
      </c>
      <c r="O81" s="21">
        <v>0</v>
      </c>
      <c r="P81" s="21">
        <v>0</v>
      </c>
      <c r="Q81" s="17">
        <v>0.95535506999999997</v>
      </c>
      <c r="R81" s="19">
        <v>0</v>
      </c>
      <c r="S81" s="19">
        <v>21832.799999999999</v>
      </c>
      <c r="T81" s="19">
        <v>31241.919999999998</v>
      </c>
      <c r="U81" s="19">
        <v>53074.720000000001</v>
      </c>
      <c r="V81" s="19">
        <v>13268.68</v>
      </c>
      <c r="W81" s="19">
        <v>13133.38</v>
      </c>
      <c r="X81" s="19">
        <v>0</v>
      </c>
      <c r="Y81" s="19">
        <v>11353.38</v>
      </c>
      <c r="Z81" s="19">
        <v>0</v>
      </c>
      <c r="AA81" s="19">
        <v>0</v>
      </c>
      <c r="AB81" s="19">
        <v>1083.01</v>
      </c>
      <c r="AC81" s="19">
        <v>8523.26</v>
      </c>
      <c r="AD81" s="19">
        <v>0</v>
      </c>
      <c r="AE81" s="19">
        <v>0</v>
      </c>
      <c r="AF81" s="19">
        <v>0</v>
      </c>
      <c r="AG81" s="19">
        <v>21832.799999999999</v>
      </c>
      <c r="AH81" s="19">
        <v>0</v>
      </c>
    </row>
    <row r="82" spans="1:34" x14ac:dyDescent="0.25">
      <c r="A82" s="12" t="s">
        <v>38</v>
      </c>
      <c r="B82" s="17">
        <v>255</v>
      </c>
      <c r="C82" s="17">
        <v>1</v>
      </c>
      <c r="D82" s="24" t="s">
        <v>115</v>
      </c>
      <c r="E82" s="18">
        <v>5174</v>
      </c>
      <c r="F82" s="17">
        <v>2000</v>
      </c>
      <c r="G82" s="18">
        <v>6717522</v>
      </c>
      <c r="H82" s="19">
        <v>28043.08</v>
      </c>
      <c r="I82" s="18">
        <v>5174</v>
      </c>
      <c r="J82" s="19">
        <v>9571.9</v>
      </c>
      <c r="K82" s="19">
        <v>42788.98</v>
      </c>
      <c r="L82" s="19">
        <v>42788.98</v>
      </c>
      <c r="M82" s="19">
        <v>42788.98</v>
      </c>
      <c r="N82" s="20">
        <v>1</v>
      </c>
      <c r="O82" s="21">
        <v>0</v>
      </c>
      <c r="P82" s="21">
        <v>0</v>
      </c>
      <c r="Q82" s="17">
        <v>0.95535506999999997</v>
      </c>
      <c r="R82" s="19">
        <v>0</v>
      </c>
      <c r="S82" s="19">
        <v>42788.98</v>
      </c>
      <c r="T82" s="19">
        <v>255293.66</v>
      </c>
      <c r="U82" s="19">
        <v>298082.64</v>
      </c>
      <c r="V82" s="19">
        <v>74520.66</v>
      </c>
      <c r="W82" s="19">
        <v>60161.440000000002</v>
      </c>
      <c r="X82" s="19">
        <v>0</v>
      </c>
      <c r="Y82" s="19">
        <v>48168.05</v>
      </c>
      <c r="Z82" s="19">
        <v>0</v>
      </c>
      <c r="AA82" s="19">
        <v>0</v>
      </c>
      <c r="AB82" s="19">
        <v>28058.84</v>
      </c>
      <c r="AC82" s="19">
        <v>45462.78</v>
      </c>
      <c r="AD82" s="19">
        <v>0</v>
      </c>
      <c r="AE82" s="19">
        <v>0</v>
      </c>
      <c r="AF82" s="19">
        <v>0</v>
      </c>
      <c r="AG82" s="19">
        <v>42788.98</v>
      </c>
      <c r="AH82" s="19">
        <v>0</v>
      </c>
    </row>
    <row r="83" spans="1:34" x14ac:dyDescent="0.25">
      <c r="A83" s="12" t="s">
        <v>38</v>
      </c>
      <c r="B83" s="17">
        <v>256</v>
      </c>
      <c r="C83" s="17">
        <v>1</v>
      </c>
      <c r="D83" s="24" t="s">
        <v>116</v>
      </c>
      <c r="E83" s="18">
        <v>19730</v>
      </c>
      <c r="F83" s="17">
        <v>2007</v>
      </c>
      <c r="G83" s="18">
        <v>27191271</v>
      </c>
      <c r="H83" s="19">
        <v>106936.6</v>
      </c>
      <c r="I83" s="18">
        <v>19730</v>
      </c>
      <c r="J83" s="19">
        <v>22683.9</v>
      </c>
      <c r="K83" s="19">
        <v>149350.5</v>
      </c>
      <c r="L83" s="19">
        <v>149350.5</v>
      </c>
      <c r="M83" s="19">
        <v>149350.5</v>
      </c>
      <c r="N83" s="20">
        <v>1</v>
      </c>
      <c r="O83" s="21">
        <v>0</v>
      </c>
      <c r="P83" s="21">
        <v>0</v>
      </c>
      <c r="Q83" s="17">
        <v>0.95535506999999997</v>
      </c>
      <c r="R83" s="19">
        <v>0</v>
      </c>
      <c r="S83" s="19">
        <v>149350.5</v>
      </c>
      <c r="T83" s="19">
        <v>1019077.25</v>
      </c>
      <c r="U83" s="19">
        <v>1168427.75</v>
      </c>
      <c r="V83" s="19">
        <v>292106.94</v>
      </c>
      <c r="W83" s="19">
        <v>-8259.5</v>
      </c>
      <c r="X83" s="19">
        <v>0</v>
      </c>
      <c r="Y83" s="19">
        <v>58162.66</v>
      </c>
      <c r="Z83" s="19">
        <v>0</v>
      </c>
      <c r="AA83" s="19">
        <v>0</v>
      </c>
      <c r="AB83" s="19">
        <v>98292.41</v>
      </c>
      <c r="AC83" s="19">
        <v>49398.52</v>
      </c>
      <c r="AD83" s="19">
        <v>0</v>
      </c>
      <c r="AE83" s="19">
        <v>0</v>
      </c>
      <c r="AF83" s="19">
        <v>0</v>
      </c>
      <c r="AG83" s="19">
        <v>149350.5</v>
      </c>
      <c r="AH83" s="19">
        <v>0</v>
      </c>
    </row>
    <row r="84" spans="1:34" x14ac:dyDescent="0.25">
      <c r="A84" s="12" t="s">
        <v>38</v>
      </c>
      <c r="B84" s="17">
        <v>261</v>
      </c>
      <c r="C84" s="17">
        <v>1</v>
      </c>
      <c r="D84" s="24" t="s">
        <v>117</v>
      </c>
      <c r="E84" s="18">
        <v>1370</v>
      </c>
      <c r="F84" s="17">
        <v>2000</v>
      </c>
      <c r="G84" s="18">
        <v>2323821</v>
      </c>
      <c r="H84" s="19">
        <v>7425.4</v>
      </c>
      <c r="I84" s="18">
        <v>0</v>
      </c>
      <c r="J84" s="19">
        <v>2534.5</v>
      </c>
      <c r="K84" s="19">
        <v>9959.9</v>
      </c>
      <c r="L84" s="19">
        <v>9959.9</v>
      </c>
      <c r="M84" s="19">
        <v>9959.9</v>
      </c>
      <c r="N84" s="20">
        <v>1</v>
      </c>
      <c r="O84" s="21">
        <v>0</v>
      </c>
      <c r="P84" s="21">
        <v>0</v>
      </c>
      <c r="Q84" s="17">
        <v>0.95535506999999997</v>
      </c>
      <c r="R84" s="19">
        <v>0</v>
      </c>
      <c r="S84" s="19">
        <v>7425.4</v>
      </c>
      <c r="T84" s="19">
        <v>21672.02</v>
      </c>
      <c r="U84" s="19">
        <v>29097.42</v>
      </c>
      <c r="V84" s="19">
        <v>7274.36</v>
      </c>
      <c r="W84" s="19">
        <v>-11014.65</v>
      </c>
      <c r="X84" s="19">
        <v>0</v>
      </c>
      <c r="Y84" s="19">
        <v>-7771.74</v>
      </c>
      <c r="Z84" s="19">
        <v>0</v>
      </c>
      <c r="AA84" s="19">
        <v>0</v>
      </c>
      <c r="AB84" s="19">
        <v>-4516.1499999999996</v>
      </c>
      <c r="AC84" s="19">
        <v>-7767.51</v>
      </c>
      <c r="AD84" s="19">
        <v>0</v>
      </c>
      <c r="AE84" s="19">
        <v>0</v>
      </c>
      <c r="AF84" s="19">
        <v>0</v>
      </c>
      <c r="AG84" s="19">
        <v>9959.9</v>
      </c>
      <c r="AH84" s="19">
        <v>0</v>
      </c>
    </row>
    <row r="85" spans="1:34" x14ac:dyDescent="0.25">
      <c r="A85" s="12" t="s">
        <v>38</v>
      </c>
      <c r="B85" s="17">
        <v>264</v>
      </c>
      <c r="C85" s="17">
        <v>1</v>
      </c>
      <c r="D85" s="24" t="s">
        <v>118</v>
      </c>
      <c r="E85" s="18">
        <v>1094</v>
      </c>
      <c r="F85" s="17">
        <v>2000</v>
      </c>
      <c r="G85" s="18">
        <v>2644487</v>
      </c>
      <c r="H85" s="19">
        <v>7235.7</v>
      </c>
      <c r="I85" s="18">
        <v>1335</v>
      </c>
      <c r="J85" s="19">
        <v>2469.75</v>
      </c>
      <c r="K85" s="19">
        <v>11040.45</v>
      </c>
      <c r="L85" s="19">
        <v>11040.45</v>
      </c>
      <c r="M85" s="19">
        <v>11040.45</v>
      </c>
      <c r="N85" s="20">
        <v>1</v>
      </c>
      <c r="O85" s="21">
        <v>0</v>
      </c>
      <c r="P85" s="21">
        <v>0</v>
      </c>
      <c r="Q85" s="17">
        <v>0.95535506999999997</v>
      </c>
      <c r="R85" s="19">
        <v>0</v>
      </c>
      <c r="S85" s="19">
        <v>11040.45</v>
      </c>
      <c r="T85" s="19">
        <v>17056.45</v>
      </c>
      <c r="U85" s="19">
        <v>28096.9</v>
      </c>
      <c r="V85" s="19">
        <v>7024.23</v>
      </c>
      <c r="W85" s="19">
        <v>5776.5</v>
      </c>
      <c r="X85" s="19">
        <v>664.03</v>
      </c>
      <c r="Y85" s="19">
        <v>11456.42</v>
      </c>
      <c r="Z85" s="19">
        <v>1154.6500000000001</v>
      </c>
      <c r="AA85" s="19">
        <v>0</v>
      </c>
      <c r="AB85" s="19">
        <v>12939.97</v>
      </c>
      <c r="AC85" s="19">
        <v>9451.4</v>
      </c>
      <c r="AD85" s="19">
        <v>2427.17</v>
      </c>
      <c r="AE85" s="19">
        <v>2427.17</v>
      </c>
      <c r="AF85" s="19">
        <v>0</v>
      </c>
      <c r="AG85" s="19">
        <v>8613.2800000000007</v>
      </c>
      <c r="AH85" s="19">
        <v>0</v>
      </c>
    </row>
    <row r="86" spans="1:34" x14ac:dyDescent="0.25">
      <c r="A86" s="12" t="s">
        <v>38</v>
      </c>
      <c r="B86" s="17">
        <v>270</v>
      </c>
      <c r="C86" s="17">
        <v>1</v>
      </c>
      <c r="D86" s="24" t="s">
        <v>119</v>
      </c>
      <c r="E86" s="18">
        <v>62483</v>
      </c>
      <c r="F86" s="17">
        <v>2000</v>
      </c>
      <c r="G86" s="18">
        <v>114962396</v>
      </c>
      <c r="H86" s="19">
        <v>338657.86</v>
      </c>
      <c r="I86" s="18">
        <v>62483</v>
      </c>
      <c r="J86" s="19">
        <v>41067.69</v>
      </c>
      <c r="K86" s="19">
        <v>442208.55</v>
      </c>
      <c r="L86" s="19">
        <v>442208.55</v>
      </c>
      <c r="M86" s="19">
        <v>442208.55</v>
      </c>
      <c r="N86" s="20">
        <v>1</v>
      </c>
      <c r="O86" s="21">
        <v>0</v>
      </c>
      <c r="P86" s="21">
        <v>0</v>
      </c>
      <c r="Q86" s="17">
        <v>0.95535506999999997</v>
      </c>
      <c r="R86" s="19">
        <v>0</v>
      </c>
      <c r="S86" s="19">
        <v>442208.55</v>
      </c>
      <c r="T86" s="19">
        <v>5363573.42</v>
      </c>
      <c r="U86" s="19">
        <v>5805781.9699999997</v>
      </c>
      <c r="V86" s="19">
        <v>1451445.49</v>
      </c>
      <c r="W86" s="19">
        <v>1073899.95</v>
      </c>
      <c r="X86" s="19">
        <v>0</v>
      </c>
      <c r="Y86" s="19">
        <v>1055232.52</v>
      </c>
      <c r="Z86" s="19">
        <v>0</v>
      </c>
      <c r="AA86" s="19">
        <v>0</v>
      </c>
      <c r="AB86" s="19">
        <v>508749.8</v>
      </c>
      <c r="AC86" s="19">
        <v>879294.09</v>
      </c>
      <c r="AD86" s="19">
        <v>0</v>
      </c>
      <c r="AE86" s="19">
        <v>0</v>
      </c>
      <c r="AF86" s="19">
        <v>0</v>
      </c>
      <c r="AG86" s="19">
        <v>442208.55</v>
      </c>
      <c r="AH86" s="19">
        <v>0</v>
      </c>
    </row>
    <row r="87" spans="1:34" x14ac:dyDescent="0.25">
      <c r="A87" s="12" t="s">
        <v>38</v>
      </c>
      <c r="B87" s="17">
        <v>271</v>
      </c>
      <c r="C87" s="17">
        <v>1</v>
      </c>
      <c r="D87" s="24" t="s">
        <v>120</v>
      </c>
      <c r="E87" s="18">
        <v>85158</v>
      </c>
      <c r="F87" s="17">
        <v>2000</v>
      </c>
      <c r="G87" s="18">
        <v>131779026</v>
      </c>
      <c r="H87" s="19">
        <v>461556.36</v>
      </c>
      <c r="I87" s="18">
        <v>85158</v>
      </c>
      <c r="J87" s="19">
        <v>50817.94</v>
      </c>
      <c r="K87" s="19">
        <v>597532.30000000005</v>
      </c>
      <c r="L87" s="19">
        <v>597532.30000000005</v>
      </c>
      <c r="M87" s="19">
        <v>597532.30000000005</v>
      </c>
      <c r="N87" s="20">
        <v>1</v>
      </c>
      <c r="O87" s="21">
        <v>0</v>
      </c>
      <c r="P87" s="21">
        <v>0</v>
      </c>
      <c r="Q87" s="17">
        <v>0.95535506999999997</v>
      </c>
      <c r="R87" s="19">
        <v>0</v>
      </c>
      <c r="S87" s="19">
        <v>597532.30000000005</v>
      </c>
      <c r="T87" s="19">
        <v>6186197.5999999996</v>
      </c>
      <c r="U87" s="19">
        <v>6783729.9000000004</v>
      </c>
      <c r="V87" s="19">
        <v>1695932.48</v>
      </c>
      <c r="W87" s="19">
        <v>1781824.33</v>
      </c>
      <c r="X87" s="19">
        <v>0</v>
      </c>
      <c r="Y87" s="19">
        <v>1417651.25</v>
      </c>
      <c r="Z87" s="19">
        <v>0</v>
      </c>
      <c r="AA87" s="19">
        <v>0</v>
      </c>
      <c r="AB87" s="19">
        <v>1526305.77</v>
      </c>
      <c r="AC87" s="19">
        <v>1575260.45</v>
      </c>
      <c r="AD87" s="19">
        <v>0</v>
      </c>
      <c r="AE87" s="19">
        <v>0</v>
      </c>
      <c r="AF87" s="19">
        <v>0</v>
      </c>
      <c r="AG87" s="19">
        <v>597532.30000000005</v>
      </c>
      <c r="AH87" s="19">
        <v>0</v>
      </c>
    </row>
    <row r="88" spans="1:34" x14ac:dyDescent="0.25">
      <c r="A88" s="12" t="s">
        <v>38</v>
      </c>
      <c r="B88" s="17">
        <v>272</v>
      </c>
      <c r="C88" s="17">
        <v>1</v>
      </c>
      <c r="D88" s="24" t="s">
        <v>121</v>
      </c>
      <c r="E88" s="18">
        <v>60275</v>
      </c>
      <c r="F88" s="17">
        <v>2009</v>
      </c>
      <c r="G88" s="18">
        <v>112186065</v>
      </c>
      <c r="H88" s="19">
        <v>326690.5</v>
      </c>
      <c r="I88" s="18">
        <v>60275</v>
      </c>
      <c r="J88" s="19">
        <v>40118.25</v>
      </c>
      <c r="K88" s="19">
        <v>427083.75</v>
      </c>
      <c r="L88" s="19">
        <v>427083.75</v>
      </c>
      <c r="M88" s="19">
        <v>427083.75</v>
      </c>
      <c r="N88" s="20">
        <v>1</v>
      </c>
      <c r="O88" s="21">
        <v>0</v>
      </c>
      <c r="P88" s="21">
        <v>0</v>
      </c>
      <c r="Q88" s="17">
        <v>0.95535506999999997</v>
      </c>
      <c r="R88" s="19">
        <v>0</v>
      </c>
      <c r="S88" s="19">
        <v>421631.15</v>
      </c>
      <c r="T88" s="19">
        <v>3259458.89</v>
      </c>
      <c r="U88" s="19">
        <v>3681090.04</v>
      </c>
      <c r="V88" s="19">
        <v>920272.51</v>
      </c>
      <c r="W88" s="19">
        <v>-218929.37</v>
      </c>
      <c r="X88" s="19">
        <v>0</v>
      </c>
      <c r="Y88" s="19">
        <v>-98563.57</v>
      </c>
      <c r="Z88" s="19">
        <v>0</v>
      </c>
      <c r="AA88" s="19">
        <v>0</v>
      </c>
      <c r="AB88" s="19">
        <v>64770.31</v>
      </c>
      <c r="AC88" s="19">
        <v>-84240.88</v>
      </c>
      <c r="AD88" s="19">
        <v>0</v>
      </c>
      <c r="AE88" s="19">
        <v>0</v>
      </c>
      <c r="AF88" s="19">
        <v>0</v>
      </c>
      <c r="AG88" s="19">
        <v>427083.75</v>
      </c>
      <c r="AH88" s="19">
        <v>0</v>
      </c>
    </row>
    <row r="89" spans="1:34" x14ac:dyDescent="0.25">
      <c r="A89" s="12" t="s">
        <v>38</v>
      </c>
      <c r="B89" s="17">
        <v>273</v>
      </c>
      <c r="C89" s="17">
        <v>1</v>
      </c>
      <c r="D89" s="24" t="s">
        <v>122</v>
      </c>
      <c r="E89" s="18">
        <v>39098</v>
      </c>
      <c r="F89" s="17">
        <v>2000</v>
      </c>
      <c r="G89" s="18">
        <v>97664268</v>
      </c>
      <c r="H89" s="19">
        <v>211911.16</v>
      </c>
      <c r="I89" s="18">
        <v>39098</v>
      </c>
      <c r="J89" s="19">
        <v>31012.14</v>
      </c>
      <c r="K89" s="19">
        <v>282021.3</v>
      </c>
      <c r="L89" s="19">
        <v>282021.3</v>
      </c>
      <c r="M89" s="19">
        <v>282021.3</v>
      </c>
      <c r="N89" s="20">
        <v>1</v>
      </c>
      <c r="O89" s="21">
        <v>0</v>
      </c>
      <c r="P89" s="21">
        <v>0</v>
      </c>
      <c r="Q89" s="17">
        <v>0.95535506999999997</v>
      </c>
      <c r="R89" s="19">
        <v>0</v>
      </c>
      <c r="S89" s="19">
        <v>282021.3</v>
      </c>
      <c r="T89" s="19">
        <v>5613670.5099999998</v>
      </c>
      <c r="U89" s="19">
        <v>5895691.8099999996</v>
      </c>
      <c r="V89" s="19">
        <v>1473922.95</v>
      </c>
      <c r="W89" s="19">
        <v>990630.17</v>
      </c>
      <c r="X89" s="19">
        <v>0</v>
      </c>
      <c r="Y89" s="19">
        <v>1283948.44</v>
      </c>
      <c r="Z89" s="19">
        <v>0</v>
      </c>
      <c r="AA89" s="19">
        <v>0</v>
      </c>
      <c r="AB89" s="19">
        <v>1098360.45</v>
      </c>
      <c r="AC89" s="19">
        <v>1124313.02</v>
      </c>
      <c r="AD89" s="19">
        <v>0</v>
      </c>
      <c r="AE89" s="19">
        <v>0</v>
      </c>
      <c r="AF89" s="19">
        <v>0</v>
      </c>
      <c r="AG89" s="19">
        <v>282021.3</v>
      </c>
      <c r="AH89" s="19">
        <v>0</v>
      </c>
    </row>
    <row r="90" spans="1:34" x14ac:dyDescent="0.25">
      <c r="A90" s="12" t="s">
        <v>38</v>
      </c>
      <c r="B90" s="17">
        <v>276</v>
      </c>
      <c r="C90" s="17">
        <v>1</v>
      </c>
      <c r="D90" s="24" t="s">
        <v>123</v>
      </c>
      <c r="E90" s="18">
        <v>50313</v>
      </c>
      <c r="F90" s="17">
        <v>2001</v>
      </c>
      <c r="G90" s="18">
        <v>94648584</v>
      </c>
      <c r="H90" s="19">
        <v>272696.46000000002</v>
      </c>
      <c r="I90" s="18">
        <v>50313</v>
      </c>
      <c r="J90" s="19">
        <v>35834.589999999997</v>
      </c>
      <c r="K90" s="19">
        <v>358844.05</v>
      </c>
      <c r="L90" s="19">
        <v>358844.05</v>
      </c>
      <c r="M90" s="19">
        <v>358844.05</v>
      </c>
      <c r="N90" s="20">
        <v>1</v>
      </c>
      <c r="O90" s="21">
        <v>0</v>
      </c>
      <c r="P90" s="21">
        <v>0</v>
      </c>
      <c r="Q90" s="17">
        <v>0.95535506999999997</v>
      </c>
      <c r="R90" s="19">
        <v>0</v>
      </c>
      <c r="S90" s="19">
        <v>358844.05</v>
      </c>
      <c r="T90" s="19">
        <v>6420264.2400000002</v>
      </c>
      <c r="U90" s="19">
        <v>6779108.29</v>
      </c>
      <c r="V90" s="19">
        <v>1694777.07</v>
      </c>
      <c r="W90" s="19">
        <v>723759.4</v>
      </c>
      <c r="X90" s="19">
        <v>0</v>
      </c>
      <c r="Y90" s="19">
        <v>1130632.8999999999</v>
      </c>
      <c r="Z90" s="19">
        <v>0</v>
      </c>
      <c r="AA90" s="19">
        <v>0</v>
      </c>
      <c r="AB90" s="19">
        <v>1322079.2</v>
      </c>
      <c r="AC90" s="19">
        <v>1058823.83</v>
      </c>
      <c r="AD90" s="19">
        <v>0</v>
      </c>
      <c r="AE90" s="19">
        <v>0</v>
      </c>
      <c r="AF90" s="19">
        <v>0</v>
      </c>
      <c r="AG90" s="19">
        <v>358844.05</v>
      </c>
      <c r="AH90" s="19">
        <v>0</v>
      </c>
    </row>
    <row r="91" spans="1:34" x14ac:dyDescent="0.25">
      <c r="A91" s="12" t="s">
        <v>38</v>
      </c>
      <c r="B91" s="17">
        <v>277</v>
      </c>
      <c r="C91" s="17">
        <v>1</v>
      </c>
      <c r="D91" s="24" t="s">
        <v>124</v>
      </c>
      <c r="E91" s="18">
        <v>17874</v>
      </c>
      <c r="F91" s="17">
        <v>2000</v>
      </c>
      <c r="G91" s="18">
        <v>45696449</v>
      </c>
      <c r="H91" s="19">
        <v>96877.08</v>
      </c>
      <c r="I91" s="18">
        <v>17874</v>
      </c>
      <c r="J91" s="19">
        <v>21885.82</v>
      </c>
      <c r="K91" s="19">
        <v>136636.9</v>
      </c>
      <c r="L91" s="19">
        <v>136636.9</v>
      </c>
      <c r="M91" s="19">
        <v>136636.9</v>
      </c>
      <c r="N91" s="20">
        <v>1</v>
      </c>
      <c r="O91" s="21">
        <v>0</v>
      </c>
      <c r="P91" s="21">
        <v>0</v>
      </c>
      <c r="Q91" s="17">
        <v>0.95535506999999997</v>
      </c>
      <c r="R91" s="19">
        <v>0</v>
      </c>
      <c r="S91" s="19">
        <v>136636.9</v>
      </c>
      <c r="T91" s="19">
        <v>1460774.4</v>
      </c>
      <c r="U91" s="19">
        <v>1597411.3</v>
      </c>
      <c r="V91" s="19">
        <v>399352.83</v>
      </c>
      <c r="W91" s="19">
        <v>400244.44</v>
      </c>
      <c r="X91" s="19">
        <v>0</v>
      </c>
      <c r="Y91" s="19">
        <v>363562.23999999999</v>
      </c>
      <c r="Z91" s="19">
        <v>0</v>
      </c>
      <c r="AA91" s="19">
        <v>0</v>
      </c>
      <c r="AB91" s="19">
        <v>333602.96000000002</v>
      </c>
      <c r="AC91" s="19">
        <v>365803.21</v>
      </c>
      <c r="AD91" s="19">
        <v>0</v>
      </c>
      <c r="AE91" s="19">
        <v>0</v>
      </c>
      <c r="AF91" s="19">
        <v>0</v>
      </c>
      <c r="AG91" s="19">
        <v>136636.9</v>
      </c>
      <c r="AH91" s="19">
        <v>0</v>
      </c>
    </row>
    <row r="92" spans="1:34" x14ac:dyDescent="0.25">
      <c r="A92" s="12" t="s">
        <v>38</v>
      </c>
      <c r="B92" s="17">
        <v>278</v>
      </c>
      <c r="C92" s="17">
        <v>1</v>
      </c>
      <c r="D92" s="24" t="s">
        <v>125</v>
      </c>
      <c r="E92" s="18">
        <v>12257</v>
      </c>
      <c r="F92" s="17">
        <v>2000</v>
      </c>
      <c r="G92" s="18">
        <v>45389905</v>
      </c>
      <c r="H92" s="19">
        <v>66432.94</v>
      </c>
      <c r="I92" s="18">
        <v>12257</v>
      </c>
      <c r="J92" s="19">
        <v>19470.509999999998</v>
      </c>
      <c r="K92" s="19">
        <v>98160.45</v>
      </c>
      <c r="L92" s="19">
        <v>98160.45</v>
      </c>
      <c r="M92" s="19">
        <v>98160.45</v>
      </c>
      <c r="N92" s="20">
        <v>1</v>
      </c>
      <c r="O92" s="21">
        <v>0</v>
      </c>
      <c r="P92" s="21">
        <v>0</v>
      </c>
      <c r="Q92" s="17">
        <v>0.95535506999999997</v>
      </c>
      <c r="R92" s="19">
        <v>0</v>
      </c>
      <c r="S92" s="19">
        <v>98160.45</v>
      </c>
      <c r="T92" s="19">
        <v>2337883.71</v>
      </c>
      <c r="U92" s="19">
        <v>2436044.16</v>
      </c>
      <c r="V92" s="19">
        <v>609011.04</v>
      </c>
      <c r="W92" s="19">
        <v>177797.45</v>
      </c>
      <c r="X92" s="19">
        <v>0</v>
      </c>
      <c r="Y92" s="19">
        <v>127647.21</v>
      </c>
      <c r="Z92" s="19">
        <v>0</v>
      </c>
      <c r="AA92" s="19">
        <v>0</v>
      </c>
      <c r="AB92" s="19">
        <v>6637.83</v>
      </c>
      <c r="AC92" s="19">
        <v>104027.5</v>
      </c>
      <c r="AD92" s="19">
        <v>0</v>
      </c>
      <c r="AE92" s="19">
        <v>0</v>
      </c>
      <c r="AF92" s="19">
        <v>0</v>
      </c>
      <c r="AG92" s="19">
        <v>98160.45</v>
      </c>
      <c r="AH92" s="19">
        <v>0</v>
      </c>
    </row>
    <row r="93" spans="1:34" x14ac:dyDescent="0.25">
      <c r="A93" s="12" t="s">
        <v>38</v>
      </c>
      <c r="B93" s="17">
        <v>279</v>
      </c>
      <c r="C93" s="17">
        <v>1</v>
      </c>
      <c r="D93" s="24" t="s">
        <v>126</v>
      </c>
      <c r="E93" s="18">
        <v>135770</v>
      </c>
      <c r="F93" s="17">
        <v>2009</v>
      </c>
      <c r="G93" s="18">
        <v>174071841</v>
      </c>
      <c r="H93" s="19">
        <v>735873.4</v>
      </c>
      <c r="I93" s="18">
        <v>135770</v>
      </c>
      <c r="J93" s="19">
        <v>72581.100000000006</v>
      </c>
      <c r="K93" s="19">
        <v>944224.5</v>
      </c>
      <c r="L93" s="19">
        <v>944224.5</v>
      </c>
      <c r="M93" s="19">
        <v>944224.5</v>
      </c>
      <c r="N93" s="20">
        <v>1</v>
      </c>
      <c r="O93" s="21">
        <v>0</v>
      </c>
      <c r="P93" s="21">
        <v>0</v>
      </c>
      <c r="Q93" s="17">
        <v>0.95535506999999997</v>
      </c>
      <c r="R93" s="19">
        <v>0</v>
      </c>
      <c r="S93" s="19">
        <v>934661.9</v>
      </c>
      <c r="T93" s="19">
        <v>8746814.7300000004</v>
      </c>
      <c r="U93" s="19">
        <v>9681476.6300000008</v>
      </c>
      <c r="V93" s="19">
        <v>2420369.16</v>
      </c>
      <c r="W93" s="19">
        <v>2589219.17</v>
      </c>
      <c r="X93" s="19">
        <v>0</v>
      </c>
      <c r="Y93" s="19">
        <v>2539531.86</v>
      </c>
      <c r="Z93" s="19">
        <v>0</v>
      </c>
      <c r="AA93" s="19">
        <v>0</v>
      </c>
      <c r="AB93" s="19">
        <v>2170630.36</v>
      </c>
      <c r="AC93" s="19">
        <v>2433127.13</v>
      </c>
      <c r="AD93" s="19">
        <v>12757.97</v>
      </c>
      <c r="AE93" s="19">
        <v>12757.97</v>
      </c>
      <c r="AF93" s="19">
        <v>0</v>
      </c>
      <c r="AG93" s="19">
        <v>931466.53</v>
      </c>
      <c r="AH93" s="19">
        <v>0</v>
      </c>
    </row>
    <row r="94" spans="1:34" x14ac:dyDescent="0.25">
      <c r="A94" s="12" t="s">
        <v>38</v>
      </c>
      <c r="B94" s="17">
        <v>280</v>
      </c>
      <c r="C94" s="17">
        <v>1</v>
      </c>
      <c r="D94" s="24" t="s">
        <v>127</v>
      </c>
      <c r="E94" s="18">
        <v>38535</v>
      </c>
      <c r="F94" s="17">
        <v>2000</v>
      </c>
      <c r="G94" s="18">
        <v>40952931</v>
      </c>
      <c r="H94" s="19">
        <v>208859.7</v>
      </c>
      <c r="I94" s="18">
        <v>38535</v>
      </c>
      <c r="J94" s="19">
        <v>30770.05</v>
      </c>
      <c r="K94" s="19">
        <v>278164.75</v>
      </c>
      <c r="L94" s="19">
        <v>278164.75</v>
      </c>
      <c r="M94" s="19">
        <v>278164.75</v>
      </c>
      <c r="N94" s="20">
        <v>1</v>
      </c>
      <c r="O94" s="21">
        <v>0</v>
      </c>
      <c r="P94" s="21">
        <v>0</v>
      </c>
      <c r="Q94" s="17">
        <v>0.95535506999999997</v>
      </c>
      <c r="R94" s="19">
        <v>0</v>
      </c>
      <c r="S94" s="19">
        <v>278164.75</v>
      </c>
      <c r="T94" s="19">
        <v>281211.05</v>
      </c>
      <c r="U94" s="19">
        <v>559375.80000000005</v>
      </c>
      <c r="V94" s="19">
        <v>139843.95000000001</v>
      </c>
      <c r="W94" s="19">
        <v>147765.69</v>
      </c>
      <c r="X94" s="19">
        <v>0</v>
      </c>
      <c r="Y94" s="19">
        <v>123354.8</v>
      </c>
      <c r="Z94" s="19">
        <v>2213.8200000000002</v>
      </c>
      <c r="AA94" s="19">
        <v>0</v>
      </c>
      <c r="AB94" s="19">
        <v>121843.97</v>
      </c>
      <c r="AC94" s="19">
        <v>130250.21</v>
      </c>
      <c r="AD94" s="19">
        <v>0</v>
      </c>
      <c r="AE94" s="19">
        <v>0</v>
      </c>
      <c r="AF94" s="19">
        <v>0</v>
      </c>
      <c r="AG94" s="19">
        <v>278164.75</v>
      </c>
      <c r="AH94" s="19">
        <v>0</v>
      </c>
    </row>
    <row r="95" spans="1:34" x14ac:dyDescent="0.25">
      <c r="A95" s="12" t="s">
        <v>38</v>
      </c>
      <c r="B95" s="17">
        <v>281</v>
      </c>
      <c r="C95" s="17">
        <v>1</v>
      </c>
      <c r="D95" s="24" t="s">
        <v>128</v>
      </c>
      <c r="E95" s="18">
        <v>100852</v>
      </c>
      <c r="F95" s="17">
        <v>2000</v>
      </c>
      <c r="G95" s="18">
        <v>111082729</v>
      </c>
      <c r="H95" s="19">
        <v>546617.84</v>
      </c>
      <c r="I95" s="18">
        <v>100852</v>
      </c>
      <c r="J95" s="19">
        <v>57566.36</v>
      </c>
      <c r="K95" s="19">
        <v>705036.2</v>
      </c>
      <c r="L95" s="19">
        <v>705036.2</v>
      </c>
      <c r="M95" s="19">
        <v>705036.2</v>
      </c>
      <c r="N95" s="20">
        <v>1</v>
      </c>
      <c r="O95" s="21">
        <v>0</v>
      </c>
      <c r="P95" s="21">
        <v>0</v>
      </c>
      <c r="Q95" s="17">
        <v>0.95535506999999997</v>
      </c>
      <c r="R95" s="19">
        <v>0</v>
      </c>
      <c r="S95" s="19">
        <v>705036.2</v>
      </c>
      <c r="T95" s="19">
        <v>4019615.47</v>
      </c>
      <c r="U95" s="19">
        <v>4724651.67</v>
      </c>
      <c r="V95" s="19">
        <v>1181162.92</v>
      </c>
      <c r="W95" s="19">
        <v>1288576.57</v>
      </c>
      <c r="X95" s="19">
        <v>0</v>
      </c>
      <c r="Y95" s="19">
        <v>1055412.3600000001</v>
      </c>
      <c r="Z95" s="19">
        <v>0</v>
      </c>
      <c r="AA95" s="19">
        <v>0</v>
      </c>
      <c r="AB95" s="19">
        <v>987045.85</v>
      </c>
      <c r="AC95" s="19">
        <v>1110344.93</v>
      </c>
      <c r="AD95" s="19">
        <v>0</v>
      </c>
      <c r="AE95" s="19">
        <v>0</v>
      </c>
      <c r="AF95" s="19">
        <v>0</v>
      </c>
      <c r="AG95" s="19">
        <v>705036.2</v>
      </c>
      <c r="AH95" s="19">
        <v>0</v>
      </c>
    </row>
    <row r="96" spans="1:34" x14ac:dyDescent="0.25">
      <c r="A96" s="12" t="s">
        <v>38</v>
      </c>
      <c r="B96" s="17">
        <v>282</v>
      </c>
      <c r="C96" s="17">
        <v>1</v>
      </c>
      <c r="D96" s="24" t="s">
        <v>129</v>
      </c>
      <c r="E96" s="18">
        <v>9687</v>
      </c>
      <c r="F96" s="17">
        <v>2000</v>
      </c>
      <c r="G96" s="18">
        <v>10986569</v>
      </c>
      <c r="H96" s="19">
        <v>52503.54</v>
      </c>
      <c r="I96" s="18">
        <v>9687</v>
      </c>
      <c r="J96" s="19">
        <v>17920.95</v>
      </c>
      <c r="K96" s="19">
        <v>80111.490000000005</v>
      </c>
      <c r="L96" s="19">
        <v>80111.490000000005</v>
      </c>
      <c r="M96" s="19">
        <v>80111.490000000005</v>
      </c>
      <c r="N96" s="20">
        <v>1</v>
      </c>
      <c r="O96" s="21">
        <v>0</v>
      </c>
      <c r="P96" s="21">
        <v>0</v>
      </c>
      <c r="Q96" s="17">
        <v>0.95535506999999997</v>
      </c>
      <c r="R96" s="19">
        <v>0</v>
      </c>
      <c r="S96" s="19">
        <v>80111.490000000005</v>
      </c>
      <c r="T96" s="19">
        <v>970360.22</v>
      </c>
      <c r="U96" s="19">
        <v>1050471.71</v>
      </c>
      <c r="V96" s="19">
        <v>262617.93</v>
      </c>
      <c r="W96" s="19">
        <v>155627.79</v>
      </c>
      <c r="X96" s="19">
        <v>0</v>
      </c>
      <c r="Y96" s="19">
        <v>117491.24</v>
      </c>
      <c r="Z96" s="19">
        <v>0</v>
      </c>
      <c r="AA96" s="19">
        <v>0</v>
      </c>
      <c r="AB96" s="19">
        <v>238325.39</v>
      </c>
      <c r="AC96" s="19">
        <v>170481.47</v>
      </c>
      <c r="AD96" s="19">
        <v>0</v>
      </c>
      <c r="AE96" s="19">
        <v>0</v>
      </c>
      <c r="AF96" s="19">
        <v>0</v>
      </c>
      <c r="AG96" s="19">
        <v>80111.490000000005</v>
      </c>
      <c r="AH96" s="19">
        <v>0</v>
      </c>
    </row>
    <row r="97" spans="1:34" x14ac:dyDescent="0.25">
      <c r="A97" s="12" t="s">
        <v>38</v>
      </c>
      <c r="B97" s="17">
        <v>283</v>
      </c>
      <c r="C97" s="17">
        <v>1</v>
      </c>
      <c r="D97" s="24" t="s">
        <v>130</v>
      </c>
      <c r="E97" s="18">
        <v>45511</v>
      </c>
      <c r="F97" s="17">
        <v>2005</v>
      </c>
      <c r="G97" s="18">
        <v>59384747</v>
      </c>
      <c r="H97" s="19">
        <v>246669.62</v>
      </c>
      <c r="I97" s="18">
        <v>45511</v>
      </c>
      <c r="J97" s="19">
        <v>33769.730000000003</v>
      </c>
      <c r="K97" s="19">
        <v>325950.34999999998</v>
      </c>
      <c r="L97" s="19">
        <v>325950.34999999998</v>
      </c>
      <c r="M97" s="19">
        <v>325950.34999999998</v>
      </c>
      <c r="N97" s="20">
        <v>1</v>
      </c>
      <c r="O97" s="21">
        <v>0</v>
      </c>
      <c r="P97" s="21">
        <v>0</v>
      </c>
      <c r="Q97" s="17">
        <v>0.95535506999999997</v>
      </c>
      <c r="R97" s="19">
        <v>0</v>
      </c>
      <c r="S97" s="19">
        <v>325950.34999999998</v>
      </c>
      <c r="T97" s="19">
        <v>4344842.6399999997</v>
      </c>
      <c r="U97" s="19">
        <v>4670792.99</v>
      </c>
      <c r="V97" s="19">
        <v>1167698.25</v>
      </c>
      <c r="W97" s="19">
        <v>269904.5</v>
      </c>
      <c r="X97" s="19">
        <v>0</v>
      </c>
      <c r="Y97" s="19">
        <v>410836.68</v>
      </c>
      <c r="Z97" s="19">
        <v>0</v>
      </c>
      <c r="AA97" s="19">
        <v>0</v>
      </c>
      <c r="AB97" s="19">
        <v>502344.64</v>
      </c>
      <c r="AC97" s="19">
        <v>394361.94</v>
      </c>
      <c r="AD97" s="19">
        <v>0</v>
      </c>
      <c r="AE97" s="19">
        <v>0</v>
      </c>
      <c r="AF97" s="19">
        <v>0</v>
      </c>
      <c r="AG97" s="19">
        <v>325950.34999999998</v>
      </c>
      <c r="AH97" s="19">
        <v>0</v>
      </c>
    </row>
    <row r="98" spans="1:34" x14ac:dyDescent="0.25">
      <c r="A98" s="12" t="s">
        <v>38</v>
      </c>
      <c r="B98" s="17">
        <v>284</v>
      </c>
      <c r="C98" s="17">
        <v>1</v>
      </c>
      <c r="D98" s="24" t="s">
        <v>131</v>
      </c>
      <c r="E98" s="18">
        <v>58355</v>
      </c>
      <c r="F98" s="17">
        <v>2009</v>
      </c>
      <c r="G98" s="18">
        <v>128200383</v>
      </c>
      <c r="H98" s="19">
        <v>316284.09999999998</v>
      </c>
      <c r="I98" s="18">
        <v>58355</v>
      </c>
      <c r="J98" s="19">
        <v>39292.65</v>
      </c>
      <c r="K98" s="19">
        <v>413931.75</v>
      </c>
      <c r="L98" s="19">
        <v>413931.75</v>
      </c>
      <c r="M98" s="19">
        <v>413931.75</v>
      </c>
      <c r="N98" s="20">
        <v>1</v>
      </c>
      <c r="O98" s="21">
        <v>0</v>
      </c>
      <c r="P98" s="21">
        <v>0</v>
      </c>
      <c r="Q98" s="17">
        <v>0.95535506999999997</v>
      </c>
      <c r="R98" s="19">
        <v>0</v>
      </c>
      <c r="S98" s="19">
        <v>406657.05</v>
      </c>
      <c r="T98" s="19">
        <v>6054195.46</v>
      </c>
      <c r="U98" s="19">
        <v>6460852.5099999998</v>
      </c>
      <c r="V98" s="19">
        <v>1615213.13</v>
      </c>
      <c r="W98" s="19">
        <v>983231.41</v>
      </c>
      <c r="X98" s="19">
        <v>0</v>
      </c>
      <c r="Y98" s="19">
        <v>831374.8</v>
      </c>
      <c r="Z98" s="19">
        <v>0</v>
      </c>
      <c r="AA98" s="19">
        <v>0</v>
      </c>
      <c r="AB98" s="19">
        <v>846205.56</v>
      </c>
      <c r="AC98" s="19">
        <v>886937.26</v>
      </c>
      <c r="AD98" s="19">
        <v>0</v>
      </c>
      <c r="AE98" s="19">
        <v>0</v>
      </c>
      <c r="AF98" s="19">
        <v>0</v>
      </c>
      <c r="AG98" s="19">
        <v>413931.75</v>
      </c>
      <c r="AH98" s="19">
        <v>0</v>
      </c>
    </row>
    <row r="99" spans="1:34" x14ac:dyDescent="0.25">
      <c r="A99" s="12" t="s">
        <v>38</v>
      </c>
      <c r="B99" s="17">
        <v>286</v>
      </c>
      <c r="C99" s="17">
        <v>1</v>
      </c>
      <c r="D99" s="24" t="s">
        <v>132</v>
      </c>
      <c r="E99" s="18">
        <v>7928</v>
      </c>
      <c r="F99" s="17">
        <v>2000</v>
      </c>
      <c r="G99" s="18">
        <v>8672593</v>
      </c>
      <c r="H99" s="19">
        <v>42969.760000000002</v>
      </c>
      <c r="I99" s="18">
        <v>7928</v>
      </c>
      <c r="J99" s="19">
        <v>14666.8</v>
      </c>
      <c r="K99" s="19">
        <v>65564.56</v>
      </c>
      <c r="L99" s="19">
        <v>65564.56</v>
      </c>
      <c r="M99" s="19">
        <v>65564.56</v>
      </c>
      <c r="N99" s="20">
        <v>1</v>
      </c>
      <c r="O99" s="21">
        <v>0</v>
      </c>
      <c r="P99" s="21">
        <v>0</v>
      </c>
      <c r="Q99" s="17">
        <v>0.95535506999999997</v>
      </c>
      <c r="R99" s="19">
        <v>0</v>
      </c>
      <c r="S99" s="19">
        <v>65564.56</v>
      </c>
      <c r="T99" s="19">
        <v>655496.93000000005</v>
      </c>
      <c r="U99" s="19">
        <v>721061.49</v>
      </c>
      <c r="V99" s="19">
        <v>180265.37</v>
      </c>
      <c r="W99" s="19">
        <v>-346451.24</v>
      </c>
      <c r="X99" s="19">
        <v>0</v>
      </c>
      <c r="Y99" s="19">
        <v>-210658.83</v>
      </c>
      <c r="Z99" s="19">
        <v>0</v>
      </c>
      <c r="AA99" s="19">
        <v>0</v>
      </c>
      <c r="AB99" s="19">
        <v>-131657.66</v>
      </c>
      <c r="AC99" s="19">
        <v>-229589.24</v>
      </c>
      <c r="AD99" s="19">
        <v>0</v>
      </c>
      <c r="AE99" s="19">
        <v>0</v>
      </c>
      <c r="AF99" s="19">
        <v>0</v>
      </c>
      <c r="AG99" s="19">
        <v>65564.56</v>
      </c>
      <c r="AH99" s="19">
        <v>0</v>
      </c>
    </row>
    <row r="100" spans="1:34" x14ac:dyDescent="0.25">
      <c r="A100" s="12" t="s">
        <v>38</v>
      </c>
      <c r="B100" s="17">
        <v>294</v>
      </c>
      <c r="C100" s="17">
        <v>1</v>
      </c>
      <c r="D100" s="24" t="s">
        <v>133</v>
      </c>
      <c r="E100" s="18">
        <v>3168</v>
      </c>
      <c r="F100" s="17">
        <v>2002</v>
      </c>
      <c r="G100" s="18">
        <v>3251972</v>
      </c>
      <c r="H100" s="19">
        <v>17170.560000000001</v>
      </c>
      <c r="I100" s="18">
        <v>3168</v>
      </c>
      <c r="J100" s="19">
        <v>5860.8</v>
      </c>
      <c r="K100" s="19">
        <v>26199.360000000001</v>
      </c>
      <c r="L100" s="19">
        <v>26199.360000000001</v>
      </c>
      <c r="M100" s="19">
        <v>26199.360000000001</v>
      </c>
      <c r="N100" s="20">
        <v>1</v>
      </c>
      <c r="O100" s="21">
        <v>0</v>
      </c>
      <c r="P100" s="21">
        <v>0</v>
      </c>
      <c r="Q100" s="17">
        <v>0.95535506999999997</v>
      </c>
      <c r="R100" s="19">
        <v>0</v>
      </c>
      <c r="S100" s="19">
        <v>26199.360000000001</v>
      </c>
      <c r="T100" s="19">
        <v>68221.58</v>
      </c>
      <c r="U100" s="19">
        <v>94420.94</v>
      </c>
      <c r="V100" s="19">
        <v>23605.24</v>
      </c>
      <c r="W100" s="19">
        <v>15975.02</v>
      </c>
      <c r="X100" s="19">
        <v>0</v>
      </c>
      <c r="Y100" s="19">
        <v>4543.0600000000004</v>
      </c>
      <c r="Z100" s="19">
        <v>0</v>
      </c>
      <c r="AA100" s="19">
        <v>0</v>
      </c>
      <c r="AB100" s="19">
        <v>967.03</v>
      </c>
      <c r="AC100" s="19">
        <v>7161.7</v>
      </c>
      <c r="AD100" s="19">
        <v>0</v>
      </c>
      <c r="AE100" s="19">
        <v>0</v>
      </c>
      <c r="AF100" s="19">
        <v>0</v>
      </c>
      <c r="AG100" s="19">
        <v>26199.360000000001</v>
      </c>
      <c r="AH100" s="19">
        <v>0</v>
      </c>
    </row>
    <row r="101" spans="1:34" x14ac:dyDescent="0.25">
      <c r="A101" s="12" t="s">
        <v>38</v>
      </c>
      <c r="B101" s="17">
        <v>297</v>
      </c>
      <c r="C101" s="17">
        <v>1</v>
      </c>
      <c r="D101" s="24" t="s">
        <v>134</v>
      </c>
      <c r="E101" s="18">
        <v>2298</v>
      </c>
      <c r="F101" s="17">
        <v>2000</v>
      </c>
      <c r="G101" s="18">
        <v>2340746</v>
      </c>
      <c r="H101" s="19">
        <v>12455.16</v>
      </c>
      <c r="I101" s="18">
        <v>2298</v>
      </c>
      <c r="J101" s="19">
        <v>4251.3</v>
      </c>
      <c r="K101" s="19">
        <v>19004.46</v>
      </c>
      <c r="L101" s="19">
        <v>19004.46</v>
      </c>
      <c r="M101" s="19">
        <v>19004.46</v>
      </c>
      <c r="N101" s="20">
        <v>1</v>
      </c>
      <c r="O101" s="21">
        <v>0</v>
      </c>
      <c r="P101" s="21">
        <v>0</v>
      </c>
      <c r="Q101" s="17">
        <v>0.95535506999999997</v>
      </c>
      <c r="R101" s="19">
        <v>0</v>
      </c>
      <c r="S101" s="19">
        <v>19004.46</v>
      </c>
      <c r="T101" s="19">
        <v>6632.19</v>
      </c>
      <c r="U101" s="19">
        <v>25636.65</v>
      </c>
      <c r="V101" s="19">
        <v>6409.16</v>
      </c>
      <c r="W101" s="19">
        <v>12570.17</v>
      </c>
      <c r="X101" s="19">
        <v>0</v>
      </c>
      <c r="Y101" s="19">
        <v>11548.86</v>
      </c>
      <c r="Z101" s="19">
        <v>3974.55</v>
      </c>
      <c r="AA101" s="19">
        <v>0</v>
      </c>
      <c r="AB101" s="19">
        <v>4661.05</v>
      </c>
      <c r="AC101" s="19">
        <v>8268.51</v>
      </c>
      <c r="AD101" s="19">
        <v>1859.35</v>
      </c>
      <c r="AE101" s="19">
        <v>1859.35</v>
      </c>
      <c r="AF101" s="19">
        <v>0</v>
      </c>
      <c r="AG101" s="19">
        <v>17145.11</v>
      </c>
      <c r="AH101" s="19">
        <v>0</v>
      </c>
    </row>
    <row r="102" spans="1:34" x14ac:dyDescent="0.25">
      <c r="A102" s="12" t="s">
        <v>38</v>
      </c>
      <c r="B102" s="17">
        <v>299</v>
      </c>
      <c r="C102" s="17">
        <v>1</v>
      </c>
      <c r="D102" s="24" t="s">
        <v>135</v>
      </c>
      <c r="E102" s="18">
        <v>6349</v>
      </c>
      <c r="F102" s="17">
        <v>2000</v>
      </c>
      <c r="G102" s="18">
        <v>6047203</v>
      </c>
      <c r="H102" s="19">
        <v>34411.58</v>
      </c>
      <c r="I102" s="18">
        <v>6349</v>
      </c>
      <c r="J102" s="19">
        <v>11745.65</v>
      </c>
      <c r="K102" s="19">
        <v>52506.23</v>
      </c>
      <c r="L102" s="19">
        <v>52506.23</v>
      </c>
      <c r="M102" s="19">
        <v>52506.23</v>
      </c>
      <c r="N102" s="20">
        <v>1</v>
      </c>
      <c r="O102" s="21">
        <v>0</v>
      </c>
      <c r="P102" s="21">
        <v>0</v>
      </c>
      <c r="Q102" s="17">
        <v>0.95535506999999997</v>
      </c>
      <c r="R102" s="19">
        <v>0</v>
      </c>
      <c r="S102" s="19">
        <v>52506.23</v>
      </c>
      <c r="T102" s="19">
        <v>101570.54</v>
      </c>
      <c r="U102" s="19">
        <v>154076.76999999999</v>
      </c>
      <c r="V102" s="19">
        <v>38519.19</v>
      </c>
      <c r="W102" s="19">
        <v>-13753.56</v>
      </c>
      <c r="X102" s="19">
        <v>0</v>
      </c>
      <c r="Y102" s="19">
        <v>-12232.93</v>
      </c>
      <c r="Z102" s="19">
        <v>0</v>
      </c>
      <c r="AA102" s="19">
        <v>0</v>
      </c>
      <c r="AB102" s="19">
        <v>4135.76</v>
      </c>
      <c r="AC102" s="19">
        <v>-7283.58</v>
      </c>
      <c r="AD102" s="19">
        <v>0</v>
      </c>
      <c r="AE102" s="19">
        <v>0</v>
      </c>
      <c r="AF102" s="19">
        <v>0</v>
      </c>
      <c r="AG102" s="19">
        <v>52506.23</v>
      </c>
      <c r="AH102" s="19">
        <v>0</v>
      </c>
    </row>
    <row r="103" spans="1:34" x14ac:dyDescent="0.25">
      <c r="A103" s="12" t="s">
        <v>38</v>
      </c>
      <c r="B103" s="17">
        <v>300</v>
      </c>
      <c r="C103" s="17">
        <v>1</v>
      </c>
      <c r="D103" s="24" t="s">
        <v>136</v>
      </c>
      <c r="E103" s="18">
        <v>9604</v>
      </c>
      <c r="F103" s="17">
        <v>2005</v>
      </c>
      <c r="G103" s="18">
        <v>7602388</v>
      </c>
      <c r="H103" s="19">
        <v>52053.68</v>
      </c>
      <c r="I103" s="18">
        <v>9604</v>
      </c>
      <c r="J103" s="19">
        <v>17767.400000000001</v>
      </c>
      <c r="K103" s="19">
        <v>79425.08</v>
      </c>
      <c r="L103" s="19">
        <v>68421.490000000005</v>
      </c>
      <c r="M103" s="19">
        <v>68421.490000000005</v>
      </c>
      <c r="N103" s="20">
        <v>1</v>
      </c>
      <c r="O103" s="21">
        <v>11003.59</v>
      </c>
      <c r="P103" s="21">
        <v>11003.59</v>
      </c>
      <c r="Q103" s="17">
        <v>0.95535506999999997</v>
      </c>
      <c r="R103" s="19">
        <v>10512.34</v>
      </c>
      <c r="S103" s="19">
        <v>79425.08</v>
      </c>
      <c r="T103" s="19">
        <v>316689.94</v>
      </c>
      <c r="U103" s="19">
        <v>396115.02</v>
      </c>
      <c r="V103" s="19">
        <v>99028.76</v>
      </c>
      <c r="W103" s="19">
        <v>-50476.73</v>
      </c>
      <c r="X103" s="19">
        <v>0</v>
      </c>
      <c r="Y103" s="19">
        <v>-24680.73</v>
      </c>
      <c r="Z103" s="19">
        <v>0</v>
      </c>
      <c r="AA103" s="19">
        <v>0</v>
      </c>
      <c r="AB103" s="19">
        <v>48352.160000000003</v>
      </c>
      <c r="AC103" s="19">
        <v>-8935.1</v>
      </c>
      <c r="AD103" s="19">
        <v>0</v>
      </c>
      <c r="AE103" s="19">
        <v>0</v>
      </c>
      <c r="AF103" s="19">
        <v>0</v>
      </c>
      <c r="AG103" s="19">
        <v>68421.490000000005</v>
      </c>
      <c r="AH103" s="19">
        <v>11003.59</v>
      </c>
    </row>
    <row r="104" spans="1:34" x14ac:dyDescent="0.25">
      <c r="A104" s="12" t="s">
        <v>38</v>
      </c>
      <c r="B104" s="17">
        <v>306</v>
      </c>
      <c r="C104" s="17">
        <v>1</v>
      </c>
      <c r="D104" s="24" t="s">
        <v>137</v>
      </c>
      <c r="E104" s="18">
        <v>1592</v>
      </c>
      <c r="F104" s="17">
        <v>2000</v>
      </c>
      <c r="G104" s="18">
        <v>3403341</v>
      </c>
      <c r="H104" s="19">
        <v>8628.64</v>
      </c>
      <c r="I104" s="18">
        <v>0</v>
      </c>
      <c r="J104" s="19">
        <v>0</v>
      </c>
      <c r="K104" s="19">
        <v>8628.64</v>
      </c>
      <c r="L104" s="19">
        <v>8628.64</v>
      </c>
      <c r="M104" s="19">
        <v>8628.64</v>
      </c>
      <c r="N104" s="20">
        <v>1</v>
      </c>
      <c r="O104" s="21">
        <v>0</v>
      </c>
      <c r="P104" s="21">
        <v>0</v>
      </c>
      <c r="Q104" s="17">
        <v>0.95535506999999997</v>
      </c>
      <c r="R104" s="19">
        <v>0</v>
      </c>
      <c r="S104" s="19">
        <v>11573.84</v>
      </c>
      <c r="T104" s="19">
        <v>727.4</v>
      </c>
      <c r="U104" s="19">
        <v>12301.24</v>
      </c>
      <c r="V104" s="19">
        <v>3075.31</v>
      </c>
      <c r="W104" s="19">
        <v>3804.47</v>
      </c>
      <c r="X104" s="19">
        <v>1487.22</v>
      </c>
      <c r="Y104" s="19">
        <v>8134.79</v>
      </c>
      <c r="Z104" s="19">
        <v>1941.83</v>
      </c>
      <c r="AA104" s="19">
        <v>0</v>
      </c>
      <c r="AB104" s="19">
        <v>8371.76</v>
      </c>
      <c r="AC104" s="19">
        <v>5627.32</v>
      </c>
      <c r="AD104" s="19">
        <v>2552.0100000000002</v>
      </c>
      <c r="AE104" s="19">
        <v>2552.0100000000002</v>
      </c>
      <c r="AF104" s="19">
        <v>0</v>
      </c>
      <c r="AG104" s="19">
        <v>6076.63</v>
      </c>
      <c r="AH104" s="19">
        <v>0</v>
      </c>
    </row>
    <row r="105" spans="1:34" x14ac:dyDescent="0.25">
      <c r="A105" s="12" t="s">
        <v>38</v>
      </c>
      <c r="B105" s="17">
        <v>308</v>
      </c>
      <c r="C105" s="17">
        <v>1</v>
      </c>
      <c r="D105" s="24" t="s">
        <v>138</v>
      </c>
      <c r="E105" s="18">
        <v>2182</v>
      </c>
      <c r="F105" s="17">
        <v>2000</v>
      </c>
      <c r="G105" s="18">
        <v>8077794</v>
      </c>
      <c r="H105" s="19">
        <v>11826.44</v>
      </c>
      <c r="I105" s="18">
        <v>2182</v>
      </c>
      <c r="J105" s="19">
        <v>4036.7</v>
      </c>
      <c r="K105" s="19">
        <v>18045.14</v>
      </c>
      <c r="L105" s="19">
        <v>18045.14</v>
      </c>
      <c r="M105" s="19">
        <v>18045.14</v>
      </c>
      <c r="N105" s="20">
        <v>1</v>
      </c>
      <c r="O105" s="21">
        <v>0</v>
      </c>
      <c r="P105" s="21">
        <v>0</v>
      </c>
      <c r="Q105" s="17">
        <v>0.95535506999999997</v>
      </c>
      <c r="R105" s="19">
        <v>0</v>
      </c>
      <c r="S105" s="19">
        <v>18045.14</v>
      </c>
      <c r="T105" s="19">
        <v>28801.86</v>
      </c>
      <c r="U105" s="19">
        <v>46847</v>
      </c>
      <c r="V105" s="19">
        <v>11711.75</v>
      </c>
      <c r="W105" s="19">
        <v>-21825.82</v>
      </c>
      <c r="X105" s="19">
        <v>0</v>
      </c>
      <c r="Y105" s="19">
        <v>-22757.18</v>
      </c>
      <c r="Z105" s="19">
        <v>0</v>
      </c>
      <c r="AA105" s="19">
        <v>0</v>
      </c>
      <c r="AB105" s="19">
        <v>-20962.669999999998</v>
      </c>
      <c r="AC105" s="19">
        <v>-21848.560000000001</v>
      </c>
      <c r="AD105" s="19">
        <v>0</v>
      </c>
      <c r="AE105" s="19">
        <v>0</v>
      </c>
      <c r="AF105" s="19">
        <v>0</v>
      </c>
      <c r="AG105" s="19">
        <v>18045.14</v>
      </c>
      <c r="AH105" s="19">
        <v>0</v>
      </c>
    </row>
    <row r="106" spans="1:34" x14ac:dyDescent="0.25">
      <c r="A106" s="12" t="s">
        <v>38</v>
      </c>
      <c r="B106" s="17">
        <v>309</v>
      </c>
      <c r="C106" s="17">
        <v>1</v>
      </c>
      <c r="D106" s="24" t="s">
        <v>139</v>
      </c>
      <c r="E106" s="18">
        <v>12931</v>
      </c>
      <c r="F106" s="17">
        <v>2006</v>
      </c>
      <c r="G106" s="18">
        <v>25544660</v>
      </c>
      <c r="H106" s="19">
        <v>70086.02</v>
      </c>
      <c r="I106" s="18">
        <v>12931</v>
      </c>
      <c r="J106" s="19">
        <v>19760.330000000002</v>
      </c>
      <c r="K106" s="19">
        <v>102777.35</v>
      </c>
      <c r="L106" s="19">
        <v>102777.35</v>
      </c>
      <c r="M106" s="19">
        <v>102777.35</v>
      </c>
      <c r="N106" s="20">
        <v>1</v>
      </c>
      <c r="O106" s="21">
        <v>0</v>
      </c>
      <c r="P106" s="21">
        <v>0</v>
      </c>
      <c r="Q106" s="17">
        <v>0.95535506999999997</v>
      </c>
      <c r="R106" s="19">
        <v>0</v>
      </c>
      <c r="S106" s="19">
        <v>102777.35</v>
      </c>
      <c r="T106" s="19">
        <v>113041.56</v>
      </c>
      <c r="U106" s="19">
        <v>215818.91</v>
      </c>
      <c r="V106" s="19">
        <v>53954.73</v>
      </c>
      <c r="W106" s="19">
        <v>-81033.63</v>
      </c>
      <c r="X106" s="19">
        <v>0</v>
      </c>
      <c r="Y106" s="19">
        <v>-104889.12</v>
      </c>
      <c r="Z106" s="19">
        <v>0</v>
      </c>
      <c r="AA106" s="19">
        <v>0</v>
      </c>
      <c r="AB106" s="19">
        <v>-103684.15</v>
      </c>
      <c r="AC106" s="19">
        <v>-96535.63</v>
      </c>
      <c r="AD106" s="19">
        <v>0</v>
      </c>
      <c r="AE106" s="19">
        <v>0</v>
      </c>
      <c r="AF106" s="19">
        <v>0</v>
      </c>
      <c r="AG106" s="19">
        <v>102777.35</v>
      </c>
      <c r="AH106" s="19">
        <v>0</v>
      </c>
    </row>
    <row r="107" spans="1:34" x14ac:dyDescent="0.25">
      <c r="A107" s="12" t="s">
        <v>38</v>
      </c>
      <c r="B107" s="17">
        <v>314</v>
      </c>
      <c r="C107" s="17">
        <v>1</v>
      </c>
      <c r="D107" s="24" t="s">
        <v>140</v>
      </c>
      <c r="E107" s="18">
        <v>5309</v>
      </c>
      <c r="F107" s="17">
        <v>2000</v>
      </c>
      <c r="G107" s="18">
        <v>6182834</v>
      </c>
      <c r="H107" s="19">
        <v>28774.78</v>
      </c>
      <c r="I107" s="18">
        <v>5309</v>
      </c>
      <c r="J107" s="19">
        <v>9821.65</v>
      </c>
      <c r="K107" s="19">
        <v>43905.43</v>
      </c>
      <c r="L107" s="19">
        <v>43905.43</v>
      </c>
      <c r="M107" s="19">
        <v>43905.43</v>
      </c>
      <c r="N107" s="20">
        <v>1</v>
      </c>
      <c r="O107" s="21">
        <v>0</v>
      </c>
      <c r="P107" s="21">
        <v>0</v>
      </c>
      <c r="Q107" s="17">
        <v>0.95535506999999997</v>
      </c>
      <c r="R107" s="19">
        <v>0</v>
      </c>
      <c r="S107" s="19">
        <v>43905.43</v>
      </c>
      <c r="T107" s="19">
        <v>27178.51</v>
      </c>
      <c r="U107" s="19">
        <v>71083.94</v>
      </c>
      <c r="V107" s="19">
        <v>17770.990000000002</v>
      </c>
      <c r="W107" s="19">
        <v>2658.98</v>
      </c>
      <c r="X107" s="19">
        <v>0</v>
      </c>
      <c r="Y107" s="19">
        <v>-1685.63</v>
      </c>
      <c r="Z107" s="19">
        <v>0</v>
      </c>
      <c r="AA107" s="19">
        <v>0</v>
      </c>
      <c r="AB107" s="19">
        <v>7052.07</v>
      </c>
      <c r="AC107" s="19">
        <v>2675.14</v>
      </c>
      <c r="AD107" s="19">
        <v>0</v>
      </c>
      <c r="AE107" s="19">
        <v>0</v>
      </c>
      <c r="AF107" s="19">
        <v>0</v>
      </c>
      <c r="AG107" s="19">
        <v>43905.43</v>
      </c>
      <c r="AH107" s="19">
        <v>0</v>
      </c>
    </row>
    <row r="108" spans="1:34" x14ac:dyDescent="0.25">
      <c r="A108" s="12" t="s">
        <v>38</v>
      </c>
      <c r="B108" s="17">
        <v>316</v>
      </c>
      <c r="C108" s="17">
        <v>1</v>
      </c>
      <c r="D108" s="24" t="s">
        <v>141</v>
      </c>
      <c r="E108" s="18">
        <v>8189</v>
      </c>
      <c r="F108" s="17">
        <v>2000</v>
      </c>
      <c r="G108" s="18">
        <v>7447492</v>
      </c>
      <c r="H108" s="19">
        <v>44384.38</v>
      </c>
      <c r="I108" s="18">
        <v>8189</v>
      </c>
      <c r="J108" s="19">
        <v>15149.65</v>
      </c>
      <c r="K108" s="19">
        <v>67723.03</v>
      </c>
      <c r="L108" s="19">
        <v>67027.429999999993</v>
      </c>
      <c r="M108" s="19">
        <v>67027.429999999993</v>
      </c>
      <c r="N108" s="20">
        <v>1</v>
      </c>
      <c r="O108" s="21">
        <v>695.6</v>
      </c>
      <c r="P108" s="21">
        <v>695.6</v>
      </c>
      <c r="Q108" s="17">
        <v>0.95535506999999997</v>
      </c>
      <c r="R108" s="19">
        <v>664.54</v>
      </c>
      <c r="S108" s="19">
        <v>67723.03</v>
      </c>
      <c r="T108" s="19">
        <v>5627</v>
      </c>
      <c r="U108" s="19">
        <v>73350.03</v>
      </c>
      <c r="V108" s="19">
        <v>18337.509999999998</v>
      </c>
      <c r="W108" s="19">
        <v>35209.19</v>
      </c>
      <c r="X108" s="19">
        <v>0</v>
      </c>
      <c r="Y108" s="19">
        <v>50379.4</v>
      </c>
      <c r="Z108" s="19">
        <v>306.33999999999997</v>
      </c>
      <c r="AA108" s="19">
        <v>0</v>
      </c>
      <c r="AB108" s="19">
        <v>47603</v>
      </c>
      <c r="AC108" s="19">
        <v>44295.08</v>
      </c>
      <c r="AD108" s="19">
        <v>25957.57</v>
      </c>
      <c r="AE108" s="19">
        <v>25690.95</v>
      </c>
      <c r="AF108" s="19">
        <v>266.62</v>
      </c>
      <c r="AG108" s="19">
        <v>41336.480000000003</v>
      </c>
      <c r="AH108" s="19">
        <v>428.98</v>
      </c>
    </row>
    <row r="109" spans="1:34" x14ac:dyDescent="0.25">
      <c r="A109" s="12" t="s">
        <v>38</v>
      </c>
      <c r="B109" s="17">
        <v>317</v>
      </c>
      <c r="C109" s="17">
        <v>1</v>
      </c>
      <c r="D109" s="24" t="s">
        <v>142</v>
      </c>
      <c r="E109" s="18">
        <v>5409</v>
      </c>
      <c r="F109" s="17">
        <v>2000</v>
      </c>
      <c r="G109" s="18">
        <v>9064556</v>
      </c>
      <c r="H109" s="19">
        <v>29316.78</v>
      </c>
      <c r="I109" s="18">
        <v>5409</v>
      </c>
      <c r="J109" s="19">
        <v>10006.65</v>
      </c>
      <c r="K109" s="19">
        <v>44732.43</v>
      </c>
      <c r="L109" s="19">
        <v>44732.43</v>
      </c>
      <c r="M109" s="19">
        <v>44732.43</v>
      </c>
      <c r="N109" s="20">
        <v>1</v>
      </c>
      <c r="O109" s="21">
        <v>0</v>
      </c>
      <c r="P109" s="21">
        <v>0</v>
      </c>
      <c r="Q109" s="17">
        <v>0.95535506999999997</v>
      </c>
      <c r="R109" s="19">
        <v>0</v>
      </c>
      <c r="S109" s="19">
        <v>44732.43</v>
      </c>
      <c r="T109" s="19">
        <v>31248.63</v>
      </c>
      <c r="U109" s="19">
        <v>75981.06</v>
      </c>
      <c r="V109" s="19">
        <v>18995.27</v>
      </c>
      <c r="W109" s="19">
        <v>21539.84</v>
      </c>
      <c r="X109" s="19">
        <v>0</v>
      </c>
      <c r="Y109" s="19">
        <v>31980.66</v>
      </c>
      <c r="Z109" s="19">
        <v>3816.8</v>
      </c>
      <c r="AA109" s="19">
        <v>0</v>
      </c>
      <c r="AB109" s="19">
        <v>5958.65</v>
      </c>
      <c r="AC109" s="19">
        <v>18554.12</v>
      </c>
      <c r="AD109" s="19">
        <v>0</v>
      </c>
      <c r="AE109" s="19">
        <v>0</v>
      </c>
      <c r="AF109" s="19">
        <v>0</v>
      </c>
      <c r="AG109" s="19">
        <v>44732.43</v>
      </c>
      <c r="AH109" s="19">
        <v>0</v>
      </c>
    </row>
    <row r="110" spans="1:34" x14ac:dyDescent="0.25">
      <c r="A110" s="12" t="s">
        <v>38</v>
      </c>
      <c r="B110" s="17">
        <v>318</v>
      </c>
      <c r="C110" s="17">
        <v>1</v>
      </c>
      <c r="D110" s="24" t="s">
        <v>143</v>
      </c>
      <c r="E110" s="18">
        <v>26644</v>
      </c>
      <c r="F110" s="17">
        <v>2000</v>
      </c>
      <c r="G110" s="18">
        <v>49658622</v>
      </c>
      <c r="H110" s="19">
        <v>144410.48000000001</v>
      </c>
      <c r="I110" s="18">
        <v>26644</v>
      </c>
      <c r="J110" s="19">
        <v>25656.92</v>
      </c>
      <c r="K110" s="19">
        <v>196711.4</v>
      </c>
      <c r="L110" s="19">
        <v>196711.4</v>
      </c>
      <c r="M110" s="19">
        <v>196711.4</v>
      </c>
      <c r="N110" s="20">
        <v>1</v>
      </c>
      <c r="O110" s="21">
        <v>0</v>
      </c>
      <c r="P110" s="21">
        <v>0</v>
      </c>
      <c r="Q110" s="17">
        <v>0.95535506999999997</v>
      </c>
      <c r="R110" s="19">
        <v>0</v>
      </c>
      <c r="S110" s="19">
        <v>196711.4</v>
      </c>
      <c r="T110" s="19">
        <v>297670.88</v>
      </c>
      <c r="U110" s="19">
        <v>494382.28</v>
      </c>
      <c r="V110" s="19">
        <v>123595.57</v>
      </c>
      <c r="W110" s="19">
        <v>102749.3</v>
      </c>
      <c r="X110" s="19">
        <v>0</v>
      </c>
      <c r="Y110" s="19">
        <v>78268.58</v>
      </c>
      <c r="Z110" s="19">
        <v>0</v>
      </c>
      <c r="AA110" s="19">
        <v>0</v>
      </c>
      <c r="AB110" s="19">
        <v>59386.71</v>
      </c>
      <c r="AC110" s="19">
        <v>80134.86</v>
      </c>
      <c r="AD110" s="19">
        <v>0</v>
      </c>
      <c r="AE110" s="19">
        <v>0</v>
      </c>
      <c r="AF110" s="19">
        <v>0</v>
      </c>
      <c r="AG110" s="19">
        <v>196711.4</v>
      </c>
      <c r="AH110" s="19">
        <v>0</v>
      </c>
    </row>
    <row r="111" spans="1:34" x14ac:dyDescent="0.25">
      <c r="A111" s="12" t="s">
        <v>38</v>
      </c>
      <c r="B111" s="17">
        <v>319</v>
      </c>
      <c r="C111" s="17">
        <v>1</v>
      </c>
      <c r="D111" s="24" t="s">
        <v>144</v>
      </c>
      <c r="E111" s="18">
        <v>3981</v>
      </c>
      <c r="F111" s="17">
        <v>2000</v>
      </c>
      <c r="G111" s="18">
        <v>4561118</v>
      </c>
      <c r="H111" s="19">
        <v>21577.02</v>
      </c>
      <c r="I111" s="18">
        <v>3981</v>
      </c>
      <c r="J111" s="19">
        <v>7364.85</v>
      </c>
      <c r="K111" s="19">
        <v>32922.870000000003</v>
      </c>
      <c r="L111" s="19">
        <v>32922.870000000003</v>
      </c>
      <c r="M111" s="19">
        <v>32922.870000000003</v>
      </c>
      <c r="N111" s="20">
        <v>1</v>
      </c>
      <c r="O111" s="21">
        <v>0</v>
      </c>
      <c r="P111" s="21">
        <v>0</v>
      </c>
      <c r="Q111" s="17">
        <v>0.95535506999999997</v>
      </c>
      <c r="R111" s="19">
        <v>0</v>
      </c>
      <c r="S111" s="19">
        <v>32922.870000000003</v>
      </c>
      <c r="T111" s="19">
        <v>66568.259999999995</v>
      </c>
      <c r="U111" s="19">
        <v>99491.13</v>
      </c>
      <c r="V111" s="19">
        <v>24872.78</v>
      </c>
      <c r="W111" s="19">
        <v>13593.5</v>
      </c>
      <c r="X111" s="19">
        <v>0</v>
      </c>
      <c r="Y111" s="19">
        <v>11101.43</v>
      </c>
      <c r="Z111" s="19">
        <v>0</v>
      </c>
      <c r="AA111" s="19">
        <v>0</v>
      </c>
      <c r="AB111" s="19">
        <v>8383.24</v>
      </c>
      <c r="AC111" s="19">
        <v>11026.06</v>
      </c>
      <c r="AD111" s="19">
        <v>0</v>
      </c>
      <c r="AE111" s="19">
        <v>0</v>
      </c>
      <c r="AF111" s="19">
        <v>0</v>
      </c>
      <c r="AG111" s="19">
        <v>32922.870000000003</v>
      </c>
      <c r="AH111" s="19">
        <v>0</v>
      </c>
    </row>
    <row r="112" spans="1:34" x14ac:dyDescent="0.25">
      <c r="A112" s="12" t="s">
        <v>38</v>
      </c>
      <c r="B112" s="17">
        <v>330</v>
      </c>
      <c r="C112" s="17">
        <v>1</v>
      </c>
      <c r="D112" s="24" t="s">
        <v>145</v>
      </c>
      <c r="E112" s="18">
        <v>1829</v>
      </c>
      <c r="F112" s="17">
        <v>2000</v>
      </c>
      <c r="G112" s="18">
        <v>3302256</v>
      </c>
      <c r="H112" s="19">
        <v>9913.18</v>
      </c>
      <c r="I112" s="18">
        <v>0</v>
      </c>
      <c r="J112" s="19">
        <v>3383.65</v>
      </c>
      <c r="K112" s="19">
        <v>13296.83</v>
      </c>
      <c r="L112" s="19">
        <v>13296.83</v>
      </c>
      <c r="M112" s="19">
        <v>13296.83</v>
      </c>
      <c r="N112" s="20">
        <v>1</v>
      </c>
      <c r="O112" s="21">
        <v>0</v>
      </c>
      <c r="P112" s="21">
        <v>0</v>
      </c>
      <c r="Q112" s="17">
        <v>0.95535506999999997</v>
      </c>
      <c r="R112" s="19">
        <v>0</v>
      </c>
      <c r="S112" s="19">
        <v>13296.83</v>
      </c>
      <c r="T112" s="19">
        <v>42654.71</v>
      </c>
      <c r="U112" s="19">
        <v>55951.54</v>
      </c>
      <c r="V112" s="19">
        <v>13987.89</v>
      </c>
      <c r="W112" s="19">
        <v>4941.18</v>
      </c>
      <c r="X112" s="19">
        <v>0</v>
      </c>
      <c r="Y112" s="19">
        <v>-27235.78</v>
      </c>
      <c r="Z112" s="19">
        <v>0</v>
      </c>
      <c r="AA112" s="19">
        <v>0</v>
      </c>
      <c r="AB112" s="19">
        <v>-5573.02</v>
      </c>
      <c r="AC112" s="19">
        <v>-9289.2099999999991</v>
      </c>
      <c r="AD112" s="19">
        <v>0</v>
      </c>
      <c r="AE112" s="19">
        <v>0</v>
      </c>
      <c r="AF112" s="19">
        <v>0</v>
      </c>
      <c r="AG112" s="19">
        <v>13296.83</v>
      </c>
      <c r="AH112" s="19">
        <v>0</v>
      </c>
    </row>
    <row r="113" spans="1:34" x14ac:dyDescent="0.25">
      <c r="A113" s="12" t="s">
        <v>38</v>
      </c>
      <c r="B113" s="17">
        <v>332</v>
      </c>
      <c r="C113" s="17">
        <v>1</v>
      </c>
      <c r="D113" s="24" t="s">
        <v>146</v>
      </c>
      <c r="E113" s="18">
        <v>11051</v>
      </c>
      <c r="F113" s="17">
        <v>2008</v>
      </c>
      <c r="G113" s="18">
        <v>10431303</v>
      </c>
      <c r="H113" s="19">
        <v>59896.42</v>
      </c>
      <c r="I113" s="18">
        <v>11051</v>
      </c>
      <c r="J113" s="19">
        <v>18951.93</v>
      </c>
      <c r="K113" s="19">
        <v>89899.35</v>
      </c>
      <c r="L113" s="19">
        <v>89899.35</v>
      </c>
      <c r="M113" s="19">
        <v>89899.35</v>
      </c>
      <c r="N113" s="20">
        <v>1</v>
      </c>
      <c r="O113" s="21">
        <v>0</v>
      </c>
      <c r="P113" s="21">
        <v>0</v>
      </c>
      <c r="Q113" s="17">
        <v>0.95535506999999997</v>
      </c>
      <c r="R113" s="19">
        <v>0</v>
      </c>
      <c r="S113" s="19">
        <v>89899.35</v>
      </c>
      <c r="T113" s="19">
        <v>139818.31</v>
      </c>
      <c r="U113" s="19">
        <v>229717.66</v>
      </c>
      <c r="V113" s="19">
        <v>57429.42</v>
      </c>
      <c r="W113" s="19">
        <v>5245.82</v>
      </c>
      <c r="X113" s="19">
        <v>0</v>
      </c>
      <c r="Y113" s="19">
        <v>24050.48</v>
      </c>
      <c r="Z113" s="19">
        <v>0</v>
      </c>
      <c r="AA113" s="19">
        <v>0</v>
      </c>
      <c r="AB113" s="19">
        <v>43027.94</v>
      </c>
      <c r="AC113" s="19">
        <v>24108.080000000002</v>
      </c>
      <c r="AD113" s="19">
        <v>0</v>
      </c>
      <c r="AE113" s="19">
        <v>0</v>
      </c>
      <c r="AF113" s="19">
        <v>0</v>
      </c>
      <c r="AG113" s="19">
        <v>89899.35</v>
      </c>
      <c r="AH113" s="19">
        <v>0</v>
      </c>
    </row>
    <row r="114" spans="1:34" x14ac:dyDescent="0.25">
      <c r="A114" s="12" t="s">
        <v>38</v>
      </c>
      <c r="B114" s="17">
        <v>333</v>
      </c>
      <c r="C114" s="17">
        <v>1</v>
      </c>
      <c r="D114" s="24" t="s">
        <v>147</v>
      </c>
      <c r="E114" s="18">
        <v>3339</v>
      </c>
      <c r="F114" s="17">
        <v>2000</v>
      </c>
      <c r="G114" s="18">
        <v>3395643</v>
      </c>
      <c r="H114" s="19">
        <v>18097.38</v>
      </c>
      <c r="I114" s="18">
        <v>3339</v>
      </c>
      <c r="J114" s="19">
        <v>0</v>
      </c>
      <c r="K114" s="19">
        <v>21436.38</v>
      </c>
      <c r="L114" s="19">
        <v>21436.38</v>
      </c>
      <c r="M114" s="19">
        <v>21436.38</v>
      </c>
      <c r="N114" s="20">
        <v>1</v>
      </c>
      <c r="O114" s="21">
        <v>0</v>
      </c>
      <c r="P114" s="21">
        <v>0</v>
      </c>
      <c r="Q114" s="17">
        <v>0.95535506999999997</v>
      </c>
      <c r="R114" s="19">
        <v>0</v>
      </c>
      <c r="S114" s="19">
        <v>21436.38</v>
      </c>
      <c r="T114" s="19">
        <v>36702.839999999997</v>
      </c>
      <c r="U114" s="19">
        <v>58139.22</v>
      </c>
      <c r="V114" s="19">
        <v>14534.81</v>
      </c>
      <c r="W114" s="19">
        <v>-30317.02</v>
      </c>
      <c r="X114" s="19">
        <v>0</v>
      </c>
      <c r="Y114" s="19">
        <v>-34972.019999999997</v>
      </c>
      <c r="Z114" s="19">
        <v>0</v>
      </c>
      <c r="AA114" s="19">
        <v>0</v>
      </c>
      <c r="AB114" s="19">
        <v>-38095.29</v>
      </c>
      <c r="AC114" s="19">
        <v>-34461.440000000002</v>
      </c>
      <c r="AD114" s="19">
        <v>0</v>
      </c>
      <c r="AE114" s="19">
        <v>0</v>
      </c>
      <c r="AF114" s="19">
        <v>0</v>
      </c>
      <c r="AG114" s="19">
        <v>21436.38</v>
      </c>
      <c r="AH114" s="19">
        <v>0</v>
      </c>
    </row>
    <row r="115" spans="1:34" x14ac:dyDescent="0.25">
      <c r="A115" s="12" t="s">
        <v>38</v>
      </c>
      <c r="B115" s="17">
        <v>345</v>
      </c>
      <c r="C115" s="17">
        <v>1</v>
      </c>
      <c r="D115" s="24" t="s">
        <v>148</v>
      </c>
      <c r="E115" s="18">
        <v>10009</v>
      </c>
      <c r="F115" s="17">
        <v>2007</v>
      </c>
      <c r="G115" s="18">
        <v>14798838</v>
      </c>
      <c r="H115" s="19">
        <v>54248.78</v>
      </c>
      <c r="I115" s="18">
        <v>10009</v>
      </c>
      <c r="J115" s="19">
        <v>18503.87</v>
      </c>
      <c r="K115" s="19">
        <v>82761.649999999994</v>
      </c>
      <c r="L115" s="19">
        <v>82761.649999999994</v>
      </c>
      <c r="M115" s="19">
        <v>82761.649999999994</v>
      </c>
      <c r="N115" s="20">
        <v>1</v>
      </c>
      <c r="O115" s="21">
        <v>0</v>
      </c>
      <c r="P115" s="21">
        <v>0</v>
      </c>
      <c r="Q115" s="17">
        <v>0.95535506999999997</v>
      </c>
      <c r="R115" s="19">
        <v>0</v>
      </c>
      <c r="S115" s="19">
        <v>82761.649999999994</v>
      </c>
      <c r="T115" s="19">
        <v>426932.55</v>
      </c>
      <c r="U115" s="19">
        <v>509694.2</v>
      </c>
      <c r="V115" s="19">
        <v>127423.55</v>
      </c>
      <c r="W115" s="19">
        <v>17788.39</v>
      </c>
      <c r="X115" s="19">
        <v>0</v>
      </c>
      <c r="Y115" s="19">
        <v>4503.0200000000004</v>
      </c>
      <c r="Z115" s="19">
        <v>0</v>
      </c>
      <c r="AA115" s="19">
        <v>0</v>
      </c>
      <c r="AB115" s="19">
        <v>6033.56</v>
      </c>
      <c r="AC115" s="19">
        <v>9441.66</v>
      </c>
      <c r="AD115" s="19">
        <v>0</v>
      </c>
      <c r="AE115" s="19">
        <v>0</v>
      </c>
      <c r="AF115" s="19">
        <v>0</v>
      </c>
      <c r="AG115" s="19">
        <v>82761.649999999994</v>
      </c>
      <c r="AH115" s="19">
        <v>0</v>
      </c>
    </row>
    <row r="116" spans="1:34" x14ac:dyDescent="0.25">
      <c r="A116" s="12" t="s">
        <v>38</v>
      </c>
      <c r="B116" s="17">
        <v>347</v>
      </c>
      <c r="C116" s="17">
        <v>1</v>
      </c>
      <c r="D116" s="24" t="s">
        <v>149</v>
      </c>
      <c r="E116" s="18">
        <v>26856</v>
      </c>
      <c r="F116" s="17">
        <v>2008</v>
      </c>
      <c r="G116" s="18">
        <v>22715564</v>
      </c>
      <c r="H116" s="19">
        <v>145559.51999999999</v>
      </c>
      <c r="I116" s="18">
        <v>26856</v>
      </c>
      <c r="J116" s="19">
        <v>25748.080000000002</v>
      </c>
      <c r="K116" s="19">
        <v>198163.6</v>
      </c>
      <c r="L116" s="19">
        <v>198163.6</v>
      </c>
      <c r="M116" s="19">
        <v>198163.6</v>
      </c>
      <c r="N116" s="20">
        <v>1</v>
      </c>
      <c r="O116" s="21">
        <v>0</v>
      </c>
      <c r="P116" s="21">
        <v>0</v>
      </c>
      <c r="Q116" s="17">
        <v>0.95535506999999997</v>
      </c>
      <c r="R116" s="19">
        <v>0</v>
      </c>
      <c r="S116" s="19">
        <v>198163.6</v>
      </c>
      <c r="T116" s="19">
        <v>852304.9</v>
      </c>
      <c r="U116" s="19">
        <v>1050468.5</v>
      </c>
      <c r="V116" s="19">
        <v>262617.13</v>
      </c>
      <c r="W116" s="19">
        <v>263207.94</v>
      </c>
      <c r="X116" s="19">
        <v>0</v>
      </c>
      <c r="Y116" s="19">
        <v>159779.93</v>
      </c>
      <c r="Z116" s="19">
        <v>11122.4</v>
      </c>
      <c r="AA116" s="19">
        <v>0</v>
      </c>
      <c r="AB116" s="19">
        <v>307894.21000000002</v>
      </c>
      <c r="AC116" s="19">
        <v>239919.89</v>
      </c>
      <c r="AD116" s="19">
        <v>0</v>
      </c>
      <c r="AE116" s="19">
        <v>0</v>
      </c>
      <c r="AF116" s="19">
        <v>0</v>
      </c>
      <c r="AG116" s="19">
        <v>198163.6</v>
      </c>
      <c r="AH116" s="19">
        <v>0</v>
      </c>
    </row>
    <row r="117" spans="1:34" x14ac:dyDescent="0.25">
      <c r="A117" s="12" t="s">
        <v>38</v>
      </c>
      <c r="B117" s="17">
        <v>356</v>
      </c>
      <c r="C117" s="17">
        <v>1</v>
      </c>
      <c r="D117" s="24" t="s">
        <v>150</v>
      </c>
      <c r="E117" s="18">
        <v>935</v>
      </c>
      <c r="F117" s="17">
        <v>2000</v>
      </c>
      <c r="G117" s="18">
        <v>975146</v>
      </c>
      <c r="H117" s="19">
        <v>7235.7</v>
      </c>
      <c r="I117" s="18">
        <v>0</v>
      </c>
      <c r="J117" s="19">
        <v>0</v>
      </c>
      <c r="K117" s="19">
        <v>7235.7</v>
      </c>
      <c r="L117" s="19">
        <v>7235.7</v>
      </c>
      <c r="M117" s="19">
        <v>7235.7</v>
      </c>
      <c r="N117" s="20">
        <v>1</v>
      </c>
      <c r="O117" s="21">
        <v>0</v>
      </c>
      <c r="P117" s="21">
        <v>0</v>
      </c>
      <c r="Q117" s="17">
        <v>0.95535506999999997</v>
      </c>
      <c r="R117" s="19">
        <v>0</v>
      </c>
      <c r="S117" s="19">
        <v>7235.7</v>
      </c>
      <c r="T117" s="19">
        <v>6705.69</v>
      </c>
      <c r="U117" s="19">
        <v>13941.39</v>
      </c>
      <c r="V117" s="19">
        <v>3485.35</v>
      </c>
      <c r="W117" s="19">
        <v>-1.8</v>
      </c>
      <c r="X117" s="19">
        <v>0</v>
      </c>
      <c r="Y117" s="19">
        <v>105.42</v>
      </c>
      <c r="Z117" s="19">
        <v>0</v>
      </c>
      <c r="AA117" s="19">
        <v>0</v>
      </c>
      <c r="AB117" s="19">
        <v>440.99</v>
      </c>
      <c r="AC117" s="19">
        <v>181.54</v>
      </c>
      <c r="AD117" s="19">
        <v>0</v>
      </c>
      <c r="AE117" s="19">
        <v>0</v>
      </c>
      <c r="AF117" s="19">
        <v>0</v>
      </c>
      <c r="AG117" s="19">
        <v>7235.7</v>
      </c>
      <c r="AH117" s="19">
        <v>0</v>
      </c>
    </row>
    <row r="118" spans="1:34" x14ac:dyDescent="0.25">
      <c r="A118" s="12" t="s">
        <v>38</v>
      </c>
      <c r="B118" s="17">
        <v>361</v>
      </c>
      <c r="C118" s="17">
        <v>1</v>
      </c>
      <c r="D118" s="24" t="s">
        <v>151</v>
      </c>
      <c r="E118" s="18">
        <v>10833</v>
      </c>
      <c r="F118" s="17">
        <v>2000</v>
      </c>
      <c r="G118" s="18">
        <v>9468057</v>
      </c>
      <c r="H118" s="19">
        <v>58714.86</v>
      </c>
      <c r="I118" s="18">
        <v>10833</v>
      </c>
      <c r="J118" s="19">
        <v>18858.189999999999</v>
      </c>
      <c r="K118" s="19">
        <v>88406.05</v>
      </c>
      <c r="L118" s="19">
        <v>85212.51</v>
      </c>
      <c r="M118" s="19">
        <v>85212.51</v>
      </c>
      <c r="N118" s="20">
        <v>1</v>
      </c>
      <c r="O118" s="21">
        <v>3193.54</v>
      </c>
      <c r="P118" s="21">
        <v>3193.54</v>
      </c>
      <c r="Q118" s="17">
        <v>0.95535506999999997</v>
      </c>
      <c r="R118" s="19">
        <v>3050.96</v>
      </c>
      <c r="S118" s="19">
        <v>88406.05</v>
      </c>
      <c r="T118" s="19">
        <v>122897.1</v>
      </c>
      <c r="U118" s="19">
        <v>211303.15</v>
      </c>
      <c r="V118" s="19">
        <v>52825.79</v>
      </c>
      <c r="W118" s="19">
        <v>4099.55</v>
      </c>
      <c r="X118" s="19">
        <v>0</v>
      </c>
      <c r="Y118" s="19">
        <v>-73.650000000000006</v>
      </c>
      <c r="Z118" s="19">
        <v>0</v>
      </c>
      <c r="AA118" s="19">
        <v>0</v>
      </c>
      <c r="AB118" s="19">
        <v>7239.42</v>
      </c>
      <c r="AC118" s="19">
        <v>3755.11</v>
      </c>
      <c r="AD118" s="19">
        <v>0</v>
      </c>
      <c r="AE118" s="19">
        <v>0</v>
      </c>
      <c r="AF118" s="19">
        <v>0</v>
      </c>
      <c r="AG118" s="19">
        <v>85212.51</v>
      </c>
      <c r="AH118" s="19">
        <v>3193.54</v>
      </c>
    </row>
    <row r="119" spans="1:34" x14ac:dyDescent="0.25">
      <c r="A119" s="12" t="s">
        <v>38</v>
      </c>
      <c r="B119" s="17">
        <v>362</v>
      </c>
      <c r="C119" s="17">
        <v>1</v>
      </c>
      <c r="D119" s="24" t="s">
        <v>152</v>
      </c>
      <c r="E119" s="18">
        <v>1829</v>
      </c>
      <c r="F119" s="17">
        <v>2000</v>
      </c>
      <c r="G119" s="18">
        <v>1584793</v>
      </c>
      <c r="H119" s="19">
        <v>9913.18</v>
      </c>
      <c r="I119" s="18">
        <v>1829</v>
      </c>
      <c r="J119" s="19">
        <v>3383.65</v>
      </c>
      <c r="K119" s="19">
        <v>15125.83</v>
      </c>
      <c r="L119" s="19">
        <v>14263.14</v>
      </c>
      <c r="M119" s="19">
        <v>14263.14</v>
      </c>
      <c r="N119" s="20">
        <v>1</v>
      </c>
      <c r="O119" s="21">
        <v>862.69</v>
      </c>
      <c r="P119" s="21">
        <v>862.69</v>
      </c>
      <c r="Q119" s="17">
        <v>0.95535506999999997</v>
      </c>
      <c r="R119" s="19">
        <v>824.18</v>
      </c>
      <c r="S119" s="19">
        <v>15125.83</v>
      </c>
      <c r="T119" s="19">
        <v>3.09</v>
      </c>
      <c r="U119" s="19">
        <v>15128.92</v>
      </c>
      <c r="V119" s="19">
        <v>3782.23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14263.14</v>
      </c>
      <c r="AH119" s="19">
        <v>862.69</v>
      </c>
    </row>
    <row r="120" spans="1:34" x14ac:dyDescent="0.25">
      <c r="A120" s="12" t="s">
        <v>38</v>
      </c>
      <c r="B120" s="17">
        <v>363</v>
      </c>
      <c r="C120" s="17">
        <v>1</v>
      </c>
      <c r="D120" s="24" t="s">
        <v>153</v>
      </c>
      <c r="E120" s="18">
        <v>1546</v>
      </c>
      <c r="F120" s="17">
        <v>2000</v>
      </c>
      <c r="G120" s="18">
        <v>1844853</v>
      </c>
      <c r="H120" s="19">
        <v>8379.32</v>
      </c>
      <c r="I120" s="18">
        <v>0</v>
      </c>
      <c r="J120" s="19">
        <v>2860.1</v>
      </c>
      <c r="K120" s="19">
        <v>11239.42</v>
      </c>
      <c r="L120" s="19">
        <v>11239.42</v>
      </c>
      <c r="M120" s="19">
        <v>11239.42</v>
      </c>
      <c r="N120" s="20">
        <v>1</v>
      </c>
      <c r="O120" s="21">
        <v>0</v>
      </c>
      <c r="P120" s="21">
        <v>0</v>
      </c>
      <c r="Q120" s="17">
        <v>0.95535506999999997</v>
      </c>
      <c r="R120" s="19">
        <v>0</v>
      </c>
      <c r="S120" s="19">
        <v>11239.42</v>
      </c>
      <c r="T120" s="19">
        <v>23870.22</v>
      </c>
      <c r="U120" s="19">
        <v>35109.64</v>
      </c>
      <c r="V120" s="19">
        <v>8777.41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11239.42</v>
      </c>
      <c r="AH120" s="19">
        <v>0</v>
      </c>
    </row>
    <row r="121" spans="1:34" x14ac:dyDescent="0.25">
      <c r="A121" s="12" t="s">
        <v>38</v>
      </c>
      <c r="B121" s="17">
        <v>378</v>
      </c>
      <c r="C121" s="17">
        <v>1</v>
      </c>
      <c r="D121" s="24" t="s">
        <v>154</v>
      </c>
      <c r="E121" s="18">
        <v>3185</v>
      </c>
      <c r="F121" s="17">
        <v>2000</v>
      </c>
      <c r="G121" s="18">
        <v>4272700</v>
      </c>
      <c r="H121" s="19">
        <v>17262.7</v>
      </c>
      <c r="I121" s="18">
        <v>3185</v>
      </c>
      <c r="J121" s="19">
        <v>5892.25</v>
      </c>
      <c r="K121" s="19">
        <v>26339.95</v>
      </c>
      <c r="L121" s="19">
        <v>26339.95</v>
      </c>
      <c r="M121" s="19">
        <v>26339.95</v>
      </c>
      <c r="N121" s="20">
        <v>1</v>
      </c>
      <c r="O121" s="21">
        <v>0</v>
      </c>
      <c r="P121" s="21">
        <v>0</v>
      </c>
      <c r="Q121" s="17">
        <v>0.95535506999999997</v>
      </c>
      <c r="R121" s="19">
        <v>0</v>
      </c>
      <c r="S121" s="19">
        <v>26339.95</v>
      </c>
      <c r="T121" s="19">
        <v>102388.28</v>
      </c>
      <c r="U121" s="19">
        <v>128728.23</v>
      </c>
      <c r="V121" s="19">
        <v>32182.06</v>
      </c>
      <c r="W121" s="19">
        <v>11470.41</v>
      </c>
      <c r="X121" s="19">
        <v>80.58</v>
      </c>
      <c r="Y121" s="19">
        <v>-29165.48</v>
      </c>
      <c r="Z121" s="19">
        <v>0</v>
      </c>
      <c r="AA121" s="19">
        <v>0</v>
      </c>
      <c r="AB121" s="19">
        <v>-32131.26</v>
      </c>
      <c r="AC121" s="19">
        <v>-16635.64</v>
      </c>
      <c r="AD121" s="19">
        <v>0</v>
      </c>
      <c r="AE121" s="19">
        <v>0</v>
      </c>
      <c r="AF121" s="19">
        <v>0</v>
      </c>
      <c r="AG121" s="19">
        <v>26339.95</v>
      </c>
      <c r="AH121" s="19">
        <v>0</v>
      </c>
    </row>
    <row r="122" spans="1:34" x14ac:dyDescent="0.25">
      <c r="A122" s="12" t="s">
        <v>38</v>
      </c>
      <c r="B122" s="17">
        <v>381</v>
      </c>
      <c r="C122" s="17">
        <v>1</v>
      </c>
      <c r="D122" s="24" t="s">
        <v>155</v>
      </c>
      <c r="E122" s="18">
        <v>13455</v>
      </c>
      <c r="F122" s="17">
        <v>2008</v>
      </c>
      <c r="G122" s="18">
        <v>24099864</v>
      </c>
      <c r="H122" s="19">
        <v>72926.100000000006</v>
      </c>
      <c r="I122" s="18">
        <v>13455</v>
      </c>
      <c r="J122" s="19">
        <v>19985.650000000001</v>
      </c>
      <c r="K122" s="19">
        <v>106366.75</v>
      </c>
      <c r="L122" s="19">
        <v>106366.75</v>
      </c>
      <c r="M122" s="19">
        <v>106366.75</v>
      </c>
      <c r="N122" s="20">
        <v>1</v>
      </c>
      <c r="O122" s="21">
        <v>0</v>
      </c>
      <c r="P122" s="21">
        <v>0</v>
      </c>
      <c r="Q122" s="17">
        <v>0.95535506999999997</v>
      </c>
      <c r="R122" s="19">
        <v>0</v>
      </c>
      <c r="S122" s="19">
        <v>106366.75</v>
      </c>
      <c r="T122" s="19">
        <v>386592.94</v>
      </c>
      <c r="U122" s="19">
        <v>492959.69</v>
      </c>
      <c r="V122" s="19">
        <v>123239.92</v>
      </c>
      <c r="W122" s="19">
        <v>89253.43</v>
      </c>
      <c r="X122" s="19">
        <v>0</v>
      </c>
      <c r="Y122" s="19">
        <v>97962.32</v>
      </c>
      <c r="Z122" s="19">
        <v>0</v>
      </c>
      <c r="AA122" s="19">
        <v>0</v>
      </c>
      <c r="AB122" s="19">
        <v>122495.05</v>
      </c>
      <c r="AC122" s="19">
        <v>103236.93</v>
      </c>
      <c r="AD122" s="19">
        <v>0</v>
      </c>
      <c r="AE122" s="19">
        <v>0</v>
      </c>
      <c r="AF122" s="19">
        <v>0</v>
      </c>
      <c r="AG122" s="19">
        <v>106366.75</v>
      </c>
      <c r="AH122" s="19">
        <v>0</v>
      </c>
    </row>
    <row r="123" spans="1:34" x14ac:dyDescent="0.25">
      <c r="A123" s="12" t="s">
        <v>38</v>
      </c>
      <c r="B123" s="17">
        <v>390</v>
      </c>
      <c r="C123" s="17">
        <v>1</v>
      </c>
      <c r="D123" s="24" t="s">
        <v>156</v>
      </c>
      <c r="E123" s="18">
        <v>4104</v>
      </c>
      <c r="F123" s="17">
        <v>2000</v>
      </c>
      <c r="G123" s="18">
        <v>5099703</v>
      </c>
      <c r="H123" s="19">
        <v>22243.68</v>
      </c>
      <c r="I123" s="18">
        <v>0</v>
      </c>
      <c r="J123" s="19">
        <v>7592.4</v>
      </c>
      <c r="K123" s="19">
        <v>29836.080000000002</v>
      </c>
      <c r="L123" s="19">
        <v>29836.080000000002</v>
      </c>
      <c r="M123" s="19">
        <v>29836.080000000002</v>
      </c>
      <c r="N123" s="20">
        <v>1</v>
      </c>
      <c r="O123" s="21">
        <v>0</v>
      </c>
      <c r="P123" s="21">
        <v>0</v>
      </c>
      <c r="Q123" s="17">
        <v>0.95535506999999997</v>
      </c>
      <c r="R123" s="19">
        <v>0</v>
      </c>
      <c r="S123" s="19">
        <v>29836.080000000002</v>
      </c>
      <c r="T123" s="19">
        <v>137115.32999999999</v>
      </c>
      <c r="U123" s="19">
        <v>166951.41</v>
      </c>
      <c r="V123" s="19">
        <v>41737.85</v>
      </c>
      <c r="W123" s="19">
        <v>-2649.6</v>
      </c>
      <c r="X123" s="19">
        <v>0</v>
      </c>
      <c r="Y123" s="19">
        <v>0</v>
      </c>
      <c r="Z123" s="19">
        <v>0</v>
      </c>
      <c r="AA123" s="19">
        <v>0</v>
      </c>
      <c r="AB123" s="19">
        <v>0.26</v>
      </c>
      <c r="AC123" s="19">
        <v>-883.11</v>
      </c>
      <c r="AD123" s="19">
        <v>0</v>
      </c>
      <c r="AE123" s="19">
        <v>0</v>
      </c>
      <c r="AF123" s="19">
        <v>0</v>
      </c>
      <c r="AG123" s="19">
        <v>29836.080000000002</v>
      </c>
      <c r="AH123" s="19">
        <v>0</v>
      </c>
    </row>
    <row r="124" spans="1:34" x14ac:dyDescent="0.25">
      <c r="A124" s="12" t="s">
        <v>38</v>
      </c>
      <c r="B124" s="17">
        <v>391</v>
      </c>
      <c r="C124" s="17">
        <v>1</v>
      </c>
      <c r="D124" s="24" t="s">
        <v>157</v>
      </c>
      <c r="E124" s="18">
        <v>2377</v>
      </c>
      <c r="F124" s="17">
        <v>2000</v>
      </c>
      <c r="G124" s="18">
        <v>5058842</v>
      </c>
      <c r="H124" s="19">
        <v>12883.34</v>
      </c>
      <c r="I124" s="18">
        <v>2377</v>
      </c>
      <c r="J124" s="19">
        <v>4397.45</v>
      </c>
      <c r="K124" s="19">
        <v>19657.79</v>
      </c>
      <c r="L124" s="19">
        <v>19657.79</v>
      </c>
      <c r="M124" s="19">
        <v>19657.79</v>
      </c>
      <c r="N124" s="20">
        <v>1</v>
      </c>
      <c r="O124" s="21">
        <v>0</v>
      </c>
      <c r="P124" s="21">
        <v>0</v>
      </c>
      <c r="Q124" s="17">
        <v>0.95535506999999997</v>
      </c>
      <c r="R124" s="19">
        <v>0</v>
      </c>
      <c r="S124" s="19">
        <v>19657.79</v>
      </c>
      <c r="T124" s="19">
        <v>61357.82</v>
      </c>
      <c r="U124" s="19">
        <v>81015.61</v>
      </c>
      <c r="V124" s="19">
        <v>20253.900000000001</v>
      </c>
      <c r="W124" s="19">
        <v>-2682.48</v>
      </c>
      <c r="X124" s="19">
        <v>0</v>
      </c>
      <c r="Y124" s="19">
        <v>-2346.83</v>
      </c>
      <c r="Z124" s="19">
        <v>0</v>
      </c>
      <c r="AA124" s="19">
        <v>0</v>
      </c>
      <c r="AB124" s="19">
        <v>9310.39</v>
      </c>
      <c r="AC124" s="19">
        <v>1427.03</v>
      </c>
      <c r="AD124" s="19">
        <v>0</v>
      </c>
      <c r="AE124" s="19">
        <v>0</v>
      </c>
      <c r="AF124" s="19">
        <v>0</v>
      </c>
      <c r="AG124" s="19">
        <v>19657.79</v>
      </c>
      <c r="AH124" s="19">
        <v>0</v>
      </c>
    </row>
    <row r="125" spans="1:34" x14ac:dyDescent="0.25">
      <c r="A125" s="12" t="s">
        <v>38</v>
      </c>
      <c r="B125" s="17">
        <v>392</v>
      </c>
      <c r="C125" s="17">
        <v>1</v>
      </c>
      <c r="D125" s="24" t="s">
        <v>158</v>
      </c>
      <c r="E125" s="18">
        <v>3761</v>
      </c>
      <c r="F125" s="17">
        <v>2000</v>
      </c>
      <c r="G125" s="18">
        <v>5121941</v>
      </c>
      <c r="H125" s="19">
        <v>20384.62</v>
      </c>
      <c r="I125" s="18">
        <v>3761</v>
      </c>
      <c r="J125" s="19">
        <v>6957.85</v>
      </c>
      <c r="K125" s="19">
        <v>31103.47</v>
      </c>
      <c r="L125" s="19">
        <v>31103.47</v>
      </c>
      <c r="M125" s="19">
        <v>31103.47</v>
      </c>
      <c r="N125" s="20">
        <v>1</v>
      </c>
      <c r="O125" s="21">
        <v>0</v>
      </c>
      <c r="P125" s="21">
        <v>0</v>
      </c>
      <c r="Q125" s="17">
        <v>0.95535506999999997</v>
      </c>
      <c r="R125" s="19">
        <v>0</v>
      </c>
      <c r="S125" s="19">
        <v>31103.47</v>
      </c>
      <c r="T125" s="19">
        <v>36927.620000000003</v>
      </c>
      <c r="U125" s="19">
        <v>68031.09</v>
      </c>
      <c r="V125" s="19">
        <v>17007.77</v>
      </c>
      <c r="W125" s="19">
        <v>16427.599999999999</v>
      </c>
      <c r="X125" s="19">
        <v>11423.98</v>
      </c>
      <c r="Y125" s="19">
        <v>14668.65</v>
      </c>
      <c r="Z125" s="19">
        <v>0</v>
      </c>
      <c r="AA125" s="19">
        <v>0</v>
      </c>
      <c r="AB125" s="19">
        <v>30485.5</v>
      </c>
      <c r="AC125" s="19">
        <v>16719.259999999998</v>
      </c>
      <c r="AD125" s="19">
        <v>0</v>
      </c>
      <c r="AE125" s="19">
        <v>0</v>
      </c>
      <c r="AF125" s="19">
        <v>0</v>
      </c>
      <c r="AG125" s="19">
        <v>31103.47</v>
      </c>
      <c r="AH125" s="19">
        <v>0</v>
      </c>
    </row>
    <row r="126" spans="1:34" x14ac:dyDescent="0.25">
      <c r="A126" s="12" t="s">
        <v>38</v>
      </c>
      <c r="B126" s="17">
        <v>394</v>
      </c>
      <c r="C126" s="17">
        <v>1</v>
      </c>
      <c r="D126" s="24" t="s">
        <v>159</v>
      </c>
      <c r="E126" s="18">
        <v>7083</v>
      </c>
      <c r="F126" s="17">
        <v>2000</v>
      </c>
      <c r="G126" s="18">
        <v>10105412</v>
      </c>
      <c r="H126" s="19">
        <v>38389.86</v>
      </c>
      <c r="I126" s="18">
        <v>7083</v>
      </c>
      <c r="J126" s="19">
        <v>13103.55</v>
      </c>
      <c r="K126" s="19">
        <v>58576.41</v>
      </c>
      <c r="L126" s="19">
        <v>58576.41</v>
      </c>
      <c r="M126" s="19">
        <v>58576.41</v>
      </c>
      <c r="N126" s="20">
        <v>1</v>
      </c>
      <c r="O126" s="21">
        <v>0</v>
      </c>
      <c r="P126" s="21">
        <v>0</v>
      </c>
      <c r="Q126" s="17">
        <v>0.95535506999999997</v>
      </c>
      <c r="R126" s="19">
        <v>0</v>
      </c>
      <c r="S126" s="19">
        <v>58576.41</v>
      </c>
      <c r="T126" s="19">
        <v>318837.83</v>
      </c>
      <c r="U126" s="19">
        <v>377414.24</v>
      </c>
      <c r="V126" s="19">
        <v>94353.56</v>
      </c>
      <c r="W126" s="19">
        <v>46477.09</v>
      </c>
      <c r="X126" s="19">
        <v>0</v>
      </c>
      <c r="Y126" s="19">
        <v>32707.81</v>
      </c>
      <c r="Z126" s="19">
        <v>0</v>
      </c>
      <c r="AA126" s="19">
        <v>0</v>
      </c>
      <c r="AB126" s="19">
        <v>34590.01</v>
      </c>
      <c r="AC126" s="19">
        <v>37924.97</v>
      </c>
      <c r="AD126" s="19">
        <v>0</v>
      </c>
      <c r="AE126" s="19">
        <v>0</v>
      </c>
      <c r="AF126" s="19">
        <v>0</v>
      </c>
      <c r="AG126" s="19">
        <v>58576.41</v>
      </c>
      <c r="AH126" s="19">
        <v>0</v>
      </c>
    </row>
    <row r="127" spans="1:34" x14ac:dyDescent="0.25">
      <c r="A127" s="12" t="s">
        <v>38</v>
      </c>
      <c r="B127" s="17">
        <v>402</v>
      </c>
      <c r="C127" s="17">
        <v>1</v>
      </c>
      <c r="D127" s="24" t="s">
        <v>160</v>
      </c>
      <c r="E127" s="18">
        <v>1155</v>
      </c>
      <c r="F127" s="17">
        <v>2000</v>
      </c>
      <c r="G127" s="18">
        <v>1469423</v>
      </c>
      <c r="H127" s="19">
        <v>7235.7</v>
      </c>
      <c r="I127" s="18">
        <v>1335</v>
      </c>
      <c r="J127" s="19">
        <v>2469.75</v>
      </c>
      <c r="K127" s="19">
        <v>11040.45</v>
      </c>
      <c r="L127" s="19">
        <v>11040.45</v>
      </c>
      <c r="M127" s="19">
        <v>11040.45</v>
      </c>
      <c r="N127" s="20">
        <v>1</v>
      </c>
      <c r="O127" s="21">
        <v>0</v>
      </c>
      <c r="P127" s="21">
        <v>0</v>
      </c>
      <c r="Q127" s="17">
        <v>0.95535506999999997</v>
      </c>
      <c r="R127" s="19">
        <v>0</v>
      </c>
      <c r="S127" s="19">
        <v>11040.45</v>
      </c>
      <c r="T127" s="19">
        <v>19044.849999999999</v>
      </c>
      <c r="U127" s="19">
        <v>30085.3</v>
      </c>
      <c r="V127" s="19">
        <v>7521.33</v>
      </c>
      <c r="W127" s="19">
        <v>-512.46</v>
      </c>
      <c r="X127" s="19">
        <v>0</v>
      </c>
      <c r="Y127" s="19">
        <v>6797.95</v>
      </c>
      <c r="Z127" s="19">
        <v>0</v>
      </c>
      <c r="AA127" s="19">
        <v>0</v>
      </c>
      <c r="AB127" s="19">
        <v>25464.91</v>
      </c>
      <c r="AC127" s="19">
        <v>10583.47</v>
      </c>
      <c r="AD127" s="19">
        <v>3062.14</v>
      </c>
      <c r="AE127" s="19">
        <v>3062.14</v>
      </c>
      <c r="AF127" s="19">
        <v>0</v>
      </c>
      <c r="AG127" s="19">
        <v>7978.31</v>
      </c>
      <c r="AH127" s="19">
        <v>0</v>
      </c>
    </row>
    <row r="128" spans="1:34" x14ac:dyDescent="0.25">
      <c r="A128" s="12" t="s">
        <v>38</v>
      </c>
      <c r="B128" s="17">
        <v>403</v>
      </c>
      <c r="C128" s="17">
        <v>1</v>
      </c>
      <c r="D128" s="24" t="s">
        <v>161</v>
      </c>
      <c r="E128" s="18">
        <v>1490</v>
      </c>
      <c r="F128" s="17">
        <v>2000</v>
      </c>
      <c r="G128" s="18">
        <v>1906380</v>
      </c>
      <c r="H128" s="19">
        <v>8075.8</v>
      </c>
      <c r="I128" s="18">
        <v>1490</v>
      </c>
      <c r="J128" s="19">
        <v>2756.5</v>
      </c>
      <c r="K128" s="19">
        <v>12322.3</v>
      </c>
      <c r="L128" s="19">
        <v>12322.3</v>
      </c>
      <c r="M128" s="19">
        <v>12322.3</v>
      </c>
      <c r="N128" s="20">
        <v>1</v>
      </c>
      <c r="O128" s="21">
        <v>0</v>
      </c>
      <c r="P128" s="21">
        <v>0</v>
      </c>
      <c r="Q128" s="17">
        <v>0.95535506999999997</v>
      </c>
      <c r="R128" s="19">
        <v>0</v>
      </c>
      <c r="S128" s="19">
        <v>12322.3</v>
      </c>
      <c r="T128" s="19">
        <v>8945.64</v>
      </c>
      <c r="U128" s="19">
        <v>21267.94</v>
      </c>
      <c r="V128" s="19">
        <v>5316.99</v>
      </c>
      <c r="W128" s="19">
        <v>6227.93</v>
      </c>
      <c r="X128" s="19">
        <v>0</v>
      </c>
      <c r="Y128" s="19">
        <v>6089.2</v>
      </c>
      <c r="Z128" s="19">
        <v>0</v>
      </c>
      <c r="AA128" s="19">
        <v>0</v>
      </c>
      <c r="AB128" s="19">
        <v>10499.91</v>
      </c>
      <c r="AC128" s="19">
        <v>7605.68</v>
      </c>
      <c r="AD128" s="19">
        <v>2288.69</v>
      </c>
      <c r="AE128" s="19">
        <v>2288.69</v>
      </c>
      <c r="AF128" s="19">
        <v>0</v>
      </c>
      <c r="AG128" s="19">
        <v>10033.61</v>
      </c>
      <c r="AH128" s="19">
        <v>0</v>
      </c>
    </row>
    <row r="129" spans="1:34" x14ac:dyDescent="0.25">
      <c r="A129" s="12" t="s">
        <v>38</v>
      </c>
      <c r="B129" s="17">
        <v>404</v>
      </c>
      <c r="C129" s="17">
        <v>1</v>
      </c>
      <c r="D129" s="24" t="s">
        <v>162</v>
      </c>
      <c r="E129" s="18">
        <v>1520</v>
      </c>
      <c r="F129" s="17">
        <v>2000</v>
      </c>
      <c r="G129" s="18">
        <v>2364273</v>
      </c>
      <c r="H129" s="19">
        <v>8238.4</v>
      </c>
      <c r="I129" s="18">
        <v>1520</v>
      </c>
      <c r="J129" s="19">
        <v>2812</v>
      </c>
      <c r="K129" s="19">
        <v>12570.4</v>
      </c>
      <c r="L129" s="19">
        <v>12570.4</v>
      </c>
      <c r="M129" s="19">
        <v>12570.4</v>
      </c>
      <c r="N129" s="20">
        <v>1</v>
      </c>
      <c r="O129" s="21">
        <v>0</v>
      </c>
      <c r="P129" s="21">
        <v>0</v>
      </c>
      <c r="Q129" s="17">
        <v>0.95535506999999997</v>
      </c>
      <c r="R129" s="19">
        <v>0</v>
      </c>
      <c r="S129" s="19">
        <v>12570.4</v>
      </c>
      <c r="T129" s="19">
        <v>4900</v>
      </c>
      <c r="U129" s="19">
        <v>17470.400000000001</v>
      </c>
      <c r="V129" s="19">
        <v>4367.6000000000004</v>
      </c>
      <c r="W129" s="19">
        <v>14972.31</v>
      </c>
      <c r="X129" s="19">
        <v>0</v>
      </c>
      <c r="Y129" s="19">
        <v>19258.2</v>
      </c>
      <c r="Z129" s="19">
        <v>10686.83</v>
      </c>
      <c r="AA129" s="19">
        <v>0</v>
      </c>
      <c r="AB129" s="19">
        <v>23973.01</v>
      </c>
      <c r="AC129" s="19">
        <v>15838.9</v>
      </c>
      <c r="AD129" s="19">
        <v>11471.3</v>
      </c>
      <c r="AE129" s="19">
        <v>11471.3</v>
      </c>
      <c r="AF129" s="19">
        <v>0</v>
      </c>
      <c r="AG129" s="19">
        <v>1099.0999999999999</v>
      </c>
      <c r="AH129" s="19">
        <v>0</v>
      </c>
    </row>
    <row r="130" spans="1:34" x14ac:dyDescent="0.25">
      <c r="A130" s="12" t="s">
        <v>38</v>
      </c>
      <c r="B130" s="17">
        <v>413</v>
      </c>
      <c r="C130" s="17">
        <v>1</v>
      </c>
      <c r="D130" s="24" t="s">
        <v>163</v>
      </c>
      <c r="E130" s="18">
        <v>14846</v>
      </c>
      <c r="F130" s="17">
        <v>2000</v>
      </c>
      <c r="G130" s="18">
        <v>14205425</v>
      </c>
      <c r="H130" s="19">
        <v>80465.320000000007</v>
      </c>
      <c r="I130" s="18">
        <v>14846</v>
      </c>
      <c r="J130" s="19">
        <v>20583.78</v>
      </c>
      <c r="K130" s="19">
        <v>115895.1</v>
      </c>
      <c r="L130" s="19">
        <v>115895.1</v>
      </c>
      <c r="M130" s="19">
        <v>115895.1</v>
      </c>
      <c r="N130" s="20">
        <v>1</v>
      </c>
      <c r="O130" s="21">
        <v>0</v>
      </c>
      <c r="P130" s="21">
        <v>0</v>
      </c>
      <c r="Q130" s="17">
        <v>0.95535506999999997</v>
      </c>
      <c r="R130" s="19">
        <v>0</v>
      </c>
      <c r="S130" s="19">
        <v>115895.1</v>
      </c>
      <c r="T130" s="19">
        <v>68109.09</v>
      </c>
      <c r="U130" s="19">
        <v>184004.19</v>
      </c>
      <c r="V130" s="19">
        <v>46001.05</v>
      </c>
      <c r="W130" s="19">
        <v>86863.53</v>
      </c>
      <c r="X130" s="19">
        <v>27755.24</v>
      </c>
      <c r="Y130" s="19">
        <v>74768.33</v>
      </c>
      <c r="Z130" s="19">
        <v>18734.13</v>
      </c>
      <c r="AA130" s="19">
        <v>0</v>
      </c>
      <c r="AB130" s="19">
        <v>45574.3</v>
      </c>
      <c r="AC130" s="19">
        <v>53572.26</v>
      </c>
      <c r="AD130" s="19">
        <v>7571.21</v>
      </c>
      <c r="AE130" s="19">
        <v>7571.21</v>
      </c>
      <c r="AF130" s="19">
        <v>0</v>
      </c>
      <c r="AG130" s="19">
        <v>108323.89</v>
      </c>
      <c r="AH130" s="19">
        <v>0</v>
      </c>
    </row>
    <row r="131" spans="1:34" x14ac:dyDescent="0.25">
      <c r="A131" s="12" t="s">
        <v>38</v>
      </c>
      <c r="B131" s="17">
        <v>414</v>
      </c>
      <c r="C131" s="17">
        <v>1</v>
      </c>
      <c r="D131" s="24" t="s">
        <v>164</v>
      </c>
      <c r="E131" s="18">
        <v>2867</v>
      </c>
      <c r="F131" s="17">
        <v>2000</v>
      </c>
      <c r="G131" s="18">
        <v>3476311</v>
      </c>
      <c r="H131" s="19">
        <v>15539.14</v>
      </c>
      <c r="I131" s="18">
        <v>0</v>
      </c>
      <c r="J131" s="19">
        <v>5303.95</v>
      </c>
      <c r="K131" s="19">
        <v>20843.09</v>
      </c>
      <c r="L131" s="19">
        <v>20843.09</v>
      </c>
      <c r="M131" s="19">
        <v>20843.09</v>
      </c>
      <c r="N131" s="20">
        <v>1</v>
      </c>
      <c r="O131" s="21">
        <v>0</v>
      </c>
      <c r="P131" s="21">
        <v>0</v>
      </c>
      <c r="Q131" s="17">
        <v>0.95535506999999997</v>
      </c>
      <c r="R131" s="19">
        <v>0</v>
      </c>
      <c r="S131" s="19">
        <v>20843.09</v>
      </c>
      <c r="T131" s="19">
        <v>10749.16</v>
      </c>
      <c r="U131" s="19">
        <v>31592.25</v>
      </c>
      <c r="V131" s="19">
        <v>7898.06</v>
      </c>
      <c r="W131" s="19">
        <v>25786.68</v>
      </c>
      <c r="X131" s="19">
        <v>4146.79</v>
      </c>
      <c r="Y131" s="19">
        <v>3165.29</v>
      </c>
      <c r="Z131" s="19">
        <v>3579.82</v>
      </c>
      <c r="AA131" s="19">
        <v>0</v>
      </c>
      <c r="AB131" s="19">
        <v>2383.38</v>
      </c>
      <c r="AC131" s="19">
        <v>7869.58</v>
      </c>
      <c r="AD131" s="19">
        <v>0</v>
      </c>
      <c r="AE131" s="19">
        <v>0</v>
      </c>
      <c r="AF131" s="19">
        <v>0</v>
      </c>
      <c r="AG131" s="19">
        <v>20843.09</v>
      </c>
      <c r="AH131" s="19">
        <v>0</v>
      </c>
    </row>
    <row r="132" spans="1:34" x14ac:dyDescent="0.25">
      <c r="A132" s="12" t="s">
        <v>38</v>
      </c>
      <c r="B132" s="17">
        <v>415</v>
      </c>
      <c r="C132" s="17">
        <v>1</v>
      </c>
      <c r="D132" s="24" t="s">
        <v>165</v>
      </c>
      <c r="E132" s="18">
        <v>1007</v>
      </c>
      <c r="F132" s="17">
        <v>2000</v>
      </c>
      <c r="G132" s="18">
        <v>1742767</v>
      </c>
      <c r="H132" s="19">
        <v>7235.7</v>
      </c>
      <c r="I132" s="18">
        <v>1335</v>
      </c>
      <c r="J132" s="19">
        <v>2469.75</v>
      </c>
      <c r="K132" s="19">
        <v>11040.45</v>
      </c>
      <c r="L132" s="19">
        <v>11040.45</v>
      </c>
      <c r="M132" s="19">
        <v>11040.45</v>
      </c>
      <c r="N132" s="20">
        <v>1</v>
      </c>
      <c r="O132" s="21">
        <v>0</v>
      </c>
      <c r="P132" s="21">
        <v>0</v>
      </c>
      <c r="Q132" s="17">
        <v>0.95535506999999997</v>
      </c>
      <c r="R132" s="19">
        <v>0</v>
      </c>
      <c r="S132" s="19">
        <v>11040.45</v>
      </c>
      <c r="T132" s="19">
        <v>24504.38</v>
      </c>
      <c r="U132" s="19">
        <v>35544.83</v>
      </c>
      <c r="V132" s="19">
        <v>8886.2099999999991</v>
      </c>
      <c r="W132" s="19">
        <v>-5194.95</v>
      </c>
      <c r="X132" s="19">
        <v>0</v>
      </c>
      <c r="Y132" s="19">
        <v>-4416</v>
      </c>
      <c r="Z132" s="19">
        <v>0</v>
      </c>
      <c r="AA132" s="19">
        <v>0</v>
      </c>
      <c r="AB132" s="19">
        <v>-11524.43</v>
      </c>
      <c r="AC132" s="19">
        <v>-7045.13</v>
      </c>
      <c r="AD132" s="19">
        <v>0</v>
      </c>
      <c r="AE132" s="19">
        <v>0</v>
      </c>
      <c r="AF132" s="19">
        <v>0</v>
      </c>
      <c r="AG132" s="19">
        <v>11040.45</v>
      </c>
      <c r="AH132" s="19">
        <v>0</v>
      </c>
    </row>
    <row r="133" spans="1:34" x14ac:dyDescent="0.25">
      <c r="A133" s="12" t="s">
        <v>38</v>
      </c>
      <c r="B133" s="17">
        <v>423</v>
      </c>
      <c r="C133" s="17">
        <v>1</v>
      </c>
      <c r="D133" s="24" t="s">
        <v>166</v>
      </c>
      <c r="E133" s="18">
        <v>18049</v>
      </c>
      <c r="F133" s="17">
        <v>2005</v>
      </c>
      <c r="G133" s="18">
        <v>18279914</v>
      </c>
      <c r="H133" s="19">
        <v>97825.58</v>
      </c>
      <c r="I133" s="18">
        <v>18049</v>
      </c>
      <c r="J133" s="19">
        <v>21961.07</v>
      </c>
      <c r="K133" s="19">
        <v>137835.65</v>
      </c>
      <c r="L133" s="19">
        <v>137835.65</v>
      </c>
      <c r="M133" s="19">
        <v>137835.65</v>
      </c>
      <c r="N133" s="20">
        <v>1</v>
      </c>
      <c r="O133" s="21">
        <v>0</v>
      </c>
      <c r="P133" s="21">
        <v>0</v>
      </c>
      <c r="Q133" s="17">
        <v>0.95535506999999997</v>
      </c>
      <c r="R133" s="19">
        <v>0</v>
      </c>
      <c r="S133" s="19">
        <v>137835.65</v>
      </c>
      <c r="T133" s="19">
        <v>265108.86</v>
      </c>
      <c r="U133" s="19">
        <v>402944.51</v>
      </c>
      <c r="V133" s="19">
        <v>100736.13</v>
      </c>
      <c r="W133" s="19">
        <v>52331.9</v>
      </c>
      <c r="X133" s="19">
        <v>0</v>
      </c>
      <c r="Y133" s="19">
        <v>64319.83</v>
      </c>
      <c r="Z133" s="19">
        <v>0</v>
      </c>
      <c r="AA133" s="19">
        <v>0</v>
      </c>
      <c r="AB133" s="19">
        <v>50771.82</v>
      </c>
      <c r="AC133" s="19">
        <v>55807.85</v>
      </c>
      <c r="AD133" s="19">
        <v>0</v>
      </c>
      <c r="AE133" s="19">
        <v>0</v>
      </c>
      <c r="AF133" s="19">
        <v>0</v>
      </c>
      <c r="AG133" s="19">
        <v>137835.65</v>
      </c>
      <c r="AH133" s="19">
        <v>0</v>
      </c>
    </row>
    <row r="134" spans="1:34" x14ac:dyDescent="0.25">
      <c r="A134" s="12" t="s">
        <v>38</v>
      </c>
      <c r="B134" s="17">
        <v>424</v>
      </c>
      <c r="C134" s="17">
        <v>1</v>
      </c>
      <c r="D134" s="24" t="s">
        <v>167</v>
      </c>
      <c r="E134" s="18">
        <v>2564</v>
      </c>
      <c r="F134" s="17">
        <v>2000</v>
      </c>
      <c r="G134" s="18">
        <v>3264599</v>
      </c>
      <c r="H134" s="19">
        <v>13896.88</v>
      </c>
      <c r="I134" s="18">
        <v>2564</v>
      </c>
      <c r="J134" s="19">
        <v>4743.3999999999996</v>
      </c>
      <c r="K134" s="19">
        <v>21204.28</v>
      </c>
      <c r="L134" s="19">
        <v>21204.28</v>
      </c>
      <c r="M134" s="19">
        <v>21204.28</v>
      </c>
      <c r="N134" s="20">
        <v>1</v>
      </c>
      <c r="O134" s="21">
        <v>0</v>
      </c>
      <c r="P134" s="21">
        <v>0</v>
      </c>
      <c r="Q134" s="17">
        <v>0.95535506999999997</v>
      </c>
      <c r="R134" s="19">
        <v>0</v>
      </c>
      <c r="S134" s="19">
        <v>21204.28</v>
      </c>
      <c r="T134" s="19">
        <v>55415.8</v>
      </c>
      <c r="U134" s="19">
        <v>76620.08</v>
      </c>
      <c r="V134" s="19">
        <v>19155.02</v>
      </c>
      <c r="W134" s="19">
        <v>36147.410000000003</v>
      </c>
      <c r="X134" s="19">
        <v>10966.42</v>
      </c>
      <c r="Y134" s="19">
        <v>-3741.2</v>
      </c>
      <c r="Z134" s="19">
        <v>0</v>
      </c>
      <c r="AA134" s="19">
        <v>0</v>
      </c>
      <c r="AB134" s="19">
        <v>-18849.939999999999</v>
      </c>
      <c r="AC134" s="19">
        <v>863.28</v>
      </c>
      <c r="AD134" s="19">
        <v>0</v>
      </c>
      <c r="AE134" s="19">
        <v>0</v>
      </c>
      <c r="AF134" s="19">
        <v>0</v>
      </c>
      <c r="AG134" s="19">
        <v>21204.28</v>
      </c>
      <c r="AH134" s="19">
        <v>0</v>
      </c>
    </row>
    <row r="135" spans="1:34" x14ac:dyDescent="0.25">
      <c r="A135" s="12" t="s">
        <v>38</v>
      </c>
      <c r="B135" s="17">
        <v>432</v>
      </c>
      <c r="C135" s="17">
        <v>1</v>
      </c>
      <c r="D135" s="24" t="s">
        <v>168</v>
      </c>
      <c r="E135" s="18">
        <v>3614</v>
      </c>
      <c r="F135" s="17">
        <v>2000</v>
      </c>
      <c r="G135" s="18">
        <v>2332604</v>
      </c>
      <c r="H135" s="19">
        <v>19587.88</v>
      </c>
      <c r="I135" s="18">
        <v>3614</v>
      </c>
      <c r="J135" s="19">
        <v>6685.9</v>
      </c>
      <c r="K135" s="19">
        <v>29887.78</v>
      </c>
      <c r="L135" s="19">
        <v>20993.439999999999</v>
      </c>
      <c r="M135" s="19">
        <v>20993.439999999999</v>
      </c>
      <c r="N135" s="20">
        <v>1</v>
      </c>
      <c r="O135" s="21">
        <v>8894.34</v>
      </c>
      <c r="P135" s="21">
        <v>8894.34</v>
      </c>
      <c r="Q135" s="17">
        <v>0.95535506999999997</v>
      </c>
      <c r="R135" s="19">
        <v>8497.25</v>
      </c>
      <c r="S135" s="19">
        <v>29887.78</v>
      </c>
      <c r="T135" s="19">
        <v>36433.14</v>
      </c>
      <c r="U135" s="19">
        <v>66320.92</v>
      </c>
      <c r="V135" s="19">
        <v>16580.23</v>
      </c>
      <c r="W135" s="19">
        <v>1213.58</v>
      </c>
      <c r="X135" s="19">
        <v>0</v>
      </c>
      <c r="Y135" s="19">
        <v>1395.96</v>
      </c>
      <c r="Z135" s="19">
        <v>0</v>
      </c>
      <c r="AA135" s="19">
        <v>0</v>
      </c>
      <c r="AB135" s="19">
        <v>2126</v>
      </c>
      <c r="AC135" s="19">
        <v>1578.51</v>
      </c>
      <c r="AD135" s="19">
        <v>0</v>
      </c>
      <c r="AE135" s="19">
        <v>0</v>
      </c>
      <c r="AF135" s="19">
        <v>0</v>
      </c>
      <c r="AG135" s="19">
        <v>20993.439999999999</v>
      </c>
      <c r="AH135" s="19">
        <v>8894.34</v>
      </c>
    </row>
    <row r="136" spans="1:34" x14ac:dyDescent="0.25">
      <c r="A136" s="12" t="s">
        <v>38</v>
      </c>
      <c r="B136" s="17">
        <v>435</v>
      </c>
      <c r="C136" s="17">
        <v>1</v>
      </c>
      <c r="D136" s="24" t="s">
        <v>169</v>
      </c>
      <c r="E136" s="18">
        <v>3168</v>
      </c>
      <c r="F136" s="17">
        <v>2000</v>
      </c>
      <c r="G136" s="18">
        <v>4683200</v>
      </c>
      <c r="H136" s="19">
        <v>17170.560000000001</v>
      </c>
      <c r="I136" s="18">
        <v>0</v>
      </c>
      <c r="J136" s="19">
        <v>0</v>
      </c>
      <c r="K136" s="19">
        <v>17170.560000000001</v>
      </c>
      <c r="L136" s="19">
        <v>17170.560000000001</v>
      </c>
      <c r="M136" s="19">
        <v>17170.560000000001</v>
      </c>
      <c r="N136" s="20">
        <v>1</v>
      </c>
      <c r="O136" s="21">
        <v>0</v>
      </c>
      <c r="P136" s="21">
        <v>0</v>
      </c>
      <c r="Q136" s="17">
        <v>0.95535506999999997</v>
      </c>
      <c r="R136" s="19">
        <v>0</v>
      </c>
      <c r="S136" s="19">
        <v>17170.560000000001</v>
      </c>
      <c r="T136" s="19">
        <v>15430.26</v>
      </c>
      <c r="U136" s="19">
        <v>32600.82</v>
      </c>
      <c r="V136" s="19">
        <v>8150.21</v>
      </c>
      <c r="W136" s="19">
        <v>-70799.64</v>
      </c>
      <c r="X136" s="19">
        <v>0</v>
      </c>
      <c r="Y136" s="19">
        <v>-77396.08</v>
      </c>
      <c r="Z136" s="19">
        <v>0</v>
      </c>
      <c r="AA136" s="19">
        <v>0</v>
      </c>
      <c r="AB136" s="19">
        <v>-80983.710000000006</v>
      </c>
      <c r="AC136" s="19">
        <v>-76393.14</v>
      </c>
      <c r="AD136" s="19">
        <v>0</v>
      </c>
      <c r="AE136" s="19">
        <v>0</v>
      </c>
      <c r="AF136" s="19">
        <v>0</v>
      </c>
      <c r="AG136" s="19">
        <v>17170.560000000001</v>
      </c>
      <c r="AH136" s="19">
        <v>0</v>
      </c>
    </row>
    <row r="137" spans="1:34" x14ac:dyDescent="0.25">
      <c r="A137" s="12" t="s">
        <v>38</v>
      </c>
      <c r="B137" s="17">
        <v>441</v>
      </c>
      <c r="C137" s="17">
        <v>1</v>
      </c>
      <c r="D137" s="24" t="s">
        <v>170</v>
      </c>
      <c r="E137" s="18">
        <v>1902</v>
      </c>
      <c r="F137" s="17">
        <v>2000</v>
      </c>
      <c r="G137" s="18">
        <v>2467835</v>
      </c>
      <c r="H137" s="19">
        <v>10308.84</v>
      </c>
      <c r="I137" s="18">
        <v>1902</v>
      </c>
      <c r="J137" s="19">
        <v>0</v>
      </c>
      <c r="K137" s="19">
        <v>12210.84</v>
      </c>
      <c r="L137" s="19">
        <v>12210.84</v>
      </c>
      <c r="M137" s="19">
        <v>12210.84</v>
      </c>
      <c r="N137" s="20">
        <v>1</v>
      </c>
      <c r="O137" s="21">
        <v>0</v>
      </c>
      <c r="P137" s="21">
        <v>0</v>
      </c>
      <c r="Q137" s="17">
        <v>0.95535506999999997</v>
      </c>
      <c r="R137" s="19">
        <v>0</v>
      </c>
      <c r="S137" s="19">
        <v>12210.84</v>
      </c>
      <c r="T137" s="19">
        <v>15390.53</v>
      </c>
      <c r="U137" s="19">
        <v>27601.37</v>
      </c>
      <c r="V137" s="19">
        <v>6900.34</v>
      </c>
      <c r="W137" s="19">
        <v>1.35</v>
      </c>
      <c r="X137" s="19">
        <v>0</v>
      </c>
      <c r="Y137" s="19">
        <v>0.09</v>
      </c>
      <c r="Z137" s="19">
        <v>0</v>
      </c>
      <c r="AA137" s="19">
        <v>0</v>
      </c>
      <c r="AB137" s="19">
        <v>0.67</v>
      </c>
      <c r="AC137" s="19">
        <v>0.7</v>
      </c>
      <c r="AD137" s="19">
        <v>0</v>
      </c>
      <c r="AE137" s="19">
        <v>0</v>
      </c>
      <c r="AF137" s="19">
        <v>0</v>
      </c>
      <c r="AG137" s="19">
        <v>12210.84</v>
      </c>
      <c r="AH137" s="19">
        <v>0</v>
      </c>
    </row>
    <row r="138" spans="1:34" x14ac:dyDescent="0.25">
      <c r="A138" s="12" t="s">
        <v>38</v>
      </c>
      <c r="B138" s="17">
        <v>447</v>
      </c>
      <c r="C138" s="17">
        <v>1</v>
      </c>
      <c r="D138" s="24" t="s">
        <v>171</v>
      </c>
      <c r="E138" s="18">
        <v>1126</v>
      </c>
      <c r="F138" s="17">
        <v>2000</v>
      </c>
      <c r="G138" s="18">
        <v>1185829</v>
      </c>
      <c r="H138" s="19">
        <v>7235.7</v>
      </c>
      <c r="I138" s="18">
        <v>1335</v>
      </c>
      <c r="J138" s="19">
        <v>0</v>
      </c>
      <c r="K138" s="19">
        <v>8570.7000000000007</v>
      </c>
      <c r="L138" s="19">
        <v>8570.7000000000007</v>
      </c>
      <c r="M138" s="19">
        <v>8570.7000000000007</v>
      </c>
      <c r="N138" s="20">
        <v>1</v>
      </c>
      <c r="O138" s="21">
        <v>0</v>
      </c>
      <c r="P138" s="21">
        <v>0</v>
      </c>
      <c r="Q138" s="17">
        <v>0.95535506999999997</v>
      </c>
      <c r="R138" s="19">
        <v>0</v>
      </c>
      <c r="S138" s="19">
        <v>8570.7000000000007</v>
      </c>
      <c r="T138" s="19">
        <v>8755.52</v>
      </c>
      <c r="U138" s="19">
        <v>17326.22</v>
      </c>
      <c r="V138" s="19">
        <v>4331.5600000000004</v>
      </c>
      <c r="W138" s="19">
        <v>1909.36</v>
      </c>
      <c r="X138" s="19">
        <v>0</v>
      </c>
      <c r="Y138" s="19">
        <v>1134.03</v>
      </c>
      <c r="Z138" s="19">
        <v>0</v>
      </c>
      <c r="AA138" s="19">
        <v>0</v>
      </c>
      <c r="AB138" s="19">
        <v>770.19</v>
      </c>
      <c r="AC138" s="19">
        <v>1271.19</v>
      </c>
      <c r="AD138" s="19">
        <v>0</v>
      </c>
      <c r="AE138" s="19">
        <v>0</v>
      </c>
      <c r="AF138" s="19">
        <v>0</v>
      </c>
      <c r="AG138" s="19">
        <v>8570.7000000000007</v>
      </c>
      <c r="AH138" s="19">
        <v>0</v>
      </c>
    </row>
    <row r="139" spans="1:34" x14ac:dyDescent="0.25">
      <c r="A139" s="12" t="s">
        <v>38</v>
      </c>
      <c r="B139" s="17">
        <v>458</v>
      </c>
      <c r="C139" s="17">
        <v>1</v>
      </c>
      <c r="D139" s="24" t="s">
        <v>172</v>
      </c>
      <c r="E139" s="18">
        <v>2706</v>
      </c>
      <c r="F139" s="17">
        <v>2000</v>
      </c>
      <c r="G139" s="18">
        <v>3982798</v>
      </c>
      <c r="H139" s="19">
        <v>14666.52</v>
      </c>
      <c r="I139" s="18">
        <v>2706</v>
      </c>
      <c r="J139" s="19">
        <v>5006.1000000000004</v>
      </c>
      <c r="K139" s="19">
        <v>22378.62</v>
      </c>
      <c r="L139" s="19">
        <v>22378.62</v>
      </c>
      <c r="M139" s="19">
        <v>22378.62</v>
      </c>
      <c r="N139" s="20">
        <v>1</v>
      </c>
      <c r="O139" s="21">
        <v>0</v>
      </c>
      <c r="P139" s="21">
        <v>0</v>
      </c>
      <c r="Q139" s="17">
        <v>0.95535506999999997</v>
      </c>
      <c r="R139" s="19">
        <v>0</v>
      </c>
      <c r="S139" s="19">
        <v>22378.62</v>
      </c>
      <c r="T139" s="19">
        <v>17694.21</v>
      </c>
      <c r="U139" s="19">
        <v>40072.83</v>
      </c>
      <c r="V139" s="19">
        <v>10018.209999999999</v>
      </c>
      <c r="W139" s="19">
        <v>10419.450000000001</v>
      </c>
      <c r="X139" s="19">
        <v>2554.96</v>
      </c>
      <c r="Y139" s="19">
        <v>7906.99</v>
      </c>
      <c r="Z139" s="19">
        <v>0</v>
      </c>
      <c r="AA139" s="19">
        <v>0</v>
      </c>
      <c r="AB139" s="19">
        <v>12517.72</v>
      </c>
      <c r="AC139" s="19">
        <v>9429.73</v>
      </c>
      <c r="AD139" s="19">
        <v>0</v>
      </c>
      <c r="AE139" s="19">
        <v>0</v>
      </c>
      <c r="AF139" s="19">
        <v>0</v>
      </c>
      <c r="AG139" s="19">
        <v>22378.62</v>
      </c>
      <c r="AH139" s="19">
        <v>0</v>
      </c>
    </row>
    <row r="140" spans="1:34" x14ac:dyDescent="0.25">
      <c r="A140" s="12" t="s">
        <v>38</v>
      </c>
      <c r="B140" s="17">
        <v>463</v>
      </c>
      <c r="C140" s="17">
        <v>1</v>
      </c>
      <c r="D140" s="24" t="s">
        <v>173</v>
      </c>
      <c r="E140" s="18">
        <v>4579</v>
      </c>
      <c r="F140" s="17">
        <v>2000</v>
      </c>
      <c r="G140" s="18">
        <v>5748566</v>
      </c>
      <c r="H140" s="19">
        <v>24818.18</v>
      </c>
      <c r="I140" s="18">
        <v>4579</v>
      </c>
      <c r="J140" s="19">
        <v>8471.15</v>
      </c>
      <c r="K140" s="19">
        <v>37868.33</v>
      </c>
      <c r="L140" s="19">
        <v>37868.33</v>
      </c>
      <c r="M140" s="19">
        <v>37868.33</v>
      </c>
      <c r="N140" s="20">
        <v>1</v>
      </c>
      <c r="O140" s="21">
        <v>0</v>
      </c>
      <c r="P140" s="21">
        <v>0</v>
      </c>
      <c r="Q140" s="17">
        <v>0.95535506999999997</v>
      </c>
      <c r="R140" s="19">
        <v>0</v>
      </c>
      <c r="S140" s="19">
        <v>37868.33</v>
      </c>
      <c r="T140" s="19">
        <v>230358.97</v>
      </c>
      <c r="U140" s="19">
        <v>268227.3</v>
      </c>
      <c r="V140" s="19">
        <v>67056.83</v>
      </c>
      <c r="W140" s="19">
        <v>-24516.47</v>
      </c>
      <c r="X140" s="19">
        <v>0</v>
      </c>
      <c r="Y140" s="19">
        <v>-8871.34</v>
      </c>
      <c r="Z140" s="19">
        <v>0</v>
      </c>
      <c r="AA140" s="19">
        <v>0</v>
      </c>
      <c r="AB140" s="19">
        <v>-8576.51</v>
      </c>
      <c r="AC140" s="19">
        <v>-13988.11</v>
      </c>
      <c r="AD140" s="19">
        <v>0</v>
      </c>
      <c r="AE140" s="19">
        <v>0</v>
      </c>
      <c r="AF140" s="19">
        <v>0</v>
      </c>
      <c r="AG140" s="19">
        <v>37868.33</v>
      </c>
      <c r="AH140" s="19">
        <v>0</v>
      </c>
    </row>
    <row r="141" spans="1:34" x14ac:dyDescent="0.25">
      <c r="A141" s="12" t="s">
        <v>38</v>
      </c>
      <c r="B141" s="17">
        <v>465</v>
      </c>
      <c r="C141" s="17">
        <v>1</v>
      </c>
      <c r="D141" s="24" t="s">
        <v>174</v>
      </c>
      <c r="E141" s="18">
        <v>11379</v>
      </c>
      <c r="F141" s="17">
        <v>2000</v>
      </c>
      <c r="G141" s="18">
        <v>12896560</v>
      </c>
      <c r="H141" s="19">
        <v>61674.18</v>
      </c>
      <c r="I141" s="18">
        <v>11379</v>
      </c>
      <c r="J141" s="19">
        <v>19092.97</v>
      </c>
      <c r="K141" s="19">
        <v>92146.15</v>
      </c>
      <c r="L141" s="19">
        <v>92146.15</v>
      </c>
      <c r="M141" s="19">
        <v>92146.15</v>
      </c>
      <c r="N141" s="20">
        <v>1</v>
      </c>
      <c r="O141" s="21">
        <v>0</v>
      </c>
      <c r="P141" s="21">
        <v>0</v>
      </c>
      <c r="Q141" s="17">
        <v>0.95535506999999997</v>
      </c>
      <c r="R141" s="19">
        <v>0</v>
      </c>
      <c r="S141" s="19">
        <v>92146.15</v>
      </c>
      <c r="T141" s="19">
        <v>318046.96999999997</v>
      </c>
      <c r="U141" s="19">
        <v>410193.12</v>
      </c>
      <c r="V141" s="19">
        <v>102548.28</v>
      </c>
      <c r="W141" s="19">
        <v>28290.21</v>
      </c>
      <c r="X141" s="19">
        <v>0</v>
      </c>
      <c r="Y141" s="19">
        <v>21520.27</v>
      </c>
      <c r="Z141" s="19">
        <v>0</v>
      </c>
      <c r="AA141" s="19">
        <v>0</v>
      </c>
      <c r="AB141" s="19">
        <v>16847.88</v>
      </c>
      <c r="AC141" s="19">
        <v>22219.45</v>
      </c>
      <c r="AD141" s="19">
        <v>0</v>
      </c>
      <c r="AE141" s="19">
        <v>0</v>
      </c>
      <c r="AF141" s="19">
        <v>0</v>
      </c>
      <c r="AG141" s="19">
        <v>92146.15</v>
      </c>
      <c r="AH141" s="19">
        <v>0</v>
      </c>
    </row>
    <row r="142" spans="1:34" x14ac:dyDescent="0.25">
      <c r="A142" s="12" t="s">
        <v>38</v>
      </c>
      <c r="B142" s="17">
        <v>466</v>
      </c>
      <c r="C142" s="17">
        <v>1</v>
      </c>
      <c r="D142" s="24" t="s">
        <v>175</v>
      </c>
      <c r="E142" s="18">
        <v>9916</v>
      </c>
      <c r="F142" s="17">
        <v>2008</v>
      </c>
      <c r="G142" s="18">
        <v>12115625</v>
      </c>
      <c r="H142" s="19">
        <v>53744.72</v>
      </c>
      <c r="I142" s="18">
        <v>9916</v>
      </c>
      <c r="J142" s="19">
        <v>18344.599999999999</v>
      </c>
      <c r="K142" s="19">
        <v>82005.320000000007</v>
      </c>
      <c r="L142" s="19">
        <v>82005.320000000007</v>
      </c>
      <c r="M142" s="19">
        <v>82005.320000000007</v>
      </c>
      <c r="N142" s="20">
        <v>1</v>
      </c>
      <c r="O142" s="21">
        <v>0</v>
      </c>
      <c r="P142" s="21">
        <v>0</v>
      </c>
      <c r="Q142" s="17">
        <v>0.95535506999999997</v>
      </c>
      <c r="R142" s="19">
        <v>0</v>
      </c>
      <c r="S142" s="19">
        <v>82005.320000000007</v>
      </c>
      <c r="T142" s="19">
        <v>331828.8</v>
      </c>
      <c r="U142" s="19">
        <v>413834.12</v>
      </c>
      <c r="V142" s="19">
        <v>103458.53</v>
      </c>
      <c r="W142" s="19">
        <v>72408.33</v>
      </c>
      <c r="X142" s="19">
        <v>0</v>
      </c>
      <c r="Y142" s="19">
        <v>118227.1</v>
      </c>
      <c r="Z142" s="19">
        <v>0</v>
      </c>
      <c r="AA142" s="19">
        <v>0</v>
      </c>
      <c r="AB142" s="19">
        <v>110371.62</v>
      </c>
      <c r="AC142" s="19">
        <v>100335.67999999999</v>
      </c>
      <c r="AD142" s="19">
        <v>0</v>
      </c>
      <c r="AE142" s="19">
        <v>0</v>
      </c>
      <c r="AF142" s="19">
        <v>0</v>
      </c>
      <c r="AG142" s="19">
        <v>82005.320000000007</v>
      </c>
      <c r="AH142" s="19">
        <v>0</v>
      </c>
    </row>
    <row r="143" spans="1:34" x14ac:dyDescent="0.25">
      <c r="A143" s="12" t="s">
        <v>38</v>
      </c>
      <c r="B143" s="17">
        <v>473</v>
      </c>
      <c r="C143" s="17">
        <v>1</v>
      </c>
      <c r="D143" s="24" t="s">
        <v>176</v>
      </c>
      <c r="E143" s="18">
        <v>3426</v>
      </c>
      <c r="F143" s="17">
        <v>2000</v>
      </c>
      <c r="G143" s="18">
        <v>7092398</v>
      </c>
      <c r="H143" s="19">
        <v>18568.919999999998</v>
      </c>
      <c r="I143" s="18">
        <v>3426</v>
      </c>
      <c r="J143" s="19">
        <v>6338.1</v>
      </c>
      <c r="K143" s="19">
        <v>28333.02</v>
      </c>
      <c r="L143" s="19">
        <v>28333.02</v>
      </c>
      <c r="M143" s="19">
        <v>28333.02</v>
      </c>
      <c r="N143" s="20">
        <v>1</v>
      </c>
      <c r="O143" s="21">
        <v>0</v>
      </c>
      <c r="P143" s="21">
        <v>0</v>
      </c>
      <c r="Q143" s="17">
        <v>0.95535506999999997</v>
      </c>
      <c r="R143" s="19">
        <v>0</v>
      </c>
      <c r="S143" s="19">
        <v>28333.02</v>
      </c>
      <c r="T143" s="19">
        <v>136119.96</v>
      </c>
      <c r="U143" s="19">
        <v>164452.98000000001</v>
      </c>
      <c r="V143" s="19">
        <v>41113.25</v>
      </c>
      <c r="W143" s="19">
        <v>-2267.12</v>
      </c>
      <c r="X143" s="19">
        <v>0</v>
      </c>
      <c r="Y143" s="19">
        <v>-6677.04</v>
      </c>
      <c r="Z143" s="19">
        <v>0</v>
      </c>
      <c r="AA143" s="19">
        <v>0</v>
      </c>
      <c r="AB143" s="19">
        <v>4632.6400000000003</v>
      </c>
      <c r="AC143" s="19">
        <v>-1437.17</v>
      </c>
      <c r="AD143" s="19">
        <v>0</v>
      </c>
      <c r="AE143" s="19">
        <v>0</v>
      </c>
      <c r="AF143" s="19">
        <v>0</v>
      </c>
      <c r="AG143" s="19">
        <v>28333.02</v>
      </c>
      <c r="AH143" s="19">
        <v>0</v>
      </c>
    </row>
    <row r="144" spans="1:34" x14ac:dyDescent="0.25">
      <c r="A144" s="12" t="s">
        <v>38</v>
      </c>
      <c r="B144" s="17">
        <v>477</v>
      </c>
      <c r="C144" s="17">
        <v>1</v>
      </c>
      <c r="D144" s="24" t="s">
        <v>177</v>
      </c>
      <c r="E144" s="18">
        <v>20087</v>
      </c>
      <c r="F144" s="17">
        <v>2004</v>
      </c>
      <c r="G144" s="18">
        <v>21323886</v>
      </c>
      <c r="H144" s="19">
        <v>108871.54</v>
      </c>
      <c r="I144" s="18">
        <v>20087</v>
      </c>
      <c r="J144" s="19">
        <v>22837.41</v>
      </c>
      <c r="K144" s="19">
        <v>151795.95000000001</v>
      </c>
      <c r="L144" s="19">
        <v>151795.95000000001</v>
      </c>
      <c r="M144" s="19">
        <v>151795.95000000001</v>
      </c>
      <c r="N144" s="20">
        <v>1</v>
      </c>
      <c r="O144" s="21">
        <v>0</v>
      </c>
      <c r="P144" s="21">
        <v>0</v>
      </c>
      <c r="Q144" s="17">
        <v>0.95535506999999997</v>
      </c>
      <c r="R144" s="19">
        <v>0</v>
      </c>
      <c r="S144" s="19">
        <v>151795.95000000001</v>
      </c>
      <c r="T144" s="19">
        <v>626101.61</v>
      </c>
      <c r="U144" s="19">
        <v>777897.56</v>
      </c>
      <c r="V144" s="19">
        <v>194474.39</v>
      </c>
      <c r="W144" s="19">
        <v>292764.45</v>
      </c>
      <c r="X144" s="19">
        <v>0</v>
      </c>
      <c r="Y144" s="19">
        <v>243734.07</v>
      </c>
      <c r="Z144" s="19">
        <v>0</v>
      </c>
      <c r="AA144" s="19">
        <v>0</v>
      </c>
      <c r="AB144" s="19">
        <v>44231.65</v>
      </c>
      <c r="AC144" s="19">
        <v>193576.72</v>
      </c>
      <c r="AD144" s="19">
        <v>0</v>
      </c>
      <c r="AE144" s="19">
        <v>0</v>
      </c>
      <c r="AF144" s="19">
        <v>0</v>
      </c>
      <c r="AG144" s="19">
        <v>151795.95000000001</v>
      </c>
      <c r="AH144" s="19">
        <v>0</v>
      </c>
    </row>
    <row r="145" spans="1:34" x14ac:dyDescent="0.25">
      <c r="A145" s="12" t="s">
        <v>38</v>
      </c>
      <c r="B145" s="17">
        <v>480</v>
      </c>
      <c r="C145" s="17">
        <v>1</v>
      </c>
      <c r="D145" s="24" t="s">
        <v>178</v>
      </c>
      <c r="E145" s="18">
        <v>5379</v>
      </c>
      <c r="F145" s="17">
        <v>2000</v>
      </c>
      <c r="G145" s="18">
        <v>9669556</v>
      </c>
      <c r="H145" s="19">
        <v>29154.18</v>
      </c>
      <c r="I145" s="18">
        <v>5379</v>
      </c>
      <c r="J145" s="19">
        <v>9951.15</v>
      </c>
      <c r="K145" s="19">
        <v>44484.33</v>
      </c>
      <c r="L145" s="19">
        <v>44484.33</v>
      </c>
      <c r="M145" s="19">
        <v>44484.33</v>
      </c>
      <c r="N145" s="20">
        <v>1</v>
      </c>
      <c r="O145" s="21">
        <v>0</v>
      </c>
      <c r="P145" s="21">
        <v>0</v>
      </c>
      <c r="Q145" s="17">
        <v>0.95535506999999997</v>
      </c>
      <c r="R145" s="19">
        <v>0</v>
      </c>
      <c r="S145" s="19">
        <v>44484.33</v>
      </c>
      <c r="T145" s="19">
        <v>502669.36</v>
      </c>
      <c r="U145" s="19">
        <v>547153.68999999994</v>
      </c>
      <c r="V145" s="19">
        <v>136788.42000000001</v>
      </c>
      <c r="W145" s="19">
        <v>-41358.120000000003</v>
      </c>
      <c r="X145" s="19">
        <v>0</v>
      </c>
      <c r="Y145" s="19">
        <v>-34177.279999999999</v>
      </c>
      <c r="Z145" s="19">
        <v>0</v>
      </c>
      <c r="AA145" s="19">
        <v>0</v>
      </c>
      <c r="AB145" s="19">
        <v>-44675.31</v>
      </c>
      <c r="AC145" s="19">
        <v>-40070.239999999998</v>
      </c>
      <c r="AD145" s="19">
        <v>0</v>
      </c>
      <c r="AE145" s="19">
        <v>0</v>
      </c>
      <c r="AF145" s="19">
        <v>0</v>
      </c>
      <c r="AG145" s="19">
        <v>44484.33</v>
      </c>
      <c r="AH145" s="19">
        <v>0</v>
      </c>
    </row>
    <row r="146" spans="1:34" x14ac:dyDescent="0.25">
      <c r="A146" s="12" t="s">
        <v>38</v>
      </c>
      <c r="B146" s="17">
        <v>482</v>
      </c>
      <c r="C146" s="17">
        <v>1</v>
      </c>
      <c r="D146" s="24" t="s">
        <v>179</v>
      </c>
      <c r="E146" s="18">
        <v>17088</v>
      </c>
      <c r="F146" s="17">
        <v>2000</v>
      </c>
      <c r="G146" s="18">
        <v>14851982</v>
      </c>
      <c r="H146" s="19">
        <v>92616.960000000006</v>
      </c>
      <c r="I146" s="18">
        <v>17088</v>
      </c>
      <c r="J146" s="19">
        <v>21547.84</v>
      </c>
      <c r="K146" s="19">
        <v>131252.79999999999</v>
      </c>
      <c r="L146" s="19">
        <v>131252.79999999999</v>
      </c>
      <c r="M146" s="19">
        <v>131252.79999999999</v>
      </c>
      <c r="N146" s="20">
        <v>1</v>
      </c>
      <c r="O146" s="21">
        <v>0</v>
      </c>
      <c r="P146" s="21">
        <v>0</v>
      </c>
      <c r="Q146" s="17">
        <v>0.95535506999999997</v>
      </c>
      <c r="R146" s="19">
        <v>0</v>
      </c>
      <c r="S146" s="19">
        <v>131252.79999999999</v>
      </c>
      <c r="T146" s="19">
        <v>391152.62</v>
      </c>
      <c r="U146" s="19">
        <v>522405.42</v>
      </c>
      <c r="V146" s="19">
        <v>130601.36</v>
      </c>
      <c r="W146" s="19">
        <v>96930.86</v>
      </c>
      <c r="X146" s="19">
        <v>0</v>
      </c>
      <c r="Y146" s="19">
        <v>68566.23</v>
      </c>
      <c r="Z146" s="19">
        <v>0</v>
      </c>
      <c r="AA146" s="19">
        <v>0</v>
      </c>
      <c r="AB146" s="19">
        <v>56403.01</v>
      </c>
      <c r="AC146" s="19">
        <v>73966.7</v>
      </c>
      <c r="AD146" s="19">
        <v>0</v>
      </c>
      <c r="AE146" s="19">
        <v>0</v>
      </c>
      <c r="AF146" s="19">
        <v>0</v>
      </c>
      <c r="AG146" s="19">
        <v>131252.79999999999</v>
      </c>
      <c r="AH146" s="19">
        <v>0</v>
      </c>
    </row>
    <row r="147" spans="1:34" x14ac:dyDescent="0.25">
      <c r="A147" s="12" t="s">
        <v>38</v>
      </c>
      <c r="B147" s="17">
        <v>484</v>
      </c>
      <c r="C147" s="17">
        <v>1</v>
      </c>
      <c r="D147" s="24" t="s">
        <v>180</v>
      </c>
      <c r="E147" s="18">
        <v>5027</v>
      </c>
      <c r="F147" s="17">
        <v>2000</v>
      </c>
      <c r="G147" s="18">
        <v>5326105</v>
      </c>
      <c r="H147" s="19">
        <v>27246.34</v>
      </c>
      <c r="I147" s="18">
        <v>5027</v>
      </c>
      <c r="J147" s="19">
        <v>9299.9500000000007</v>
      </c>
      <c r="K147" s="19">
        <v>41573.29</v>
      </c>
      <c r="L147" s="19">
        <v>41573.29</v>
      </c>
      <c r="M147" s="19">
        <v>41573.29</v>
      </c>
      <c r="N147" s="20">
        <v>1</v>
      </c>
      <c r="O147" s="21">
        <v>0</v>
      </c>
      <c r="P147" s="21">
        <v>0</v>
      </c>
      <c r="Q147" s="17">
        <v>0.95535506999999997</v>
      </c>
      <c r="R147" s="19">
        <v>0</v>
      </c>
      <c r="S147" s="19">
        <v>41573.29</v>
      </c>
      <c r="T147" s="19">
        <v>69788.58</v>
      </c>
      <c r="U147" s="19">
        <v>111361.87</v>
      </c>
      <c r="V147" s="19">
        <v>27840.47</v>
      </c>
      <c r="W147" s="19">
        <v>28815.62</v>
      </c>
      <c r="X147" s="19">
        <v>0</v>
      </c>
      <c r="Y147" s="19">
        <v>40448.78</v>
      </c>
      <c r="Z147" s="19">
        <v>7776.33</v>
      </c>
      <c r="AA147" s="19">
        <v>0</v>
      </c>
      <c r="AB147" s="19">
        <v>21494.91</v>
      </c>
      <c r="AC147" s="19">
        <v>27660.99</v>
      </c>
      <c r="AD147" s="19">
        <v>0</v>
      </c>
      <c r="AE147" s="19">
        <v>0</v>
      </c>
      <c r="AF147" s="19">
        <v>0</v>
      </c>
      <c r="AG147" s="19">
        <v>41573.29</v>
      </c>
      <c r="AH147" s="19">
        <v>0</v>
      </c>
    </row>
    <row r="148" spans="1:34" x14ac:dyDescent="0.25">
      <c r="A148" s="12" t="s">
        <v>38</v>
      </c>
      <c r="B148" s="17">
        <v>485</v>
      </c>
      <c r="C148" s="17">
        <v>1</v>
      </c>
      <c r="D148" s="24" t="s">
        <v>181</v>
      </c>
      <c r="E148" s="18">
        <v>3258</v>
      </c>
      <c r="F148" s="17">
        <v>2000</v>
      </c>
      <c r="G148" s="18">
        <v>3775421</v>
      </c>
      <c r="H148" s="19">
        <v>17658.36</v>
      </c>
      <c r="I148" s="18">
        <v>3258</v>
      </c>
      <c r="J148" s="19">
        <v>6027.3</v>
      </c>
      <c r="K148" s="19">
        <v>26943.66</v>
      </c>
      <c r="L148" s="19">
        <v>26943.66</v>
      </c>
      <c r="M148" s="19">
        <v>26943.66</v>
      </c>
      <c r="N148" s="20">
        <v>1</v>
      </c>
      <c r="O148" s="21">
        <v>0</v>
      </c>
      <c r="P148" s="21">
        <v>0</v>
      </c>
      <c r="Q148" s="17">
        <v>0.95535506999999997</v>
      </c>
      <c r="R148" s="19">
        <v>0</v>
      </c>
      <c r="S148" s="19">
        <v>26943.66</v>
      </c>
      <c r="T148" s="19">
        <v>48691.92</v>
      </c>
      <c r="U148" s="19">
        <v>75635.58</v>
      </c>
      <c r="V148" s="19">
        <v>18908.900000000001</v>
      </c>
      <c r="W148" s="19">
        <v>7944.31</v>
      </c>
      <c r="X148" s="19">
        <v>0</v>
      </c>
      <c r="Y148" s="19">
        <v>7705.27</v>
      </c>
      <c r="Z148" s="19">
        <v>0</v>
      </c>
      <c r="AA148" s="19">
        <v>0</v>
      </c>
      <c r="AB148" s="19">
        <v>45144.23</v>
      </c>
      <c r="AC148" s="19">
        <v>20264.599999999999</v>
      </c>
      <c r="AD148" s="19">
        <v>1355.7</v>
      </c>
      <c r="AE148" s="19">
        <v>1355.7</v>
      </c>
      <c r="AF148" s="19">
        <v>0</v>
      </c>
      <c r="AG148" s="19">
        <v>25587.96</v>
      </c>
      <c r="AH148" s="19">
        <v>0</v>
      </c>
    </row>
    <row r="149" spans="1:34" x14ac:dyDescent="0.25">
      <c r="A149" s="12" t="s">
        <v>38</v>
      </c>
      <c r="B149" s="17">
        <v>486</v>
      </c>
      <c r="C149" s="17">
        <v>1</v>
      </c>
      <c r="D149" s="24" t="s">
        <v>182</v>
      </c>
      <c r="E149" s="18">
        <v>1845</v>
      </c>
      <c r="F149" s="17">
        <v>2000</v>
      </c>
      <c r="G149" s="18">
        <v>2200187</v>
      </c>
      <c r="H149" s="19">
        <v>9999.9</v>
      </c>
      <c r="I149" s="18">
        <v>0</v>
      </c>
      <c r="J149" s="19">
        <v>3413.25</v>
      </c>
      <c r="K149" s="19">
        <v>13413.15</v>
      </c>
      <c r="L149" s="19">
        <v>13413.15</v>
      </c>
      <c r="M149" s="19">
        <v>13413.15</v>
      </c>
      <c r="N149" s="20">
        <v>1</v>
      </c>
      <c r="O149" s="21">
        <v>0</v>
      </c>
      <c r="P149" s="21">
        <v>0</v>
      </c>
      <c r="Q149" s="17">
        <v>0.95535506999999997</v>
      </c>
      <c r="R149" s="19">
        <v>0</v>
      </c>
      <c r="S149" s="19">
        <v>13413.15</v>
      </c>
      <c r="T149" s="19">
        <v>2551.06</v>
      </c>
      <c r="U149" s="19">
        <v>15964.21</v>
      </c>
      <c r="V149" s="19">
        <v>3991.05</v>
      </c>
      <c r="W149" s="19">
        <v>-2401.9699999999998</v>
      </c>
      <c r="X149" s="19">
        <v>0</v>
      </c>
      <c r="Y149" s="19">
        <v>-287.68</v>
      </c>
      <c r="Z149" s="19">
        <v>0</v>
      </c>
      <c r="AA149" s="19">
        <v>0</v>
      </c>
      <c r="AB149" s="19">
        <v>32.07</v>
      </c>
      <c r="AC149" s="19">
        <v>-885.86</v>
      </c>
      <c r="AD149" s="19">
        <v>0</v>
      </c>
      <c r="AE149" s="19">
        <v>0</v>
      </c>
      <c r="AF149" s="19">
        <v>0</v>
      </c>
      <c r="AG149" s="19">
        <v>13413.15</v>
      </c>
      <c r="AH149" s="19">
        <v>0</v>
      </c>
    </row>
    <row r="150" spans="1:34" x14ac:dyDescent="0.25">
      <c r="A150" s="12" t="s">
        <v>38</v>
      </c>
      <c r="B150" s="17">
        <v>487</v>
      </c>
      <c r="C150" s="17">
        <v>1</v>
      </c>
      <c r="D150" s="24" t="s">
        <v>183</v>
      </c>
      <c r="E150" s="18">
        <v>1869</v>
      </c>
      <c r="F150" s="17">
        <v>2000</v>
      </c>
      <c r="G150" s="18">
        <v>1825780</v>
      </c>
      <c r="H150" s="19">
        <v>10129.98</v>
      </c>
      <c r="I150" s="18">
        <v>1869</v>
      </c>
      <c r="J150" s="19">
        <v>3457.65</v>
      </c>
      <c r="K150" s="19">
        <v>15456.63</v>
      </c>
      <c r="L150" s="19">
        <v>15456.63</v>
      </c>
      <c r="M150" s="19">
        <v>15456.63</v>
      </c>
      <c r="N150" s="20">
        <v>1</v>
      </c>
      <c r="O150" s="21">
        <v>0</v>
      </c>
      <c r="P150" s="21">
        <v>0</v>
      </c>
      <c r="Q150" s="17">
        <v>0.95535506999999997</v>
      </c>
      <c r="R150" s="19">
        <v>0</v>
      </c>
      <c r="S150" s="19">
        <v>15456.63</v>
      </c>
      <c r="T150" s="19">
        <v>17962.43</v>
      </c>
      <c r="U150" s="19">
        <v>33419.06</v>
      </c>
      <c r="V150" s="19">
        <v>8354.77</v>
      </c>
      <c r="W150" s="19">
        <v>-11278.91</v>
      </c>
      <c r="X150" s="19">
        <v>0</v>
      </c>
      <c r="Y150" s="19">
        <v>-7778.24</v>
      </c>
      <c r="Z150" s="19">
        <v>0</v>
      </c>
      <c r="AA150" s="19">
        <v>0</v>
      </c>
      <c r="AB150" s="19">
        <v>-11132.2</v>
      </c>
      <c r="AC150" s="19">
        <v>-10063.120000000001</v>
      </c>
      <c r="AD150" s="19">
        <v>0</v>
      </c>
      <c r="AE150" s="19">
        <v>0</v>
      </c>
      <c r="AF150" s="19">
        <v>0</v>
      </c>
      <c r="AG150" s="19">
        <v>15456.63</v>
      </c>
      <c r="AH150" s="19">
        <v>0</v>
      </c>
    </row>
    <row r="151" spans="1:34" x14ac:dyDescent="0.25">
      <c r="A151" s="12" t="s">
        <v>38</v>
      </c>
      <c r="B151" s="17">
        <v>492</v>
      </c>
      <c r="C151" s="17">
        <v>1</v>
      </c>
      <c r="D151" s="24" t="s">
        <v>184</v>
      </c>
      <c r="E151" s="18">
        <v>27510</v>
      </c>
      <c r="F151" s="17">
        <v>2000</v>
      </c>
      <c r="G151" s="18">
        <v>17167484</v>
      </c>
      <c r="H151" s="19">
        <v>149104.20000000001</v>
      </c>
      <c r="I151" s="18">
        <v>27510</v>
      </c>
      <c r="J151" s="19">
        <v>26029.3</v>
      </c>
      <c r="K151" s="19">
        <v>202643.5</v>
      </c>
      <c r="L151" s="19">
        <v>154507.35999999999</v>
      </c>
      <c r="M151" s="19">
        <v>154507.35999999999</v>
      </c>
      <c r="N151" s="20">
        <v>1</v>
      </c>
      <c r="O151" s="21">
        <v>48136.14</v>
      </c>
      <c r="P151" s="21">
        <v>48136.14</v>
      </c>
      <c r="Q151" s="17">
        <v>0.95535506999999997</v>
      </c>
      <c r="R151" s="19">
        <v>45987.11</v>
      </c>
      <c r="S151" s="19">
        <v>202643.5</v>
      </c>
      <c r="T151" s="19">
        <v>445392.96</v>
      </c>
      <c r="U151" s="19">
        <v>648036.46</v>
      </c>
      <c r="V151" s="19">
        <v>162009.12</v>
      </c>
      <c r="W151" s="19">
        <v>264418.7</v>
      </c>
      <c r="X151" s="19">
        <v>0</v>
      </c>
      <c r="Y151" s="19">
        <v>375813.12</v>
      </c>
      <c r="Z151" s="19">
        <v>60237.46</v>
      </c>
      <c r="AA151" s="19">
        <v>0</v>
      </c>
      <c r="AB151" s="19">
        <v>346433.37</v>
      </c>
      <c r="AC151" s="19">
        <v>308809.24</v>
      </c>
      <c r="AD151" s="19">
        <v>146800.12</v>
      </c>
      <c r="AE151" s="19">
        <v>111929.07</v>
      </c>
      <c r="AF151" s="19">
        <v>34871.050000000003</v>
      </c>
      <c r="AG151" s="19">
        <v>42578.29</v>
      </c>
      <c r="AH151" s="19">
        <v>13265.09</v>
      </c>
    </row>
    <row r="152" spans="1:34" x14ac:dyDescent="0.25">
      <c r="A152" s="12" t="s">
        <v>38</v>
      </c>
      <c r="B152" s="17">
        <v>495</v>
      </c>
      <c r="C152" s="17">
        <v>1</v>
      </c>
      <c r="D152" s="24" t="s">
        <v>185</v>
      </c>
      <c r="E152" s="18">
        <v>1735</v>
      </c>
      <c r="F152" s="17">
        <v>2000</v>
      </c>
      <c r="G152" s="18">
        <v>3021831</v>
      </c>
      <c r="H152" s="19">
        <v>9403.7000000000007</v>
      </c>
      <c r="I152" s="18">
        <v>1735</v>
      </c>
      <c r="J152" s="19">
        <v>3209.75</v>
      </c>
      <c r="K152" s="19">
        <v>14348.45</v>
      </c>
      <c r="L152" s="19">
        <v>14348.45</v>
      </c>
      <c r="M152" s="19">
        <v>14348.45</v>
      </c>
      <c r="N152" s="20">
        <v>1</v>
      </c>
      <c r="O152" s="21">
        <v>0</v>
      </c>
      <c r="P152" s="21">
        <v>0</v>
      </c>
      <c r="Q152" s="17">
        <v>0.95535506999999997</v>
      </c>
      <c r="R152" s="19">
        <v>0</v>
      </c>
      <c r="S152" s="19">
        <v>14348.45</v>
      </c>
      <c r="T152" s="19">
        <v>49035.6</v>
      </c>
      <c r="U152" s="19">
        <v>63384.05</v>
      </c>
      <c r="V152" s="19">
        <v>15846.01</v>
      </c>
      <c r="W152" s="19">
        <v>6758.35</v>
      </c>
      <c r="X152" s="19">
        <v>301.64999999999998</v>
      </c>
      <c r="Y152" s="19">
        <v>3897.8</v>
      </c>
      <c r="Z152" s="19">
        <v>63.51</v>
      </c>
      <c r="AA152" s="19">
        <v>0</v>
      </c>
      <c r="AB152" s="19">
        <v>0</v>
      </c>
      <c r="AC152" s="19">
        <v>3430.33</v>
      </c>
      <c r="AD152" s="19">
        <v>0</v>
      </c>
      <c r="AE152" s="19">
        <v>0</v>
      </c>
      <c r="AF152" s="19">
        <v>0</v>
      </c>
      <c r="AG152" s="19">
        <v>14348.45</v>
      </c>
      <c r="AH152" s="19">
        <v>0</v>
      </c>
    </row>
    <row r="153" spans="1:34" x14ac:dyDescent="0.25">
      <c r="A153" s="12" t="s">
        <v>38</v>
      </c>
      <c r="B153" s="17">
        <v>497</v>
      </c>
      <c r="C153" s="17">
        <v>1</v>
      </c>
      <c r="D153" s="24" t="s">
        <v>186</v>
      </c>
      <c r="E153" s="18">
        <v>1217</v>
      </c>
      <c r="F153" s="17">
        <v>2000</v>
      </c>
      <c r="G153" s="18">
        <v>1695286</v>
      </c>
      <c r="H153" s="19">
        <v>7235.7</v>
      </c>
      <c r="I153" s="18">
        <v>0</v>
      </c>
      <c r="J153" s="19">
        <v>0</v>
      </c>
      <c r="K153" s="19">
        <v>7235.7</v>
      </c>
      <c r="L153" s="19">
        <v>7235.7</v>
      </c>
      <c r="M153" s="19">
        <v>7235.7</v>
      </c>
      <c r="N153" s="20">
        <v>1</v>
      </c>
      <c r="O153" s="21">
        <v>0</v>
      </c>
      <c r="P153" s="21">
        <v>0</v>
      </c>
      <c r="Q153" s="17">
        <v>0.95535506999999997</v>
      </c>
      <c r="R153" s="19">
        <v>0</v>
      </c>
      <c r="S153" s="19">
        <v>7235.7</v>
      </c>
      <c r="T153" s="19">
        <v>286.91000000000003</v>
      </c>
      <c r="U153" s="19">
        <v>7522.61</v>
      </c>
      <c r="V153" s="19">
        <v>1880.65</v>
      </c>
      <c r="W153" s="19">
        <v>-11287.98</v>
      </c>
      <c r="X153" s="19">
        <v>0</v>
      </c>
      <c r="Y153" s="19">
        <v>-4993.91</v>
      </c>
      <c r="Z153" s="19">
        <v>0</v>
      </c>
      <c r="AA153" s="19">
        <v>0</v>
      </c>
      <c r="AB153" s="19">
        <v>837.68</v>
      </c>
      <c r="AC153" s="19">
        <v>-5148.07</v>
      </c>
      <c r="AD153" s="19">
        <v>0</v>
      </c>
      <c r="AE153" s="19">
        <v>0</v>
      </c>
      <c r="AF153" s="19">
        <v>0</v>
      </c>
      <c r="AG153" s="19">
        <v>7235.7</v>
      </c>
      <c r="AH153" s="19">
        <v>0</v>
      </c>
    </row>
    <row r="154" spans="1:34" x14ac:dyDescent="0.25">
      <c r="A154" s="12" t="s">
        <v>38</v>
      </c>
      <c r="B154" s="17">
        <v>499</v>
      </c>
      <c r="C154" s="17">
        <v>1</v>
      </c>
      <c r="D154" s="24" t="s">
        <v>187</v>
      </c>
      <c r="E154" s="18">
        <v>2080</v>
      </c>
      <c r="F154" s="17">
        <v>2000</v>
      </c>
      <c r="G154" s="18">
        <v>3358774</v>
      </c>
      <c r="H154" s="19">
        <v>11273.6</v>
      </c>
      <c r="I154" s="18">
        <v>2080</v>
      </c>
      <c r="J154" s="19">
        <v>3848</v>
      </c>
      <c r="K154" s="19">
        <v>17201.599999999999</v>
      </c>
      <c r="L154" s="19">
        <v>17201.599999999999</v>
      </c>
      <c r="M154" s="19">
        <v>17201.599999999999</v>
      </c>
      <c r="N154" s="20">
        <v>1</v>
      </c>
      <c r="O154" s="21">
        <v>0</v>
      </c>
      <c r="P154" s="21">
        <v>0</v>
      </c>
      <c r="Q154" s="17">
        <v>0.95535506999999997</v>
      </c>
      <c r="R154" s="19">
        <v>0</v>
      </c>
      <c r="S154" s="19">
        <v>17201.599999999999</v>
      </c>
      <c r="T154" s="19">
        <v>61055.8</v>
      </c>
      <c r="U154" s="19">
        <v>78257.399999999994</v>
      </c>
      <c r="V154" s="19">
        <v>19564.349999999999</v>
      </c>
      <c r="W154" s="19">
        <v>15256.37</v>
      </c>
      <c r="X154" s="19">
        <v>0</v>
      </c>
      <c r="Y154" s="19">
        <v>9026.66</v>
      </c>
      <c r="Z154" s="19">
        <v>0</v>
      </c>
      <c r="AA154" s="19">
        <v>0</v>
      </c>
      <c r="AB154" s="19">
        <v>19011.41</v>
      </c>
      <c r="AC154" s="19">
        <v>14431.48</v>
      </c>
      <c r="AD154" s="19">
        <v>0</v>
      </c>
      <c r="AE154" s="19">
        <v>0</v>
      </c>
      <c r="AF154" s="19">
        <v>0</v>
      </c>
      <c r="AG154" s="19">
        <v>17201.599999999999</v>
      </c>
      <c r="AH154" s="19">
        <v>0</v>
      </c>
    </row>
    <row r="155" spans="1:34" x14ac:dyDescent="0.25">
      <c r="A155" s="12" t="s">
        <v>38</v>
      </c>
      <c r="B155" s="17">
        <v>500</v>
      </c>
      <c r="C155" s="17">
        <v>1</v>
      </c>
      <c r="D155" s="24" t="s">
        <v>188</v>
      </c>
      <c r="E155" s="18">
        <v>3606</v>
      </c>
      <c r="F155" s="17">
        <v>2000</v>
      </c>
      <c r="G155" s="18">
        <v>5533591</v>
      </c>
      <c r="H155" s="19">
        <v>19544.52</v>
      </c>
      <c r="I155" s="18">
        <v>3606</v>
      </c>
      <c r="J155" s="19">
        <v>6671.1</v>
      </c>
      <c r="K155" s="19">
        <v>29821.62</v>
      </c>
      <c r="L155" s="19">
        <v>29821.62</v>
      </c>
      <c r="M155" s="19">
        <v>29821.62</v>
      </c>
      <c r="N155" s="20">
        <v>1</v>
      </c>
      <c r="O155" s="21">
        <v>0</v>
      </c>
      <c r="P155" s="21">
        <v>0</v>
      </c>
      <c r="Q155" s="17">
        <v>0.95535506999999997</v>
      </c>
      <c r="R155" s="19">
        <v>0</v>
      </c>
      <c r="S155" s="19">
        <v>29821.62</v>
      </c>
      <c r="T155" s="19">
        <v>46259.71</v>
      </c>
      <c r="U155" s="19">
        <v>76081.33</v>
      </c>
      <c r="V155" s="19">
        <v>19020.330000000002</v>
      </c>
      <c r="W155" s="19">
        <v>29089.27</v>
      </c>
      <c r="X155" s="19">
        <v>0</v>
      </c>
      <c r="Y155" s="19">
        <v>8250.7800000000007</v>
      </c>
      <c r="Z155" s="19">
        <v>3402.95</v>
      </c>
      <c r="AA155" s="19">
        <v>0</v>
      </c>
      <c r="AB155" s="19">
        <v>4518.59</v>
      </c>
      <c r="AC155" s="19">
        <v>12818.56</v>
      </c>
      <c r="AD155" s="19">
        <v>0</v>
      </c>
      <c r="AE155" s="19">
        <v>0</v>
      </c>
      <c r="AF155" s="19">
        <v>0</v>
      </c>
      <c r="AG155" s="19">
        <v>29821.62</v>
      </c>
      <c r="AH155" s="19">
        <v>0</v>
      </c>
    </row>
    <row r="156" spans="1:34" x14ac:dyDescent="0.25">
      <c r="A156" s="12" t="s">
        <v>38</v>
      </c>
      <c r="B156" s="17">
        <v>505</v>
      </c>
      <c r="C156" s="17">
        <v>1</v>
      </c>
      <c r="D156" s="24" t="s">
        <v>189</v>
      </c>
      <c r="E156" s="18">
        <v>2764</v>
      </c>
      <c r="F156" s="17">
        <v>2000</v>
      </c>
      <c r="G156" s="18">
        <v>4565926</v>
      </c>
      <c r="H156" s="19">
        <v>14980.88</v>
      </c>
      <c r="I156" s="18">
        <v>2764</v>
      </c>
      <c r="J156" s="19">
        <v>5113.3999999999996</v>
      </c>
      <c r="K156" s="19">
        <v>22858.28</v>
      </c>
      <c r="L156" s="19">
        <v>22858.28</v>
      </c>
      <c r="M156" s="19">
        <v>22858.28</v>
      </c>
      <c r="N156" s="20">
        <v>1</v>
      </c>
      <c r="O156" s="21">
        <v>0</v>
      </c>
      <c r="P156" s="21">
        <v>0</v>
      </c>
      <c r="Q156" s="17">
        <v>0.95535506999999997</v>
      </c>
      <c r="R156" s="19">
        <v>0</v>
      </c>
      <c r="S156" s="19">
        <v>22858.28</v>
      </c>
      <c r="T156" s="19">
        <v>111262.24</v>
      </c>
      <c r="U156" s="19">
        <v>134120.51999999999</v>
      </c>
      <c r="V156" s="19">
        <v>33530.129999999997</v>
      </c>
      <c r="W156" s="19">
        <v>17861.259999999998</v>
      </c>
      <c r="X156" s="19">
        <v>0</v>
      </c>
      <c r="Y156" s="19">
        <v>19163.37</v>
      </c>
      <c r="Z156" s="19">
        <v>0</v>
      </c>
      <c r="AA156" s="19">
        <v>0</v>
      </c>
      <c r="AB156" s="19">
        <v>14948.4</v>
      </c>
      <c r="AC156" s="19">
        <v>17324.34</v>
      </c>
      <c r="AD156" s="19">
        <v>0</v>
      </c>
      <c r="AE156" s="19">
        <v>0</v>
      </c>
      <c r="AF156" s="19">
        <v>0</v>
      </c>
      <c r="AG156" s="19">
        <v>22858.28</v>
      </c>
      <c r="AH156" s="19">
        <v>0</v>
      </c>
    </row>
    <row r="157" spans="1:34" x14ac:dyDescent="0.25">
      <c r="A157" s="12" t="s">
        <v>38</v>
      </c>
      <c r="B157" s="17">
        <v>507</v>
      </c>
      <c r="C157" s="17">
        <v>1</v>
      </c>
      <c r="D157" s="24" t="s">
        <v>190</v>
      </c>
      <c r="E157" s="18">
        <v>2414</v>
      </c>
      <c r="F157" s="17">
        <v>2000</v>
      </c>
      <c r="G157" s="18">
        <v>4089771</v>
      </c>
      <c r="H157" s="19">
        <v>13083.88</v>
      </c>
      <c r="I157" s="18">
        <v>2414</v>
      </c>
      <c r="J157" s="19">
        <v>4465.8999999999996</v>
      </c>
      <c r="K157" s="19">
        <v>19963.78</v>
      </c>
      <c r="L157" s="19">
        <v>19963.78</v>
      </c>
      <c r="M157" s="19">
        <v>19963.78</v>
      </c>
      <c r="N157" s="20">
        <v>1</v>
      </c>
      <c r="O157" s="21">
        <v>0</v>
      </c>
      <c r="P157" s="21">
        <v>0</v>
      </c>
      <c r="Q157" s="17">
        <v>0.95535506999999997</v>
      </c>
      <c r="R157" s="19">
        <v>0</v>
      </c>
      <c r="S157" s="19">
        <v>19963.78</v>
      </c>
      <c r="T157" s="19">
        <v>394214.77</v>
      </c>
      <c r="U157" s="19">
        <v>414178.55</v>
      </c>
      <c r="V157" s="19">
        <v>103544.64</v>
      </c>
      <c r="W157" s="19">
        <v>7905.75</v>
      </c>
      <c r="X157" s="19">
        <v>0</v>
      </c>
      <c r="Y157" s="19">
        <v>9511.18</v>
      </c>
      <c r="Z157" s="19">
        <v>0</v>
      </c>
      <c r="AA157" s="19">
        <v>0</v>
      </c>
      <c r="AB157" s="19">
        <v>4015.45</v>
      </c>
      <c r="AC157" s="19">
        <v>7144.13</v>
      </c>
      <c r="AD157" s="19">
        <v>0</v>
      </c>
      <c r="AE157" s="19">
        <v>0</v>
      </c>
      <c r="AF157" s="19">
        <v>0</v>
      </c>
      <c r="AG157" s="19">
        <v>19963.78</v>
      </c>
      <c r="AH157" s="19">
        <v>0</v>
      </c>
    </row>
    <row r="158" spans="1:34" x14ac:dyDescent="0.25">
      <c r="A158" s="12" t="s">
        <v>38</v>
      </c>
      <c r="B158" s="17">
        <v>508</v>
      </c>
      <c r="C158" s="17">
        <v>1</v>
      </c>
      <c r="D158" s="24" t="s">
        <v>191</v>
      </c>
      <c r="E158" s="18">
        <v>13018</v>
      </c>
      <c r="F158" s="17">
        <v>2000</v>
      </c>
      <c r="G158" s="18">
        <v>10330686</v>
      </c>
      <c r="H158" s="19">
        <v>70557.56</v>
      </c>
      <c r="I158" s="18">
        <v>13018</v>
      </c>
      <c r="J158" s="19">
        <v>19797.740000000002</v>
      </c>
      <c r="K158" s="19">
        <v>103373.3</v>
      </c>
      <c r="L158" s="19">
        <v>92976.17</v>
      </c>
      <c r="M158" s="19">
        <v>92976.17</v>
      </c>
      <c r="N158" s="20">
        <v>1</v>
      </c>
      <c r="O158" s="21">
        <v>10397.129999999999</v>
      </c>
      <c r="P158" s="21">
        <v>10397.129999999999</v>
      </c>
      <c r="Q158" s="17">
        <v>0.95535506999999997</v>
      </c>
      <c r="R158" s="19">
        <v>9932.9500000000007</v>
      </c>
      <c r="S158" s="19">
        <v>103373.3</v>
      </c>
      <c r="T158" s="19">
        <v>120606.77</v>
      </c>
      <c r="U158" s="19">
        <v>223980.07</v>
      </c>
      <c r="V158" s="19">
        <v>55995.02</v>
      </c>
      <c r="W158" s="19">
        <v>39520.36</v>
      </c>
      <c r="X158" s="19">
        <v>0</v>
      </c>
      <c r="Y158" s="19">
        <v>58184.29</v>
      </c>
      <c r="Z158" s="19">
        <v>0</v>
      </c>
      <c r="AA158" s="19">
        <v>0</v>
      </c>
      <c r="AB158" s="19">
        <v>76628.41</v>
      </c>
      <c r="AC158" s="19">
        <v>58111.02</v>
      </c>
      <c r="AD158" s="19">
        <v>2116</v>
      </c>
      <c r="AE158" s="19">
        <v>1903.18</v>
      </c>
      <c r="AF158" s="19">
        <v>212.82</v>
      </c>
      <c r="AG158" s="19">
        <v>91072.99</v>
      </c>
      <c r="AH158" s="19">
        <v>10184.31</v>
      </c>
    </row>
    <row r="159" spans="1:34" x14ac:dyDescent="0.25">
      <c r="A159" s="12" t="s">
        <v>38</v>
      </c>
      <c r="B159" s="17">
        <v>511</v>
      </c>
      <c r="C159" s="17">
        <v>1</v>
      </c>
      <c r="D159" s="24" t="s">
        <v>192</v>
      </c>
      <c r="E159" s="18">
        <v>2643</v>
      </c>
      <c r="F159" s="17">
        <v>2000</v>
      </c>
      <c r="G159" s="18">
        <v>4214956</v>
      </c>
      <c r="H159" s="19">
        <v>14325.06</v>
      </c>
      <c r="I159" s="18">
        <v>0</v>
      </c>
      <c r="J159" s="19">
        <v>4889.55</v>
      </c>
      <c r="K159" s="19">
        <v>19214.61</v>
      </c>
      <c r="L159" s="19">
        <v>19214.61</v>
      </c>
      <c r="M159" s="19">
        <v>19214.61</v>
      </c>
      <c r="N159" s="20">
        <v>1</v>
      </c>
      <c r="O159" s="21">
        <v>0</v>
      </c>
      <c r="P159" s="21">
        <v>0</v>
      </c>
      <c r="Q159" s="17">
        <v>0.95535506999999997</v>
      </c>
      <c r="R159" s="19">
        <v>0</v>
      </c>
      <c r="S159" s="19">
        <v>19214.61</v>
      </c>
      <c r="T159" s="19">
        <v>48343.91</v>
      </c>
      <c r="U159" s="19">
        <v>67558.52</v>
      </c>
      <c r="V159" s="19">
        <v>16889.63</v>
      </c>
      <c r="W159" s="19">
        <v>64742.81</v>
      </c>
      <c r="X159" s="19">
        <v>17431.88</v>
      </c>
      <c r="Y159" s="19">
        <v>58268.29</v>
      </c>
      <c r="Z159" s="19">
        <v>19214.61</v>
      </c>
      <c r="AA159" s="19">
        <v>0</v>
      </c>
      <c r="AB159" s="19">
        <v>35574.370000000003</v>
      </c>
      <c r="AC159" s="19">
        <v>40646.33</v>
      </c>
      <c r="AD159" s="19">
        <v>19214.61</v>
      </c>
      <c r="AE159" s="19">
        <v>19214.61</v>
      </c>
      <c r="AF159" s="19">
        <v>0</v>
      </c>
      <c r="AG159" s="19">
        <v>0</v>
      </c>
      <c r="AH159" s="19">
        <v>0</v>
      </c>
    </row>
    <row r="160" spans="1:34" x14ac:dyDescent="0.25">
      <c r="A160" s="12" t="s">
        <v>38</v>
      </c>
      <c r="B160" s="17">
        <v>513</v>
      </c>
      <c r="C160" s="17">
        <v>1</v>
      </c>
      <c r="D160" s="24" t="s">
        <v>193</v>
      </c>
      <c r="E160" s="18">
        <v>991</v>
      </c>
      <c r="F160" s="17">
        <v>2000</v>
      </c>
      <c r="G160" s="18">
        <v>2045766</v>
      </c>
      <c r="H160" s="19">
        <v>7235.7</v>
      </c>
      <c r="I160" s="18">
        <v>1335</v>
      </c>
      <c r="J160" s="19">
        <v>2469.75</v>
      </c>
      <c r="K160" s="19">
        <v>11040.45</v>
      </c>
      <c r="L160" s="19">
        <v>11040.45</v>
      </c>
      <c r="M160" s="19">
        <v>11040.45</v>
      </c>
      <c r="N160" s="20">
        <v>1</v>
      </c>
      <c r="O160" s="21">
        <v>0</v>
      </c>
      <c r="P160" s="21">
        <v>0</v>
      </c>
      <c r="Q160" s="17">
        <v>0.95535506999999997</v>
      </c>
      <c r="R160" s="19">
        <v>0</v>
      </c>
      <c r="S160" s="19">
        <v>11040.45</v>
      </c>
      <c r="T160" s="19">
        <v>7751.41</v>
      </c>
      <c r="U160" s="19">
        <v>18791.86</v>
      </c>
      <c r="V160" s="19">
        <v>4697.97</v>
      </c>
      <c r="W160" s="19">
        <v>13365</v>
      </c>
      <c r="X160" s="19">
        <v>603.70000000000005</v>
      </c>
      <c r="Y160" s="19">
        <v>13852.94</v>
      </c>
      <c r="Z160" s="19">
        <v>4687.1899999999996</v>
      </c>
      <c r="AA160" s="19">
        <v>0</v>
      </c>
      <c r="AB160" s="19">
        <v>3652.22</v>
      </c>
      <c r="AC160" s="19">
        <v>8526.42</v>
      </c>
      <c r="AD160" s="19">
        <v>3828.45</v>
      </c>
      <c r="AE160" s="19">
        <v>3828.45</v>
      </c>
      <c r="AF160" s="19">
        <v>0</v>
      </c>
      <c r="AG160" s="19">
        <v>7212</v>
      </c>
      <c r="AH160" s="19">
        <v>0</v>
      </c>
    </row>
    <row r="161" spans="1:34" x14ac:dyDescent="0.25">
      <c r="A161" s="12" t="s">
        <v>38</v>
      </c>
      <c r="B161" s="17">
        <v>514</v>
      </c>
      <c r="C161" s="17">
        <v>1</v>
      </c>
      <c r="D161" s="24" t="s">
        <v>194</v>
      </c>
      <c r="E161" s="18">
        <v>1090</v>
      </c>
      <c r="F161" s="17">
        <v>2000</v>
      </c>
      <c r="G161" s="18">
        <v>1847306</v>
      </c>
      <c r="H161" s="19">
        <v>7235.7</v>
      </c>
      <c r="I161" s="18">
        <v>0</v>
      </c>
      <c r="J161" s="19">
        <v>2469.75</v>
      </c>
      <c r="K161" s="19">
        <v>9705.4500000000007</v>
      </c>
      <c r="L161" s="19">
        <v>9705.4500000000007</v>
      </c>
      <c r="M161" s="19">
        <v>9705.4500000000007</v>
      </c>
      <c r="N161" s="20">
        <v>1</v>
      </c>
      <c r="O161" s="21">
        <v>0</v>
      </c>
      <c r="P161" s="21">
        <v>0</v>
      </c>
      <c r="Q161" s="17">
        <v>0.95535506999999997</v>
      </c>
      <c r="R161" s="19">
        <v>0</v>
      </c>
      <c r="S161" s="19">
        <v>9705.4500000000007</v>
      </c>
      <c r="T161" s="19">
        <v>747.39</v>
      </c>
      <c r="U161" s="19">
        <v>10452.84</v>
      </c>
      <c r="V161" s="19">
        <v>2613.21</v>
      </c>
      <c r="W161" s="19">
        <v>0</v>
      </c>
      <c r="X161" s="19">
        <v>0</v>
      </c>
      <c r="Y161" s="19">
        <v>35</v>
      </c>
      <c r="Z161" s="19">
        <v>0</v>
      </c>
      <c r="AA161" s="19">
        <v>0</v>
      </c>
      <c r="AB161" s="19">
        <v>7899.6</v>
      </c>
      <c r="AC161" s="19">
        <v>2644.87</v>
      </c>
      <c r="AD161" s="19">
        <v>31.66</v>
      </c>
      <c r="AE161" s="19">
        <v>31.66</v>
      </c>
      <c r="AF161" s="19">
        <v>0</v>
      </c>
      <c r="AG161" s="19">
        <v>9673.7900000000009</v>
      </c>
      <c r="AH161" s="19">
        <v>0</v>
      </c>
    </row>
    <row r="162" spans="1:34" x14ac:dyDescent="0.25">
      <c r="A162" s="12" t="s">
        <v>38</v>
      </c>
      <c r="B162" s="17">
        <v>516</v>
      </c>
      <c r="C162" s="17">
        <v>1</v>
      </c>
      <c r="D162" s="24" t="s">
        <v>195</v>
      </c>
      <c r="E162" s="18">
        <v>806</v>
      </c>
      <c r="F162" s="17">
        <v>2000</v>
      </c>
      <c r="G162" s="18">
        <v>1447899</v>
      </c>
      <c r="H162" s="19">
        <v>7235.7</v>
      </c>
      <c r="I162" s="18">
        <v>1335</v>
      </c>
      <c r="J162" s="19">
        <v>2469.75</v>
      </c>
      <c r="K162" s="19">
        <v>11040.45</v>
      </c>
      <c r="L162" s="19">
        <v>11040.45</v>
      </c>
      <c r="M162" s="19">
        <v>11040.45</v>
      </c>
      <c r="N162" s="20">
        <v>1</v>
      </c>
      <c r="O162" s="21">
        <v>0</v>
      </c>
      <c r="P162" s="21">
        <v>0</v>
      </c>
      <c r="Q162" s="17">
        <v>0.95535506999999997</v>
      </c>
      <c r="R162" s="19">
        <v>0</v>
      </c>
      <c r="S162" s="19">
        <v>11040.45</v>
      </c>
      <c r="T162" s="19">
        <v>1211.8499999999999</v>
      </c>
      <c r="U162" s="19">
        <v>12252.3</v>
      </c>
      <c r="V162" s="19">
        <v>3063.08</v>
      </c>
      <c r="W162" s="19">
        <v>-2629.76</v>
      </c>
      <c r="X162" s="19">
        <v>0</v>
      </c>
      <c r="Y162" s="19">
        <v>2847</v>
      </c>
      <c r="Z162" s="19">
        <v>0</v>
      </c>
      <c r="AA162" s="19">
        <v>0</v>
      </c>
      <c r="AB162" s="19">
        <v>-23421.93</v>
      </c>
      <c r="AC162" s="19">
        <v>-7734.9</v>
      </c>
      <c r="AD162" s="19">
        <v>0</v>
      </c>
      <c r="AE162" s="19">
        <v>0</v>
      </c>
      <c r="AF162" s="19">
        <v>0</v>
      </c>
      <c r="AG162" s="19">
        <v>11040.45</v>
      </c>
      <c r="AH162" s="19">
        <v>0</v>
      </c>
    </row>
    <row r="163" spans="1:34" x14ac:dyDescent="0.25">
      <c r="A163" s="12" t="s">
        <v>38</v>
      </c>
      <c r="B163" s="17">
        <v>518</v>
      </c>
      <c r="C163" s="17">
        <v>1</v>
      </c>
      <c r="D163" s="24" t="s">
        <v>196</v>
      </c>
      <c r="E163" s="18">
        <v>14474</v>
      </c>
      <c r="F163" s="17">
        <v>2000</v>
      </c>
      <c r="G163" s="18">
        <v>12413596</v>
      </c>
      <c r="H163" s="19">
        <v>78449.08</v>
      </c>
      <c r="I163" s="18">
        <v>14474</v>
      </c>
      <c r="J163" s="19">
        <v>20423.82</v>
      </c>
      <c r="K163" s="19">
        <v>113346.9</v>
      </c>
      <c r="L163" s="19">
        <v>111722.36</v>
      </c>
      <c r="M163" s="19">
        <v>111722.36</v>
      </c>
      <c r="N163" s="20">
        <v>1</v>
      </c>
      <c r="O163" s="21">
        <v>1624.54</v>
      </c>
      <c r="P163" s="21">
        <v>1624.54</v>
      </c>
      <c r="Q163" s="17">
        <v>0.95535506999999997</v>
      </c>
      <c r="R163" s="19">
        <v>1552.01</v>
      </c>
      <c r="S163" s="19">
        <v>113346.9</v>
      </c>
      <c r="T163" s="19">
        <v>312421.03000000003</v>
      </c>
      <c r="U163" s="19">
        <v>425767.93</v>
      </c>
      <c r="V163" s="19">
        <v>106441.98</v>
      </c>
      <c r="W163" s="19">
        <v>53137.71</v>
      </c>
      <c r="X163" s="19">
        <v>1757.55</v>
      </c>
      <c r="Y163" s="19">
        <v>47907.21</v>
      </c>
      <c r="Z163" s="19">
        <v>0</v>
      </c>
      <c r="AA163" s="19">
        <v>0</v>
      </c>
      <c r="AB163" s="19">
        <v>34113.78</v>
      </c>
      <c r="AC163" s="19">
        <v>44467.05</v>
      </c>
      <c r="AD163" s="19">
        <v>0</v>
      </c>
      <c r="AE163" s="19">
        <v>0</v>
      </c>
      <c r="AF163" s="19">
        <v>0</v>
      </c>
      <c r="AG163" s="19">
        <v>111722.36</v>
      </c>
      <c r="AH163" s="19">
        <v>1624.54</v>
      </c>
    </row>
    <row r="164" spans="1:34" x14ac:dyDescent="0.25">
      <c r="A164" s="12" t="s">
        <v>38</v>
      </c>
      <c r="B164" s="17">
        <v>531</v>
      </c>
      <c r="C164" s="17">
        <v>1</v>
      </c>
      <c r="D164" s="24" t="s">
        <v>197</v>
      </c>
      <c r="E164" s="18">
        <v>6003</v>
      </c>
      <c r="F164" s="17">
        <v>2009</v>
      </c>
      <c r="G164" s="18">
        <v>8079792</v>
      </c>
      <c r="H164" s="19">
        <v>32536.26</v>
      </c>
      <c r="I164" s="18">
        <v>6003</v>
      </c>
      <c r="J164" s="19">
        <v>11105.55</v>
      </c>
      <c r="K164" s="19">
        <v>49644.81</v>
      </c>
      <c r="L164" s="19">
        <v>49644.81</v>
      </c>
      <c r="M164" s="19">
        <v>49644.81</v>
      </c>
      <c r="N164" s="20">
        <v>1</v>
      </c>
      <c r="O164" s="21">
        <v>0</v>
      </c>
      <c r="P164" s="21">
        <v>0</v>
      </c>
      <c r="Q164" s="17">
        <v>0.95535506999999997</v>
      </c>
      <c r="R164" s="19">
        <v>0</v>
      </c>
      <c r="S164" s="19">
        <v>48925.32</v>
      </c>
      <c r="T164" s="19">
        <v>204513.94</v>
      </c>
      <c r="U164" s="19">
        <v>253439.26</v>
      </c>
      <c r="V164" s="19">
        <v>63359.82</v>
      </c>
      <c r="W164" s="19">
        <v>4533.6499999999996</v>
      </c>
      <c r="X164" s="19">
        <v>0</v>
      </c>
      <c r="Y164" s="19">
        <v>37239.26</v>
      </c>
      <c r="Z164" s="19">
        <v>0</v>
      </c>
      <c r="AA164" s="19">
        <v>0</v>
      </c>
      <c r="AB164" s="19">
        <v>47640.06</v>
      </c>
      <c r="AC164" s="19">
        <v>29804.32</v>
      </c>
      <c r="AD164" s="19">
        <v>0</v>
      </c>
      <c r="AE164" s="19">
        <v>0</v>
      </c>
      <c r="AF164" s="19">
        <v>0</v>
      </c>
      <c r="AG164" s="19">
        <v>49644.81</v>
      </c>
      <c r="AH164" s="19">
        <v>0</v>
      </c>
    </row>
    <row r="165" spans="1:34" x14ac:dyDescent="0.25">
      <c r="A165" s="12" t="s">
        <v>38</v>
      </c>
      <c r="B165" s="17">
        <v>533</v>
      </c>
      <c r="C165" s="17">
        <v>1</v>
      </c>
      <c r="D165" s="24" t="s">
        <v>198</v>
      </c>
      <c r="E165" s="18">
        <v>3450</v>
      </c>
      <c r="F165" s="17">
        <v>2000</v>
      </c>
      <c r="G165" s="18">
        <v>4302502</v>
      </c>
      <c r="H165" s="19">
        <v>18699</v>
      </c>
      <c r="I165" s="18">
        <v>3450</v>
      </c>
      <c r="J165" s="19">
        <v>6382.5</v>
      </c>
      <c r="K165" s="19">
        <v>28531.5</v>
      </c>
      <c r="L165" s="19">
        <v>28531.5</v>
      </c>
      <c r="M165" s="19">
        <v>28531.5</v>
      </c>
      <c r="N165" s="20">
        <v>1</v>
      </c>
      <c r="O165" s="21">
        <v>0</v>
      </c>
      <c r="P165" s="21">
        <v>0</v>
      </c>
      <c r="Q165" s="17">
        <v>0.95535506999999997</v>
      </c>
      <c r="R165" s="19">
        <v>0</v>
      </c>
      <c r="S165" s="19">
        <v>28531.5</v>
      </c>
      <c r="T165" s="19">
        <v>140569.92000000001</v>
      </c>
      <c r="U165" s="19">
        <v>169101.42</v>
      </c>
      <c r="V165" s="19">
        <v>42275.360000000001</v>
      </c>
      <c r="W165" s="19">
        <v>67467.63</v>
      </c>
      <c r="X165" s="19">
        <v>0</v>
      </c>
      <c r="Y165" s="19">
        <v>86598.57</v>
      </c>
      <c r="Z165" s="19">
        <v>22542.95</v>
      </c>
      <c r="AA165" s="19">
        <v>0</v>
      </c>
      <c r="AB165" s="19">
        <v>50233.17</v>
      </c>
      <c r="AC165" s="19">
        <v>60585.47</v>
      </c>
      <c r="AD165" s="19">
        <v>18310.11</v>
      </c>
      <c r="AE165" s="19">
        <v>18310.11</v>
      </c>
      <c r="AF165" s="19">
        <v>0</v>
      </c>
      <c r="AG165" s="19">
        <v>10221.39</v>
      </c>
      <c r="AH165" s="19">
        <v>0</v>
      </c>
    </row>
    <row r="166" spans="1:34" x14ac:dyDescent="0.25">
      <c r="A166" s="12" t="s">
        <v>38</v>
      </c>
      <c r="B166" s="17">
        <v>534</v>
      </c>
      <c r="C166" s="17">
        <v>1</v>
      </c>
      <c r="D166" s="24" t="s">
        <v>199</v>
      </c>
      <c r="E166" s="18">
        <v>8130</v>
      </c>
      <c r="F166" s="17">
        <v>2000</v>
      </c>
      <c r="G166" s="18">
        <v>8816059</v>
      </c>
      <c r="H166" s="19">
        <v>44064.6</v>
      </c>
      <c r="I166" s="18">
        <v>8130</v>
      </c>
      <c r="J166" s="19">
        <v>15040.5</v>
      </c>
      <c r="K166" s="19">
        <v>67235.100000000006</v>
      </c>
      <c r="L166" s="19">
        <v>67235.100000000006</v>
      </c>
      <c r="M166" s="19">
        <v>67235.100000000006</v>
      </c>
      <c r="N166" s="20">
        <v>1</v>
      </c>
      <c r="O166" s="21">
        <v>0</v>
      </c>
      <c r="P166" s="21">
        <v>0</v>
      </c>
      <c r="Q166" s="17">
        <v>0.95535506999999997</v>
      </c>
      <c r="R166" s="19">
        <v>0</v>
      </c>
      <c r="S166" s="19">
        <v>67235.100000000006</v>
      </c>
      <c r="T166" s="19">
        <v>483896.16</v>
      </c>
      <c r="U166" s="19">
        <v>551131.26</v>
      </c>
      <c r="V166" s="19">
        <v>137782.82</v>
      </c>
      <c r="W166" s="19">
        <v>82886.179999999993</v>
      </c>
      <c r="X166" s="19">
        <v>0</v>
      </c>
      <c r="Y166" s="19">
        <v>136053.81</v>
      </c>
      <c r="Z166" s="19">
        <v>0</v>
      </c>
      <c r="AA166" s="19">
        <v>0</v>
      </c>
      <c r="AB166" s="19">
        <v>173546.7</v>
      </c>
      <c r="AC166" s="19">
        <v>130828.9</v>
      </c>
      <c r="AD166" s="19">
        <v>0</v>
      </c>
      <c r="AE166" s="19">
        <v>0</v>
      </c>
      <c r="AF166" s="19">
        <v>0</v>
      </c>
      <c r="AG166" s="19">
        <v>67235.100000000006</v>
      </c>
      <c r="AH166" s="19">
        <v>0</v>
      </c>
    </row>
    <row r="167" spans="1:34" x14ac:dyDescent="0.25">
      <c r="A167" s="12" t="s">
        <v>38</v>
      </c>
      <c r="B167" s="17">
        <v>535</v>
      </c>
      <c r="C167" s="17">
        <v>1</v>
      </c>
      <c r="D167" s="24" t="s">
        <v>200</v>
      </c>
      <c r="E167" s="18">
        <v>118380</v>
      </c>
      <c r="F167" s="17">
        <v>2009</v>
      </c>
      <c r="G167" s="18">
        <v>129550339</v>
      </c>
      <c r="H167" s="19">
        <v>641619.6</v>
      </c>
      <c r="I167" s="18">
        <v>118380</v>
      </c>
      <c r="J167" s="19">
        <v>65103.4</v>
      </c>
      <c r="K167" s="19">
        <v>825103</v>
      </c>
      <c r="L167" s="19">
        <v>825103</v>
      </c>
      <c r="M167" s="19">
        <v>825103</v>
      </c>
      <c r="N167" s="20">
        <v>1</v>
      </c>
      <c r="O167" s="21">
        <v>0</v>
      </c>
      <c r="P167" s="21">
        <v>0</v>
      </c>
      <c r="Q167" s="17">
        <v>0.95535506999999997</v>
      </c>
      <c r="R167" s="19">
        <v>0</v>
      </c>
      <c r="S167" s="19">
        <v>814423.85</v>
      </c>
      <c r="T167" s="19">
        <v>4174266.55</v>
      </c>
      <c r="U167" s="19">
        <v>4988690.4000000004</v>
      </c>
      <c r="V167" s="19">
        <v>1247172.6000000001</v>
      </c>
      <c r="W167" s="19">
        <v>591401.39</v>
      </c>
      <c r="X167" s="19">
        <v>0</v>
      </c>
      <c r="Y167" s="19">
        <v>462554.17</v>
      </c>
      <c r="Z167" s="19">
        <v>0</v>
      </c>
      <c r="AA167" s="19">
        <v>0</v>
      </c>
      <c r="AB167" s="19">
        <v>633330.51</v>
      </c>
      <c r="AC167" s="19">
        <v>562428.68999999994</v>
      </c>
      <c r="AD167" s="19">
        <v>0</v>
      </c>
      <c r="AE167" s="19">
        <v>0</v>
      </c>
      <c r="AF167" s="19">
        <v>0</v>
      </c>
      <c r="AG167" s="19">
        <v>825103</v>
      </c>
      <c r="AH167" s="19">
        <v>0</v>
      </c>
    </row>
    <row r="168" spans="1:34" x14ac:dyDescent="0.25">
      <c r="A168" s="12" t="s">
        <v>38</v>
      </c>
      <c r="B168" s="17">
        <v>542</v>
      </c>
      <c r="C168" s="17">
        <v>1</v>
      </c>
      <c r="D168" s="24" t="s">
        <v>201</v>
      </c>
      <c r="E168" s="18">
        <v>3779</v>
      </c>
      <c r="F168" s="17">
        <v>2000</v>
      </c>
      <c r="G168" s="18">
        <v>14959915</v>
      </c>
      <c r="H168" s="19">
        <v>20482.18</v>
      </c>
      <c r="I168" s="18">
        <v>3779</v>
      </c>
      <c r="J168" s="19">
        <v>6991.15</v>
      </c>
      <c r="K168" s="19">
        <v>31252.33</v>
      </c>
      <c r="L168" s="19">
        <v>31252.33</v>
      </c>
      <c r="M168" s="19">
        <v>31252.33</v>
      </c>
      <c r="N168" s="20">
        <v>1</v>
      </c>
      <c r="O168" s="21">
        <v>0</v>
      </c>
      <c r="P168" s="21">
        <v>0</v>
      </c>
      <c r="Q168" s="17">
        <v>0.95535506999999997</v>
      </c>
      <c r="R168" s="19">
        <v>0</v>
      </c>
      <c r="S168" s="19">
        <v>31252.33</v>
      </c>
      <c r="T168" s="19">
        <v>36442.6</v>
      </c>
      <c r="U168" s="19">
        <v>67694.929999999993</v>
      </c>
      <c r="V168" s="19">
        <v>16923.73</v>
      </c>
      <c r="W168" s="19">
        <v>1340.44</v>
      </c>
      <c r="X168" s="19">
        <v>0</v>
      </c>
      <c r="Y168" s="19">
        <v>5593.57</v>
      </c>
      <c r="Z168" s="19">
        <v>0</v>
      </c>
      <c r="AA168" s="19">
        <v>0</v>
      </c>
      <c r="AB168" s="19">
        <v>4399.3599999999997</v>
      </c>
      <c r="AC168" s="19">
        <v>3777.79</v>
      </c>
      <c r="AD168" s="19">
        <v>0</v>
      </c>
      <c r="AE168" s="19">
        <v>0</v>
      </c>
      <c r="AF168" s="19">
        <v>0</v>
      </c>
      <c r="AG168" s="19">
        <v>31252.33</v>
      </c>
      <c r="AH168" s="19">
        <v>0</v>
      </c>
    </row>
    <row r="169" spans="1:34" x14ac:dyDescent="0.25">
      <c r="A169" s="12" t="s">
        <v>38</v>
      </c>
      <c r="B169" s="17">
        <v>544</v>
      </c>
      <c r="C169" s="17">
        <v>1</v>
      </c>
      <c r="D169" s="24" t="s">
        <v>202</v>
      </c>
      <c r="E169" s="18">
        <v>19918</v>
      </c>
      <c r="F169" s="17">
        <v>2000</v>
      </c>
      <c r="G169" s="18">
        <v>19309806</v>
      </c>
      <c r="H169" s="19">
        <v>107955.56</v>
      </c>
      <c r="I169" s="18">
        <v>19918</v>
      </c>
      <c r="J169" s="19">
        <v>0</v>
      </c>
      <c r="K169" s="19">
        <v>127873.56</v>
      </c>
      <c r="L169" s="19">
        <v>127873.56</v>
      </c>
      <c r="M169" s="19">
        <v>127873.56</v>
      </c>
      <c r="N169" s="20">
        <v>1</v>
      </c>
      <c r="O169" s="21">
        <v>0</v>
      </c>
      <c r="P169" s="21">
        <v>0</v>
      </c>
      <c r="Q169" s="17">
        <v>0.95535506999999997</v>
      </c>
      <c r="R169" s="19">
        <v>0</v>
      </c>
      <c r="S169" s="19">
        <v>150638.29999999999</v>
      </c>
      <c r="T169" s="19">
        <v>126146.52</v>
      </c>
      <c r="U169" s="19">
        <v>276784.82</v>
      </c>
      <c r="V169" s="19">
        <v>69196.210000000006</v>
      </c>
      <c r="W169" s="19">
        <v>56960.45</v>
      </c>
      <c r="X169" s="19">
        <v>0</v>
      </c>
      <c r="Y169" s="19">
        <v>77266.899999999994</v>
      </c>
      <c r="Z169" s="19">
        <v>0</v>
      </c>
      <c r="AA169" s="19">
        <v>0</v>
      </c>
      <c r="AB169" s="19">
        <v>86572.92</v>
      </c>
      <c r="AC169" s="19">
        <v>73600.09</v>
      </c>
      <c r="AD169" s="19">
        <v>4403.88</v>
      </c>
      <c r="AE169" s="19">
        <v>4403.88</v>
      </c>
      <c r="AF169" s="19">
        <v>0</v>
      </c>
      <c r="AG169" s="19">
        <v>123469.68</v>
      </c>
      <c r="AH169" s="19">
        <v>0</v>
      </c>
    </row>
    <row r="170" spans="1:34" x14ac:dyDescent="0.25">
      <c r="A170" s="12" t="s">
        <v>38</v>
      </c>
      <c r="B170" s="17">
        <v>545</v>
      </c>
      <c r="C170" s="17">
        <v>1</v>
      </c>
      <c r="D170" s="24" t="s">
        <v>203</v>
      </c>
      <c r="E170" s="18">
        <v>2864</v>
      </c>
      <c r="F170" s="17">
        <v>2000</v>
      </c>
      <c r="G170" s="18">
        <v>5273584</v>
      </c>
      <c r="H170" s="19">
        <v>15522.88</v>
      </c>
      <c r="I170" s="18">
        <v>2864</v>
      </c>
      <c r="J170" s="19">
        <v>5298.4</v>
      </c>
      <c r="K170" s="19">
        <v>23685.279999999999</v>
      </c>
      <c r="L170" s="19">
        <v>23685.279999999999</v>
      </c>
      <c r="M170" s="19">
        <v>23685.279999999999</v>
      </c>
      <c r="N170" s="20">
        <v>1</v>
      </c>
      <c r="O170" s="21">
        <v>0</v>
      </c>
      <c r="P170" s="21">
        <v>0</v>
      </c>
      <c r="Q170" s="17">
        <v>0.95535506999999997</v>
      </c>
      <c r="R170" s="19">
        <v>0</v>
      </c>
      <c r="S170" s="19">
        <v>23685.279999999999</v>
      </c>
      <c r="T170" s="19">
        <v>30632.47</v>
      </c>
      <c r="U170" s="19">
        <v>54317.75</v>
      </c>
      <c r="V170" s="19">
        <v>13579.44</v>
      </c>
      <c r="W170" s="19">
        <v>5252.42</v>
      </c>
      <c r="X170" s="19">
        <v>0</v>
      </c>
      <c r="Y170" s="19">
        <v>6883.85</v>
      </c>
      <c r="Z170" s="19">
        <v>0</v>
      </c>
      <c r="AA170" s="19">
        <v>0</v>
      </c>
      <c r="AB170" s="19">
        <v>9178.94</v>
      </c>
      <c r="AC170" s="19">
        <v>7105.07</v>
      </c>
      <c r="AD170" s="19">
        <v>0</v>
      </c>
      <c r="AE170" s="19">
        <v>0</v>
      </c>
      <c r="AF170" s="19">
        <v>0</v>
      </c>
      <c r="AG170" s="19">
        <v>23685.279999999999</v>
      </c>
      <c r="AH170" s="19">
        <v>0</v>
      </c>
    </row>
    <row r="171" spans="1:34" x14ac:dyDescent="0.25">
      <c r="A171" s="12" t="s">
        <v>38</v>
      </c>
      <c r="B171" s="17">
        <v>547</v>
      </c>
      <c r="C171" s="17">
        <v>1</v>
      </c>
      <c r="D171" s="24" t="s">
        <v>204</v>
      </c>
      <c r="E171" s="18">
        <v>2995</v>
      </c>
      <c r="F171" s="17">
        <v>2000</v>
      </c>
      <c r="G171" s="18">
        <v>4693505</v>
      </c>
      <c r="H171" s="19">
        <v>16232.9</v>
      </c>
      <c r="I171" s="18">
        <v>2995</v>
      </c>
      <c r="J171" s="19">
        <v>5540.75</v>
      </c>
      <c r="K171" s="19">
        <v>24768.65</v>
      </c>
      <c r="L171" s="19">
        <v>24768.65</v>
      </c>
      <c r="M171" s="19">
        <v>24768.65</v>
      </c>
      <c r="N171" s="20">
        <v>1</v>
      </c>
      <c r="O171" s="21">
        <v>0</v>
      </c>
      <c r="P171" s="21">
        <v>0</v>
      </c>
      <c r="Q171" s="17">
        <v>0.95535506999999997</v>
      </c>
      <c r="R171" s="19">
        <v>0</v>
      </c>
      <c r="S171" s="19">
        <v>24768.65</v>
      </c>
      <c r="T171" s="19">
        <v>59327.48</v>
      </c>
      <c r="U171" s="19">
        <v>84096.13</v>
      </c>
      <c r="V171" s="19">
        <v>21024.03</v>
      </c>
      <c r="W171" s="19">
        <v>21972.73</v>
      </c>
      <c r="X171" s="19">
        <v>0</v>
      </c>
      <c r="Y171" s="19">
        <v>56467.42</v>
      </c>
      <c r="Z171" s="19">
        <v>38.25</v>
      </c>
      <c r="AA171" s="19">
        <v>0</v>
      </c>
      <c r="AB171" s="19">
        <v>12892.98</v>
      </c>
      <c r="AC171" s="19">
        <v>30431.63</v>
      </c>
      <c r="AD171" s="19">
        <v>9407.6</v>
      </c>
      <c r="AE171" s="19">
        <v>9407.6</v>
      </c>
      <c r="AF171" s="19">
        <v>0</v>
      </c>
      <c r="AG171" s="19">
        <v>15361.05</v>
      </c>
      <c r="AH171" s="19">
        <v>0</v>
      </c>
    </row>
    <row r="172" spans="1:34" x14ac:dyDescent="0.25">
      <c r="A172" s="12" t="s">
        <v>38</v>
      </c>
      <c r="B172" s="17">
        <v>548</v>
      </c>
      <c r="C172" s="17">
        <v>1</v>
      </c>
      <c r="D172" s="24" t="s">
        <v>205</v>
      </c>
      <c r="E172" s="18">
        <v>7510</v>
      </c>
      <c r="F172" s="17">
        <v>2000</v>
      </c>
      <c r="G172" s="18">
        <v>17744460</v>
      </c>
      <c r="H172" s="19">
        <v>40704.199999999997</v>
      </c>
      <c r="I172" s="18">
        <v>7510</v>
      </c>
      <c r="J172" s="19">
        <v>13893.5</v>
      </c>
      <c r="K172" s="19">
        <v>62107.7</v>
      </c>
      <c r="L172" s="19">
        <v>62107.7</v>
      </c>
      <c r="M172" s="19">
        <v>62107.7</v>
      </c>
      <c r="N172" s="20">
        <v>1</v>
      </c>
      <c r="O172" s="21">
        <v>0</v>
      </c>
      <c r="P172" s="21">
        <v>0</v>
      </c>
      <c r="Q172" s="17">
        <v>0.95535506999999997</v>
      </c>
      <c r="R172" s="19">
        <v>0</v>
      </c>
      <c r="S172" s="19">
        <v>62107.7</v>
      </c>
      <c r="T172" s="19">
        <v>271868.34999999998</v>
      </c>
      <c r="U172" s="19">
        <v>333976.05</v>
      </c>
      <c r="V172" s="19">
        <v>83494.009999999995</v>
      </c>
      <c r="W172" s="19">
        <v>-76260.460000000006</v>
      </c>
      <c r="X172" s="19">
        <v>0</v>
      </c>
      <c r="Y172" s="19">
        <v>-60871.48</v>
      </c>
      <c r="Z172" s="19">
        <v>0</v>
      </c>
      <c r="AA172" s="19">
        <v>0</v>
      </c>
      <c r="AB172" s="19">
        <v>-14936.39</v>
      </c>
      <c r="AC172" s="19">
        <v>-50689.440000000002</v>
      </c>
      <c r="AD172" s="19">
        <v>0</v>
      </c>
      <c r="AE172" s="19">
        <v>0</v>
      </c>
      <c r="AF172" s="19">
        <v>0</v>
      </c>
      <c r="AG172" s="19">
        <v>62107.7</v>
      </c>
      <c r="AH172" s="19">
        <v>0</v>
      </c>
    </row>
    <row r="173" spans="1:34" x14ac:dyDescent="0.25">
      <c r="A173" s="12" t="s">
        <v>38</v>
      </c>
      <c r="B173" s="17">
        <v>549</v>
      </c>
      <c r="C173" s="17">
        <v>1</v>
      </c>
      <c r="D173" s="24" t="s">
        <v>206</v>
      </c>
      <c r="E173" s="18">
        <v>9832</v>
      </c>
      <c r="F173" s="17">
        <v>2000</v>
      </c>
      <c r="G173" s="18">
        <v>20329832</v>
      </c>
      <c r="H173" s="19">
        <v>53289.440000000002</v>
      </c>
      <c r="I173" s="18">
        <v>9832</v>
      </c>
      <c r="J173" s="19">
        <v>18189.2</v>
      </c>
      <c r="K173" s="19">
        <v>81310.64</v>
      </c>
      <c r="L173" s="19">
        <v>81310.64</v>
      </c>
      <c r="M173" s="19">
        <v>81310.64</v>
      </c>
      <c r="N173" s="20">
        <v>1</v>
      </c>
      <c r="O173" s="21">
        <v>0</v>
      </c>
      <c r="P173" s="21">
        <v>0</v>
      </c>
      <c r="Q173" s="17">
        <v>0.95535506999999997</v>
      </c>
      <c r="R173" s="19">
        <v>0</v>
      </c>
      <c r="S173" s="19">
        <v>81310.64</v>
      </c>
      <c r="T173" s="19">
        <v>107260.48</v>
      </c>
      <c r="U173" s="19">
        <v>188571.12</v>
      </c>
      <c r="V173" s="19">
        <v>47142.78</v>
      </c>
      <c r="W173" s="19">
        <v>4543.92</v>
      </c>
      <c r="X173" s="19">
        <v>0</v>
      </c>
      <c r="Y173" s="19">
        <v>5685.52</v>
      </c>
      <c r="Z173" s="19">
        <v>0</v>
      </c>
      <c r="AA173" s="19">
        <v>0</v>
      </c>
      <c r="AB173" s="19">
        <v>14524.79</v>
      </c>
      <c r="AC173" s="19">
        <v>8251.41</v>
      </c>
      <c r="AD173" s="19">
        <v>0</v>
      </c>
      <c r="AE173" s="19">
        <v>0</v>
      </c>
      <c r="AF173" s="19">
        <v>0</v>
      </c>
      <c r="AG173" s="19">
        <v>81310.64</v>
      </c>
      <c r="AH173" s="19">
        <v>0</v>
      </c>
    </row>
    <row r="174" spans="1:34" x14ac:dyDescent="0.25">
      <c r="A174" s="12" t="s">
        <v>38</v>
      </c>
      <c r="B174" s="17">
        <v>550</v>
      </c>
      <c r="C174" s="17">
        <v>1</v>
      </c>
      <c r="D174" s="24" t="s">
        <v>207</v>
      </c>
      <c r="E174" s="18">
        <v>2250</v>
      </c>
      <c r="F174" s="17">
        <v>2000</v>
      </c>
      <c r="G174" s="18">
        <v>3694895</v>
      </c>
      <c r="H174" s="19">
        <v>12195</v>
      </c>
      <c r="I174" s="18">
        <v>2250</v>
      </c>
      <c r="J174" s="19">
        <v>4162.5</v>
      </c>
      <c r="K174" s="19">
        <v>18607.5</v>
      </c>
      <c r="L174" s="19">
        <v>18607.5</v>
      </c>
      <c r="M174" s="19">
        <v>18607.5</v>
      </c>
      <c r="N174" s="20">
        <v>1</v>
      </c>
      <c r="O174" s="21">
        <v>0</v>
      </c>
      <c r="P174" s="21">
        <v>0</v>
      </c>
      <c r="Q174" s="17">
        <v>0.95535506999999997</v>
      </c>
      <c r="R174" s="19">
        <v>0</v>
      </c>
      <c r="S174" s="19">
        <v>18607.5</v>
      </c>
      <c r="T174" s="19">
        <v>41973.63</v>
      </c>
      <c r="U174" s="19">
        <v>60581.13</v>
      </c>
      <c r="V174" s="19">
        <v>15145.28</v>
      </c>
      <c r="W174" s="19">
        <v>17792.43</v>
      </c>
      <c r="X174" s="19">
        <v>0</v>
      </c>
      <c r="Y174" s="19">
        <v>9057.1200000000008</v>
      </c>
      <c r="Z174" s="19">
        <v>0</v>
      </c>
      <c r="AA174" s="19">
        <v>0</v>
      </c>
      <c r="AB174" s="19">
        <v>12316.08</v>
      </c>
      <c r="AC174" s="19">
        <v>13055.21</v>
      </c>
      <c r="AD174" s="19">
        <v>0</v>
      </c>
      <c r="AE174" s="19">
        <v>0</v>
      </c>
      <c r="AF174" s="19">
        <v>0</v>
      </c>
      <c r="AG174" s="19">
        <v>18607.5</v>
      </c>
      <c r="AH174" s="19">
        <v>0</v>
      </c>
    </row>
    <row r="175" spans="1:34" x14ac:dyDescent="0.25">
      <c r="A175" s="12" t="s">
        <v>38</v>
      </c>
      <c r="B175" s="17">
        <v>553</v>
      </c>
      <c r="C175" s="17">
        <v>1</v>
      </c>
      <c r="D175" s="24" t="s">
        <v>208</v>
      </c>
      <c r="E175" s="18">
        <v>3546</v>
      </c>
      <c r="F175" s="17">
        <v>2000</v>
      </c>
      <c r="G175" s="18">
        <v>3348326</v>
      </c>
      <c r="H175" s="19">
        <v>19219.32</v>
      </c>
      <c r="I175" s="18">
        <v>3546</v>
      </c>
      <c r="J175" s="19">
        <v>6560.1</v>
      </c>
      <c r="K175" s="19">
        <v>29325.42</v>
      </c>
      <c r="L175" s="19">
        <v>29325.42</v>
      </c>
      <c r="M175" s="19">
        <v>29325.42</v>
      </c>
      <c r="N175" s="20">
        <v>1</v>
      </c>
      <c r="O175" s="21">
        <v>0</v>
      </c>
      <c r="P175" s="21">
        <v>0</v>
      </c>
      <c r="Q175" s="17">
        <v>0.95535506999999997</v>
      </c>
      <c r="R175" s="19">
        <v>0</v>
      </c>
      <c r="S175" s="19">
        <v>29325.42</v>
      </c>
      <c r="T175" s="19">
        <v>81969.17</v>
      </c>
      <c r="U175" s="19">
        <v>111294.59</v>
      </c>
      <c r="V175" s="19">
        <v>27823.65</v>
      </c>
      <c r="W175" s="19">
        <v>14768.93</v>
      </c>
      <c r="X175" s="19">
        <v>0</v>
      </c>
      <c r="Y175" s="19">
        <v>20468</v>
      </c>
      <c r="Z175" s="19">
        <v>0</v>
      </c>
      <c r="AA175" s="19">
        <v>0</v>
      </c>
      <c r="AB175" s="19">
        <v>18529.009999999998</v>
      </c>
      <c r="AC175" s="19">
        <v>17921.98</v>
      </c>
      <c r="AD175" s="19">
        <v>0</v>
      </c>
      <c r="AE175" s="19">
        <v>0</v>
      </c>
      <c r="AF175" s="19">
        <v>0</v>
      </c>
      <c r="AG175" s="19">
        <v>29325.42</v>
      </c>
      <c r="AH175" s="19">
        <v>0</v>
      </c>
    </row>
    <row r="176" spans="1:34" x14ac:dyDescent="0.25">
      <c r="A176" s="12" t="s">
        <v>38</v>
      </c>
      <c r="B176" s="17">
        <v>561</v>
      </c>
      <c r="C176" s="17">
        <v>1</v>
      </c>
      <c r="D176" s="24" t="s">
        <v>209</v>
      </c>
      <c r="E176" s="18">
        <v>830</v>
      </c>
      <c r="F176" s="17">
        <v>2000</v>
      </c>
      <c r="G176" s="18">
        <v>1004672</v>
      </c>
      <c r="H176" s="19">
        <v>7235.7</v>
      </c>
      <c r="I176" s="18">
        <v>1335</v>
      </c>
      <c r="J176" s="19">
        <v>0</v>
      </c>
      <c r="K176" s="19">
        <v>8570.7000000000007</v>
      </c>
      <c r="L176" s="19">
        <v>8570.7000000000007</v>
      </c>
      <c r="M176" s="19">
        <v>8570.7000000000007</v>
      </c>
      <c r="N176" s="20">
        <v>1</v>
      </c>
      <c r="O176" s="21">
        <v>0</v>
      </c>
      <c r="P176" s="21">
        <v>0</v>
      </c>
      <c r="Q176" s="17">
        <v>0.95535506999999997</v>
      </c>
      <c r="R176" s="19">
        <v>0</v>
      </c>
      <c r="S176" s="19">
        <v>8570.7000000000007</v>
      </c>
      <c r="T176" s="19">
        <v>4137.26</v>
      </c>
      <c r="U176" s="19">
        <v>12707.96</v>
      </c>
      <c r="V176" s="19">
        <v>3176.99</v>
      </c>
      <c r="W176" s="19">
        <v>39.57</v>
      </c>
      <c r="X176" s="19">
        <v>0</v>
      </c>
      <c r="Y176" s="19">
        <v>2284.4299999999998</v>
      </c>
      <c r="Z176" s="19">
        <v>0</v>
      </c>
      <c r="AA176" s="19">
        <v>0</v>
      </c>
      <c r="AB176" s="19">
        <v>1422.51</v>
      </c>
      <c r="AC176" s="19">
        <v>1248.8399999999999</v>
      </c>
      <c r="AD176" s="19">
        <v>0</v>
      </c>
      <c r="AE176" s="19">
        <v>0</v>
      </c>
      <c r="AF176" s="19">
        <v>0</v>
      </c>
      <c r="AG176" s="19">
        <v>8570.7000000000007</v>
      </c>
      <c r="AH176" s="19">
        <v>0</v>
      </c>
    </row>
    <row r="177" spans="1:34" x14ac:dyDescent="0.25">
      <c r="A177" s="12" t="s">
        <v>38</v>
      </c>
      <c r="B177" s="17">
        <v>564</v>
      </c>
      <c r="C177" s="17">
        <v>1</v>
      </c>
      <c r="D177" s="24" t="s">
        <v>210</v>
      </c>
      <c r="E177" s="18">
        <v>13092</v>
      </c>
      <c r="F177" s="17">
        <v>2000</v>
      </c>
      <c r="G177" s="18">
        <v>9061466</v>
      </c>
      <c r="H177" s="19">
        <v>70958.64</v>
      </c>
      <c r="I177" s="18">
        <v>13092</v>
      </c>
      <c r="J177" s="19">
        <v>19829.560000000001</v>
      </c>
      <c r="K177" s="19">
        <v>103880.2</v>
      </c>
      <c r="L177" s="19">
        <v>81553.19</v>
      </c>
      <c r="M177" s="19">
        <v>81553.19</v>
      </c>
      <c r="N177" s="20">
        <v>1</v>
      </c>
      <c r="O177" s="21">
        <v>22327.01</v>
      </c>
      <c r="P177" s="21">
        <v>22327.01</v>
      </c>
      <c r="Q177" s="17">
        <v>0.95535506999999997</v>
      </c>
      <c r="R177" s="19">
        <v>21330.22</v>
      </c>
      <c r="S177" s="19">
        <v>103880.2</v>
      </c>
      <c r="T177" s="19">
        <v>165902.24</v>
      </c>
      <c r="U177" s="19">
        <v>269782.44</v>
      </c>
      <c r="V177" s="19">
        <v>67445.61</v>
      </c>
      <c r="W177" s="19">
        <v>59028.13</v>
      </c>
      <c r="X177" s="19">
        <v>0</v>
      </c>
      <c r="Y177" s="19">
        <v>67510.67</v>
      </c>
      <c r="Z177" s="19">
        <v>0</v>
      </c>
      <c r="AA177" s="19">
        <v>0</v>
      </c>
      <c r="AB177" s="19">
        <v>53415.4</v>
      </c>
      <c r="AC177" s="19">
        <v>59984.73</v>
      </c>
      <c r="AD177" s="19">
        <v>0</v>
      </c>
      <c r="AE177" s="19">
        <v>0</v>
      </c>
      <c r="AF177" s="19">
        <v>0</v>
      </c>
      <c r="AG177" s="19">
        <v>81553.19</v>
      </c>
      <c r="AH177" s="19">
        <v>22327.01</v>
      </c>
    </row>
    <row r="178" spans="1:34" x14ac:dyDescent="0.25">
      <c r="A178" s="12" t="s">
        <v>38</v>
      </c>
      <c r="B178" s="17">
        <v>577</v>
      </c>
      <c r="C178" s="17">
        <v>1</v>
      </c>
      <c r="D178" s="24" t="s">
        <v>211</v>
      </c>
      <c r="E178" s="18">
        <v>2958</v>
      </c>
      <c r="F178" s="17">
        <v>2000</v>
      </c>
      <c r="G178" s="18">
        <v>4194466</v>
      </c>
      <c r="H178" s="19">
        <v>16032.36</v>
      </c>
      <c r="I178" s="18">
        <v>2958</v>
      </c>
      <c r="J178" s="19">
        <v>5472.3</v>
      </c>
      <c r="K178" s="19">
        <v>24462.66</v>
      </c>
      <c r="L178" s="19">
        <v>24462.66</v>
      </c>
      <c r="M178" s="19">
        <v>24462.66</v>
      </c>
      <c r="N178" s="20">
        <v>1</v>
      </c>
      <c r="O178" s="21">
        <v>0</v>
      </c>
      <c r="P178" s="21">
        <v>0</v>
      </c>
      <c r="Q178" s="17">
        <v>0.95535506999999997</v>
      </c>
      <c r="R178" s="19">
        <v>0</v>
      </c>
      <c r="S178" s="19">
        <v>24462.66</v>
      </c>
      <c r="T178" s="19">
        <v>114974.19</v>
      </c>
      <c r="U178" s="19">
        <v>139436.85</v>
      </c>
      <c r="V178" s="19">
        <v>34859.21</v>
      </c>
      <c r="W178" s="19">
        <v>8272.7999999999993</v>
      </c>
      <c r="X178" s="19">
        <v>0</v>
      </c>
      <c r="Y178" s="19">
        <v>19879.71</v>
      </c>
      <c r="Z178" s="19">
        <v>302.49</v>
      </c>
      <c r="AA178" s="19">
        <v>0</v>
      </c>
      <c r="AB178" s="19">
        <v>1845.8</v>
      </c>
      <c r="AC178" s="19">
        <v>9898.61</v>
      </c>
      <c r="AD178" s="19">
        <v>0</v>
      </c>
      <c r="AE178" s="19">
        <v>0</v>
      </c>
      <c r="AF178" s="19">
        <v>0</v>
      </c>
      <c r="AG178" s="19">
        <v>24462.66</v>
      </c>
      <c r="AH178" s="19">
        <v>0</v>
      </c>
    </row>
    <row r="179" spans="1:34" x14ac:dyDescent="0.25">
      <c r="A179" s="12" t="s">
        <v>38</v>
      </c>
      <c r="B179" s="17">
        <v>578</v>
      </c>
      <c r="C179" s="17">
        <v>1</v>
      </c>
      <c r="D179" s="24" t="s">
        <v>212</v>
      </c>
      <c r="E179" s="18">
        <v>11156</v>
      </c>
      <c r="F179" s="17">
        <v>2001</v>
      </c>
      <c r="G179" s="18">
        <v>12042552</v>
      </c>
      <c r="H179" s="19">
        <v>60465.52</v>
      </c>
      <c r="I179" s="18">
        <v>11156</v>
      </c>
      <c r="J179" s="19">
        <v>18997.080000000002</v>
      </c>
      <c r="K179" s="19">
        <v>90618.6</v>
      </c>
      <c r="L179" s="19">
        <v>90618.6</v>
      </c>
      <c r="M179" s="19">
        <v>90618.6</v>
      </c>
      <c r="N179" s="20">
        <v>1</v>
      </c>
      <c r="O179" s="21">
        <v>0</v>
      </c>
      <c r="P179" s="21">
        <v>0</v>
      </c>
      <c r="Q179" s="17">
        <v>0.95535506999999997</v>
      </c>
      <c r="R179" s="19">
        <v>0</v>
      </c>
      <c r="S179" s="19">
        <v>90618.6</v>
      </c>
      <c r="T179" s="19">
        <v>79017.039999999994</v>
      </c>
      <c r="U179" s="19">
        <v>169635.64</v>
      </c>
      <c r="V179" s="19">
        <v>42408.91</v>
      </c>
      <c r="W179" s="19">
        <v>-53732.07</v>
      </c>
      <c r="X179" s="19">
        <v>0</v>
      </c>
      <c r="Y179" s="19">
        <v>-21778.36</v>
      </c>
      <c r="Z179" s="19">
        <v>0</v>
      </c>
      <c r="AA179" s="19">
        <v>0</v>
      </c>
      <c r="AB179" s="19">
        <v>22629.200000000001</v>
      </c>
      <c r="AC179" s="19">
        <v>-17627.080000000002</v>
      </c>
      <c r="AD179" s="19">
        <v>0</v>
      </c>
      <c r="AE179" s="19">
        <v>0</v>
      </c>
      <c r="AF179" s="19">
        <v>0</v>
      </c>
      <c r="AG179" s="19">
        <v>90618.6</v>
      </c>
      <c r="AH179" s="19">
        <v>0</v>
      </c>
    </row>
    <row r="180" spans="1:34" x14ac:dyDescent="0.25">
      <c r="A180" s="12" t="s">
        <v>38</v>
      </c>
      <c r="B180" s="17">
        <v>581</v>
      </c>
      <c r="C180" s="17">
        <v>1</v>
      </c>
      <c r="D180" s="24" t="s">
        <v>213</v>
      </c>
      <c r="E180" s="18">
        <v>2348</v>
      </c>
      <c r="F180" s="17">
        <v>2000</v>
      </c>
      <c r="G180" s="18">
        <v>2987042</v>
      </c>
      <c r="H180" s="19">
        <v>12726.16</v>
      </c>
      <c r="I180" s="18">
        <v>2348</v>
      </c>
      <c r="J180" s="19">
        <v>4343.8</v>
      </c>
      <c r="K180" s="19">
        <v>19417.96</v>
      </c>
      <c r="L180" s="19">
        <v>19417.96</v>
      </c>
      <c r="M180" s="19">
        <v>19417.96</v>
      </c>
      <c r="N180" s="20">
        <v>1</v>
      </c>
      <c r="O180" s="21">
        <v>0</v>
      </c>
      <c r="P180" s="21">
        <v>0</v>
      </c>
      <c r="Q180" s="17">
        <v>0.95535506999999997</v>
      </c>
      <c r="R180" s="19">
        <v>0</v>
      </c>
      <c r="S180" s="19">
        <v>19417.96</v>
      </c>
      <c r="T180" s="19">
        <v>22143.02</v>
      </c>
      <c r="U180" s="19">
        <v>41560.980000000003</v>
      </c>
      <c r="V180" s="19">
        <v>10390.25</v>
      </c>
      <c r="W180" s="19">
        <v>7478.31</v>
      </c>
      <c r="X180" s="19">
        <v>0</v>
      </c>
      <c r="Y180" s="19">
        <v>16342.12</v>
      </c>
      <c r="Z180" s="19">
        <v>0</v>
      </c>
      <c r="AA180" s="19">
        <v>0</v>
      </c>
      <c r="AB180" s="19">
        <v>5079.46</v>
      </c>
      <c r="AC180" s="19">
        <v>9633.2999999999993</v>
      </c>
      <c r="AD180" s="19">
        <v>0</v>
      </c>
      <c r="AE180" s="19">
        <v>0</v>
      </c>
      <c r="AF180" s="19">
        <v>0</v>
      </c>
      <c r="AG180" s="19">
        <v>19417.96</v>
      </c>
      <c r="AH180" s="19">
        <v>0</v>
      </c>
    </row>
    <row r="181" spans="1:34" x14ac:dyDescent="0.25">
      <c r="A181" s="12" t="s">
        <v>38</v>
      </c>
      <c r="B181" s="17">
        <v>592</v>
      </c>
      <c r="C181" s="17">
        <v>1</v>
      </c>
      <c r="D181" s="24" t="s">
        <v>214</v>
      </c>
      <c r="E181" s="18">
        <v>967</v>
      </c>
      <c r="F181" s="17">
        <v>2000</v>
      </c>
      <c r="G181" s="18">
        <v>1147137</v>
      </c>
      <c r="H181" s="19">
        <v>7235.7</v>
      </c>
      <c r="I181" s="18">
        <v>0</v>
      </c>
      <c r="J181" s="19">
        <v>0</v>
      </c>
      <c r="K181" s="19">
        <v>7235.7</v>
      </c>
      <c r="L181" s="19">
        <v>7235.7</v>
      </c>
      <c r="M181" s="19">
        <v>7235.7</v>
      </c>
      <c r="N181" s="20">
        <v>1</v>
      </c>
      <c r="O181" s="21">
        <v>0</v>
      </c>
      <c r="P181" s="21">
        <v>0</v>
      </c>
      <c r="Q181" s="17">
        <v>0.95535506999999997</v>
      </c>
      <c r="R181" s="19">
        <v>0</v>
      </c>
      <c r="S181" s="19">
        <v>7235.7</v>
      </c>
      <c r="T181" s="19">
        <v>15277.51</v>
      </c>
      <c r="U181" s="19">
        <v>22513.21</v>
      </c>
      <c r="V181" s="19">
        <v>5628.3</v>
      </c>
      <c r="W181" s="19">
        <v>-8563.81</v>
      </c>
      <c r="X181" s="19">
        <v>0</v>
      </c>
      <c r="Y181" s="19">
        <v>-3921.31</v>
      </c>
      <c r="Z181" s="19">
        <v>0</v>
      </c>
      <c r="AA181" s="19">
        <v>0</v>
      </c>
      <c r="AB181" s="19">
        <v>-359.5</v>
      </c>
      <c r="AC181" s="19">
        <v>-4281.54</v>
      </c>
      <c r="AD181" s="19">
        <v>0</v>
      </c>
      <c r="AE181" s="19">
        <v>0</v>
      </c>
      <c r="AF181" s="19">
        <v>0</v>
      </c>
      <c r="AG181" s="19">
        <v>7235.7</v>
      </c>
      <c r="AH181" s="19">
        <v>0</v>
      </c>
    </row>
    <row r="182" spans="1:34" x14ac:dyDescent="0.25">
      <c r="A182" s="12" t="s">
        <v>38</v>
      </c>
      <c r="B182" s="17">
        <v>593</v>
      </c>
      <c r="C182" s="17">
        <v>1</v>
      </c>
      <c r="D182" s="24" t="s">
        <v>215</v>
      </c>
      <c r="E182" s="18">
        <v>10197</v>
      </c>
      <c r="F182" s="17">
        <v>2000</v>
      </c>
      <c r="G182" s="18">
        <v>7320656</v>
      </c>
      <c r="H182" s="19">
        <v>55267.74</v>
      </c>
      <c r="I182" s="18">
        <v>10197</v>
      </c>
      <c r="J182" s="19">
        <v>18584.71</v>
      </c>
      <c r="K182" s="19">
        <v>84049.45</v>
      </c>
      <c r="L182" s="19">
        <v>65885.899999999994</v>
      </c>
      <c r="M182" s="19">
        <v>65885.899999999994</v>
      </c>
      <c r="N182" s="20">
        <v>1</v>
      </c>
      <c r="O182" s="21">
        <v>18163.55</v>
      </c>
      <c r="P182" s="21">
        <v>18163.55</v>
      </c>
      <c r="Q182" s="17">
        <v>0.95535506999999997</v>
      </c>
      <c r="R182" s="19">
        <v>17352.64</v>
      </c>
      <c r="S182" s="19">
        <v>84049.45</v>
      </c>
      <c r="T182" s="19">
        <v>262587.43</v>
      </c>
      <c r="U182" s="19">
        <v>346636.88</v>
      </c>
      <c r="V182" s="19">
        <v>86659.22</v>
      </c>
      <c r="W182" s="19">
        <v>139848.94</v>
      </c>
      <c r="X182" s="19">
        <v>18459.53</v>
      </c>
      <c r="Y182" s="19">
        <v>17373.2</v>
      </c>
      <c r="Z182" s="19">
        <v>2733.37</v>
      </c>
      <c r="AA182" s="19">
        <v>0</v>
      </c>
      <c r="AB182" s="19">
        <v>11541.65</v>
      </c>
      <c r="AC182" s="19">
        <v>49190.3</v>
      </c>
      <c r="AD182" s="19">
        <v>0</v>
      </c>
      <c r="AE182" s="19">
        <v>0</v>
      </c>
      <c r="AF182" s="19">
        <v>0</v>
      </c>
      <c r="AG182" s="19">
        <v>65885.899999999994</v>
      </c>
      <c r="AH182" s="19">
        <v>18163.55</v>
      </c>
    </row>
    <row r="183" spans="1:34" x14ac:dyDescent="0.25">
      <c r="A183" s="12" t="s">
        <v>38</v>
      </c>
      <c r="B183" s="17">
        <v>595</v>
      </c>
      <c r="C183" s="17">
        <v>1</v>
      </c>
      <c r="D183" s="24" t="s">
        <v>216</v>
      </c>
      <c r="E183" s="18">
        <v>9117</v>
      </c>
      <c r="F183" s="17">
        <v>2000</v>
      </c>
      <c r="G183" s="18">
        <v>8043201</v>
      </c>
      <c r="H183" s="19">
        <v>49414.14</v>
      </c>
      <c r="I183" s="18">
        <v>9117</v>
      </c>
      <c r="J183" s="19">
        <v>16866.45</v>
      </c>
      <c r="K183" s="19">
        <v>75397.59</v>
      </c>
      <c r="L183" s="19">
        <v>72388.81</v>
      </c>
      <c r="M183" s="19">
        <v>72388.81</v>
      </c>
      <c r="N183" s="20">
        <v>1</v>
      </c>
      <c r="O183" s="21">
        <v>3008.78</v>
      </c>
      <c r="P183" s="21">
        <v>3008.78</v>
      </c>
      <c r="Q183" s="17">
        <v>0.95535506999999997</v>
      </c>
      <c r="R183" s="19">
        <v>2874.45</v>
      </c>
      <c r="S183" s="19">
        <v>75397.59</v>
      </c>
      <c r="T183" s="19">
        <v>83137.899999999994</v>
      </c>
      <c r="U183" s="19">
        <v>158535.49</v>
      </c>
      <c r="V183" s="19">
        <v>39633.870000000003</v>
      </c>
      <c r="W183" s="19">
        <v>43687.93</v>
      </c>
      <c r="X183" s="19">
        <v>0</v>
      </c>
      <c r="Y183" s="19">
        <v>30665.27</v>
      </c>
      <c r="Z183" s="19">
        <v>0</v>
      </c>
      <c r="AA183" s="19">
        <v>0</v>
      </c>
      <c r="AB183" s="19">
        <v>30251.01</v>
      </c>
      <c r="AC183" s="19">
        <v>34868.07</v>
      </c>
      <c r="AD183" s="19">
        <v>0</v>
      </c>
      <c r="AE183" s="19">
        <v>0</v>
      </c>
      <c r="AF183" s="19">
        <v>0</v>
      </c>
      <c r="AG183" s="19">
        <v>72388.81</v>
      </c>
      <c r="AH183" s="19">
        <v>3008.78</v>
      </c>
    </row>
    <row r="184" spans="1:34" x14ac:dyDescent="0.25">
      <c r="A184" s="12" t="s">
        <v>38</v>
      </c>
      <c r="B184" s="17">
        <v>599</v>
      </c>
      <c r="C184" s="17">
        <v>1</v>
      </c>
      <c r="D184" s="24" t="s">
        <v>217</v>
      </c>
      <c r="E184" s="18">
        <v>2892</v>
      </c>
      <c r="F184" s="17">
        <v>2000</v>
      </c>
      <c r="G184" s="18">
        <v>4195928</v>
      </c>
      <c r="H184" s="19">
        <v>15674.64</v>
      </c>
      <c r="I184" s="18">
        <v>2892</v>
      </c>
      <c r="J184" s="19">
        <v>5350.2</v>
      </c>
      <c r="K184" s="19">
        <v>23916.84</v>
      </c>
      <c r="L184" s="19">
        <v>23916.84</v>
      </c>
      <c r="M184" s="19">
        <v>23916.84</v>
      </c>
      <c r="N184" s="20">
        <v>1</v>
      </c>
      <c r="O184" s="21">
        <v>0</v>
      </c>
      <c r="P184" s="21">
        <v>0</v>
      </c>
      <c r="Q184" s="17">
        <v>0.95535506999999997</v>
      </c>
      <c r="R184" s="19">
        <v>0</v>
      </c>
      <c r="S184" s="19">
        <v>23916.84</v>
      </c>
      <c r="T184" s="19">
        <v>48079.839999999997</v>
      </c>
      <c r="U184" s="19">
        <v>71996.679999999993</v>
      </c>
      <c r="V184" s="19">
        <v>17999.169999999998</v>
      </c>
      <c r="W184" s="19">
        <v>1.28</v>
      </c>
      <c r="X184" s="19">
        <v>0</v>
      </c>
      <c r="Y184" s="19">
        <v>-22353.32</v>
      </c>
      <c r="Z184" s="19">
        <v>0</v>
      </c>
      <c r="AA184" s="19">
        <v>0</v>
      </c>
      <c r="AB184" s="19">
        <v>0</v>
      </c>
      <c r="AC184" s="19">
        <v>-7450.68</v>
      </c>
      <c r="AD184" s="19">
        <v>0</v>
      </c>
      <c r="AE184" s="19">
        <v>0</v>
      </c>
      <c r="AF184" s="19">
        <v>0</v>
      </c>
      <c r="AG184" s="19">
        <v>23916.84</v>
      </c>
      <c r="AH184" s="19">
        <v>0</v>
      </c>
    </row>
    <row r="185" spans="1:34" x14ac:dyDescent="0.25">
      <c r="A185" s="12" t="s">
        <v>38</v>
      </c>
      <c r="B185" s="17">
        <v>600</v>
      </c>
      <c r="C185" s="17">
        <v>1</v>
      </c>
      <c r="D185" s="24" t="s">
        <v>218</v>
      </c>
      <c r="E185" s="18">
        <v>1075</v>
      </c>
      <c r="F185" s="17">
        <v>2000</v>
      </c>
      <c r="G185" s="18">
        <v>1932207</v>
      </c>
      <c r="H185" s="19">
        <v>7235.7</v>
      </c>
      <c r="I185" s="18">
        <v>1335</v>
      </c>
      <c r="J185" s="19">
        <v>0</v>
      </c>
      <c r="K185" s="19">
        <v>8570.7000000000007</v>
      </c>
      <c r="L185" s="19">
        <v>8570.7000000000007</v>
      </c>
      <c r="M185" s="19">
        <v>8570.7000000000007</v>
      </c>
      <c r="N185" s="20">
        <v>1</v>
      </c>
      <c r="O185" s="21">
        <v>0</v>
      </c>
      <c r="P185" s="21">
        <v>0</v>
      </c>
      <c r="Q185" s="17">
        <v>0.95535506999999997</v>
      </c>
      <c r="R185" s="19">
        <v>0</v>
      </c>
      <c r="S185" s="19">
        <v>11040.45</v>
      </c>
      <c r="T185" s="19">
        <v>21176.36</v>
      </c>
      <c r="U185" s="19">
        <v>32216.81</v>
      </c>
      <c r="V185" s="19">
        <v>8054.2</v>
      </c>
      <c r="W185" s="19">
        <v>5872.02</v>
      </c>
      <c r="X185" s="19">
        <v>0</v>
      </c>
      <c r="Y185" s="19">
        <v>5663.37</v>
      </c>
      <c r="Z185" s="19">
        <v>0</v>
      </c>
      <c r="AA185" s="19">
        <v>0</v>
      </c>
      <c r="AB185" s="19">
        <v>6231.16</v>
      </c>
      <c r="AC185" s="19">
        <v>5922.18</v>
      </c>
      <c r="AD185" s="19">
        <v>0</v>
      </c>
      <c r="AE185" s="19">
        <v>0</v>
      </c>
      <c r="AF185" s="19">
        <v>0</v>
      </c>
      <c r="AG185" s="19">
        <v>8570.7000000000007</v>
      </c>
      <c r="AH185" s="19">
        <v>0</v>
      </c>
    </row>
    <row r="186" spans="1:34" x14ac:dyDescent="0.25">
      <c r="A186" s="12" t="s">
        <v>38</v>
      </c>
      <c r="B186" s="17">
        <v>601</v>
      </c>
      <c r="C186" s="17">
        <v>1</v>
      </c>
      <c r="D186" s="24" t="s">
        <v>219</v>
      </c>
      <c r="E186" s="18">
        <v>3721</v>
      </c>
      <c r="F186" s="17">
        <v>2000</v>
      </c>
      <c r="G186" s="18">
        <v>3184880</v>
      </c>
      <c r="H186" s="19">
        <v>20167.82</v>
      </c>
      <c r="I186" s="18">
        <v>3721</v>
      </c>
      <c r="J186" s="19">
        <v>6883.85</v>
      </c>
      <c r="K186" s="19">
        <v>30772.67</v>
      </c>
      <c r="L186" s="19">
        <v>28663.919999999998</v>
      </c>
      <c r="M186" s="19">
        <v>28663.919999999998</v>
      </c>
      <c r="N186" s="20">
        <v>1</v>
      </c>
      <c r="O186" s="21">
        <v>2108.75</v>
      </c>
      <c r="P186" s="21">
        <v>2108.75</v>
      </c>
      <c r="Q186" s="17">
        <v>0.95535506999999997</v>
      </c>
      <c r="R186" s="19">
        <v>2014.61</v>
      </c>
      <c r="S186" s="19">
        <v>30772.67</v>
      </c>
      <c r="T186" s="19">
        <v>27595.5</v>
      </c>
      <c r="U186" s="19">
        <v>58368.17</v>
      </c>
      <c r="V186" s="19">
        <v>14592.04</v>
      </c>
      <c r="W186" s="19">
        <v>22728.18</v>
      </c>
      <c r="X186" s="19">
        <v>0</v>
      </c>
      <c r="Y186" s="19">
        <v>8911.64</v>
      </c>
      <c r="Z186" s="19">
        <v>0</v>
      </c>
      <c r="AA186" s="19">
        <v>0</v>
      </c>
      <c r="AB186" s="19">
        <v>17659.68</v>
      </c>
      <c r="AC186" s="19">
        <v>16433.169999999998</v>
      </c>
      <c r="AD186" s="19">
        <v>1841.13</v>
      </c>
      <c r="AE186" s="19">
        <v>1714.96</v>
      </c>
      <c r="AF186" s="19">
        <v>126.17</v>
      </c>
      <c r="AG186" s="19">
        <v>26948.959999999999</v>
      </c>
      <c r="AH186" s="19">
        <v>1982.58</v>
      </c>
    </row>
    <row r="187" spans="1:34" x14ac:dyDescent="0.25">
      <c r="A187" s="12" t="s">
        <v>38</v>
      </c>
      <c r="B187" s="17">
        <v>611</v>
      </c>
      <c r="C187" s="17">
        <v>1</v>
      </c>
      <c r="D187" s="24" t="s">
        <v>220</v>
      </c>
      <c r="E187" s="18">
        <v>827</v>
      </c>
      <c r="F187" s="17">
        <v>2000</v>
      </c>
      <c r="G187" s="18">
        <v>1225904</v>
      </c>
      <c r="H187" s="19">
        <v>7235.7</v>
      </c>
      <c r="I187" s="18">
        <v>1335</v>
      </c>
      <c r="J187" s="19">
        <v>2469.75</v>
      </c>
      <c r="K187" s="19">
        <v>11040.45</v>
      </c>
      <c r="L187" s="19">
        <v>11033.14</v>
      </c>
      <c r="M187" s="19">
        <v>11033.14</v>
      </c>
      <c r="N187" s="20">
        <v>1</v>
      </c>
      <c r="O187" s="21">
        <v>7.31</v>
      </c>
      <c r="P187" s="21">
        <v>7.31</v>
      </c>
      <c r="Q187" s="17">
        <v>0.95535506999999997</v>
      </c>
      <c r="R187" s="19">
        <v>6.98</v>
      </c>
      <c r="S187" s="19">
        <v>11040.45</v>
      </c>
      <c r="T187" s="19">
        <v>59636.76</v>
      </c>
      <c r="U187" s="19">
        <v>70677.210000000006</v>
      </c>
      <c r="V187" s="19">
        <v>17669.3</v>
      </c>
      <c r="W187" s="19">
        <v>16952.27</v>
      </c>
      <c r="X187" s="19">
        <v>1323.89</v>
      </c>
      <c r="Y187" s="19">
        <v>6910.54</v>
      </c>
      <c r="Z187" s="19">
        <v>0</v>
      </c>
      <c r="AA187" s="19">
        <v>0</v>
      </c>
      <c r="AB187" s="19">
        <v>6349.28</v>
      </c>
      <c r="AC187" s="19">
        <v>9629.4</v>
      </c>
      <c r="AD187" s="19">
        <v>0</v>
      </c>
      <c r="AE187" s="19">
        <v>0</v>
      </c>
      <c r="AF187" s="19">
        <v>0</v>
      </c>
      <c r="AG187" s="19">
        <v>11033.14</v>
      </c>
      <c r="AH187" s="19">
        <v>7.31</v>
      </c>
    </row>
    <row r="188" spans="1:34" x14ac:dyDescent="0.25">
      <c r="A188" s="12" t="s">
        <v>38</v>
      </c>
      <c r="B188" s="17">
        <v>621</v>
      </c>
      <c r="C188" s="17">
        <v>1</v>
      </c>
      <c r="D188" s="24" t="s">
        <v>221</v>
      </c>
      <c r="E188" s="18">
        <v>76193</v>
      </c>
      <c r="F188" s="17">
        <v>2000</v>
      </c>
      <c r="G188" s="18">
        <v>102788646</v>
      </c>
      <c r="H188" s="19">
        <v>412966.06</v>
      </c>
      <c r="I188" s="18">
        <v>76193</v>
      </c>
      <c r="J188" s="19">
        <v>46962.99</v>
      </c>
      <c r="K188" s="19">
        <v>536122.05000000005</v>
      </c>
      <c r="L188" s="19">
        <v>536122.05000000005</v>
      </c>
      <c r="M188" s="19">
        <v>536122.05000000005</v>
      </c>
      <c r="N188" s="20">
        <v>1</v>
      </c>
      <c r="O188" s="21">
        <v>0</v>
      </c>
      <c r="P188" s="21">
        <v>0</v>
      </c>
      <c r="Q188" s="17">
        <v>0.95535506999999997</v>
      </c>
      <c r="R188" s="19">
        <v>0</v>
      </c>
      <c r="S188" s="19">
        <v>536122.05000000005</v>
      </c>
      <c r="T188" s="19">
        <v>2288821.37</v>
      </c>
      <c r="U188" s="19">
        <v>2824943.42</v>
      </c>
      <c r="V188" s="19">
        <v>706235.86</v>
      </c>
      <c r="W188" s="19">
        <v>179736.83</v>
      </c>
      <c r="X188" s="19">
        <v>0</v>
      </c>
      <c r="Y188" s="19">
        <v>337267.74</v>
      </c>
      <c r="Z188" s="19">
        <v>0</v>
      </c>
      <c r="AA188" s="19">
        <v>0</v>
      </c>
      <c r="AB188" s="19">
        <v>376548.22</v>
      </c>
      <c r="AC188" s="19">
        <v>297850.93</v>
      </c>
      <c r="AD188" s="19">
        <v>0</v>
      </c>
      <c r="AE188" s="19">
        <v>0</v>
      </c>
      <c r="AF188" s="19">
        <v>0</v>
      </c>
      <c r="AG188" s="19">
        <v>536122.05000000005</v>
      </c>
      <c r="AH188" s="19">
        <v>0</v>
      </c>
    </row>
    <row r="189" spans="1:34" x14ac:dyDescent="0.25">
      <c r="A189" s="12" t="s">
        <v>38</v>
      </c>
      <c r="B189" s="17">
        <v>622</v>
      </c>
      <c r="C189" s="17">
        <v>1</v>
      </c>
      <c r="D189" s="24" t="s">
        <v>222</v>
      </c>
      <c r="E189" s="18">
        <v>80332</v>
      </c>
      <c r="F189" s="17">
        <v>2005</v>
      </c>
      <c r="G189" s="18">
        <v>103123190</v>
      </c>
      <c r="H189" s="19">
        <v>435399.44</v>
      </c>
      <c r="I189" s="18">
        <v>80332</v>
      </c>
      <c r="J189" s="19">
        <v>48742.76</v>
      </c>
      <c r="K189" s="19">
        <v>564474.19999999995</v>
      </c>
      <c r="L189" s="19">
        <v>564474.19999999995</v>
      </c>
      <c r="M189" s="19">
        <v>564474.19999999995</v>
      </c>
      <c r="N189" s="20">
        <v>1</v>
      </c>
      <c r="O189" s="21">
        <v>0</v>
      </c>
      <c r="P189" s="21">
        <v>0</v>
      </c>
      <c r="Q189" s="17">
        <v>0.95535506999999997</v>
      </c>
      <c r="R189" s="19">
        <v>0</v>
      </c>
      <c r="S189" s="19">
        <v>564474.19999999995</v>
      </c>
      <c r="T189" s="19">
        <v>3409565.84</v>
      </c>
      <c r="U189" s="19">
        <v>3974040.04</v>
      </c>
      <c r="V189" s="19">
        <v>993510.01</v>
      </c>
      <c r="W189" s="19">
        <v>1027528.55</v>
      </c>
      <c r="X189" s="19">
        <v>0</v>
      </c>
      <c r="Y189" s="19">
        <v>811364.58</v>
      </c>
      <c r="Z189" s="19">
        <v>0</v>
      </c>
      <c r="AA189" s="19">
        <v>0</v>
      </c>
      <c r="AB189" s="19">
        <v>540378</v>
      </c>
      <c r="AC189" s="19">
        <v>793090.38</v>
      </c>
      <c r="AD189" s="19">
        <v>0</v>
      </c>
      <c r="AE189" s="19">
        <v>0</v>
      </c>
      <c r="AF189" s="19">
        <v>0</v>
      </c>
      <c r="AG189" s="19">
        <v>564474.19999999995</v>
      </c>
      <c r="AH189" s="19">
        <v>0</v>
      </c>
    </row>
    <row r="190" spans="1:34" x14ac:dyDescent="0.25">
      <c r="A190" s="12" t="s">
        <v>38</v>
      </c>
      <c r="B190" s="17">
        <v>623</v>
      </c>
      <c r="C190" s="17">
        <v>1</v>
      </c>
      <c r="D190" s="24" t="s">
        <v>223</v>
      </c>
      <c r="E190" s="18">
        <v>54737</v>
      </c>
      <c r="F190" s="17">
        <v>2000</v>
      </c>
      <c r="G190" s="18">
        <v>73347557</v>
      </c>
      <c r="H190" s="19">
        <v>296674.53999999998</v>
      </c>
      <c r="I190" s="18">
        <v>54737</v>
      </c>
      <c r="J190" s="19">
        <v>37736.910000000003</v>
      </c>
      <c r="K190" s="19">
        <v>389148.45</v>
      </c>
      <c r="L190" s="19">
        <v>389148.45</v>
      </c>
      <c r="M190" s="19">
        <v>389148.45</v>
      </c>
      <c r="N190" s="20">
        <v>1</v>
      </c>
      <c r="O190" s="21">
        <v>0</v>
      </c>
      <c r="P190" s="21">
        <v>0</v>
      </c>
      <c r="Q190" s="17">
        <v>0.95535506999999997</v>
      </c>
      <c r="R190" s="19">
        <v>0</v>
      </c>
      <c r="S190" s="19">
        <v>389148.45</v>
      </c>
      <c r="T190" s="19">
        <v>5921529.4900000002</v>
      </c>
      <c r="U190" s="19">
        <v>6310677.9400000004</v>
      </c>
      <c r="V190" s="19">
        <v>1577669.49</v>
      </c>
      <c r="W190" s="19">
        <v>103802.61</v>
      </c>
      <c r="X190" s="19">
        <v>0</v>
      </c>
      <c r="Y190" s="19">
        <v>444077.78</v>
      </c>
      <c r="Z190" s="19">
        <v>0</v>
      </c>
      <c r="AA190" s="19">
        <v>0</v>
      </c>
      <c r="AB190" s="19">
        <v>669634.63</v>
      </c>
      <c r="AC190" s="19">
        <v>405838.34</v>
      </c>
      <c r="AD190" s="19">
        <v>0</v>
      </c>
      <c r="AE190" s="19">
        <v>0</v>
      </c>
      <c r="AF190" s="19">
        <v>0</v>
      </c>
      <c r="AG190" s="19">
        <v>389148.45</v>
      </c>
      <c r="AH190" s="19">
        <v>0</v>
      </c>
    </row>
    <row r="191" spans="1:34" x14ac:dyDescent="0.25">
      <c r="A191" s="12" t="s">
        <v>38</v>
      </c>
      <c r="B191" s="17">
        <v>624</v>
      </c>
      <c r="C191" s="17">
        <v>1</v>
      </c>
      <c r="D191" s="24" t="s">
        <v>224</v>
      </c>
      <c r="E191" s="18">
        <v>54327</v>
      </c>
      <c r="F191" s="17">
        <v>2000</v>
      </c>
      <c r="G191" s="18">
        <v>84908679</v>
      </c>
      <c r="H191" s="19">
        <v>294452.34000000003</v>
      </c>
      <c r="I191" s="18">
        <v>54327</v>
      </c>
      <c r="J191" s="19">
        <v>37560.61</v>
      </c>
      <c r="K191" s="19">
        <v>386339.95</v>
      </c>
      <c r="L191" s="19">
        <v>386339.95</v>
      </c>
      <c r="M191" s="19">
        <v>386339.95</v>
      </c>
      <c r="N191" s="20">
        <v>1</v>
      </c>
      <c r="O191" s="21">
        <v>0</v>
      </c>
      <c r="P191" s="21">
        <v>0</v>
      </c>
      <c r="Q191" s="17">
        <v>0.95535506999999997</v>
      </c>
      <c r="R191" s="19">
        <v>0</v>
      </c>
      <c r="S191" s="19">
        <v>386339.95</v>
      </c>
      <c r="T191" s="19">
        <v>3331722.61</v>
      </c>
      <c r="U191" s="19">
        <v>3718062.56</v>
      </c>
      <c r="V191" s="19">
        <v>929515.64</v>
      </c>
      <c r="W191" s="19">
        <v>1123710.98</v>
      </c>
      <c r="X191" s="19">
        <v>0</v>
      </c>
      <c r="Y191" s="19">
        <v>983279.26</v>
      </c>
      <c r="Z191" s="19">
        <v>0</v>
      </c>
      <c r="AA191" s="19">
        <v>0</v>
      </c>
      <c r="AB191" s="19">
        <v>575119.56000000006</v>
      </c>
      <c r="AC191" s="19">
        <v>894036.6</v>
      </c>
      <c r="AD191" s="19">
        <v>0</v>
      </c>
      <c r="AE191" s="19">
        <v>0</v>
      </c>
      <c r="AF191" s="19">
        <v>0</v>
      </c>
      <c r="AG191" s="19">
        <v>386339.95</v>
      </c>
      <c r="AH191" s="19">
        <v>0</v>
      </c>
    </row>
    <row r="192" spans="1:34" x14ac:dyDescent="0.25">
      <c r="A192" s="12" t="s">
        <v>38</v>
      </c>
      <c r="B192" s="17">
        <v>625</v>
      </c>
      <c r="C192" s="17">
        <v>1</v>
      </c>
      <c r="D192" s="24" t="s">
        <v>225</v>
      </c>
      <c r="E192" s="18">
        <v>287151</v>
      </c>
      <c r="F192" s="17">
        <v>2000</v>
      </c>
      <c r="G192" s="18">
        <v>295174497</v>
      </c>
      <c r="H192" s="19">
        <v>1556358.42</v>
      </c>
      <c r="I192" s="18">
        <v>287151</v>
      </c>
      <c r="J192" s="19">
        <v>137674.93</v>
      </c>
      <c r="K192" s="19">
        <v>1981184.35</v>
      </c>
      <c r="L192" s="19">
        <v>1981184.35</v>
      </c>
      <c r="M192" s="19">
        <v>1981184.35</v>
      </c>
      <c r="N192" s="20">
        <v>1</v>
      </c>
      <c r="O192" s="21">
        <v>0</v>
      </c>
      <c r="P192" s="21">
        <v>0</v>
      </c>
      <c r="Q192" s="17">
        <v>0.95535506999999997</v>
      </c>
      <c r="R192" s="19">
        <v>0</v>
      </c>
      <c r="S192" s="19">
        <v>1981184.35</v>
      </c>
      <c r="T192" s="19">
        <v>7700349.8300000001</v>
      </c>
      <c r="U192" s="19">
        <v>9681534.1799999997</v>
      </c>
      <c r="V192" s="19">
        <v>2420383.5499999998</v>
      </c>
      <c r="W192" s="19">
        <v>1562299.43</v>
      </c>
      <c r="X192" s="19">
        <v>0</v>
      </c>
      <c r="Y192" s="19">
        <v>1512251.31</v>
      </c>
      <c r="Z192" s="19">
        <v>0</v>
      </c>
      <c r="AA192" s="19">
        <v>0</v>
      </c>
      <c r="AB192" s="19">
        <v>1559241.94</v>
      </c>
      <c r="AC192" s="19">
        <v>1544597.56</v>
      </c>
      <c r="AD192" s="19">
        <v>0</v>
      </c>
      <c r="AE192" s="19">
        <v>0</v>
      </c>
      <c r="AF192" s="19">
        <v>0</v>
      </c>
      <c r="AG192" s="19">
        <v>1981184.35</v>
      </c>
      <c r="AH192" s="19">
        <v>0</v>
      </c>
    </row>
    <row r="193" spans="1:34" x14ac:dyDescent="0.25">
      <c r="A193" s="12" t="s">
        <v>38</v>
      </c>
      <c r="B193" s="17">
        <v>627</v>
      </c>
      <c r="C193" s="17">
        <v>1</v>
      </c>
      <c r="D193" s="24" t="s">
        <v>226</v>
      </c>
      <c r="E193" s="18">
        <v>1189</v>
      </c>
      <c r="F193" s="17">
        <v>2000</v>
      </c>
      <c r="G193" s="18">
        <v>1454390</v>
      </c>
      <c r="H193" s="19">
        <v>7235.7</v>
      </c>
      <c r="I193" s="18">
        <v>1335</v>
      </c>
      <c r="J193" s="19">
        <v>2469.75</v>
      </c>
      <c r="K193" s="19">
        <v>11040.45</v>
      </c>
      <c r="L193" s="19">
        <v>11040.45</v>
      </c>
      <c r="M193" s="19">
        <v>11040.45</v>
      </c>
      <c r="N193" s="20">
        <v>1</v>
      </c>
      <c r="O193" s="21">
        <v>0</v>
      </c>
      <c r="P193" s="21">
        <v>0</v>
      </c>
      <c r="Q193" s="17">
        <v>0.95535506999999997</v>
      </c>
      <c r="R193" s="19">
        <v>0</v>
      </c>
      <c r="S193" s="19">
        <v>11040.45</v>
      </c>
      <c r="T193" s="19">
        <v>10913.44</v>
      </c>
      <c r="U193" s="19">
        <v>21953.89</v>
      </c>
      <c r="V193" s="19">
        <v>5488.47</v>
      </c>
      <c r="W193" s="19">
        <v>4409.42</v>
      </c>
      <c r="X193" s="19">
        <v>542.29</v>
      </c>
      <c r="Y193" s="19">
        <v>1401.05</v>
      </c>
      <c r="Z193" s="19">
        <v>0</v>
      </c>
      <c r="AA193" s="19">
        <v>0</v>
      </c>
      <c r="AB193" s="19">
        <v>833.75</v>
      </c>
      <c r="AC193" s="19">
        <v>2033.98</v>
      </c>
      <c r="AD193" s="19">
        <v>0</v>
      </c>
      <c r="AE193" s="19">
        <v>0</v>
      </c>
      <c r="AF193" s="19">
        <v>0</v>
      </c>
      <c r="AG193" s="19">
        <v>11040.45</v>
      </c>
      <c r="AH193" s="19">
        <v>0</v>
      </c>
    </row>
    <row r="194" spans="1:34" x14ac:dyDescent="0.25">
      <c r="A194" s="12" t="s">
        <v>38</v>
      </c>
      <c r="B194" s="17">
        <v>628</v>
      </c>
      <c r="C194" s="17">
        <v>1</v>
      </c>
      <c r="D194" s="24" t="s">
        <v>227</v>
      </c>
      <c r="E194" s="18">
        <v>835</v>
      </c>
      <c r="F194" s="17">
        <v>2000</v>
      </c>
      <c r="G194" s="18">
        <v>1036416</v>
      </c>
      <c r="H194" s="19">
        <v>7235.7</v>
      </c>
      <c r="I194" s="18">
        <v>1335</v>
      </c>
      <c r="J194" s="19">
        <v>2469.75</v>
      </c>
      <c r="K194" s="19">
        <v>11040.45</v>
      </c>
      <c r="L194" s="19">
        <v>9327.74</v>
      </c>
      <c r="M194" s="19">
        <v>9327.74</v>
      </c>
      <c r="N194" s="20">
        <v>1</v>
      </c>
      <c r="O194" s="21">
        <v>1712.71</v>
      </c>
      <c r="P194" s="21">
        <v>1712.71</v>
      </c>
      <c r="Q194" s="17">
        <v>0.95535506999999997</v>
      </c>
      <c r="R194" s="19">
        <v>1636.25</v>
      </c>
      <c r="S194" s="19">
        <v>11040.45</v>
      </c>
      <c r="T194" s="19">
        <v>31485.71</v>
      </c>
      <c r="U194" s="19">
        <v>42526.16</v>
      </c>
      <c r="V194" s="19">
        <v>10631.54</v>
      </c>
      <c r="W194" s="19">
        <v>-9633.5499999999993</v>
      </c>
      <c r="X194" s="19">
        <v>0</v>
      </c>
      <c r="Y194" s="19">
        <v>0.6</v>
      </c>
      <c r="Z194" s="19">
        <v>0</v>
      </c>
      <c r="AA194" s="19">
        <v>0</v>
      </c>
      <c r="AB194" s="19">
        <v>877.5</v>
      </c>
      <c r="AC194" s="19">
        <v>-2918.48</v>
      </c>
      <c r="AD194" s="19">
        <v>0</v>
      </c>
      <c r="AE194" s="19">
        <v>0</v>
      </c>
      <c r="AF194" s="19">
        <v>0</v>
      </c>
      <c r="AG194" s="19">
        <v>9327.74</v>
      </c>
      <c r="AH194" s="19">
        <v>1712.71</v>
      </c>
    </row>
    <row r="195" spans="1:34" x14ac:dyDescent="0.25">
      <c r="A195" s="12" t="s">
        <v>38</v>
      </c>
      <c r="B195" s="17">
        <v>630</v>
      </c>
      <c r="C195" s="17">
        <v>1</v>
      </c>
      <c r="D195" s="24" t="s">
        <v>228</v>
      </c>
      <c r="E195" s="18">
        <v>2550</v>
      </c>
      <c r="F195" s="17">
        <v>2000</v>
      </c>
      <c r="G195" s="18">
        <v>1440615</v>
      </c>
      <c r="H195" s="19">
        <v>13821</v>
      </c>
      <c r="I195" s="18">
        <v>2550</v>
      </c>
      <c r="J195" s="19">
        <v>4717.5</v>
      </c>
      <c r="K195" s="19">
        <v>21088.5</v>
      </c>
      <c r="L195" s="19">
        <v>12965.54</v>
      </c>
      <c r="M195" s="19">
        <v>12965.54</v>
      </c>
      <c r="N195" s="20">
        <v>1</v>
      </c>
      <c r="O195" s="21">
        <v>8122.96</v>
      </c>
      <c r="P195" s="21">
        <v>8122.96</v>
      </c>
      <c r="Q195" s="17">
        <v>0.95535506999999997</v>
      </c>
      <c r="R195" s="19">
        <v>7760.31</v>
      </c>
      <c r="S195" s="19">
        <v>21088.5</v>
      </c>
      <c r="T195" s="19">
        <v>67655.09</v>
      </c>
      <c r="U195" s="19">
        <v>88743.59</v>
      </c>
      <c r="V195" s="19">
        <v>22185.9</v>
      </c>
      <c r="W195" s="19">
        <v>23730.77</v>
      </c>
      <c r="X195" s="19">
        <v>2562.7199999999998</v>
      </c>
      <c r="Y195" s="19">
        <v>-5462.85</v>
      </c>
      <c r="Z195" s="19">
        <v>881.26</v>
      </c>
      <c r="AA195" s="19">
        <v>0</v>
      </c>
      <c r="AB195" s="19">
        <v>2.95</v>
      </c>
      <c r="AC195" s="19">
        <v>4942.3</v>
      </c>
      <c r="AD195" s="19">
        <v>0</v>
      </c>
      <c r="AE195" s="19">
        <v>0</v>
      </c>
      <c r="AF195" s="19">
        <v>0</v>
      </c>
      <c r="AG195" s="19">
        <v>12965.54</v>
      </c>
      <c r="AH195" s="19">
        <v>8122.96</v>
      </c>
    </row>
    <row r="196" spans="1:34" x14ac:dyDescent="0.25">
      <c r="A196" s="12" t="s">
        <v>38</v>
      </c>
      <c r="B196" s="17">
        <v>635</v>
      </c>
      <c r="C196" s="17">
        <v>1</v>
      </c>
      <c r="D196" s="24" t="s">
        <v>229</v>
      </c>
      <c r="E196" s="18">
        <v>795</v>
      </c>
      <c r="F196" s="17">
        <v>2000</v>
      </c>
      <c r="G196" s="18">
        <v>1803143</v>
      </c>
      <c r="H196" s="19">
        <v>7235.7</v>
      </c>
      <c r="I196" s="18">
        <v>0</v>
      </c>
      <c r="J196" s="19">
        <v>2469.75</v>
      </c>
      <c r="K196" s="19">
        <v>9705.4500000000007</v>
      </c>
      <c r="L196" s="19">
        <v>9705.4500000000007</v>
      </c>
      <c r="M196" s="19">
        <v>9705.4500000000007</v>
      </c>
      <c r="N196" s="20">
        <v>1</v>
      </c>
      <c r="O196" s="21">
        <v>0</v>
      </c>
      <c r="P196" s="21">
        <v>0</v>
      </c>
      <c r="Q196" s="17">
        <v>0.95535506999999997</v>
      </c>
      <c r="R196" s="19">
        <v>0</v>
      </c>
      <c r="S196" s="19">
        <v>9705.4500000000007</v>
      </c>
      <c r="T196" s="19">
        <v>6860.89</v>
      </c>
      <c r="U196" s="19">
        <v>16566.34</v>
      </c>
      <c r="V196" s="19">
        <v>4141.59</v>
      </c>
      <c r="W196" s="19">
        <v>8495.25</v>
      </c>
      <c r="X196" s="19">
        <v>0</v>
      </c>
      <c r="Y196" s="19">
        <v>1671.32</v>
      </c>
      <c r="Z196" s="19">
        <v>1476.8</v>
      </c>
      <c r="AA196" s="19">
        <v>0</v>
      </c>
      <c r="AB196" s="19">
        <v>-2722.4</v>
      </c>
      <c r="AC196" s="19">
        <v>1989.12</v>
      </c>
      <c r="AD196" s="19">
        <v>0</v>
      </c>
      <c r="AE196" s="19">
        <v>0</v>
      </c>
      <c r="AF196" s="19">
        <v>0</v>
      </c>
      <c r="AG196" s="19">
        <v>9705.4500000000007</v>
      </c>
      <c r="AH196" s="19">
        <v>0</v>
      </c>
    </row>
    <row r="197" spans="1:34" x14ac:dyDescent="0.25">
      <c r="A197" s="12" t="s">
        <v>38</v>
      </c>
      <c r="B197" s="17">
        <v>640</v>
      </c>
      <c r="C197" s="17">
        <v>1</v>
      </c>
      <c r="D197" s="24" t="s">
        <v>230</v>
      </c>
      <c r="E197" s="18">
        <v>2783</v>
      </c>
      <c r="F197" s="17">
        <v>2000</v>
      </c>
      <c r="G197" s="18">
        <v>4515787</v>
      </c>
      <c r="H197" s="19">
        <v>15083.86</v>
      </c>
      <c r="I197" s="18">
        <v>2783</v>
      </c>
      <c r="J197" s="19">
        <v>5148.55</v>
      </c>
      <c r="K197" s="19">
        <v>23015.41</v>
      </c>
      <c r="L197" s="19">
        <v>23015.41</v>
      </c>
      <c r="M197" s="19">
        <v>23015.41</v>
      </c>
      <c r="N197" s="20">
        <v>1</v>
      </c>
      <c r="O197" s="21">
        <v>0</v>
      </c>
      <c r="P197" s="21">
        <v>0</v>
      </c>
      <c r="Q197" s="17">
        <v>0.95535506999999997</v>
      </c>
      <c r="R197" s="19">
        <v>0</v>
      </c>
      <c r="S197" s="19">
        <v>23015.41</v>
      </c>
      <c r="T197" s="19">
        <v>34627.599999999999</v>
      </c>
      <c r="U197" s="19">
        <v>57643.01</v>
      </c>
      <c r="V197" s="19">
        <v>14410.75</v>
      </c>
      <c r="W197" s="19">
        <v>574.26</v>
      </c>
      <c r="X197" s="19">
        <v>0</v>
      </c>
      <c r="Y197" s="19">
        <v>-3105.04</v>
      </c>
      <c r="Z197" s="19">
        <v>0</v>
      </c>
      <c r="AA197" s="19">
        <v>0</v>
      </c>
      <c r="AB197" s="19">
        <v>15138.92</v>
      </c>
      <c r="AC197" s="19">
        <v>4202.71</v>
      </c>
      <c r="AD197" s="19">
        <v>0</v>
      </c>
      <c r="AE197" s="19">
        <v>0</v>
      </c>
      <c r="AF197" s="19">
        <v>0</v>
      </c>
      <c r="AG197" s="19">
        <v>23015.41</v>
      </c>
      <c r="AH197" s="19">
        <v>0</v>
      </c>
    </row>
    <row r="198" spans="1:34" x14ac:dyDescent="0.25">
      <c r="A198" s="12" t="s">
        <v>38</v>
      </c>
      <c r="B198" s="17">
        <v>656</v>
      </c>
      <c r="C198" s="17">
        <v>1</v>
      </c>
      <c r="D198" s="24" t="s">
        <v>231</v>
      </c>
      <c r="E198" s="18">
        <v>29804</v>
      </c>
      <c r="F198" s="17">
        <v>2005</v>
      </c>
      <c r="G198" s="18">
        <v>30614982</v>
      </c>
      <c r="H198" s="19">
        <v>161537.68</v>
      </c>
      <c r="I198" s="18">
        <v>29804</v>
      </c>
      <c r="J198" s="19">
        <v>27015.72</v>
      </c>
      <c r="K198" s="19">
        <v>218357.4</v>
      </c>
      <c r="L198" s="19">
        <v>218357.4</v>
      </c>
      <c r="M198" s="19">
        <v>218357.4</v>
      </c>
      <c r="N198" s="20">
        <v>1</v>
      </c>
      <c r="O198" s="21">
        <v>0</v>
      </c>
      <c r="P198" s="21">
        <v>0</v>
      </c>
      <c r="Q198" s="17">
        <v>0.95535506999999997</v>
      </c>
      <c r="R198" s="19">
        <v>0</v>
      </c>
      <c r="S198" s="19">
        <v>218357.4</v>
      </c>
      <c r="T198" s="19">
        <v>624834.53</v>
      </c>
      <c r="U198" s="19">
        <v>843191.93</v>
      </c>
      <c r="V198" s="19">
        <v>210797.98</v>
      </c>
      <c r="W198" s="19">
        <v>111893.48</v>
      </c>
      <c r="X198" s="19">
        <v>54708.800000000003</v>
      </c>
      <c r="Y198" s="19">
        <v>99413.15</v>
      </c>
      <c r="Z198" s="19">
        <v>0</v>
      </c>
      <c r="AA198" s="19">
        <v>0</v>
      </c>
      <c r="AB198" s="19">
        <v>137510.17000000001</v>
      </c>
      <c r="AC198" s="19">
        <v>98036</v>
      </c>
      <c r="AD198" s="19">
        <v>0</v>
      </c>
      <c r="AE198" s="19">
        <v>0</v>
      </c>
      <c r="AF198" s="19">
        <v>0</v>
      </c>
      <c r="AG198" s="19">
        <v>218357.4</v>
      </c>
      <c r="AH198" s="19">
        <v>0</v>
      </c>
    </row>
    <row r="199" spans="1:34" x14ac:dyDescent="0.25">
      <c r="A199" s="12" t="s">
        <v>38</v>
      </c>
      <c r="B199" s="17">
        <v>659</v>
      </c>
      <c r="C199" s="17">
        <v>1</v>
      </c>
      <c r="D199" s="24" t="s">
        <v>232</v>
      </c>
      <c r="E199" s="18">
        <v>28950</v>
      </c>
      <c r="F199" s="17">
        <v>2006</v>
      </c>
      <c r="G199" s="18">
        <v>29777239</v>
      </c>
      <c r="H199" s="19">
        <v>156909</v>
      </c>
      <c r="I199" s="18">
        <v>28950</v>
      </c>
      <c r="J199" s="19">
        <v>26648.5</v>
      </c>
      <c r="K199" s="19">
        <v>212507.5</v>
      </c>
      <c r="L199" s="19">
        <v>212507.5</v>
      </c>
      <c r="M199" s="19">
        <v>212507.5</v>
      </c>
      <c r="N199" s="20">
        <v>1</v>
      </c>
      <c r="O199" s="21">
        <v>0</v>
      </c>
      <c r="P199" s="21">
        <v>0</v>
      </c>
      <c r="Q199" s="17">
        <v>0.95535506999999997</v>
      </c>
      <c r="R199" s="19">
        <v>0</v>
      </c>
      <c r="S199" s="19">
        <v>212507.5</v>
      </c>
      <c r="T199" s="19">
        <v>1465816.18</v>
      </c>
      <c r="U199" s="19">
        <v>1678323.68</v>
      </c>
      <c r="V199" s="19">
        <v>419580.92</v>
      </c>
      <c r="W199" s="19">
        <v>-58108.75</v>
      </c>
      <c r="X199" s="19">
        <v>0</v>
      </c>
      <c r="Y199" s="19">
        <v>-71033.33</v>
      </c>
      <c r="Z199" s="19">
        <v>0</v>
      </c>
      <c r="AA199" s="19">
        <v>0</v>
      </c>
      <c r="AB199" s="19">
        <v>-34832.769999999997</v>
      </c>
      <c r="AC199" s="19">
        <v>-54658.28</v>
      </c>
      <c r="AD199" s="19">
        <v>0</v>
      </c>
      <c r="AE199" s="19">
        <v>0</v>
      </c>
      <c r="AF199" s="19">
        <v>0</v>
      </c>
      <c r="AG199" s="19">
        <v>212507.5</v>
      </c>
      <c r="AH199" s="19">
        <v>0</v>
      </c>
    </row>
    <row r="200" spans="1:34" x14ac:dyDescent="0.25">
      <c r="A200" s="12" t="s">
        <v>38</v>
      </c>
      <c r="B200" s="17">
        <v>671</v>
      </c>
      <c r="C200" s="17">
        <v>1</v>
      </c>
      <c r="D200" s="24" t="s">
        <v>233</v>
      </c>
      <c r="E200" s="18">
        <v>1982</v>
      </c>
      <c r="F200" s="17">
        <v>2000</v>
      </c>
      <c r="G200" s="18">
        <v>3648156</v>
      </c>
      <c r="H200" s="19">
        <v>10742.44</v>
      </c>
      <c r="I200" s="18">
        <v>1982</v>
      </c>
      <c r="J200" s="19">
        <v>3666.7</v>
      </c>
      <c r="K200" s="19">
        <v>16391.14</v>
      </c>
      <c r="L200" s="19">
        <v>16391.14</v>
      </c>
      <c r="M200" s="19">
        <v>16391.14</v>
      </c>
      <c r="N200" s="20">
        <v>1</v>
      </c>
      <c r="O200" s="21">
        <v>0</v>
      </c>
      <c r="P200" s="21">
        <v>0</v>
      </c>
      <c r="Q200" s="17">
        <v>0.95535506999999997</v>
      </c>
      <c r="R200" s="19">
        <v>0</v>
      </c>
      <c r="S200" s="19">
        <v>16391.14</v>
      </c>
      <c r="T200" s="19">
        <v>77838.740000000005</v>
      </c>
      <c r="U200" s="19">
        <v>94229.88</v>
      </c>
      <c r="V200" s="19">
        <v>23557.47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4419.4799999999996</v>
      </c>
      <c r="AC200" s="19">
        <v>1473.16</v>
      </c>
      <c r="AD200" s="19">
        <v>0</v>
      </c>
      <c r="AE200" s="19">
        <v>0</v>
      </c>
      <c r="AF200" s="19">
        <v>0</v>
      </c>
      <c r="AG200" s="19">
        <v>16391.14</v>
      </c>
      <c r="AH200" s="19">
        <v>0</v>
      </c>
    </row>
    <row r="201" spans="1:34" x14ac:dyDescent="0.25">
      <c r="A201" s="12" t="s">
        <v>38</v>
      </c>
      <c r="B201" s="17">
        <v>676</v>
      </c>
      <c r="C201" s="17">
        <v>1</v>
      </c>
      <c r="D201" s="24" t="s">
        <v>234</v>
      </c>
      <c r="E201" s="18">
        <v>1239</v>
      </c>
      <c r="F201" s="17">
        <v>2000</v>
      </c>
      <c r="G201" s="18">
        <v>899025</v>
      </c>
      <c r="H201" s="19">
        <v>7235.7</v>
      </c>
      <c r="I201" s="18">
        <v>1335</v>
      </c>
      <c r="J201" s="19">
        <v>2469.75</v>
      </c>
      <c r="K201" s="19">
        <v>11040.45</v>
      </c>
      <c r="L201" s="19">
        <v>8091.23</v>
      </c>
      <c r="M201" s="19">
        <v>8091.23</v>
      </c>
      <c r="N201" s="20">
        <v>1</v>
      </c>
      <c r="O201" s="21">
        <v>2949.22</v>
      </c>
      <c r="P201" s="21">
        <v>2949.22</v>
      </c>
      <c r="Q201" s="17">
        <v>0.95535506999999997</v>
      </c>
      <c r="R201" s="19">
        <v>2817.55</v>
      </c>
      <c r="S201" s="19">
        <v>11040.45</v>
      </c>
      <c r="T201" s="19">
        <v>6110</v>
      </c>
      <c r="U201" s="19">
        <v>17150.45</v>
      </c>
      <c r="V201" s="19">
        <v>4287.6099999999997</v>
      </c>
      <c r="W201" s="19">
        <v>625.85</v>
      </c>
      <c r="X201" s="19">
        <v>0</v>
      </c>
      <c r="Y201" s="19">
        <v>894.62</v>
      </c>
      <c r="Z201" s="19">
        <v>0</v>
      </c>
      <c r="AA201" s="19">
        <v>0</v>
      </c>
      <c r="AB201" s="19">
        <v>891.75</v>
      </c>
      <c r="AC201" s="19">
        <v>804.07</v>
      </c>
      <c r="AD201" s="19">
        <v>0</v>
      </c>
      <c r="AE201" s="19">
        <v>0</v>
      </c>
      <c r="AF201" s="19">
        <v>0</v>
      </c>
      <c r="AG201" s="19">
        <v>8091.23</v>
      </c>
      <c r="AH201" s="19">
        <v>2949.22</v>
      </c>
    </row>
    <row r="202" spans="1:34" x14ac:dyDescent="0.25">
      <c r="A202" s="12" t="s">
        <v>38</v>
      </c>
      <c r="B202" s="17">
        <v>682</v>
      </c>
      <c r="C202" s="17">
        <v>1</v>
      </c>
      <c r="D202" s="24" t="s">
        <v>235</v>
      </c>
      <c r="E202" s="18">
        <v>7154</v>
      </c>
      <c r="F202" s="17">
        <v>2000</v>
      </c>
      <c r="G202" s="18">
        <v>5087030</v>
      </c>
      <c r="H202" s="19">
        <v>38774.68</v>
      </c>
      <c r="I202" s="18">
        <v>7154</v>
      </c>
      <c r="J202" s="19">
        <v>13234.9</v>
      </c>
      <c r="K202" s="19">
        <v>59163.58</v>
      </c>
      <c r="L202" s="19">
        <v>45783.27</v>
      </c>
      <c r="M202" s="19">
        <v>45783.27</v>
      </c>
      <c r="N202" s="20">
        <v>1</v>
      </c>
      <c r="O202" s="21">
        <v>13380.31</v>
      </c>
      <c r="P202" s="21">
        <v>13380.31</v>
      </c>
      <c r="Q202" s="17">
        <v>0.95535506999999997</v>
      </c>
      <c r="R202" s="19">
        <v>12782.95</v>
      </c>
      <c r="S202" s="19">
        <v>59163.58</v>
      </c>
      <c r="T202" s="19">
        <v>182225.59</v>
      </c>
      <c r="U202" s="19">
        <v>241389.17</v>
      </c>
      <c r="V202" s="19">
        <v>60347.29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45783.27</v>
      </c>
      <c r="AH202" s="19">
        <v>13380.31</v>
      </c>
    </row>
    <row r="203" spans="1:34" x14ac:dyDescent="0.25">
      <c r="A203" s="12" t="s">
        <v>38</v>
      </c>
      <c r="B203" s="17">
        <v>690</v>
      </c>
      <c r="C203" s="17">
        <v>1</v>
      </c>
      <c r="D203" s="24" t="s">
        <v>236</v>
      </c>
      <c r="E203" s="18">
        <v>6270</v>
      </c>
      <c r="F203" s="17">
        <v>2000</v>
      </c>
      <c r="G203" s="18">
        <v>4712516</v>
      </c>
      <c r="H203" s="19">
        <v>33983.4</v>
      </c>
      <c r="I203" s="18">
        <v>6270</v>
      </c>
      <c r="J203" s="19">
        <v>11599.5</v>
      </c>
      <c r="K203" s="19">
        <v>51852.9</v>
      </c>
      <c r="L203" s="19">
        <v>42412.639999999999</v>
      </c>
      <c r="M203" s="19">
        <v>42412.639999999999</v>
      </c>
      <c r="N203" s="20">
        <v>1</v>
      </c>
      <c r="O203" s="21">
        <v>9440.26</v>
      </c>
      <c r="P203" s="21">
        <v>9440.26</v>
      </c>
      <c r="Q203" s="17">
        <v>0.95535506999999997</v>
      </c>
      <c r="R203" s="19">
        <v>9018.7999999999993</v>
      </c>
      <c r="S203" s="19">
        <v>51852.9</v>
      </c>
      <c r="T203" s="19">
        <v>244632.04</v>
      </c>
      <c r="U203" s="19">
        <v>296484.94</v>
      </c>
      <c r="V203" s="19">
        <v>74121.240000000005</v>
      </c>
      <c r="W203" s="19">
        <v>-23547.67</v>
      </c>
      <c r="X203" s="19">
        <v>0</v>
      </c>
      <c r="Y203" s="19">
        <v>-26246.17</v>
      </c>
      <c r="Z203" s="19">
        <v>0</v>
      </c>
      <c r="AA203" s="19">
        <v>0</v>
      </c>
      <c r="AB203" s="19">
        <v>-12464.44</v>
      </c>
      <c r="AC203" s="19">
        <v>-20752.759999999998</v>
      </c>
      <c r="AD203" s="19">
        <v>0</v>
      </c>
      <c r="AE203" s="19">
        <v>0</v>
      </c>
      <c r="AF203" s="19">
        <v>0</v>
      </c>
      <c r="AG203" s="19">
        <v>42412.639999999999</v>
      </c>
      <c r="AH203" s="19">
        <v>9440.26</v>
      </c>
    </row>
    <row r="204" spans="1:34" x14ac:dyDescent="0.25">
      <c r="A204" s="12" t="s">
        <v>38</v>
      </c>
      <c r="B204" s="17">
        <v>695</v>
      </c>
      <c r="C204" s="17">
        <v>1</v>
      </c>
      <c r="D204" s="24" t="s">
        <v>237</v>
      </c>
      <c r="E204" s="18">
        <v>5771</v>
      </c>
      <c r="F204" s="17">
        <v>2000</v>
      </c>
      <c r="G204" s="18">
        <v>2718780</v>
      </c>
      <c r="H204" s="19">
        <v>31278.82</v>
      </c>
      <c r="I204" s="18">
        <v>5771</v>
      </c>
      <c r="J204" s="19">
        <v>10676.35</v>
      </c>
      <c r="K204" s="19">
        <v>47726.17</v>
      </c>
      <c r="L204" s="19">
        <v>24469.02</v>
      </c>
      <c r="M204" s="19">
        <v>24469.02</v>
      </c>
      <c r="N204" s="20">
        <v>1</v>
      </c>
      <c r="O204" s="21">
        <v>23257.15</v>
      </c>
      <c r="P204" s="21">
        <v>23257.15</v>
      </c>
      <c r="Q204" s="17">
        <v>0.95535506999999997</v>
      </c>
      <c r="R204" s="19">
        <v>22218.84</v>
      </c>
      <c r="S204" s="19">
        <v>47726.17</v>
      </c>
      <c r="T204" s="19">
        <v>34365.5</v>
      </c>
      <c r="U204" s="19">
        <v>82091.67</v>
      </c>
      <c r="V204" s="19">
        <v>20522.919999999998</v>
      </c>
      <c r="W204" s="19">
        <v>9796.32</v>
      </c>
      <c r="X204" s="19">
        <v>0</v>
      </c>
      <c r="Y204" s="19">
        <v>9663</v>
      </c>
      <c r="Z204" s="19">
        <v>0</v>
      </c>
      <c r="AA204" s="19">
        <v>0</v>
      </c>
      <c r="AB204" s="19">
        <v>9438.23</v>
      </c>
      <c r="AC204" s="19">
        <v>9632.52</v>
      </c>
      <c r="AD204" s="19">
        <v>0</v>
      </c>
      <c r="AE204" s="19">
        <v>0</v>
      </c>
      <c r="AF204" s="19">
        <v>0</v>
      </c>
      <c r="AG204" s="19">
        <v>24469.02</v>
      </c>
      <c r="AH204" s="19">
        <v>23257.15</v>
      </c>
    </row>
    <row r="205" spans="1:34" x14ac:dyDescent="0.25">
      <c r="A205" s="12" t="s">
        <v>38</v>
      </c>
      <c r="B205" s="17">
        <v>696</v>
      </c>
      <c r="C205" s="17">
        <v>1</v>
      </c>
      <c r="D205" s="24" t="s">
        <v>238</v>
      </c>
      <c r="E205" s="18">
        <v>5446</v>
      </c>
      <c r="F205" s="17">
        <v>2000</v>
      </c>
      <c r="G205" s="18">
        <v>9322350</v>
      </c>
      <c r="H205" s="19">
        <v>29517.32</v>
      </c>
      <c r="I205" s="18">
        <v>5446</v>
      </c>
      <c r="J205" s="19">
        <v>10075.1</v>
      </c>
      <c r="K205" s="19">
        <v>45038.42</v>
      </c>
      <c r="L205" s="19">
        <v>45038.42</v>
      </c>
      <c r="M205" s="19">
        <v>45038.42</v>
      </c>
      <c r="N205" s="20">
        <v>1</v>
      </c>
      <c r="O205" s="21">
        <v>0</v>
      </c>
      <c r="P205" s="21">
        <v>0</v>
      </c>
      <c r="Q205" s="17">
        <v>0.95535506999999997</v>
      </c>
      <c r="R205" s="19">
        <v>0</v>
      </c>
      <c r="S205" s="19">
        <v>45038.42</v>
      </c>
      <c r="T205" s="19">
        <v>25573.5</v>
      </c>
      <c r="U205" s="19">
        <v>70611.92</v>
      </c>
      <c r="V205" s="19">
        <v>17652.98</v>
      </c>
      <c r="W205" s="19">
        <v>2527.91</v>
      </c>
      <c r="X205" s="19">
        <v>0</v>
      </c>
      <c r="Y205" s="19">
        <v>29920.15</v>
      </c>
      <c r="Z205" s="19">
        <v>0</v>
      </c>
      <c r="AA205" s="19">
        <v>0</v>
      </c>
      <c r="AB205" s="19">
        <v>49097.73</v>
      </c>
      <c r="AC205" s="19">
        <v>27181.93</v>
      </c>
      <c r="AD205" s="19">
        <v>9528.9500000000007</v>
      </c>
      <c r="AE205" s="19">
        <v>9528.9500000000007</v>
      </c>
      <c r="AF205" s="19">
        <v>0</v>
      </c>
      <c r="AG205" s="19">
        <v>35509.47</v>
      </c>
      <c r="AH205" s="19">
        <v>0</v>
      </c>
    </row>
    <row r="206" spans="1:34" x14ac:dyDescent="0.25">
      <c r="A206" s="12" t="s">
        <v>38</v>
      </c>
      <c r="B206" s="17">
        <v>698</v>
      </c>
      <c r="C206" s="17">
        <v>1</v>
      </c>
      <c r="D206" s="24" t="s">
        <v>239</v>
      </c>
      <c r="E206" s="18">
        <v>1661</v>
      </c>
      <c r="F206" s="17">
        <v>2000</v>
      </c>
      <c r="G206" s="18">
        <v>2567299</v>
      </c>
      <c r="H206" s="19">
        <v>9002.6200000000008</v>
      </c>
      <c r="I206" s="18">
        <v>1661</v>
      </c>
      <c r="J206" s="19">
        <v>3072.85</v>
      </c>
      <c r="K206" s="19">
        <v>13736.47</v>
      </c>
      <c r="L206" s="19">
        <v>13736.47</v>
      </c>
      <c r="M206" s="19">
        <v>13736.47</v>
      </c>
      <c r="N206" s="20">
        <v>1</v>
      </c>
      <c r="O206" s="21">
        <v>0</v>
      </c>
      <c r="P206" s="21">
        <v>0</v>
      </c>
      <c r="Q206" s="17">
        <v>0.95535506999999997</v>
      </c>
      <c r="R206" s="19">
        <v>0</v>
      </c>
      <c r="S206" s="19">
        <v>13736.47</v>
      </c>
      <c r="T206" s="19">
        <v>6925.42</v>
      </c>
      <c r="U206" s="19">
        <v>20661.89</v>
      </c>
      <c r="V206" s="19">
        <v>5165.47</v>
      </c>
      <c r="W206" s="19">
        <v>-1789.36</v>
      </c>
      <c r="X206" s="19">
        <v>0</v>
      </c>
      <c r="Y206" s="19">
        <v>10890.96</v>
      </c>
      <c r="Z206" s="19">
        <v>0</v>
      </c>
      <c r="AA206" s="19">
        <v>0</v>
      </c>
      <c r="AB206" s="19">
        <v>9239.58</v>
      </c>
      <c r="AC206" s="19">
        <v>6113.73</v>
      </c>
      <c r="AD206" s="19">
        <v>948.26</v>
      </c>
      <c r="AE206" s="19">
        <v>948.26</v>
      </c>
      <c r="AF206" s="19">
        <v>0</v>
      </c>
      <c r="AG206" s="19">
        <v>12788.21</v>
      </c>
      <c r="AH206" s="19">
        <v>0</v>
      </c>
    </row>
    <row r="207" spans="1:34" x14ac:dyDescent="0.25">
      <c r="A207" s="12" t="s">
        <v>38</v>
      </c>
      <c r="B207" s="17">
        <v>700</v>
      </c>
      <c r="C207" s="17">
        <v>1</v>
      </c>
      <c r="D207" s="24" t="s">
        <v>240</v>
      </c>
      <c r="E207" s="18">
        <v>9773</v>
      </c>
      <c r="F207" s="17">
        <v>2000</v>
      </c>
      <c r="G207" s="18">
        <v>13542318</v>
      </c>
      <c r="H207" s="19">
        <v>52969.66</v>
      </c>
      <c r="I207" s="18">
        <v>9773</v>
      </c>
      <c r="J207" s="19">
        <v>18080.05</v>
      </c>
      <c r="K207" s="19">
        <v>80822.710000000006</v>
      </c>
      <c r="L207" s="19">
        <v>80822.710000000006</v>
      </c>
      <c r="M207" s="19">
        <v>80822.710000000006</v>
      </c>
      <c r="N207" s="20">
        <v>1</v>
      </c>
      <c r="O207" s="21">
        <v>0</v>
      </c>
      <c r="P207" s="21">
        <v>0</v>
      </c>
      <c r="Q207" s="17">
        <v>0.95535506999999997</v>
      </c>
      <c r="R207" s="19">
        <v>0</v>
      </c>
      <c r="S207" s="19">
        <v>80822.710000000006</v>
      </c>
      <c r="T207" s="19">
        <v>363270.39</v>
      </c>
      <c r="U207" s="19">
        <v>444093.1</v>
      </c>
      <c r="V207" s="19">
        <v>111023.28</v>
      </c>
      <c r="W207" s="19">
        <v>17023.060000000001</v>
      </c>
      <c r="X207" s="19">
        <v>0</v>
      </c>
      <c r="Y207" s="19">
        <v>10899.32</v>
      </c>
      <c r="Z207" s="19">
        <v>0</v>
      </c>
      <c r="AA207" s="19">
        <v>0</v>
      </c>
      <c r="AB207" s="19">
        <v>38337.370000000003</v>
      </c>
      <c r="AC207" s="19">
        <v>22086.58</v>
      </c>
      <c r="AD207" s="19">
        <v>0</v>
      </c>
      <c r="AE207" s="19">
        <v>0</v>
      </c>
      <c r="AF207" s="19">
        <v>0</v>
      </c>
      <c r="AG207" s="19">
        <v>80822.710000000006</v>
      </c>
      <c r="AH207" s="19">
        <v>0</v>
      </c>
    </row>
    <row r="208" spans="1:34" x14ac:dyDescent="0.25">
      <c r="A208" s="12" t="s">
        <v>38</v>
      </c>
      <c r="B208" s="17">
        <v>701</v>
      </c>
      <c r="C208" s="17">
        <v>1</v>
      </c>
      <c r="D208" s="24" t="s">
        <v>241</v>
      </c>
      <c r="E208" s="18">
        <v>18077</v>
      </c>
      <c r="F208" s="17">
        <v>2000</v>
      </c>
      <c r="G208" s="18">
        <v>13051065</v>
      </c>
      <c r="H208" s="19">
        <v>97977.34</v>
      </c>
      <c r="I208" s="18">
        <v>18077</v>
      </c>
      <c r="J208" s="19">
        <v>21973.11</v>
      </c>
      <c r="K208" s="19">
        <v>138027.45000000001</v>
      </c>
      <c r="L208" s="19">
        <v>117459.59</v>
      </c>
      <c r="M208" s="19">
        <v>117459.59</v>
      </c>
      <c r="N208" s="20">
        <v>1</v>
      </c>
      <c r="O208" s="21">
        <v>20567.86</v>
      </c>
      <c r="P208" s="21">
        <v>20567.86</v>
      </c>
      <c r="Q208" s="17">
        <v>0.95535506999999997</v>
      </c>
      <c r="R208" s="19">
        <v>19649.61</v>
      </c>
      <c r="S208" s="19">
        <v>138027.45000000001</v>
      </c>
      <c r="T208" s="19">
        <v>119696.55</v>
      </c>
      <c r="U208" s="19">
        <v>257724</v>
      </c>
      <c r="V208" s="19">
        <v>64431</v>
      </c>
      <c r="W208" s="19">
        <v>55398.41</v>
      </c>
      <c r="X208" s="19">
        <v>0</v>
      </c>
      <c r="Y208" s="19">
        <v>69893.06</v>
      </c>
      <c r="Z208" s="19">
        <v>0</v>
      </c>
      <c r="AA208" s="19">
        <v>0</v>
      </c>
      <c r="AB208" s="19">
        <v>71470.44</v>
      </c>
      <c r="AC208" s="19">
        <v>65587.3</v>
      </c>
      <c r="AD208" s="19">
        <v>1156.3</v>
      </c>
      <c r="AE208" s="19">
        <v>984</v>
      </c>
      <c r="AF208" s="19">
        <v>172.3</v>
      </c>
      <c r="AG208" s="19">
        <v>116475.59</v>
      </c>
      <c r="AH208" s="19">
        <v>20395.560000000001</v>
      </c>
    </row>
    <row r="209" spans="1:34" x14ac:dyDescent="0.25">
      <c r="A209" s="12" t="s">
        <v>38</v>
      </c>
      <c r="B209" s="17">
        <v>704</v>
      </c>
      <c r="C209" s="17">
        <v>1</v>
      </c>
      <c r="D209" s="24" t="s">
        <v>242</v>
      </c>
      <c r="E209" s="18">
        <v>12161</v>
      </c>
      <c r="F209" s="17">
        <v>2002</v>
      </c>
      <c r="G209" s="18">
        <v>11937197</v>
      </c>
      <c r="H209" s="19">
        <v>65912.62</v>
      </c>
      <c r="I209" s="18">
        <v>12161</v>
      </c>
      <c r="J209" s="19">
        <v>19429.23</v>
      </c>
      <c r="K209" s="19">
        <v>97502.85</v>
      </c>
      <c r="L209" s="19">
        <v>97502.85</v>
      </c>
      <c r="M209" s="19">
        <v>97502.85</v>
      </c>
      <c r="N209" s="20">
        <v>1</v>
      </c>
      <c r="O209" s="21">
        <v>0</v>
      </c>
      <c r="P209" s="21">
        <v>0</v>
      </c>
      <c r="Q209" s="17">
        <v>0.95535506999999997</v>
      </c>
      <c r="R209" s="19">
        <v>0</v>
      </c>
      <c r="S209" s="19">
        <v>97502.85</v>
      </c>
      <c r="T209" s="19">
        <v>417611.51</v>
      </c>
      <c r="U209" s="19">
        <v>515114.36</v>
      </c>
      <c r="V209" s="19">
        <v>128778.59</v>
      </c>
      <c r="W209" s="19">
        <v>154403.75</v>
      </c>
      <c r="X209" s="19">
        <v>0</v>
      </c>
      <c r="Y209" s="19">
        <v>146387.13</v>
      </c>
      <c r="Z209" s="19">
        <v>0</v>
      </c>
      <c r="AA209" s="19">
        <v>0</v>
      </c>
      <c r="AB209" s="19">
        <v>77750.179999999993</v>
      </c>
      <c r="AC209" s="19">
        <v>126180.35</v>
      </c>
      <c r="AD209" s="19">
        <v>0</v>
      </c>
      <c r="AE209" s="19">
        <v>0</v>
      </c>
      <c r="AF209" s="19">
        <v>0</v>
      </c>
      <c r="AG209" s="19">
        <v>97502.85</v>
      </c>
      <c r="AH209" s="19">
        <v>0</v>
      </c>
    </row>
    <row r="210" spans="1:34" x14ac:dyDescent="0.25">
      <c r="A210" s="12" t="s">
        <v>38</v>
      </c>
      <c r="B210" s="17">
        <v>706</v>
      </c>
      <c r="C210" s="17">
        <v>1</v>
      </c>
      <c r="D210" s="24" t="s">
        <v>243</v>
      </c>
      <c r="E210" s="18">
        <v>11614</v>
      </c>
      <c r="F210" s="17">
        <v>2000</v>
      </c>
      <c r="G210" s="18">
        <v>7211006</v>
      </c>
      <c r="H210" s="19">
        <v>62947.88</v>
      </c>
      <c r="I210" s="18">
        <v>11614</v>
      </c>
      <c r="J210" s="19">
        <v>19194.02</v>
      </c>
      <c r="K210" s="19">
        <v>93755.9</v>
      </c>
      <c r="L210" s="19">
        <v>64899.05</v>
      </c>
      <c r="M210" s="19">
        <v>64899.05</v>
      </c>
      <c r="N210" s="20">
        <v>1</v>
      </c>
      <c r="O210" s="21">
        <v>28856.85</v>
      </c>
      <c r="P210" s="21">
        <v>28856.85</v>
      </c>
      <c r="Q210" s="17">
        <v>0.95535506999999997</v>
      </c>
      <c r="R210" s="19">
        <v>27568.54</v>
      </c>
      <c r="S210" s="19">
        <v>93755.9</v>
      </c>
      <c r="T210" s="19">
        <v>57000.45</v>
      </c>
      <c r="U210" s="19">
        <v>150756.35</v>
      </c>
      <c r="V210" s="19">
        <v>37689.089999999997</v>
      </c>
      <c r="W210" s="19">
        <v>14045.91</v>
      </c>
      <c r="X210" s="19">
        <v>0</v>
      </c>
      <c r="Y210" s="19">
        <v>12202.89</v>
      </c>
      <c r="Z210" s="19">
        <v>0</v>
      </c>
      <c r="AA210" s="19">
        <v>0</v>
      </c>
      <c r="AB210" s="19">
        <v>10210</v>
      </c>
      <c r="AC210" s="19">
        <v>12152.93</v>
      </c>
      <c r="AD210" s="19">
        <v>0</v>
      </c>
      <c r="AE210" s="19">
        <v>0</v>
      </c>
      <c r="AF210" s="19">
        <v>0</v>
      </c>
      <c r="AG210" s="19">
        <v>64899.05</v>
      </c>
      <c r="AH210" s="19">
        <v>28856.85</v>
      </c>
    </row>
    <row r="211" spans="1:34" x14ac:dyDescent="0.25">
      <c r="A211" s="12" t="s">
        <v>38</v>
      </c>
      <c r="B211" s="17">
        <v>707</v>
      </c>
      <c r="C211" s="17">
        <v>1</v>
      </c>
      <c r="D211" s="24" t="s">
        <v>244</v>
      </c>
      <c r="E211" s="18">
        <v>304</v>
      </c>
      <c r="F211" s="17">
        <v>2000</v>
      </c>
      <c r="G211" s="18">
        <v>116478</v>
      </c>
      <c r="H211" s="19">
        <v>7235.7</v>
      </c>
      <c r="I211" s="18">
        <v>1335</v>
      </c>
      <c r="J211" s="19">
        <v>2469.75</v>
      </c>
      <c r="K211" s="19">
        <v>11040.45</v>
      </c>
      <c r="L211" s="19">
        <v>1048.3</v>
      </c>
      <c r="M211" s="19">
        <v>1048.3</v>
      </c>
      <c r="N211" s="20">
        <v>1</v>
      </c>
      <c r="O211" s="21">
        <v>9992.15</v>
      </c>
      <c r="P211" s="21">
        <v>9992.15</v>
      </c>
      <c r="Q211" s="17">
        <v>0.95535506999999997</v>
      </c>
      <c r="R211" s="19">
        <v>9546.0499999999993</v>
      </c>
      <c r="S211" s="19">
        <v>11040.45</v>
      </c>
      <c r="T211" s="19">
        <v>10777.78</v>
      </c>
      <c r="U211" s="19">
        <v>21818.23</v>
      </c>
      <c r="V211" s="19">
        <v>5454.56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1048.3</v>
      </c>
      <c r="AH211" s="19">
        <v>9992.15</v>
      </c>
    </row>
    <row r="212" spans="1:34" x14ac:dyDescent="0.25">
      <c r="A212" s="12" t="s">
        <v>38</v>
      </c>
      <c r="B212" s="17">
        <v>709</v>
      </c>
      <c r="C212" s="17">
        <v>1</v>
      </c>
      <c r="D212" s="24" t="s">
        <v>245</v>
      </c>
      <c r="E212" s="18">
        <v>92900</v>
      </c>
      <c r="F212" s="17">
        <v>2002</v>
      </c>
      <c r="G212" s="18">
        <v>75893038</v>
      </c>
      <c r="H212" s="19">
        <v>503518</v>
      </c>
      <c r="I212" s="18">
        <v>92900</v>
      </c>
      <c r="J212" s="19">
        <v>54147</v>
      </c>
      <c r="K212" s="19">
        <v>650565</v>
      </c>
      <c r="L212" s="19">
        <v>650565</v>
      </c>
      <c r="M212" s="19">
        <v>650565</v>
      </c>
      <c r="N212" s="20">
        <v>1</v>
      </c>
      <c r="O212" s="21">
        <v>0</v>
      </c>
      <c r="P212" s="21">
        <v>0</v>
      </c>
      <c r="Q212" s="17">
        <v>0.95535506999999997</v>
      </c>
      <c r="R212" s="19">
        <v>0</v>
      </c>
      <c r="S212" s="19">
        <v>650565</v>
      </c>
      <c r="T212" s="19">
        <v>8350113.3099999996</v>
      </c>
      <c r="U212" s="19">
        <v>9000678.3100000005</v>
      </c>
      <c r="V212" s="19">
        <v>2250169.58</v>
      </c>
      <c r="W212" s="19">
        <v>345315.14</v>
      </c>
      <c r="X212" s="19">
        <v>0</v>
      </c>
      <c r="Y212" s="19">
        <v>82063.350000000006</v>
      </c>
      <c r="Z212" s="19">
        <v>0</v>
      </c>
      <c r="AA212" s="19">
        <v>0</v>
      </c>
      <c r="AB212" s="19">
        <v>90273.37</v>
      </c>
      <c r="AC212" s="19">
        <v>172550.62</v>
      </c>
      <c r="AD212" s="19">
        <v>0</v>
      </c>
      <c r="AE212" s="19">
        <v>0</v>
      </c>
      <c r="AF212" s="19">
        <v>0</v>
      </c>
      <c r="AG212" s="19">
        <v>650565</v>
      </c>
      <c r="AH212" s="19">
        <v>0</v>
      </c>
    </row>
    <row r="213" spans="1:34" x14ac:dyDescent="0.25">
      <c r="A213" s="12" t="s">
        <v>38</v>
      </c>
      <c r="B213" s="17">
        <v>712</v>
      </c>
      <c r="C213" s="17">
        <v>1</v>
      </c>
      <c r="D213" s="24" t="s">
        <v>246</v>
      </c>
      <c r="E213" s="18">
        <v>4723</v>
      </c>
      <c r="F213" s="17">
        <v>2000</v>
      </c>
      <c r="G213" s="18">
        <v>3840492</v>
      </c>
      <c r="H213" s="19">
        <v>25598.66</v>
      </c>
      <c r="I213" s="18">
        <v>4723</v>
      </c>
      <c r="J213" s="19">
        <v>8737.5499999999993</v>
      </c>
      <c r="K213" s="19">
        <v>39059.21</v>
      </c>
      <c r="L213" s="19">
        <v>34564.43</v>
      </c>
      <c r="M213" s="19">
        <v>34564.43</v>
      </c>
      <c r="N213" s="20">
        <v>1</v>
      </c>
      <c r="O213" s="21">
        <v>4494.78</v>
      </c>
      <c r="P213" s="21">
        <v>4494.78</v>
      </c>
      <c r="Q213" s="17">
        <v>0.95535506999999997</v>
      </c>
      <c r="R213" s="19">
        <v>4294.1099999999997</v>
      </c>
      <c r="S213" s="19">
        <v>39059.21</v>
      </c>
      <c r="T213" s="19">
        <v>12275.76</v>
      </c>
      <c r="U213" s="19">
        <v>51334.97</v>
      </c>
      <c r="V213" s="19">
        <v>12833.74</v>
      </c>
      <c r="W213" s="19">
        <v>14884.84</v>
      </c>
      <c r="X213" s="19">
        <v>2995.18</v>
      </c>
      <c r="Y213" s="19">
        <v>15875.59</v>
      </c>
      <c r="Z213" s="19">
        <v>1377.41</v>
      </c>
      <c r="AA213" s="19">
        <v>0</v>
      </c>
      <c r="AB213" s="19">
        <v>7411.9</v>
      </c>
      <c r="AC213" s="19">
        <v>11266.58</v>
      </c>
      <c r="AD213" s="19">
        <v>0</v>
      </c>
      <c r="AE213" s="19">
        <v>0</v>
      </c>
      <c r="AF213" s="19">
        <v>0</v>
      </c>
      <c r="AG213" s="19">
        <v>34564.43</v>
      </c>
      <c r="AH213" s="19">
        <v>4494.78</v>
      </c>
    </row>
    <row r="214" spans="1:34" x14ac:dyDescent="0.25">
      <c r="A214" s="12" t="s">
        <v>38</v>
      </c>
      <c r="B214" s="17">
        <v>716</v>
      </c>
      <c r="C214" s="17">
        <v>1</v>
      </c>
      <c r="D214" s="24" t="s">
        <v>247</v>
      </c>
      <c r="E214" s="18">
        <v>12488</v>
      </c>
      <c r="F214" s="17">
        <v>2006</v>
      </c>
      <c r="G214" s="18">
        <v>11173277</v>
      </c>
      <c r="H214" s="19">
        <v>67684.960000000006</v>
      </c>
      <c r="I214" s="18">
        <v>12488</v>
      </c>
      <c r="J214" s="19">
        <v>19569.84</v>
      </c>
      <c r="K214" s="19">
        <v>99742.8</v>
      </c>
      <c r="L214" s="19">
        <v>99742.8</v>
      </c>
      <c r="M214" s="19">
        <v>99742.8</v>
      </c>
      <c r="N214" s="20">
        <v>1</v>
      </c>
      <c r="O214" s="21">
        <v>0</v>
      </c>
      <c r="P214" s="21">
        <v>0</v>
      </c>
      <c r="Q214" s="17">
        <v>0.95535506999999997</v>
      </c>
      <c r="R214" s="19">
        <v>0</v>
      </c>
      <c r="S214" s="19">
        <v>99742.8</v>
      </c>
      <c r="T214" s="19">
        <v>260794.85</v>
      </c>
      <c r="U214" s="19">
        <v>360537.65</v>
      </c>
      <c r="V214" s="19">
        <v>90134.41</v>
      </c>
      <c r="W214" s="19">
        <v>82982.64</v>
      </c>
      <c r="X214" s="19">
        <v>0</v>
      </c>
      <c r="Y214" s="19">
        <v>83801.78</v>
      </c>
      <c r="Z214" s="19">
        <v>0</v>
      </c>
      <c r="AA214" s="19">
        <v>0</v>
      </c>
      <c r="AB214" s="19">
        <v>67813.289999999994</v>
      </c>
      <c r="AC214" s="19">
        <v>78199.240000000005</v>
      </c>
      <c r="AD214" s="19">
        <v>0</v>
      </c>
      <c r="AE214" s="19">
        <v>0</v>
      </c>
      <c r="AF214" s="19">
        <v>0</v>
      </c>
      <c r="AG214" s="19">
        <v>99742.8</v>
      </c>
      <c r="AH214" s="19">
        <v>0</v>
      </c>
    </row>
    <row r="215" spans="1:34" x14ac:dyDescent="0.25">
      <c r="A215" s="12" t="s">
        <v>38</v>
      </c>
      <c r="B215" s="17">
        <v>717</v>
      </c>
      <c r="C215" s="17">
        <v>1</v>
      </c>
      <c r="D215" s="24" t="s">
        <v>248</v>
      </c>
      <c r="E215" s="18">
        <v>9421</v>
      </c>
      <c r="F215" s="17">
        <v>2008</v>
      </c>
      <c r="G215" s="18">
        <v>12341819</v>
      </c>
      <c r="H215" s="19">
        <v>51061.82</v>
      </c>
      <c r="I215" s="18">
        <v>9421</v>
      </c>
      <c r="J215" s="19">
        <v>17428.849999999999</v>
      </c>
      <c r="K215" s="19">
        <v>77911.67</v>
      </c>
      <c r="L215" s="19">
        <v>77911.67</v>
      </c>
      <c r="M215" s="19">
        <v>77911.67</v>
      </c>
      <c r="N215" s="20">
        <v>1</v>
      </c>
      <c r="O215" s="21">
        <v>0</v>
      </c>
      <c r="P215" s="21">
        <v>0</v>
      </c>
      <c r="Q215" s="17">
        <v>0.95535506999999997</v>
      </c>
      <c r="R215" s="19">
        <v>0</v>
      </c>
      <c r="S215" s="19">
        <v>77911.67</v>
      </c>
      <c r="T215" s="19">
        <v>418641.88</v>
      </c>
      <c r="U215" s="19">
        <v>496553.55</v>
      </c>
      <c r="V215" s="19">
        <v>124138.39</v>
      </c>
      <c r="W215" s="19">
        <v>-32759.9</v>
      </c>
      <c r="X215" s="19">
        <v>0</v>
      </c>
      <c r="Y215" s="19">
        <v>-28344.44</v>
      </c>
      <c r="Z215" s="19">
        <v>0</v>
      </c>
      <c r="AA215" s="19">
        <v>0</v>
      </c>
      <c r="AB215" s="19">
        <v>10311.459999999999</v>
      </c>
      <c r="AC215" s="19">
        <v>-16930.96</v>
      </c>
      <c r="AD215" s="19">
        <v>0</v>
      </c>
      <c r="AE215" s="19">
        <v>0</v>
      </c>
      <c r="AF215" s="19">
        <v>0</v>
      </c>
      <c r="AG215" s="19">
        <v>77911.67</v>
      </c>
      <c r="AH215" s="19">
        <v>0</v>
      </c>
    </row>
    <row r="216" spans="1:34" x14ac:dyDescent="0.25">
      <c r="A216" s="12" t="s">
        <v>38</v>
      </c>
      <c r="B216" s="17">
        <v>719</v>
      </c>
      <c r="C216" s="17">
        <v>1</v>
      </c>
      <c r="D216" s="24" t="s">
        <v>249</v>
      </c>
      <c r="E216" s="18">
        <v>47077</v>
      </c>
      <c r="F216" s="17">
        <v>2009</v>
      </c>
      <c r="G216" s="18">
        <v>55442440</v>
      </c>
      <c r="H216" s="19">
        <v>255157.34</v>
      </c>
      <c r="I216" s="18">
        <v>47077</v>
      </c>
      <c r="J216" s="19">
        <v>34443.11</v>
      </c>
      <c r="K216" s="19">
        <v>336677.45</v>
      </c>
      <c r="L216" s="19">
        <v>336677.45</v>
      </c>
      <c r="M216" s="19">
        <v>336677.45</v>
      </c>
      <c r="N216" s="20">
        <v>1</v>
      </c>
      <c r="O216" s="21">
        <v>0</v>
      </c>
      <c r="P216" s="21">
        <v>0</v>
      </c>
      <c r="Q216" s="17">
        <v>0.95535506999999997</v>
      </c>
      <c r="R216" s="19">
        <v>0</v>
      </c>
      <c r="S216" s="19">
        <v>333067.5</v>
      </c>
      <c r="T216" s="19">
        <v>2952968.67</v>
      </c>
      <c r="U216" s="19">
        <v>3286036.17</v>
      </c>
      <c r="V216" s="19">
        <v>821509.04</v>
      </c>
      <c r="W216" s="19">
        <v>828480.79</v>
      </c>
      <c r="X216" s="19">
        <v>0</v>
      </c>
      <c r="Y216" s="19">
        <v>699906.74</v>
      </c>
      <c r="Z216" s="19">
        <v>0</v>
      </c>
      <c r="AA216" s="19">
        <v>0</v>
      </c>
      <c r="AB216" s="19">
        <v>623557.91</v>
      </c>
      <c r="AC216" s="19">
        <v>717315.15</v>
      </c>
      <c r="AD216" s="19">
        <v>0</v>
      </c>
      <c r="AE216" s="19">
        <v>0</v>
      </c>
      <c r="AF216" s="19">
        <v>0</v>
      </c>
      <c r="AG216" s="19">
        <v>336677.45</v>
      </c>
      <c r="AH216" s="19">
        <v>0</v>
      </c>
    </row>
    <row r="217" spans="1:34" x14ac:dyDescent="0.25">
      <c r="A217" s="12" t="s">
        <v>38</v>
      </c>
      <c r="B217" s="17">
        <v>720</v>
      </c>
      <c r="C217" s="17">
        <v>1</v>
      </c>
      <c r="D217" s="24" t="s">
        <v>250</v>
      </c>
      <c r="E217" s="18">
        <v>40731</v>
      </c>
      <c r="F217" s="17">
        <v>2009</v>
      </c>
      <c r="G217" s="18">
        <v>54058717</v>
      </c>
      <c r="H217" s="19">
        <v>220762.02</v>
      </c>
      <c r="I217" s="18">
        <v>40731</v>
      </c>
      <c r="J217" s="19">
        <v>31714.33</v>
      </c>
      <c r="K217" s="19">
        <v>293207.34999999998</v>
      </c>
      <c r="L217" s="19">
        <v>293207.34999999998</v>
      </c>
      <c r="M217" s="19">
        <v>293207.34999999998</v>
      </c>
      <c r="N217" s="20">
        <v>1</v>
      </c>
      <c r="O217" s="21">
        <v>0</v>
      </c>
      <c r="P217" s="21">
        <v>0</v>
      </c>
      <c r="Q217" s="17">
        <v>0.95535506999999997</v>
      </c>
      <c r="R217" s="19">
        <v>0</v>
      </c>
      <c r="S217" s="19">
        <v>288549.34999999998</v>
      </c>
      <c r="T217" s="19">
        <v>562148.46</v>
      </c>
      <c r="U217" s="19">
        <v>850697.81</v>
      </c>
      <c r="V217" s="19">
        <v>212674.45</v>
      </c>
      <c r="W217" s="19">
        <v>233881.68</v>
      </c>
      <c r="X217" s="19">
        <v>0</v>
      </c>
      <c r="Y217" s="19">
        <v>238260.36</v>
      </c>
      <c r="Z217" s="19">
        <v>27326.33</v>
      </c>
      <c r="AA217" s="19">
        <v>0</v>
      </c>
      <c r="AB217" s="19">
        <v>209727.89</v>
      </c>
      <c r="AC217" s="19">
        <v>218181.2</v>
      </c>
      <c r="AD217" s="19">
        <v>5506.75</v>
      </c>
      <c r="AE217" s="19">
        <v>5506.75</v>
      </c>
      <c r="AF217" s="19">
        <v>0</v>
      </c>
      <c r="AG217" s="19">
        <v>287700.59999999998</v>
      </c>
      <c r="AH217" s="19">
        <v>0</v>
      </c>
    </row>
    <row r="218" spans="1:34" x14ac:dyDescent="0.25">
      <c r="A218" s="12" t="s">
        <v>38</v>
      </c>
      <c r="B218" s="17">
        <v>721</v>
      </c>
      <c r="C218" s="17">
        <v>1</v>
      </c>
      <c r="D218" s="24" t="s">
        <v>251</v>
      </c>
      <c r="E218" s="18">
        <v>19402</v>
      </c>
      <c r="F218" s="17">
        <v>2009</v>
      </c>
      <c r="G218" s="18">
        <v>23917679</v>
      </c>
      <c r="H218" s="19">
        <v>105158.84</v>
      </c>
      <c r="I218" s="18">
        <v>19402</v>
      </c>
      <c r="J218" s="19">
        <v>22542.86</v>
      </c>
      <c r="K218" s="19">
        <v>147103.70000000001</v>
      </c>
      <c r="L218" s="19">
        <v>147103.70000000001</v>
      </c>
      <c r="M218" s="19">
        <v>147103.70000000001</v>
      </c>
      <c r="N218" s="20">
        <v>1</v>
      </c>
      <c r="O218" s="21">
        <v>0</v>
      </c>
      <c r="P218" s="21">
        <v>0</v>
      </c>
      <c r="Q218" s="17">
        <v>0.95535506999999997</v>
      </c>
      <c r="R218" s="19">
        <v>0</v>
      </c>
      <c r="S218" s="19">
        <v>146658.45000000001</v>
      </c>
      <c r="T218" s="19">
        <v>1038977.27</v>
      </c>
      <c r="U218" s="19">
        <v>1185635.72</v>
      </c>
      <c r="V218" s="19">
        <v>296408.93</v>
      </c>
      <c r="W218" s="19">
        <v>18975.96</v>
      </c>
      <c r="X218" s="19">
        <v>0</v>
      </c>
      <c r="Y218" s="19">
        <v>30343.11</v>
      </c>
      <c r="Z218" s="19">
        <v>0</v>
      </c>
      <c r="AA218" s="19">
        <v>0</v>
      </c>
      <c r="AB218" s="19">
        <v>58215.43</v>
      </c>
      <c r="AC218" s="19">
        <v>35844.83</v>
      </c>
      <c r="AD218" s="19">
        <v>0</v>
      </c>
      <c r="AE218" s="19">
        <v>0</v>
      </c>
      <c r="AF218" s="19">
        <v>0</v>
      </c>
      <c r="AG218" s="19">
        <v>147103.70000000001</v>
      </c>
      <c r="AH218" s="19">
        <v>0</v>
      </c>
    </row>
    <row r="219" spans="1:34" x14ac:dyDescent="0.25">
      <c r="A219" s="12" t="s">
        <v>38</v>
      </c>
      <c r="B219" s="17">
        <v>726</v>
      </c>
      <c r="C219" s="17">
        <v>1</v>
      </c>
      <c r="D219" s="24" t="s">
        <v>252</v>
      </c>
      <c r="E219" s="18">
        <v>11011</v>
      </c>
      <c r="F219" s="17">
        <v>2009</v>
      </c>
      <c r="G219" s="18">
        <v>22972895</v>
      </c>
      <c r="H219" s="19">
        <v>59679.62</v>
      </c>
      <c r="I219" s="18">
        <v>11011</v>
      </c>
      <c r="J219" s="19">
        <v>18934.73</v>
      </c>
      <c r="K219" s="19">
        <v>89625.35</v>
      </c>
      <c r="L219" s="19">
        <v>89625.35</v>
      </c>
      <c r="M219" s="19">
        <v>89625.35</v>
      </c>
      <c r="N219" s="20">
        <v>1</v>
      </c>
      <c r="O219" s="21">
        <v>0</v>
      </c>
      <c r="P219" s="21">
        <v>0</v>
      </c>
      <c r="Q219" s="17">
        <v>0.95535506999999997</v>
      </c>
      <c r="R219" s="19">
        <v>0</v>
      </c>
      <c r="S219" s="19">
        <v>84296.05</v>
      </c>
      <c r="T219" s="19">
        <v>282045.5</v>
      </c>
      <c r="U219" s="19">
        <v>366341.55</v>
      </c>
      <c r="V219" s="19">
        <v>91585.39</v>
      </c>
      <c r="W219" s="19">
        <v>-170859.34</v>
      </c>
      <c r="X219" s="19">
        <v>0</v>
      </c>
      <c r="Y219" s="19">
        <v>-159621.15</v>
      </c>
      <c r="Z219" s="19">
        <v>0</v>
      </c>
      <c r="AA219" s="19">
        <v>0</v>
      </c>
      <c r="AB219" s="19">
        <v>-151326.76999999999</v>
      </c>
      <c r="AC219" s="19">
        <v>-160602.42000000001</v>
      </c>
      <c r="AD219" s="19">
        <v>0</v>
      </c>
      <c r="AE219" s="19">
        <v>0</v>
      </c>
      <c r="AF219" s="19">
        <v>0</v>
      </c>
      <c r="AG219" s="19">
        <v>89625.35</v>
      </c>
      <c r="AH219" s="19">
        <v>0</v>
      </c>
    </row>
    <row r="220" spans="1:34" x14ac:dyDescent="0.25">
      <c r="A220" s="12" t="s">
        <v>38</v>
      </c>
      <c r="B220" s="17">
        <v>727</v>
      </c>
      <c r="C220" s="17">
        <v>1</v>
      </c>
      <c r="D220" s="24" t="s">
        <v>253</v>
      </c>
      <c r="E220" s="18">
        <v>18922</v>
      </c>
      <c r="F220" s="17">
        <v>2006</v>
      </c>
      <c r="G220" s="18">
        <v>16761134</v>
      </c>
      <c r="H220" s="19">
        <v>102557.24</v>
      </c>
      <c r="I220" s="18">
        <v>18922</v>
      </c>
      <c r="J220" s="19">
        <v>22336.46</v>
      </c>
      <c r="K220" s="19">
        <v>143815.70000000001</v>
      </c>
      <c r="L220" s="19">
        <v>143815.70000000001</v>
      </c>
      <c r="M220" s="19">
        <v>143815.70000000001</v>
      </c>
      <c r="N220" s="20">
        <v>1</v>
      </c>
      <c r="O220" s="21">
        <v>0</v>
      </c>
      <c r="P220" s="21">
        <v>0</v>
      </c>
      <c r="Q220" s="17">
        <v>0.95535506999999997</v>
      </c>
      <c r="R220" s="19">
        <v>0</v>
      </c>
      <c r="S220" s="19">
        <v>143815.70000000001</v>
      </c>
      <c r="T220" s="19">
        <v>1049320.6299999999</v>
      </c>
      <c r="U220" s="19">
        <v>1193136.33</v>
      </c>
      <c r="V220" s="19">
        <v>298284.08</v>
      </c>
      <c r="W220" s="19">
        <v>62007.67</v>
      </c>
      <c r="X220" s="19">
        <v>0</v>
      </c>
      <c r="Y220" s="19">
        <v>59561.95</v>
      </c>
      <c r="Z220" s="19">
        <v>0</v>
      </c>
      <c r="AA220" s="19">
        <v>0</v>
      </c>
      <c r="AB220" s="19">
        <v>69414.3</v>
      </c>
      <c r="AC220" s="19">
        <v>63661.31</v>
      </c>
      <c r="AD220" s="19">
        <v>0</v>
      </c>
      <c r="AE220" s="19">
        <v>0</v>
      </c>
      <c r="AF220" s="19">
        <v>0</v>
      </c>
      <c r="AG220" s="19">
        <v>143815.70000000001</v>
      </c>
      <c r="AH220" s="19">
        <v>0</v>
      </c>
    </row>
    <row r="221" spans="1:34" x14ac:dyDescent="0.25">
      <c r="A221" s="12" t="s">
        <v>38</v>
      </c>
      <c r="B221" s="17">
        <v>728</v>
      </c>
      <c r="C221" s="17">
        <v>1</v>
      </c>
      <c r="D221" s="24" t="s">
        <v>254</v>
      </c>
      <c r="E221" s="18">
        <v>63305</v>
      </c>
      <c r="F221" s="17">
        <v>2009</v>
      </c>
      <c r="G221" s="18">
        <v>81303185</v>
      </c>
      <c r="H221" s="19">
        <v>343113.1</v>
      </c>
      <c r="I221" s="18">
        <v>63305</v>
      </c>
      <c r="J221" s="19">
        <v>41421.15</v>
      </c>
      <c r="K221" s="19">
        <v>447839.25</v>
      </c>
      <c r="L221" s="19">
        <v>447839.25</v>
      </c>
      <c r="M221" s="19">
        <v>447839.25</v>
      </c>
      <c r="N221" s="20">
        <v>1</v>
      </c>
      <c r="O221" s="21">
        <v>0</v>
      </c>
      <c r="P221" s="21">
        <v>0</v>
      </c>
      <c r="Q221" s="17">
        <v>0.95535506999999997</v>
      </c>
      <c r="R221" s="19">
        <v>0</v>
      </c>
      <c r="S221" s="19">
        <v>444469.05</v>
      </c>
      <c r="T221" s="19">
        <v>3299244.44</v>
      </c>
      <c r="U221" s="19">
        <v>3743713.49</v>
      </c>
      <c r="V221" s="19">
        <v>935928.37</v>
      </c>
      <c r="W221" s="19">
        <v>287720.99</v>
      </c>
      <c r="X221" s="19">
        <v>0</v>
      </c>
      <c r="Y221" s="19">
        <v>134489.39000000001</v>
      </c>
      <c r="Z221" s="19">
        <v>0</v>
      </c>
      <c r="AA221" s="19">
        <v>0</v>
      </c>
      <c r="AB221" s="19">
        <v>94637.6</v>
      </c>
      <c r="AC221" s="19">
        <v>172282.66</v>
      </c>
      <c r="AD221" s="19">
        <v>0</v>
      </c>
      <c r="AE221" s="19">
        <v>0</v>
      </c>
      <c r="AF221" s="19">
        <v>0</v>
      </c>
      <c r="AG221" s="19">
        <v>447839.25</v>
      </c>
      <c r="AH221" s="19">
        <v>0</v>
      </c>
    </row>
    <row r="222" spans="1:34" x14ac:dyDescent="0.25">
      <c r="A222" s="12" t="s">
        <v>38</v>
      </c>
      <c r="B222" s="17">
        <v>738</v>
      </c>
      <c r="C222" s="17">
        <v>1</v>
      </c>
      <c r="D222" s="24" t="s">
        <v>255</v>
      </c>
      <c r="E222" s="18">
        <v>5179</v>
      </c>
      <c r="F222" s="17">
        <v>2006</v>
      </c>
      <c r="G222" s="18">
        <v>5290472</v>
      </c>
      <c r="H222" s="19">
        <v>28070.18</v>
      </c>
      <c r="I222" s="18">
        <v>5179</v>
      </c>
      <c r="J222" s="19">
        <v>9581.15</v>
      </c>
      <c r="K222" s="19">
        <v>42830.33</v>
      </c>
      <c r="L222" s="19">
        <v>42830.33</v>
      </c>
      <c r="M222" s="19">
        <v>42830.33</v>
      </c>
      <c r="N222" s="20">
        <v>1</v>
      </c>
      <c r="O222" s="21">
        <v>0</v>
      </c>
      <c r="P222" s="21">
        <v>0</v>
      </c>
      <c r="Q222" s="17">
        <v>0.95535506999999997</v>
      </c>
      <c r="R222" s="19">
        <v>0</v>
      </c>
      <c r="S222" s="19">
        <v>42830.33</v>
      </c>
      <c r="T222" s="19">
        <v>89131.34</v>
      </c>
      <c r="U222" s="19">
        <v>131961.67000000001</v>
      </c>
      <c r="V222" s="19">
        <v>32990.42</v>
      </c>
      <c r="W222" s="19">
        <v>-64583.16</v>
      </c>
      <c r="X222" s="19">
        <v>0</v>
      </c>
      <c r="Y222" s="19">
        <v>-63716.78</v>
      </c>
      <c r="Z222" s="19">
        <v>0</v>
      </c>
      <c r="AA222" s="19">
        <v>0</v>
      </c>
      <c r="AB222" s="19">
        <v>-68766.009999999995</v>
      </c>
      <c r="AC222" s="19">
        <v>-65688.649999999994</v>
      </c>
      <c r="AD222" s="19">
        <v>0</v>
      </c>
      <c r="AE222" s="19">
        <v>0</v>
      </c>
      <c r="AF222" s="19">
        <v>0</v>
      </c>
      <c r="AG222" s="19">
        <v>42830.33</v>
      </c>
      <c r="AH222" s="19">
        <v>0</v>
      </c>
    </row>
    <row r="223" spans="1:34" x14ac:dyDescent="0.25">
      <c r="A223" s="12" t="s">
        <v>38</v>
      </c>
      <c r="B223" s="17">
        <v>739</v>
      </c>
      <c r="C223" s="17">
        <v>1</v>
      </c>
      <c r="D223" s="24" t="s">
        <v>256</v>
      </c>
      <c r="E223" s="18">
        <v>4510</v>
      </c>
      <c r="F223" s="17">
        <v>2008</v>
      </c>
      <c r="G223" s="18">
        <v>6148997</v>
      </c>
      <c r="H223" s="19">
        <v>24444.2</v>
      </c>
      <c r="I223" s="18">
        <v>4510</v>
      </c>
      <c r="J223" s="19">
        <v>8343.5</v>
      </c>
      <c r="K223" s="19">
        <v>37297.699999999997</v>
      </c>
      <c r="L223" s="19">
        <v>37297.699999999997</v>
      </c>
      <c r="M223" s="19">
        <v>37297.699999999997</v>
      </c>
      <c r="N223" s="20">
        <v>1</v>
      </c>
      <c r="O223" s="21">
        <v>0</v>
      </c>
      <c r="P223" s="21">
        <v>0</v>
      </c>
      <c r="Q223" s="17">
        <v>0.95535506999999997</v>
      </c>
      <c r="R223" s="19">
        <v>0</v>
      </c>
      <c r="S223" s="19">
        <v>37297.699999999997</v>
      </c>
      <c r="T223" s="19">
        <v>169678.36</v>
      </c>
      <c r="U223" s="19">
        <v>206976.06</v>
      </c>
      <c r="V223" s="19">
        <v>51744.02</v>
      </c>
      <c r="W223" s="19">
        <v>30683.42</v>
      </c>
      <c r="X223" s="19">
        <v>0</v>
      </c>
      <c r="Y223" s="19">
        <v>7111.97</v>
      </c>
      <c r="Z223" s="19">
        <v>0</v>
      </c>
      <c r="AA223" s="19">
        <v>0</v>
      </c>
      <c r="AB223" s="19">
        <v>3373.44</v>
      </c>
      <c r="AC223" s="19">
        <v>13722.94</v>
      </c>
      <c r="AD223" s="19">
        <v>0</v>
      </c>
      <c r="AE223" s="19">
        <v>0</v>
      </c>
      <c r="AF223" s="19">
        <v>0</v>
      </c>
      <c r="AG223" s="19">
        <v>37297.699999999997</v>
      </c>
      <c r="AH223" s="19">
        <v>0</v>
      </c>
    </row>
    <row r="224" spans="1:34" x14ac:dyDescent="0.25">
      <c r="A224" s="12" t="s">
        <v>38</v>
      </c>
      <c r="B224" s="17">
        <v>740</v>
      </c>
      <c r="C224" s="17">
        <v>1</v>
      </c>
      <c r="D224" s="24" t="s">
        <v>257</v>
      </c>
      <c r="E224" s="18">
        <v>8408</v>
      </c>
      <c r="F224" s="17">
        <v>2008</v>
      </c>
      <c r="G224" s="18">
        <v>8964525</v>
      </c>
      <c r="H224" s="19">
        <v>45571.360000000001</v>
      </c>
      <c r="I224" s="18">
        <v>8408</v>
      </c>
      <c r="J224" s="19">
        <v>15554.8</v>
      </c>
      <c r="K224" s="19">
        <v>69534.16</v>
      </c>
      <c r="L224" s="19">
        <v>69534.16</v>
      </c>
      <c r="M224" s="19">
        <v>69534.16</v>
      </c>
      <c r="N224" s="20">
        <v>1</v>
      </c>
      <c r="O224" s="21">
        <v>0</v>
      </c>
      <c r="P224" s="21">
        <v>0</v>
      </c>
      <c r="Q224" s="17">
        <v>0.95535506999999997</v>
      </c>
      <c r="R224" s="19">
        <v>0</v>
      </c>
      <c r="S224" s="19">
        <v>69534.16</v>
      </c>
      <c r="T224" s="19">
        <v>140850.1</v>
      </c>
      <c r="U224" s="19">
        <v>210384.26</v>
      </c>
      <c r="V224" s="19">
        <v>52596.07</v>
      </c>
      <c r="W224" s="19">
        <v>77634.03</v>
      </c>
      <c r="X224" s="19">
        <v>0</v>
      </c>
      <c r="Y224" s="19">
        <v>18325.78</v>
      </c>
      <c r="Z224" s="19">
        <v>0</v>
      </c>
      <c r="AA224" s="19">
        <v>0</v>
      </c>
      <c r="AB224" s="19">
        <v>26199.49</v>
      </c>
      <c r="AC224" s="19">
        <v>40719.769999999997</v>
      </c>
      <c r="AD224" s="19">
        <v>0</v>
      </c>
      <c r="AE224" s="19">
        <v>0</v>
      </c>
      <c r="AF224" s="19">
        <v>0</v>
      </c>
      <c r="AG224" s="19">
        <v>69534.16</v>
      </c>
      <c r="AH224" s="19">
        <v>0</v>
      </c>
    </row>
    <row r="225" spans="1:34" x14ac:dyDescent="0.25">
      <c r="A225" s="12" t="s">
        <v>38</v>
      </c>
      <c r="B225" s="17">
        <v>741</v>
      </c>
      <c r="C225" s="17">
        <v>1</v>
      </c>
      <c r="D225" s="24" t="s">
        <v>258</v>
      </c>
      <c r="E225" s="18">
        <v>6046</v>
      </c>
      <c r="F225" s="17">
        <v>2000</v>
      </c>
      <c r="G225" s="18">
        <v>8978520</v>
      </c>
      <c r="H225" s="19">
        <v>32769.32</v>
      </c>
      <c r="I225" s="18">
        <v>6046</v>
      </c>
      <c r="J225" s="19">
        <v>11185.1</v>
      </c>
      <c r="K225" s="19">
        <v>50000.42</v>
      </c>
      <c r="L225" s="19">
        <v>50000.42</v>
      </c>
      <c r="M225" s="19">
        <v>50000.42</v>
      </c>
      <c r="N225" s="20">
        <v>1</v>
      </c>
      <c r="O225" s="21">
        <v>0</v>
      </c>
      <c r="P225" s="21">
        <v>0</v>
      </c>
      <c r="Q225" s="17">
        <v>0.95535506999999997</v>
      </c>
      <c r="R225" s="19">
        <v>0</v>
      </c>
      <c r="S225" s="19">
        <v>50000.42</v>
      </c>
      <c r="T225" s="19">
        <v>248324.45</v>
      </c>
      <c r="U225" s="19">
        <v>298324.87</v>
      </c>
      <c r="V225" s="19">
        <v>74581.22</v>
      </c>
      <c r="W225" s="19">
        <v>58260.88</v>
      </c>
      <c r="X225" s="19">
        <v>0</v>
      </c>
      <c r="Y225" s="19">
        <v>58187.53</v>
      </c>
      <c r="Z225" s="19">
        <v>0</v>
      </c>
      <c r="AA225" s="19">
        <v>0</v>
      </c>
      <c r="AB225" s="19">
        <v>65260.39</v>
      </c>
      <c r="AC225" s="19">
        <v>60569.599999999999</v>
      </c>
      <c r="AD225" s="19">
        <v>0</v>
      </c>
      <c r="AE225" s="19">
        <v>0</v>
      </c>
      <c r="AF225" s="19">
        <v>0</v>
      </c>
      <c r="AG225" s="19">
        <v>50000.42</v>
      </c>
      <c r="AH225" s="19">
        <v>0</v>
      </c>
    </row>
    <row r="226" spans="1:34" x14ac:dyDescent="0.25">
      <c r="A226" s="12" t="s">
        <v>38</v>
      </c>
      <c r="B226" s="17">
        <v>742</v>
      </c>
      <c r="C226" s="17">
        <v>1</v>
      </c>
      <c r="D226" s="24" t="s">
        <v>259</v>
      </c>
      <c r="E226" s="18">
        <v>96660</v>
      </c>
      <c r="F226" s="17">
        <v>2009</v>
      </c>
      <c r="G226" s="18">
        <v>90324587</v>
      </c>
      <c r="H226" s="19">
        <v>523897.2</v>
      </c>
      <c r="I226" s="18">
        <v>96660</v>
      </c>
      <c r="J226" s="19">
        <v>55763.8</v>
      </c>
      <c r="K226" s="19">
        <v>676321</v>
      </c>
      <c r="L226" s="19">
        <v>676321</v>
      </c>
      <c r="M226" s="19">
        <v>676321</v>
      </c>
      <c r="N226" s="20">
        <v>1</v>
      </c>
      <c r="O226" s="21">
        <v>0</v>
      </c>
      <c r="P226" s="21">
        <v>0</v>
      </c>
      <c r="Q226" s="17">
        <v>0.95535506999999997</v>
      </c>
      <c r="R226" s="19">
        <v>0</v>
      </c>
      <c r="S226" s="19">
        <v>672121.95</v>
      </c>
      <c r="T226" s="19">
        <v>704683.45</v>
      </c>
      <c r="U226" s="19">
        <v>1376805.4</v>
      </c>
      <c r="V226" s="19">
        <v>344201.35</v>
      </c>
      <c r="W226" s="19">
        <v>192961.15</v>
      </c>
      <c r="X226" s="19">
        <v>0</v>
      </c>
      <c r="Y226" s="19">
        <v>278086.62</v>
      </c>
      <c r="Z226" s="19">
        <v>0</v>
      </c>
      <c r="AA226" s="19">
        <v>0</v>
      </c>
      <c r="AB226" s="19">
        <v>389442.48</v>
      </c>
      <c r="AC226" s="19">
        <v>286830.08000000002</v>
      </c>
      <c r="AD226" s="19">
        <v>0</v>
      </c>
      <c r="AE226" s="19">
        <v>0</v>
      </c>
      <c r="AF226" s="19">
        <v>0</v>
      </c>
      <c r="AG226" s="19">
        <v>676321</v>
      </c>
      <c r="AH226" s="19">
        <v>0</v>
      </c>
    </row>
    <row r="227" spans="1:34" x14ac:dyDescent="0.25">
      <c r="A227" s="12" t="s">
        <v>38</v>
      </c>
      <c r="B227" s="17">
        <v>743</v>
      </c>
      <c r="C227" s="17">
        <v>1</v>
      </c>
      <c r="D227" s="24" t="s">
        <v>260</v>
      </c>
      <c r="E227" s="18">
        <v>7078</v>
      </c>
      <c r="F227" s="17">
        <v>2000</v>
      </c>
      <c r="G227" s="18">
        <v>7967511</v>
      </c>
      <c r="H227" s="19">
        <v>38362.76</v>
      </c>
      <c r="I227" s="18">
        <v>7078</v>
      </c>
      <c r="J227" s="19">
        <v>13094.3</v>
      </c>
      <c r="K227" s="19">
        <v>58535.06</v>
      </c>
      <c r="L227" s="19">
        <v>58535.06</v>
      </c>
      <c r="M227" s="19">
        <v>58535.06</v>
      </c>
      <c r="N227" s="20">
        <v>1</v>
      </c>
      <c r="O227" s="21">
        <v>0</v>
      </c>
      <c r="P227" s="21">
        <v>0</v>
      </c>
      <c r="Q227" s="17">
        <v>0.95535506999999997</v>
      </c>
      <c r="R227" s="19">
        <v>0</v>
      </c>
      <c r="S227" s="19">
        <v>58535.06</v>
      </c>
      <c r="T227" s="19">
        <v>90375.25</v>
      </c>
      <c r="U227" s="19">
        <v>148910.31</v>
      </c>
      <c r="V227" s="19">
        <v>37227.58</v>
      </c>
      <c r="W227" s="19">
        <v>-11684.88</v>
      </c>
      <c r="X227" s="19">
        <v>0</v>
      </c>
      <c r="Y227" s="19">
        <v>-5214.29</v>
      </c>
      <c r="Z227" s="19">
        <v>0</v>
      </c>
      <c r="AA227" s="19">
        <v>0</v>
      </c>
      <c r="AB227" s="19">
        <v>7423.31</v>
      </c>
      <c r="AC227" s="19">
        <v>-3158.62</v>
      </c>
      <c r="AD227" s="19">
        <v>0</v>
      </c>
      <c r="AE227" s="19">
        <v>0</v>
      </c>
      <c r="AF227" s="19">
        <v>0</v>
      </c>
      <c r="AG227" s="19">
        <v>58535.06</v>
      </c>
      <c r="AH227" s="19">
        <v>0</v>
      </c>
    </row>
    <row r="228" spans="1:34" x14ac:dyDescent="0.25">
      <c r="A228" s="12" t="s">
        <v>38</v>
      </c>
      <c r="B228" s="17">
        <v>745</v>
      </c>
      <c r="C228" s="17">
        <v>1</v>
      </c>
      <c r="D228" s="24" t="s">
        <v>261</v>
      </c>
      <c r="E228" s="18">
        <v>8187</v>
      </c>
      <c r="F228" s="17">
        <v>2007</v>
      </c>
      <c r="G228" s="18">
        <v>8324630</v>
      </c>
      <c r="H228" s="19">
        <v>44373.54</v>
      </c>
      <c r="I228" s="18">
        <v>8187</v>
      </c>
      <c r="J228" s="19">
        <v>15145.95</v>
      </c>
      <c r="K228" s="19">
        <v>67706.490000000005</v>
      </c>
      <c r="L228" s="19">
        <v>67706.490000000005</v>
      </c>
      <c r="M228" s="19">
        <v>67706.490000000005</v>
      </c>
      <c r="N228" s="20">
        <v>1</v>
      </c>
      <c r="O228" s="21">
        <v>0</v>
      </c>
      <c r="P228" s="21">
        <v>0</v>
      </c>
      <c r="Q228" s="17">
        <v>0.95535506999999997</v>
      </c>
      <c r="R228" s="19">
        <v>0</v>
      </c>
      <c r="S228" s="19">
        <v>67706.490000000005</v>
      </c>
      <c r="T228" s="19">
        <v>373876.23</v>
      </c>
      <c r="U228" s="19">
        <v>441582.72</v>
      </c>
      <c r="V228" s="19">
        <v>110395.68</v>
      </c>
      <c r="W228" s="19">
        <v>73025.570000000007</v>
      </c>
      <c r="X228" s="19">
        <v>0</v>
      </c>
      <c r="Y228" s="19">
        <v>50025.08</v>
      </c>
      <c r="Z228" s="19">
        <v>0</v>
      </c>
      <c r="AA228" s="19">
        <v>0</v>
      </c>
      <c r="AB228" s="19">
        <v>84032.78</v>
      </c>
      <c r="AC228" s="19">
        <v>69027.81</v>
      </c>
      <c r="AD228" s="19">
        <v>0</v>
      </c>
      <c r="AE228" s="19">
        <v>0</v>
      </c>
      <c r="AF228" s="19">
        <v>0</v>
      </c>
      <c r="AG228" s="19">
        <v>67706.490000000005</v>
      </c>
      <c r="AH228" s="19">
        <v>0</v>
      </c>
    </row>
    <row r="229" spans="1:34" x14ac:dyDescent="0.25">
      <c r="A229" s="12" t="s">
        <v>38</v>
      </c>
      <c r="B229" s="17">
        <v>748</v>
      </c>
      <c r="C229" s="17">
        <v>1</v>
      </c>
      <c r="D229" s="24" t="s">
        <v>262</v>
      </c>
      <c r="E229" s="18">
        <v>14932</v>
      </c>
      <c r="F229" s="17">
        <v>2007</v>
      </c>
      <c r="G229" s="18">
        <v>16326245</v>
      </c>
      <c r="H229" s="19">
        <v>80931.44</v>
      </c>
      <c r="I229" s="18">
        <v>14932</v>
      </c>
      <c r="J229" s="19">
        <v>20620.759999999998</v>
      </c>
      <c r="K229" s="19">
        <v>116484.2</v>
      </c>
      <c r="L229" s="19">
        <v>116484.2</v>
      </c>
      <c r="M229" s="19">
        <v>116484.2</v>
      </c>
      <c r="N229" s="20">
        <v>1</v>
      </c>
      <c r="O229" s="21">
        <v>0</v>
      </c>
      <c r="P229" s="21">
        <v>0</v>
      </c>
      <c r="Q229" s="17">
        <v>0.95535506999999997</v>
      </c>
      <c r="R229" s="19">
        <v>0</v>
      </c>
      <c r="S229" s="19">
        <v>116484.2</v>
      </c>
      <c r="T229" s="19">
        <v>478735.49</v>
      </c>
      <c r="U229" s="19">
        <v>595219.68999999994</v>
      </c>
      <c r="V229" s="19">
        <v>148804.92000000001</v>
      </c>
      <c r="W229" s="19">
        <v>95371.65</v>
      </c>
      <c r="X229" s="19">
        <v>0</v>
      </c>
      <c r="Y229" s="19">
        <v>98012.94</v>
      </c>
      <c r="Z229" s="19">
        <v>0</v>
      </c>
      <c r="AA229" s="19">
        <v>0</v>
      </c>
      <c r="AB229" s="19">
        <v>53168.82</v>
      </c>
      <c r="AC229" s="19">
        <v>82184.47</v>
      </c>
      <c r="AD229" s="19">
        <v>0</v>
      </c>
      <c r="AE229" s="19">
        <v>0</v>
      </c>
      <c r="AF229" s="19">
        <v>0</v>
      </c>
      <c r="AG229" s="19">
        <v>116484.2</v>
      </c>
      <c r="AH229" s="19">
        <v>0</v>
      </c>
    </row>
    <row r="230" spans="1:34" x14ac:dyDescent="0.25">
      <c r="A230" s="12" t="s">
        <v>38</v>
      </c>
      <c r="B230" s="17">
        <v>750</v>
      </c>
      <c r="C230" s="17">
        <v>1</v>
      </c>
      <c r="D230" s="24" t="s">
        <v>263</v>
      </c>
      <c r="E230" s="18">
        <v>12760</v>
      </c>
      <c r="F230" s="17">
        <v>2009</v>
      </c>
      <c r="G230" s="18">
        <v>16255074</v>
      </c>
      <c r="H230" s="19">
        <v>69159.199999999997</v>
      </c>
      <c r="I230" s="18">
        <v>12760</v>
      </c>
      <c r="J230" s="19">
        <v>19686.8</v>
      </c>
      <c r="K230" s="19">
        <v>101606</v>
      </c>
      <c r="L230" s="19">
        <v>101606</v>
      </c>
      <c r="M230" s="19">
        <v>101606</v>
      </c>
      <c r="N230" s="20">
        <v>1</v>
      </c>
      <c r="O230" s="21">
        <v>0</v>
      </c>
      <c r="P230" s="21">
        <v>0</v>
      </c>
      <c r="Q230" s="17">
        <v>0.95535506999999997</v>
      </c>
      <c r="R230" s="19">
        <v>0</v>
      </c>
      <c r="S230" s="19">
        <v>101414.2</v>
      </c>
      <c r="T230" s="19">
        <v>363741.76</v>
      </c>
      <c r="U230" s="19">
        <v>465155.96</v>
      </c>
      <c r="V230" s="19">
        <v>116288.99</v>
      </c>
      <c r="W230" s="19">
        <v>-9676.67</v>
      </c>
      <c r="X230" s="19">
        <v>0</v>
      </c>
      <c r="Y230" s="19">
        <v>-16865.080000000002</v>
      </c>
      <c r="Z230" s="19">
        <v>0</v>
      </c>
      <c r="AA230" s="19">
        <v>0</v>
      </c>
      <c r="AB230" s="19">
        <v>-21049.34</v>
      </c>
      <c r="AC230" s="19">
        <v>-15863.7</v>
      </c>
      <c r="AD230" s="19">
        <v>0</v>
      </c>
      <c r="AE230" s="19">
        <v>0</v>
      </c>
      <c r="AF230" s="19">
        <v>0</v>
      </c>
      <c r="AG230" s="19">
        <v>101606</v>
      </c>
      <c r="AH230" s="19">
        <v>0</v>
      </c>
    </row>
    <row r="231" spans="1:34" x14ac:dyDescent="0.25">
      <c r="A231" s="12" t="s">
        <v>38</v>
      </c>
      <c r="B231" s="17">
        <v>756</v>
      </c>
      <c r="C231" s="17">
        <v>1</v>
      </c>
      <c r="D231" s="24" t="s">
        <v>264</v>
      </c>
      <c r="E231" s="18">
        <v>4399</v>
      </c>
      <c r="F231" s="17">
        <v>2000</v>
      </c>
      <c r="G231" s="18">
        <v>5576688</v>
      </c>
      <c r="H231" s="19">
        <v>23842.58</v>
      </c>
      <c r="I231" s="18">
        <v>0</v>
      </c>
      <c r="J231" s="19">
        <v>0</v>
      </c>
      <c r="K231" s="19">
        <v>23842.58</v>
      </c>
      <c r="L231" s="19">
        <v>23842.58</v>
      </c>
      <c r="M231" s="19">
        <v>23842.58</v>
      </c>
      <c r="N231" s="20">
        <v>1</v>
      </c>
      <c r="O231" s="21">
        <v>0</v>
      </c>
      <c r="P231" s="21">
        <v>0</v>
      </c>
      <c r="Q231" s="17">
        <v>0.95535506999999997</v>
      </c>
      <c r="R231" s="19">
        <v>0</v>
      </c>
      <c r="S231" s="19">
        <v>23842.58</v>
      </c>
      <c r="T231" s="19">
        <v>19218.54</v>
      </c>
      <c r="U231" s="19">
        <v>43061.120000000003</v>
      </c>
      <c r="V231" s="19">
        <v>10765.28</v>
      </c>
      <c r="W231" s="19">
        <v>-6011.9</v>
      </c>
      <c r="X231" s="19">
        <v>0</v>
      </c>
      <c r="Y231" s="19">
        <v>-2252</v>
      </c>
      <c r="Z231" s="19">
        <v>0</v>
      </c>
      <c r="AA231" s="19">
        <v>0</v>
      </c>
      <c r="AB231" s="19">
        <v>787.68</v>
      </c>
      <c r="AC231" s="19">
        <v>-2492.0700000000002</v>
      </c>
      <c r="AD231" s="19">
        <v>0</v>
      </c>
      <c r="AE231" s="19">
        <v>0</v>
      </c>
      <c r="AF231" s="19">
        <v>0</v>
      </c>
      <c r="AG231" s="19">
        <v>23842.58</v>
      </c>
      <c r="AH231" s="19">
        <v>0</v>
      </c>
    </row>
    <row r="232" spans="1:34" x14ac:dyDescent="0.25">
      <c r="A232" s="12" t="s">
        <v>38</v>
      </c>
      <c r="B232" s="17">
        <v>761</v>
      </c>
      <c r="C232" s="17">
        <v>1</v>
      </c>
      <c r="D232" s="24" t="s">
        <v>265</v>
      </c>
      <c r="E232" s="18">
        <v>28005</v>
      </c>
      <c r="F232" s="17">
        <v>2006</v>
      </c>
      <c r="G232" s="18">
        <v>29692800</v>
      </c>
      <c r="H232" s="19">
        <v>151787.1</v>
      </c>
      <c r="I232" s="18">
        <v>28005</v>
      </c>
      <c r="J232" s="19">
        <v>26242.15</v>
      </c>
      <c r="K232" s="19">
        <v>206034.25</v>
      </c>
      <c r="L232" s="19">
        <v>206034.25</v>
      </c>
      <c r="M232" s="19">
        <v>206034.25</v>
      </c>
      <c r="N232" s="20">
        <v>1</v>
      </c>
      <c r="O232" s="21">
        <v>0</v>
      </c>
      <c r="P232" s="21">
        <v>0</v>
      </c>
      <c r="Q232" s="17">
        <v>0.95535506999999997</v>
      </c>
      <c r="R232" s="19">
        <v>0</v>
      </c>
      <c r="S232" s="19">
        <v>206034.25</v>
      </c>
      <c r="T232" s="19">
        <v>591922.17000000004</v>
      </c>
      <c r="U232" s="19">
        <v>797956.42</v>
      </c>
      <c r="V232" s="19">
        <v>199489.11</v>
      </c>
      <c r="W232" s="19">
        <v>145619.99</v>
      </c>
      <c r="X232" s="19">
        <v>0</v>
      </c>
      <c r="Y232" s="19">
        <v>178724.53</v>
      </c>
      <c r="Z232" s="19">
        <v>0</v>
      </c>
      <c r="AA232" s="19">
        <v>0</v>
      </c>
      <c r="AB232" s="19">
        <v>154228.13</v>
      </c>
      <c r="AC232" s="19">
        <v>159524.22</v>
      </c>
      <c r="AD232" s="19">
        <v>0</v>
      </c>
      <c r="AE232" s="19">
        <v>0</v>
      </c>
      <c r="AF232" s="19">
        <v>0</v>
      </c>
      <c r="AG232" s="19">
        <v>206034.25</v>
      </c>
      <c r="AH232" s="19">
        <v>0</v>
      </c>
    </row>
    <row r="233" spans="1:34" x14ac:dyDescent="0.25">
      <c r="A233" s="12" t="s">
        <v>38</v>
      </c>
      <c r="B233" s="17">
        <v>763</v>
      </c>
      <c r="C233" s="17">
        <v>1</v>
      </c>
      <c r="D233" s="24" t="s">
        <v>266</v>
      </c>
      <c r="E233" s="18">
        <v>3015</v>
      </c>
      <c r="F233" s="17">
        <v>2005</v>
      </c>
      <c r="G233" s="18">
        <v>3654716</v>
      </c>
      <c r="H233" s="19">
        <v>16341.3</v>
      </c>
      <c r="I233" s="18">
        <v>0</v>
      </c>
      <c r="J233" s="19">
        <v>5577.75</v>
      </c>
      <c r="K233" s="19">
        <v>21919.05</v>
      </c>
      <c r="L233" s="19">
        <v>21919.05</v>
      </c>
      <c r="M233" s="19">
        <v>21919.05</v>
      </c>
      <c r="N233" s="20">
        <v>1</v>
      </c>
      <c r="O233" s="21">
        <v>0</v>
      </c>
      <c r="P233" s="21">
        <v>0</v>
      </c>
      <c r="Q233" s="17">
        <v>0.95535506999999997</v>
      </c>
      <c r="R233" s="19">
        <v>0</v>
      </c>
      <c r="S233" s="19">
        <v>21919.05</v>
      </c>
      <c r="T233" s="19">
        <v>114271.83</v>
      </c>
      <c r="U233" s="19">
        <v>136190.88</v>
      </c>
      <c r="V233" s="19">
        <v>34047.72</v>
      </c>
      <c r="W233" s="19">
        <v>17762.009999999998</v>
      </c>
      <c r="X233" s="19">
        <v>0</v>
      </c>
      <c r="Y233" s="19">
        <v>32149.91</v>
      </c>
      <c r="Z233" s="19">
        <v>0</v>
      </c>
      <c r="AA233" s="19">
        <v>0</v>
      </c>
      <c r="AB233" s="19">
        <v>18427.240000000002</v>
      </c>
      <c r="AC233" s="19">
        <v>22779.72</v>
      </c>
      <c r="AD233" s="19">
        <v>0</v>
      </c>
      <c r="AE233" s="19">
        <v>0</v>
      </c>
      <c r="AF233" s="19">
        <v>0</v>
      </c>
      <c r="AG233" s="19">
        <v>21919.05</v>
      </c>
      <c r="AH233" s="19">
        <v>0</v>
      </c>
    </row>
    <row r="234" spans="1:34" x14ac:dyDescent="0.25">
      <c r="A234" s="12" t="s">
        <v>38</v>
      </c>
      <c r="B234" s="17">
        <v>768</v>
      </c>
      <c r="C234" s="17">
        <v>1</v>
      </c>
      <c r="D234" s="24" t="s">
        <v>267</v>
      </c>
      <c r="E234" s="18">
        <v>1278</v>
      </c>
      <c r="F234" s="17">
        <v>2000</v>
      </c>
      <c r="G234" s="18">
        <v>1949401</v>
      </c>
      <c r="H234" s="19">
        <v>7235.7</v>
      </c>
      <c r="I234" s="18">
        <v>0</v>
      </c>
      <c r="J234" s="19">
        <v>0</v>
      </c>
      <c r="K234" s="19">
        <v>7235.7</v>
      </c>
      <c r="L234" s="19">
        <v>7235.7</v>
      </c>
      <c r="M234" s="19">
        <v>7235.7</v>
      </c>
      <c r="N234" s="20">
        <v>1</v>
      </c>
      <c r="O234" s="21">
        <v>0</v>
      </c>
      <c r="P234" s="21">
        <v>0</v>
      </c>
      <c r="Q234" s="17">
        <v>0.95535506999999997</v>
      </c>
      <c r="R234" s="19">
        <v>0</v>
      </c>
      <c r="S234" s="19">
        <v>7235.7</v>
      </c>
      <c r="T234" s="19">
        <v>29185.13</v>
      </c>
      <c r="U234" s="19">
        <v>36420.83</v>
      </c>
      <c r="V234" s="19">
        <v>9105.2099999999991</v>
      </c>
      <c r="W234" s="19">
        <v>3480.54</v>
      </c>
      <c r="X234" s="19">
        <v>0</v>
      </c>
      <c r="Y234" s="19">
        <v>206.12</v>
      </c>
      <c r="Z234" s="19">
        <v>0</v>
      </c>
      <c r="AA234" s="19">
        <v>0</v>
      </c>
      <c r="AB234" s="19">
        <v>7718.89</v>
      </c>
      <c r="AC234" s="19">
        <v>3801.85</v>
      </c>
      <c r="AD234" s="19">
        <v>0</v>
      </c>
      <c r="AE234" s="19">
        <v>0</v>
      </c>
      <c r="AF234" s="19">
        <v>0</v>
      </c>
      <c r="AG234" s="19">
        <v>7235.7</v>
      </c>
      <c r="AH234" s="19">
        <v>0</v>
      </c>
    </row>
    <row r="235" spans="1:34" x14ac:dyDescent="0.25">
      <c r="A235" s="12" t="s">
        <v>38</v>
      </c>
      <c r="B235" s="17">
        <v>769</v>
      </c>
      <c r="C235" s="17">
        <v>1</v>
      </c>
      <c r="D235" s="24" t="s">
        <v>268</v>
      </c>
      <c r="E235" s="18">
        <v>7155</v>
      </c>
      <c r="F235" s="17">
        <v>2000</v>
      </c>
      <c r="G235" s="18">
        <v>6284721</v>
      </c>
      <c r="H235" s="19">
        <v>38780.1</v>
      </c>
      <c r="I235" s="18">
        <v>7155</v>
      </c>
      <c r="J235" s="19">
        <v>13236.75</v>
      </c>
      <c r="K235" s="19">
        <v>59171.85</v>
      </c>
      <c r="L235" s="19">
        <v>56562.49</v>
      </c>
      <c r="M235" s="19">
        <v>56562.49</v>
      </c>
      <c r="N235" s="20">
        <v>1</v>
      </c>
      <c r="O235" s="21">
        <v>2609.36</v>
      </c>
      <c r="P235" s="21">
        <v>2609.36</v>
      </c>
      <c r="Q235" s="17">
        <v>0.95535506999999997</v>
      </c>
      <c r="R235" s="19">
        <v>2492.87</v>
      </c>
      <c r="S235" s="19">
        <v>59171.85</v>
      </c>
      <c r="T235" s="19">
        <v>332093.61</v>
      </c>
      <c r="U235" s="19">
        <v>391265.46</v>
      </c>
      <c r="V235" s="19">
        <v>97816.37</v>
      </c>
      <c r="W235" s="19">
        <v>68649.14</v>
      </c>
      <c r="X235" s="19">
        <v>0</v>
      </c>
      <c r="Y235" s="19">
        <v>56112.71</v>
      </c>
      <c r="Z235" s="19">
        <v>0</v>
      </c>
      <c r="AA235" s="19">
        <v>0</v>
      </c>
      <c r="AB235" s="19">
        <v>25977.7</v>
      </c>
      <c r="AC235" s="19">
        <v>50246.52</v>
      </c>
      <c r="AD235" s="19">
        <v>0</v>
      </c>
      <c r="AE235" s="19">
        <v>0</v>
      </c>
      <c r="AF235" s="19">
        <v>0</v>
      </c>
      <c r="AG235" s="19">
        <v>56562.49</v>
      </c>
      <c r="AH235" s="19">
        <v>2609.36</v>
      </c>
    </row>
    <row r="236" spans="1:34" x14ac:dyDescent="0.25">
      <c r="A236" s="12" t="s">
        <v>38</v>
      </c>
      <c r="B236" s="17">
        <v>771</v>
      </c>
      <c r="C236" s="17">
        <v>1</v>
      </c>
      <c r="D236" s="24" t="s">
        <v>269</v>
      </c>
      <c r="E236" s="18">
        <v>1514</v>
      </c>
      <c r="F236" s="17">
        <v>2000</v>
      </c>
      <c r="G236" s="18">
        <v>3615389</v>
      </c>
      <c r="H236" s="19">
        <v>8205.8799999999992</v>
      </c>
      <c r="I236" s="18">
        <v>1514</v>
      </c>
      <c r="J236" s="19">
        <v>2800.9</v>
      </c>
      <c r="K236" s="19">
        <v>12520.78</v>
      </c>
      <c r="L236" s="19">
        <v>12520.78</v>
      </c>
      <c r="M236" s="19">
        <v>12520.78</v>
      </c>
      <c r="N236" s="20">
        <v>1</v>
      </c>
      <c r="O236" s="21">
        <v>0</v>
      </c>
      <c r="P236" s="21">
        <v>0</v>
      </c>
      <c r="Q236" s="17">
        <v>0.95535506999999997</v>
      </c>
      <c r="R236" s="19">
        <v>0</v>
      </c>
      <c r="S236" s="19">
        <v>12520.78</v>
      </c>
      <c r="T236" s="19">
        <v>15830.88</v>
      </c>
      <c r="U236" s="19">
        <v>28351.66</v>
      </c>
      <c r="V236" s="19">
        <v>7087.92</v>
      </c>
      <c r="W236" s="19">
        <v>-32117.62</v>
      </c>
      <c r="X236" s="19">
        <v>0</v>
      </c>
      <c r="Y236" s="19">
        <v>-32184.7</v>
      </c>
      <c r="Z236" s="19">
        <v>0</v>
      </c>
      <c r="AA236" s="19">
        <v>0</v>
      </c>
      <c r="AB236" s="19">
        <v>-29522.9</v>
      </c>
      <c r="AC236" s="19">
        <v>-31275.07</v>
      </c>
      <c r="AD236" s="19">
        <v>0</v>
      </c>
      <c r="AE236" s="19">
        <v>0</v>
      </c>
      <c r="AF236" s="19">
        <v>0</v>
      </c>
      <c r="AG236" s="19">
        <v>12520.78</v>
      </c>
      <c r="AH236" s="19">
        <v>0</v>
      </c>
    </row>
    <row r="237" spans="1:34" x14ac:dyDescent="0.25">
      <c r="A237" s="12" t="s">
        <v>38</v>
      </c>
      <c r="B237" s="17">
        <v>775</v>
      </c>
      <c r="C237" s="17">
        <v>1</v>
      </c>
      <c r="D237" s="24" t="s">
        <v>270</v>
      </c>
      <c r="E237" s="18">
        <v>2960</v>
      </c>
      <c r="F237" s="17">
        <v>2000</v>
      </c>
      <c r="G237" s="18">
        <v>5230874</v>
      </c>
      <c r="H237" s="19">
        <v>16043.2</v>
      </c>
      <c r="I237" s="18">
        <v>0</v>
      </c>
      <c r="J237" s="19">
        <v>5476</v>
      </c>
      <c r="K237" s="19">
        <v>21519.200000000001</v>
      </c>
      <c r="L237" s="19">
        <v>21519.200000000001</v>
      </c>
      <c r="M237" s="19">
        <v>21519.200000000001</v>
      </c>
      <c r="N237" s="20">
        <v>1</v>
      </c>
      <c r="O237" s="21">
        <v>0</v>
      </c>
      <c r="P237" s="21">
        <v>0</v>
      </c>
      <c r="Q237" s="17">
        <v>0.95535506999999997</v>
      </c>
      <c r="R237" s="19">
        <v>0</v>
      </c>
      <c r="S237" s="19">
        <v>21519.200000000001</v>
      </c>
      <c r="T237" s="19">
        <v>137128.29999999999</v>
      </c>
      <c r="U237" s="19">
        <v>158647.5</v>
      </c>
      <c r="V237" s="19">
        <v>39661.879999999997</v>
      </c>
      <c r="W237" s="19">
        <v>39726.78</v>
      </c>
      <c r="X237" s="19">
        <v>0</v>
      </c>
      <c r="Y237" s="19">
        <v>39157.81</v>
      </c>
      <c r="Z237" s="19">
        <v>0</v>
      </c>
      <c r="AA237" s="19">
        <v>0</v>
      </c>
      <c r="AB237" s="19">
        <v>50385.36</v>
      </c>
      <c r="AC237" s="19">
        <v>43089.98</v>
      </c>
      <c r="AD237" s="19">
        <v>3428.1</v>
      </c>
      <c r="AE237" s="19">
        <v>3428.1</v>
      </c>
      <c r="AF237" s="19">
        <v>0</v>
      </c>
      <c r="AG237" s="19">
        <v>18091.099999999999</v>
      </c>
      <c r="AH237" s="19">
        <v>0</v>
      </c>
    </row>
    <row r="238" spans="1:34" x14ac:dyDescent="0.25">
      <c r="A238" s="12" t="s">
        <v>38</v>
      </c>
      <c r="B238" s="17">
        <v>777</v>
      </c>
      <c r="C238" s="17">
        <v>1</v>
      </c>
      <c r="D238" s="24" t="s">
        <v>271</v>
      </c>
      <c r="E238" s="18">
        <v>6087</v>
      </c>
      <c r="F238" s="17">
        <v>2000</v>
      </c>
      <c r="G238" s="18">
        <v>8629813</v>
      </c>
      <c r="H238" s="19">
        <v>32991.54</v>
      </c>
      <c r="I238" s="18">
        <v>6087</v>
      </c>
      <c r="J238" s="19">
        <v>11260.95</v>
      </c>
      <c r="K238" s="19">
        <v>50339.49</v>
      </c>
      <c r="L238" s="19">
        <v>50339.49</v>
      </c>
      <c r="M238" s="19">
        <v>50339.49</v>
      </c>
      <c r="N238" s="20">
        <v>1</v>
      </c>
      <c r="O238" s="21">
        <v>0</v>
      </c>
      <c r="P238" s="21">
        <v>0</v>
      </c>
      <c r="Q238" s="17">
        <v>0.95535506999999997</v>
      </c>
      <c r="R238" s="19">
        <v>0</v>
      </c>
      <c r="S238" s="19">
        <v>50339.49</v>
      </c>
      <c r="T238" s="19">
        <v>176986.67</v>
      </c>
      <c r="U238" s="19">
        <v>227326.16</v>
      </c>
      <c r="V238" s="19">
        <v>56831.54</v>
      </c>
      <c r="W238" s="19">
        <v>72333.19</v>
      </c>
      <c r="X238" s="19">
        <v>0</v>
      </c>
      <c r="Y238" s="19">
        <v>79666.25</v>
      </c>
      <c r="Z238" s="19">
        <v>8376.2999999999993</v>
      </c>
      <c r="AA238" s="19">
        <v>0</v>
      </c>
      <c r="AB238" s="19">
        <v>75947.09</v>
      </c>
      <c r="AC238" s="19">
        <v>73190.080000000002</v>
      </c>
      <c r="AD238" s="19">
        <v>16358.54</v>
      </c>
      <c r="AE238" s="19">
        <v>16358.54</v>
      </c>
      <c r="AF238" s="19">
        <v>0</v>
      </c>
      <c r="AG238" s="19">
        <v>33980.949999999997</v>
      </c>
      <c r="AH238" s="19">
        <v>0</v>
      </c>
    </row>
    <row r="239" spans="1:34" x14ac:dyDescent="0.25">
      <c r="A239" s="12" t="s">
        <v>38</v>
      </c>
      <c r="B239" s="17">
        <v>786</v>
      </c>
      <c r="C239" s="17">
        <v>1</v>
      </c>
      <c r="D239" s="24" t="s">
        <v>272</v>
      </c>
      <c r="E239" s="18">
        <v>2348</v>
      </c>
      <c r="F239" s="17">
        <v>2000</v>
      </c>
      <c r="G239" s="18">
        <v>1652175</v>
      </c>
      <c r="H239" s="19">
        <v>12726.16</v>
      </c>
      <c r="I239" s="18">
        <v>2348</v>
      </c>
      <c r="J239" s="19">
        <v>4343.8</v>
      </c>
      <c r="K239" s="19">
        <v>19417.96</v>
      </c>
      <c r="L239" s="19">
        <v>14869.58</v>
      </c>
      <c r="M239" s="19">
        <v>14869.58</v>
      </c>
      <c r="N239" s="20">
        <v>1</v>
      </c>
      <c r="O239" s="21">
        <v>4548.38</v>
      </c>
      <c r="P239" s="21">
        <v>4548.38</v>
      </c>
      <c r="Q239" s="17">
        <v>0.95535506999999997</v>
      </c>
      <c r="R239" s="19">
        <v>4345.32</v>
      </c>
      <c r="S239" s="19">
        <v>19417.96</v>
      </c>
      <c r="T239" s="19">
        <v>76045.8</v>
      </c>
      <c r="U239" s="19">
        <v>95463.76</v>
      </c>
      <c r="V239" s="19">
        <v>23865.94</v>
      </c>
      <c r="W239" s="19">
        <v>16860.68</v>
      </c>
      <c r="X239" s="19">
        <v>0</v>
      </c>
      <c r="Y239" s="19">
        <v>14585.12</v>
      </c>
      <c r="Z239" s="19">
        <v>0</v>
      </c>
      <c r="AA239" s="19">
        <v>0</v>
      </c>
      <c r="AB239" s="19">
        <v>6967.85</v>
      </c>
      <c r="AC239" s="19">
        <v>12804.55</v>
      </c>
      <c r="AD239" s="19">
        <v>0</v>
      </c>
      <c r="AE239" s="19">
        <v>0</v>
      </c>
      <c r="AF239" s="19">
        <v>0</v>
      </c>
      <c r="AG239" s="19">
        <v>14869.58</v>
      </c>
      <c r="AH239" s="19">
        <v>4548.38</v>
      </c>
    </row>
    <row r="240" spans="1:34" x14ac:dyDescent="0.25">
      <c r="A240" s="12" t="s">
        <v>38</v>
      </c>
      <c r="B240" s="17">
        <v>787</v>
      </c>
      <c r="C240" s="17">
        <v>1</v>
      </c>
      <c r="D240" s="24" t="s">
        <v>273</v>
      </c>
      <c r="E240" s="18">
        <v>2290</v>
      </c>
      <c r="F240" s="17">
        <v>2000</v>
      </c>
      <c r="G240" s="18">
        <v>2071480</v>
      </c>
      <c r="H240" s="19">
        <v>12411.8</v>
      </c>
      <c r="I240" s="18">
        <v>2290</v>
      </c>
      <c r="J240" s="19">
        <v>4236.5</v>
      </c>
      <c r="K240" s="19">
        <v>18938.3</v>
      </c>
      <c r="L240" s="19">
        <v>18643.32</v>
      </c>
      <c r="M240" s="19">
        <v>18643.32</v>
      </c>
      <c r="N240" s="20">
        <v>1</v>
      </c>
      <c r="O240" s="21">
        <v>294.98</v>
      </c>
      <c r="P240" s="21">
        <v>294.98</v>
      </c>
      <c r="Q240" s="17">
        <v>0.95535506999999997</v>
      </c>
      <c r="R240" s="19">
        <v>281.81</v>
      </c>
      <c r="S240" s="19">
        <v>18938.3</v>
      </c>
      <c r="T240" s="19">
        <v>13836.82</v>
      </c>
      <c r="U240" s="19">
        <v>32775.120000000003</v>
      </c>
      <c r="V240" s="19">
        <v>8193.7800000000007</v>
      </c>
      <c r="W240" s="19">
        <v>27281.040000000001</v>
      </c>
      <c r="X240" s="19">
        <v>0</v>
      </c>
      <c r="Y240" s="19">
        <v>28925.759999999998</v>
      </c>
      <c r="Z240" s="19">
        <v>0</v>
      </c>
      <c r="AA240" s="19">
        <v>0</v>
      </c>
      <c r="AB240" s="19">
        <v>30457.14</v>
      </c>
      <c r="AC240" s="19">
        <v>28887.98</v>
      </c>
      <c r="AD240" s="19">
        <v>18938.3</v>
      </c>
      <c r="AE240" s="19">
        <v>18643.32</v>
      </c>
      <c r="AF240" s="19">
        <v>294.98</v>
      </c>
      <c r="AG240" s="19">
        <v>0</v>
      </c>
      <c r="AH240" s="19">
        <v>0</v>
      </c>
    </row>
    <row r="241" spans="1:34" x14ac:dyDescent="0.25">
      <c r="A241" s="12" t="s">
        <v>38</v>
      </c>
      <c r="B241" s="17">
        <v>801</v>
      </c>
      <c r="C241" s="17">
        <v>1</v>
      </c>
      <c r="D241" s="24" t="s">
        <v>274</v>
      </c>
      <c r="E241" s="18">
        <v>912</v>
      </c>
      <c r="F241" s="17">
        <v>2000</v>
      </c>
      <c r="G241" s="18">
        <v>813029</v>
      </c>
      <c r="H241" s="19">
        <v>7235.7</v>
      </c>
      <c r="I241" s="18">
        <v>0</v>
      </c>
      <c r="J241" s="19">
        <v>2469.75</v>
      </c>
      <c r="K241" s="19">
        <v>9705.4500000000007</v>
      </c>
      <c r="L241" s="19">
        <v>7317.26</v>
      </c>
      <c r="M241" s="19">
        <v>7317.26</v>
      </c>
      <c r="N241" s="20">
        <v>1</v>
      </c>
      <c r="O241" s="21">
        <v>2388.19</v>
      </c>
      <c r="P241" s="21">
        <v>2388.19</v>
      </c>
      <c r="Q241" s="17">
        <v>0.95535506999999997</v>
      </c>
      <c r="R241" s="19">
        <v>2281.5700000000002</v>
      </c>
      <c r="S241" s="19">
        <v>9705.4500000000007</v>
      </c>
      <c r="T241" s="19">
        <v>12665.27</v>
      </c>
      <c r="U241" s="19">
        <v>22370.720000000001</v>
      </c>
      <c r="V241" s="19">
        <v>5592.68</v>
      </c>
      <c r="W241" s="19">
        <v>3803.27</v>
      </c>
      <c r="X241" s="19">
        <v>0</v>
      </c>
      <c r="Y241" s="19">
        <v>-2262.2399999999998</v>
      </c>
      <c r="Z241" s="19">
        <v>0</v>
      </c>
      <c r="AA241" s="19">
        <v>0</v>
      </c>
      <c r="AB241" s="19">
        <v>-13219.04</v>
      </c>
      <c r="AC241" s="19">
        <v>-3892.67</v>
      </c>
      <c r="AD241" s="19">
        <v>0</v>
      </c>
      <c r="AE241" s="19">
        <v>0</v>
      </c>
      <c r="AF241" s="19">
        <v>0</v>
      </c>
      <c r="AG241" s="19">
        <v>7317.26</v>
      </c>
      <c r="AH241" s="19">
        <v>2388.19</v>
      </c>
    </row>
    <row r="242" spans="1:34" x14ac:dyDescent="0.25">
      <c r="A242" s="12" t="s">
        <v>38</v>
      </c>
      <c r="B242" s="17">
        <v>803</v>
      </c>
      <c r="C242" s="17">
        <v>1</v>
      </c>
      <c r="D242" s="24" t="s">
        <v>275</v>
      </c>
      <c r="E242" s="18">
        <v>2511</v>
      </c>
      <c r="F242" s="17">
        <v>2000</v>
      </c>
      <c r="G242" s="18">
        <v>4484863</v>
      </c>
      <c r="H242" s="19">
        <v>13609.62</v>
      </c>
      <c r="I242" s="18">
        <v>0</v>
      </c>
      <c r="J242" s="19">
        <v>0</v>
      </c>
      <c r="K242" s="19">
        <v>13609.62</v>
      </c>
      <c r="L242" s="19">
        <v>13609.62</v>
      </c>
      <c r="M242" s="19">
        <v>13609.62</v>
      </c>
      <c r="N242" s="20">
        <v>1</v>
      </c>
      <c r="O242" s="21">
        <v>0</v>
      </c>
      <c r="P242" s="21">
        <v>0</v>
      </c>
      <c r="Q242" s="17">
        <v>0.95535506999999997</v>
      </c>
      <c r="R242" s="19">
        <v>0</v>
      </c>
      <c r="S242" s="19">
        <v>13609.62</v>
      </c>
      <c r="T242" s="19">
        <v>82501.539999999994</v>
      </c>
      <c r="U242" s="19">
        <v>96111.16</v>
      </c>
      <c r="V242" s="19">
        <v>24027.79</v>
      </c>
      <c r="W242" s="19">
        <v>-3854.27</v>
      </c>
      <c r="X242" s="19">
        <v>0</v>
      </c>
      <c r="Y242" s="19">
        <v>4530.32</v>
      </c>
      <c r="Z242" s="19">
        <v>0</v>
      </c>
      <c r="AA242" s="19">
        <v>0</v>
      </c>
      <c r="AB242" s="19">
        <v>-12372.55</v>
      </c>
      <c r="AC242" s="19">
        <v>-3898.83</v>
      </c>
      <c r="AD242" s="19">
        <v>0</v>
      </c>
      <c r="AE242" s="19">
        <v>0</v>
      </c>
      <c r="AF242" s="19">
        <v>0</v>
      </c>
      <c r="AG242" s="19">
        <v>13609.62</v>
      </c>
      <c r="AH242" s="19">
        <v>0</v>
      </c>
    </row>
    <row r="243" spans="1:34" x14ac:dyDescent="0.25">
      <c r="A243" s="12" t="s">
        <v>38</v>
      </c>
      <c r="B243" s="17">
        <v>811</v>
      </c>
      <c r="C243" s="17">
        <v>1</v>
      </c>
      <c r="D243" s="24" t="s">
        <v>276</v>
      </c>
      <c r="E243" s="18">
        <v>5627</v>
      </c>
      <c r="F243" s="17">
        <v>2008</v>
      </c>
      <c r="G243" s="18">
        <v>5850464</v>
      </c>
      <c r="H243" s="19">
        <v>30498.34</v>
      </c>
      <c r="I243" s="18">
        <v>5627</v>
      </c>
      <c r="J243" s="19">
        <v>10409.950000000001</v>
      </c>
      <c r="K243" s="19">
        <v>46535.29</v>
      </c>
      <c r="L243" s="19">
        <v>46535.29</v>
      </c>
      <c r="M243" s="19">
        <v>46535.29</v>
      </c>
      <c r="N243" s="20">
        <v>1</v>
      </c>
      <c r="O243" s="21">
        <v>0</v>
      </c>
      <c r="P243" s="21">
        <v>0</v>
      </c>
      <c r="Q243" s="17">
        <v>0.95535506999999997</v>
      </c>
      <c r="R243" s="19">
        <v>0</v>
      </c>
      <c r="S243" s="19">
        <v>46535.29</v>
      </c>
      <c r="T243" s="19">
        <v>56263.06</v>
      </c>
      <c r="U243" s="19">
        <v>102798.35</v>
      </c>
      <c r="V243" s="19">
        <v>25699.59</v>
      </c>
      <c r="W243" s="19">
        <v>17680.89</v>
      </c>
      <c r="X243" s="19">
        <v>0</v>
      </c>
      <c r="Y243" s="19">
        <v>18876.02</v>
      </c>
      <c r="Z243" s="19">
        <v>0</v>
      </c>
      <c r="AA243" s="19">
        <v>0</v>
      </c>
      <c r="AB243" s="19">
        <v>4575.41</v>
      </c>
      <c r="AC243" s="19">
        <v>13710.77</v>
      </c>
      <c r="AD243" s="19">
        <v>0</v>
      </c>
      <c r="AE243" s="19">
        <v>0</v>
      </c>
      <c r="AF243" s="19">
        <v>0</v>
      </c>
      <c r="AG243" s="19">
        <v>46535.29</v>
      </c>
      <c r="AH243" s="19">
        <v>0</v>
      </c>
    </row>
    <row r="244" spans="1:34" x14ac:dyDescent="0.25">
      <c r="A244" s="12" t="s">
        <v>38</v>
      </c>
      <c r="B244" s="17">
        <v>813</v>
      </c>
      <c r="C244" s="17">
        <v>1</v>
      </c>
      <c r="D244" s="24" t="s">
        <v>277</v>
      </c>
      <c r="E244" s="18">
        <v>8642</v>
      </c>
      <c r="F244" s="17">
        <v>2000</v>
      </c>
      <c r="G244" s="18">
        <v>11087326</v>
      </c>
      <c r="H244" s="19">
        <v>46839.64</v>
      </c>
      <c r="I244" s="18">
        <v>8642</v>
      </c>
      <c r="J244" s="19">
        <v>15987.7</v>
      </c>
      <c r="K244" s="19">
        <v>71469.34</v>
      </c>
      <c r="L244" s="19">
        <v>71469.34</v>
      </c>
      <c r="M244" s="19">
        <v>71469.34</v>
      </c>
      <c r="N244" s="20">
        <v>1</v>
      </c>
      <c r="O244" s="21">
        <v>0</v>
      </c>
      <c r="P244" s="21">
        <v>0</v>
      </c>
      <c r="Q244" s="17">
        <v>0.95535506999999997</v>
      </c>
      <c r="R244" s="19">
        <v>0</v>
      </c>
      <c r="S244" s="19">
        <v>71469.34</v>
      </c>
      <c r="T244" s="19">
        <v>279217.52</v>
      </c>
      <c r="U244" s="19">
        <v>350686.86</v>
      </c>
      <c r="V244" s="19">
        <v>87671.72</v>
      </c>
      <c r="W244" s="19">
        <v>96553.81</v>
      </c>
      <c r="X244" s="19">
        <v>0</v>
      </c>
      <c r="Y244" s="19">
        <v>47990.87</v>
      </c>
      <c r="Z244" s="19">
        <v>0</v>
      </c>
      <c r="AA244" s="19">
        <v>0</v>
      </c>
      <c r="AB244" s="19">
        <v>51440.65</v>
      </c>
      <c r="AC244" s="19">
        <v>65328.44</v>
      </c>
      <c r="AD244" s="19">
        <v>0</v>
      </c>
      <c r="AE244" s="19">
        <v>0</v>
      </c>
      <c r="AF244" s="19">
        <v>0</v>
      </c>
      <c r="AG244" s="19">
        <v>71469.34</v>
      </c>
      <c r="AH244" s="19">
        <v>0</v>
      </c>
    </row>
    <row r="245" spans="1:34" x14ac:dyDescent="0.25">
      <c r="A245" s="12" t="s">
        <v>38</v>
      </c>
      <c r="B245" s="17">
        <v>815</v>
      </c>
      <c r="C245" s="17">
        <v>2</v>
      </c>
      <c r="D245" s="24" t="s">
        <v>278</v>
      </c>
      <c r="E245" s="18">
        <v>747</v>
      </c>
      <c r="F245" s="17">
        <v>2000</v>
      </c>
      <c r="G245" s="18">
        <v>1047120</v>
      </c>
      <c r="H245" s="19">
        <v>7235.7</v>
      </c>
      <c r="I245" s="18">
        <v>0</v>
      </c>
      <c r="J245" s="19">
        <v>0</v>
      </c>
      <c r="K245" s="19">
        <v>7235.7</v>
      </c>
      <c r="L245" s="19">
        <v>7235.7</v>
      </c>
      <c r="M245" s="19">
        <v>7235.7</v>
      </c>
      <c r="N245" s="20">
        <v>1</v>
      </c>
      <c r="O245" s="21">
        <v>0</v>
      </c>
      <c r="P245" s="21">
        <v>0</v>
      </c>
      <c r="Q245" s="17">
        <v>0.95535506999999997</v>
      </c>
      <c r="R245" s="19">
        <v>0</v>
      </c>
      <c r="S245" s="19">
        <v>7235.7</v>
      </c>
      <c r="T245" s="19">
        <v>974.56</v>
      </c>
      <c r="U245" s="19">
        <v>8210.26</v>
      </c>
      <c r="V245" s="19">
        <v>2052.5700000000002</v>
      </c>
      <c r="W245" s="19">
        <v>87959.73</v>
      </c>
      <c r="X245" s="19">
        <v>7235.7</v>
      </c>
      <c r="Y245" s="19">
        <v>95275.87</v>
      </c>
      <c r="Z245" s="19">
        <v>7235.7</v>
      </c>
      <c r="AA245" s="19">
        <v>0</v>
      </c>
      <c r="AB245" s="19">
        <v>67317.899999999994</v>
      </c>
      <c r="AC245" s="19">
        <v>78694.03</v>
      </c>
      <c r="AD245" s="19">
        <v>7235.7</v>
      </c>
      <c r="AE245" s="19">
        <v>7235.7</v>
      </c>
      <c r="AF245" s="19">
        <v>0</v>
      </c>
      <c r="AG245" s="19">
        <v>0</v>
      </c>
      <c r="AH245" s="19">
        <v>0</v>
      </c>
    </row>
    <row r="246" spans="1:34" x14ac:dyDescent="0.25">
      <c r="A246" s="12" t="s">
        <v>38</v>
      </c>
      <c r="B246" s="17">
        <v>818</v>
      </c>
      <c r="C246" s="17">
        <v>1</v>
      </c>
      <c r="D246" s="24" t="s">
        <v>279</v>
      </c>
      <c r="E246" s="18">
        <v>1697</v>
      </c>
      <c r="F246" s="17">
        <v>2000</v>
      </c>
      <c r="G246" s="18">
        <v>1422547</v>
      </c>
      <c r="H246" s="19">
        <v>9197.74</v>
      </c>
      <c r="I246" s="18">
        <v>1697</v>
      </c>
      <c r="J246" s="19">
        <v>3139.45</v>
      </c>
      <c r="K246" s="19">
        <v>14034.19</v>
      </c>
      <c r="L246" s="19">
        <v>12802.92</v>
      </c>
      <c r="M246" s="19">
        <v>12802.92</v>
      </c>
      <c r="N246" s="20">
        <v>1</v>
      </c>
      <c r="O246" s="21">
        <v>1231.27</v>
      </c>
      <c r="P246" s="21">
        <v>1231.27</v>
      </c>
      <c r="Q246" s="17">
        <v>0.95535506999999997</v>
      </c>
      <c r="R246" s="19">
        <v>1176.3</v>
      </c>
      <c r="S246" s="19">
        <v>14034.19</v>
      </c>
      <c r="T246" s="19">
        <v>26384.92</v>
      </c>
      <c r="U246" s="19">
        <v>40419.11</v>
      </c>
      <c r="V246" s="19">
        <v>10104.780000000001</v>
      </c>
      <c r="W246" s="19">
        <v>7600.51</v>
      </c>
      <c r="X246" s="19">
        <v>0</v>
      </c>
      <c r="Y246" s="19">
        <v>-1942.58</v>
      </c>
      <c r="Z246" s="19">
        <v>0</v>
      </c>
      <c r="AA246" s="19">
        <v>0</v>
      </c>
      <c r="AB246" s="19">
        <v>-6693.13</v>
      </c>
      <c r="AC246" s="19">
        <v>-345.07</v>
      </c>
      <c r="AD246" s="19">
        <v>0</v>
      </c>
      <c r="AE246" s="19">
        <v>0</v>
      </c>
      <c r="AF246" s="19">
        <v>0</v>
      </c>
      <c r="AG246" s="19">
        <v>12802.92</v>
      </c>
      <c r="AH246" s="19">
        <v>1231.27</v>
      </c>
    </row>
    <row r="247" spans="1:34" x14ac:dyDescent="0.25">
      <c r="A247" s="12" t="s">
        <v>38</v>
      </c>
      <c r="B247" s="17">
        <v>820</v>
      </c>
      <c r="C247" s="17">
        <v>1</v>
      </c>
      <c r="D247" s="24" t="s">
        <v>280</v>
      </c>
      <c r="E247" s="18">
        <v>2934</v>
      </c>
      <c r="F247" s="17">
        <v>2000</v>
      </c>
      <c r="G247" s="18">
        <v>2930228</v>
      </c>
      <c r="H247" s="19">
        <v>15902.28</v>
      </c>
      <c r="I247" s="18">
        <v>2934</v>
      </c>
      <c r="J247" s="19">
        <v>5427.9</v>
      </c>
      <c r="K247" s="19">
        <v>24264.18</v>
      </c>
      <c r="L247" s="19">
        <v>24264.18</v>
      </c>
      <c r="M247" s="19">
        <v>24264.18</v>
      </c>
      <c r="N247" s="20">
        <v>1</v>
      </c>
      <c r="O247" s="21">
        <v>0</v>
      </c>
      <c r="P247" s="21">
        <v>0</v>
      </c>
      <c r="Q247" s="17">
        <v>0.95535506999999997</v>
      </c>
      <c r="R247" s="19">
        <v>0</v>
      </c>
      <c r="S247" s="19">
        <v>24264.18</v>
      </c>
      <c r="T247" s="19">
        <v>11061.31</v>
      </c>
      <c r="U247" s="19">
        <v>35325.49</v>
      </c>
      <c r="V247" s="19">
        <v>8831.3700000000008</v>
      </c>
      <c r="W247" s="19">
        <v>6598.63</v>
      </c>
      <c r="X247" s="19">
        <v>0</v>
      </c>
      <c r="Y247" s="19">
        <v>6690.5</v>
      </c>
      <c r="Z247" s="19">
        <v>0</v>
      </c>
      <c r="AA247" s="19">
        <v>0</v>
      </c>
      <c r="AB247" s="19">
        <v>2171.09</v>
      </c>
      <c r="AC247" s="19">
        <v>5153.41</v>
      </c>
      <c r="AD247" s="19">
        <v>0</v>
      </c>
      <c r="AE247" s="19">
        <v>0</v>
      </c>
      <c r="AF247" s="19">
        <v>0</v>
      </c>
      <c r="AG247" s="19">
        <v>24264.18</v>
      </c>
      <c r="AH247" s="19">
        <v>0</v>
      </c>
    </row>
    <row r="248" spans="1:34" x14ac:dyDescent="0.25">
      <c r="A248" s="12" t="s">
        <v>38</v>
      </c>
      <c r="B248" s="17">
        <v>821</v>
      </c>
      <c r="C248" s="17">
        <v>1</v>
      </c>
      <c r="D248" s="24" t="s">
        <v>281</v>
      </c>
      <c r="E248" s="18">
        <v>3396</v>
      </c>
      <c r="F248" s="17">
        <v>2000</v>
      </c>
      <c r="G248" s="18">
        <v>4261969</v>
      </c>
      <c r="H248" s="19">
        <v>18406.32</v>
      </c>
      <c r="I248" s="18">
        <v>3396</v>
      </c>
      <c r="J248" s="19">
        <v>6282.6</v>
      </c>
      <c r="K248" s="19">
        <v>28084.92</v>
      </c>
      <c r="L248" s="19">
        <v>28084.92</v>
      </c>
      <c r="M248" s="19">
        <v>28084.92</v>
      </c>
      <c r="N248" s="20">
        <v>1</v>
      </c>
      <c r="O248" s="21">
        <v>0</v>
      </c>
      <c r="P248" s="21">
        <v>0</v>
      </c>
      <c r="Q248" s="17">
        <v>0.95535506999999997</v>
      </c>
      <c r="R248" s="19">
        <v>0</v>
      </c>
      <c r="S248" s="19">
        <v>28084.92</v>
      </c>
      <c r="T248" s="19">
        <v>8511.39</v>
      </c>
      <c r="U248" s="19">
        <v>36596.31</v>
      </c>
      <c r="V248" s="19">
        <v>9149.08</v>
      </c>
      <c r="W248" s="19">
        <v>9378.36</v>
      </c>
      <c r="X248" s="19">
        <v>0</v>
      </c>
      <c r="Y248" s="19">
        <v>4430.79</v>
      </c>
      <c r="Z248" s="19">
        <v>0</v>
      </c>
      <c r="AA248" s="19">
        <v>0</v>
      </c>
      <c r="AB248" s="19">
        <v>898.5</v>
      </c>
      <c r="AC248" s="19">
        <v>4902.55</v>
      </c>
      <c r="AD248" s="19">
        <v>0</v>
      </c>
      <c r="AE248" s="19">
        <v>0</v>
      </c>
      <c r="AF248" s="19">
        <v>0</v>
      </c>
      <c r="AG248" s="19">
        <v>28084.92</v>
      </c>
      <c r="AH248" s="19">
        <v>0</v>
      </c>
    </row>
    <row r="249" spans="1:34" x14ac:dyDescent="0.25">
      <c r="A249" s="12" t="s">
        <v>38</v>
      </c>
      <c r="B249" s="17">
        <v>829</v>
      </c>
      <c r="C249" s="17">
        <v>1</v>
      </c>
      <c r="D249" s="24" t="s">
        <v>282</v>
      </c>
      <c r="E249" s="18">
        <v>12541</v>
      </c>
      <c r="F249" s="17">
        <v>2000</v>
      </c>
      <c r="G249" s="18">
        <v>10521696</v>
      </c>
      <c r="H249" s="19">
        <v>67972.22</v>
      </c>
      <c r="I249" s="18">
        <v>12541</v>
      </c>
      <c r="J249" s="19">
        <v>19592.63</v>
      </c>
      <c r="K249" s="19">
        <v>100105.85</v>
      </c>
      <c r="L249" s="19">
        <v>94695.26</v>
      </c>
      <c r="M249" s="19">
        <v>94695.26</v>
      </c>
      <c r="N249" s="20">
        <v>1</v>
      </c>
      <c r="O249" s="21">
        <v>5410.59</v>
      </c>
      <c r="P249" s="21">
        <v>5410.59</v>
      </c>
      <c r="Q249" s="17">
        <v>0.95535506999999997</v>
      </c>
      <c r="R249" s="19">
        <v>5169.03</v>
      </c>
      <c r="S249" s="19">
        <v>100105.85</v>
      </c>
      <c r="T249" s="19">
        <v>585759.17000000004</v>
      </c>
      <c r="U249" s="19">
        <v>685865.02</v>
      </c>
      <c r="V249" s="19">
        <v>171466.26</v>
      </c>
      <c r="W249" s="19">
        <v>21245.34</v>
      </c>
      <c r="X249" s="19">
        <v>0</v>
      </c>
      <c r="Y249" s="19">
        <v>45467.72</v>
      </c>
      <c r="Z249" s="19">
        <v>0</v>
      </c>
      <c r="AA249" s="19">
        <v>0</v>
      </c>
      <c r="AB249" s="19">
        <v>78411.63</v>
      </c>
      <c r="AC249" s="19">
        <v>48374.9</v>
      </c>
      <c r="AD249" s="19">
        <v>0</v>
      </c>
      <c r="AE249" s="19">
        <v>0</v>
      </c>
      <c r="AF249" s="19">
        <v>0</v>
      </c>
      <c r="AG249" s="19">
        <v>94695.26</v>
      </c>
      <c r="AH249" s="19">
        <v>5410.59</v>
      </c>
    </row>
    <row r="250" spans="1:34" x14ac:dyDescent="0.25">
      <c r="A250" s="12" t="s">
        <v>38</v>
      </c>
      <c r="B250" s="17">
        <v>831</v>
      </c>
      <c r="C250" s="17">
        <v>1</v>
      </c>
      <c r="D250" s="24" t="s">
        <v>283</v>
      </c>
      <c r="E250" s="18">
        <v>48918</v>
      </c>
      <c r="F250" s="17">
        <v>2009</v>
      </c>
      <c r="G250" s="18">
        <v>62569984</v>
      </c>
      <c r="H250" s="19">
        <v>265135.56</v>
      </c>
      <c r="I250" s="18">
        <v>48918</v>
      </c>
      <c r="J250" s="19">
        <v>35234.74</v>
      </c>
      <c r="K250" s="19">
        <v>349288.3</v>
      </c>
      <c r="L250" s="19">
        <v>349288.3</v>
      </c>
      <c r="M250" s="19">
        <v>349288.3</v>
      </c>
      <c r="N250" s="20">
        <v>1</v>
      </c>
      <c r="O250" s="21">
        <v>0</v>
      </c>
      <c r="P250" s="21">
        <v>0</v>
      </c>
      <c r="Q250" s="17">
        <v>0.95535506999999997</v>
      </c>
      <c r="R250" s="19">
        <v>0</v>
      </c>
      <c r="S250" s="19">
        <v>348459.45</v>
      </c>
      <c r="T250" s="19">
        <v>2754854.89</v>
      </c>
      <c r="U250" s="19">
        <v>3103314.34</v>
      </c>
      <c r="V250" s="19">
        <v>775828.59</v>
      </c>
      <c r="W250" s="19">
        <v>410795.16</v>
      </c>
      <c r="X250" s="19">
        <v>0</v>
      </c>
      <c r="Y250" s="19">
        <v>445954.45</v>
      </c>
      <c r="Z250" s="19">
        <v>0</v>
      </c>
      <c r="AA250" s="19">
        <v>0</v>
      </c>
      <c r="AB250" s="19">
        <v>443755.55</v>
      </c>
      <c r="AC250" s="19">
        <v>433501.72</v>
      </c>
      <c r="AD250" s="19">
        <v>0</v>
      </c>
      <c r="AE250" s="19">
        <v>0</v>
      </c>
      <c r="AF250" s="19">
        <v>0</v>
      </c>
      <c r="AG250" s="19">
        <v>349288.3</v>
      </c>
      <c r="AH250" s="19">
        <v>0</v>
      </c>
    </row>
    <row r="251" spans="1:34" x14ac:dyDescent="0.25">
      <c r="A251" s="12" t="s">
        <v>38</v>
      </c>
      <c r="B251" s="17">
        <v>832</v>
      </c>
      <c r="C251" s="17">
        <v>1</v>
      </c>
      <c r="D251" s="24" t="s">
        <v>284</v>
      </c>
      <c r="E251" s="18">
        <v>14530</v>
      </c>
      <c r="F251" s="17">
        <v>2006</v>
      </c>
      <c r="G251" s="18">
        <v>26275676</v>
      </c>
      <c r="H251" s="19">
        <v>78752.600000000006</v>
      </c>
      <c r="I251" s="18">
        <v>14530</v>
      </c>
      <c r="J251" s="19">
        <v>20447.900000000001</v>
      </c>
      <c r="K251" s="19">
        <v>113730.5</v>
      </c>
      <c r="L251" s="19">
        <v>113730.5</v>
      </c>
      <c r="M251" s="19">
        <v>113730.5</v>
      </c>
      <c r="N251" s="20">
        <v>1</v>
      </c>
      <c r="O251" s="21">
        <v>0</v>
      </c>
      <c r="P251" s="21">
        <v>0</v>
      </c>
      <c r="Q251" s="17">
        <v>0.95535506999999997</v>
      </c>
      <c r="R251" s="19">
        <v>0</v>
      </c>
      <c r="S251" s="19">
        <v>113730.5</v>
      </c>
      <c r="T251" s="19">
        <v>1750650.97</v>
      </c>
      <c r="U251" s="19">
        <v>1864381.47</v>
      </c>
      <c r="V251" s="19">
        <v>466095.37</v>
      </c>
      <c r="W251" s="19">
        <v>196183.56</v>
      </c>
      <c r="X251" s="19">
        <v>0</v>
      </c>
      <c r="Y251" s="19">
        <v>172914.34</v>
      </c>
      <c r="Z251" s="19">
        <v>0</v>
      </c>
      <c r="AA251" s="19">
        <v>0</v>
      </c>
      <c r="AB251" s="19">
        <v>187471.9</v>
      </c>
      <c r="AC251" s="19">
        <v>185523.27</v>
      </c>
      <c r="AD251" s="19">
        <v>0</v>
      </c>
      <c r="AE251" s="19">
        <v>0</v>
      </c>
      <c r="AF251" s="19">
        <v>0</v>
      </c>
      <c r="AG251" s="19">
        <v>113730.5</v>
      </c>
      <c r="AH251" s="19">
        <v>0</v>
      </c>
    </row>
    <row r="252" spans="1:34" x14ac:dyDescent="0.25">
      <c r="A252" s="12" t="s">
        <v>38</v>
      </c>
      <c r="B252" s="17">
        <v>833</v>
      </c>
      <c r="C252" s="17">
        <v>1</v>
      </c>
      <c r="D252" s="24" t="s">
        <v>285</v>
      </c>
      <c r="E252" s="18">
        <v>97257</v>
      </c>
      <c r="F252" s="17">
        <v>2009</v>
      </c>
      <c r="G252" s="18">
        <v>116871861</v>
      </c>
      <c r="H252" s="19">
        <v>527132.93999999994</v>
      </c>
      <c r="I252" s="18">
        <v>97257</v>
      </c>
      <c r="J252" s="19">
        <v>56020.51</v>
      </c>
      <c r="K252" s="19">
        <v>680410.45</v>
      </c>
      <c r="L252" s="19">
        <v>680410.45</v>
      </c>
      <c r="M252" s="19">
        <v>680410.45</v>
      </c>
      <c r="N252" s="20">
        <v>1</v>
      </c>
      <c r="O252" s="21">
        <v>0</v>
      </c>
      <c r="P252" s="21">
        <v>0</v>
      </c>
      <c r="Q252" s="17">
        <v>0.95535506999999997</v>
      </c>
      <c r="R252" s="19">
        <v>0</v>
      </c>
      <c r="S252" s="19">
        <v>674327.65</v>
      </c>
      <c r="T252" s="19">
        <v>7376398.0599999996</v>
      </c>
      <c r="U252" s="19">
        <v>8050725.71</v>
      </c>
      <c r="V252" s="19">
        <v>2012681.43</v>
      </c>
      <c r="W252" s="19">
        <v>681773.66</v>
      </c>
      <c r="X252" s="19">
        <v>0</v>
      </c>
      <c r="Y252" s="19">
        <v>1028252.68</v>
      </c>
      <c r="Z252" s="19">
        <v>0</v>
      </c>
      <c r="AA252" s="19">
        <v>0</v>
      </c>
      <c r="AB252" s="19">
        <v>1264962.31</v>
      </c>
      <c r="AC252" s="19">
        <v>991662.88</v>
      </c>
      <c r="AD252" s="19">
        <v>0</v>
      </c>
      <c r="AE252" s="19">
        <v>0</v>
      </c>
      <c r="AF252" s="19">
        <v>0</v>
      </c>
      <c r="AG252" s="19">
        <v>680410.45</v>
      </c>
      <c r="AH252" s="19">
        <v>0</v>
      </c>
    </row>
    <row r="253" spans="1:34" x14ac:dyDescent="0.25">
      <c r="A253" s="12" t="s">
        <v>38</v>
      </c>
      <c r="B253" s="17">
        <v>834</v>
      </c>
      <c r="C253" s="17">
        <v>1</v>
      </c>
      <c r="D253" s="24" t="s">
        <v>286</v>
      </c>
      <c r="E253" s="18">
        <v>60365</v>
      </c>
      <c r="F253" s="17">
        <v>2009</v>
      </c>
      <c r="G253" s="18">
        <v>97858388</v>
      </c>
      <c r="H253" s="19">
        <v>327178.3</v>
      </c>
      <c r="I253" s="18">
        <v>60365</v>
      </c>
      <c r="J253" s="19">
        <v>40156.949999999997</v>
      </c>
      <c r="K253" s="19">
        <v>427700.25</v>
      </c>
      <c r="L253" s="19">
        <v>427700.25</v>
      </c>
      <c r="M253" s="19">
        <v>427700.25</v>
      </c>
      <c r="N253" s="20">
        <v>1</v>
      </c>
      <c r="O253" s="21">
        <v>0</v>
      </c>
      <c r="P253" s="21">
        <v>0</v>
      </c>
      <c r="Q253" s="17">
        <v>0.95535506999999997</v>
      </c>
      <c r="R253" s="19">
        <v>0</v>
      </c>
      <c r="S253" s="19">
        <v>426302.85</v>
      </c>
      <c r="T253" s="19">
        <v>2161796.46</v>
      </c>
      <c r="U253" s="19">
        <v>2588099.31</v>
      </c>
      <c r="V253" s="19">
        <v>647024.82999999996</v>
      </c>
      <c r="W253" s="19">
        <v>676125.37</v>
      </c>
      <c r="X253" s="19">
        <v>0</v>
      </c>
      <c r="Y253" s="19">
        <v>461705.57</v>
      </c>
      <c r="Z253" s="19">
        <v>0</v>
      </c>
      <c r="AA253" s="19">
        <v>0</v>
      </c>
      <c r="AB253" s="19">
        <v>372573.16</v>
      </c>
      <c r="AC253" s="19">
        <v>503468.03</v>
      </c>
      <c r="AD253" s="19">
        <v>0</v>
      </c>
      <c r="AE253" s="19">
        <v>0</v>
      </c>
      <c r="AF253" s="19">
        <v>0</v>
      </c>
      <c r="AG253" s="19">
        <v>427700.25</v>
      </c>
      <c r="AH253" s="19">
        <v>0</v>
      </c>
    </row>
    <row r="254" spans="1:34" x14ac:dyDescent="0.25">
      <c r="A254" s="12" t="s">
        <v>38</v>
      </c>
      <c r="B254" s="17">
        <v>836</v>
      </c>
      <c r="C254" s="17">
        <v>1</v>
      </c>
      <c r="D254" s="24" t="s">
        <v>287</v>
      </c>
      <c r="E254" s="18">
        <v>1350</v>
      </c>
      <c r="F254" s="17">
        <v>2000</v>
      </c>
      <c r="G254" s="18">
        <v>2092464</v>
      </c>
      <c r="H254" s="19">
        <v>7317</v>
      </c>
      <c r="I254" s="18">
        <v>1350</v>
      </c>
      <c r="J254" s="19">
        <v>2497.5</v>
      </c>
      <c r="K254" s="19">
        <v>11164.5</v>
      </c>
      <c r="L254" s="19">
        <v>11164.5</v>
      </c>
      <c r="M254" s="19">
        <v>11164.5</v>
      </c>
      <c r="N254" s="20">
        <v>1</v>
      </c>
      <c r="O254" s="21">
        <v>0</v>
      </c>
      <c r="P254" s="21">
        <v>0</v>
      </c>
      <c r="Q254" s="17">
        <v>0.95535506999999997</v>
      </c>
      <c r="R254" s="19">
        <v>0</v>
      </c>
      <c r="S254" s="19">
        <v>11164.5</v>
      </c>
      <c r="T254" s="19">
        <v>25944.68</v>
      </c>
      <c r="U254" s="19">
        <v>37109.18</v>
      </c>
      <c r="V254" s="19">
        <v>9277.2999999999993</v>
      </c>
      <c r="W254" s="19">
        <v>-16202.55</v>
      </c>
      <c r="X254" s="19">
        <v>0</v>
      </c>
      <c r="Y254" s="19">
        <v>-19117.810000000001</v>
      </c>
      <c r="Z254" s="19">
        <v>0</v>
      </c>
      <c r="AA254" s="19">
        <v>0</v>
      </c>
      <c r="AB254" s="19">
        <v>-38071.39</v>
      </c>
      <c r="AC254" s="19">
        <v>-24463.919999999998</v>
      </c>
      <c r="AD254" s="19">
        <v>0</v>
      </c>
      <c r="AE254" s="19">
        <v>0</v>
      </c>
      <c r="AF254" s="19">
        <v>0</v>
      </c>
      <c r="AG254" s="19">
        <v>11164.5</v>
      </c>
      <c r="AH254" s="19">
        <v>0</v>
      </c>
    </row>
    <row r="255" spans="1:34" x14ac:dyDescent="0.25">
      <c r="A255" s="12" t="s">
        <v>38</v>
      </c>
      <c r="B255" s="17">
        <v>837</v>
      </c>
      <c r="C255" s="17">
        <v>1</v>
      </c>
      <c r="D255" s="24" t="s">
        <v>288</v>
      </c>
      <c r="E255" s="18">
        <v>3551</v>
      </c>
      <c r="F255" s="17">
        <v>2000</v>
      </c>
      <c r="G255" s="18">
        <v>4260393</v>
      </c>
      <c r="H255" s="19">
        <v>19246.419999999998</v>
      </c>
      <c r="I255" s="18">
        <v>3551</v>
      </c>
      <c r="J255" s="19">
        <v>6569.35</v>
      </c>
      <c r="K255" s="19">
        <v>29366.77</v>
      </c>
      <c r="L255" s="19">
        <v>29366.77</v>
      </c>
      <c r="M255" s="19">
        <v>29366.77</v>
      </c>
      <c r="N255" s="20">
        <v>1</v>
      </c>
      <c r="O255" s="21">
        <v>0</v>
      </c>
      <c r="P255" s="21">
        <v>0</v>
      </c>
      <c r="Q255" s="17">
        <v>0.95535506999999997</v>
      </c>
      <c r="R255" s="19">
        <v>0</v>
      </c>
      <c r="S255" s="19">
        <v>29366.77</v>
      </c>
      <c r="T255" s="19">
        <v>49350.77</v>
      </c>
      <c r="U255" s="19">
        <v>78717.539999999994</v>
      </c>
      <c r="V255" s="19">
        <v>19679.39</v>
      </c>
      <c r="W255" s="19">
        <v>5535.33</v>
      </c>
      <c r="X255" s="19">
        <v>0</v>
      </c>
      <c r="Y255" s="19">
        <v>-4334.3599999999997</v>
      </c>
      <c r="Z255" s="19">
        <v>0</v>
      </c>
      <c r="AA255" s="19">
        <v>0</v>
      </c>
      <c r="AB255" s="19">
        <v>-9611.52</v>
      </c>
      <c r="AC255" s="19">
        <v>-2803.52</v>
      </c>
      <c r="AD255" s="19">
        <v>0</v>
      </c>
      <c r="AE255" s="19">
        <v>0</v>
      </c>
      <c r="AF255" s="19">
        <v>0</v>
      </c>
      <c r="AG255" s="19">
        <v>29366.77</v>
      </c>
      <c r="AH255" s="19">
        <v>0</v>
      </c>
    </row>
    <row r="256" spans="1:34" x14ac:dyDescent="0.25">
      <c r="A256" s="12" t="s">
        <v>38</v>
      </c>
      <c r="B256" s="17">
        <v>840</v>
      </c>
      <c r="C256" s="17">
        <v>1</v>
      </c>
      <c r="D256" s="24" t="s">
        <v>289</v>
      </c>
      <c r="E256" s="18">
        <v>6871</v>
      </c>
      <c r="F256" s="17">
        <v>2000</v>
      </c>
      <c r="G256" s="18">
        <v>6719627</v>
      </c>
      <c r="H256" s="19">
        <v>37240.82</v>
      </c>
      <c r="I256" s="18">
        <v>6871</v>
      </c>
      <c r="J256" s="19">
        <v>12711.35</v>
      </c>
      <c r="K256" s="19">
        <v>56823.17</v>
      </c>
      <c r="L256" s="19">
        <v>56823.17</v>
      </c>
      <c r="M256" s="19">
        <v>56823.17</v>
      </c>
      <c r="N256" s="20">
        <v>1</v>
      </c>
      <c r="O256" s="21">
        <v>0</v>
      </c>
      <c r="P256" s="21">
        <v>0</v>
      </c>
      <c r="Q256" s="17">
        <v>0.95535506999999997</v>
      </c>
      <c r="R256" s="19">
        <v>0</v>
      </c>
      <c r="S256" s="19">
        <v>56823.17</v>
      </c>
      <c r="T256" s="19">
        <v>372003.14</v>
      </c>
      <c r="U256" s="19">
        <v>428826.31</v>
      </c>
      <c r="V256" s="19">
        <v>107206.58</v>
      </c>
      <c r="W256" s="19">
        <v>92212.160000000003</v>
      </c>
      <c r="X256" s="19">
        <v>0</v>
      </c>
      <c r="Y256" s="19">
        <v>64166.7</v>
      </c>
      <c r="Z256" s="19">
        <v>0</v>
      </c>
      <c r="AA256" s="19">
        <v>0</v>
      </c>
      <c r="AB256" s="19">
        <v>9390.65</v>
      </c>
      <c r="AC256" s="19">
        <v>55256.5</v>
      </c>
      <c r="AD256" s="19">
        <v>0</v>
      </c>
      <c r="AE256" s="19">
        <v>0</v>
      </c>
      <c r="AF256" s="19">
        <v>0</v>
      </c>
      <c r="AG256" s="19">
        <v>56823.17</v>
      </c>
      <c r="AH256" s="19">
        <v>0</v>
      </c>
    </row>
    <row r="257" spans="1:34" x14ac:dyDescent="0.25">
      <c r="A257" s="12" t="s">
        <v>38</v>
      </c>
      <c r="B257" s="17">
        <v>846</v>
      </c>
      <c r="C257" s="17">
        <v>1</v>
      </c>
      <c r="D257" s="24" t="s">
        <v>290</v>
      </c>
      <c r="E257" s="18">
        <v>5354</v>
      </c>
      <c r="F257" s="17">
        <v>2000</v>
      </c>
      <c r="G257" s="18">
        <v>6405948</v>
      </c>
      <c r="H257" s="19">
        <v>29018.68</v>
      </c>
      <c r="I257" s="18">
        <v>5354</v>
      </c>
      <c r="J257" s="19">
        <v>9904.9</v>
      </c>
      <c r="K257" s="19">
        <v>44277.58</v>
      </c>
      <c r="L257" s="19">
        <v>44277.58</v>
      </c>
      <c r="M257" s="19">
        <v>44277.58</v>
      </c>
      <c r="N257" s="20">
        <v>1</v>
      </c>
      <c r="O257" s="21">
        <v>0</v>
      </c>
      <c r="P257" s="21">
        <v>0</v>
      </c>
      <c r="Q257" s="17">
        <v>0.95535506999999997</v>
      </c>
      <c r="R257" s="19">
        <v>0</v>
      </c>
      <c r="S257" s="19">
        <v>44277.58</v>
      </c>
      <c r="T257" s="19">
        <v>180146.86</v>
      </c>
      <c r="U257" s="19">
        <v>224424.44</v>
      </c>
      <c r="V257" s="19">
        <v>56106.11</v>
      </c>
      <c r="W257" s="19">
        <v>21825.65</v>
      </c>
      <c r="X257" s="19">
        <v>0</v>
      </c>
      <c r="Y257" s="19">
        <v>21932.18</v>
      </c>
      <c r="Z257" s="19">
        <v>0</v>
      </c>
      <c r="AA257" s="19">
        <v>0</v>
      </c>
      <c r="AB257" s="19">
        <v>10660.03</v>
      </c>
      <c r="AC257" s="19">
        <v>18139.29</v>
      </c>
      <c r="AD257" s="19">
        <v>0</v>
      </c>
      <c r="AE257" s="19">
        <v>0</v>
      </c>
      <c r="AF257" s="19">
        <v>0</v>
      </c>
      <c r="AG257" s="19">
        <v>44277.58</v>
      </c>
      <c r="AH257" s="19">
        <v>0</v>
      </c>
    </row>
    <row r="258" spans="1:34" x14ac:dyDescent="0.25">
      <c r="A258" s="12" t="s">
        <v>38</v>
      </c>
      <c r="B258" s="17">
        <v>850</v>
      </c>
      <c r="C258" s="17">
        <v>1</v>
      </c>
      <c r="D258" s="24" t="s">
        <v>291</v>
      </c>
      <c r="E258" s="18">
        <v>1065</v>
      </c>
      <c r="F258" s="17">
        <v>2000</v>
      </c>
      <c r="G258" s="18">
        <v>2101180</v>
      </c>
      <c r="H258" s="19">
        <v>7235.7</v>
      </c>
      <c r="I258" s="18">
        <v>1335</v>
      </c>
      <c r="J258" s="19">
        <v>2469.75</v>
      </c>
      <c r="K258" s="19">
        <v>11040.45</v>
      </c>
      <c r="L258" s="19">
        <v>11040.45</v>
      </c>
      <c r="M258" s="19">
        <v>11040.45</v>
      </c>
      <c r="N258" s="20">
        <v>1</v>
      </c>
      <c r="O258" s="21">
        <v>0</v>
      </c>
      <c r="P258" s="21">
        <v>0</v>
      </c>
      <c r="Q258" s="17">
        <v>0.95535506999999997</v>
      </c>
      <c r="R258" s="19">
        <v>0</v>
      </c>
      <c r="S258" s="19">
        <v>11040.45</v>
      </c>
      <c r="T258" s="19">
        <v>26760.44</v>
      </c>
      <c r="U258" s="19">
        <v>37800.89</v>
      </c>
      <c r="V258" s="19">
        <v>9450.2199999999993</v>
      </c>
      <c r="W258" s="19">
        <v>-6809.26</v>
      </c>
      <c r="X258" s="19">
        <v>0</v>
      </c>
      <c r="Y258" s="19">
        <v>-3739.16</v>
      </c>
      <c r="Z258" s="19">
        <v>0</v>
      </c>
      <c r="AA258" s="19">
        <v>0</v>
      </c>
      <c r="AB258" s="19">
        <v>921.72</v>
      </c>
      <c r="AC258" s="19">
        <v>-3208.9</v>
      </c>
      <c r="AD258" s="19">
        <v>0</v>
      </c>
      <c r="AE258" s="19">
        <v>0</v>
      </c>
      <c r="AF258" s="19">
        <v>0</v>
      </c>
      <c r="AG258" s="19">
        <v>11040.45</v>
      </c>
      <c r="AH258" s="19">
        <v>0</v>
      </c>
    </row>
    <row r="259" spans="1:34" x14ac:dyDescent="0.25">
      <c r="A259" s="12" t="s">
        <v>38</v>
      </c>
      <c r="B259" s="17">
        <v>852</v>
      </c>
      <c r="C259" s="17">
        <v>1</v>
      </c>
      <c r="D259" s="24" t="s">
        <v>292</v>
      </c>
      <c r="E259" s="18">
        <v>945</v>
      </c>
      <c r="F259" s="17">
        <v>2000</v>
      </c>
      <c r="G259" s="18">
        <v>3968884</v>
      </c>
      <c r="H259" s="19">
        <v>7235.7</v>
      </c>
      <c r="I259" s="18">
        <v>1335</v>
      </c>
      <c r="J259" s="19">
        <v>0</v>
      </c>
      <c r="K259" s="19">
        <v>8570.7000000000007</v>
      </c>
      <c r="L259" s="19">
        <v>8570.7000000000007</v>
      </c>
      <c r="M259" s="19">
        <v>8570.7000000000007</v>
      </c>
      <c r="N259" s="20">
        <v>1</v>
      </c>
      <c r="O259" s="21">
        <v>0</v>
      </c>
      <c r="P259" s="21">
        <v>0</v>
      </c>
      <c r="Q259" s="17">
        <v>0.95535506999999997</v>
      </c>
      <c r="R259" s="19">
        <v>0</v>
      </c>
      <c r="S259" s="19">
        <v>8570.7000000000007</v>
      </c>
      <c r="T259" s="19">
        <v>2500.39</v>
      </c>
      <c r="U259" s="19">
        <v>11071.09</v>
      </c>
      <c r="V259" s="19">
        <v>2767.77</v>
      </c>
      <c r="W259" s="19">
        <v>1117.05</v>
      </c>
      <c r="X259" s="19">
        <v>0</v>
      </c>
      <c r="Y259" s="19">
        <v>0</v>
      </c>
      <c r="Z259" s="19">
        <v>0</v>
      </c>
      <c r="AA259" s="19">
        <v>0</v>
      </c>
      <c r="AB259" s="19">
        <v>3514.79</v>
      </c>
      <c r="AC259" s="19">
        <v>1543.95</v>
      </c>
      <c r="AD259" s="19">
        <v>0</v>
      </c>
      <c r="AE259" s="19">
        <v>0</v>
      </c>
      <c r="AF259" s="19">
        <v>0</v>
      </c>
      <c r="AG259" s="19">
        <v>8570.7000000000007</v>
      </c>
      <c r="AH259" s="19">
        <v>0</v>
      </c>
    </row>
    <row r="260" spans="1:34" x14ac:dyDescent="0.25">
      <c r="A260" s="12" t="s">
        <v>38</v>
      </c>
      <c r="B260" s="17">
        <v>857</v>
      </c>
      <c r="C260" s="17">
        <v>1</v>
      </c>
      <c r="D260" s="24" t="s">
        <v>293</v>
      </c>
      <c r="E260" s="18">
        <v>4119</v>
      </c>
      <c r="F260" s="17">
        <v>2000</v>
      </c>
      <c r="G260" s="18">
        <v>5319558</v>
      </c>
      <c r="H260" s="19">
        <v>22324.98</v>
      </c>
      <c r="I260" s="18">
        <v>4119</v>
      </c>
      <c r="J260" s="19">
        <v>7620.15</v>
      </c>
      <c r="K260" s="19">
        <v>34064.129999999997</v>
      </c>
      <c r="L260" s="19">
        <v>34064.129999999997</v>
      </c>
      <c r="M260" s="19">
        <v>34064.129999999997</v>
      </c>
      <c r="N260" s="20">
        <v>1</v>
      </c>
      <c r="O260" s="21">
        <v>0</v>
      </c>
      <c r="P260" s="21">
        <v>0</v>
      </c>
      <c r="Q260" s="17">
        <v>0.95535506999999997</v>
      </c>
      <c r="R260" s="19">
        <v>0</v>
      </c>
      <c r="S260" s="19">
        <v>34064.129999999997</v>
      </c>
      <c r="T260" s="19">
        <v>82335.399999999994</v>
      </c>
      <c r="U260" s="19">
        <v>116399.53</v>
      </c>
      <c r="V260" s="19">
        <v>29099.88</v>
      </c>
      <c r="W260" s="19">
        <v>9149.7800000000007</v>
      </c>
      <c r="X260" s="19">
        <v>0</v>
      </c>
      <c r="Y260" s="19">
        <v>11388.7</v>
      </c>
      <c r="Z260" s="19">
        <v>0</v>
      </c>
      <c r="AA260" s="19">
        <v>0</v>
      </c>
      <c r="AB260" s="19">
        <v>3862.37</v>
      </c>
      <c r="AC260" s="19">
        <v>8133.62</v>
      </c>
      <c r="AD260" s="19">
        <v>0</v>
      </c>
      <c r="AE260" s="19">
        <v>0</v>
      </c>
      <c r="AF260" s="19">
        <v>0</v>
      </c>
      <c r="AG260" s="19">
        <v>34064.129999999997</v>
      </c>
      <c r="AH260" s="19">
        <v>0</v>
      </c>
    </row>
    <row r="261" spans="1:34" x14ac:dyDescent="0.25">
      <c r="A261" s="12" t="s">
        <v>38</v>
      </c>
      <c r="B261" s="17">
        <v>858</v>
      </c>
      <c r="C261" s="17">
        <v>1</v>
      </c>
      <c r="D261" s="24" t="s">
        <v>294</v>
      </c>
      <c r="E261" s="18">
        <v>5397</v>
      </c>
      <c r="F261" s="17">
        <v>2000</v>
      </c>
      <c r="G261" s="18">
        <v>6350985</v>
      </c>
      <c r="H261" s="19">
        <v>29251.74</v>
      </c>
      <c r="I261" s="18">
        <v>5397</v>
      </c>
      <c r="J261" s="19">
        <v>9984.4500000000007</v>
      </c>
      <c r="K261" s="19">
        <v>44633.19</v>
      </c>
      <c r="L261" s="19">
        <v>44633.19</v>
      </c>
      <c r="M261" s="19">
        <v>44633.19</v>
      </c>
      <c r="N261" s="20">
        <v>1</v>
      </c>
      <c r="O261" s="21">
        <v>0</v>
      </c>
      <c r="P261" s="21">
        <v>0</v>
      </c>
      <c r="Q261" s="17">
        <v>0.95535506999999997</v>
      </c>
      <c r="R261" s="19">
        <v>0</v>
      </c>
      <c r="S261" s="19">
        <v>44633.19</v>
      </c>
      <c r="T261" s="19">
        <v>64970.98</v>
      </c>
      <c r="U261" s="19">
        <v>109604.17</v>
      </c>
      <c r="V261" s="19">
        <v>27401.040000000001</v>
      </c>
      <c r="W261" s="19">
        <v>22809.98</v>
      </c>
      <c r="X261" s="19">
        <v>120.03</v>
      </c>
      <c r="Y261" s="19">
        <v>1259.67</v>
      </c>
      <c r="Z261" s="19">
        <v>0</v>
      </c>
      <c r="AA261" s="19">
        <v>0</v>
      </c>
      <c r="AB261" s="19">
        <v>787.56</v>
      </c>
      <c r="AC261" s="19">
        <v>8245.73</v>
      </c>
      <c r="AD261" s="19">
        <v>0</v>
      </c>
      <c r="AE261" s="19">
        <v>0</v>
      </c>
      <c r="AF261" s="19">
        <v>0</v>
      </c>
      <c r="AG261" s="19">
        <v>44633.19</v>
      </c>
      <c r="AH261" s="19">
        <v>0</v>
      </c>
    </row>
    <row r="262" spans="1:34" x14ac:dyDescent="0.25">
      <c r="A262" s="12" t="s">
        <v>38</v>
      </c>
      <c r="B262" s="17">
        <v>861</v>
      </c>
      <c r="C262" s="17">
        <v>1</v>
      </c>
      <c r="D262" s="24" t="s">
        <v>295</v>
      </c>
      <c r="E262" s="18">
        <v>39466</v>
      </c>
      <c r="F262" s="17">
        <v>2000</v>
      </c>
      <c r="G262" s="18">
        <v>31498442</v>
      </c>
      <c r="H262" s="19">
        <v>213905.72</v>
      </c>
      <c r="I262" s="18">
        <v>39466</v>
      </c>
      <c r="J262" s="19">
        <v>31170.38</v>
      </c>
      <c r="K262" s="19">
        <v>284542.09999999998</v>
      </c>
      <c r="L262" s="19">
        <v>283485.98</v>
      </c>
      <c r="M262" s="19">
        <v>283485.98</v>
      </c>
      <c r="N262" s="20">
        <v>1</v>
      </c>
      <c r="O262" s="21">
        <v>1056.1199999999999</v>
      </c>
      <c r="P262" s="21">
        <v>1056.1199999999999</v>
      </c>
      <c r="Q262" s="17">
        <v>0.95535506999999997</v>
      </c>
      <c r="R262" s="19">
        <v>1008.97</v>
      </c>
      <c r="S262" s="19">
        <v>284542.09999999998</v>
      </c>
      <c r="T262" s="19">
        <v>817050.05</v>
      </c>
      <c r="U262" s="19">
        <v>1101592.1499999999</v>
      </c>
      <c r="V262" s="19">
        <v>275398.03999999998</v>
      </c>
      <c r="W262" s="19">
        <v>79816.100000000006</v>
      </c>
      <c r="X262" s="19">
        <v>0</v>
      </c>
      <c r="Y262" s="19">
        <v>156967.89000000001</v>
      </c>
      <c r="Z262" s="19">
        <v>0</v>
      </c>
      <c r="AA262" s="19">
        <v>0</v>
      </c>
      <c r="AB262" s="19">
        <v>266383.76</v>
      </c>
      <c r="AC262" s="19">
        <v>167722.57999999999</v>
      </c>
      <c r="AD262" s="19">
        <v>0</v>
      </c>
      <c r="AE262" s="19">
        <v>0</v>
      </c>
      <c r="AF262" s="19">
        <v>0</v>
      </c>
      <c r="AG262" s="19">
        <v>283485.98</v>
      </c>
      <c r="AH262" s="19">
        <v>1056.1199999999999</v>
      </c>
    </row>
    <row r="263" spans="1:34" x14ac:dyDescent="0.25">
      <c r="A263" s="12" t="s">
        <v>38</v>
      </c>
      <c r="B263" s="17">
        <v>876</v>
      </c>
      <c r="C263" s="17">
        <v>1</v>
      </c>
      <c r="D263" s="24" t="s">
        <v>296</v>
      </c>
      <c r="E263" s="18">
        <v>11127</v>
      </c>
      <c r="F263" s="17">
        <v>2008</v>
      </c>
      <c r="G263" s="18">
        <v>20497256</v>
      </c>
      <c r="H263" s="19">
        <v>60308.34</v>
      </c>
      <c r="I263" s="18">
        <v>11127</v>
      </c>
      <c r="J263" s="19">
        <v>18984.61</v>
      </c>
      <c r="K263" s="19">
        <v>90419.95</v>
      </c>
      <c r="L263" s="19">
        <v>90419.95</v>
      </c>
      <c r="M263" s="19">
        <v>90419.95</v>
      </c>
      <c r="N263" s="20">
        <v>1</v>
      </c>
      <c r="O263" s="21">
        <v>0</v>
      </c>
      <c r="P263" s="21">
        <v>0</v>
      </c>
      <c r="Q263" s="17">
        <v>0.95535506999999997</v>
      </c>
      <c r="R263" s="19">
        <v>0</v>
      </c>
      <c r="S263" s="19">
        <v>90419.95</v>
      </c>
      <c r="T263" s="19">
        <v>447601.49</v>
      </c>
      <c r="U263" s="19">
        <v>538021.43999999994</v>
      </c>
      <c r="V263" s="19">
        <v>134505.35999999999</v>
      </c>
      <c r="W263" s="19">
        <v>80346.289999999994</v>
      </c>
      <c r="X263" s="19">
        <v>0</v>
      </c>
      <c r="Y263" s="19">
        <v>115422.45</v>
      </c>
      <c r="Z263" s="19">
        <v>0</v>
      </c>
      <c r="AA263" s="19">
        <v>0</v>
      </c>
      <c r="AB263" s="19">
        <v>128466.01</v>
      </c>
      <c r="AC263" s="19">
        <v>108078.25</v>
      </c>
      <c r="AD263" s="19">
        <v>0</v>
      </c>
      <c r="AE263" s="19">
        <v>0</v>
      </c>
      <c r="AF263" s="19">
        <v>0</v>
      </c>
      <c r="AG263" s="19">
        <v>90419.95</v>
      </c>
      <c r="AH263" s="19">
        <v>0</v>
      </c>
    </row>
    <row r="264" spans="1:34" x14ac:dyDescent="0.25">
      <c r="A264" s="12" t="s">
        <v>38</v>
      </c>
      <c r="B264" s="17">
        <v>877</v>
      </c>
      <c r="C264" s="17">
        <v>1</v>
      </c>
      <c r="D264" s="24" t="s">
        <v>297</v>
      </c>
      <c r="E264" s="18">
        <v>32100</v>
      </c>
      <c r="F264" s="17">
        <v>2008</v>
      </c>
      <c r="G264" s="18">
        <v>38272454</v>
      </c>
      <c r="H264" s="19">
        <v>173982</v>
      </c>
      <c r="I264" s="18">
        <v>32100</v>
      </c>
      <c r="J264" s="19">
        <v>28003</v>
      </c>
      <c r="K264" s="19">
        <v>234085</v>
      </c>
      <c r="L264" s="19">
        <v>234085</v>
      </c>
      <c r="M264" s="19">
        <v>234085</v>
      </c>
      <c r="N264" s="20">
        <v>1</v>
      </c>
      <c r="O264" s="21">
        <v>0</v>
      </c>
      <c r="P264" s="21">
        <v>0</v>
      </c>
      <c r="Q264" s="17">
        <v>0.95535506999999997</v>
      </c>
      <c r="R264" s="19">
        <v>0</v>
      </c>
      <c r="S264" s="19">
        <v>234085</v>
      </c>
      <c r="T264" s="19">
        <v>1808953.93</v>
      </c>
      <c r="U264" s="19">
        <v>2043038.93</v>
      </c>
      <c r="V264" s="19">
        <v>510759.73</v>
      </c>
      <c r="W264" s="19">
        <v>148767.54999999999</v>
      </c>
      <c r="X264" s="19">
        <v>0</v>
      </c>
      <c r="Y264" s="19">
        <v>119753.56</v>
      </c>
      <c r="Z264" s="19">
        <v>0</v>
      </c>
      <c r="AA264" s="19">
        <v>0</v>
      </c>
      <c r="AB264" s="19">
        <v>83114.97</v>
      </c>
      <c r="AC264" s="19">
        <v>117212.03</v>
      </c>
      <c r="AD264" s="19">
        <v>0</v>
      </c>
      <c r="AE264" s="19">
        <v>0</v>
      </c>
      <c r="AF264" s="19">
        <v>0</v>
      </c>
      <c r="AG264" s="19">
        <v>234085</v>
      </c>
      <c r="AH264" s="19">
        <v>0</v>
      </c>
    </row>
    <row r="265" spans="1:34" x14ac:dyDescent="0.25">
      <c r="A265" s="12" t="s">
        <v>38</v>
      </c>
      <c r="B265" s="17">
        <v>879</v>
      </c>
      <c r="C265" s="17">
        <v>1</v>
      </c>
      <c r="D265" s="24" t="s">
        <v>298</v>
      </c>
      <c r="E265" s="18">
        <v>12838</v>
      </c>
      <c r="F265" s="17">
        <v>2009</v>
      </c>
      <c r="G265" s="18">
        <v>17611864</v>
      </c>
      <c r="H265" s="19">
        <v>69581.960000000006</v>
      </c>
      <c r="I265" s="18">
        <v>12838</v>
      </c>
      <c r="J265" s="19">
        <v>19720.34</v>
      </c>
      <c r="K265" s="19">
        <v>102140.3</v>
      </c>
      <c r="L265" s="19">
        <v>102140.3</v>
      </c>
      <c r="M265" s="19">
        <v>102140.3</v>
      </c>
      <c r="N265" s="20">
        <v>1</v>
      </c>
      <c r="O265" s="21">
        <v>0</v>
      </c>
      <c r="P265" s="21">
        <v>0</v>
      </c>
      <c r="Q265" s="17">
        <v>0.95535506999999997</v>
      </c>
      <c r="R265" s="19">
        <v>0</v>
      </c>
      <c r="S265" s="19">
        <v>101153.9</v>
      </c>
      <c r="T265" s="19">
        <v>1350819.97</v>
      </c>
      <c r="U265" s="19">
        <v>1451973.87</v>
      </c>
      <c r="V265" s="19">
        <v>362993.47</v>
      </c>
      <c r="W265" s="19">
        <v>344188.71</v>
      </c>
      <c r="X265" s="19">
        <v>0</v>
      </c>
      <c r="Y265" s="19">
        <v>271429.02</v>
      </c>
      <c r="Z265" s="19">
        <v>0</v>
      </c>
      <c r="AA265" s="19">
        <v>0</v>
      </c>
      <c r="AB265" s="19">
        <v>310803.96000000002</v>
      </c>
      <c r="AC265" s="19">
        <v>308807.23</v>
      </c>
      <c r="AD265" s="19">
        <v>0</v>
      </c>
      <c r="AE265" s="19">
        <v>0</v>
      </c>
      <c r="AF265" s="19">
        <v>0</v>
      </c>
      <c r="AG265" s="19">
        <v>102140.3</v>
      </c>
      <c r="AH265" s="19">
        <v>0</v>
      </c>
    </row>
    <row r="266" spans="1:34" x14ac:dyDescent="0.25">
      <c r="A266" s="12" t="s">
        <v>38</v>
      </c>
      <c r="B266" s="17">
        <v>881</v>
      </c>
      <c r="C266" s="17">
        <v>1</v>
      </c>
      <c r="D266" s="24" t="s">
        <v>299</v>
      </c>
      <c r="E266" s="18">
        <v>4939</v>
      </c>
      <c r="F266" s="17">
        <v>2008</v>
      </c>
      <c r="G266" s="18">
        <v>7290486</v>
      </c>
      <c r="H266" s="19">
        <v>26769.38</v>
      </c>
      <c r="I266" s="18">
        <v>4939</v>
      </c>
      <c r="J266" s="19">
        <v>9137.15</v>
      </c>
      <c r="K266" s="19">
        <v>40845.53</v>
      </c>
      <c r="L266" s="19">
        <v>40845.53</v>
      </c>
      <c r="M266" s="19">
        <v>40845.53</v>
      </c>
      <c r="N266" s="20">
        <v>1</v>
      </c>
      <c r="O266" s="21">
        <v>0</v>
      </c>
      <c r="P266" s="21">
        <v>0</v>
      </c>
      <c r="Q266" s="17">
        <v>0.95535506999999997</v>
      </c>
      <c r="R266" s="19">
        <v>0</v>
      </c>
      <c r="S266" s="19">
        <v>40845.53</v>
      </c>
      <c r="T266" s="19">
        <v>193621.08</v>
      </c>
      <c r="U266" s="19">
        <v>234466.61</v>
      </c>
      <c r="V266" s="19">
        <v>58616.65</v>
      </c>
      <c r="W266" s="19">
        <v>37339.040000000001</v>
      </c>
      <c r="X266" s="19">
        <v>0</v>
      </c>
      <c r="Y266" s="19">
        <v>9054.59</v>
      </c>
      <c r="Z266" s="19">
        <v>0</v>
      </c>
      <c r="AA266" s="19">
        <v>0</v>
      </c>
      <c r="AB266" s="19">
        <v>-35678.269999999997</v>
      </c>
      <c r="AC266" s="19">
        <v>3571.79</v>
      </c>
      <c r="AD266" s="19">
        <v>0</v>
      </c>
      <c r="AE266" s="19">
        <v>0</v>
      </c>
      <c r="AF266" s="19">
        <v>0</v>
      </c>
      <c r="AG266" s="19">
        <v>40845.53</v>
      </c>
      <c r="AH266" s="19">
        <v>0</v>
      </c>
    </row>
    <row r="267" spans="1:34" x14ac:dyDescent="0.25">
      <c r="A267" s="12" t="s">
        <v>38</v>
      </c>
      <c r="B267" s="17">
        <v>882</v>
      </c>
      <c r="C267" s="17">
        <v>1</v>
      </c>
      <c r="D267" s="24" t="s">
        <v>300</v>
      </c>
      <c r="E267" s="18">
        <v>19556</v>
      </c>
      <c r="F267" s="17">
        <v>2008</v>
      </c>
      <c r="G267" s="18">
        <v>27652395</v>
      </c>
      <c r="H267" s="19">
        <v>105993.52</v>
      </c>
      <c r="I267" s="18">
        <v>19556</v>
      </c>
      <c r="J267" s="19">
        <v>22609.08</v>
      </c>
      <c r="K267" s="19">
        <v>148158.6</v>
      </c>
      <c r="L267" s="19">
        <v>148158.6</v>
      </c>
      <c r="M267" s="19">
        <v>148158.6</v>
      </c>
      <c r="N267" s="20">
        <v>1</v>
      </c>
      <c r="O267" s="21">
        <v>0</v>
      </c>
      <c r="P267" s="21">
        <v>0</v>
      </c>
      <c r="Q267" s="17">
        <v>0.95535506999999997</v>
      </c>
      <c r="R267" s="19">
        <v>0</v>
      </c>
      <c r="S267" s="19">
        <v>148158.6</v>
      </c>
      <c r="T267" s="19">
        <v>1013508.63</v>
      </c>
      <c r="U267" s="19">
        <v>1161667.23</v>
      </c>
      <c r="V267" s="19">
        <v>290416.81</v>
      </c>
      <c r="W267" s="19">
        <v>167940.06</v>
      </c>
      <c r="X267" s="19">
        <v>0</v>
      </c>
      <c r="Y267" s="19">
        <v>232398.73</v>
      </c>
      <c r="Z267" s="19">
        <v>0</v>
      </c>
      <c r="AA267" s="19">
        <v>0</v>
      </c>
      <c r="AB267" s="19">
        <v>118046.84</v>
      </c>
      <c r="AC267" s="19">
        <v>172795.21</v>
      </c>
      <c r="AD267" s="19">
        <v>0</v>
      </c>
      <c r="AE267" s="19">
        <v>0</v>
      </c>
      <c r="AF267" s="19">
        <v>0</v>
      </c>
      <c r="AG267" s="19">
        <v>148158.6</v>
      </c>
      <c r="AH267" s="19">
        <v>0</v>
      </c>
    </row>
    <row r="268" spans="1:34" x14ac:dyDescent="0.25">
      <c r="A268" s="12" t="s">
        <v>38</v>
      </c>
      <c r="B268" s="17">
        <v>883</v>
      </c>
      <c r="C268" s="17">
        <v>1</v>
      </c>
      <c r="D268" s="24" t="s">
        <v>301</v>
      </c>
      <c r="E268" s="18">
        <v>9574</v>
      </c>
      <c r="F268" s="17">
        <v>2007</v>
      </c>
      <c r="G268" s="18">
        <v>12433229</v>
      </c>
      <c r="H268" s="19">
        <v>51891.08</v>
      </c>
      <c r="I268" s="18">
        <v>9574</v>
      </c>
      <c r="J268" s="19">
        <v>17711.900000000001</v>
      </c>
      <c r="K268" s="19">
        <v>79176.98</v>
      </c>
      <c r="L268" s="19">
        <v>79176.98</v>
      </c>
      <c r="M268" s="19">
        <v>79176.98</v>
      </c>
      <c r="N268" s="20">
        <v>1</v>
      </c>
      <c r="O268" s="21">
        <v>0</v>
      </c>
      <c r="P268" s="21">
        <v>0</v>
      </c>
      <c r="Q268" s="17">
        <v>0.95535506999999997</v>
      </c>
      <c r="R268" s="19">
        <v>0</v>
      </c>
      <c r="S268" s="19">
        <v>79176.98</v>
      </c>
      <c r="T268" s="19">
        <v>707755.77</v>
      </c>
      <c r="U268" s="19">
        <v>786932.75</v>
      </c>
      <c r="V268" s="19">
        <v>196733.19</v>
      </c>
      <c r="W268" s="19">
        <v>218351.31</v>
      </c>
      <c r="X268" s="19">
        <v>0</v>
      </c>
      <c r="Y268" s="19">
        <v>259290.88</v>
      </c>
      <c r="Z268" s="19">
        <v>0</v>
      </c>
      <c r="AA268" s="19">
        <v>0</v>
      </c>
      <c r="AB268" s="19">
        <v>132038.82</v>
      </c>
      <c r="AC268" s="19">
        <v>203227</v>
      </c>
      <c r="AD268" s="19">
        <v>6493.81</v>
      </c>
      <c r="AE268" s="19">
        <v>6493.81</v>
      </c>
      <c r="AF268" s="19">
        <v>0</v>
      </c>
      <c r="AG268" s="19">
        <v>72683.17</v>
      </c>
      <c r="AH268" s="19">
        <v>0</v>
      </c>
    </row>
    <row r="269" spans="1:34" x14ac:dyDescent="0.25">
      <c r="A269" s="12" t="s">
        <v>38</v>
      </c>
      <c r="B269" s="17">
        <v>885</v>
      </c>
      <c r="C269" s="17">
        <v>1</v>
      </c>
      <c r="D269" s="24" t="s">
        <v>302</v>
      </c>
      <c r="E269" s="18">
        <v>23055</v>
      </c>
      <c r="F269" s="17">
        <v>2006</v>
      </c>
      <c r="G269" s="18">
        <v>24022560</v>
      </c>
      <c r="H269" s="19">
        <v>124958.1</v>
      </c>
      <c r="I269" s="18">
        <v>23055</v>
      </c>
      <c r="J269" s="19">
        <v>24113.65</v>
      </c>
      <c r="K269" s="19">
        <v>172126.75</v>
      </c>
      <c r="L269" s="19">
        <v>172126.75</v>
      </c>
      <c r="M269" s="19">
        <v>172126.75</v>
      </c>
      <c r="N269" s="20">
        <v>1</v>
      </c>
      <c r="O269" s="21">
        <v>0</v>
      </c>
      <c r="P269" s="21">
        <v>0</v>
      </c>
      <c r="Q269" s="17">
        <v>0.95535506999999997</v>
      </c>
      <c r="R269" s="19">
        <v>0</v>
      </c>
      <c r="S269" s="19">
        <v>172126.75</v>
      </c>
      <c r="T269" s="19">
        <v>3178159.85</v>
      </c>
      <c r="U269" s="19">
        <v>3350286.6</v>
      </c>
      <c r="V269" s="19">
        <v>837571.65</v>
      </c>
      <c r="W269" s="19">
        <v>31873.08</v>
      </c>
      <c r="X269" s="19">
        <v>0</v>
      </c>
      <c r="Y269" s="19">
        <v>-101897.93</v>
      </c>
      <c r="Z269" s="19">
        <v>0</v>
      </c>
      <c r="AA269" s="19">
        <v>0</v>
      </c>
      <c r="AB269" s="19">
        <v>32903.370000000003</v>
      </c>
      <c r="AC269" s="19">
        <v>-12373.83</v>
      </c>
      <c r="AD269" s="19">
        <v>0</v>
      </c>
      <c r="AE269" s="19">
        <v>0</v>
      </c>
      <c r="AF269" s="19">
        <v>0</v>
      </c>
      <c r="AG269" s="19">
        <v>172126.75</v>
      </c>
      <c r="AH269" s="19">
        <v>0</v>
      </c>
    </row>
    <row r="270" spans="1:34" x14ac:dyDescent="0.25">
      <c r="A270" s="12" t="s">
        <v>38</v>
      </c>
      <c r="B270" s="17">
        <v>891</v>
      </c>
      <c r="C270" s="17">
        <v>1</v>
      </c>
      <c r="D270" s="24" t="s">
        <v>303</v>
      </c>
      <c r="E270" s="18">
        <v>4085</v>
      </c>
      <c r="F270" s="17">
        <v>2000</v>
      </c>
      <c r="G270" s="18">
        <v>4518630</v>
      </c>
      <c r="H270" s="19">
        <v>22140.7</v>
      </c>
      <c r="I270" s="18">
        <v>4085</v>
      </c>
      <c r="J270" s="19">
        <v>7557.25</v>
      </c>
      <c r="K270" s="19">
        <v>33782.949999999997</v>
      </c>
      <c r="L270" s="19">
        <v>33782.949999999997</v>
      </c>
      <c r="M270" s="19">
        <v>33782.949999999997</v>
      </c>
      <c r="N270" s="20">
        <v>1</v>
      </c>
      <c r="O270" s="21">
        <v>0</v>
      </c>
      <c r="P270" s="21">
        <v>0</v>
      </c>
      <c r="Q270" s="17">
        <v>0.95535506999999997</v>
      </c>
      <c r="R270" s="19">
        <v>0</v>
      </c>
      <c r="S270" s="19">
        <v>33782.949999999997</v>
      </c>
      <c r="T270" s="19">
        <v>54371.39</v>
      </c>
      <c r="U270" s="19">
        <v>88154.34</v>
      </c>
      <c r="V270" s="19">
        <v>22038.59</v>
      </c>
      <c r="W270" s="19">
        <v>18178.650000000001</v>
      </c>
      <c r="X270" s="19">
        <v>0</v>
      </c>
      <c r="Y270" s="19">
        <v>10542.65</v>
      </c>
      <c r="Z270" s="19">
        <v>0</v>
      </c>
      <c r="AA270" s="19">
        <v>0</v>
      </c>
      <c r="AB270" s="19">
        <v>29437.9</v>
      </c>
      <c r="AC270" s="19">
        <v>19386.400000000001</v>
      </c>
      <c r="AD270" s="19">
        <v>0</v>
      </c>
      <c r="AE270" s="19">
        <v>0</v>
      </c>
      <c r="AF270" s="19">
        <v>0</v>
      </c>
      <c r="AG270" s="19">
        <v>33782.949999999997</v>
      </c>
      <c r="AH270" s="19">
        <v>0</v>
      </c>
    </row>
    <row r="271" spans="1:34" x14ac:dyDescent="0.25">
      <c r="A271" s="12" t="s">
        <v>38</v>
      </c>
      <c r="B271" s="17">
        <v>911</v>
      </c>
      <c r="C271" s="17">
        <v>1</v>
      </c>
      <c r="D271" s="24" t="s">
        <v>304</v>
      </c>
      <c r="E271" s="18">
        <v>32980</v>
      </c>
      <c r="F271" s="17">
        <v>2007</v>
      </c>
      <c r="G271" s="18">
        <v>30067681</v>
      </c>
      <c r="H271" s="19">
        <v>178751.6</v>
      </c>
      <c r="I271" s="18">
        <v>32980</v>
      </c>
      <c r="J271" s="19">
        <v>28381.4</v>
      </c>
      <c r="K271" s="19">
        <v>240113</v>
      </c>
      <c r="L271" s="19">
        <v>240113</v>
      </c>
      <c r="M271" s="19">
        <v>240113</v>
      </c>
      <c r="N271" s="20">
        <v>1</v>
      </c>
      <c r="O271" s="21">
        <v>0</v>
      </c>
      <c r="P271" s="21">
        <v>0</v>
      </c>
      <c r="Q271" s="17">
        <v>0.95535506999999997</v>
      </c>
      <c r="R271" s="19">
        <v>0</v>
      </c>
      <c r="S271" s="19">
        <v>240113</v>
      </c>
      <c r="T271" s="19">
        <v>890874.62</v>
      </c>
      <c r="U271" s="19">
        <v>1130987.6200000001</v>
      </c>
      <c r="V271" s="19">
        <v>282746.90999999997</v>
      </c>
      <c r="W271" s="19">
        <v>-22710.400000000001</v>
      </c>
      <c r="X271" s="19">
        <v>0</v>
      </c>
      <c r="Y271" s="19">
        <v>-68543.679999999993</v>
      </c>
      <c r="Z271" s="19">
        <v>0</v>
      </c>
      <c r="AA271" s="19">
        <v>0</v>
      </c>
      <c r="AB271" s="19">
        <v>-161119.76</v>
      </c>
      <c r="AC271" s="19">
        <v>-84124.61</v>
      </c>
      <c r="AD271" s="19">
        <v>0</v>
      </c>
      <c r="AE271" s="19">
        <v>0</v>
      </c>
      <c r="AF271" s="19">
        <v>0</v>
      </c>
      <c r="AG271" s="19">
        <v>240113</v>
      </c>
      <c r="AH271" s="19">
        <v>0</v>
      </c>
    </row>
    <row r="272" spans="1:34" x14ac:dyDescent="0.25">
      <c r="A272" s="12" t="s">
        <v>38</v>
      </c>
      <c r="B272" s="17">
        <v>912</v>
      </c>
      <c r="C272" s="17">
        <v>1</v>
      </c>
      <c r="D272" s="24" t="s">
        <v>305</v>
      </c>
      <c r="E272" s="18">
        <v>11323</v>
      </c>
      <c r="F272" s="17">
        <v>2007</v>
      </c>
      <c r="G272" s="18">
        <v>10426193</v>
      </c>
      <c r="H272" s="19">
        <v>61370.66</v>
      </c>
      <c r="I272" s="18">
        <v>11323</v>
      </c>
      <c r="J272" s="19">
        <v>19068.89</v>
      </c>
      <c r="K272" s="19">
        <v>91762.55</v>
      </c>
      <c r="L272" s="19">
        <v>91762.55</v>
      </c>
      <c r="M272" s="19">
        <v>91762.55</v>
      </c>
      <c r="N272" s="20">
        <v>1</v>
      </c>
      <c r="O272" s="21">
        <v>0</v>
      </c>
      <c r="P272" s="21">
        <v>0</v>
      </c>
      <c r="Q272" s="17">
        <v>0.95535506999999997</v>
      </c>
      <c r="R272" s="19">
        <v>0</v>
      </c>
      <c r="S272" s="19">
        <v>91762.55</v>
      </c>
      <c r="T272" s="19">
        <v>139780.07999999999</v>
      </c>
      <c r="U272" s="19">
        <v>231542.63</v>
      </c>
      <c r="V272" s="19">
        <v>57885.66</v>
      </c>
      <c r="W272" s="19">
        <v>72747.55</v>
      </c>
      <c r="X272" s="19">
        <v>0</v>
      </c>
      <c r="Y272" s="19">
        <v>83752.73</v>
      </c>
      <c r="Z272" s="19">
        <v>0</v>
      </c>
      <c r="AA272" s="19">
        <v>0</v>
      </c>
      <c r="AB272" s="19">
        <v>60880.94</v>
      </c>
      <c r="AC272" s="19">
        <v>72460.41</v>
      </c>
      <c r="AD272" s="19">
        <v>14574.75</v>
      </c>
      <c r="AE272" s="19">
        <v>14574.75</v>
      </c>
      <c r="AF272" s="19">
        <v>0</v>
      </c>
      <c r="AG272" s="19">
        <v>77187.8</v>
      </c>
      <c r="AH272" s="19">
        <v>0</v>
      </c>
    </row>
    <row r="273" spans="1:34" x14ac:dyDescent="0.25">
      <c r="A273" s="12" t="s">
        <v>38</v>
      </c>
      <c r="B273" s="17">
        <v>914</v>
      </c>
      <c r="C273" s="17">
        <v>1</v>
      </c>
      <c r="D273" s="24" t="s">
        <v>306</v>
      </c>
      <c r="E273" s="18">
        <v>1696</v>
      </c>
      <c r="F273" s="17">
        <v>2000</v>
      </c>
      <c r="G273" s="18">
        <v>2221433</v>
      </c>
      <c r="H273" s="19">
        <v>9192.32</v>
      </c>
      <c r="I273" s="18">
        <v>0</v>
      </c>
      <c r="J273" s="19">
        <v>0</v>
      </c>
      <c r="K273" s="19">
        <v>9192.32</v>
      </c>
      <c r="L273" s="19">
        <v>9192.32</v>
      </c>
      <c r="M273" s="19">
        <v>9192.32</v>
      </c>
      <c r="N273" s="20">
        <v>1</v>
      </c>
      <c r="O273" s="21">
        <v>0</v>
      </c>
      <c r="P273" s="21">
        <v>0</v>
      </c>
      <c r="Q273" s="17">
        <v>0.95535506999999997</v>
      </c>
      <c r="R273" s="19">
        <v>0</v>
      </c>
      <c r="S273" s="19">
        <v>9192.32</v>
      </c>
      <c r="T273" s="19">
        <v>60084.7</v>
      </c>
      <c r="U273" s="19">
        <v>69277.02</v>
      </c>
      <c r="V273" s="19">
        <v>17319.259999999998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1433.12</v>
      </c>
      <c r="AC273" s="19">
        <v>477.71</v>
      </c>
      <c r="AD273" s="19">
        <v>0</v>
      </c>
      <c r="AE273" s="19">
        <v>0</v>
      </c>
      <c r="AF273" s="19">
        <v>0</v>
      </c>
      <c r="AG273" s="19">
        <v>9192.32</v>
      </c>
      <c r="AH273" s="19">
        <v>0</v>
      </c>
    </row>
    <row r="274" spans="1:34" x14ac:dyDescent="0.25">
      <c r="A274" s="12" t="s">
        <v>38</v>
      </c>
      <c r="B274" s="17">
        <v>2071</v>
      </c>
      <c r="C274" s="17">
        <v>1</v>
      </c>
      <c r="D274" s="24" t="s">
        <v>307</v>
      </c>
      <c r="E274" s="18">
        <v>6131</v>
      </c>
      <c r="F274" s="17">
        <v>2000</v>
      </c>
      <c r="G274" s="18">
        <v>9123497</v>
      </c>
      <c r="H274" s="19">
        <v>33230.019999999997</v>
      </c>
      <c r="I274" s="18">
        <v>6131</v>
      </c>
      <c r="J274" s="19">
        <v>11342.35</v>
      </c>
      <c r="K274" s="19">
        <v>50703.37</v>
      </c>
      <c r="L274" s="19">
        <v>50703.37</v>
      </c>
      <c r="M274" s="19">
        <v>50703.37</v>
      </c>
      <c r="N274" s="20">
        <v>1</v>
      </c>
      <c r="O274" s="21">
        <v>0</v>
      </c>
      <c r="P274" s="21">
        <v>0</v>
      </c>
      <c r="Q274" s="17">
        <v>0.95535506999999997</v>
      </c>
      <c r="R274" s="19">
        <v>0</v>
      </c>
      <c r="S274" s="19">
        <v>50703.37</v>
      </c>
      <c r="T274" s="19">
        <v>79352.95</v>
      </c>
      <c r="U274" s="19">
        <v>130056.32000000001</v>
      </c>
      <c r="V274" s="19">
        <v>32514.080000000002</v>
      </c>
      <c r="W274" s="19">
        <v>44484.98</v>
      </c>
      <c r="X274" s="19">
        <v>0</v>
      </c>
      <c r="Y274" s="19">
        <v>31468.77</v>
      </c>
      <c r="Z274" s="19">
        <v>126.02</v>
      </c>
      <c r="AA274" s="19">
        <v>0</v>
      </c>
      <c r="AB274" s="19">
        <v>28313.919999999998</v>
      </c>
      <c r="AC274" s="19">
        <v>34713.879999999997</v>
      </c>
      <c r="AD274" s="19">
        <v>2199.8000000000002</v>
      </c>
      <c r="AE274" s="19">
        <v>2199.8000000000002</v>
      </c>
      <c r="AF274" s="19">
        <v>0</v>
      </c>
      <c r="AG274" s="19">
        <v>48503.57</v>
      </c>
      <c r="AH274" s="19">
        <v>0</v>
      </c>
    </row>
    <row r="275" spans="1:34" x14ac:dyDescent="0.25">
      <c r="A275" s="12" t="s">
        <v>38</v>
      </c>
      <c r="B275" s="17">
        <v>2125</v>
      </c>
      <c r="C275" s="17">
        <v>1</v>
      </c>
      <c r="D275" s="24" t="s">
        <v>308</v>
      </c>
      <c r="E275" s="18">
        <v>6651</v>
      </c>
      <c r="F275" s="17">
        <v>2000</v>
      </c>
      <c r="G275" s="18">
        <v>8508901</v>
      </c>
      <c r="H275" s="19">
        <v>36048.42</v>
      </c>
      <c r="I275" s="18">
        <v>6651</v>
      </c>
      <c r="J275" s="19">
        <v>12304.35</v>
      </c>
      <c r="K275" s="19">
        <v>55003.77</v>
      </c>
      <c r="L275" s="19">
        <v>55003.77</v>
      </c>
      <c r="M275" s="19">
        <v>55003.77</v>
      </c>
      <c r="N275" s="20">
        <v>1</v>
      </c>
      <c r="O275" s="21">
        <v>0</v>
      </c>
      <c r="P275" s="21">
        <v>0</v>
      </c>
      <c r="Q275" s="17">
        <v>0.95535506999999997</v>
      </c>
      <c r="R275" s="19">
        <v>0</v>
      </c>
      <c r="S275" s="19">
        <v>55003.77</v>
      </c>
      <c r="T275" s="19">
        <v>95218.58</v>
      </c>
      <c r="U275" s="19">
        <v>150222.35</v>
      </c>
      <c r="V275" s="19">
        <v>37555.589999999997</v>
      </c>
      <c r="W275" s="19">
        <v>-40993.870000000003</v>
      </c>
      <c r="X275" s="19">
        <v>0</v>
      </c>
      <c r="Y275" s="19">
        <v>-39157.74</v>
      </c>
      <c r="Z275" s="19">
        <v>0</v>
      </c>
      <c r="AA275" s="19">
        <v>0</v>
      </c>
      <c r="AB275" s="19">
        <v>3193.87</v>
      </c>
      <c r="AC275" s="19">
        <v>-25652.58</v>
      </c>
      <c r="AD275" s="19">
        <v>0</v>
      </c>
      <c r="AE275" s="19">
        <v>0</v>
      </c>
      <c r="AF275" s="19">
        <v>0</v>
      </c>
      <c r="AG275" s="19">
        <v>55003.77</v>
      </c>
      <c r="AH275" s="19">
        <v>0</v>
      </c>
    </row>
    <row r="276" spans="1:34" x14ac:dyDescent="0.25">
      <c r="A276" s="12" t="s">
        <v>38</v>
      </c>
      <c r="B276" s="17">
        <v>2134</v>
      </c>
      <c r="C276" s="17">
        <v>1</v>
      </c>
      <c r="D276" s="24" t="s">
        <v>309</v>
      </c>
      <c r="E276" s="18">
        <v>6924</v>
      </c>
      <c r="F276" s="17">
        <v>2000</v>
      </c>
      <c r="G276" s="18">
        <v>8683473</v>
      </c>
      <c r="H276" s="19">
        <v>37528.080000000002</v>
      </c>
      <c r="I276" s="18">
        <v>6924</v>
      </c>
      <c r="J276" s="19">
        <v>12809.4</v>
      </c>
      <c r="K276" s="19">
        <v>57261.48</v>
      </c>
      <c r="L276" s="19">
        <v>57261.48</v>
      </c>
      <c r="M276" s="19">
        <v>57261.48</v>
      </c>
      <c r="N276" s="20">
        <v>1</v>
      </c>
      <c r="O276" s="21">
        <v>0</v>
      </c>
      <c r="P276" s="21">
        <v>0</v>
      </c>
      <c r="Q276" s="17">
        <v>0.95535506999999997</v>
      </c>
      <c r="R276" s="19">
        <v>0</v>
      </c>
      <c r="S276" s="19">
        <v>57261.48</v>
      </c>
      <c r="T276" s="19">
        <v>48205.440000000002</v>
      </c>
      <c r="U276" s="19">
        <v>105466.92</v>
      </c>
      <c r="V276" s="19">
        <v>26366.73</v>
      </c>
      <c r="W276" s="19">
        <v>1912.45</v>
      </c>
      <c r="X276" s="19">
        <v>0</v>
      </c>
      <c r="Y276" s="19">
        <v>10463.200000000001</v>
      </c>
      <c r="Z276" s="19">
        <v>0</v>
      </c>
      <c r="AA276" s="19">
        <v>0</v>
      </c>
      <c r="AB276" s="19">
        <v>13170.06</v>
      </c>
      <c r="AC276" s="19">
        <v>8515.24</v>
      </c>
      <c r="AD276" s="19">
        <v>0</v>
      </c>
      <c r="AE276" s="19">
        <v>0</v>
      </c>
      <c r="AF276" s="19">
        <v>0</v>
      </c>
      <c r="AG276" s="19">
        <v>57261.48</v>
      </c>
      <c r="AH276" s="19">
        <v>0</v>
      </c>
    </row>
    <row r="277" spans="1:34" x14ac:dyDescent="0.25">
      <c r="A277" s="12" t="s">
        <v>38</v>
      </c>
      <c r="B277" s="17">
        <v>2135</v>
      </c>
      <c r="C277" s="17">
        <v>1</v>
      </c>
      <c r="D277" s="24" t="s">
        <v>310</v>
      </c>
      <c r="E277" s="18">
        <v>6207</v>
      </c>
      <c r="F277" s="17">
        <v>2000</v>
      </c>
      <c r="G277" s="18">
        <v>9441471</v>
      </c>
      <c r="H277" s="19">
        <v>33641.94</v>
      </c>
      <c r="I277" s="18">
        <v>6207</v>
      </c>
      <c r="J277" s="19">
        <v>11482.95</v>
      </c>
      <c r="K277" s="19">
        <v>51331.89</v>
      </c>
      <c r="L277" s="19">
        <v>51331.89</v>
      </c>
      <c r="M277" s="19">
        <v>51331.89</v>
      </c>
      <c r="N277" s="20">
        <v>1</v>
      </c>
      <c r="O277" s="21">
        <v>0</v>
      </c>
      <c r="P277" s="21">
        <v>0</v>
      </c>
      <c r="Q277" s="17">
        <v>0.95535506999999997</v>
      </c>
      <c r="R277" s="19">
        <v>0</v>
      </c>
      <c r="S277" s="19">
        <v>51331.89</v>
      </c>
      <c r="T277" s="19">
        <v>104075.3</v>
      </c>
      <c r="U277" s="19">
        <v>155407.19</v>
      </c>
      <c r="V277" s="19">
        <v>38851.800000000003</v>
      </c>
      <c r="W277" s="19">
        <v>-452.05</v>
      </c>
      <c r="X277" s="19">
        <v>0</v>
      </c>
      <c r="Y277" s="19">
        <v>5722.69</v>
      </c>
      <c r="Z277" s="19">
        <v>0</v>
      </c>
      <c r="AA277" s="19">
        <v>0</v>
      </c>
      <c r="AB277" s="19">
        <v>13491.38</v>
      </c>
      <c r="AC277" s="19">
        <v>6254.01</v>
      </c>
      <c r="AD277" s="19">
        <v>0</v>
      </c>
      <c r="AE277" s="19">
        <v>0</v>
      </c>
      <c r="AF277" s="19">
        <v>0</v>
      </c>
      <c r="AG277" s="19">
        <v>51331.89</v>
      </c>
      <c r="AH277" s="19">
        <v>0</v>
      </c>
    </row>
    <row r="278" spans="1:34" x14ac:dyDescent="0.25">
      <c r="A278" s="12" t="s">
        <v>38</v>
      </c>
      <c r="B278" s="17">
        <v>2137</v>
      </c>
      <c r="C278" s="17">
        <v>1</v>
      </c>
      <c r="D278" s="24" t="s">
        <v>311</v>
      </c>
      <c r="E278" s="18">
        <v>5371</v>
      </c>
      <c r="F278" s="17">
        <v>2000</v>
      </c>
      <c r="G278" s="18">
        <v>6180467</v>
      </c>
      <c r="H278" s="19">
        <v>29110.82</v>
      </c>
      <c r="I278" s="18">
        <v>5371</v>
      </c>
      <c r="J278" s="19">
        <v>9936.35</v>
      </c>
      <c r="K278" s="19">
        <v>44418.17</v>
      </c>
      <c r="L278" s="19">
        <v>44418.17</v>
      </c>
      <c r="M278" s="19">
        <v>44418.17</v>
      </c>
      <c r="N278" s="20">
        <v>1</v>
      </c>
      <c r="O278" s="21">
        <v>0</v>
      </c>
      <c r="P278" s="21">
        <v>0</v>
      </c>
      <c r="Q278" s="17">
        <v>0.95535506999999997</v>
      </c>
      <c r="R278" s="19">
        <v>0</v>
      </c>
      <c r="S278" s="19">
        <v>44418.17</v>
      </c>
      <c r="T278" s="19">
        <v>68993.3</v>
      </c>
      <c r="U278" s="19">
        <v>113411.47</v>
      </c>
      <c r="V278" s="19">
        <v>28352.87</v>
      </c>
      <c r="W278" s="19">
        <v>4164.67</v>
      </c>
      <c r="X278" s="19">
        <v>0</v>
      </c>
      <c r="Y278" s="19">
        <v>14977.05</v>
      </c>
      <c r="Z278" s="19">
        <v>0</v>
      </c>
      <c r="AA278" s="19">
        <v>0</v>
      </c>
      <c r="AB278" s="19">
        <v>6859.92</v>
      </c>
      <c r="AC278" s="19">
        <v>8667.2099999999991</v>
      </c>
      <c r="AD278" s="19">
        <v>0</v>
      </c>
      <c r="AE278" s="19">
        <v>0</v>
      </c>
      <c r="AF278" s="19">
        <v>0</v>
      </c>
      <c r="AG278" s="19">
        <v>44418.17</v>
      </c>
      <c r="AH278" s="19">
        <v>0</v>
      </c>
    </row>
    <row r="279" spans="1:34" x14ac:dyDescent="0.25">
      <c r="A279" s="12" t="s">
        <v>38</v>
      </c>
      <c r="B279" s="17">
        <v>2142</v>
      </c>
      <c r="C279" s="17">
        <v>1</v>
      </c>
      <c r="D279" s="24" t="s">
        <v>312</v>
      </c>
      <c r="E279" s="18">
        <v>18435</v>
      </c>
      <c r="F279" s="17">
        <v>2000</v>
      </c>
      <c r="G279" s="18">
        <v>42526764</v>
      </c>
      <c r="H279" s="19">
        <v>99917.7</v>
      </c>
      <c r="I279" s="18">
        <v>18435</v>
      </c>
      <c r="J279" s="19">
        <v>22127.05</v>
      </c>
      <c r="K279" s="19">
        <v>140479.75</v>
      </c>
      <c r="L279" s="19">
        <v>140479.75</v>
      </c>
      <c r="M279" s="19">
        <v>140479.75</v>
      </c>
      <c r="N279" s="20">
        <v>1</v>
      </c>
      <c r="O279" s="21">
        <v>0</v>
      </c>
      <c r="P279" s="21">
        <v>0</v>
      </c>
      <c r="Q279" s="17">
        <v>0.95535506999999997</v>
      </c>
      <c r="R279" s="19">
        <v>0</v>
      </c>
      <c r="S279" s="19">
        <v>140479.75</v>
      </c>
      <c r="T279" s="19">
        <v>62982.95</v>
      </c>
      <c r="U279" s="19">
        <v>203462.7</v>
      </c>
      <c r="V279" s="19">
        <v>50865.68</v>
      </c>
      <c r="W279" s="19">
        <v>2785.77</v>
      </c>
      <c r="X279" s="19">
        <v>0</v>
      </c>
      <c r="Y279" s="19">
        <v>37705.51</v>
      </c>
      <c r="Z279" s="19">
        <v>0</v>
      </c>
      <c r="AA279" s="19">
        <v>0</v>
      </c>
      <c r="AB279" s="19">
        <v>56821.56</v>
      </c>
      <c r="AC279" s="19">
        <v>32437.61</v>
      </c>
      <c r="AD279" s="19">
        <v>0</v>
      </c>
      <c r="AE279" s="19">
        <v>0</v>
      </c>
      <c r="AF279" s="19">
        <v>0</v>
      </c>
      <c r="AG279" s="19">
        <v>140479.75</v>
      </c>
      <c r="AH279" s="19">
        <v>0</v>
      </c>
    </row>
    <row r="280" spans="1:34" x14ac:dyDescent="0.25">
      <c r="A280" s="12" t="s">
        <v>38</v>
      </c>
      <c r="B280" s="17">
        <v>2143</v>
      </c>
      <c r="C280" s="17">
        <v>1</v>
      </c>
      <c r="D280" s="24" t="s">
        <v>313</v>
      </c>
      <c r="E280" s="18">
        <v>6433</v>
      </c>
      <c r="F280" s="17">
        <v>2000</v>
      </c>
      <c r="G280" s="18">
        <v>9408092</v>
      </c>
      <c r="H280" s="19">
        <v>34866.86</v>
      </c>
      <c r="I280" s="18">
        <v>6433</v>
      </c>
      <c r="J280" s="19">
        <v>11901.05</v>
      </c>
      <c r="K280" s="19">
        <v>53200.91</v>
      </c>
      <c r="L280" s="19">
        <v>53200.91</v>
      </c>
      <c r="M280" s="19">
        <v>53200.91</v>
      </c>
      <c r="N280" s="20">
        <v>1</v>
      </c>
      <c r="O280" s="21">
        <v>0</v>
      </c>
      <c r="P280" s="21">
        <v>0</v>
      </c>
      <c r="Q280" s="17">
        <v>0.95535506999999997</v>
      </c>
      <c r="R280" s="19">
        <v>0</v>
      </c>
      <c r="S280" s="19">
        <v>53200.91</v>
      </c>
      <c r="T280" s="19">
        <v>86368.88</v>
      </c>
      <c r="U280" s="19">
        <v>139569.79</v>
      </c>
      <c r="V280" s="19">
        <v>34892.449999999997</v>
      </c>
      <c r="W280" s="19">
        <v>48204.59</v>
      </c>
      <c r="X280" s="19">
        <v>0</v>
      </c>
      <c r="Y280" s="19">
        <v>38910.86</v>
      </c>
      <c r="Z280" s="19">
        <v>0</v>
      </c>
      <c r="AA280" s="19">
        <v>0</v>
      </c>
      <c r="AB280" s="19">
        <v>62919.82</v>
      </c>
      <c r="AC280" s="19">
        <v>50011.76</v>
      </c>
      <c r="AD280" s="19">
        <v>15119.31</v>
      </c>
      <c r="AE280" s="19">
        <v>15119.31</v>
      </c>
      <c r="AF280" s="19">
        <v>0</v>
      </c>
      <c r="AG280" s="19">
        <v>38081.599999999999</v>
      </c>
      <c r="AH280" s="19">
        <v>0</v>
      </c>
    </row>
    <row r="281" spans="1:34" x14ac:dyDescent="0.25">
      <c r="A281" s="12" t="s">
        <v>38</v>
      </c>
      <c r="B281" s="17">
        <v>2144</v>
      </c>
      <c r="C281" s="17">
        <v>1</v>
      </c>
      <c r="D281" s="24" t="s">
        <v>314</v>
      </c>
      <c r="E281" s="18">
        <v>20157</v>
      </c>
      <c r="F281" s="17">
        <v>2009</v>
      </c>
      <c r="G281" s="18">
        <v>25383884</v>
      </c>
      <c r="H281" s="19">
        <v>109250.94</v>
      </c>
      <c r="I281" s="18">
        <v>20157</v>
      </c>
      <c r="J281" s="19">
        <v>22867.51</v>
      </c>
      <c r="K281" s="19">
        <v>152275.45000000001</v>
      </c>
      <c r="L281" s="19">
        <v>152275.45000000001</v>
      </c>
      <c r="M281" s="19">
        <v>152275.45000000001</v>
      </c>
      <c r="N281" s="20">
        <v>1</v>
      </c>
      <c r="O281" s="21">
        <v>0</v>
      </c>
      <c r="P281" s="21">
        <v>0</v>
      </c>
      <c r="Q281" s="17">
        <v>0.95535506999999997</v>
      </c>
      <c r="R281" s="19">
        <v>0</v>
      </c>
      <c r="S281" s="19">
        <v>150453.35</v>
      </c>
      <c r="T281" s="19">
        <v>1009216.47</v>
      </c>
      <c r="U281" s="19">
        <v>1159669.82</v>
      </c>
      <c r="V281" s="19">
        <v>289917.46000000002</v>
      </c>
      <c r="W281" s="19">
        <v>-5509.14</v>
      </c>
      <c r="X281" s="19">
        <v>0</v>
      </c>
      <c r="Y281" s="19">
        <v>-26234.65</v>
      </c>
      <c r="Z281" s="19">
        <v>0</v>
      </c>
      <c r="AA281" s="19">
        <v>0</v>
      </c>
      <c r="AB281" s="19">
        <v>28064.62</v>
      </c>
      <c r="AC281" s="19">
        <v>-1226.3900000000001</v>
      </c>
      <c r="AD281" s="19">
        <v>0</v>
      </c>
      <c r="AE281" s="19">
        <v>0</v>
      </c>
      <c r="AF281" s="19">
        <v>0</v>
      </c>
      <c r="AG281" s="19">
        <v>152275.45000000001</v>
      </c>
      <c r="AH281" s="19">
        <v>0</v>
      </c>
    </row>
    <row r="282" spans="1:34" x14ac:dyDescent="0.25">
      <c r="A282" s="12" t="s">
        <v>38</v>
      </c>
      <c r="B282" s="17">
        <v>2149</v>
      </c>
      <c r="C282" s="17">
        <v>1</v>
      </c>
      <c r="D282" s="24" t="s">
        <v>315</v>
      </c>
      <c r="E282" s="18">
        <v>9439</v>
      </c>
      <c r="F282" s="17">
        <v>2000</v>
      </c>
      <c r="G282" s="18">
        <v>14399924</v>
      </c>
      <c r="H282" s="19">
        <v>51159.38</v>
      </c>
      <c r="I282" s="18">
        <v>9439</v>
      </c>
      <c r="J282" s="19">
        <v>17462.150000000001</v>
      </c>
      <c r="K282" s="19">
        <v>78060.53</v>
      </c>
      <c r="L282" s="19">
        <v>78060.53</v>
      </c>
      <c r="M282" s="19">
        <v>78060.53</v>
      </c>
      <c r="N282" s="20">
        <v>1</v>
      </c>
      <c r="O282" s="21">
        <v>0</v>
      </c>
      <c r="P282" s="21">
        <v>0</v>
      </c>
      <c r="Q282" s="17">
        <v>0.95535506999999997</v>
      </c>
      <c r="R282" s="19">
        <v>0</v>
      </c>
      <c r="S282" s="19">
        <v>78060.53</v>
      </c>
      <c r="T282" s="19">
        <v>104763.59</v>
      </c>
      <c r="U282" s="19">
        <v>182824.12</v>
      </c>
      <c r="V282" s="19">
        <v>45706.03</v>
      </c>
      <c r="W282" s="19">
        <v>45324.84</v>
      </c>
      <c r="X282" s="19">
        <v>2544.2800000000002</v>
      </c>
      <c r="Y282" s="19">
        <v>21287.61</v>
      </c>
      <c r="Z282" s="19">
        <v>0</v>
      </c>
      <c r="AA282" s="19">
        <v>0</v>
      </c>
      <c r="AB282" s="19">
        <v>21146.18</v>
      </c>
      <c r="AC282" s="19">
        <v>28404.78</v>
      </c>
      <c r="AD282" s="19">
        <v>0</v>
      </c>
      <c r="AE282" s="19">
        <v>0</v>
      </c>
      <c r="AF282" s="19">
        <v>0</v>
      </c>
      <c r="AG282" s="19">
        <v>78060.53</v>
      </c>
      <c r="AH282" s="19">
        <v>0</v>
      </c>
    </row>
    <row r="283" spans="1:34" x14ac:dyDescent="0.25">
      <c r="A283" s="12" t="s">
        <v>38</v>
      </c>
      <c r="B283" s="17">
        <v>2154</v>
      </c>
      <c r="C283" s="17">
        <v>1</v>
      </c>
      <c r="D283" s="24" t="s">
        <v>316</v>
      </c>
      <c r="E283" s="18">
        <v>8921</v>
      </c>
      <c r="F283" s="17">
        <v>2000</v>
      </c>
      <c r="G283" s="18">
        <v>5360873</v>
      </c>
      <c r="H283" s="19">
        <v>48351.82</v>
      </c>
      <c r="I283" s="18">
        <v>8921</v>
      </c>
      <c r="J283" s="19">
        <v>16503.849999999999</v>
      </c>
      <c r="K283" s="19">
        <v>73776.67</v>
      </c>
      <c r="L283" s="19">
        <v>48247.86</v>
      </c>
      <c r="M283" s="19">
        <v>48247.86</v>
      </c>
      <c r="N283" s="20">
        <v>1</v>
      </c>
      <c r="O283" s="21">
        <v>25528.81</v>
      </c>
      <c r="P283" s="21">
        <v>25528.81</v>
      </c>
      <c r="Q283" s="17">
        <v>0.95535506999999997</v>
      </c>
      <c r="R283" s="19">
        <v>24389.08</v>
      </c>
      <c r="S283" s="19">
        <v>73776.67</v>
      </c>
      <c r="T283" s="19">
        <v>11926.57</v>
      </c>
      <c r="U283" s="19">
        <v>85703.24</v>
      </c>
      <c r="V283" s="19">
        <v>21425.81</v>
      </c>
      <c r="W283" s="19">
        <v>26340.66</v>
      </c>
      <c r="X283" s="19">
        <v>4364.3900000000003</v>
      </c>
      <c r="Y283" s="19">
        <v>19581.02</v>
      </c>
      <c r="Z283" s="19">
        <v>4.1500000000000004</v>
      </c>
      <c r="AA283" s="19">
        <v>0</v>
      </c>
      <c r="AB283" s="19">
        <v>20606.63</v>
      </c>
      <c r="AC283" s="19">
        <v>20719.919999999998</v>
      </c>
      <c r="AD283" s="19">
        <v>0</v>
      </c>
      <c r="AE283" s="19">
        <v>0</v>
      </c>
      <c r="AF283" s="19">
        <v>0</v>
      </c>
      <c r="AG283" s="19">
        <v>48247.86</v>
      </c>
      <c r="AH283" s="19">
        <v>25528.81</v>
      </c>
    </row>
    <row r="284" spans="1:34" x14ac:dyDescent="0.25">
      <c r="A284" s="12" t="s">
        <v>38</v>
      </c>
      <c r="B284" s="17">
        <v>2155</v>
      </c>
      <c r="C284" s="17">
        <v>1</v>
      </c>
      <c r="D284" s="24" t="s">
        <v>317</v>
      </c>
      <c r="E284" s="18">
        <v>8087</v>
      </c>
      <c r="F284" s="17">
        <v>2000</v>
      </c>
      <c r="G284" s="18">
        <v>5457153</v>
      </c>
      <c r="H284" s="19">
        <v>43831.54</v>
      </c>
      <c r="I284" s="18">
        <v>8087</v>
      </c>
      <c r="J284" s="19">
        <v>14960.95</v>
      </c>
      <c r="K284" s="19">
        <v>66879.490000000005</v>
      </c>
      <c r="L284" s="19">
        <v>49114.38</v>
      </c>
      <c r="M284" s="19">
        <v>49114.38</v>
      </c>
      <c r="N284" s="20">
        <v>1</v>
      </c>
      <c r="O284" s="21">
        <v>17765.11</v>
      </c>
      <c r="P284" s="21">
        <v>17765.11</v>
      </c>
      <c r="Q284" s="17">
        <v>0.95535506999999997</v>
      </c>
      <c r="R284" s="19">
        <v>16971.990000000002</v>
      </c>
      <c r="S284" s="19">
        <v>66879.490000000005</v>
      </c>
      <c r="T284" s="19">
        <v>311716.84000000003</v>
      </c>
      <c r="U284" s="19">
        <v>378596.33</v>
      </c>
      <c r="V284" s="19">
        <v>94649.08</v>
      </c>
      <c r="W284" s="19">
        <v>18441.95</v>
      </c>
      <c r="X284" s="19">
        <v>0</v>
      </c>
      <c r="Y284" s="19">
        <v>54298.32</v>
      </c>
      <c r="Z284" s="19">
        <v>0</v>
      </c>
      <c r="AA284" s="19">
        <v>0</v>
      </c>
      <c r="AB284" s="19">
        <v>138531.01999999999</v>
      </c>
      <c r="AC284" s="19">
        <v>70423.759999999995</v>
      </c>
      <c r="AD284" s="19">
        <v>0</v>
      </c>
      <c r="AE284" s="19">
        <v>0</v>
      </c>
      <c r="AF284" s="19">
        <v>0</v>
      </c>
      <c r="AG284" s="19">
        <v>49114.38</v>
      </c>
      <c r="AH284" s="19">
        <v>17765.11</v>
      </c>
    </row>
    <row r="285" spans="1:34" x14ac:dyDescent="0.25">
      <c r="A285" s="12" t="s">
        <v>38</v>
      </c>
      <c r="B285" s="17">
        <v>2159</v>
      </c>
      <c r="C285" s="17">
        <v>1</v>
      </c>
      <c r="D285" s="24" t="s">
        <v>318</v>
      </c>
      <c r="E285" s="18">
        <v>4679</v>
      </c>
      <c r="F285" s="17">
        <v>2000</v>
      </c>
      <c r="G285" s="18">
        <v>8539937</v>
      </c>
      <c r="H285" s="19">
        <v>25360.18</v>
      </c>
      <c r="I285" s="18">
        <v>4679</v>
      </c>
      <c r="J285" s="19">
        <v>8656.15</v>
      </c>
      <c r="K285" s="19">
        <v>38695.33</v>
      </c>
      <c r="L285" s="19">
        <v>38695.33</v>
      </c>
      <c r="M285" s="19">
        <v>38695.33</v>
      </c>
      <c r="N285" s="20">
        <v>1</v>
      </c>
      <c r="O285" s="21">
        <v>0</v>
      </c>
      <c r="P285" s="21">
        <v>0</v>
      </c>
      <c r="Q285" s="17">
        <v>0.95535506999999997</v>
      </c>
      <c r="R285" s="19">
        <v>0</v>
      </c>
      <c r="S285" s="19">
        <v>38695.33</v>
      </c>
      <c r="T285" s="19">
        <v>104970.06</v>
      </c>
      <c r="U285" s="19">
        <v>143665.39000000001</v>
      </c>
      <c r="V285" s="19">
        <v>35916.35</v>
      </c>
      <c r="W285" s="19">
        <v>19487.75</v>
      </c>
      <c r="X285" s="19">
        <v>0</v>
      </c>
      <c r="Y285" s="19">
        <v>35912.03</v>
      </c>
      <c r="Z285" s="19">
        <v>0</v>
      </c>
      <c r="AA285" s="19">
        <v>0</v>
      </c>
      <c r="AB285" s="19">
        <v>48282.05</v>
      </c>
      <c r="AC285" s="19">
        <v>34560.61</v>
      </c>
      <c r="AD285" s="19">
        <v>0</v>
      </c>
      <c r="AE285" s="19">
        <v>0</v>
      </c>
      <c r="AF285" s="19">
        <v>0</v>
      </c>
      <c r="AG285" s="19">
        <v>38695.33</v>
      </c>
      <c r="AH285" s="19">
        <v>0</v>
      </c>
    </row>
    <row r="286" spans="1:34" x14ac:dyDescent="0.25">
      <c r="A286" s="12" t="s">
        <v>38</v>
      </c>
      <c r="B286" s="17">
        <v>2164</v>
      </c>
      <c r="C286" s="17">
        <v>1</v>
      </c>
      <c r="D286" s="24" t="s">
        <v>319</v>
      </c>
      <c r="E286" s="18">
        <v>5803</v>
      </c>
      <c r="F286" s="17">
        <v>2000</v>
      </c>
      <c r="G286" s="18">
        <v>5871384</v>
      </c>
      <c r="H286" s="19">
        <v>31452.26</v>
      </c>
      <c r="I286" s="18">
        <v>5803</v>
      </c>
      <c r="J286" s="19">
        <v>10735.55</v>
      </c>
      <c r="K286" s="19">
        <v>47990.81</v>
      </c>
      <c r="L286" s="19">
        <v>47990.81</v>
      </c>
      <c r="M286" s="19">
        <v>47990.81</v>
      </c>
      <c r="N286" s="20">
        <v>1</v>
      </c>
      <c r="O286" s="21">
        <v>0</v>
      </c>
      <c r="P286" s="21">
        <v>0</v>
      </c>
      <c r="Q286" s="17">
        <v>0.95535506999999997</v>
      </c>
      <c r="R286" s="19">
        <v>0</v>
      </c>
      <c r="S286" s="19">
        <v>47990.81</v>
      </c>
      <c r="T286" s="19">
        <v>136248.6</v>
      </c>
      <c r="U286" s="19">
        <v>184239.41</v>
      </c>
      <c r="V286" s="19">
        <v>46059.85</v>
      </c>
      <c r="W286" s="19">
        <v>20182.78</v>
      </c>
      <c r="X286" s="19">
        <v>0</v>
      </c>
      <c r="Y286" s="19">
        <v>8552.82</v>
      </c>
      <c r="Z286" s="19">
        <v>0</v>
      </c>
      <c r="AA286" s="19">
        <v>0</v>
      </c>
      <c r="AB286" s="19">
        <v>10080.459999999999</v>
      </c>
      <c r="AC286" s="19">
        <v>12938.69</v>
      </c>
      <c r="AD286" s="19">
        <v>0</v>
      </c>
      <c r="AE286" s="19">
        <v>0</v>
      </c>
      <c r="AF286" s="19">
        <v>0</v>
      </c>
      <c r="AG286" s="19">
        <v>47990.81</v>
      </c>
      <c r="AH286" s="19">
        <v>0</v>
      </c>
    </row>
    <row r="287" spans="1:34" x14ac:dyDescent="0.25">
      <c r="A287" s="12" t="s">
        <v>38</v>
      </c>
      <c r="B287" s="17">
        <v>2165</v>
      </c>
      <c r="C287" s="17">
        <v>1</v>
      </c>
      <c r="D287" s="24" t="s">
        <v>320</v>
      </c>
      <c r="E287" s="18">
        <v>6344</v>
      </c>
      <c r="F287" s="17">
        <v>2000</v>
      </c>
      <c r="G287" s="18">
        <v>9182703</v>
      </c>
      <c r="H287" s="19">
        <v>34384.480000000003</v>
      </c>
      <c r="I287" s="18">
        <v>6344</v>
      </c>
      <c r="J287" s="19">
        <v>11736.4</v>
      </c>
      <c r="K287" s="19">
        <v>52464.88</v>
      </c>
      <c r="L287" s="19">
        <v>52464.88</v>
      </c>
      <c r="M287" s="19">
        <v>52464.88</v>
      </c>
      <c r="N287" s="20">
        <v>1</v>
      </c>
      <c r="O287" s="21">
        <v>0</v>
      </c>
      <c r="P287" s="21">
        <v>0</v>
      </c>
      <c r="Q287" s="17">
        <v>0.95535506999999997</v>
      </c>
      <c r="R287" s="19">
        <v>0</v>
      </c>
      <c r="S287" s="19">
        <v>52464.88</v>
      </c>
      <c r="T287" s="19">
        <v>103848.16</v>
      </c>
      <c r="U287" s="19">
        <v>156313.04</v>
      </c>
      <c r="V287" s="19">
        <v>39078.26</v>
      </c>
      <c r="W287" s="19">
        <v>0</v>
      </c>
      <c r="X287" s="19">
        <v>0</v>
      </c>
      <c r="Y287" s="19">
        <v>0</v>
      </c>
      <c r="Z287" s="19">
        <v>0</v>
      </c>
      <c r="AA287" s="19">
        <v>0</v>
      </c>
      <c r="AB287" s="19">
        <v>0</v>
      </c>
      <c r="AC287" s="19">
        <v>0</v>
      </c>
      <c r="AD287" s="19">
        <v>0</v>
      </c>
      <c r="AE287" s="19">
        <v>0</v>
      </c>
      <c r="AF287" s="19">
        <v>0</v>
      </c>
      <c r="AG287" s="19">
        <v>52464.88</v>
      </c>
      <c r="AH287" s="19">
        <v>0</v>
      </c>
    </row>
    <row r="288" spans="1:34" x14ac:dyDescent="0.25">
      <c r="A288" s="12" t="s">
        <v>38</v>
      </c>
      <c r="B288" s="17">
        <v>2167</v>
      </c>
      <c r="C288" s="17">
        <v>1</v>
      </c>
      <c r="D288" s="24" t="s">
        <v>321</v>
      </c>
      <c r="E288" s="18">
        <v>2733</v>
      </c>
      <c r="F288" s="17">
        <v>2000</v>
      </c>
      <c r="G288" s="18">
        <v>4519743</v>
      </c>
      <c r="H288" s="19">
        <v>14812.86</v>
      </c>
      <c r="I288" s="18">
        <v>2733</v>
      </c>
      <c r="J288" s="19">
        <v>5056.05</v>
      </c>
      <c r="K288" s="19">
        <v>22601.91</v>
      </c>
      <c r="L288" s="19">
        <v>22601.91</v>
      </c>
      <c r="M288" s="19">
        <v>22601.91</v>
      </c>
      <c r="N288" s="20">
        <v>1</v>
      </c>
      <c r="O288" s="21">
        <v>0</v>
      </c>
      <c r="P288" s="21">
        <v>0</v>
      </c>
      <c r="Q288" s="17">
        <v>0.95535506999999997</v>
      </c>
      <c r="R288" s="19">
        <v>0</v>
      </c>
      <c r="S288" s="19">
        <v>22601.91</v>
      </c>
      <c r="T288" s="19">
        <v>37607.53</v>
      </c>
      <c r="U288" s="19">
        <v>60209.440000000002</v>
      </c>
      <c r="V288" s="19">
        <v>15052.36</v>
      </c>
      <c r="W288" s="19">
        <v>-5688.96</v>
      </c>
      <c r="X288" s="19">
        <v>0</v>
      </c>
      <c r="Y288" s="19">
        <v>710.09</v>
      </c>
      <c r="Z288" s="19">
        <v>0</v>
      </c>
      <c r="AA288" s="19">
        <v>0</v>
      </c>
      <c r="AB288" s="19">
        <v>4391.28</v>
      </c>
      <c r="AC288" s="19">
        <v>-195.86</v>
      </c>
      <c r="AD288" s="19">
        <v>0</v>
      </c>
      <c r="AE288" s="19">
        <v>0</v>
      </c>
      <c r="AF288" s="19">
        <v>0</v>
      </c>
      <c r="AG288" s="19">
        <v>22601.91</v>
      </c>
      <c r="AH288" s="19">
        <v>0</v>
      </c>
    </row>
    <row r="289" spans="1:34" x14ac:dyDescent="0.25">
      <c r="A289" s="12" t="s">
        <v>38</v>
      </c>
      <c r="B289" s="17">
        <v>2168</v>
      </c>
      <c r="C289" s="17">
        <v>1</v>
      </c>
      <c r="D289" s="24" t="s">
        <v>322</v>
      </c>
      <c r="E289" s="18">
        <v>5213</v>
      </c>
      <c r="F289" s="17">
        <v>2000</v>
      </c>
      <c r="G289" s="18">
        <v>8326528</v>
      </c>
      <c r="H289" s="19">
        <v>28254.46</v>
      </c>
      <c r="I289" s="18">
        <v>5213</v>
      </c>
      <c r="J289" s="19">
        <v>9644.0499999999993</v>
      </c>
      <c r="K289" s="19">
        <v>43111.51</v>
      </c>
      <c r="L289" s="19">
        <v>43111.51</v>
      </c>
      <c r="M289" s="19">
        <v>43111.51</v>
      </c>
      <c r="N289" s="20">
        <v>1</v>
      </c>
      <c r="O289" s="21">
        <v>0</v>
      </c>
      <c r="P289" s="21">
        <v>0</v>
      </c>
      <c r="Q289" s="17">
        <v>0.95535506999999997</v>
      </c>
      <c r="R289" s="19">
        <v>0</v>
      </c>
      <c r="S289" s="19">
        <v>28254.46</v>
      </c>
      <c r="T289" s="19">
        <v>85888.21</v>
      </c>
      <c r="U289" s="19">
        <v>114142.67</v>
      </c>
      <c r="V289" s="19">
        <v>28535.67</v>
      </c>
      <c r="W289" s="19">
        <v>-13734.06</v>
      </c>
      <c r="X289" s="19">
        <v>0</v>
      </c>
      <c r="Y289" s="19">
        <v>-7003.65</v>
      </c>
      <c r="Z289" s="19">
        <v>0</v>
      </c>
      <c r="AA289" s="19">
        <v>0</v>
      </c>
      <c r="AB289" s="19">
        <v>14643.45</v>
      </c>
      <c r="AC289" s="19">
        <v>-2031.42</v>
      </c>
      <c r="AD289" s="19">
        <v>0</v>
      </c>
      <c r="AE289" s="19">
        <v>0</v>
      </c>
      <c r="AF289" s="19">
        <v>0</v>
      </c>
      <c r="AG289" s="19">
        <v>43111.51</v>
      </c>
      <c r="AH289" s="19">
        <v>0</v>
      </c>
    </row>
    <row r="290" spans="1:34" x14ac:dyDescent="0.25">
      <c r="A290" s="12" t="s">
        <v>38</v>
      </c>
      <c r="B290" s="17">
        <v>2169</v>
      </c>
      <c r="C290" s="17">
        <v>1</v>
      </c>
      <c r="D290" s="24" t="s">
        <v>323</v>
      </c>
      <c r="E290" s="18">
        <v>5148</v>
      </c>
      <c r="F290" s="17">
        <v>2000</v>
      </c>
      <c r="G290" s="18">
        <v>7342074</v>
      </c>
      <c r="H290" s="19">
        <v>27902.16</v>
      </c>
      <c r="I290" s="18">
        <v>5148</v>
      </c>
      <c r="J290" s="19">
        <v>9523.7999999999993</v>
      </c>
      <c r="K290" s="19">
        <v>42573.96</v>
      </c>
      <c r="L290" s="19">
        <v>42573.96</v>
      </c>
      <c r="M290" s="19">
        <v>42573.96</v>
      </c>
      <c r="N290" s="20">
        <v>1</v>
      </c>
      <c r="O290" s="21">
        <v>0</v>
      </c>
      <c r="P290" s="21">
        <v>0</v>
      </c>
      <c r="Q290" s="17">
        <v>0.95535506999999997</v>
      </c>
      <c r="R290" s="19">
        <v>0</v>
      </c>
      <c r="S290" s="19">
        <v>42573.96</v>
      </c>
      <c r="T290" s="19">
        <v>77823.17</v>
      </c>
      <c r="U290" s="19">
        <v>120397.13</v>
      </c>
      <c r="V290" s="19">
        <v>30099.279999999999</v>
      </c>
      <c r="W290" s="19">
        <v>-155550.62</v>
      </c>
      <c r="X290" s="19">
        <v>0</v>
      </c>
      <c r="Y290" s="19">
        <v>-190302.98</v>
      </c>
      <c r="Z290" s="19">
        <v>0</v>
      </c>
      <c r="AA290" s="19">
        <v>0</v>
      </c>
      <c r="AB290" s="19">
        <v>-149712.29</v>
      </c>
      <c r="AC290" s="19">
        <v>-165188.63</v>
      </c>
      <c r="AD290" s="19">
        <v>0</v>
      </c>
      <c r="AE290" s="19">
        <v>0</v>
      </c>
      <c r="AF290" s="19">
        <v>0</v>
      </c>
      <c r="AG290" s="19">
        <v>42573.96</v>
      </c>
      <c r="AH290" s="19">
        <v>0</v>
      </c>
    </row>
    <row r="291" spans="1:34" x14ac:dyDescent="0.25">
      <c r="A291" s="12" t="s">
        <v>38</v>
      </c>
      <c r="B291" s="17">
        <v>2170</v>
      </c>
      <c r="C291" s="17">
        <v>1</v>
      </c>
      <c r="D291" s="24" t="s">
        <v>324</v>
      </c>
      <c r="E291" s="18">
        <v>9653</v>
      </c>
      <c r="F291" s="17">
        <v>2000</v>
      </c>
      <c r="G291" s="18">
        <v>11817193</v>
      </c>
      <c r="H291" s="19">
        <v>52319.26</v>
      </c>
      <c r="I291" s="18">
        <v>9653</v>
      </c>
      <c r="J291" s="19">
        <v>17858.05</v>
      </c>
      <c r="K291" s="19">
        <v>79830.31</v>
      </c>
      <c r="L291" s="19">
        <v>79830.31</v>
      </c>
      <c r="M291" s="19">
        <v>79830.31</v>
      </c>
      <c r="N291" s="20">
        <v>1</v>
      </c>
      <c r="O291" s="21">
        <v>0</v>
      </c>
      <c r="P291" s="21">
        <v>0</v>
      </c>
      <c r="Q291" s="17">
        <v>0.95535506999999997</v>
      </c>
      <c r="R291" s="19">
        <v>0</v>
      </c>
      <c r="S291" s="19">
        <v>79830.31</v>
      </c>
      <c r="T291" s="19">
        <v>117500.28</v>
      </c>
      <c r="U291" s="19">
        <v>197330.59</v>
      </c>
      <c r="V291" s="19">
        <v>49332.65</v>
      </c>
      <c r="W291" s="19">
        <v>47195.29</v>
      </c>
      <c r="X291" s="19">
        <v>0</v>
      </c>
      <c r="Y291" s="19">
        <v>45616.57</v>
      </c>
      <c r="Z291" s="19">
        <v>0</v>
      </c>
      <c r="AA291" s="19">
        <v>0</v>
      </c>
      <c r="AB291" s="19">
        <v>45204.93</v>
      </c>
      <c r="AC291" s="19">
        <v>46005.599999999999</v>
      </c>
      <c r="AD291" s="19">
        <v>0</v>
      </c>
      <c r="AE291" s="19">
        <v>0</v>
      </c>
      <c r="AF291" s="19">
        <v>0</v>
      </c>
      <c r="AG291" s="19">
        <v>79830.31</v>
      </c>
      <c r="AH291" s="19">
        <v>0</v>
      </c>
    </row>
    <row r="292" spans="1:34" x14ac:dyDescent="0.25">
      <c r="A292" s="12" t="s">
        <v>38</v>
      </c>
      <c r="B292" s="17">
        <v>2171</v>
      </c>
      <c r="C292" s="17">
        <v>1</v>
      </c>
      <c r="D292" s="24" t="s">
        <v>325</v>
      </c>
      <c r="E292" s="18">
        <v>2536</v>
      </c>
      <c r="F292" s="17">
        <v>2000</v>
      </c>
      <c r="G292" s="18">
        <v>4784730</v>
      </c>
      <c r="H292" s="19">
        <v>13745.12</v>
      </c>
      <c r="I292" s="18">
        <v>0</v>
      </c>
      <c r="J292" s="19">
        <v>0</v>
      </c>
      <c r="K292" s="19">
        <v>13745.12</v>
      </c>
      <c r="L292" s="19">
        <v>13745.12</v>
      </c>
      <c r="M292" s="19">
        <v>13745.12</v>
      </c>
      <c r="N292" s="20">
        <v>1</v>
      </c>
      <c r="O292" s="21">
        <v>0</v>
      </c>
      <c r="P292" s="21">
        <v>0</v>
      </c>
      <c r="Q292" s="17">
        <v>0.95535506999999997</v>
      </c>
      <c r="R292" s="19">
        <v>0</v>
      </c>
      <c r="S292" s="19">
        <v>13745.12</v>
      </c>
      <c r="T292" s="19">
        <v>47323.38</v>
      </c>
      <c r="U292" s="19">
        <v>61068.5</v>
      </c>
      <c r="V292" s="19">
        <v>15267.13</v>
      </c>
      <c r="W292" s="19">
        <v>0</v>
      </c>
      <c r="X292" s="19">
        <v>0</v>
      </c>
      <c r="Y292" s="19">
        <v>0</v>
      </c>
      <c r="Z292" s="19">
        <v>0</v>
      </c>
      <c r="AA292" s="19">
        <v>0</v>
      </c>
      <c r="AB292" s="19">
        <v>0</v>
      </c>
      <c r="AC292" s="19">
        <v>0</v>
      </c>
      <c r="AD292" s="19">
        <v>0</v>
      </c>
      <c r="AE292" s="19">
        <v>0</v>
      </c>
      <c r="AF292" s="19">
        <v>0</v>
      </c>
      <c r="AG292" s="19">
        <v>13745.12</v>
      </c>
      <c r="AH292" s="19">
        <v>0</v>
      </c>
    </row>
    <row r="293" spans="1:34" x14ac:dyDescent="0.25">
      <c r="A293" s="12" t="s">
        <v>38</v>
      </c>
      <c r="B293" s="17">
        <v>2172</v>
      </c>
      <c r="C293" s="17">
        <v>1</v>
      </c>
      <c r="D293" s="24" t="s">
        <v>326</v>
      </c>
      <c r="E293" s="18">
        <v>5436</v>
      </c>
      <c r="F293" s="17">
        <v>2000</v>
      </c>
      <c r="G293" s="18">
        <v>8535237</v>
      </c>
      <c r="H293" s="19">
        <v>29463.119999999999</v>
      </c>
      <c r="I293" s="18">
        <v>5436</v>
      </c>
      <c r="J293" s="19">
        <v>10056.6</v>
      </c>
      <c r="K293" s="19">
        <v>44955.72</v>
      </c>
      <c r="L293" s="19">
        <v>44955.72</v>
      </c>
      <c r="M293" s="19">
        <v>44955.72</v>
      </c>
      <c r="N293" s="20">
        <v>1</v>
      </c>
      <c r="O293" s="21">
        <v>0</v>
      </c>
      <c r="P293" s="21">
        <v>0</v>
      </c>
      <c r="Q293" s="17">
        <v>0.95535506999999997</v>
      </c>
      <c r="R293" s="19">
        <v>0</v>
      </c>
      <c r="S293" s="19">
        <v>44955.72</v>
      </c>
      <c r="T293" s="19">
        <v>372856.4</v>
      </c>
      <c r="U293" s="19">
        <v>417812.12</v>
      </c>
      <c r="V293" s="19">
        <v>104453.03</v>
      </c>
      <c r="W293" s="19">
        <v>31971</v>
      </c>
      <c r="X293" s="19">
        <v>0</v>
      </c>
      <c r="Y293" s="19">
        <v>15588.75</v>
      </c>
      <c r="Z293" s="19">
        <v>0</v>
      </c>
      <c r="AA293" s="19">
        <v>0</v>
      </c>
      <c r="AB293" s="19">
        <v>33865.72</v>
      </c>
      <c r="AC293" s="19">
        <v>27141.82</v>
      </c>
      <c r="AD293" s="19">
        <v>0</v>
      </c>
      <c r="AE293" s="19">
        <v>0</v>
      </c>
      <c r="AF293" s="19">
        <v>0</v>
      </c>
      <c r="AG293" s="19">
        <v>44955.72</v>
      </c>
      <c r="AH293" s="19">
        <v>0</v>
      </c>
    </row>
    <row r="294" spans="1:34" x14ac:dyDescent="0.25">
      <c r="A294" s="12" t="s">
        <v>38</v>
      </c>
      <c r="B294" s="17">
        <v>2174</v>
      </c>
      <c r="C294" s="17">
        <v>1</v>
      </c>
      <c r="D294" s="24" t="s">
        <v>327</v>
      </c>
      <c r="E294" s="18">
        <v>7171</v>
      </c>
      <c r="F294" s="17">
        <v>2000</v>
      </c>
      <c r="G294" s="18">
        <v>20661520</v>
      </c>
      <c r="H294" s="19">
        <v>38866.82</v>
      </c>
      <c r="I294" s="18">
        <v>7171</v>
      </c>
      <c r="J294" s="19">
        <v>13266.35</v>
      </c>
      <c r="K294" s="19">
        <v>59304.17</v>
      </c>
      <c r="L294" s="19">
        <v>59304.17</v>
      </c>
      <c r="M294" s="19">
        <v>59304.17</v>
      </c>
      <c r="N294" s="20">
        <v>1</v>
      </c>
      <c r="O294" s="21">
        <v>0</v>
      </c>
      <c r="P294" s="21">
        <v>0</v>
      </c>
      <c r="Q294" s="17">
        <v>0.95535506999999997</v>
      </c>
      <c r="R294" s="19">
        <v>0</v>
      </c>
      <c r="S294" s="19">
        <v>59304.17</v>
      </c>
      <c r="T294" s="19">
        <v>35399.589999999997</v>
      </c>
      <c r="U294" s="19">
        <v>94703.76</v>
      </c>
      <c r="V294" s="19">
        <v>23675.94</v>
      </c>
      <c r="W294" s="19">
        <v>31909.63</v>
      </c>
      <c r="X294" s="19">
        <v>1235.3699999999999</v>
      </c>
      <c r="Y294" s="19">
        <v>31914.59</v>
      </c>
      <c r="Z294" s="19">
        <v>0</v>
      </c>
      <c r="AA294" s="19">
        <v>0</v>
      </c>
      <c r="AB294" s="19">
        <v>11730.66</v>
      </c>
      <c r="AC294" s="19">
        <v>24773.17</v>
      </c>
      <c r="AD294" s="19">
        <v>1097.23</v>
      </c>
      <c r="AE294" s="19">
        <v>1097.23</v>
      </c>
      <c r="AF294" s="19">
        <v>0</v>
      </c>
      <c r="AG294" s="19">
        <v>58206.94</v>
      </c>
      <c r="AH294" s="19">
        <v>0</v>
      </c>
    </row>
    <row r="295" spans="1:34" x14ac:dyDescent="0.25">
      <c r="A295" s="12" t="s">
        <v>38</v>
      </c>
      <c r="B295" s="17">
        <v>2176</v>
      </c>
      <c r="C295" s="17">
        <v>1</v>
      </c>
      <c r="D295" s="24" t="s">
        <v>328</v>
      </c>
      <c r="E295" s="18">
        <v>3995</v>
      </c>
      <c r="F295" s="17">
        <v>2000</v>
      </c>
      <c r="G295" s="18">
        <v>4856234</v>
      </c>
      <c r="H295" s="19">
        <v>21652.9</v>
      </c>
      <c r="I295" s="18">
        <v>3995</v>
      </c>
      <c r="J295" s="19">
        <v>7390.75</v>
      </c>
      <c r="K295" s="19">
        <v>33038.65</v>
      </c>
      <c r="L295" s="19">
        <v>33038.65</v>
      </c>
      <c r="M295" s="19">
        <v>33038.65</v>
      </c>
      <c r="N295" s="20">
        <v>1</v>
      </c>
      <c r="O295" s="21">
        <v>0</v>
      </c>
      <c r="P295" s="21">
        <v>0</v>
      </c>
      <c r="Q295" s="17">
        <v>0.95535506999999997</v>
      </c>
      <c r="R295" s="19">
        <v>0</v>
      </c>
      <c r="S295" s="19">
        <v>33038.65</v>
      </c>
      <c r="T295" s="19">
        <v>180472.29</v>
      </c>
      <c r="U295" s="19">
        <v>213510.94</v>
      </c>
      <c r="V295" s="19">
        <v>53377.74</v>
      </c>
      <c r="W295" s="19">
        <v>2834.63</v>
      </c>
      <c r="X295" s="19">
        <v>0</v>
      </c>
      <c r="Y295" s="19">
        <v>856.66</v>
      </c>
      <c r="Z295" s="19">
        <v>0</v>
      </c>
      <c r="AA295" s="19">
        <v>0</v>
      </c>
      <c r="AB295" s="19">
        <v>1643.74</v>
      </c>
      <c r="AC295" s="19">
        <v>1778.34</v>
      </c>
      <c r="AD295" s="19">
        <v>0</v>
      </c>
      <c r="AE295" s="19">
        <v>0</v>
      </c>
      <c r="AF295" s="19">
        <v>0</v>
      </c>
      <c r="AG295" s="19">
        <v>33038.65</v>
      </c>
      <c r="AH295" s="19">
        <v>0</v>
      </c>
    </row>
    <row r="296" spans="1:34" x14ac:dyDescent="0.25">
      <c r="A296" s="12" t="s">
        <v>38</v>
      </c>
      <c r="B296" s="17">
        <v>2180</v>
      </c>
      <c r="C296" s="17">
        <v>1</v>
      </c>
      <c r="D296" s="24" t="s">
        <v>329</v>
      </c>
      <c r="E296" s="18">
        <v>5039</v>
      </c>
      <c r="F296" s="17">
        <v>2000</v>
      </c>
      <c r="G296" s="18">
        <v>8141651</v>
      </c>
      <c r="H296" s="19">
        <v>27311.38</v>
      </c>
      <c r="I296" s="18">
        <v>0</v>
      </c>
      <c r="J296" s="19">
        <v>9322.15</v>
      </c>
      <c r="K296" s="19">
        <v>36633.53</v>
      </c>
      <c r="L296" s="19">
        <v>36633.53</v>
      </c>
      <c r="M296" s="19">
        <v>36633.53</v>
      </c>
      <c r="N296" s="20">
        <v>1</v>
      </c>
      <c r="O296" s="21">
        <v>0</v>
      </c>
      <c r="P296" s="21">
        <v>0</v>
      </c>
      <c r="Q296" s="17">
        <v>0.95535506999999997</v>
      </c>
      <c r="R296" s="19">
        <v>0</v>
      </c>
      <c r="S296" s="19">
        <v>36633.53</v>
      </c>
      <c r="T296" s="19">
        <v>34569.56</v>
      </c>
      <c r="U296" s="19">
        <v>71203.09</v>
      </c>
      <c r="V296" s="19">
        <v>17800.77</v>
      </c>
      <c r="W296" s="19">
        <v>-272820.98</v>
      </c>
      <c r="X296" s="19">
        <v>0</v>
      </c>
      <c r="Y296" s="19">
        <v>-280664.31</v>
      </c>
      <c r="Z296" s="19">
        <v>0</v>
      </c>
      <c r="AA296" s="19">
        <v>0</v>
      </c>
      <c r="AB296" s="19">
        <v>-287321.63</v>
      </c>
      <c r="AC296" s="19">
        <v>-280268.96999999997</v>
      </c>
      <c r="AD296" s="19">
        <v>0</v>
      </c>
      <c r="AE296" s="19">
        <v>0</v>
      </c>
      <c r="AF296" s="19">
        <v>0</v>
      </c>
      <c r="AG296" s="19">
        <v>36633.53</v>
      </c>
      <c r="AH296" s="19">
        <v>0</v>
      </c>
    </row>
    <row r="297" spans="1:34" x14ac:dyDescent="0.25">
      <c r="A297" s="12" t="s">
        <v>38</v>
      </c>
      <c r="B297" s="17">
        <v>2184</v>
      </c>
      <c r="C297" s="17">
        <v>1</v>
      </c>
      <c r="D297" s="24" t="s">
        <v>330</v>
      </c>
      <c r="E297" s="18">
        <v>7131</v>
      </c>
      <c r="F297" s="17">
        <v>2000</v>
      </c>
      <c r="G297" s="18">
        <v>9110613</v>
      </c>
      <c r="H297" s="19">
        <v>38650.019999999997</v>
      </c>
      <c r="I297" s="18">
        <v>7131</v>
      </c>
      <c r="J297" s="19">
        <v>0</v>
      </c>
      <c r="K297" s="19">
        <v>45781.02</v>
      </c>
      <c r="L297" s="19">
        <v>45781.02</v>
      </c>
      <c r="M297" s="19">
        <v>45781.02</v>
      </c>
      <c r="N297" s="20">
        <v>1</v>
      </c>
      <c r="O297" s="21">
        <v>0</v>
      </c>
      <c r="P297" s="21">
        <v>0</v>
      </c>
      <c r="Q297" s="17">
        <v>0.95535506999999997</v>
      </c>
      <c r="R297" s="19">
        <v>0</v>
      </c>
      <c r="S297" s="19">
        <v>45781.02</v>
      </c>
      <c r="T297" s="19">
        <v>306832.64000000001</v>
      </c>
      <c r="U297" s="19">
        <v>352613.66</v>
      </c>
      <c r="V297" s="19">
        <v>88153.42</v>
      </c>
      <c r="W297" s="19">
        <v>30358.639999999999</v>
      </c>
      <c r="X297" s="19">
        <v>0</v>
      </c>
      <c r="Y297" s="19">
        <v>46106.85</v>
      </c>
      <c r="Z297" s="19">
        <v>0</v>
      </c>
      <c r="AA297" s="19">
        <v>0</v>
      </c>
      <c r="AB297" s="19">
        <v>56454.29</v>
      </c>
      <c r="AC297" s="19">
        <v>44306.59</v>
      </c>
      <c r="AD297" s="19">
        <v>0</v>
      </c>
      <c r="AE297" s="19">
        <v>0</v>
      </c>
      <c r="AF297" s="19">
        <v>0</v>
      </c>
      <c r="AG297" s="19">
        <v>45781.02</v>
      </c>
      <c r="AH297" s="19">
        <v>0</v>
      </c>
    </row>
    <row r="298" spans="1:34" x14ac:dyDescent="0.25">
      <c r="A298" s="12" t="s">
        <v>38</v>
      </c>
      <c r="B298" s="17">
        <v>2190</v>
      </c>
      <c r="C298" s="17">
        <v>1</v>
      </c>
      <c r="D298" s="24" t="s">
        <v>331</v>
      </c>
      <c r="E298" s="18">
        <v>7411</v>
      </c>
      <c r="F298" s="17">
        <v>2000</v>
      </c>
      <c r="G298" s="18">
        <v>9244278</v>
      </c>
      <c r="H298" s="19">
        <v>40167.620000000003</v>
      </c>
      <c r="I298" s="18">
        <v>7411</v>
      </c>
      <c r="J298" s="19">
        <v>13710.35</v>
      </c>
      <c r="K298" s="19">
        <v>61288.97</v>
      </c>
      <c r="L298" s="19">
        <v>61288.97</v>
      </c>
      <c r="M298" s="19">
        <v>61288.97</v>
      </c>
      <c r="N298" s="20">
        <v>1</v>
      </c>
      <c r="O298" s="21">
        <v>0</v>
      </c>
      <c r="P298" s="21">
        <v>0</v>
      </c>
      <c r="Q298" s="17">
        <v>0.95535506999999997</v>
      </c>
      <c r="R298" s="19">
        <v>0</v>
      </c>
      <c r="S298" s="19">
        <v>61288.97</v>
      </c>
      <c r="T298" s="19">
        <v>130347.9</v>
      </c>
      <c r="U298" s="19">
        <v>191636.87</v>
      </c>
      <c r="V298" s="19">
        <v>47909.22</v>
      </c>
      <c r="W298" s="19">
        <v>-12357.39</v>
      </c>
      <c r="X298" s="19">
        <v>0</v>
      </c>
      <c r="Y298" s="19">
        <v>-40567.550000000003</v>
      </c>
      <c r="Z298" s="19">
        <v>0</v>
      </c>
      <c r="AA298" s="19">
        <v>0</v>
      </c>
      <c r="AB298" s="19">
        <v>-53585.39</v>
      </c>
      <c r="AC298" s="19">
        <v>-35503.440000000002</v>
      </c>
      <c r="AD298" s="19">
        <v>0</v>
      </c>
      <c r="AE298" s="19">
        <v>0</v>
      </c>
      <c r="AF298" s="19">
        <v>0</v>
      </c>
      <c r="AG298" s="19">
        <v>61288.97</v>
      </c>
      <c r="AH298" s="19">
        <v>0</v>
      </c>
    </row>
    <row r="299" spans="1:34" x14ac:dyDescent="0.25">
      <c r="A299" s="12" t="s">
        <v>38</v>
      </c>
      <c r="B299" s="17">
        <v>2198</v>
      </c>
      <c r="C299" s="17">
        <v>1</v>
      </c>
      <c r="D299" s="24" t="s">
        <v>332</v>
      </c>
      <c r="E299" s="18">
        <v>5145</v>
      </c>
      <c r="F299" s="17">
        <v>2000</v>
      </c>
      <c r="G299" s="18">
        <v>5701392</v>
      </c>
      <c r="H299" s="19">
        <v>27885.9</v>
      </c>
      <c r="I299" s="18">
        <v>5145</v>
      </c>
      <c r="J299" s="19">
        <v>9518.25</v>
      </c>
      <c r="K299" s="19">
        <v>42549.15</v>
      </c>
      <c r="L299" s="19">
        <v>42549.15</v>
      </c>
      <c r="M299" s="19">
        <v>42549.15</v>
      </c>
      <c r="N299" s="20">
        <v>1</v>
      </c>
      <c r="O299" s="21">
        <v>0</v>
      </c>
      <c r="P299" s="21">
        <v>0</v>
      </c>
      <c r="Q299" s="17">
        <v>0.95535506999999997</v>
      </c>
      <c r="R299" s="19">
        <v>0</v>
      </c>
      <c r="S299" s="19">
        <v>42549.15</v>
      </c>
      <c r="T299" s="19">
        <v>290050.75</v>
      </c>
      <c r="U299" s="19">
        <v>332599.90000000002</v>
      </c>
      <c r="V299" s="19">
        <v>83149.98</v>
      </c>
      <c r="W299" s="19">
        <v>-56550.86</v>
      </c>
      <c r="X299" s="19">
        <v>0</v>
      </c>
      <c r="Y299" s="19">
        <v>-70797.97</v>
      </c>
      <c r="Z299" s="19">
        <v>0</v>
      </c>
      <c r="AA299" s="19">
        <v>0</v>
      </c>
      <c r="AB299" s="19">
        <v>-54256.09</v>
      </c>
      <c r="AC299" s="19">
        <v>-60534.97</v>
      </c>
      <c r="AD299" s="19">
        <v>0</v>
      </c>
      <c r="AE299" s="19">
        <v>0</v>
      </c>
      <c r="AF299" s="19">
        <v>0</v>
      </c>
      <c r="AG299" s="19">
        <v>42549.15</v>
      </c>
      <c r="AH299" s="19">
        <v>0</v>
      </c>
    </row>
    <row r="300" spans="1:34" x14ac:dyDescent="0.25">
      <c r="A300" s="12" t="s">
        <v>38</v>
      </c>
      <c r="B300" s="17">
        <v>2215</v>
      </c>
      <c r="C300" s="17">
        <v>1</v>
      </c>
      <c r="D300" s="24" t="s">
        <v>333</v>
      </c>
      <c r="E300" s="18">
        <v>2521</v>
      </c>
      <c r="F300" s="17">
        <v>2000</v>
      </c>
      <c r="G300" s="18">
        <v>2184075</v>
      </c>
      <c r="H300" s="19">
        <v>13663.82</v>
      </c>
      <c r="I300" s="18">
        <v>0</v>
      </c>
      <c r="J300" s="19">
        <v>0</v>
      </c>
      <c r="K300" s="19">
        <v>13663.82</v>
      </c>
      <c r="L300" s="19">
        <v>13663.82</v>
      </c>
      <c r="M300" s="19">
        <v>13663.82</v>
      </c>
      <c r="N300" s="20">
        <v>1</v>
      </c>
      <c r="O300" s="21">
        <v>0</v>
      </c>
      <c r="P300" s="21">
        <v>0</v>
      </c>
      <c r="Q300" s="17">
        <v>0.95535506999999997</v>
      </c>
      <c r="R300" s="19">
        <v>0</v>
      </c>
      <c r="S300" s="19">
        <v>13663.82</v>
      </c>
      <c r="T300" s="19">
        <v>15592.53</v>
      </c>
      <c r="U300" s="19">
        <v>29256.35</v>
      </c>
      <c r="V300" s="19">
        <v>7314.09</v>
      </c>
      <c r="W300" s="19">
        <v>-102944.51</v>
      </c>
      <c r="X300" s="19">
        <v>0</v>
      </c>
      <c r="Y300" s="19">
        <v>-103003.56</v>
      </c>
      <c r="Z300" s="19">
        <v>0</v>
      </c>
      <c r="AA300" s="19">
        <v>0</v>
      </c>
      <c r="AB300" s="19">
        <v>-94209.21</v>
      </c>
      <c r="AC300" s="19">
        <v>-100052.43</v>
      </c>
      <c r="AD300" s="19">
        <v>0</v>
      </c>
      <c r="AE300" s="19">
        <v>0</v>
      </c>
      <c r="AF300" s="19">
        <v>0</v>
      </c>
      <c r="AG300" s="19">
        <v>13663.82</v>
      </c>
      <c r="AH300" s="19">
        <v>0</v>
      </c>
    </row>
    <row r="301" spans="1:34" x14ac:dyDescent="0.25">
      <c r="A301" s="12" t="s">
        <v>38</v>
      </c>
      <c r="B301" s="17">
        <v>2310</v>
      </c>
      <c r="C301" s="17">
        <v>1</v>
      </c>
      <c r="D301" s="24" t="s">
        <v>334</v>
      </c>
      <c r="E301" s="18">
        <v>7499</v>
      </c>
      <c r="F301" s="17">
        <v>2000</v>
      </c>
      <c r="G301" s="18">
        <v>9235685</v>
      </c>
      <c r="H301" s="19">
        <v>40644.58</v>
      </c>
      <c r="I301" s="18">
        <v>7499</v>
      </c>
      <c r="J301" s="19">
        <v>13873.15</v>
      </c>
      <c r="K301" s="19">
        <v>62016.73</v>
      </c>
      <c r="L301" s="19">
        <v>62016.73</v>
      </c>
      <c r="M301" s="19">
        <v>62016.73</v>
      </c>
      <c r="N301" s="20">
        <v>1</v>
      </c>
      <c r="O301" s="21">
        <v>0</v>
      </c>
      <c r="P301" s="21">
        <v>0</v>
      </c>
      <c r="Q301" s="17">
        <v>0.95535506999999997</v>
      </c>
      <c r="R301" s="19">
        <v>0</v>
      </c>
      <c r="S301" s="19">
        <v>62016.73</v>
      </c>
      <c r="T301" s="19">
        <v>51785.22</v>
      </c>
      <c r="U301" s="19">
        <v>113801.95</v>
      </c>
      <c r="V301" s="19">
        <v>28450.49</v>
      </c>
      <c r="W301" s="19">
        <v>10032.51</v>
      </c>
      <c r="X301" s="19">
        <v>0</v>
      </c>
      <c r="Y301" s="19">
        <v>17910.34</v>
      </c>
      <c r="Z301" s="19">
        <v>0</v>
      </c>
      <c r="AA301" s="19">
        <v>0</v>
      </c>
      <c r="AB301" s="19">
        <v>-10801.23</v>
      </c>
      <c r="AC301" s="19">
        <v>5713.87</v>
      </c>
      <c r="AD301" s="19">
        <v>0</v>
      </c>
      <c r="AE301" s="19">
        <v>0</v>
      </c>
      <c r="AF301" s="19">
        <v>0</v>
      </c>
      <c r="AG301" s="19">
        <v>62016.73</v>
      </c>
      <c r="AH301" s="19">
        <v>0</v>
      </c>
    </row>
    <row r="302" spans="1:34" x14ac:dyDescent="0.25">
      <c r="A302" s="12" t="s">
        <v>38</v>
      </c>
      <c r="B302" s="17">
        <v>2311</v>
      </c>
      <c r="C302" s="17">
        <v>1</v>
      </c>
      <c r="D302" s="24" t="s">
        <v>335</v>
      </c>
      <c r="E302" s="18">
        <v>2834</v>
      </c>
      <c r="F302" s="17">
        <v>2000</v>
      </c>
      <c r="G302" s="18">
        <v>4761869</v>
      </c>
      <c r="H302" s="19">
        <v>15360.28</v>
      </c>
      <c r="I302" s="18">
        <v>2834</v>
      </c>
      <c r="J302" s="19">
        <v>5242.9</v>
      </c>
      <c r="K302" s="19">
        <v>23437.18</v>
      </c>
      <c r="L302" s="19">
        <v>23437.18</v>
      </c>
      <c r="M302" s="19">
        <v>23437.18</v>
      </c>
      <c r="N302" s="20">
        <v>1</v>
      </c>
      <c r="O302" s="21">
        <v>0</v>
      </c>
      <c r="P302" s="21">
        <v>0</v>
      </c>
      <c r="Q302" s="17">
        <v>0.95535506999999997</v>
      </c>
      <c r="R302" s="19">
        <v>0</v>
      </c>
      <c r="S302" s="19">
        <v>20603.18</v>
      </c>
      <c r="T302" s="19">
        <v>191923.64</v>
      </c>
      <c r="U302" s="19">
        <v>212526.82</v>
      </c>
      <c r="V302" s="19">
        <v>53131.71</v>
      </c>
      <c r="W302" s="19">
        <v>7913.54</v>
      </c>
      <c r="X302" s="19">
        <v>0</v>
      </c>
      <c r="Y302" s="19">
        <v>-4666.5</v>
      </c>
      <c r="Z302" s="19">
        <v>0</v>
      </c>
      <c r="AA302" s="19">
        <v>0</v>
      </c>
      <c r="AB302" s="19">
        <v>-23674.52</v>
      </c>
      <c r="AC302" s="19">
        <v>-6809.16</v>
      </c>
      <c r="AD302" s="19">
        <v>0</v>
      </c>
      <c r="AE302" s="19">
        <v>0</v>
      </c>
      <c r="AF302" s="19">
        <v>0</v>
      </c>
      <c r="AG302" s="19">
        <v>23437.18</v>
      </c>
      <c r="AH302" s="19">
        <v>0</v>
      </c>
    </row>
    <row r="303" spans="1:34" x14ac:dyDescent="0.25">
      <c r="A303" s="12" t="s">
        <v>38</v>
      </c>
      <c r="B303" s="17">
        <v>2342</v>
      </c>
      <c r="C303" s="17">
        <v>1</v>
      </c>
      <c r="D303" s="24" t="s">
        <v>336</v>
      </c>
      <c r="E303" s="18">
        <v>5349</v>
      </c>
      <c r="F303" s="17">
        <v>2000</v>
      </c>
      <c r="G303" s="18">
        <v>8318321</v>
      </c>
      <c r="H303" s="19">
        <v>28991.58</v>
      </c>
      <c r="I303" s="18">
        <v>5349</v>
      </c>
      <c r="J303" s="19">
        <v>9895.65</v>
      </c>
      <c r="K303" s="19">
        <v>44236.23</v>
      </c>
      <c r="L303" s="19">
        <v>44236.23</v>
      </c>
      <c r="M303" s="19">
        <v>44236.23</v>
      </c>
      <c r="N303" s="20">
        <v>1</v>
      </c>
      <c r="O303" s="21">
        <v>0</v>
      </c>
      <c r="P303" s="21">
        <v>0</v>
      </c>
      <c r="Q303" s="17">
        <v>0.95535506999999997</v>
      </c>
      <c r="R303" s="19">
        <v>0</v>
      </c>
      <c r="S303" s="19">
        <v>44236.23</v>
      </c>
      <c r="T303" s="19">
        <v>85601.74</v>
      </c>
      <c r="U303" s="19">
        <v>129837.97</v>
      </c>
      <c r="V303" s="19">
        <v>32459.49</v>
      </c>
      <c r="W303" s="19">
        <v>7482.38</v>
      </c>
      <c r="X303" s="19">
        <v>0</v>
      </c>
      <c r="Y303" s="19">
        <v>1333.71</v>
      </c>
      <c r="Z303" s="19">
        <v>0</v>
      </c>
      <c r="AA303" s="19">
        <v>0</v>
      </c>
      <c r="AB303" s="19">
        <v>6908.19</v>
      </c>
      <c r="AC303" s="19">
        <v>5241.43</v>
      </c>
      <c r="AD303" s="19">
        <v>0</v>
      </c>
      <c r="AE303" s="19">
        <v>0</v>
      </c>
      <c r="AF303" s="19">
        <v>0</v>
      </c>
      <c r="AG303" s="19">
        <v>44236.23</v>
      </c>
      <c r="AH303" s="19">
        <v>0</v>
      </c>
    </row>
    <row r="304" spans="1:34" x14ac:dyDescent="0.25">
      <c r="A304" s="12" t="s">
        <v>38</v>
      </c>
      <c r="B304" s="17">
        <v>2358</v>
      </c>
      <c r="C304" s="17">
        <v>1</v>
      </c>
      <c r="D304" s="24" t="s">
        <v>337</v>
      </c>
      <c r="E304" s="18">
        <v>2348</v>
      </c>
      <c r="F304" s="17">
        <v>2000</v>
      </c>
      <c r="G304" s="18">
        <v>2047208</v>
      </c>
      <c r="H304" s="19">
        <v>12726.16</v>
      </c>
      <c r="I304" s="18">
        <v>0</v>
      </c>
      <c r="J304" s="19">
        <v>0</v>
      </c>
      <c r="K304" s="19">
        <v>12726.16</v>
      </c>
      <c r="L304" s="19">
        <v>12726.16</v>
      </c>
      <c r="M304" s="19">
        <v>12726.16</v>
      </c>
      <c r="N304" s="20">
        <v>1</v>
      </c>
      <c r="O304" s="21">
        <v>0</v>
      </c>
      <c r="P304" s="21">
        <v>0</v>
      </c>
      <c r="Q304" s="17">
        <v>0.95535506999999997</v>
      </c>
      <c r="R304" s="19">
        <v>0</v>
      </c>
      <c r="S304" s="19">
        <v>12726.16</v>
      </c>
      <c r="T304" s="19">
        <v>8258.42</v>
      </c>
      <c r="U304" s="19">
        <v>20984.58</v>
      </c>
      <c r="V304" s="19">
        <v>5246.15</v>
      </c>
      <c r="W304" s="19">
        <v>2033.68</v>
      </c>
      <c r="X304" s="19">
        <v>0</v>
      </c>
      <c r="Y304" s="19">
        <v>3921.33</v>
      </c>
      <c r="Z304" s="19">
        <v>0</v>
      </c>
      <c r="AA304" s="19">
        <v>0</v>
      </c>
      <c r="AB304" s="19">
        <v>3822.12</v>
      </c>
      <c r="AC304" s="19">
        <v>3259.04</v>
      </c>
      <c r="AD304" s="19">
        <v>0</v>
      </c>
      <c r="AE304" s="19">
        <v>0</v>
      </c>
      <c r="AF304" s="19">
        <v>0</v>
      </c>
      <c r="AG304" s="19">
        <v>12726.16</v>
      </c>
      <c r="AH304" s="19">
        <v>0</v>
      </c>
    </row>
    <row r="305" spans="1:34" x14ac:dyDescent="0.25">
      <c r="A305" s="12" t="s">
        <v>38</v>
      </c>
      <c r="B305" s="17">
        <v>2364</v>
      </c>
      <c r="C305" s="17">
        <v>1</v>
      </c>
      <c r="D305" s="24" t="s">
        <v>338</v>
      </c>
      <c r="E305" s="18">
        <v>4354</v>
      </c>
      <c r="F305" s="17">
        <v>2000</v>
      </c>
      <c r="G305" s="18">
        <v>6207156</v>
      </c>
      <c r="H305" s="19">
        <v>23598.68</v>
      </c>
      <c r="I305" s="18">
        <v>4354</v>
      </c>
      <c r="J305" s="19">
        <v>8054.9</v>
      </c>
      <c r="K305" s="19">
        <v>36007.58</v>
      </c>
      <c r="L305" s="19">
        <v>36007.58</v>
      </c>
      <c r="M305" s="19">
        <v>36007.58</v>
      </c>
      <c r="N305" s="20">
        <v>1</v>
      </c>
      <c r="O305" s="21">
        <v>0</v>
      </c>
      <c r="P305" s="21">
        <v>0</v>
      </c>
      <c r="Q305" s="17">
        <v>0.95535506999999997</v>
      </c>
      <c r="R305" s="19">
        <v>0</v>
      </c>
      <c r="S305" s="19">
        <v>36007.58</v>
      </c>
      <c r="T305" s="19">
        <v>394879.27</v>
      </c>
      <c r="U305" s="19">
        <v>430886.85</v>
      </c>
      <c r="V305" s="19">
        <v>107721.71</v>
      </c>
      <c r="W305" s="19">
        <v>-23912.67</v>
      </c>
      <c r="X305" s="19">
        <v>0</v>
      </c>
      <c r="Y305" s="19">
        <v>-24848.48</v>
      </c>
      <c r="Z305" s="19">
        <v>0</v>
      </c>
      <c r="AA305" s="19">
        <v>0</v>
      </c>
      <c r="AB305" s="19">
        <v>39353.54</v>
      </c>
      <c r="AC305" s="19">
        <v>-3135.87</v>
      </c>
      <c r="AD305" s="19">
        <v>0</v>
      </c>
      <c r="AE305" s="19">
        <v>0</v>
      </c>
      <c r="AF305" s="19">
        <v>0</v>
      </c>
      <c r="AG305" s="19">
        <v>36007.58</v>
      </c>
      <c r="AH305" s="19">
        <v>0</v>
      </c>
    </row>
    <row r="306" spans="1:34" x14ac:dyDescent="0.25">
      <c r="A306" s="12" t="s">
        <v>38</v>
      </c>
      <c r="B306" s="17">
        <v>2365</v>
      </c>
      <c r="C306" s="17">
        <v>1</v>
      </c>
      <c r="D306" s="24" t="s">
        <v>339</v>
      </c>
      <c r="E306" s="18">
        <v>6726</v>
      </c>
      <c r="F306" s="17">
        <v>2000</v>
      </c>
      <c r="G306" s="18">
        <v>10779741</v>
      </c>
      <c r="H306" s="19">
        <v>36454.92</v>
      </c>
      <c r="I306" s="18">
        <v>6726</v>
      </c>
      <c r="J306" s="19">
        <v>12443.1</v>
      </c>
      <c r="K306" s="19">
        <v>55624.02</v>
      </c>
      <c r="L306" s="19">
        <v>55624.02</v>
      </c>
      <c r="M306" s="19">
        <v>55624.02</v>
      </c>
      <c r="N306" s="20">
        <v>1</v>
      </c>
      <c r="O306" s="21">
        <v>0</v>
      </c>
      <c r="P306" s="21">
        <v>0</v>
      </c>
      <c r="Q306" s="17">
        <v>0.95535506999999997</v>
      </c>
      <c r="R306" s="19">
        <v>0</v>
      </c>
      <c r="S306" s="19">
        <v>55624.02</v>
      </c>
      <c r="T306" s="19">
        <v>51055.69</v>
      </c>
      <c r="U306" s="19">
        <v>106679.71</v>
      </c>
      <c r="V306" s="19">
        <v>26669.93</v>
      </c>
      <c r="W306" s="19">
        <v>5814.43</v>
      </c>
      <c r="X306" s="19">
        <v>0</v>
      </c>
      <c r="Y306" s="19">
        <v>24000.46</v>
      </c>
      <c r="Z306" s="19">
        <v>0</v>
      </c>
      <c r="AA306" s="19">
        <v>0</v>
      </c>
      <c r="AB306" s="19">
        <v>35518.160000000003</v>
      </c>
      <c r="AC306" s="19">
        <v>21777.68</v>
      </c>
      <c r="AD306" s="19">
        <v>0</v>
      </c>
      <c r="AE306" s="19">
        <v>0</v>
      </c>
      <c r="AF306" s="19">
        <v>0</v>
      </c>
      <c r="AG306" s="19">
        <v>55624.02</v>
      </c>
      <c r="AH306" s="19">
        <v>0</v>
      </c>
    </row>
    <row r="307" spans="1:34" x14ac:dyDescent="0.25">
      <c r="A307" s="12" t="s">
        <v>38</v>
      </c>
      <c r="B307" s="17">
        <v>2396</v>
      </c>
      <c r="C307" s="17">
        <v>1</v>
      </c>
      <c r="D307" s="24" t="s">
        <v>340</v>
      </c>
      <c r="E307" s="18">
        <v>6103</v>
      </c>
      <c r="F307" s="17">
        <v>2000</v>
      </c>
      <c r="G307" s="18">
        <v>10567030</v>
      </c>
      <c r="H307" s="19">
        <v>33078.26</v>
      </c>
      <c r="I307" s="18">
        <v>6103</v>
      </c>
      <c r="J307" s="19">
        <v>11290.55</v>
      </c>
      <c r="K307" s="19">
        <v>50471.81</v>
      </c>
      <c r="L307" s="19">
        <v>50471.81</v>
      </c>
      <c r="M307" s="19">
        <v>50471.81</v>
      </c>
      <c r="N307" s="20">
        <v>1</v>
      </c>
      <c r="O307" s="21">
        <v>0</v>
      </c>
      <c r="P307" s="21">
        <v>0</v>
      </c>
      <c r="Q307" s="17">
        <v>0.95535506999999997</v>
      </c>
      <c r="R307" s="19">
        <v>0</v>
      </c>
      <c r="S307" s="19">
        <v>50471.81</v>
      </c>
      <c r="T307" s="19">
        <v>191282.74</v>
      </c>
      <c r="U307" s="19">
        <v>241754.55</v>
      </c>
      <c r="V307" s="19">
        <v>60438.64</v>
      </c>
      <c r="W307" s="19">
        <v>49591.08</v>
      </c>
      <c r="X307" s="19">
        <v>0</v>
      </c>
      <c r="Y307" s="19">
        <v>28400.03</v>
      </c>
      <c r="Z307" s="19">
        <v>0</v>
      </c>
      <c r="AA307" s="19">
        <v>0</v>
      </c>
      <c r="AB307" s="19">
        <v>15044.56</v>
      </c>
      <c r="AC307" s="19">
        <v>31011.89</v>
      </c>
      <c r="AD307" s="19">
        <v>0</v>
      </c>
      <c r="AE307" s="19">
        <v>0</v>
      </c>
      <c r="AF307" s="19">
        <v>0</v>
      </c>
      <c r="AG307" s="19">
        <v>50471.81</v>
      </c>
      <c r="AH307" s="19">
        <v>0</v>
      </c>
    </row>
    <row r="308" spans="1:34" x14ac:dyDescent="0.25">
      <c r="A308" s="12" t="s">
        <v>38</v>
      </c>
      <c r="B308" s="17">
        <v>2397</v>
      </c>
      <c r="C308" s="17">
        <v>1</v>
      </c>
      <c r="D308" s="24" t="s">
        <v>341</v>
      </c>
      <c r="E308" s="18">
        <v>7915</v>
      </c>
      <c r="F308" s="17">
        <v>2007</v>
      </c>
      <c r="G308" s="18">
        <v>9497642</v>
      </c>
      <c r="H308" s="19">
        <v>42899.3</v>
      </c>
      <c r="I308" s="18">
        <v>7915</v>
      </c>
      <c r="J308" s="19">
        <v>14642.75</v>
      </c>
      <c r="K308" s="19">
        <v>65457.05</v>
      </c>
      <c r="L308" s="19">
        <v>65457.05</v>
      </c>
      <c r="M308" s="19">
        <v>65457.05</v>
      </c>
      <c r="N308" s="20">
        <v>1</v>
      </c>
      <c r="O308" s="21">
        <v>0</v>
      </c>
      <c r="P308" s="21">
        <v>0</v>
      </c>
      <c r="Q308" s="17">
        <v>0.95535506999999997</v>
      </c>
      <c r="R308" s="19">
        <v>0</v>
      </c>
      <c r="S308" s="19">
        <v>65457.05</v>
      </c>
      <c r="T308" s="19">
        <v>87051</v>
      </c>
      <c r="U308" s="19">
        <v>152508.04999999999</v>
      </c>
      <c r="V308" s="19">
        <v>38127.01</v>
      </c>
      <c r="W308" s="19">
        <v>32459.66</v>
      </c>
      <c r="X308" s="19">
        <v>3788.2</v>
      </c>
      <c r="Y308" s="19">
        <v>16091.75</v>
      </c>
      <c r="Z308" s="19">
        <v>0</v>
      </c>
      <c r="AA308" s="19">
        <v>0</v>
      </c>
      <c r="AB308" s="19">
        <v>13226.13</v>
      </c>
      <c r="AC308" s="19">
        <v>19329.78</v>
      </c>
      <c r="AD308" s="19">
        <v>0</v>
      </c>
      <c r="AE308" s="19">
        <v>0</v>
      </c>
      <c r="AF308" s="19">
        <v>0</v>
      </c>
      <c r="AG308" s="19">
        <v>65457.05</v>
      </c>
      <c r="AH308" s="19">
        <v>0</v>
      </c>
    </row>
    <row r="309" spans="1:34" x14ac:dyDescent="0.25">
      <c r="A309" s="12" t="s">
        <v>38</v>
      </c>
      <c r="B309" s="17">
        <v>2448</v>
      </c>
      <c r="C309" s="17">
        <v>1</v>
      </c>
      <c r="D309" s="24" t="s">
        <v>342</v>
      </c>
      <c r="E309" s="18">
        <v>4737</v>
      </c>
      <c r="F309" s="17">
        <v>2000</v>
      </c>
      <c r="G309" s="18">
        <v>8388821</v>
      </c>
      <c r="H309" s="19">
        <v>25674.54</v>
      </c>
      <c r="I309" s="18">
        <v>4737</v>
      </c>
      <c r="J309" s="19">
        <v>8763.4500000000007</v>
      </c>
      <c r="K309" s="19">
        <v>39174.99</v>
      </c>
      <c r="L309" s="19">
        <v>39174.99</v>
      </c>
      <c r="M309" s="19">
        <v>39174.99</v>
      </c>
      <c r="N309" s="20">
        <v>1</v>
      </c>
      <c r="O309" s="21">
        <v>0</v>
      </c>
      <c r="P309" s="21">
        <v>0</v>
      </c>
      <c r="Q309" s="17">
        <v>0.95535506999999997</v>
      </c>
      <c r="R309" s="19">
        <v>0</v>
      </c>
      <c r="S309" s="19">
        <v>39174.99</v>
      </c>
      <c r="T309" s="19">
        <v>58504.959999999999</v>
      </c>
      <c r="U309" s="19">
        <v>97679.95</v>
      </c>
      <c r="V309" s="19">
        <v>24419.99</v>
      </c>
      <c r="W309" s="19">
        <v>1477.45</v>
      </c>
      <c r="X309" s="19">
        <v>0</v>
      </c>
      <c r="Y309" s="19">
        <v>11915.73</v>
      </c>
      <c r="Z309" s="19">
        <v>0</v>
      </c>
      <c r="AA309" s="19">
        <v>0</v>
      </c>
      <c r="AB309" s="19">
        <v>17277.560000000001</v>
      </c>
      <c r="AC309" s="19">
        <v>10223.58</v>
      </c>
      <c r="AD309" s="19">
        <v>0</v>
      </c>
      <c r="AE309" s="19">
        <v>0</v>
      </c>
      <c r="AF309" s="19">
        <v>0</v>
      </c>
      <c r="AG309" s="19">
        <v>39174.99</v>
      </c>
      <c r="AH309" s="19">
        <v>0</v>
      </c>
    </row>
    <row r="310" spans="1:34" x14ac:dyDescent="0.25">
      <c r="A310" s="12" t="s">
        <v>38</v>
      </c>
      <c r="B310" s="17">
        <v>2527</v>
      </c>
      <c r="C310" s="17">
        <v>1</v>
      </c>
      <c r="D310" s="24" t="s">
        <v>343</v>
      </c>
      <c r="E310" s="18">
        <v>1660</v>
      </c>
      <c r="F310" s="17">
        <v>2000</v>
      </c>
      <c r="G310" s="18">
        <v>2358841</v>
      </c>
      <c r="H310" s="19">
        <v>8997.2000000000007</v>
      </c>
      <c r="I310" s="18">
        <v>0</v>
      </c>
      <c r="J310" s="19">
        <v>0</v>
      </c>
      <c r="K310" s="19">
        <v>8997.2000000000007</v>
      </c>
      <c r="L310" s="19">
        <v>8997.2000000000007</v>
      </c>
      <c r="M310" s="19">
        <v>8997.2000000000007</v>
      </c>
      <c r="N310" s="20">
        <v>1</v>
      </c>
      <c r="O310" s="21">
        <v>0</v>
      </c>
      <c r="P310" s="21">
        <v>0</v>
      </c>
      <c r="Q310" s="17">
        <v>0.95535506999999997</v>
      </c>
      <c r="R310" s="19">
        <v>0</v>
      </c>
      <c r="S310" s="19">
        <v>8997.2000000000007</v>
      </c>
      <c r="T310" s="19">
        <v>74011.59</v>
      </c>
      <c r="U310" s="19">
        <v>83008.789999999994</v>
      </c>
      <c r="V310" s="19">
        <v>20752.2</v>
      </c>
      <c r="W310" s="19">
        <v>-6405.3</v>
      </c>
      <c r="X310" s="19">
        <v>0</v>
      </c>
      <c r="Y310" s="19">
        <v>-14780.77</v>
      </c>
      <c r="Z310" s="19">
        <v>0</v>
      </c>
      <c r="AA310" s="19">
        <v>0</v>
      </c>
      <c r="AB310" s="19">
        <v>0</v>
      </c>
      <c r="AC310" s="19">
        <v>-7062.02</v>
      </c>
      <c r="AD310" s="19">
        <v>0</v>
      </c>
      <c r="AE310" s="19">
        <v>0</v>
      </c>
      <c r="AF310" s="19">
        <v>0</v>
      </c>
      <c r="AG310" s="19">
        <v>8997.2000000000007</v>
      </c>
      <c r="AH310" s="19">
        <v>0</v>
      </c>
    </row>
    <row r="311" spans="1:34" x14ac:dyDescent="0.25">
      <c r="A311" s="12" t="s">
        <v>38</v>
      </c>
      <c r="B311" s="17">
        <v>2534</v>
      </c>
      <c r="C311" s="17">
        <v>1</v>
      </c>
      <c r="D311" s="24" t="s">
        <v>344</v>
      </c>
      <c r="E311" s="18">
        <v>5602</v>
      </c>
      <c r="F311" s="17">
        <v>2000</v>
      </c>
      <c r="G311" s="18">
        <v>8167929</v>
      </c>
      <c r="H311" s="19">
        <v>30362.84</v>
      </c>
      <c r="I311" s="18">
        <v>5602</v>
      </c>
      <c r="J311" s="19">
        <v>10363.700000000001</v>
      </c>
      <c r="K311" s="19">
        <v>46328.54</v>
      </c>
      <c r="L311" s="19">
        <v>46328.54</v>
      </c>
      <c r="M311" s="19">
        <v>46328.54</v>
      </c>
      <c r="N311" s="20">
        <v>1</v>
      </c>
      <c r="O311" s="21">
        <v>0</v>
      </c>
      <c r="P311" s="21">
        <v>0</v>
      </c>
      <c r="Q311" s="17">
        <v>0.95535506999999997</v>
      </c>
      <c r="R311" s="19">
        <v>0</v>
      </c>
      <c r="S311" s="19">
        <v>46328.54</v>
      </c>
      <c r="T311" s="19">
        <v>108630.51</v>
      </c>
      <c r="U311" s="19">
        <v>154959.04999999999</v>
      </c>
      <c r="V311" s="19">
        <v>38739.760000000002</v>
      </c>
      <c r="W311" s="19">
        <v>36369.089999999997</v>
      </c>
      <c r="X311" s="19">
        <v>0</v>
      </c>
      <c r="Y311" s="19">
        <v>56472.160000000003</v>
      </c>
      <c r="Z311" s="19">
        <v>0</v>
      </c>
      <c r="AA311" s="19">
        <v>0</v>
      </c>
      <c r="AB311" s="19">
        <v>19118.650000000001</v>
      </c>
      <c r="AC311" s="19">
        <v>37319.97</v>
      </c>
      <c r="AD311" s="19">
        <v>0</v>
      </c>
      <c r="AE311" s="19">
        <v>0</v>
      </c>
      <c r="AF311" s="19">
        <v>0</v>
      </c>
      <c r="AG311" s="19">
        <v>46328.54</v>
      </c>
      <c r="AH311" s="19">
        <v>0</v>
      </c>
    </row>
    <row r="312" spans="1:34" x14ac:dyDescent="0.25">
      <c r="A312" s="12" t="s">
        <v>38</v>
      </c>
      <c r="B312" s="17">
        <v>2536</v>
      </c>
      <c r="C312" s="17">
        <v>1</v>
      </c>
      <c r="D312" s="24" t="s">
        <v>345</v>
      </c>
      <c r="E312" s="18">
        <v>2091</v>
      </c>
      <c r="F312" s="17">
        <v>2000</v>
      </c>
      <c r="G312" s="18">
        <v>4478351</v>
      </c>
      <c r="H312" s="19">
        <v>11333.22</v>
      </c>
      <c r="I312" s="18">
        <v>2091</v>
      </c>
      <c r="J312" s="19">
        <v>3868.35</v>
      </c>
      <c r="K312" s="19">
        <v>17292.57</v>
      </c>
      <c r="L312" s="19">
        <v>17292.57</v>
      </c>
      <c r="M312" s="19">
        <v>17292.57</v>
      </c>
      <c r="N312" s="20">
        <v>1</v>
      </c>
      <c r="O312" s="21">
        <v>0</v>
      </c>
      <c r="P312" s="21">
        <v>0</v>
      </c>
      <c r="Q312" s="17">
        <v>0.95535506999999997</v>
      </c>
      <c r="R312" s="19">
        <v>0</v>
      </c>
      <c r="S312" s="19">
        <v>17292.57</v>
      </c>
      <c r="T312" s="19">
        <v>4635.68</v>
      </c>
      <c r="U312" s="19">
        <v>21928.25</v>
      </c>
      <c r="V312" s="19">
        <v>5482.06</v>
      </c>
      <c r="W312" s="19">
        <v>-20655.22</v>
      </c>
      <c r="X312" s="19">
        <v>0</v>
      </c>
      <c r="Y312" s="19">
        <v>-1874.13</v>
      </c>
      <c r="Z312" s="19">
        <v>0</v>
      </c>
      <c r="AA312" s="19">
        <v>0</v>
      </c>
      <c r="AB312" s="19">
        <v>-8935.5499999999993</v>
      </c>
      <c r="AC312" s="19">
        <v>-10488.3</v>
      </c>
      <c r="AD312" s="19">
        <v>0</v>
      </c>
      <c r="AE312" s="19">
        <v>0</v>
      </c>
      <c r="AF312" s="19">
        <v>0</v>
      </c>
      <c r="AG312" s="19">
        <v>17292.57</v>
      </c>
      <c r="AH312" s="19">
        <v>0</v>
      </c>
    </row>
    <row r="313" spans="1:34" x14ac:dyDescent="0.25">
      <c r="A313" s="12" t="s">
        <v>38</v>
      </c>
      <c r="B313" s="17">
        <v>2580</v>
      </c>
      <c r="C313" s="17">
        <v>1</v>
      </c>
      <c r="D313" s="24" t="s">
        <v>346</v>
      </c>
      <c r="E313" s="18">
        <v>7049</v>
      </c>
      <c r="F313" s="17">
        <v>2009</v>
      </c>
      <c r="G313" s="18">
        <v>6991594</v>
      </c>
      <c r="H313" s="19">
        <v>38205.58</v>
      </c>
      <c r="I313" s="18">
        <v>7049</v>
      </c>
      <c r="J313" s="19">
        <v>13040.65</v>
      </c>
      <c r="K313" s="19">
        <v>58295.23</v>
      </c>
      <c r="L313" s="19">
        <v>58295.23</v>
      </c>
      <c r="M313" s="19">
        <v>58295.23</v>
      </c>
      <c r="N313" s="20">
        <v>1</v>
      </c>
      <c r="O313" s="21">
        <v>0</v>
      </c>
      <c r="P313" s="21">
        <v>0</v>
      </c>
      <c r="Q313" s="17">
        <v>0.95535506999999997</v>
      </c>
      <c r="R313" s="19">
        <v>0</v>
      </c>
      <c r="S313" s="19">
        <v>57170.51</v>
      </c>
      <c r="T313" s="19">
        <v>131145.03</v>
      </c>
      <c r="U313" s="19">
        <v>188315.54</v>
      </c>
      <c r="V313" s="19">
        <v>47078.89</v>
      </c>
      <c r="W313" s="19">
        <v>-4704.05</v>
      </c>
      <c r="X313" s="19">
        <v>0</v>
      </c>
      <c r="Y313" s="19">
        <v>1795.11</v>
      </c>
      <c r="Z313" s="19">
        <v>0</v>
      </c>
      <c r="AA313" s="19">
        <v>0</v>
      </c>
      <c r="AB313" s="19">
        <v>20158.05</v>
      </c>
      <c r="AC313" s="19">
        <v>5749.7</v>
      </c>
      <c r="AD313" s="19">
        <v>0</v>
      </c>
      <c r="AE313" s="19">
        <v>0</v>
      </c>
      <c r="AF313" s="19">
        <v>0</v>
      </c>
      <c r="AG313" s="19">
        <v>58295.23</v>
      </c>
      <c r="AH313" s="19">
        <v>0</v>
      </c>
    </row>
    <row r="314" spans="1:34" x14ac:dyDescent="0.25">
      <c r="A314" s="12" t="s">
        <v>38</v>
      </c>
      <c r="B314" s="17">
        <v>2609</v>
      </c>
      <c r="C314" s="17">
        <v>1</v>
      </c>
      <c r="D314" s="24" t="s">
        <v>347</v>
      </c>
      <c r="E314" s="18">
        <v>3355</v>
      </c>
      <c r="F314" s="17">
        <v>2000</v>
      </c>
      <c r="G314" s="18">
        <v>3970452</v>
      </c>
      <c r="H314" s="19">
        <v>18184.099999999999</v>
      </c>
      <c r="I314" s="18">
        <v>0</v>
      </c>
      <c r="J314" s="19">
        <v>0</v>
      </c>
      <c r="K314" s="19">
        <v>18184.099999999999</v>
      </c>
      <c r="L314" s="19">
        <v>18184.099999999999</v>
      </c>
      <c r="M314" s="19">
        <v>18184.099999999999</v>
      </c>
      <c r="N314" s="20">
        <v>1</v>
      </c>
      <c r="O314" s="21">
        <v>0</v>
      </c>
      <c r="P314" s="21">
        <v>0</v>
      </c>
      <c r="Q314" s="17">
        <v>0.95535506999999997</v>
      </c>
      <c r="R314" s="19">
        <v>0</v>
      </c>
      <c r="S314" s="19">
        <v>18184.099999999999</v>
      </c>
      <c r="T314" s="19">
        <v>24116.75</v>
      </c>
      <c r="U314" s="19">
        <v>42300.85</v>
      </c>
      <c r="V314" s="19">
        <v>10575.21</v>
      </c>
      <c r="W314" s="19">
        <v>25512.89</v>
      </c>
      <c r="X314" s="19">
        <v>1264.56</v>
      </c>
      <c r="Y314" s="19">
        <v>27188.89</v>
      </c>
      <c r="Z314" s="19">
        <v>8754.92</v>
      </c>
      <c r="AA314" s="19">
        <v>0</v>
      </c>
      <c r="AB314" s="19">
        <v>-5929.94</v>
      </c>
      <c r="AC314" s="19">
        <v>12250.79</v>
      </c>
      <c r="AD314" s="19">
        <v>1675.58</v>
      </c>
      <c r="AE314" s="19">
        <v>1675.58</v>
      </c>
      <c r="AF314" s="19">
        <v>0</v>
      </c>
      <c r="AG314" s="19">
        <v>16508.52</v>
      </c>
      <c r="AH314" s="19">
        <v>0</v>
      </c>
    </row>
    <row r="315" spans="1:34" x14ac:dyDescent="0.25">
      <c r="A315" s="12" t="s">
        <v>38</v>
      </c>
      <c r="B315" s="17">
        <v>2683</v>
      </c>
      <c r="C315" s="17">
        <v>1</v>
      </c>
      <c r="D315" s="24" t="s">
        <v>348</v>
      </c>
      <c r="E315" s="18">
        <v>2887</v>
      </c>
      <c r="F315" s="17">
        <v>2000</v>
      </c>
      <c r="G315" s="18">
        <v>2388460</v>
      </c>
      <c r="H315" s="19">
        <v>15647.54</v>
      </c>
      <c r="I315" s="18">
        <v>0</v>
      </c>
      <c r="J315" s="19">
        <v>0</v>
      </c>
      <c r="K315" s="19">
        <v>15647.54</v>
      </c>
      <c r="L315" s="19">
        <v>15647.54</v>
      </c>
      <c r="M315" s="19">
        <v>15647.54</v>
      </c>
      <c r="N315" s="20">
        <v>1</v>
      </c>
      <c r="O315" s="21">
        <v>0</v>
      </c>
      <c r="P315" s="21">
        <v>0</v>
      </c>
      <c r="Q315" s="17">
        <v>0.95535506999999997</v>
      </c>
      <c r="R315" s="19">
        <v>0</v>
      </c>
      <c r="S315" s="19">
        <v>15647.54</v>
      </c>
      <c r="T315" s="19">
        <v>11085.87</v>
      </c>
      <c r="U315" s="19">
        <v>26733.41</v>
      </c>
      <c r="V315" s="19">
        <v>6683.35</v>
      </c>
      <c r="W315" s="19">
        <v>-0.08</v>
      </c>
      <c r="X315" s="19">
        <v>0</v>
      </c>
      <c r="Y315" s="19">
        <v>85.84</v>
      </c>
      <c r="Z315" s="19">
        <v>0</v>
      </c>
      <c r="AA315" s="19">
        <v>0</v>
      </c>
      <c r="AB315" s="19">
        <v>-2362.5</v>
      </c>
      <c r="AC315" s="19">
        <v>-758.91</v>
      </c>
      <c r="AD315" s="19">
        <v>0</v>
      </c>
      <c r="AE315" s="19">
        <v>0</v>
      </c>
      <c r="AF315" s="19">
        <v>0</v>
      </c>
      <c r="AG315" s="19">
        <v>15647.54</v>
      </c>
      <c r="AH315" s="19">
        <v>0</v>
      </c>
    </row>
    <row r="316" spans="1:34" x14ac:dyDescent="0.25">
      <c r="A316" s="12" t="s">
        <v>38</v>
      </c>
      <c r="B316" s="17">
        <v>2687</v>
      </c>
      <c r="C316" s="17">
        <v>1</v>
      </c>
      <c r="D316" s="24" t="s">
        <v>349</v>
      </c>
      <c r="E316" s="18">
        <v>8610</v>
      </c>
      <c r="F316" s="17">
        <v>2009</v>
      </c>
      <c r="G316" s="18">
        <v>10554298</v>
      </c>
      <c r="H316" s="19">
        <v>46666.2</v>
      </c>
      <c r="I316" s="18">
        <v>8610</v>
      </c>
      <c r="J316" s="19">
        <v>15928.5</v>
      </c>
      <c r="K316" s="19">
        <v>71204.7</v>
      </c>
      <c r="L316" s="19">
        <v>71204.7</v>
      </c>
      <c r="M316" s="19">
        <v>71204.7</v>
      </c>
      <c r="N316" s="20">
        <v>1</v>
      </c>
      <c r="O316" s="21">
        <v>0</v>
      </c>
      <c r="P316" s="21">
        <v>0</v>
      </c>
      <c r="Q316" s="17">
        <v>0.95535506999999997</v>
      </c>
      <c r="R316" s="19">
        <v>0</v>
      </c>
      <c r="S316" s="19">
        <v>69484.539999999994</v>
      </c>
      <c r="T316" s="19">
        <v>336995.96</v>
      </c>
      <c r="U316" s="19">
        <v>406480.5</v>
      </c>
      <c r="V316" s="19">
        <v>101620.13</v>
      </c>
      <c r="W316" s="19">
        <v>54753.71</v>
      </c>
      <c r="X316" s="19">
        <v>0</v>
      </c>
      <c r="Y316" s="19">
        <v>72893.5</v>
      </c>
      <c r="Z316" s="19">
        <v>0</v>
      </c>
      <c r="AA316" s="19">
        <v>0</v>
      </c>
      <c r="AB316" s="19">
        <v>102550.62</v>
      </c>
      <c r="AC316" s="19">
        <v>76732.61</v>
      </c>
      <c r="AD316" s="19">
        <v>0</v>
      </c>
      <c r="AE316" s="19">
        <v>0</v>
      </c>
      <c r="AF316" s="19">
        <v>0</v>
      </c>
      <c r="AG316" s="19">
        <v>71204.7</v>
      </c>
      <c r="AH316" s="19">
        <v>0</v>
      </c>
    </row>
    <row r="317" spans="1:34" x14ac:dyDescent="0.25">
      <c r="A317" s="12" t="s">
        <v>38</v>
      </c>
      <c r="B317" s="17">
        <v>2689</v>
      </c>
      <c r="C317" s="17">
        <v>1</v>
      </c>
      <c r="D317" s="24" t="s">
        <v>350</v>
      </c>
      <c r="E317" s="18">
        <v>8080</v>
      </c>
      <c r="F317" s="17">
        <v>2000</v>
      </c>
      <c r="G317" s="18">
        <v>10132600</v>
      </c>
      <c r="H317" s="19">
        <v>43793.599999999999</v>
      </c>
      <c r="I317" s="18">
        <v>8080</v>
      </c>
      <c r="J317" s="19">
        <v>14948</v>
      </c>
      <c r="K317" s="19">
        <v>66821.600000000006</v>
      </c>
      <c r="L317" s="19">
        <v>66821.600000000006</v>
      </c>
      <c r="M317" s="19">
        <v>66821.600000000006</v>
      </c>
      <c r="N317" s="20">
        <v>1</v>
      </c>
      <c r="O317" s="21">
        <v>0</v>
      </c>
      <c r="P317" s="21">
        <v>0</v>
      </c>
      <c r="Q317" s="17">
        <v>0.95535506999999997</v>
      </c>
      <c r="R317" s="19">
        <v>0</v>
      </c>
      <c r="S317" s="19">
        <v>66821.600000000006</v>
      </c>
      <c r="T317" s="19">
        <v>153057.54</v>
      </c>
      <c r="U317" s="19">
        <v>219879.14</v>
      </c>
      <c r="V317" s="19">
        <v>54969.79</v>
      </c>
      <c r="W317" s="19">
        <v>80372.55</v>
      </c>
      <c r="X317" s="19">
        <v>0</v>
      </c>
      <c r="Y317" s="19">
        <v>46663.5</v>
      </c>
      <c r="Z317" s="19">
        <v>18002.490000000002</v>
      </c>
      <c r="AA317" s="19">
        <v>0</v>
      </c>
      <c r="AB317" s="19">
        <v>48475.51</v>
      </c>
      <c r="AC317" s="19">
        <v>52503.02</v>
      </c>
      <c r="AD317" s="19">
        <v>0</v>
      </c>
      <c r="AE317" s="19">
        <v>0</v>
      </c>
      <c r="AF317" s="19">
        <v>0</v>
      </c>
      <c r="AG317" s="19">
        <v>66821.600000000006</v>
      </c>
      <c r="AH317" s="19">
        <v>0</v>
      </c>
    </row>
    <row r="318" spans="1:34" x14ac:dyDescent="0.25">
      <c r="A318" s="12" t="s">
        <v>38</v>
      </c>
      <c r="B318" s="17">
        <v>2711</v>
      </c>
      <c r="C318" s="17">
        <v>1</v>
      </c>
      <c r="D318" s="24" t="s">
        <v>351</v>
      </c>
      <c r="E318" s="18">
        <v>7926</v>
      </c>
      <c r="F318" s="17">
        <v>2000</v>
      </c>
      <c r="G318" s="18">
        <v>7540877</v>
      </c>
      <c r="H318" s="19">
        <v>42958.92</v>
      </c>
      <c r="I318" s="18">
        <v>7926</v>
      </c>
      <c r="J318" s="19">
        <v>14663.1</v>
      </c>
      <c r="K318" s="19">
        <v>65548.02</v>
      </c>
      <c r="L318" s="19">
        <v>65548.02</v>
      </c>
      <c r="M318" s="19">
        <v>65548.02</v>
      </c>
      <c r="N318" s="20">
        <v>1</v>
      </c>
      <c r="O318" s="21">
        <v>0</v>
      </c>
      <c r="P318" s="21">
        <v>0</v>
      </c>
      <c r="Q318" s="17">
        <v>0.95535506999999997</v>
      </c>
      <c r="R318" s="19">
        <v>0</v>
      </c>
      <c r="S318" s="19">
        <v>65548.02</v>
      </c>
      <c r="T318" s="19">
        <v>25706.62</v>
      </c>
      <c r="U318" s="19">
        <v>91254.64</v>
      </c>
      <c r="V318" s="19">
        <v>22813.66</v>
      </c>
      <c r="W318" s="19">
        <v>10455.57</v>
      </c>
      <c r="X318" s="19">
        <v>0</v>
      </c>
      <c r="Y318" s="19">
        <v>5809.31</v>
      </c>
      <c r="Z318" s="19">
        <v>0</v>
      </c>
      <c r="AA318" s="19">
        <v>0</v>
      </c>
      <c r="AB318" s="19">
        <v>13908.96</v>
      </c>
      <c r="AC318" s="19">
        <v>10057.950000000001</v>
      </c>
      <c r="AD318" s="19">
        <v>0</v>
      </c>
      <c r="AE318" s="19">
        <v>0</v>
      </c>
      <c r="AF318" s="19">
        <v>0</v>
      </c>
      <c r="AG318" s="19">
        <v>65548.02</v>
      </c>
      <c r="AH318" s="19">
        <v>0</v>
      </c>
    </row>
    <row r="319" spans="1:34" x14ac:dyDescent="0.25">
      <c r="A319" s="12" t="s">
        <v>38</v>
      </c>
      <c r="B319" s="17">
        <v>2752</v>
      </c>
      <c r="C319" s="17">
        <v>1</v>
      </c>
      <c r="D319" s="24" t="s">
        <v>352</v>
      </c>
      <c r="E319" s="18">
        <v>13220</v>
      </c>
      <c r="F319" s="17">
        <v>2000</v>
      </c>
      <c r="G319" s="18">
        <v>11326689</v>
      </c>
      <c r="H319" s="19">
        <v>71652.399999999994</v>
      </c>
      <c r="I319" s="18">
        <v>13220</v>
      </c>
      <c r="J319" s="19">
        <v>19884.599999999999</v>
      </c>
      <c r="K319" s="19">
        <v>104757</v>
      </c>
      <c r="L319" s="19">
        <v>101940.2</v>
      </c>
      <c r="M319" s="19">
        <v>101940.2</v>
      </c>
      <c r="N319" s="20">
        <v>1</v>
      </c>
      <c r="O319" s="21">
        <v>2816.8</v>
      </c>
      <c r="P319" s="21">
        <v>2816.8</v>
      </c>
      <c r="Q319" s="17">
        <v>0.95535506999999997</v>
      </c>
      <c r="R319" s="19">
        <v>2691.04</v>
      </c>
      <c r="S319" s="19">
        <v>104757</v>
      </c>
      <c r="T319" s="19">
        <v>116027.92</v>
      </c>
      <c r="U319" s="19">
        <v>220784.92</v>
      </c>
      <c r="V319" s="19">
        <v>55196.23</v>
      </c>
      <c r="W319" s="19">
        <v>68311.350000000006</v>
      </c>
      <c r="X319" s="19">
        <v>0</v>
      </c>
      <c r="Y319" s="19">
        <v>75765.73</v>
      </c>
      <c r="Z319" s="19">
        <v>3781.55</v>
      </c>
      <c r="AA319" s="19">
        <v>0</v>
      </c>
      <c r="AB319" s="19">
        <v>60454.95</v>
      </c>
      <c r="AC319" s="19">
        <v>66916.83</v>
      </c>
      <c r="AD319" s="19">
        <v>11720.6</v>
      </c>
      <c r="AE319" s="19">
        <v>11405.45</v>
      </c>
      <c r="AF319" s="19">
        <v>315.14999999999998</v>
      </c>
      <c r="AG319" s="19">
        <v>90534.75</v>
      </c>
      <c r="AH319" s="19">
        <v>2501.65</v>
      </c>
    </row>
    <row r="320" spans="1:34" x14ac:dyDescent="0.25">
      <c r="A320" s="12" t="s">
        <v>38</v>
      </c>
      <c r="B320" s="17">
        <v>2753</v>
      </c>
      <c r="C320" s="17">
        <v>1</v>
      </c>
      <c r="D320" s="24" t="s">
        <v>353</v>
      </c>
      <c r="E320" s="18">
        <v>8173</v>
      </c>
      <c r="F320" s="17">
        <v>2000</v>
      </c>
      <c r="G320" s="18">
        <v>7308962</v>
      </c>
      <c r="H320" s="19">
        <v>44297.66</v>
      </c>
      <c r="I320" s="18">
        <v>8173</v>
      </c>
      <c r="J320" s="19">
        <v>15120.05</v>
      </c>
      <c r="K320" s="19">
        <v>67590.710000000006</v>
      </c>
      <c r="L320" s="19">
        <v>65780.66</v>
      </c>
      <c r="M320" s="19">
        <v>65780.66</v>
      </c>
      <c r="N320" s="20">
        <v>1</v>
      </c>
      <c r="O320" s="21">
        <v>1810.05</v>
      </c>
      <c r="P320" s="21">
        <v>1810.05</v>
      </c>
      <c r="Q320" s="17">
        <v>0.95535506999999997</v>
      </c>
      <c r="R320" s="19">
        <v>1729.24</v>
      </c>
      <c r="S320" s="19">
        <v>67590.710000000006</v>
      </c>
      <c r="T320" s="19">
        <v>327529.12</v>
      </c>
      <c r="U320" s="19">
        <v>395119.83</v>
      </c>
      <c r="V320" s="19">
        <v>98779.96</v>
      </c>
      <c r="W320" s="19">
        <v>-45392.11</v>
      </c>
      <c r="X320" s="19">
        <v>0</v>
      </c>
      <c r="Y320" s="19">
        <v>-14589.44</v>
      </c>
      <c r="Z320" s="19">
        <v>0</v>
      </c>
      <c r="AA320" s="19">
        <v>0</v>
      </c>
      <c r="AB320" s="19">
        <v>-18695.27</v>
      </c>
      <c r="AC320" s="19">
        <v>-26225.61</v>
      </c>
      <c r="AD320" s="19">
        <v>0</v>
      </c>
      <c r="AE320" s="19">
        <v>0</v>
      </c>
      <c r="AF320" s="19">
        <v>0</v>
      </c>
      <c r="AG320" s="19">
        <v>65780.66</v>
      </c>
      <c r="AH320" s="19">
        <v>1810.05</v>
      </c>
    </row>
    <row r="321" spans="1:34" x14ac:dyDescent="0.25">
      <c r="A321" s="12" t="s">
        <v>38</v>
      </c>
      <c r="B321" s="17">
        <v>2754</v>
      </c>
      <c r="C321" s="17">
        <v>1</v>
      </c>
      <c r="D321" s="24" t="s">
        <v>354</v>
      </c>
      <c r="E321" s="18">
        <v>2665</v>
      </c>
      <c r="F321" s="17">
        <v>2000</v>
      </c>
      <c r="G321" s="18">
        <v>4300523</v>
      </c>
      <c r="H321" s="19">
        <v>14444.3</v>
      </c>
      <c r="I321" s="18">
        <v>2665</v>
      </c>
      <c r="J321" s="19">
        <v>4930.25</v>
      </c>
      <c r="K321" s="19">
        <v>22039.55</v>
      </c>
      <c r="L321" s="19">
        <v>22039.55</v>
      </c>
      <c r="M321" s="19">
        <v>22039.55</v>
      </c>
      <c r="N321" s="20">
        <v>1</v>
      </c>
      <c r="O321" s="21">
        <v>0</v>
      </c>
      <c r="P321" s="21">
        <v>0</v>
      </c>
      <c r="Q321" s="17">
        <v>0.95535506999999997</v>
      </c>
      <c r="R321" s="19">
        <v>0</v>
      </c>
      <c r="S321" s="19">
        <v>22039.55</v>
      </c>
      <c r="T321" s="19">
        <v>18619.71</v>
      </c>
      <c r="U321" s="19">
        <v>40659.26</v>
      </c>
      <c r="V321" s="19">
        <v>10164.82</v>
      </c>
      <c r="W321" s="19">
        <v>5231.25</v>
      </c>
      <c r="X321" s="19">
        <v>0</v>
      </c>
      <c r="Y321" s="19">
        <v>4100.93</v>
      </c>
      <c r="Z321" s="19">
        <v>0</v>
      </c>
      <c r="AA321" s="19">
        <v>0</v>
      </c>
      <c r="AB321" s="19">
        <v>3197.92</v>
      </c>
      <c r="AC321" s="19">
        <v>4176.7</v>
      </c>
      <c r="AD321" s="19">
        <v>0</v>
      </c>
      <c r="AE321" s="19">
        <v>0</v>
      </c>
      <c r="AF321" s="19">
        <v>0</v>
      </c>
      <c r="AG321" s="19">
        <v>22039.55</v>
      </c>
      <c r="AH321" s="19">
        <v>0</v>
      </c>
    </row>
    <row r="322" spans="1:34" x14ac:dyDescent="0.25">
      <c r="A322" s="12" t="s">
        <v>38</v>
      </c>
      <c r="B322" s="17">
        <v>2759</v>
      </c>
      <c r="C322" s="17">
        <v>1</v>
      </c>
      <c r="D322" s="24" t="s">
        <v>355</v>
      </c>
      <c r="E322" s="18">
        <v>2881</v>
      </c>
      <c r="F322" s="17">
        <v>2000</v>
      </c>
      <c r="G322" s="18">
        <v>1898296</v>
      </c>
      <c r="H322" s="19">
        <v>15615.02</v>
      </c>
      <c r="I322" s="18">
        <v>2881</v>
      </c>
      <c r="J322" s="19">
        <v>5329.85</v>
      </c>
      <c r="K322" s="19">
        <v>23825.87</v>
      </c>
      <c r="L322" s="19">
        <v>17084.66</v>
      </c>
      <c r="M322" s="19">
        <v>17084.66</v>
      </c>
      <c r="N322" s="20">
        <v>1</v>
      </c>
      <c r="O322" s="21">
        <v>6741.21</v>
      </c>
      <c r="P322" s="21">
        <v>6741.21</v>
      </c>
      <c r="Q322" s="17">
        <v>0.95535506999999997</v>
      </c>
      <c r="R322" s="19">
        <v>6440.25</v>
      </c>
      <c r="S322" s="19">
        <v>23825.87</v>
      </c>
      <c r="T322" s="19">
        <v>9687.6299999999992</v>
      </c>
      <c r="U322" s="19">
        <v>33513.5</v>
      </c>
      <c r="V322" s="19">
        <v>8378.3799999999992</v>
      </c>
      <c r="W322" s="19">
        <v>7169.59</v>
      </c>
      <c r="X322" s="19">
        <v>0</v>
      </c>
      <c r="Y322" s="19">
        <v>5338.31</v>
      </c>
      <c r="Z322" s="19">
        <v>0</v>
      </c>
      <c r="AA322" s="19">
        <v>0</v>
      </c>
      <c r="AB322" s="19">
        <v>4661.37</v>
      </c>
      <c r="AC322" s="19">
        <v>5723.09</v>
      </c>
      <c r="AD322" s="19">
        <v>0</v>
      </c>
      <c r="AE322" s="19">
        <v>0</v>
      </c>
      <c r="AF322" s="19">
        <v>0</v>
      </c>
      <c r="AG322" s="19">
        <v>17084.66</v>
      </c>
      <c r="AH322" s="19">
        <v>6741.21</v>
      </c>
    </row>
    <row r="323" spans="1:34" x14ac:dyDescent="0.25">
      <c r="A323" s="12" t="s">
        <v>38</v>
      </c>
      <c r="B323" s="17">
        <v>2805</v>
      </c>
      <c r="C323" s="17">
        <v>1</v>
      </c>
      <c r="D323" s="24" t="s">
        <v>356</v>
      </c>
      <c r="E323" s="18">
        <v>6330</v>
      </c>
      <c r="F323" s="17">
        <v>2000</v>
      </c>
      <c r="G323" s="18">
        <v>7534937</v>
      </c>
      <c r="H323" s="19">
        <v>34308.6</v>
      </c>
      <c r="I323" s="18">
        <v>6330</v>
      </c>
      <c r="J323" s="19">
        <v>11710.5</v>
      </c>
      <c r="K323" s="19">
        <v>52349.1</v>
      </c>
      <c r="L323" s="19">
        <v>52349.1</v>
      </c>
      <c r="M323" s="19">
        <v>52349.1</v>
      </c>
      <c r="N323" s="20">
        <v>1</v>
      </c>
      <c r="O323" s="21">
        <v>0</v>
      </c>
      <c r="P323" s="21">
        <v>0</v>
      </c>
      <c r="Q323" s="17">
        <v>0.95535506999999997</v>
      </c>
      <c r="R323" s="19">
        <v>0</v>
      </c>
      <c r="S323" s="19">
        <v>52349.1</v>
      </c>
      <c r="T323" s="19">
        <v>365619.86</v>
      </c>
      <c r="U323" s="19">
        <v>417968.96</v>
      </c>
      <c r="V323" s="19">
        <v>104492.24</v>
      </c>
      <c r="W323" s="19">
        <v>116541.05</v>
      </c>
      <c r="X323" s="19">
        <v>2768.76</v>
      </c>
      <c r="Y323" s="19">
        <v>135672.01</v>
      </c>
      <c r="Z323" s="19">
        <v>12136.86</v>
      </c>
      <c r="AA323" s="19">
        <v>0</v>
      </c>
      <c r="AB323" s="19">
        <v>128307.5</v>
      </c>
      <c r="AC323" s="19">
        <v>121871.65</v>
      </c>
      <c r="AD323" s="19">
        <v>17379.41</v>
      </c>
      <c r="AE323" s="19">
        <v>17379.41</v>
      </c>
      <c r="AF323" s="19">
        <v>0</v>
      </c>
      <c r="AG323" s="19">
        <v>34969.69</v>
      </c>
      <c r="AH323" s="19">
        <v>0</v>
      </c>
    </row>
    <row r="324" spans="1:34" x14ac:dyDescent="0.25">
      <c r="A324" s="12" t="s">
        <v>38</v>
      </c>
      <c r="B324" s="17">
        <v>2835</v>
      </c>
      <c r="C324" s="17">
        <v>1</v>
      </c>
      <c r="D324" s="24" t="s">
        <v>357</v>
      </c>
      <c r="E324" s="18">
        <v>5171</v>
      </c>
      <c r="F324" s="17">
        <v>2000</v>
      </c>
      <c r="G324" s="18">
        <v>6787482</v>
      </c>
      <c r="H324" s="19">
        <v>28026.82</v>
      </c>
      <c r="I324" s="18">
        <v>0</v>
      </c>
      <c r="J324" s="19">
        <v>0</v>
      </c>
      <c r="K324" s="19">
        <v>28026.82</v>
      </c>
      <c r="L324" s="19">
        <v>28026.82</v>
      </c>
      <c r="M324" s="19">
        <v>28026.82</v>
      </c>
      <c r="N324" s="20">
        <v>1</v>
      </c>
      <c r="O324" s="21">
        <v>0</v>
      </c>
      <c r="P324" s="21">
        <v>0</v>
      </c>
      <c r="Q324" s="17">
        <v>0.95535506999999997</v>
      </c>
      <c r="R324" s="19">
        <v>0</v>
      </c>
      <c r="S324" s="19">
        <v>28026.82</v>
      </c>
      <c r="T324" s="19">
        <v>41822.879999999997</v>
      </c>
      <c r="U324" s="19">
        <v>69849.7</v>
      </c>
      <c r="V324" s="19">
        <v>17462.43</v>
      </c>
      <c r="W324" s="19">
        <v>7794.43</v>
      </c>
      <c r="X324" s="19">
        <v>2586.38</v>
      </c>
      <c r="Y324" s="19">
        <v>18516.599999999999</v>
      </c>
      <c r="Z324" s="19">
        <v>2926.9</v>
      </c>
      <c r="AA324" s="19">
        <v>0</v>
      </c>
      <c r="AB324" s="19">
        <v>27067</v>
      </c>
      <c r="AC324" s="19">
        <v>15954.92</v>
      </c>
      <c r="AD324" s="19">
        <v>0</v>
      </c>
      <c r="AE324" s="19">
        <v>0</v>
      </c>
      <c r="AF324" s="19">
        <v>0</v>
      </c>
      <c r="AG324" s="19">
        <v>28026.82</v>
      </c>
      <c r="AH324" s="19">
        <v>0</v>
      </c>
    </row>
    <row r="325" spans="1:34" x14ac:dyDescent="0.25">
      <c r="A325" s="12" t="s">
        <v>38</v>
      </c>
      <c r="B325" s="17">
        <v>2853</v>
      </c>
      <c r="C325" s="17">
        <v>1</v>
      </c>
      <c r="D325" s="24" t="s">
        <v>358</v>
      </c>
      <c r="E325" s="18">
        <v>8767</v>
      </c>
      <c r="F325" s="17">
        <v>2000</v>
      </c>
      <c r="G325" s="18">
        <v>11449573</v>
      </c>
      <c r="H325" s="19">
        <v>47517.14</v>
      </c>
      <c r="I325" s="18">
        <v>8767</v>
      </c>
      <c r="J325" s="19">
        <v>16218.95</v>
      </c>
      <c r="K325" s="19">
        <v>72503.09</v>
      </c>
      <c r="L325" s="19">
        <v>72503.09</v>
      </c>
      <c r="M325" s="19">
        <v>72503.09</v>
      </c>
      <c r="N325" s="20">
        <v>1</v>
      </c>
      <c r="O325" s="21">
        <v>0</v>
      </c>
      <c r="P325" s="21">
        <v>0</v>
      </c>
      <c r="Q325" s="17">
        <v>0.95535506999999997</v>
      </c>
      <c r="R325" s="19">
        <v>0</v>
      </c>
      <c r="S325" s="19">
        <v>72503.09</v>
      </c>
      <c r="T325" s="19">
        <v>173699.03</v>
      </c>
      <c r="U325" s="19">
        <v>246202.12</v>
      </c>
      <c r="V325" s="19">
        <v>61550.53</v>
      </c>
      <c r="W325" s="19">
        <v>24453.19</v>
      </c>
      <c r="X325" s="19">
        <v>0</v>
      </c>
      <c r="Y325" s="19">
        <v>37525.919999999998</v>
      </c>
      <c r="Z325" s="19">
        <v>0</v>
      </c>
      <c r="AA325" s="19">
        <v>0</v>
      </c>
      <c r="AB325" s="19">
        <v>39970.870000000003</v>
      </c>
      <c r="AC325" s="19">
        <v>33983.33</v>
      </c>
      <c r="AD325" s="19">
        <v>0</v>
      </c>
      <c r="AE325" s="19">
        <v>0</v>
      </c>
      <c r="AF325" s="19">
        <v>0</v>
      </c>
      <c r="AG325" s="19">
        <v>72503.09</v>
      </c>
      <c r="AH325" s="19">
        <v>0</v>
      </c>
    </row>
    <row r="326" spans="1:34" x14ac:dyDescent="0.25">
      <c r="A326" s="12" t="s">
        <v>38</v>
      </c>
      <c r="B326" s="17">
        <v>2854</v>
      </c>
      <c r="C326" s="17">
        <v>1</v>
      </c>
      <c r="D326" s="24" t="s">
        <v>359</v>
      </c>
      <c r="E326" s="18">
        <v>2729</v>
      </c>
      <c r="F326" s="17">
        <v>2000</v>
      </c>
      <c r="G326" s="18">
        <v>3615471</v>
      </c>
      <c r="H326" s="19">
        <v>14791.18</v>
      </c>
      <c r="I326" s="18">
        <v>0</v>
      </c>
      <c r="J326" s="19">
        <v>0</v>
      </c>
      <c r="K326" s="19">
        <v>14791.18</v>
      </c>
      <c r="L326" s="19">
        <v>14791.18</v>
      </c>
      <c r="M326" s="19">
        <v>14791.18</v>
      </c>
      <c r="N326" s="20">
        <v>1</v>
      </c>
      <c r="O326" s="21">
        <v>0</v>
      </c>
      <c r="P326" s="21">
        <v>0</v>
      </c>
      <c r="Q326" s="17">
        <v>0.95535506999999997</v>
      </c>
      <c r="R326" s="19">
        <v>0</v>
      </c>
      <c r="S326" s="19">
        <v>19839.830000000002</v>
      </c>
      <c r="T326" s="19">
        <v>60387.31</v>
      </c>
      <c r="U326" s="19">
        <v>80227.14</v>
      </c>
      <c r="V326" s="19">
        <v>20056.79</v>
      </c>
      <c r="W326" s="19">
        <v>-0.01</v>
      </c>
      <c r="X326" s="19">
        <v>0</v>
      </c>
      <c r="Y326" s="19">
        <v>-0.01</v>
      </c>
      <c r="Z326" s="19">
        <v>0</v>
      </c>
      <c r="AA326" s="19">
        <v>0</v>
      </c>
      <c r="AB326" s="19">
        <v>596.35</v>
      </c>
      <c r="AC326" s="19">
        <v>198.78</v>
      </c>
      <c r="AD326" s="19">
        <v>0</v>
      </c>
      <c r="AE326" s="19">
        <v>0</v>
      </c>
      <c r="AF326" s="19">
        <v>0</v>
      </c>
      <c r="AG326" s="19">
        <v>14791.18</v>
      </c>
      <c r="AH326" s="19">
        <v>0</v>
      </c>
    </row>
    <row r="327" spans="1:34" x14ac:dyDescent="0.25">
      <c r="A327" s="12" t="s">
        <v>38</v>
      </c>
      <c r="B327" s="17">
        <v>2856</v>
      </c>
      <c r="C327" s="17">
        <v>1</v>
      </c>
      <c r="D327" s="24" t="s">
        <v>360</v>
      </c>
      <c r="E327" s="18">
        <v>2228</v>
      </c>
      <c r="F327" s="17">
        <v>2000</v>
      </c>
      <c r="G327" s="18">
        <v>3431918</v>
      </c>
      <c r="H327" s="19">
        <v>12075.76</v>
      </c>
      <c r="I327" s="18">
        <v>2228</v>
      </c>
      <c r="J327" s="19">
        <v>4121.8</v>
      </c>
      <c r="K327" s="19">
        <v>18425.560000000001</v>
      </c>
      <c r="L327" s="19">
        <v>18425.560000000001</v>
      </c>
      <c r="M327" s="19">
        <v>18425.560000000001</v>
      </c>
      <c r="N327" s="20">
        <v>1</v>
      </c>
      <c r="O327" s="21">
        <v>0</v>
      </c>
      <c r="P327" s="21">
        <v>0</v>
      </c>
      <c r="Q327" s="17">
        <v>0.95535506999999997</v>
      </c>
      <c r="R327" s="19">
        <v>0</v>
      </c>
      <c r="S327" s="19">
        <v>18425.560000000001</v>
      </c>
      <c r="T327" s="19">
        <v>30364</v>
      </c>
      <c r="U327" s="19">
        <v>48789.56</v>
      </c>
      <c r="V327" s="19">
        <v>12197.39</v>
      </c>
      <c r="W327" s="19">
        <v>1117.46</v>
      </c>
      <c r="X327" s="19">
        <v>0</v>
      </c>
      <c r="Y327" s="19">
        <v>100</v>
      </c>
      <c r="Z327" s="19">
        <v>0</v>
      </c>
      <c r="AA327" s="19">
        <v>0</v>
      </c>
      <c r="AB327" s="19">
        <v>0.64</v>
      </c>
      <c r="AC327" s="19">
        <v>406.03</v>
      </c>
      <c r="AD327" s="19">
        <v>0</v>
      </c>
      <c r="AE327" s="19">
        <v>0</v>
      </c>
      <c r="AF327" s="19">
        <v>0</v>
      </c>
      <c r="AG327" s="19">
        <v>18425.560000000001</v>
      </c>
      <c r="AH327" s="19">
        <v>0</v>
      </c>
    </row>
    <row r="328" spans="1:34" x14ac:dyDescent="0.25">
      <c r="A328" s="12" t="s">
        <v>38</v>
      </c>
      <c r="B328" s="17">
        <v>2859</v>
      </c>
      <c r="C328" s="17">
        <v>1</v>
      </c>
      <c r="D328" s="24" t="s">
        <v>361</v>
      </c>
      <c r="E328" s="18">
        <v>13012</v>
      </c>
      <c r="F328" s="17">
        <v>2009</v>
      </c>
      <c r="G328" s="18">
        <v>14901539</v>
      </c>
      <c r="H328" s="19">
        <v>70525.039999999994</v>
      </c>
      <c r="I328" s="18">
        <v>13012</v>
      </c>
      <c r="J328" s="19">
        <v>19795.16</v>
      </c>
      <c r="K328" s="19">
        <v>103332.2</v>
      </c>
      <c r="L328" s="19">
        <v>103332.2</v>
      </c>
      <c r="M328" s="19">
        <v>103332.2</v>
      </c>
      <c r="N328" s="20">
        <v>1</v>
      </c>
      <c r="O328" s="21">
        <v>0</v>
      </c>
      <c r="P328" s="21">
        <v>0</v>
      </c>
      <c r="Q328" s="17">
        <v>0.95535506999999997</v>
      </c>
      <c r="R328" s="19">
        <v>0</v>
      </c>
      <c r="S328" s="19">
        <v>103332.2</v>
      </c>
      <c r="T328" s="19">
        <v>380271.08</v>
      </c>
      <c r="U328" s="19">
        <v>483603.28</v>
      </c>
      <c r="V328" s="19">
        <v>120900.82</v>
      </c>
      <c r="W328" s="19">
        <v>88604.1</v>
      </c>
      <c r="X328" s="19">
        <v>5590.58</v>
      </c>
      <c r="Y328" s="19">
        <v>44930.32</v>
      </c>
      <c r="Z328" s="19">
        <v>0</v>
      </c>
      <c r="AA328" s="19">
        <v>0</v>
      </c>
      <c r="AB328" s="19">
        <v>78127.95</v>
      </c>
      <c r="AC328" s="19">
        <v>68690.600000000006</v>
      </c>
      <c r="AD328" s="19">
        <v>0</v>
      </c>
      <c r="AE328" s="19">
        <v>0</v>
      </c>
      <c r="AF328" s="19">
        <v>0</v>
      </c>
      <c r="AG328" s="19">
        <v>103332.2</v>
      </c>
      <c r="AH328" s="19">
        <v>0</v>
      </c>
    </row>
    <row r="329" spans="1:34" x14ac:dyDescent="0.25">
      <c r="A329" s="12" t="s">
        <v>38</v>
      </c>
      <c r="B329" s="17">
        <v>2860</v>
      </c>
      <c r="C329" s="17">
        <v>1</v>
      </c>
      <c r="D329" s="24" t="s">
        <v>362</v>
      </c>
      <c r="E329" s="18">
        <v>8998</v>
      </c>
      <c r="F329" s="17">
        <v>2000</v>
      </c>
      <c r="G329" s="18">
        <v>11408496</v>
      </c>
      <c r="H329" s="19">
        <v>48769.16</v>
      </c>
      <c r="I329" s="18">
        <v>8998</v>
      </c>
      <c r="J329" s="19">
        <v>16646.3</v>
      </c>
      <c r="K329" s="19">
        <v>74413.460000000006</v>
      </c>
      <c r="L329" s="19">
        <v>74413.460000000006</v>
      </c>
      <c r="M329" s="19">
        <v>74413.460000000006</v>
      </c>
      <c r="N329" s="20">
        <v>1</v>
      </c>
      <c r="O329" s="21">
        <v>0</v>
      </c>
      <c r="P329" s="21">
        <v>0</v>
      </c>
      <c r="Q329" s="17">
        <v>0.95535506999999997</v>
      </c>
      <c r="R329" s="19">
        <v>0</v>
      </c>
      <c r="S329" s="19">
        <v>74413.460000000006</v>
      </c>
      <c r="T329" s="19">
        <v>589549.53</v>
      </c>
      <c r="U329" s="19">
        <v>663962.99</v>
      </c>
      <c r="V329" s="19">
        <v>165990.75</v>
      </c>
      <c r="W329" s="19">
        <v>105430.51</v>
      </c>
      <c r="X329" s="19">
        <v>0</v>
      </c>
      <c r="Y329" s="19">
        <v>84200.16</v>
      </c>
      <c r="Z329" s="19">
        <v>0</v>
      </c>
      <c r="AA329" s="19">
        <v>0</v>
      </c>
      <c r="AB329" s="19">
        <v>116756.7</v>
      </c>
      <c r="AC329" s="19">
        <v>102129.12</v>
      </c>
      <c r="AD329" s="19">
        <v>0</v>
      </c>
      <c r="AE329" s="19">
        <v>0</v>
      </c>
      <c r="AF329" s="19">
        <v>0</v>
      </c>
      <c r="AG329" s="19">
        <v>74413.460000000006</v>
      </c>
      <c r="AH329" s="19">
        <v>0</v>
      </c>
    </row>
    <row r="330" spans="1:34" x14ac:dyDescent="0.25">
      <c r="A330" s="12" t="s">
        <v>38</v>
      </c>
      <c r="B330" s="17">
        <v>2884</v>
      </c>
      <c r="C330" s="17">
        <v>1</v>
      </c>
      <c r="D330" s="24" t="s">
        <v>363</v>
      </c>
      <c r="E330" s="18">
        <v>3801</v>
      </c>
      <c r="F330" s="17">
        <v>2000</v>
      </c>
      <c r="G330" s="18">
        <v>7282655</v>
      </c>
      <c r="H330" s="19">
        <v>20601.419999999998</v>
      </c>
      <c r="I330" s="18">
        <v>0</v>
      </c>
      <c r="J330" s="19">
        <v>0</v>
      </c>
      <c r="K330" s="19">
        <v>20601.419999999998</v>
      </c>
      <c r="L330" s="19">
        <v>20601.419999999998</v>
      </c>
      <c r="M330" s="19">
        <v>20601.419999999998</v>
      </c>
      <c r="N330" s="20">
        <v>1</v>
      </c>
      <c r="O330" s="21">
        <v>0</v>
      </c>
      <c r="P330" s="21">
        <v>0</v>
      </c>
      <c r="Q330" s="17">
        <v>0.95535506999999997</v>
      </c>
      <c r="R330" s="19">
        <v>0</v>
      </c>
      <c r="S330" s="19">
        <v>20601.419999999998</v>
      </c>
      <c r="T330" s="19">
        <v>141839.04000000001</v>
      </c>
      <c r="U330" s="19">
        <v>162440.46</v>
      </c>
      <c r="V330" s="19">
        <v>40610.120000000003</v>
      </c>
      <c r="W330" s="19">
        <v>5536.48</v>
      </c>
      <c r="X330" s="19">
        <v>0</v>
      </c>
      <c r="Y330" s="19">
        <v>7605.22</v>
      </c>
      <c r="Z330" s="19">
        <v>0</v>
      </c>
      <c r="AA330" s="19">
        <v>0</v>
      </c>
      <c r="AB330" s="19">
        <v>27772.26</v>
      </c>
      <c r="AC330" s="19">
        <v>13637.99</v>
      </c>
      <c r="AD330" s="19">
        <v>0</v>
      </c>
      <c r="AE330" s="19">
        <v>0</v>
      </c>
      <c r="AF330" s="19">
        <v>0</v>
      </c>
      <c r="AG330" s="19">
        <v>20601.419999999998</v>
      </c>
      <c r="AH330" s="19">
        <v>0</v>
      </c>
    </row>
    <row r="331" spans="1:34" x14ac:dyDescent="0.25">
      <c r="A331" s="12" t="s">
        <v>38</v>
      </c>
      <c r="B331" s="17">
        <v>2886</v>
      </c>
      <c r="C331" s="17">
        <v>1</v>
      </c>
      <c r="D331" s="24" t="s">
        <v>364</v>
      </c>
      <c r="E331" s="18">
        <v>2778</v>
      </c>
      <c r="F331" s="17">
        <v>2000</v>
      </c>
      <c r="G331" s="18">
        <v>3959467</v>
      </c>
      <c r="H331" s="19">
        <v>15056.76</v>
      </c>
      <c r="I331" s="18">
        <v>0</v>
      </c>
      <c r="J331" s="19">
        <v>0</v>
      </c>
      <c r="K331" s="19">
        <v>15056.76</v>
      </c>
      <c r="L331" s="19">
        <v>15056.76</v>
      </c>
      <c r="M331" s="19">
        <v>15056.76</v>
      </c>
      <c r="N331" s="20">
        <v>1</v>
      </c>
      <c r="O331" s="21">
        <v>0</v>
      </c>
      <c r="P331" s="21">
        <v>0</v>
      </c>
      <c r="Q331" s="17">
        <v>0.95535506999999997</v>
      </c>
      <c r="R331" s="19">
        <v>0</v>
      </c>
      <c r="S331" s="19">
        <v>20196.060000000001</v>
      </c>
      <c r="T331" s="19">
        <v>11309.17</v>
      </c>
      <c r="U331" s="19">
        <v>31505.23</v>
      </c>
      <c r="V331" s="19">
        <v>7876.31</v>
      </c>
      <c r="W331" s="19">
        <v>14099.26</v>
      </c>
      <c r="X331" s="19">
        <v>3103.48</v>
      </c>
      <c r="Y331" s="19">
        <v>24980.36</v>
      </c>
      <c r="Z331" s="19">
        <v>8187.07</v>
      </c>
      <c r="AA331" s="19">
        <v>0</v>
      </c>
      <c r="AB331" s="19">
        <v>29468.080000000002</v>
      </c>
      <c r="AC331" s="19">
        <v>19085.72</v>
      </c>
      <c r="AD331" s="19">
        <v>11209.41</v>
      </c>
      <c r="AE331" s="19">
        <v>11209.41</v>
      </c>
      <c r="AF331" s="19">
        <v>0</v>
      </c>
      <c r="AG331" s="19">
        <v>3847.35</v>
      </c>
      <c r="AH331" s="19">
        <v>0</v>
      </c>
    </row>
    <row r="332" spans="1:34" x14ac:dyDescent="0.25">
      <c r="A332" s="12" t="s">
        <v>38</v>
      </c>
      <c r="B332" s="17">
        <v>2888</v>
      </c>
      <c r="C332" s="17">
        <v>1</v>
      </c>
      <c r="D332" s="24" t="s">
        <v>365</v>
      </c>
      <c r="E332" s="18">
        <v>2949</v>
      </c>
      <c r="F332" s="17">
        <v>2000</v>
      </c>
      <c r="G332" s="18">
        <v>6136013</v>
      </c>
      <c r="H332" s="19">
        <v>15983.58</v>
      </c>
      <c r="I332" s="18">
        <v>0</v>
      </c>
      <c r="J332" s="19">
        <v>0</v>
      </c>
      <c r="K332" s="19">
        <v>15983.58</v>
      </c>
      <c r="L332" s="19">
        <v>15983.58</v>
      </c>
      <c r="M332" s="19">
        <v>15983.58</v>
      </c>
      <c r="N332" s="20">
        <v>1</v>
      </c>
      <c r="O332" s="21">
        <v>0</v>
      </c>
      <c r="P332" s="21">
        <v>0</v>
      </c>
      <c r="Q332" s="17">
        <v>0.95535506999999997</v>
      </c>
      <c r="R332" s="19">
        <v>0</v>
      </c>
      <c r="S332" s="19">
        <v>15983.58</v>
      </c>
      <c r="T332" s="19">
        <v>26402.15</v>
      </c>
      <c r="U332" s="19">
        <v>42385.73</v>
      </c>
      <c r="V332" s="19">
        <v>10596.43</v>
      </c>
      <c r="W332" s="19">
        <v>0</v>
      </c>
      <c r="X332" s="19">
        <v>0</v>
      </c>
      <c r="Y332" s="19">
        <v>-11011.25</v>
      </c>
      <c r="Z332" s="19">
        <v>0</v>
      </c>
      <c r="AA332" s="19">
        <v>0</v>
      </c>
      <c r="AB332" s="19">
        <v>-23892.82</v>
      </c>
      <c r="AC332" s="19">
        <v>-11634.69</v>
      </c>
      <c r="AD332" s="19">
        <v>0</v>
      </c>
      <c r="AE332" s="19">
        <v>0</v>
      </c>
      <c r="AF332" s="19">
        <v>0</v>
      </c>
      <c r="AG332" s="19">
        <v>15983.58</v>
      </c>
      <c r="AH332" s="19">
        <v>0</v>
      </c>
    </row>
    <row r="333" spans="1:34" x14ac:dyDescent="0.25">
      <c r="A333" s="12" t="s">
        <v>38</v>
      </c>
      <c r="B333" s="17">
        <v>2889</v>
      </c>
      <c r="C333" s="17">
        <v>1</v>
      </c>
      <c r="D333" s="24" t="s">
        <v>366</v>
      </c>
      <c r="E333" s="18">
        <v>4350</v>
      </c>
      <c r="F333" s="17">
        <v>2000</v>
      </c>
      <c r="G333" s="18">
        <v>10189247</v>
      </c>
      <c r="H333" s="19">
        <v>23577</v>
      </c>
      <c r="I333" s="18">
        <v>4350</v>
      </c>
      <c r="J333" s="19">
        <v>8047.5</v>
      </c>
      <c r="K333" s="19">
        <v>35974.5</v>
      </c>
      <c r="L333" s="19">
        <v>35974.5</v>
      </c>
      <c r="M333" s="19">
        <v>35974.5</v>
      </c>
      <c r="N333" s="20">
        <v>1</v>
      </c>
      <c r="O333" s="21">
        <v>0</v>
      </c>
      <c r="P333" s="21">
        <v>0</v>
      </c>
      <c r="Q333" s="17">
        <v>0.95535506999999997</v>
      </c>
      <c r="R333" s="19">
        <v>0</v>
      </c>
      <c r="S333" s="19">
        <v>35974.5</v>
      </c>
      <c r="T333" s="19">
        <v>41989.19</v>
      </c>
      <c r="U333" s="19">
        <v>77963.69</v>
      </c>
      <c r="V333" s="19">
        <v>19490.919999999998</v>
      </c>
      <c r="W333" s="19">
        <v>-59779.88</v>
      </c>
      <c r="X333" s="19">
        <v>0</v>
      </c>
      <c r="Y333" s="19">
        <v>-54985.33</v>
      </c>
      <c r="Z333" s="19">
        <v>0</v>
      </c>
      <c r="AA333" s="19">
        <v>0</v>
      </c>
      <c r="AB333" s="19">
        <v>-53617.35</v>
      </c>
      <c r="AC333" s="19">
        <v>-56127.519999999997</v>
      </c>
      <c r="AD333" s="19">
        <v>0</v>
      </c>
      <c r="AE333" s="19">
        <v>0</v>
      </c>
      <c r="AF333" s="19">
        <v>0</v>
      </c>
      <c r="AG333" s="19">
        <v>35974.5</v>
      </c>
      <c r="AH333" s="19">
        <v>0</v>
      </c>
    </row>
    <row r="334" spans="1:34" x14ac:dyDescent="0.25">
      <c r="A334" s="12" t="s">
        <v>38</v>
      </c>
      <c r="B334" s="17">
        <v>2890</v>
      </c>
      <c r="C334" s="17">
        <v>1</v>
      </c>
      <c r="D334" s="24" t="s">
        <v>367</v>
      </c>
      <c r="E334" s="18">
        <v>4615</v>
      </c>
      <c r="F334" s="17">
        <v>2000</v>
      </c>
      <c r="G334" s="18">
        <v>8124227</v>
      </c>
      <c r="H334" s="19">
        <v>25013.3</v>
      </c>
      <c r="I334" s="18">
        <v>4615</v>
      </c>
      <c r="J334" s="19">
        <v>8537.75</v>
      </c>
      <c r="K334" s="19">
        <v>38166.050000000003</v>
      </c>
      <c r="L334" s="19">
        <v>38166.050000000003</v>
      </c>
      <c r="M334" s="19">
        <v>38166.050000000003</v>
      </c>
      <c r="N334" s="20">
        <v>1</v>
      </c>
      <c r="O334" s="21">
        <v>0</v>
      </c>
      <c r="P334" s="21">
        <v>0</v>
      </c>
      <c r="Q334" s="17">
        <v>0.95535506999999997</v>
      </c>
      <c r="R334" s="19">
        <v>0</v>
      </c>
      <c r="S334" s="19">
        <v>38166.050000000003</v>
      </c>
      <c r="T334" s="19">
        <v>43239.88</v>
      </c>
      <c r="U334" s="19">
        <v>81405.929999999993</v>
      </c>
      <c r="V334" s="19">
        <v>20351.48</v>
      </c>
      <c r="W334" s="19">
        <v>-16361.44</v>
      </c>
      <c r="X334" s="19">
        <v>0</v>
      </c>
      <c r="Y334" s="19">
        <v>-24623.46</v>
      </c>
      <c r="Z334" s="19">
        <v>0</v>
      </c>
      <c r="AA334" s="19">
        <v>0</v>
      </c>
      <c r="AB334" s="19">
        <v>-41749.25</v>
      </c>
      <c r="AC334" s="19">
        <v>-27578.05</v>
      </c>
      <c r="AD334" s="19">
        <v>0</v>
      </c>
      <c r="AE334" s="19">
        <v>0</v>
      </c>
      <c r="AF334" s="19">
        <v>0</v>
      </c>
      <c r="AG334" s="19">
        <v>38166.050000000003</v>
      </c>
      <c r="AH334" s="19">
        <v>0</v>
      </c>
    </row>
    <row r="335" spans="1:34" x14ac:dyDescent="0.25">
      <c r="A335" s="12" t="s">
        <v>38</v>
      </c>
      <c r="B335" s="17">
        <v>2895</v>
      </c>
      <c r="C335" s="17">
        <v>1</v>
      </c>
      <c r="D335" s="24" t="s">
        <v>368</v>
      </c>
      <c r="E335" s="18">
        <v>8495</v>
      </c>
      <c r="F335" s="17">
        <v>2000</v>
      </c>
      <c r="G335" s="18">
        <v>12149393</v>
      </c>
      <c r="H335" s="19">
        <v>46042.9</v>
      </c>
      <c r="I335" s="18">
        <v>8495</v>
      </c>
      <c r="J335" s="19">
        <v>15715.75</v>
      </c>
      <c r="K335" s="19">
        <v>70253.649999999994</v>
      </c>
      <c r="L335" s="19">
        <v>70253.649999999994</v>
      </c>
      <c r="M335" s="19">
        <v>70253.649999999994</v>
      </c>
      <c r="N335" s="20">
        <v>1</v>
      </c>
      <c r="O335" s="21">
        <v>0</v>
      </c>
      <c r="P335" s="21">
        <v>0</v>
      </c>
      <c r="Q335" s="17">
        <v>0.95535506999999997</v>
      </c>
      <c r="R335" s="19">
        <v>0</v>
      </c>
      <c r="S335" s="19">
        <v>70253.649999999994</v>
      </c>
      <c r="T335" s="19">
        <v>305788.32</v>
      </c>
      <c r="U335" s="19">
        <v>376041.97</v>
      </c>
      <c r="V335" s="19">
        <v>94010.49</v>
      </c>
      <c r="W335" s="19">
        <v>-56173.89</v>
      </c>
      <c r="X335" s="19">
        <v>0</v>
      </c>
      <c r="Y335" s="19">
        <v>-56814.78</v>
      </c>
      <c r="Z335" s="19">
        <v>0</v>
      </c>
      <c r="AA335" s="19">
        <v>0</v>
      </c>
      <c r="AB335" s="19">
        <v>-44569.31</v>
      </c>
      <c r="AC335" s="19">
        <v>-52519.33</v>
      </c>
      <c r="AD335" s="19">
        <v>0</v>
      </c>
      <c r="AE335" s="19">
        <v>0</v>
      </c>
      <c r="AF335" s="19">
        <v>0</v>
      </c>
      <c r="AG335" s="19">
        <v>70253.649999999994</v>
      </c>
      <c r="AH335" s="19">
        <v>0</v>
      </c>
    </row>
    <row r="336" spans="1:34" x14ac:dyDescent="0.25">
      <c r="A336" s="12" t="s">
        <v>38</v>
      </c>
      <c r="B336" s="17">
        <v>2897</v>
      </c>
      <c r="C336" s="17">
        <v>1</v>
      </c>
      <c r="D336" s="24" t="s">
        <v>369</v>
      </c>
      <c r="E336" s="18">
        <v>8814</v>
      </c>
      <c r="F336" s="17">
        <v>2000</v>
      </c>
      <c r="G336" s="18">
        <v>8024205</v>
      </c>
      <c r="H336" s="19">
        <v>47771.88</v>
      </c>
      <c r="I336" s="18">
        <v>8814</v>
      </c>
      <c r="J336" s="19">
        <v>16305.9</v>
      </c>
      <c r="K336" s="19">
        <v>72891.78</v>
      </c>
      <c r="L336" s="19">
        <v>72217.850000000006</v>
      </c>
      <c r="M336" s="19">
        <v>72217.850000000006</v>
      </c>
      <c r="N336" s="20">
        <v>1</v>
      </c>
      <c r="O336" s="21">
        <v>673.93</v>
      </c>
      <c r="P336" s="21">
        <v>673.93</v>
      </c>
      <c r="Q336" s="17">
        <v>0.95535506999999997</v>
      </c>
      <c r="R336" s="19">
        <v>643.84</v>
      </c>
      <c r="S336" s="19">
        <v>72891.78</v>
      </c>
      <c r="T336" s="19">
        <v>85472.7</v>
      </c>
      <c r="U336" s="19">
        <v>158364.48000000001</v>
      </c>
      <c r="V336" s="19">
        <v>39591.120000000003</v>
      </c>
      <c r="W336" s="19">
        <v>-6026.87</v>
      </c>
      <c r="X336" s="19">
        <v>0</v>
      </c>
      <c r="Y336" s="19">
        <v>-1013.1</v>
      </c>
      <c r="Z336" s="19">
        <v>0</v>
      </c>
      <c r="AA336" s="19">
        <v>0</v>
      </c>
      <c r="AB336" s="19">
        <v>9750.99</v>
      </c>
      <c r="AC336" s="19">
        <v>903.67</v>
      </c>
      <c r="AD336" s="19">
        <v>0</v>
      </c>
      <c r="AE336" s="19">
        <v>0</v>
      </c>
      <c r="AF336" s="19">
        <v>0</v>
      </c>
      <c r="AG336" s="19">
        <v>72217.850000000006</v>
      </c>
      <c r="AH336" s="19">
        <v>673.93</v>
      </c>
    </row>
    <row r="337" spans="1:34" x14ac:dyDescent="0.25">
      <c r="A337" s="12" t="s">
        <v>38</v>
      </c>
      <c r="B337" s="17">
        <v>2898</v>
      </c>
      <c r="C337" s="17">
        <v>1</v>
      </c>
      <c r="D337" s="24" t="s">
        <v>370</v>
      </c>
      <c r="E337" s="18">
        <v>2932</v>
      </c>
      <c r="F337" s="17">
        <v>2000</v>
      </c>
      <c r="G337" s="18">
        <v>5535597</v>
      </c>
      <c r="H337" s="19">
        <v>15891.44</v>
      </c>
      <c r="I337" s="18">
        <v>0</v>
      </c>
      <c r="J337" s="19">
        <v>5424.2</v>
      </c>
      <c r="K337" s="19">
        <v>21315.64</v>
      </c>
      <c r="L337" s="19">
        <v>21315.64</v>
      </c>
      <c r="M337" s="19">
        <v>21315.64</v>
      </c>
      <c r="N337" s="20">
        <v>1</v>
      </c>
      <c r="O337" s="21">
        <v>0</v>
      </c>
      <c r="P337" s="21">
        <v>0</v>
      </c>
      <c r="Q337" s="17">
        <v>0.95535506999999997</v>
      </c>
      <c r="R337" s="19">
        <v>0</v>
      </c>
      <c r="S337" s="19">
        <v>21315.64</v>
      </c>
      <c r="T337" s="19">
        <v>81703.649999999994</v>
      </c>
      <c r="U337" s="19">
        <v>103019.29</v>
      </c>
      <c r="V337" s="19">
        <v>25754.82</v>
      </c>
      <c r="W337" s="19">
        <v>0</v>
      </c>
      <c r="X337" s="19">
        <v>0</v>
      </c>
      <c r="Y337" s="19">
        <v>2621</v>
      </c>
      <c r="Z337" s="19">
        <v>0</v>
      </c>
      <c r="AA337" s="19">
        <v>0</v>
      </c>
      <c r="AB337" s="19">
        <v>1265.1199999999999</v>
      </c>
      <c r="AC337" s="19">
        <v>1295.3699999999999</v>
      </c>
      <c r="AD337" s="19">
        <v>0</v>
      </c>
      <c r="AE337" s="19">
        <v>0</v>
      </c>
      <c r="AF337" s="19">
        <v>0</v>
      </c>
      <c r="AG337" s="19">
        <v>21315.64</v>
      </c>
      <c r="AH337" s="19">
        <v>0</v>
      </c>
    </row>
    <row r="338" spans="1:34" x14ac:dyDescent="0.25">
      <c r="A338" s="12" t="s">
        <v>38</v>
      </c>
      <c r="B338" s="17">
        <v>2899</v>
      </c>
      <c r="C338" s="17">
        <v>1</v>
      </c>
      <c r="D338" s="24" t="s">
        <v>371</v>
      </c>
      <c r="E338" s="18">
        <v>7754</v>
      </c>
      <c r="F338" s="17">
        <v>2000</v>
      </c>
      <c r="G338" s="18">
        <v>8596105</v>
      </c>
      <c r="H338" s="19">
        <v>42026.68</v>
      </c>
      <c r="I338" s="18">
        <v>7754</v>
      </c>
      <c r="J338" s="19">
        <v>14344.9</v>
      </c>
      <c r="K338" s="19">
        <v>64125.58</v>
      </c>
      <c r="L338" s="19">
        <v>64125.58</v>
      </c>
      <c r="M338" s="19">
        <v>64125.58</v>
      </c>
      <c r="N338" s="20">
        <v>1</v>
      </c>
      <c r="O338" s="21">
        <v>0</v>
      </c>
      <c r="P338" s="21">
        <v>0</v>
      </c>
      <c r="Q338" s="17">
        <v>0.95535506999999997</v>
      </c>
      <c r="R338" s="19">
        <v>0</v>
      </c>
      <c r="S338" s="19">
        <v>64125.58</v>
      </c>
      <c r="T338" s="19">
        <v>252020.68</v>
      </c>
      <c r="U338" s="19">
        <v>316146.26</v>
      </c>
      <c r="V338" s="19">
        <v>79036.570000000007</v>
      </c>
      <c r="W338" s="19">
        <v>113902.47</v>
      </c>
      <c r="X338" s="19">
        <v>0</v>
      </c>
      <c r="Y338" s="19">
        <v>94357.49</v>
      </c>
      <c r="Z338" s="19">
        <v>17711.39</v>
      </c>
      <c r="AA338" s="19">
        <v>0</v>
      </c>
      <c r="AB338" s="19">
        <v>79315.48</v>
      </c>
      <c r="AC338" s="19">
        <v>89954.68</v>
      </c>
      <c r="AD338" s="19">
        <v>10918.11</v>
      </c>
      <c r="AE338" s="19">
        <v>10918.11</v>
      </c>
      <c r="AF338" s="19">
        <v>0</v>
      </c>
      <c r="AG338" s="19">
        <v>53207.47</v>
      </c>
      <c r="AH338" s="19">
        <v>0</v>
      </c>
    </row>
    <row r="339" spans="1:34" x14ac:dyDescent="0.25">
      <c r="A339" s="12" t="s">
        <v>38</v>
      </c>
      <c r="B339" s="17">
        <v>2902</v>
      </c>
      <c r="C339" s="17">
        <v>1</v>
      </c>
      <c r="D339" s="24" t="s">
        <v>372</v>
      </c>
      <c r="E339" s="18">
        <v>3797</v>
      </c>
      <c r="F339" s="17">
        <v>2000</v>
      </c>
      <c r="G339" s="18">
        <v>4968693</v>
      </c>
      <c r="H339" s="19">
        <v>20579.740000000002</v>
      </c>
      <c r="I339" s="18">
        <v>3797</v>
      </c>
      <c r="J339" s="19">
        <v>7024.45</v>
      </c>
      <c r="K339" s="19">
        <v>31401.19</v>
      </c>
      <c r="L339" s="19">
        <v>31401.19</v>
      </c>
      <c r="M339" s="19">
        <v>31401.19</v>
      </c>
      <c r="N339" s="20">
        <v>1</v>
      </c>
      <c r="O339" s="21">
        <v>0</v>
      </c>
      <c r="P339" s="21">
        <v>0</v>
      </c>
      <c r="Q339" s="17">
        <v>0.95535506999999997</v>
      </c>
      <c r="R339" s="19">
        <v>0</v>
      </c>
      <c r="S339" s="19">
        <v>31401.19</v>
      </c>
      <c r="T339" s="19">
        <v>47133.18</v>
      </c>
      <c r="U339" s="19">
        <v>78534.37</v>
      </c>
      <c r="V339" s="19">
        <v>19633.59</v>
      </c>
      <c r="W339" s="19">
        <v>7214.03</v>
      </c>
      <c r="X339" s="19">
        <v>0</v>
      </c>
      <c r="Y339" s="19">
        <v>5294.12</v>
      </c>
      <c r="Z339" s="19">
        <v>0</v>
      </c>
      <c r="AA339" s="19">
        <v>0</v>
      </c>
      <c r="AB339" s="19">
        <v>24874.2</v>
      </c>
      <c r="AC339" s="19">
        <v>12460.78</v>
      </c>
      <c r="AD339" s="19">
        <v>0</v>
      </c>
      <c r="AE339" s="19">
        <v>0</v>
      </c>
      <c r="AF339" s="19">
        <v>0</v>
      </c>
      <c r="AG339" s="19">
        <v>31401.19</v>
      </c>
      <c r="AH339" s="19">
        <v>0</v>
      </c>
    </row>
    <row r="340" spans="1:34" x14ac:dyDescent="0.25">
      <c r="A340" s="12" t="s">
        <v>38</v>
      </c>
      <c r="B340" s="17">
        <v>2903</v>
      </c>
      <c r="C340" s="17">
        <v>1</v>
      </c>
      <c r="D340" s="24" t="s">
        <v>373</v>
      </c>
      <c r="E340" s="18">
        <v>3897</v>
      </c>
      <c r="F340" s="17">
        <v>2000</v>
      </c>
      <c r="G340" s="18">
        <v>4384128</v>
      </c>
      <c r="H340" s="19">
        <v>21121.74</v>
      </c>
      <c r="I340" s="18">
        <v>3897</v>
      </c>
      <c r="J340" s="19">
        <v>7209.45</v>
      </c>
      <c r="K340" s="19">
        <v>32228.19</v>
      </c>
      <c r="L340" s="19">
        <v>32228.19</v>
      </c>
      <c r="M340" s="19">
        <v>32228.19</v>
      </c>
      <c r="N340" s="20">
        <v>1</v>
      </c>
      <c r="O340" s="21">
        <v>0</v>
      </c>
      <c r="P340" s="21">
        <v>0</v>
      </c>
      <c r="Q340" s="17">
        <v>0.95535506999999997</v>
      </c>
      <c r="R340" s="19">
        <v>0</v>
      </c>
      <c r="S340" s="19">
        <v>32228.19</v>
      </c>
      <c r="T340" s="19">
        <v>14971.35</v>
      </c>
      <c r="U340" s="19">
        <v>47199.54</v>
      </c>
      <c r="V340" s="19">
        <v>11799.89</v>
      </c>
      <c r="W340" s="19">
        <v>4172.6899999999996</v>
      </c>
      <c r="X340" s="19">
        <v>2557.34</v>
      </c>
      <c r="Y340" s="19">
        <v>7662.5</v>
      </c>
      <c r="Z340" s="19">
        <v>0</v>
      </c>
      <c r="AA340" s="19">
        <v>0</v>
      </c>
      <c r="AB340" s="19">
        <v>12947.02</v>
      </c>
      <c r="AC340" s="19">
        <v>7408.29</v>
      </c>
      <c r="AD340" s="19">
        <v>0</v>
      </c>
      <c r="AE340" s="19">
        <v>0</v>
      </c>
      <c r="AF340" s="19">
        <v>0</v>
      </c>
      <c r="AG340" s="19">
        <v>32228.19</v>
      </c>
      <c r="AH340" s="19">
        <v>0</v>
      </c>
    </row>
    <row r="341" spans="1:34" x14ac:dyDescent="0.25">
      <c r="A341" s="12" t="s">
        <v>38</v>
      </c>
      <c r="B341" s="17">
        <v>2904</v>
      </c>
      <c r="C341" s="17">
        <v>1</v>
      </c>
      <c r="D341" s="24" t="s">
        <v>374</v>
      </c>
      <c r="E341" s="18">
        <v>5527</v>
      </c>
      <c r="F341" s="17">
        <v>2000</v>
      </c>
      <c r="G341" s="18">
        <v>8563928</v>
      </c>
      <c r="H341" s="19">
        <v>29956.34</v>
      </c>
      <c r="I341" s="18">
        <v>0</v>
      </c>
      <c r="J341" s="19">
        <v>10224.950000000001</v>
      </c>
      <c r="K341" s="19">
        <v>40181.29</v>
      </c>
      <c r="L341" s="19">
        <v>40181.29</v>
      </c>
      <c r="M341" s="19">
        <v>40181.29</v>
      </c>
      <c r="N341" s="20">
        <v>1</v>
      </c>
      <c r="O341" s="21">
        <v>0</v>
      </c>
      <c r="P341" s="21">
        <v>0</v>
      </c>
      <c r="Q341" s="17">
        <v>0.95535506999999997</v>
      </c>
      <c r="R341" s="19">
        <v>0</v>
      </c>
      <c r="S341" s="19">
        <v>40181.29</v>
      </c>
      <c r="T341" s="19">
        <v>53650.14</v>
      </c>
      <c r="U341" s="19">
        <v>93831.43</v>
      </c>
      <c r="V341" s="19">
        <v>23457.86</v>
      </c>
      <c r="W341" s="19">
        <v>-5413.25</v>
      </c>
      <c r="X341" s="19">
        <v>4737.22</v>
      </c>
      <c r="Y341" s="19">
        <v>-12401.38</v>
      </c>
      <c r="Z341" s="19">
        <v>0</v>
      </c>
      <c r="AA341" s="19">
        <v>0</v>
      </c>
      <c r="AB341" s="19">
        <v>-16867.259999999998</v>
      </c>
      <c r="AC341" s="19">
        <v>-13139.7</v>
      </c>
      <c r="AD341" s="19">
        <v>0</v>
      </c>
      <c r="AE341" s="19">
        <v>0</v>
      </c>
      <c r="AF341" s="19">
        <v>0</v>
      </c>
      <c r="AG341" s="19">
        <v>40181.29</v>
      </c>
      <c r="AH341" s="19">
        <v>0</v>
      </c>
    </row>
  </sheetData>
  <sheetProtection password="8AD3" sheet="1" objects="1" scenarios="1"/>
  <mergeCells count="21">
    <mergeCell ref="S1:V1"/>
    <mergeCell ref="W1:AC1"/>
    <mergeCell ref="AD1:AH1"/>
    <mergeCell ref="M1:M2"/>
    <mergeCell ref="N1:N2"/>
    <mergeCell ref="O1:O2"/>
    <mergeCell ref="P1:P2"/>
    <mergeCell ref="Q1:Q2"/>
    <mergeCell ref="R1:R2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90" orientation="landscape" r:id="rId1"/>
  <headerFooter>
    <oddHeader>&amp;L&amp;A&amp;C&amp;F&amp;R&amp;D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1" sqref="D1:D2"/>
    </sheetView>
  </sheetViews>
  <sheetFormatPr defaultRowHeight="15" x14ac:dyDescent="0.25"/>
  <cols>
    <col min="1" max="1" width="5.7109375" customWidth="1"/>
    <col min="2" max="2" width="8.42578125" customWidth="1"/>
    <col min="3" max="3" width="5.7109375" customWidth="1"/>
    <col min="4" max="4" width="24.28515625" customWidth="1"/>
    <col min="5" max="5" width="12.5703125" customWidth="1"/>
    <col min="6" max="6" width="13.28515625" customWidth="1"/>
    <col min="7" max="7" width="13.5703125" customWidth="1"/>
    <col min="8" max="8" width="15.5703125" customWidth="1"/>
    <col min="9" max="9" width="16.7109375" customWidth="1"/>
    <col min="10" max="11" width="15.42578125" customWidth="1"/>
    <col min="12" max="12" width="14.42578125" customWidth="1"/>
    <col min="13" max="13" width="14.5703125" customWidth="1"/>
    <col min="14" max="14" width="14" customWidth="1"/>
    <col min="15" max="15" width="15.42578125" customWidth="1"/>
    <col min="16" max="16" width="12.5703125" customWidth="1"/>
    <col min="17" max="17" width="15.28515625" customWidth="1"/>
    <col min="18" max="18" width="13" customWidth="1"/>
    <col min="19" max="19" width="13.28515625" customWidth="1"/>
    <col min="20" max="20" width="12.28515625" customWidth="1"/>
    <col min="21" max="21" width="11.7109375" customWidth="1"/>
    <col min="22" max="22" width="11.5703125" customWidth="1"/>
    <col min="23" max="23" width="11.28515625" customWidth="1"/>
    <col min="24" max="24" width="13.42578125" customWidth="1"/>
    <col min="25" max="25" width="12.42578125" customWidth="1"/>
    <col min="26" max="26" width="11.42578125" customWidth="1"/>
    <col min="27" max="27" width="14.7109375" customWidth="1"/>
    <col min="28" max="28" width="13.85546875" customWidth="1"/>
    <col min="29" max="29" width="12.85546875" customWidth="1"/>
    <col min="30" max="30" width="11.85546875" customWidth="1"/>
    <col min="31" max="31" width="12.42578125" customWidth="1"/>
    <col min="32" max="32" width="12.28515625" customWidth="1"/>
  </cols>
  <sheetData>
    <row r="1" spans="1:32" x14ac:dyDescent="0.25">
      <c r="A1" s="29" t="s">
        <v>0</v>
      </c>
      <c r="B1" s="29" t="s">
        <v>1</v>
      </c>
      <c r="C1" s="29" t="s">
        <v>2</v>
      </c>
      <c r="D1" s="29" t="s">
        <v>3</v>
      </c>
      <c r="E1" s="36" t="s">
        <v>375</v>
      </c>
      <c r="F1" s="36" t="s">
        <v>376</v>
      </c>
      <c r="G1" s="36" t="s">
        <v>377</v>
      </c>
      <c r="H1" s="36" t="s">
        <v>378</v>
      </c>
      <c r="I1" s="36" t="s">
        <v>379</v>
      </c>
      <c r="J1" s="34" t="s">
        <v>380</v>
      </c>
      <c r="K1" s="34" t="s">
        <v>381</v>
      </c>
      <c r="L1" s="34" t="s">
        <v>382</v>
      </c>
      <c r="M1" s="34" t="s">
        <v>13</v>
      </c>
      <c r="N1" s="34" t="s">
        <v>383</v>
      </c>
      <c r="O1" s="34" t="s">
        <v>384</v>
      </c>
      <c r="P1" s="29" t="s">
        <v>385</v>
      </c>
      <c r="Q1" s="37" t="s">
        <v>386</v>
      </c>
      <c r="R1" s="38"/>
      <c r="S1" s="38"/>
      <c r="T1" s="38"/>
      <c r="U1" s="37" t="s">
        <v>387</v>
      </c>
      <c r="V1" s="38"/>
      <c r="W1" s="38"/>
      <c r="X1" s="38"/>
      <c r="Y1" s="38"/>
      <c r="Z1" s="38"/>
      <c r="AA1" s="38"/>
      <c r="AB1" s="37" t="s">
        <v>20</v>
      </c>
      <c r="AC1" s="38"/>
      <c r="AD1" s="38"/>
      <c r="AE1" s="38"/>
      <c r="AF1" s="38"/>
    </row>
    <row r="2" spans="1:32" ht="75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1" t="s">
        <v>388</v>
      </c>
      <c r="R2" s="2" t="s">
        <v>389</v>
      </c>
      <c r="S2" s="2" t="s">
        <v>390</v>
      </c>
      <c r="T2" s="2" t="s">
        <v>391</v>
      </c>
      <c r="U2" s="2" t="s">
        <v>25</v>
      </c>
      <c r="V2" s="2" t="s">
        <v>392</v>
      </c>
      <c r="W2" s="3" t="s">
        <v>27</v>
      </c>
      <c r="X2" s="2" t="s">
        <v>393</v>
      </c>
      <c r="Y2" s="3" t="s">
        <v>394</v>
      </c>
      <c r="Z2" s="3" t="s">
        <v>30</v>
      </c>
      <c r="AA2" s="3" t="s">
        <v>395</v>
      </c>
      <c r="AB2" s="3" t="s">
        <v>32</v>
      </c>
      <c r="AC2" s="3" t="s">
        <v>396</v>
      </c>
      <c r="AD2" s="2" t="s">
        <v>397</v>
      </c>
      <c r="AE2" s="2" t="s">
        <v>398</v>
      </c>
      <c r="AF2" s="3" t="s">
        <v>36</v>
      </c>
    </row>
    <row r="3" spans="1:32" x14ac:dyDescent="0.25">
      <c r="A3" s="11"/>
      <c r="B3" s="11"/>
      <c r="C3" s="11"/>
      <c r="D3" s="11"/>
      <c r="E3" s="4"/>
      <c r="F3" s="4"/>
      <c r="G3" s="4"/>
      <c r="H3" s="4"/>
      <c r="I3" s="4"/>
      <c r="J3" s="11"/>
      <c r="K3" s="11"/>
      <c r="L3" s="11"/>
      <c r="M3" s="11"/>
      <c r="N3" s="11"/>
      <c r="O3" s="11"/>
      <c r="P3" s="11"/>
      <c r="Q3" s="4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x14ac:dyDescent="0.25">
      <c r="A4" s="11"/>
      <c r="B4" s="11"/>
      <c r="C4" s="11"/>
      <c r="D4" s="5" t="s">
        <v>37</v>
      </c>
      <c r="E4" s="4">
        <f>SUM(E6:E340)</f>
        <v>363972</v>
      </c>
      <c r="F4" s="4">
        <f t="shared" ref="F4:AF4" si="0">SUM(F6:F340)</f>
        <v>365751</v>
      </c>
      <c r="G4" s="4">
        <f t="shared" si="0"/>
        <v>6798742945</v>
      </c>
      <c r="H4" s="4">
        <f t="shared" si="0"/>
        <v>44258400</v>
      </c>
      <c r="I4" s="4">
        <f t="shared" si="0"/>
        <v>44483640</v>
      </c>
      <c r="J4" s="4">
        <f t="shared" si="0"/>
        <v>22130421.739999987</v>
      </c>
      <c r="K4" s="4">
        <f t="shared" si="0"/>
        <v>22120978.999999985</v>
      </c>
      <c r="L4" s="4">
        <f t="shared" si="0"/>
        <v>22085047.369999982</v>
      </c>
      <c r="M4" s="4"/>
      <c r="N4" s="4">
        <f t="shared" si="0"/>
        <v>22362661.000000015</v>
      </c>
      <c r="O4" s="4">
        <f t="shared" si="0"/>
        <v>22358733.880000014</v>
      </c>
      <c r="P4" s="4">
        <f t="shared" si="0"/>
        <v>572537.60000000009</v>
      </c>
      <c r="Q4" s="4">
        <f t="shared" si="0"/>
        <v>44278440</v>
      </c>
      <c r="R4" s="4">
        <f t="shared" si="0"/>
        <v>9771689.0200000014</v>
      </c>
      <c r="S4" s="4">
        <f t="shared" si="0"/>
        <v>54050129.020000048</v>
      </c>
      <c r="T4" s="4">
        <f t="shared" si="0"/>
        <v>13512532.549999993</v>
      </c>
      <c r="U4" s="4">
        <f t="shared" si="0"/>
        <v>7816769.1800000016</v>
      </c>
      <c r="V4" s="4">
        <f t="shared" si="0"/>
        <v>299101.25999999995</v>
      </c>
      <c r="W4" s="4">
        <f t="shared" si="0"/>
        <v>7164764.8599999938</v>
      </c>
      <c r="X4" s="4">
        <f t="shared" si="0"/>
        <v>591804.09999999974</v>
      </c>
      <c r="Y4" s="4">
        <f t="shared" si="0"/>
        <v>0</v>
      </c>
      <c r="Z4" s="4">
        <f t="shared" si="0"/>
        <v>7072592.3600000013</v>
      </c>
      <c r="AA4" s="4">
        <f t="shared" si="0"/>
        <v>7054407.0400000019</v>
      </c>
      <c r="AB4" s="4">
        <f t="shared" si="0"/>
        <v>558360.84</v>
      </c>
      <c r="AC4" s="4">
        <f t="shared" si="0"/>
        <v>313379.24000000005</v>
      </c>
      <c r="AD4" s="4">
        <f t="shared" si="0"/>
        <v>244981.60000000003</v>
      </c>
      <c r="AE4" s="4">
        <f t="shared" si="0"/>
        <v>21807599.759999979</v>
      </c>
      <c r="AF4" s="4">
        <f t="shared" si="0"/>
        <v>22113752.280000016</v>
      </c>
    </row>
    <row r="5" spans="1:32" x14ac:dyDescent="0.25">
      <c r="A5" s="11"/>
      <c r="B5" s="11"/>
      <c r="C5" s="11"/>
      <c r="D5" s="11"/>
      <c r="E5" s="4"/>
      <c r="F5" s="4"/>
      <c r="G5" s="4"/>
      <c r="H5" s="4"/>
      <c r="I5" s="4"/>
      <c r="J5" s="11"/>
      <c r="K5" s="11"/>
      <c r="L5" s="11"/>
      <c r="M5" s="11"/>
      <c r="N5" s="11"/>
      <c r="O5" s="11"/>
      <c r="P5" s="11"/>
      <c r="Q5" s="4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x14ac:dyDescent="0.25">
      <c r="A6" s="12" t="s">
        <v>38</v>
      </c>
      <c r="B6" s="12">
        <v>1</v>
      </c>
      <c r="C6" s="12">
        <v>1</v>
      </c>
      <c r="D6" s="13" t="s">
        <v>399</v>
      </c>
      <c r="E6" s="6">
        <v>511</v>
      </c>
      <c r="F6" s="6">
        <v>462</v>
      </c>
      <c r="G6" s="6">
        <v>21340966</v>
      </c>
      <c r="H6" s="6">
        <v>61320</v>
      </c>
      <c r="I6" s="6">
        <v>55440</v>
      </c>
      <c r="J6" s="7">
        <v>61320</v>
      </c>
      <c r="K6" s="7">
        <v>55440</v>
      </c>
      <c r="L6" s="7">
        <v>61320</v>
      </c>
      <c r="M6" s="12">
        <v>1</v>
      </c>
      <c r="N6" s="7">
        <v>0</v>
      </c>
      <c r="O6" s="7">
        <v>0</v>
      </c>
      <c r="P6" s="7">
        <v>739.2</v>
      </c>
      <c r="Q6" s="6">
        <v>61320</v>
      </c>
      <c r="R6" s="7">
        <v>4684.6000000000004</v>
      </c>
      <c r="S6" s="7">
        <v>66004.600000000006</v>
      </c>
      <c r="T6" s="7">
        <v>16501.150000000001</v>
      </c>
      <c r="U6" s="7">
        <v>18160.72</v>
      </c>
      <c r="V6" s="7">
        <v>0</v>
      </c>
      <c r="W6" s="7">
        <v>46058.81</v>
      </c>
      <c r="X6" s="7">
        <v>8114.9</v>
      </c>
      <c r="Y6" s="7">
        <v>0</v>
      </c>
      <c r="Z6" s="7">
        <v>50451.45</v>
      </c>
      <c r="AA6" s="7">
        <v>35518.69</v>
      </c>
      <c r="AB6" s="7">
        <v>19017.54</v>
      </c>
      <c r="AC6" s="7">
        <v>19017.54</v>
      </c>
      <c r="AD6" s="7">
        <v>0</v>
      </c>
      <c r="AE6" s="7">
        <v>36422.46</v>
      </c>
      <c r="AF6" s="7">
        <v>0</v>
      </c>
    </row>
    <row r="7" spans="1:32" x14ac:dyDescent="0.25">
      <c r="A7" s="12" t="s">
        <v>38</v>
      </c>
      <c r="B7" s="12">
        <v>1</v>
      </c>
      <c r="C7" s="12">
        <v>3</v>
      </c>
      <c r="D7" s="13" t="s">
        <v>400</v>
      </c>
      <c r="E7" s="6">
        <v>29006</v>
      </c>
      <c r="F7" s="6">
        <v>28690</v>
      </c>
      <c r="G7" s="6">
        <v>452093373</v>
      </c>
      <c r="H7" s="6">
        <v>3480720</v>
      </c>
      <c r="I7" s="6">
        <v>3442800</v>
      </c>
      <c r="J7" s="7">
        <v>1509051.51</v>
      </c>
      <c r="K7" s="7">
        <v>1509051.51</v>
      </c>
      <c r="L7" s="7">
        <v>1509051.51</v>
      </c>
      <c r="M7" s="12">
        <v>1</v>
      </c>
      <c r="N7" s="7">
        <v>1933748.49</v>
      </c>
      <c r="O7" s="7">
        <v>1933748.49</v>
      </c>
      <c r="P7" s="7">
        <v>45904</v>
      </c>
      <c r="Q7" s="6">
        <v>3480720</v>
      </c>
      <c r="R7" s="7">
        <v>192841.06</v>
      </c>
      <c r="S7" s="7">
        <v>3673561.06</v>
      </c>
      <c r="T7" s="7">
        <v>918390.27</v>
      </c>
      <c r="U7" s="7">
        <v>404321.71</v>
      </c>
      <c r="V7" s="7">
        <v>0</v>
      </c>
      <c r="W7" s="7">
        <v>343103.99</v>
      </c>
      <c r="X7" s="7">
        <v>0</v>
      </c>
      <c r="Y7" s="7">
        <v>0</v>
      </c>
      <c r="Z7" s="7">
        <v>566619.62</v>
      </c>
      <c r="AA7" s="7">
        <v>438015.11</v>
      </c>
      <c r="AB7" s="7">
        <v>0</v>
      </c>
      <c r="AC7" s="7">
        <v>0</v>
      </c>
      <c r="AD7" s="7">
        <v>0</v>
      </c>
      <c r="AE7" s="7">
        <v>1509051.51</v>
      </c>
      <c r="AF7" s="7">
        <v>1933748.49</v>
      </c>
    </row>
    <row r="8" spans="1:32" x14ac:dyDescent="0.25">
      <c r="A8" s="12" t="s">
        <v>38</v>
      </c>
      <c r="B8" s="12">
        <v>2</v>
      </c>
      <c r="C8" s="12">
        <v>1</v>
      </c>
      <c r="D8" s="13" t="s">
        <v>401</v>
      </c>
      <c r="E8" s="6">
        <v>81</v>
      </c>
      <c r="F8" s="6">
        <v>78</v>
      </c>
      <c r="G8" s="6">
        <v>1799529</v>
      </c>
      <c r="H8" s="6">
        <v>18000</v>
      </c>
      <c r="I8" s="6">
        <v>18000</v>
      </c>
      <c r="J8" s="7">
        <v>6006.68</v>
      </c>
      <c r="K8" s="7">
        <v>6006.68</v>
      </c>
      <c r="L8" s="7">
        <v>6006.68</v>
      </c>
      <c r="M8" s="12">
        <v>1</v>
      </c>
      <c r="N8" s="7">
        <v>11993.32</v>
      </c>
      <c r="O8" s="7">
        <v>11993.32</v>
      </c>
      <c r="P8" s="7">
        <v>124.8</v>
      </c>
      <c r="Q8" s="6">
        <v>18000</v>
      </c>
      <c r="R8" s="7">
        <v>63463.32</v>
      </c>
      <c r="S8" s="7">
        <v>81463.320000000007</v>
      </c>
      <c r="T8" s="7">
        <v>20365.830000000002</v>
      </c>
      <c r="U8" s="7">
        <v>6908.5</v>
      </c>
      <c r="V8" s="7">
        <v>0</v>
      </c>
      <c r="W8" s="7">
        <v>7812.4</v>
      </c>
      <c r="X8" s="7">
        <v>0</v>
      </c>
      <c r="Y8" s="7">
        <v>0</v>
      </c>
      <c r="Z8" s="7">
        <v>8835.68</v>
      </c>
      <c r="AA8" s="7">
        <v>7852.19</v>
      </c>
      <c r="AB8" s="7">
        <v>0</v>
      </c>
      <c r="AC8" s="7">
        <v>0</v>
      </c>
      <c r="AD8" s="7">
        <v>0</v>
      </c>
      <c r="AE8" s="7">
        <v>6006.68</v>
      </c>
      <c r="AF8" s="7">
        <v>11993.32</v>
      </c>
    </row>
    <row r="9" spans="1:32" x14ac:dyDescent="0.25">
      <c r="A9" s="12" t="s">
        <v>38</v>
      </c>
      <c r="B9" s="12">
        <v>4</v>
      </c>
      <c r="C9" s="12">
        <v>1</v>
      </c>
      <c r="D9" s="13" t="s">
        <v>402</v>
      </c>
      <c r="E9" s="6">
        <v>149</v>
      </c>
      <c r="F9" s="6">
        <v>153</v>
      </c>
      <c r="G9" s="6">
        <v>11562500</v>
      </c>
      <c r="H9" s="6">
        <v>18000</v>
      </c>
      <c r="I9" s="6">
        <v>18360</v>
      </c>
      <c r="J9" s="7">
        <v>18000</v>
      </c>
      <c r="K9" s="7">
        <v>18360</v>
      </c>
      <c r="L9" s="7">
        <v>18000</v>
      </c>
      <c r="M9" s="12">
        <v>1</v>
      </c>
      <c r="N9" s="7">
        <v>0</v>
      </c>
      <c r="O9" s="7">
        <v>0</v>
      </c>
      <c r="P9" s="7">
        <v>244.8</v>
      </c>
      <c r="Q9" s="6">
        <v>18000</v>
      </c>
      <c r="R9" s="7">
        <v>238.4</v>
      </c>
      <c r="S9" s="7">
        <v>18238.400000000001</v>
      </c>
      <c r="T9" s="7">
        <v>4559.6000000000004</v>
      </c>
      <c r="U9" s="7">
        <v>-28144.31</v>
      </c>
      <c r="V9" s="7">
        <v>0</v>
      </c>
      <c r="W9" s="7">
        <v>-25095.98</v>
      </c>
      <c r="X9" s="7">
        <v>0</v>
      </c>
      <c r="Y9" s="7">
        <v>0</v>
      </c>
      <c r="Z9" s="7">
        <v>-24656</v>
      </c>
      <c r="AA9" s="7">
        <v>-25965.43</v>
      </c>
      <c r="AB9" s="7">
        <v>0</v>
      </c>
      <c r="AC9" s="7">
        <v>0</v>
      </c>
      <c r="AD9" s="7">
        <v>0</v>
      </c>
      <c r="AE9" s="7">
        <v>18360</v>
      </c>
      <c r="AF9" s="7">
        <v>0</v>
      </c>
    </row>
    <row r="10" spans="1:32" x14ac:dyDescent="0.25">
      <c r="A10" s="12" t="s">
        <v>38</v>
      </c>
      <c r="B10" s="12">
        <v>6</v>
      </c>
      <c r="C10" s="12">
        <v>3</v>
      </c>
      <c r="D10" s="13" t="s">
        <v>403</v>
      </c>
      <c r="E10" s="6">
        <v>1386</v>
      </c>
      <c r="F10" s="6">
        <v>1408</v>
      </c>
      <c r="G10" s="6">
        <v>19343652</v>
      </c>
      <c r="H10" s="6">
        <v>166320</v>
      </c>
      <c r="I10" s="6">
        <v>168960</v>
      </c>
      <c r="J10" s="7">
        <v>64567.56</v>
      </c>
      <c r="K10" s="7">
        <v>64567.56</v>
      </c>
      <c r="L10" s="7">
        <v>64567.56</v>
      </c>
      <c r="M10" s="12">
        <v>1</v>
      </c>
      <c r="N10" s="7">
        <v>104392.44</v>
      </c>
      <c r="O10" s="7">
        <v>104392.44</v>
      </c>
      <c r="P10" s="7">
        <v>2252.8000000000002</v>
      </c>
      <c r="Q10" s="6">
        <v>166320</v>
      </c>
      <c r="R10" s="7">
        <v>283471.03999999998</v>
      </c>
      <c r="S10" s="7">
        <v>449791.04</v>
      </c>
      <c r="T10" s="7">
        <v>112447.76</v>
      </c>
      <c r="U10" s="7">
        <v>26892.63</v>
      </c>
      <c r="V10" s="7">
        <v>0</v>
      </c>
      <c r="W10" s="7">
        <v>26510.15</v>
      </c>
      <c r="X10" s="7">
        <v>0</v>
      </c>
      <c r="Y10" s="7">
        <v>0</v>
      </c>
      <c r="Z10" s="7">
        <v>52963.69</v>
      </c>
      <c r="AA10" s="7">
        <v>35455.49</v>
      </c>
      <c r="AB10" s="7">
        <v>0</v>
      </c>
      <c r="AC10" s="7">
        <v>0</v>
      </c>
      <c r="AD10" s="7">
        <v>0</v>
      </c>
      <c r="AE10" s="7">
        <v>64567.56</v>
      </c>
      <c r="AF10" s="7">
        <v>104392.44</v>
      </c>
    </row>
    <row r="11" spans="1:32" x14ac:dyDescent="0.25">
      <c r="A11" s="12" t="s">
        <v>38</v>
      </c>
      <c r="B11" s="12">
        <v>11</v>
      </c>
      <c r="C11" s="12">
        <v>1</v>
      </c>
      <c r="D11" s="13" t="s">
        <v>404</v>
      </c>
      <c r="E11" s="6">
        <v>15500</v>
      </c>
      <c r="F11" s="6">
        <v>15373</v>
      </c>
      <c r="G11" s="6">
        <v>244237037</v>
      </c>
      <c r="H11" s="6">
        <v>1860000</v>
      </c>
      <c r="I11" s="6">
        <v>1844760</v>
      </c>
      <c r="J11" s="7">
        <v>815243.69</v>
      </c>
      <c r="K11" s="7">
        <v>815243.69</v>
      </c>
      <c r="L11" s="7">
        <v>815243.69</v>
      </c>
      <c r="M11" s="12">
        <v>1</v>
      </c>
      <c r="N11" s="7">
        <v>1029516.31</v>
      </c>
      <c r="O11" s="7">
        <v>1029516.31</v>
      </c>
      <c r="P11" s="7">
        <v>24596.799999999999</v>
      </c>
      <c r="Q11" s="6">
        <v>1860000</v>
      </c>
      <c r="R11" s="7">
        <v>145803.07</v>
      </c>
      <c r="S11" s="7">
        <v>2005803.07</v>
      </c>
      <c r="T11" s="7">
        <v>501450.77</v>
      </c>
      <c r="U11" s="7">
        <v>436498.07</v>
      </c>
      <c r="V11" s="7">
        <v>0</v>
      </c>
      <c r="W11" s="7">
        <v>358880.67</v>
      </c>
      <c r="X11" s="7">
        <v>0</v>
      </c>
      <c r="Y11" s="7">
        <v>0</v>
      </c>
      <c r="Z11" s="7">
        <v>209170.57</v>
      </c>
      <c r="AA11" s="7">
        <v>334849.77</v>
      </c>
      <c r="AB11" s="7">
        <v>0</v>
      </c>
      <c r="AC11" s="7">
        <v>0</v>
      </c>
      <c r="AD11" s="7">
        <v>0</v>
      </c>
      <c r="AE11" s="7">
        <v>815243.69</v>
      </c>
      <c r="AF11" s="7">
        <v>1029516.31</v>
      </c>
    </row>
    <row r="12" spans="1:32" x14ac:dyDescent="0.25">
      <c r="A12" s="12" t="s">
        <v>38</v>
      </c>
      <c r="B12" s="12">
        <v>12</v>
      </c>
      <c r="C12" s="12">
        <v>1</v>
      </c>
      <c r="D12" s="13" t="s">
        <v>405</v>
      </c>
      <c r="E12" s="6">
        <v>2300</v>
      </c>
      <c r="F12" s="6">
        <v>2300</v>
      </c>
      <c r="G12" s="6">
        <v>34816393</v>
      </c>
      <c r="H12" s="6">
        <v>276000</v>
      </c>
      <c r="I12" s="6">
        <v>276000</v>
      </c>
      <c r="J12" s="7">
        <v>116214.33</v>
      </c>
      <c r="K12" s="7">
        <v>116214.33</v>
      </c>
      <c r="L12" s="7">
        <v>116214.33</v>
      </c>
      <c r="M12" s="12">
        <v>1</v>
      </c>
      <c r="N12" s="7">
        <v>159785.67000000001</v>
      </c>
      <c r="O12" s="7">
        <v>159785.67000000001</v>
      </c>
      <c r="P12" s="7">
        <v>3680</v>
      </c>
      <c r="Q12" s="6">
        <v>276000</v>
      </c>
      <c r="R12" s="7">
        <v>32296.02</v>
      </c>
      <c r="S12" s="7">
        <v>308296.02</v>
      </c>
      <c r="T12" s="7">
        <v>77074.009999999995</v>
      </c>
      <c r="U12" s="7">
        <v>81405.149999999994</v>
      </c>
      <c r="V12" s="7">
        <v>0</v>
      </c>
      <c r="W12" s="7">
        <v>70692.149999999994</v>
      </c>
      <c r="X12" s="7">
        <v>0</v>
      </c>
      <c r="Y12" s="7">
        <v>0</v>
      </c>
      <c r="Z12" s="7">
        <v>42531</v>
      </c>
      <c r="AA12" s="7">
        <v>64876.1</v>
      </c>
      <c r="AB12" s="7">
        <v>0</v>
      </c>
      <c r="AC12" s="7">
        <v>0</v>
      </c>
      <c r="AD12" s="7">
        <v>0</v>
      </c>
      <c r="AE12" s="7">
        <v>116214.33</v>
      </c>
      <c r="AF12" s="7">
        <v>159785.67000000001</v>
      </c>
    </row>
    <row r="13" spans="1:32" x14ac:dyDescent="0.25">
      <c r="A13" s="12" t="s">
        <v>38</v>
      </c>
      <c r="B13" s="12">
        <v>13</v>
      </c>
      <c r="C13" s="12">
        <v>1</v>
      </c>
      <c r="D13" s="13" t="s">
        <v>406</v>
      </c>
      <c r="E13" s="6">
        <v>1560</v>
      </c>
      <c r="F13" s="6">
        <v>1645</v>
      </c>
      <c r="G13" s="6">
        <v>24276254</v>
      </c>
      <c r="H13" s="6">
        <v>187200</v>
      </c>
      <c r="I13" s="6">
        <v>197400</v>
      </c>
      <c r="J13" s="7">
        <v>81032.19</v>
      </c>
      <c r="K13" s="7">
        <v>81032.19</v>
      </c>
      <c r="L13" s="7">
        <v>81032.19</v>
      </c>
      <c r="M13" s="12">
        <v>1</v>
      </c>
      <c r="N13" s="7">
        <v>116367.81</v>
      </c>
      <c r="O13" s="7">
        <v>116367.81</v>
      </c>
      <c r="P13" s="7">
        <v>2632</v>
      </c>
      <c r="Q13" s="6">
        <v>187200</v>
      </c>
      <c r="R13" s="7">
        <v>14879.18</v>
      </c>
      <c r="S13" s="7">
        <v>202079.18</v>
      </c>
      <c r="T13" s="7">
        <v>50519.8</v>
      </c>
      <c r="U13" s="7">
        <v>52372.13</v>
      </c>
      <c r="V13" s="7">
        <v>0</v>
      </c>
      <c r="W13" s="7">
        <v>67823.09</v>
      </c>
      <c r="X13" s="7">
        <v>0</v>
      </c>
      <c r="Y13" s="7">
        <v>0</v>
      </c>
      <c r="Z13" s="7">
        <v>26900</v>
      </c>
      <c r="AA13" s="7">
        <v>49031.74</v>
      </c>
      <c r="AB13" s="7">
        <v>0</v>
      </c>
      <c r="AC13" s="7">
        <v>0</v>
      </c>
      <c r="AD13" s="7">
        <v>0</v>
      </c>
      <c r="AE13" s="7">
        <v>81032.19</v>
      </c>
      <c r="AF13" s="7">
        <v>116367.81</v>
      </c>
    </row>
    <row r="14" spans="1:32" x14ac:dyDescent="0.25">
      <c r="A14" s="12" t="s">
        <v>38</v>
      </c>
      <c r="B14" s="12">
        <v>14</v>
      </c>
      <c r="C14" s="12">
        <v>1</v>
      </c>
      <c r="D14" s="13" t="s">
        <v>407</v>
      </c>
      <c r="E14" s="6">
        <v>1040</v>
      </c>
      <c r="F14" s="6">
        <v>1055</v>
      </c>
      <c r="G14" s="6">
        <v>16616084</v>
      </c>
      <c r="H14" s="6">
        <v>124800</v>
      </c>
      <c r="I14" s="6">
        <v>126600</v>
      </c>
      <c r="J14" s="7">
        <v>55463.16</v>
      </c>
      <c r="K14" s="7">
        <v>55463.16</v>
      </c>
      <c r="L14" s="7">
        <v>55463.16</v>
      </c>
      <c r="M14" s="12">
        <v>1</v>
      </c>
      <c r="N14" s="7">
        <v>71136.84</v>
      </c>
      <c r="O14" s="7">
        <v>71136.84</v>
      </c>
      <c r="P14" s="7">
        <v>1688</v>
      </c>
      <c r="Q14" s="6">
        <v>124800</v>
      </c>
      <c r="R14" s="7">
        <v>51153.03</v>
      </c>
      <c r="S14" s="7">
        <v>175953.03</v>
      </c>
      <c r="T14" s="7">
        <v>43988.26</v>
      </c>
      <c r="U14" s="7">
        <v>16364.48</v>
      </c>
      <c r="V14" s="7">
        <v>0</v>
      </c>
      <c r="W14" s="7">
        <v>8583.67</v>
      </c>
      <c r="X14" s="7">
        <v>0</v>
      </c>
      <c r="Y14" s="7">
        <v>0</v>
      </c>
      <c r="Z14" s="7">
        <v>-2995.66</v>
      </c>
      <c r="AA14" s="7">
        <v>7317.5</v>
      </c>
      <c r="AB14" s="7">
        <v>0</v>
      </c>
      <c r="AC14" s="7">
        <v>0</v>
      </c>
      <c r="AD14" s="7">
        <v>0</v>
      </c>
      <c r="AE14" s="7">
        <v>55463.16</v>
      </c>
      <c r="AF14" s="7">
        <v>71136.84</v>
      </c>
    </row>
    <row r="15" spans="1:32" x14ac:dyDescent="0.25">
      <c r="A15" s="12" t="s">
        <v>38</v>
      </c>
      <c r="B15" s="12">
        <v>15</v>
      </c>
      <c r="C15" s="12">
        <v>1</v>
      </c>
      <c r="D15" s="13" t="s">
        <v>408</v>
      </c>
      <c r="E15" s="6">
        <v>2445</v>
      </c>
      <c r="F15" s="6">
        <v>2440</v>
      </c>
      <c r="G15" s="6">
        <v>37064506</v>
      </c>
      <c r="H15" s="6">
        <v>293400</v>
      </c>
      <c r="I15" s="6">
        <v>292800</v>
      </c>
      <c r="J15" s="7">
        <v>123718.36</v>
      </c>
      <c r="K15" s="7">
        <v>123718.36</v>
      </c>
      <c r="L15" s="7">
        <v>123718.36</v>
      </c>
      <c r="M15" s="12">
        <v>1</v>
      </c>
      <c r="N15" s="7">
        <v>169081.64</v>
      </c>
      <c r="O15" s="7">
        <v>169081.64</v>
      </c>
      <c r="P15" s="7">
        <v>3904</v>
      </c>
      <c r="Q15" s="6">
        <v>293400</v>
      </c>
      <c r="R15" s="7">
        <v>15040.34</v>
      </c>
      <c r="S15" s="7">
        <v>308440.34000000003</v>
      </c>
      <c r="T15" s="7">
        <v>77110.09</v>
      </c>
      <c r="U15" s="7">
        <v>66388.850000000006</v>
      </c>
      <c r="V15" s="7">
        <v>0</v>
      </c>
      <c r="W15" s="7">
        <v>71759.710000000006</v>
      </c>
      <c r="X15" s="7">
        <v>0</v>
      </c>
      <c r="Y15" s="7">
        <v>0</v>
      </c>
      <c r="Z15" s="7">
        <v>62443.58</v>
      </c>
      <c r="AA15" s="7">
        <v>66864.05</v>
      </c>
      <c r="AB15" s="7">
        <v>0</v>
      </c>
      <c r="AC15" s="7">
        <v>0</v>
      </c>
      <c r="AD15" s="7">
        <v>0</v>
      </c>
      <c r="AE15" s="7">
        <v>123718.36</v>
      </c>
      <c r="AF15" s="7">
        <v>169081.64</v>
      </c>
    </row>
    <row r="16" spans="1:32" x14ac:dyDescent="0.25">
      <c r="A16" s="12" t="s">
        <v>38</v>
      </c>
      <c r="B16" s="12">
        <v>16</v>
      </c>
      <c r="C16" s="12">
        <v>1</v>
      </c>
      <c r="D16" s="13" t="s">
        <v>409</v>
      </c>
      <c r="E16" s="6">
        <v>1973</v>
      </c>
      <c r="F16" s="6">
        <v>2026</v>
      </c>
      <c r="G16" s="6">
        <v>45628284</v>
      </c>
      <c r="H16" s="6">
        <v>236760</v>
      </c>
      <c r="I16" s="6">
        <v>243120</v>
      </c>
      <c r="J16" s="7">
        <v>152303.56</v>
      </c>
      <c r="K16" s="7">
        <v>152303.56</v>
      </c>
      <c r="L16" s="7">
        <v>152303.56</v>
      </c>
      <c r="M16" s="12">
        <v>1</v>
      </c>
      <c r="N16" s="7">
        <v>90816.44</v>
      </c>
      <c r="O16" s="7">
        <v>90816.44</v>
      </c>
      <c r="P16" s="7">
        <v>3241.6</v>
      </c>
      <c r="Q16" s="6">
        <v>236760</v>
      </c>
      <c r="R16" s="7">
        <v>3156.8</v>
      </c>
      <c r="S16" s="7">
        <v>239916.79999999999</v>
      </c>
      <c r="T16" s="7">
        <v>59979.199999999997</v>
      </c>
      <c r="U16" s="7">
        <v>-11733.85</v>
      </c>
      <c r="V16" s="7">
        <v>0</v>
      </c>
      <c r="W16" s="7">
        <v>106.35</v>
      </c>
      <c r="X16" s="7">
        <v>0</v>
      </c>
      <c r="Y16" s="7">
        <v>0</v>
      </c>
      <c r="Z16" s="7">
        <v>60.05</v>
      </c>
      <c r="AA16" s="7">
        <v>-3855.82</v>
      </c>
      <c r="AB16" s="7">
        <v>0</v>
      </c>
      <c r="AC16" s="7">
        <v>0</v>
      </c>
      <c r="AD16" s="7">
        <v>0</v>
      </c>
      <c r="AE16" s="7">
        <v>152303.56</v>
      </c>
      <c r="AF16" s="7">
        <v>90816.44</v>
      </c>
    </row>
    <row r="17" spans="1:32" x14ac:dyDescent="0.25">
      <c r="A17" s="12" t="s">
        <v>38</v>
      </c>
      <c r="B17" s="12">
        <v>22</v>
      </c>
      <c r="C17" s="12">
        <v>1</v>
      </c>
      <c r="D17" s="13" t="s">
        <v>410</v>
      </c>
      <c r="E17" s="6">
        <v>1052</v>
      </c>
      <c r="F17" s="6">
        <v>1026</v>
      </c>
      <c r="G17" s="6">
        <v>22398088</v>
      </c>
      <c r="H17" s="6">
        <v>126240</v>
      </c>
      <c r="I17" s="6">
        <v>123120</v>
      </c>
      <c r="J17" s="7">
        <v>74763.03</v>
      </c>
      <c r="K17" s="7">
        <v>74763.03</v>
      </c>
      <c r="L17" s="7">
        <v>74763.03</v>
      </c>
      <c r="M17" s="12">
        <v>1</v>
      </c>
      <c r="N17" s="7">
        <v>48356.97</v>
      </c>
      <c r="O17" s="7">
        <v>48356.97</v>
      </c>
      <c r="P17" s="7">
        <v>1641.6</v>
      </c>
      <c r="Q17" s="6">
        <v>126240</v>
      </c>
      <c r="R17" s="7">
        <v>6389.24</v>
      </c>
      <c r="S17" s="7">
        <v>132629.24</v>
      </c>
      <c r="T17" s="7">
        <v>33157.31</v>
      </c>
      <c r="U17" s="7">
        <v>26433.34</v>
      </c>
      <c r="V17" s="7">
        <v>0</v>
      </c>
      <c r="W17" s="7">
        <v>30889.42</v>
      </c>
      <c r="X17" s="7">
        <v>0</v>
      </c>
      <c r="Y17" s="7">
        <v>0</v>
      </c>
      <c r="Z17" s="7">
        <v>32937.58</v>
      </c>
      <c r="AA17" s="7">
        <v>30086.78</v>
      </c>
      <c r="AB17" s="7">
        <v>0</v>
      </c>
      <c r="AC17" s="7">
        <v>0</v>
      </c>
      <c r="AD17" s="7">
        <v>0</v>
      </c>
      <c r="AE17" s="7">
        <v>74763.03</v>
      </c>
      <c r="AF17" s="7">
        <v>48356.97</v>
      </c>
    </row>
    <row r="18" spans="1:32" x14ac:dyDescent="0.25">
      <c r="A18" s="12" t="s">
        <v>38</v>
      </c>
      <c r="B18" s="12">
        <v>23</v>
      </c>
      <c r="C18" s="12">
        <v>1</v>
      </c>
      <c r="D18" s="13" t="s">
        <v>411</v>
      </c>
      <c r="E18" s="6">
        <v>470</v>
      </c>
      <c r="F18" s="6">
        <v>470</v>
      </c>
      <c r="G18" s="6">
        <v>8827261</v>
      </c>
      <c r="H18" s="6">
        <v>56400</v>
      </c>
      <c r="I18" s="6">
        <v>56400</v>
      </c>
      <c r="J18" s="7">
        <v>29464.69</v>
      </c>
      <c r="K18" s="7">
        <v>29464.69</v>
      </c>
      <c r="L18" s="7">
        <v>29464.69</v>
      </c>
      <c r="M18" s="12">
        <v>1</v>
      </c>
      <c r="N18" s="7">
        <v>26935.31</v>
      </c>
      <c r="O18" s="7">
        <v>26935.31</v>
      </c>
      <c r="P18" s="7">
        <v>752</v>
      </c>
      <c r="Q18" s="6">
        <v>56400</v>
      </c>
      <c r="R18" s="7">
        <v>5335.67</v>
      </c>
      <c r="S18" s="7">
        <v>61735.67</v>
      </c>
      <c r="T18" s="7">
        <v>15433.92</v>
      </c>
      <c r="U18" s="7">
        <v>18641.849999999999</v>
      </c>
      <c r="V18" s="7">
        <v>0</v>
      </c>
      <c r="W18" s="7">
        <v>9132.19</v>
      </c>
      <c r="X18" s="7">
        <v>0</v>
      </c>
      <c r="Y18" s="7">
        <v>0</v>
      </c>
      <c r="Z18" s="7">
        <v>7836.88</v>
      </c>
      <c r="AA18" s="7">
        <v>11870.31</v>
      </c>
      <c r="AB18" s="7">
        <v>0</v>
      </c>
      <c r="AC18" s="7">
        <v>0</v>
      </c>
      <c r="AD18" s="7">
        <v>0</v>
      </c>
      <c r="AE18" s="7">
        <v>29464.69</v>
      </c>
      <c r="AF18" s="7">
        <v>26935.31</v>
      </c>
    </row>
    <row r="19" spans="1:32" x14ac:dyDescent="0.25">
      <c r="A19" s="12" t="s">
        <v>38</v>
      </c>
      <c r="B19" s="12">
        <v>25</v>
      </c>
      <c r="C19" s="12">
        <v>1</v>
      </c>
      <c r="D19" s="13" t="s">
        <v>412</v>
      </c>
      <c r="E19" s="6">
        <v>62</v>
      </c>
      <c r="F19" s="6">
        <v>43</v>
      </c>
      <c r="G19" s="6">
        <v>0</v>
      </c>
      <c r="H19" s="6">
        <v>18000</v>
      </c>
      <c r="I19" s="6">
        <v>18000</v>
      </c>
      <c r="J19" s="7">
        <v>0</v>
      </c>
      <c r="K19" s="7">
        <v>0</v>
      </c>
      <c r="L19" s="7">
        <v>0</v>
      </c>
      <c r="M19" s="12">
        <v>1</v>
      </c>
      <c r="N19" s="7">
        <v>18000</v>
      </c>
      <c r="O19" s="7">
        <v>18000</v>
      </c>
      <c r="P19" s="7">
        <v>0</v>
      </c>
      <c r="Q19" s="6">
        <v>18000</v>
      </c>
      <c r="R19" s="7">
        <v>23758.91</v>
      </c>
      <c r="S19" s="7">
        <v>41758.910000000003</v>
      </c>
      <c r="T19" s="7">
        <v>10439.73</v>
      </c>
      <c r="U19" s="7">
        <v>4598.79</v>
      </c>
      <c r="V19" s="7">
        <v>0</v>
      </c>
      <c r="W19" s="7">
        <v>4584.42</v>
      </c>
      <c r="X19" s="7">
        <v>0</v>
      </c>
      <c r="Y19" s="7">
        <v>0</v>
      </c>
      <c r="Z19" s="7">
        <v>0</v>
      </c>
      <c r="AA19" s="7">
        <v>3061.07</v>
      </c>
      <c r="AB19" s="7">
        <v>0</v>
      </c>
      <c r="AC19" s="7">
        <v>0</v>
      </c>
      <c r="AD19" s="7">
        <v>0</v>
      </c>
      <c r="AE19" s="7">
        <v>0</v>
      </c>
      <c r="AF19" s="7">
        <v>18000</v>
      </c>
    </row>
    <row r="20" spans="1:32" x14ac:dyDescent="0.25">
      <c r="A20" s="12" t="s">
        <v>38</v>
      </c>
      <c r="B20" s="12">
        <v>31</v>
      </c>
      <c r="C20" s="12">
        <v>1</v>
      </c>
      <c r="D20" s="13" t="s">
        <v>413</v>
      </c>
      <c r="E20" s="6">
        <v>2898</v>
      </c>
      <c r="F20" s="6">
        <v>3054</v>
      </c>
      <c r="G20" s="6">
        <v>31887996</v>
      </c>
      <c r="H20" s="6">
        <v>347760</v>
      </c>
      <c r="I20" s="6">
        <v>366480</v>
      </c>
      <c r="J20" s="7">
        <v>106439.58</v>
      </c>
      <c r="K20" s="7">
        <v>106439.58</v>
      </c>
      <c r="L20" s="7">
        <v>106439.58</v>
      </c>
      <c r="M20" s="12">
        <v>1</v>
      </c>
      <c r="N20" s="7">
        <v>260040.42</v>
      </c>
      <c r="O20" s="7">
        <v>260040.42</v>
      </c>
      <c r="P20" s="7">
        <v>4886.3999999999996</v>
      </c>
      <c r="Q20" s="6">
        <v>347760</v>
      </c>
      <c r="R20" s="7">
        <v>43572.56</v>
      </c>
      <c r="S20" s="7">
        <v>391332.56</v>
      </c>
      <c r="T20" s="7">
        <v>97833.14</v>
      </c>
      <c r="U20" s="7">
        <v>93179.9</v>
      </c>
      <c r="V20" s="7">
        <v>0</v>
      </c>
      <c r="W20" s="7">
        <v>121219.91</v>
      </c>
      <c r="X20" s="7">
        <v>0</v>
      </c>
      <c r="Y20" s="7">
        <v>0</v>
      </c>
      <c r="Z20" s="7">
        <v>160974.91</v>
      </c>
      <c r="AA20" s="7">
        <v>125124.91</v>
      </c>
      <c r="AB20" s="7">
        <v>27291.77</v>
      </c>
      <c r="AC20" s="7">
        <v>7926.56</v>
      </c>
      <c r="AD20" s="7">
        <v>19365.21</v>
      </c>
      <c r="AE20" s="7">
        <v>98513.02</v>
      </c>
      <c r="AF20" s="7">
        <v>240675.21</v>
      </c>
    </row>
    <row r="21" spans="1:32" x14ac:dyDescent="0.25">
      <c r="A21" s="12" t="s">
        <v>38</v>
      </c>
      <c r="B21" s="12">
        <v>32</v>
      </c>
      <c r="C21" s="12">
        <v>1</v>
      </c>
      <c r="D21" s="13" t="s">
        <v>414</v>
      </c>
      <c r="E21" s="6">
        <v>232</v>
      </c>
      <c r="F21" s="6">
        <v>244</v>
      </c>
      <c r="G21" s="6">
        <v>4329006</v>
      </c>
      <c r="H21" s="6">
        <v>27840</v>
      </c>
      <c r="I21" s="6">
        <v>29280</v>
      </c>
      <c r="J21" s="7">
        <v>14449.88</v>
      </c>
      <c r="K21" s="7">
        <v>14449.88</v>
      </c>
      <c r="L21" s="7">
        <v>14449.88</v>
      </c>
      <c r="M21" s="12">
        <v>1</v>
      </c>
      <c r="N21" s="7">
        <v>14830.12</v>
      </c>
      <c r="O21" s="7">
        <v>14830.12</v>
      </c>
      <c r="P21" s="7">
        <v>390.4</v>
      </c>
      <c r="Q21" s="6">
        <v>27840</v>
      </c>
      <c r="R21" s="7">
        <v>871.2</v>
      </c>
      <c r="S21" s="7">
        <v>28711.200000000001</v>
      </c>
      <c r="T21" s="7">
        <v>7177.8</v>
      </c>
      <c r="U21" s="7">
        <v>5544.6</v>
      </c>
      <c r="V21" s="7">
        <v>1062.44</v>
      </c>
      <c r="W21" s="7">
        <v>1146.3800000000001</v>
      </c>
      <c r="X21" s="7">
        <v>0</v>
      </c>
      <c r="Y21" s="7">
        <v>0</v>
      </c>
      <c r="Z21" s="7">
        <v>1962.1</v>
      </c>
      <c r="AA21" s="7">
        <v>2530.21</v>
      </c>
      <c r="AB21" s="7">
        <v>0</v>
      </c>
      <c r="AC21" s="7">
        <v>0</v>
      </c>
      <c r="AD21" s="7">
        <v>0</v>
      </c>
      <c r="AE21" s="7">
        <v>14449.88</v>
      </c>
      <c r="AF21" s="7">
        <v>14830.12</v>
      </c>
    </row>
    <row r="22" spans="1:32" x14ac:dyDescent="0.25">
      <c r="A22" s="12" t="s">
        <v>38</v>
      </c>
      <c r="B22" s="12">
        <v>36</v>
      </c>
      <c r="C22" s="12">
        <v>1</v>
      </c>
      <c r="D22" s="13" t="s">
        <v>415</v>
      </c>
      <c r="E22" s="6">
        <v>54</v>
      </c>
      <c r="F22" s="6">
        <v>53</v>
      </c>
      <c r="G22" s="6">
        <v>1557006</v>
      </c>
      <c r="H22" s="6">
        <v>18000</v>
      </c>
      <c r="I22" s="6">
        <v>18000</v>
      </c>
      <c r="J22" s="7">
        <v>5197.16</v>
      </c>
      <c r="K22" s="7">
        <v>5197.16</v>
      </c>
      <c r="L22" s="7">
        <v>5197.16</v>
      </c>
      <c r="M22" s="12">
        <v>1</v>
      </c>
      <c r="N22" s="7">
        <v>12802.84</v>
      </c>
      <c r="O22" s="7">
        <v>12802.84</v>
      </c>
      <c r="P22" s="7">
        <v>0</v>
      </c>
      <c r="Q22" s="6">
        <v>18000</v>
      </c>
      <c r="R22" s="7">
        <v>26847</v>
      </c>
      <c r="S22" s="7">
        <v>44847</v>
      </c>
      <c r="T22" s="7">
        <v>11211.75</v>
      </c>
      <c r="U22" s="7">
        <v>0.71</v>
      </c>
      <c r="V22" s="7">
        <v>0</v>
      </c>
      <c r="W22" s="7">
        <v>28.14</v>
      </c>
      <c r="X22" s="7">
        <v>0</v>
      </c>
      <c r="Y22" s="7">
        <v>0</v>
      </c>
      <c r="Z22" s="7">
        <v>83.82</v>
      </c>
      <c r="AA22" s="7">
        <v>37.56</v>
      </c>
      <c r="AB22" s="7">
        <v>0</v>
      </c>
      <c r="AC22" s="7">
        <v>0</v>
      </c>
      <c r="AD22" s="7">
        <v>0</v>
      </c>
      <c r="AE22" s="7">
        <v>5197.16</v>
      </c>
      <c r="AF22" s="7">
        <v>12802.84</v>
      </c>
    </row>
    <row r="23" spans="1:32" x14ac:dyDescent="0.25">
      <c r="A23" s="12" t="s">
        <v>38</v>
      </c>
      <c r="B23" s="12">
        <v>38</v>
      </c>
      <c r="C23" s="12">
        <v>1</v>
      </c>
      <c r="D23" s="13" t="s">
        <v>416</v>
      </c>
      <c r="E23" s="6">
        <v>956</v>
      </c>
      <c r="F23" s="6">
        <v>956</v>
      </c>
      <c r="G23" s="6">
        <v>9782</v>
      </c>
      <c r="H23" s="6">
        <v>114720</v>
      </c>
      <c r="I23" s="6">
        <v>114720</v>
      </c>
      <c r="J23" s="7">
        <v>32.65</v>
      </c>
      <c r="K23" s="7">
        <v>32.65</v>
      </c>
      <c r="L23" s="7">
        <v>32.65</v>
      </c>
      <c r="M23" s="12">
        <v>1</v>
      </c>
      <c r="N23" s="7">
        <v>114687.35</v>
      </c>
      <c r="O23" s="7">
        <v>114687.35</v>
      </c>
      <c r="P23" s="7">
        <v>0</v>
      </c>
      <c r="Q23" s="6">
        <v>114720</v>
      </c>
      <c r="R23" s="7">
        <v>33508.49</v>
      </c>
      <c r="S23" s="7">
        <v>148228.49</v>
      </c>
      <c r="T23" s="7">
        <v>37057.120000000003</v>
      </c>
      <c r="U23" s="7">
        <v>0</v>
      </c>
      <c r="V23" s="7">
        <v>0</v>
      </c>
      <c r="W23" s="7">
        <v>22.28</v>
      </c>
      <c r="X23" s="7">
        <v>0</v>
      </c>
      <c r="Y23" s="7">
        <v>0</v>
      </c>
      <c r="Z23" s="7">
        <v>0</v>
      </c>
      <c r="AA23" s="7">
        <v>7.43</v>
      </c>
      <c r="AB23" s="7">
        <v>0</v>
      </c>
      <c r="AC23" s="7">
        <v>0</v>
      </c>
      <c r="AD23" s="7">
        <v>0</v>
      </c>
      <c r="AE23" s="7">
        <v>32.65</v>
      </c>
      <c r="AF23" s="7">
        <v>114687.35</v>
      </c>
    </row>
    <row r="24" spans="1:32" x14ac:dyDescent="0.25">
      <c r="A24" s="12" t="s">
        <v>38</v>
      </c>
      <c r="B24" s="12">
        <v>47</v>
      </c>
      <c r="C24" s="12">
        <v>1</v>
      </c>
      <c r="D24" s="13" t="s">
        <v>417</v>
      </c>
      <c r="E24" s="6">
        <v>2075</v>
      </c>
      <c r="F24" s="6">
        <v>2075</v>
      </c>
      <c r="G24" s="6">
        <v>19112342</v>
      </c>
      <c r="H24" s="6">
        <v>249000</v>
      </c>
      <c r="I24" s="6">
        <v>249000</v>
      </c>
      <c r="J24" s="7">
        <v>63795.47</v>
      </c>
      <c r="K24" s="7">
        <v>63795.47</v>
      </c>
      <c r="L24" s="7">
        <v>63795.47</v>
      </c>
      <c r="M24" s="12">
        <v>1</v>
      </c>
      <c r="N24" s="7">
        <v>185204.53</v>
      </c>
      <c r="O24" s="7">
        <v>185204.53</v>
      </c>
      <c r="P24" s="7">
        <v>3320</v>
      </c>
      <c r="Q24" s="6">
        <v>249000</v>
      </c>
      <c r="R24" s="7">
        <v>158667.21</v>
      </c>
      <c r="S24" s="7">
        <v>407667.21</v>
      </c>
      <c r="T24" s="7">
        <v>101916.8</v>
      </c>
      <c r="U24" s="7">
        <v>72180.41</v>
      </c>
      <c r="V24" s="7">
        <v>0</v>
      </c>
      <c r="W24" s="7">
        <v>69676.399999999994</v>
      </c>
      <c r="X24" s="7">
        <v>0</v>
      </c>
      <c r="Y24" s="7">
        <v>0</v>
      </c>
      <c r="Z24" s="7">
        <v>51102.82</v>
      </c>
      <c r="AA24" s="7">
        <v>64319.88</v>
      </c>
      <c r="AB24" s="7">
        <v>0</v>
      </c>
      <c r="AC24" s="7">
        <v>0</v>
      </c>
      <c r="AD24" s="7">
        <v>0</v>
      </c>
      <c r="AE24" s="7">
        <v>63795.47</v>
      </c>
      <c r="AF24" s="7">
        <v>185204.53</v>
      </c>
    </row>
    <row r="25" spans="1:32" x14ac:dyDescent="0.25">
      <c r="A25" s="12" t="s">
        <v>38</v>
      </c>
      <c r="B25" s="12">
        <v>51</v>
      </c>
      <c r="C25" s="12">
        <v>1</v>
      </c>
      <c r="D25" s="13" t="s">
        <v>418</v>
      </c>
      <c r="E25" s="6">
        <v>780</v>
      </c>
      <c r="F25" s="6">
        <v>760</v>
      </c>
      <c r="G25" s="6">
        <v>9190905</v>
      </c>
      <c r="H25" s="6">
        <v>93600</v>
      </c>
      <c r="I25" s="6">
        <v>91200</v>
      </c>
      <c r="J25" s="7">
        <v>30678.51</v>
      </c>
      <c r="K25" s="7">
        <v>30678.51</v>
      </c>
      <c r="L25" s="7">
        <v>30678.51</v>
      </c>
      <c r="M25" s="12">
        <v>1</v>
      </c>
      <c r="N25" s="7">
        <v>60521.49</v>
      </c>
      <c r="O25" s="7">
        <v>60521.49</v>
      </c>
      <c r="P25" s="7">
        <v>1216</v>
      </c>
      <c r="Q25" s="6">
        <v>93600</v>
      </c>
      <c r="R25" s="7">
        <v>14291.89</v>
      </c>
      <c r="S25" s="7">
        <v>107891.89</v>
      </c>
      <c r="T25" s="7">
        <v>26972.97</v>
      </c>
      <c r="U25" s="7">
        <v>19893.490000000002</v>
      </c>
      <c r="V25" s="7">
        <v>0</v>
      </c>
      <c r="W25" s="7">
        <v>28594.83</v>
      </c>
      <c r="X25" s="7">
        <v>0</v>
      </c>
      <c r="Y25" s="7">
        <v>0</v>
      </c>
      <c r="Z25" s="7">
        <v>25935.48</v>
      </c>
      <c r="AA25" s="7">
        <v>24807.93</v>
      </c>
      <c r="AB25" s="7">
        <v>0</v>
      </c>
      <c r="AC25" s="7">
        <v>0</v>
      </c>
      <c r="AD25" s="7">
        <v>0</v>
      </c>
      <c r="AE25" s="7">
        <v>30678.51</v>
      </c>
      <c r="AF25" s="7">
        <v>60521.49</v>
      </c>
    </row>
    <row r="26" spans="1:32" x14ac:dyDescent="0.25">
      <c r="A26" s="12" t="s">
        <v>38</v>
      </c>
      <c r="B26" s="12">
        <v>75</v>
      </c>
      <c r="C26" s="12">
        <v>1</v>
      </c>
      <c r="D26" s="13" t="s">
        <v>419</v>
      </c>
      <c r="E26" s="6">
        <v>142</v>
      </c>
      <c r="F26" s="6">
        <v>148</v>
      </c>
      <c r="G26" s="6">
        <v>3463622</v>
      </c>
      <c r="H26" s="6">
        <v>18000</v>
      </c>
      <c r="I26" s="6">
        <v>18000</v>
      </c>
      <c r="J26" s="7">
        <v>11561.29</v>
      </c>
      <c r="K26" s="7">
        <v>11561.29</v>
      </c>
      <c r="L26" s="7">
        <v>11561.29</v>
      </c>
      <c r="M26" s="12">
        <v>1</v>
      </c>
      <c r="N26" s="7">
        <v>6438.71</v>
      </c>
      <c r="O26" s="7">
        <v>6438.71</v>
      </c>
      <c r="P26" s="7">
        <v>236.8</v>
      </c>
      <c r="Q26" s="6">
        <v>18000</v>
      </c>
      <c r="R26" s="7">
        <v>2055.19</v>
      </c>
      <c r="S26" s="7">
        <v>20055.189999999999</v>
      </c>
      <c r="T26" s="7">
        <v>5013.8</v>
      </c>
      <c r="U26" s="7">
        <v>2088.5100000000002</v>
      </c>
      <c r="V26" s="7">
        <v>0</v>
      </c>
      <c r="W26" s="7">
        <v>2896.2</v>
      </c>
      <c r="X26" s="7">
        <v>0</v>
      </c>
      <c r="Y26" s="7">
        <v>0</v>
      </c>
      <c r="Z26" s="7">
        <v>0</v>
      </c>
      <c r="AA26" s="7">
        <v>1661.57</v>
      </c>
      <c r="AB26" s="7">
        <v>0</v>
      </c>
      <c r="AC26" s="7">
        <v>0</v>
      </c>
      <c r="AD26" s="7">
        <v>0</v>
      </c>
      <c r="AE26" s="7">
        <v>11561.29</v>
      </c>
      <c r="AF26" s="7">
        <v>6438.71</v>
      </c>
    </row>
    <row r="27" spans="1:32" x14ac:dyDescent="0.25">
      <c r="A27" s="12" t="s">
        <v>38</v>
      </c>
      <c r="B27" s="12">
        <v>77</v>
      </c>
      <c r="C27" s="12">
        <v>1</v>
      </c>
      <c r="D27" s="13" t="s">
        <v>420</v>
      </c>
      <c r="E27" s="6">
        <v>3141</v>
      </c>
      <c r="F27" s="6">
        <v>3133</v>
      </c>
      <c r="G27" s="6">
        <v>58287449</v>
      </c>
      <c r="H27" s="6">
        <v>376920</v>
      </c>
      <c r="I27" s="6">
        <v>375960</v>
      </c>
      <c r="J27" s="7">
        <v>194558.84</v>
      </c>
      <c r="K27" s="7">
        <v>194558.84</v>
      </c>
      <c r="L27" s="7">
        <v>194558.84</v>
      </c>
      <c r="M27" s="12">
        <v>1</v>
      </c>
      <c r="N27" s="7">
        <v>181401.16</v>
      </c>
      <c r="O27" s="7">
        <v>181401.16</v>
      </c>
      <c r="P27" s="7">
        <v>5012.8</v>
      </c>
      <c r="Q27" s="6">
        <v>376920</v>
      </c>
      <c r="R27" s="7">
        <v>96194.39</v>
      </c>
      <c r="S27" s="7">
        <v>473114.39</v>
      </c>
      <c r="T27" s="7">
        <v>118278.6</v>
      </c>
      <c r="U27" s="7">
        <v>70025.67</v>
      </c>
      <c r="V27" s="7">
        <v>0</v>
      </c>
      <c r="W27" s="7">
        <v>77963.600000000006</v>
      </c>
      <c r="X27" s="7">
        <v>0</v>
      </c>
      <c r="Y27" s="7">
        <v>0</v>
      </c>
      <c r="Z27" s="7">
        <v>71653.61</v>
      </c>
      <c r="AA27" s="7">
        <v>73214.289999999994</v>
      </c>
      <c r="AB27" s="7">
        <v>0</v>
      </c>
      <c r="AC27" s="7">
        <v>0</v>
      </c>
      <c r="AD27" s="7">
        <v>0</v>
      </c>
      <c r="AE27" s="7">
        <v>194558.84</v>
      </c>
      <c r="AF27" s="7">
        <v>181401.16</v>
      </c>
    </row>
    <row r="28" spans="1:32" x14ac:dyDescent="0.25">
      <c r="A28" s="12" t="s">
        <v>38</v>
      </c>
      <c r="B28" s="12">
        <v>81</v>
      </c>
      <c r="C28" s="12">
        <v>1</v>
      </c>
      <c r="D28" s="13" t="s">
        <v>421</v>
      </c>
      <c r="E28" s="6">
        <v>65</v>
      </c>
      <c r="F28" s="6">
        <v>55</v>
      </c>
      <c r="G28" s="6">
        <v>2410273</v>
      </c>
      <c r="H28" s="6">
        <v>18000</v>
      </c>
      <c r="I28" s="6">
        <v>18000</v>
      </c>
      <c r="J28" s="7">
        <v>8045.3</v>
      </c>
      <c r="K28" s="7">
        <v>8045.3</v>
      </c>
      <c r="L28" s="7">
        <v>8045.3</v>
      </c>
      <c r="M28" s="12">
        <v>1</v>
      </c>
      <c r="N28" s="7">
        <v>9954.7000000000007</v>
      </c>
      <c r="O28" s="7">
        <v>9954.7000000000007</v>
      </c>
      <c r="P28" s="7">
        <v>88</v>
      </c>
      <c r="Q28" s="6">
        <v>18000</v>
      </c>
      <c r="R28" s="7">
        <v>618</v>
      </c>
      <c r="S28" s="7">
        <v>18618</v>
      </c>
      <c r="T28" s="7">
        <v>4654.5</v>
      </c>
      <c r="U28" s="7">
        <v>3571.91</v>
      </c>
      <c r="V28" s="7">
        <v>0</v>
      </c>
      <c r="W28" s="7">
        <v>4730.1000000000004</v>
      </c>
      <c r="X28" s="7">
        <v>0</v>
      </c>
      <c r="Y28" s="7">
        <v>0</v>
      </c>
      <c r="Z28" s="7">
        <v>5549.79</v>
      </c>
      <c r="AA28" s="7">
        <v>4617.2700000000004</v>
      </c>
      <c r="AB28" s="7">
        <v>0</v>
      </c>
      <c r="AC28" s="7">
        <v>0</v>
      </c>
      <c r="AD28" s="7">
        <v>0</v>
      </c>
      <c r="AE28" s="7">
        <v>8045.3</v>
      </c>
      <c r="AF28" s="7">
        <v>9954.7000000000007</v>
      </c>
    </row>
    <row r="29" spans="1:32" x14ac:dyDescent="0.25">
      <c r="A29" s="12" t="s">
        <v>38</v>
      </c>
      <c r="B29" s="12">
        <v>84</v>
      </c>
      <c r="C29" s="12">
        <v>1</v>
      </c>
      <c r="D29" s="13" t="s">
        <v>422</v>
      </c>
      <c r="E29" s="6">
        <v>356</v>
      </c>
      <c r="F29" s="6">
        <v>370</v>
      </c>
      <c r="G29" s="6">
        <v>5752213</v>
      </c>
      <c r="H29" s="6">
        <v>42720</v>
      </c>
      <c r="I29" s="6">
        <v>44400</v>
      </c>
      <c r="J29" s="7">
        <v>19200.43</v>
      </c>
      <c r="K29" s="7">
        <v>19200.43</v>
      </c>
      <c r="L29" s="7">
        <v>19200.43</v>
      </c>
      <c r="M29" s="12">
        <v>1</v>
      </c>
      <c r="N29" s="7">
        <v>25199.57</v>
      </c>
      <c r="O29" s="7">
        <v>25199.57</v>
      </c>
      <c r="P29" s="7">
        <v>592</v>
      </c>
      <c r="Q29" s="6">
        <v>42720</v>
      </c>
      <c r="R29" s="7">
        <v>14186.8</v>
      </c>
      <c r="S29" s="7">
        <v>56906.8</v>
      </c>
      <c r="T29" s="7">
        <v>14226.7</v>
      </c>
      <c r="U29" s="7">
        <v>-6051.25</v>
      </c>
      <c r="V29" s="7">
        <v>0</v>
      </c>
      <c r="W29" s="7">
        <v>1502.53</v>
      </c>
      <c r="X29" s="7">
        <v>0</v>
      </c>
      <c r="Y29" s="7">
        <v>0</v>
      </c>
      <c r="Z29" s="7">
        <v>8080.73</v>
      </c>
      <c r="AA29" s="7">
        <v>1177.3399999999999</v>
      </c>
      <c r="AB29" s="7">
        <v>0</v>
      </c>
      <c r="AC29" s="7">
        <v>0</v>
      </c>
      <c r="AD29" s="7">
        <v>0</v>
      </c>
      <c r="AE29" s="7">
        <v>19200.43</v>
      </c>
      <c r="AF29" s="7">
        <v>25199.57</v>
      </c>
    </row>
    <row r="30" spans="1:32" x14ac:dyDescent="0.25">
      <c r="A30" s="12" t="s">
        <v>38</v>
      </c>
      <c r="B30" s="12">
        <v>85</v>
      </c>
      <c r="C30" s="12">
        <v>1</v>
      </c>
      <c r="D30" s="13" t="s">
        <v>423</v>
      </c>
      <c r="E30" s="6">
        <v>148</v>
      </c>
      <c r="F30" s="6">
        <v>163</v>
      </c>
      <c r="G30" s="6">
        <v>3936282</v>
      </c>
      <c r="H30" s="6">
        <v>18000</v>
      </c>
      <c r="I30" s="6">
        <v>19560</v>
      </c>
      <c r="J30" s="7">
        <v>13138.99</v>
      </c>
      <c r="K30" s="7">
        <v>13138.99</v>
      </c>
      <c r="L30" s="7">
        <v>13138.99</v>
      </c>
      <c r="M30" s="12">
        <v>1</v>
      </c>
      <c r="N30" s="7">
        <v>6421.01</v>
      </c>
      <c r="O30" s="7">
        <v>6421.01</v>
      </c>
      <c r="P30" s="7">
        <v>260.8</v>
      </c>
      <c r="Q30" s="6">
        <v>18000</v>
      </c>
      <c r="R30" s="7">
        <v>611</v>
      </c>
      <c r="S30" s="7">
        <v>18611</v>
      </c>
      <c r="T30" s="7">
        <v>4652.75</v>
      </c>
      <c r="U30" s="7">
        <v>9646.7099999999991</v>
      </c>
      <c r="V30" s="7">
        <v>0</v>
      </c>
      <c r="W30" s="7">
        <v>531.66</v>
      </c>
      <c r="X30" s="7">
        <v>0</v>
      </c>
      <c r="Y30" s="7">
        <v>0</v>
      </c>
      <c r="Z30" s="7">
        <v>3560.69</v>
      </c>
      <c r="AA30" s="7">
        <v>4579.6899999999996</v>
      </c>
      <c r="AB30" s="7">
        <v>0</v>
      </c>
      <c r="AC30" s="7">
        <v>0</v>
      </c>
      <c r="AD30" s="7">
        <v>0</v>
      </c>
      <c r="AE30" s="7">
        <v>13138.99</v>
      </c>
      <c r="AF30" s="7">
        <v>6421.01</v>
      </c>
    </row>
    <row r="31" spans="1:32" x14ac:dyDescent="0.25">
      <c r="A31" s="12" t="s">
        <v>38</v>
      </c>
      <c r="B31" s="12">
        <v>88</v>
      </c>
      <c r="C31" s="12">
        <v>1</v>
      </c>
      <c r="D31" s="13" t="s">
        <v>424</v>
      </c>
      <c r="E31" s="6">
        <v>1016</v>
      </c>
      <c r="F31" s="6">
        <v>1024</v>
      </c>
      <c r="G31" s="6">
        <v>17571373</v>
      </c>
      <c r="H31" s="6">
        <v>121920</v>
      </c>
      <c r="I31" s="6">
        <v>122880</v>
      </c>
      <c r="J31" s="7">
        <v>58651.839999999997</v>
      </c>
      <c r="K31" s="7">
        <v>58651.839999999997</v>
      </c>
      <c r="L31" s="7">
        <v>58651.839999999997</v>
      </c>
      <c r="M31" s="12">
        <v>1</v>
      </c>
      <c r="N31" s="7">
        <v>64228.160000000003</v>
      </c>
      <c r="O31" s="7">
        <v>64228.160000000003</v>
      </c>
      <c r="P31" s="7">
        <v>1638.4</v>
      </c>
      <c r="Q31" s="6">
        <v>121920</v>
      </c>
      <c r="R31" s="7">
        <v>48553.66</v>
      </c>
      <c r="S31" s="7">
        <v>170473.66</v>
      </c>
      <c r="T31" s="7">
        <v>42618.42</v>
      </c>
      <c r="U31" s="7">
        <v>3894.05</v>
      </c>
      <c r="V31" s="7">
        <v>0</v>
      </c>
      <c r="W31" s="7">
        <v>-6250.8</v>
      </c>
      <c r="X31" s="7">
        <v>0</v>
      </c>
      <c r="Y31" s="7">
        <v>0</v>
      </c>
      <c r="Z31" s="7">
        <v>0</v>
      </c>
      <c r="AA31" s="7">
        <v>-785.58</v>
      </c>
      <c r="AB31" s="7">
        <v>0</v>
      </c>
      <c r="AC31" s="7">
        <v>0</v>
      </c>
      <c r="AD31" s="7">
        <v>0</v>
      </c>
      <c r="AE31" s="7">
        <v>58651.839999999997</v>
      </c>
      <c r="AF31" s="7">
        <v>64228.160000000003</v>
      </c>
    </row>
    <row r="32" spans="1:32" x14ac:dyDescent="0.25">
      <c r="A32" s="12" t="s">
        <v>38</v>
      </c>
      <c r="B32" s="12">
        <v>91</v>
      </c>
      <c r="C32" s="12">
        <v>1</v>
      </c>
      <c r="D32" s="13" t="s">
        <v>425</v>
      </c>
      <c r="E32" s="6">
        <v>302</v>
      </c>
      <c r="F32" s="6">
        <v>297</v>
      </c>
      <c r="G32" s="6">
        <v>4158665</v>
      </c>
      <c r="H32" s="6">
        <v>36240</v>
      </c>
      <c r="I32" s="6">
        <v>35640</v>
      </c>
      <c r="J32" s="7">
        <v>13881.29</v>
      </c>
      <c r="K32" s="7">
        <v>13881.29</v>
      </c>
      <c r="L32" s="7">
        <v>13881.29</v>
      </c>
      <c r="M32" s="12">
        <v>1</v>
      </c>
      <c r="N32" s="7">
        <v>21758.71</v>
      </c>
      <c r="O32" s="7">
        <v>21758.71</v>
      </c>
      <c r="P32" s="7">
        <v>475.2</v>
      </c>
      <c r="Q32" s="6">
        <v>36240</v>
      </c>
      <c r="R32" s="7">
        <v>8606.5</v>
      </c>
      <c r="S32" s="7">
        <v>44846.5</v>
      </c>
      <c r="T32" s="7">
        <v>11211.63</v>
      </c>
      <c r="U32" s="7">
        <v>10600.2</v>
      </c>
      <c r="V32" s="7">
        <v>0</v>
      </c>
      <c r="W32" s="7">
        <v>13801.67</v>
      </c>
      <c r="X32" s="7">
        <v>0</v>
      </c>
      <c r="Y32" s="7">
        <v>0</v>
      </c>
      <c r="Z32" s="7">
        <v>15431.01</v>
      </c>
      <c r="AA32" s="7">
        <v>13277.63</v>
      </c>
      <c r="AB32" s="7">
        <v>2066</v>
      </c>
      <c r="AC32" s="7">
        <v>804.68</v>
      </c>
      <c r="AD32" s="7">
        <v>1261.32</v>
      </c>
      <c r="AE32" s="7">
        <v>13076.61</v>
      </c>
      <c r="AF32" s="7">
        <v>20497.39</v>
      </c>
    </row>
    <row r="33" spans="1:32" x14ac:dyDescent="0.25">
      <c r="A33" s="12" t="s">
        <v>38</v>
      </c>
      <c r="B33" s="12">
        <v>93</v>
      </c>
      <c r="C33" s="12">
        <v>1</v>
      </c>
      <c r="D33" s="13" t="s">
        <v>426</v>
      </c>
      <c r="E33" s="6">
        <v>201</v>
      </c>
      <c r="F33" s="6">
        <v>162</v>
      </c>
      <c r="G33" s="6">
        <v>4470313</v>
      </c>
      <c r="H33" s="6">
        <v>24120</v>
      </c>
      <c r="I33" s="6">
        <v>19440</v>
      </c>
      <c r="J33" s="7">
        <v>14921.55</v>
      </c>
      <c r="K33" s="7">
        <v>14921.55</v>
      </c>
      <c r="L33" s="7">
        <v>14921.55</v>
      </c>
      <c r="M33" s="12">
        <v>1</v>
      </c>
      <c r="N33" s="7">
        <v>4518.45</v>
      </c>
      <c r="O33" s="7">
        <v>4518.45</v>
      </c>
      <c r="P33" s="7">
        <v>259.2</v>
      </c>
      <c r="Q33" s="6">
        <v>24120</v>
      </c>
      <c r="R33" s="7">
        <v>7079.15</v>
      </c>
      <c r="S33" s="7">
        <v>31199.15</v>
      </c>
      <c r="T33" s="7">
        <v>7799.79</v>
      </c>
      <c r="U33" s="7">
        <v>20375.18</v>
      </c>
      <c r="V33" s="7">
        <v>0</v>
      </c>
      <c r="W33" s="7">
        <v>42534.43</v>
      </c>
      <c r="X33" s="7">
        <v>13150.49</v>
      </c>
      <c r="Y33" s="7">
        <v>0</v>
      </c>
      <c r="Z33" s="7">
        <v>42282.080000000002</v>
      </c>
      <c r="AA33" s="7">
        <v>30680.400000000001</v>
      </c>
      <c r="AB33" s="7">
        <v>19440</v>
      </c>
      <c r="AC33" s="7">
        <v>14921.55</v>
      </c>
      <c r="AD33" s="7">
        <v>4518.45</v>
      </c>
      <c r="AE33" s="7">
        <v>0</v>
      </c>
      <c r="AF33" s="7">
        <v>0</v>
      </c>
    </row>
    <row r="34" spans="1:32" x14ac:dyDescent="0.25">
      <c r="A34" s="12" t="s">
        <v>38</v>
      </c>
      <c r="B34" s="12">
        <v>94</v>
      </c>
      <c r="C34" s="12">
        <v>1</v>
      </c>
      <c r="D34" s="13" t="s">
        <v>427</v>
      </c>
      <c r="E34" s="6">
        <v>1224</v>
      </c>
      <c r="F34" s="6">
        <v>1225</v>
      </c>
      <c r="G34" s="6">
        <v>11291455</v>
      </c>
      <c r="H34" s="6">
        <v>146880</v>
      </c>
      <c r="I34" s="6">
        <v>147000</v>
      </c>
      <c r="J34" s="7">
        <v>37689.97</v>
      </c>
      <c r="K34" s="7">
        <v>37689.97</v>
      </c>
      <c r="L34" s="7">
        <v>37689.97</v>
      </c>
      <c r="M34" s="12">
        <v>1</v>
      </c>
      <c r="N34" s="7">
        <v>109310.03</v>
      </c>
      <c r="O34" s="7">
        <v>109310.03</v>
      </c>
      <c r="P34" s="7">
        <v>1960</v>
      </c>
      <c r="Q34" s="6">
        <v>146880</v>
      </c>
      <c r="R34" s="7">
        <v>15960.63</v>
      </c>
      <c r="S34" s="7">
        <v>162840.63</v>
      </c>
      <c r="T34" s="7">
        <v>40710.160000000003</v>
      </c>
      <c r="U34" s="7">
        <v>33796.83</v>
      </c>
      <c r="V34" s="7">
        <v>0</v>
      </c>
      <c r="W34" s="7">
        <v>57284.9</v>
      </c>
      <c r="X34" s="7">
        <v>0</v>
      </c>
      <c r="Y34" s="7">
        <v>0</v>
      </c>
      <c r="Z34" s="7">
        <v>18744.189999999999</v>
      </c>
      <c r="AA34" s="7">
        <v>36608.639999999999</v>
      </c>
      <c r="AB34" s="7">
        <v>0</v>
      </c>
      <c r="AC34" s="7">
        <v>0</v>
      </c>
      <c r="AD34" s="7">
        <v>0</v>
      </c>
      <c r="AE34" s="7">
        <v>37689.97</v>
      </c>
      <c r="AF34" s="7">
        <v>109310.03</v>
      </c>
    </row>
    <row r="35" spans="1:32" x14ac:dyDescent="0.25">
      <c r="A35" s="12" t="s">
        <v>38</v>
      </c>
      <c r="B35" s="12">
        <v>95</v>
      </c>
      <c r="C35" s="12">
        <v>1</v>
      </c>
      <c r="D35" s="13" t="s">
        <v>428</v>
      </c>
      <c r="E35" s="6">
        <v>126</v>
      </c>
      <c r="F35" s="6">
        <v>123</v>
      </c>
      <c r="G35" s="6">
        <v>2473878</v>
      </c>
      <c r="H35" s="6">
        <v>18000</v>
      </c>
      <c r="I35" s="6">
        <v>18000</v>
      </c>
      <c r="J35" s="7">
        <v>8257.61</v>
      </c>
      <c r="K35" s="7">
        <v>8257.61</v>
      </c>
      <c r="L35" s="7">
        <v>8257.61</v>
      </c>
      <c r="M35" s="12">
        <v>1</v>
      </c>
      <c r="N35" s="7">
        <v>9742.39</v>
      </c>
      <c r="O35" s="7">
        <v>9742.39</v>
      </c>
      <c r="P35" s="7">
        <v>0</v>
      </c>
      <c r="Q35" s="6">
        <v>18000</v>
      </c>
      <c r="R35" s="7">
        <v>5582.5</v>
      </c>
      <c r="S35" s="7">
        <v>23582.5</v>
      </c>
      <c r="T35" s="7">
        <v>5895.63</v>
      </c>
      <c r="U35" s="7">
        <v>-9821.0400000000009</v>
      </c>
      <c r="V35" s="7">
        <v>0</v>
      </c>
      <c r="W35" s="7">
        <v>-9821.0400000000009</v>
      </c>
      <c r="X35" s="7">
        <v>0</v>
      </c>
      <c r="Y35" s="7">
        <v>0</v>
      </c>
      <c r="Z35" s="7">
        <v>-9821.34</v>
      </c>
      <c r="AA35" s="7">
        <v>-9821.14</v>
      </c>
      <c r="AB35" s="7">
        <v>0</v>
      </c>
      <c r="AC35" s="7">
        <v>0</v>
      </c>
      <c r="AD35" s="7">
        <v>0</v>
      </c>
      <c r="AE35" s="7">
        <v>8257.61</v>
      </c>
      <c r="AF35" s="7">
        <v>9742.39</v>
      </c>
    </row>
    <row r="36" spans="1:32" x14ac:dyDescent="0.25">
      <c r="A36" s="12" t="s">
        <v>38</v>
      </c>
      <c r="B36" s="12">
        <v>97</v>
      </c>
      <c r="C36" s="12">
        <v>1</v>
      </c>
      <c r="D36" s="13" t="s">
        <v>429</v>
      </c>
      <c r="E36" s="6">
        <v>245</v>
      </c>
      <c r="F36" s="6">
        <v>255</v>
      </c>
      <c r="G36" s="6">
        <v>5645052</v>
      </c>
      <c r="H36" s="6">
        <v>29400</v>
      </c>
      <c r="I36" s="6">
        <v>30600</v>
      </c>
      <c r="J36" s="7">
        <v>18842.73</v>
      </c>
      <c r="K36" s="7">
        <v>18842.73</v>
      </c>
      <c r="L36" s="7">
        <v>18842.73</v>
      </c>
      <c r="M36" s="12">
        <v>1</v>
      </c>
      <c r="N36" s="7">
        <v>11757.27</v>
      </c>
      <c r="O36" s="7">
        <v>11757.27</v>
      </c>
      <c r="P36" s="7">
        <v>408</v>
      </c>
      <c r="Q36" s="6">
        <v>29400</v>
      </c>
      <c r="R36" s="7">
        <v>3420</v>
      </c>
      <c r="S36" s="7">
        <v>32820</v>
      </c>
      <c r="T36" s="7">
        <v>8205</v>
      </c>
      <c r="U36" s="7">
        <v>13230.65</v>
      </c>
      <c r="V36" s="7">
        <v>0</v>
      </c>
      <c r="W36" s="7">
        <v>99.06</v>
      </c>
      <c r="X36" s="7">
        <v>0</v>
      </c>
      <c r="Y36" s="7">
        <v>0</v>
      </c>
      <c r="Z36" s="7">
        <v>657.97</v>
      </c>
      <c r="AA36" s="7">
        <v>4662.5600000000004</v>
      </c>
      <c r="AB36" s="7">
        <v>0</v>
      </c>
      <c r="AC36" s="7">
        <v>0</v>
      </c>
      <c r="AD36" s="7">
        <v>0</v>
      </c>
      <c r="AE36" s="7">
        <v>18842.73</v>
      </c>
      <c r="AF36" s="7">
        <v>11757.27</v>
      </c>
    </row>
    <row r="37" spans="1:32" x14ac:dyDescent="0.25">
      <c r="A37" s="12" t="s">
        <v>38</v>
      </c>
      <c r="B37" s="12">
        <v>99</v>
      </c>
      <c r="C37" s="12">
        <v>1</v>
      </c>
      <c r="D37" s="13" t="s">
        <v>430</v>
      </c>
      <c r="E37" s="6">
        <v>294</v>
      </c>
      <c r="F37" s="6">
        <v>375</v>
      </c>
      <c r="G37" s="6">
        <v>4489392</v>
      </c>
      <c r="H37" s="6">
        <v>35280</v>
      </c>
      <c r="I37" s="6">
        <v>45000</v>
      </c>
      <c r="J37" s="7">
        <v>14985.23</v>
      </c>
      <c r="K37" s="7">
        <v>14985.23</v>
      </c>
      <c r="L37" s="7">
        <v>14985.23</v>
      </c>
      <c r="M37" s="12">
        <v>1</v>
      </c>
      <c r="N37" s="7">
        <v>30014.77</v>
      </c>
      <c r="O37" s="7">
        <v>30014.77</v>
      </c>
      <c r="P37" s="7">
        <v>600</v>
      </c>
      <c r="Q37" s="6">
        <v>35280</v>
      </c>
      <c r="R37" s="7">
        <v>5693.19</v>
      </c>
      <c r="S37" s="7">
        <v>40973.19</v>
      </c>
      <c r="T37" s="7">
        <v>10243.299999999999</v>
      </c>
      <c r="U37" s="7">
        <v>14643.68</v>
      </c>
      <c r="V37" s="7">
        <v>0</v>
      </c>
      <c r="W37" s="7">
        <v>15790.31</v>
      </c>
      <c r="X37" s="7">
        <v>3112.38</v>
      </c>
      <c r="Y37" s="7">
        <v>0</v>
      </c>
      <c r="Z37" s="7">
        <v>2253.2199999999998</v>
      </c>
      <c r="AA37" s="7">
        <v>9858.2800000000007</v>
      </c>
      <c r="AB37" s="7">
        <v>0</v>
      </c>
      <c r="AC37" s="7">
        <v>0</v>
      </c>
      <c r="AD37" s="7">
        <v>0</v>
      </c>
      <c r="AE37" s="7">
        <v>14985.23</v>
      </c>
      <c r="AF37" s="7">
        <v>30014.77</v>
      </c>
    </row>
    <row r="38" spans="1:32" x14ac:dyDescent="0.25">
      <c r="A38" s="12" t="s">
        <v>38</v>
      </c>
      <c r="B38" s="12">
        <v>100</v>
      </c>
      <c r="C38" s="12">
        <v>1</v>
      </c>
      <c r="D38" s="13" t="s">
        <v>431</v>
      </c>
      <c r="E38" s="6">
        <v>77</v>
      </c>
      <c r="F38" s="6">
        <v>87</v>
      </c>
      <c r="G38" s="6">
        <v>2643755</v>
      </c>
      <c r="H38" s="6">
        <v>18000</v>
      </c>
      <c r="I38" s="6">
        <v>18000</v>
      </c>
      <c r="J38" s="7">
        <v>8824.64</v>
      </c>
      <c r="K38" s="7">
        <v>8824.64</v>
      </c>
      <c r="L38" s="7">
        <v>8824.64</v>
      </c>
      <c r="M38" s="12">
        <v>1</v>
      </c>
      <c r="N38" s="7">
        <v>9175.36</v>
      </c>
      <c r="O38" s="7">
        <v>9175.36</v>
      </c>
      <c r="P38" s="7">
        <v>139.19999999999999</v>
      </c>
      <c r="Q38" s="6">
        <v>18000</v>
      </c>
      <c r="R38" s="7">
        <v>7358.2</v>
      </c>
      <c r="S38" s="7">
        <v>25358.2</v>
      </c>
      <c r="T38" s="7">
        <v>6339.55</v>
      </c>
      <c r="U38" s="7">
        <v>1176.58</v>
      </c>
      <c r="V38" s="7">
        <v>0</v>
      </c>
      <c r="W38" s="7">
        <v>-8006.59</v>
      </c>
      <c r="X38" s="7">
        <v>0</v>
      </c>
      <c r="Y38" s="7">
        <v>0</v>
      </c>
      <c r="Z38" s="7">
        <v>-12523.72</v>
      </c>
      <c r="AA38" s="7">
        <v>-6451.24</v>
      </c>
      <c r="AB38" s="7">
        <v>0</v>
      </c>
      <c r="AC38" s="7">
        <v>0</v>
      </c>
      <c r="AD38" s="7">
        <v>0</v>
      </c>
      <c r="AE38" s="7">
        <v>8824.64</v>
      </c>
      <c r="AF38" s="7">
        <v>9175.36</v>
      </c>
    </row>
    <row r="39" spans="1:32" x14ac:dyDescent="0.25">
      <c r="A39" s="12" t="s">
        <v>38</v>
      </c>
      <c r="B39" s="12">
        <v>108</v>
      </c>
      <c r="C39" s="12">
        <v>1</v>
      </c>
      <c r="D39" s="13" t="s">
        <v>432</v>
      </c>
      <c r="E39" s="6">
        <v>494</v>
      </c>
      <c r="F39" s="6">
        <v>479</v>
      </c>
      <c r="G39" s="6">
        <v>11271443</v>
      </c>
      <c r="H39" s="6">
        <v>59280</v>
      </c>
      <c r="I39" s="6">
        <v>57480</v>
      </c>
      <c r="J39" s="7">
        <v>37623.18</v>
      </c>
      <c r="K39" s="7">
        <v>37623.18</v>
      </c>
      <c r="L39" s="7">
        <v>37623.18</v>
      </c>
      <c r="M39" s="12">
        <v>1</v>
      </c>
      <c r="N39" s="7">
        <v>19856.82</v>
      </c>
      <c r="O39" s="7">
        <v>19856.82</v>
      </c>
      <c r="P39" s="7">
        <v>766.4</v>
      </c>
      <c r="Q39" s="6">
        <v>59280</v>
      </c>
      <c r="R39" s="7">
        <v>4582.3999999999996</v>
      </c>
      <c r="S39" s="7">
        <v>63862.400000000001</v>
      </c>
      <c r="T39" s="7">
        <v>15965.6</v>
      </c>
      <c r="U39" s="7">
        <v>12623.83</v>
      </c>
      <c r="V39" s="7">
        <v>0</v>
      </c>
      <c r="W39" s="7">
        <v>15710</v>
      </c>
      <c r="X39" s="7">
        <v>0</v>
      </c>
      <c r="Y39" s="7">
        <v>0</v>
      </c>
      <c r="Z39" s="7">
        <v>19108.63</v>
      </c>
      <c r="AA39" s="7">
        <v>15814.15</v>
      </c>
      <c r="AB39" s="7">
        <v>0</v>
      </c>
      <c r="AC39" s="7">
        <v>0</v>
      </c>
      <c r="AD39" s="7">
        <v>0</v>
      </c>
      <c r="AE39" s="7">
        <v>37623.18</v>
      </c>
      <c r="AF39" s="7">
        <v>19856.82</v>
      </c>
    </row>
    <row r="40" spans="1:32" x14ac:dyDescent="0.25">
      <c r="A40" s="12" t="s">
        <v>38</v>
      </c>
      <c r="B40" s="12">
        <v>110</v>
      </c>
      <c r="C40" s="12">
        <v>1</v>
      </c>
      <c r="D40" s="13" t="s">
        <v>433</v>
      </c>
      <c r="E40" s="6">
        <v>1420</v>
      </c>
      <c r="F40" s="6">
        <v>1481</v>
      </c>
      <c r="G40" s="6">
        <v>27222914</v>
      </c>
      <c r="H40" s="6">
        <v>170400</v>
      </c>
      <c r="I40" s="6">
        <v>177720</v>
      </c>
      <c r="J40" s="7">
        <v>90867.91</v>
      </c>
      <c r="K40" s="7">
        <v>90867.91</v>
      </c>
      <c r="L40" s="7">
        <v>90867.91</v>
      </c>
      <c r="M40" s="12">
        <v>1</v>
      </c>
      <c r="N40" s="7">
        <v>86852.09</v>
      </c>
      <c r="O40" s="7">
        <v>86852.09</v>
      </c>
      <c r="P40" s="7">
        <v>2369.6</v>
      </c>
      <c r="Q40" s="6">
        <v>170400</v>
      </c>
      <c r="R40" s="7">
        <v>51652.7</v>
      </c>
      <c r="S40" s="7">
        <v>222052.7</v>
      </c>
      <c r="T40" s="7">
        <v>55513.18</v>
      </c>
      <c r="U40" s="7">
        <v>21011.439999999999</v>
      </c>
      <c r="V40" s="7">
        <v>0</v>
      </c>
      <c r="W40" s="7">
        <v>34816.71</v>
      </c>
      <c r="X40" s="7">
        <v>0</v>
      </c>
      <c r="Y40" s="7">
        <v>0</v>
      </c>
      <c r="Z40" s="7">
        <v>48035.57</v>
      </c>
      <c r="AA40" s="7">
        <v>34621.24</v>
      </c>
      <c r="AB40" s="7">
        <v>0</v>
      </c>
      <c r="AC40" s="7">
        <v>0</v>
      </c>
      <c r="AD40" s="7">
        <v>0</v>
      </c>
      <c r="AE40" s="7">
        <v>90867.91</v>
      </c>
      <c r="AF40" s="7">
        <v>86852.09</v>
      </c>
    </row>
    <row r="41" spans="1:32" x14ac:dyDescent="0.25">
      <c r="A41" s="12" t="s">
        <v>38</v>
      </c>
      <c r="B41" s="12">
        <v>111</v>
      </c>
      <c r="C41" s="12">
        <v>1</v>
      </c>
      <c r="D41" s="13" t="s">
        <v>434</v>
      </c>
      <c r="E41" s="6">
        <v>799</v>
      </c>
      <c r="F41" s="6">
        <v>704</v>
      </c>
      <c r="G41" s="6">
        <v>14125065</v>
      </c>
      <c r="H41" s="6">
        <v>95880</v>
      </c>
      <c r="I41" s="6">
        <v>84480</v>
      </c>
      <c r="J41" s="7">
        <v>47148.34</v>
      </c>
      <c r="K41" s="7">
        <v>47148.34</v>
      </c>
      <c r="L41" s="7">
        <v>47148.34</v>
      </c>
      <c r="M41" s="12">
        <v>1</v>
      </c>
      <c r="N41" s="7">
        <v>37331.660000000003</v>
      </c>
      <c r="O41" s="7">
        <v>37331.660000000003</v>
      </c>
      <c r="P41" s="7">
        <v>1126.4000000000001</v>
      </c>
      <c r="Q41" s="6">
        <v>95880</v>
      </c>
      <c r="R41" s="7">
        <v>19125.919999999998</v>
      </c>
      <c r="S41" s="7">
        <v>115005.92</v>
      </c>
      <c r="T41" s="7">
        <v>28751.48</v>
      </c>
      <c r="U41" s="7">
        <v>17387.990000000002</v>
      </c>
      <c r="V41" s="7">
        <v>0</v>
      </c>
      <c r="W41" s="7">
        <v>26977.67</v>
      </c>
      <c r="X41" s="7">
        <v>0</v>
      </c>
      <c r="Y41" s="7">
        <v>0</v>
      </c>
      <c r="Z41" s="7">
        <v>33159.21</v>
      </c>
      <c r="AA41" s="7">
        <v>25841.62</v>
      </c>
      <c r="AB41" s="7">
        <v>0</v>
      </c>
      <c r="AC41" s="7">
        <v>0</v>
      </c>
      <c r="AD41" s="7">
        <v>0</v>
      </c>
      <c r="AE41" s="7">
        <v>47148.34</v>
      </c>
      <c r="AF41" s="7">
        <v>37331.660000000003</v>
      </c>
    </row>
    <row r="42" spans="1:32" x14ac:dyDescent="0.25">
      <c r="A42" s="12" t="s">
        <v>38</v>
      </c>
      <c r="B42" s="12">
        <v>112</v>
      </c>
      <c r="C42" s="12">
        <v>1</v>
      </c>
      <c r="D42" s="13" t="s">
        <v>435</v>
      </c>
      <c r="E42" s="6">
        <v>4638</v>
      </c>
      <c r="F42" s="6">
        <v>4365</v>
      </c>
      <c r="G42" s="6">
        <v>70777872</v>
      </c>
      <c r="H42" s="6">
        <v>556560</v>
      </c>
      <c r="I42" s="6">
        <v>523800</v>
      </c>
      <c r="J42" s="7">
        <v>236250.87</v>
      </c>
      <c r="K42" s="7">
        <v>236250.87</v>
      </c>
      <c r="L42" s="7">
        <v>236250.87</v>
      </c>
      <c r="M42" s="12">
        <v>1</v>
      </c>
      <c r="N42" s="7">
        <v>287549.13</v>
      </c>
      <c r="O42" s="7">
        <v>287549.13</v>
      </c>
      <c r="P42" s="7">
        <v>6984</v>
      </c>
      <c r="Q42" s="6">
        <v>556560</v>
      </c>
      <c r="R42" s="7">
        <v>166548.07</v>
      </c>
      <c r="S42" s="7">
        <v>723108.07</v>
      </c>
      <c r="T42" s="7">
        <v>180777.02</v>
      </c>
      <c r="U42" s="7">
        <v>32456.02</v>
      </c>
      <c r="V42" s="7">
        <v>0</v>
      </c>
      <c r="W42" s="7">
        <v>0</v>
      </c>
      <c r="X42" s="7">
        <v>0</v>
      </c>
      <c r="Y42" s="7">
        <v>0</v>
      </c>
      <c r="Z42" s="7">
        <v>36736.050000000003</v>
      </c>
      <c r="AA42" s="7">
        <v>23064.02</v>
      </c>
      <c r="AB42" s="7">
        <v>0</v>
      </c>
      <c r="AC42" s="7">
        <v>0</v>
      </c>
      <c r="AD42" s="7">
        <v>0</v>
      </c>
      <c r="AE42" s="7">
        <v>236250.87</v>
      </c>
      <c r="AF42" s="7">
        <v>287549.13</v>
      </c>
    </row>
    <row r="43" spans="1:32" x14ac:dyDescent="0.25">
      <c r="A43" s="12" t="s">
        <v>38</v>
      </c>
      <c r="B43" s="12">
        <v>113</v>
      </c>
      <c r="C43" s="12">
        <v>1</v>
      </c>
      <c r="D43" s="13" t="s">
        <v>436</v>
      </c>
      <c r="E43" s="6">
        <v>338</v>
      </c>
      <c r="F43" s="6">
        <v>340</v>
      </c>
      <c r="G43" s="6">
        <v>24049940</v>
      </c>
      <c r="H43" s="6">
        <v>40560</v>
      </c>
      <c r="I43" s="6">
        <v>40800</v>
      </c>
      <c r="J43" s="7">
        <v>40560</v>
      </c>
      <c r="K43" s="7">
        <v>40800</v>
      </c>
      <c r="L43" s="7">
        <v>40560</v>
      </c>
      <c r="M43" s="12">
        <v>1</v>
      </c>
      <c r="N43" s="7">
        <v>0</v>
      </c>
      <c r="O43" s="7">
        <v>0</v>
      </c>
      <c r="P43" s="7">
        <v>544</v>
      </c>
      <c r="Q43" s="6">
        <v>40560</v>
      </c>
      <c r="R43" s="7">
        <v>6540.8</v>
      </c>
      <c r="S43" s="7">
        <v>47100.800000000003</v>
      </c>
      <c r="T43" s="7">
        <v>11775.2</v>
      </c>
      <c r="U43" s="7">
        <v>9160.48</v>
      </c>
      <c r="V43" s="7">
        <v>0</v>
      </c>
      <c r="W43" s="7">
        <v>8068.1</v>
      </c>
      <c r="X43" s="7">
        <v>0</v>
      </c>
      <c r="Y43" s="7">
        <v>0</v>
      </c>
      <c r="Z43" s="7">
        <v>2614.13</v>
      </c>
      <c r="AA43" s="7">
        <v>6614.24</v>
      </c>
      <c r="AB43" s="7">
        <v>0</v>
      </c>
      <c r="AC43" s="7">
        <v>0</v>
      </c>
      <c r="AD43" s="7">
        <v>0</v>
      </c>
      <c r="AE43" s="7">
        <v>40800</v>
      </c>
      <c r="AF43" s="7">
        <v>0</v>
      </c>
    </row>
    <row r="44" spans="1:32" x14ac:dyDescent="0.25">
      <c r="A44" s="12" t="s">
        <v>38</v>
      </c>
      <c r="B44" s="12">
        <v>115</v>
      </c>
      <c r="C44" s="12">
        <v>1</v>
      </c>
      <c r="D44" s="13" t="s">
        <v>437</v>
      </c>
      <c r="E44" s="6">
        <v>257</v>
      </c>
      <c r="F44" s="6">
        <v>535</v>
      </c>
      <c r="G44" s="6">
        <v>5327371</v>
      </c>
      <c r="H44" s="6">
        <v>30840</v>
      </c>
      <c r="I44" s="6">
        <v>64200</v>
      </c>
      <c r="J44" s="7">
        <v>17782.34</v>
      </c>
      <c r="K44" s="7">
        <v>17782.34</v>
      </c>
      <c r="L44" s="7">
        <v>17782.34</v>
      </c>
      <c r="M44" s="12">
        <v>1</v>
      </c>
      <c r="N44" s="7">
        <v>46417.66</v>
      </c>
      <c r="O44" s="7">
        <v>46417.66</v>
      </c>
      <c r="P44" s="7">
        <v>856</v>
      </c>
      <c r="Q44" s="6">
        <v>30840</v>
      </c>
      <c r="R44" s="7">
        <v>411.2</v>
      </c>
      <c r="S44" s="7">
        <v>31251.200000000001</v>
      </c>
      <c r="T44" s="7">
        <v>7812.8</v>
      </c>
      <c r="U44" s="7">
        <v>32964.879999999997</v>
      </c>
      <c r="V44" s="7">
        <v>9204.91</v>
      </c>
      <c r="W44" s="7">
        <v>10776.67</v>
      </c>
      <c r="X44" s="7">
        <v>5821.33</v>
      </c>
      <c r="Y44" s="7">
        <v>0</v>
      </c>
      <c r="Z44" s="7">
        <v>-17695.71</v>
      </c>
      <c r="AA44" s="7">
        <v>3673.2</v>
      </c>
      <c r="AB44" s="7">
        <v>0</v>
      </c>
      <c r="AC44" s="7">
        <v>0</v>
      </c>
      <c r="AD44" s="7">
        <v>0</v>
      </c>
      <c r="AE44" s="7">
        <v>17782.34</v>
      </c>
      <c r="AF44" s="7">
        <v>46417.66</v>
      </c>
    </row>
    <row r="45" spans="1:32" x14ac:dyDescent="0.25">
      <c r="A45" s="12" t="s">
        <v>38</v>
      </c>
      <c r="B45" s="12">
        <v>116</v>
      </c>
      <c r="C45" s="12">
        <v>1</v>
      </c>
      <c r="D45" s="13" t="s">
        <v>438</v>
      </c>
      <c r="E45" s="6">
        <v>350</v>
      </c>
      <c r="F45" s="6">
        <v>349</v>
      </c>
      <c r="G45" s="6">
        <v>12679080</v>
      </c>
      <c r="H45" s="6">
        <v>42000</v>
      </c>
      <c r="I45" s="6">
        <v>41880</v>
      </c>
      <c r="J45" s="7">
        <v>42000</v>
      </c>
      <c r="K45" s="7">
        <v>41880</v>
      </c>
      <c r="L45" s="7">
        <v>42000</v>
      </c>
      <c r="M45" s="12">
        <v>1</v>
      </c>
      <c r="N45" s="7">
        <v>0</v>
      </c>
      <c r="O45" s="7">
        <v>0</v>
      </c>
      <c r="P45" s="7">
        <v>558.4</v>
      </c>
      <c r="Q45" s="6">
        <v>42000</v>
      </c>
      <c r="R45" s="7">
        <v>1052</v>
      </c>
      <c r="S45" s="7">
        <v>43052</v>
      </c>
      <c r="T45" s="7">
        <v>10763</v>
      </c>
      <c r="U45" s="7">
        <v>3455.94</v>
      </c>
      <c r="V45" s="7">
        <v>0</v>
      </c>
      <c r="W45" s="7">
        <v>15147.41</v>
      </c>
      <c r="X45" s="7">
        <v>564.53</v>
      </c>
      <c r="Y45" s="7">
        <v>0</v>
      </c>
      <c r="Z45" s="7">
        <v>13966.42</v>
      </c>
      <c r="AA45" s="7">
        <v>10668.41</v>
      </c>
      <c r="AB45" s="7">
        <v>0</v>
      </c>
      <c r="AC45" s="7">
        <v>0</v>
      </c>
      <c r="AD45" s="7">
        <v>0</v>
      </c>
      <c r="AE45" s="7">
        <v>41880</v>
      </c>
      <c r="AF45" s="7">
        <v>0</v>
      </c>
    </row>
    <row r="46" spans="1:32" x14ac:dyDescent="0.25">
      <c r="A46" s="12" t="s">
        <v>38</v>
      </c>
      <c r="B46" s="12">
        <v>118</v>
      </c>
      <c r="C46" s="12">
        <v>1</v>
      </c>
      <c r="D46" s="13" t="s">
        <v>439</v>
      </c>
      <c r="E46" s="6">
        <v>201</v>
      </c>
      <c r="F46" s="6">
        <v>245</v>
      </c>
      <c r="G46" s="6">
        <v>20458842</v>
      </c>
      <c r="H46" s="6">
        <v>24120</v>
      </c>
      <c r="I46" s="6">
        <v>29400</v>
      </c>
      <c r="J46" s="7">
        <v>24120</v>
      </c>
      <c r="K46" s="7">
        <v>29400</v>
      </c>
      <c r="L46" s="7">
        <v>24120</v>
      </c>
      <c r="M46" s="12">
        <v>1</v>
      </c>
      <c r="N46" s="7">
        <v>0</v>
      </c>
      <c r="O46" s="7">
        <v>0</v>
      </c>
      <c r="P46" s="7">
        <v>392</v>
      </c>
      <c r="Q46" s="6">
        <v>24120</v>
      </c>
      <c r="R46" s="7">
        <v>321.60000000000002</v>
      </c>
      <c r="S46" s="7">
        <v>24441.599999999999</v>
      </c>
      <c r="T46" s="7">
        <v>6110.4</v>
      </c>
      <c r="U46" s="7">
        <v>8641.51</v>
      </c>
      <c r="V46" s="7">
        <v>0</v>
      </c>
      <c r="W46" s="7">
        <v>9913.19</v>
      </c>
      <c r="X46" s="7">
        <v>4045.87</v>
      </c>
      <c r="Y46" s="7">
        <v>0</v>
      </c>
      <c r="Z46" s="7">
        <v>6104.76</v>
      </c>
      <c r="AA46" s="7">
        <v>6871.2</v>
      </c>
      <c r="AB46" s="7">
        <v>760.8</v>
      </c>
      <c r="AC46" s="7">
        <v>760.8</v>
      </c>
      <c r="AD46" s="7">
        <v>0</v>
      </c>
      <c r="AE46" s="7">
        <v>28639.200000000001</v>
      </c>
      <c r="AF46" s="7">
        <v>0</v>
      </c>
    </row>
    <row r="47" spans="1:32" x14ac:dyDescent="0.25">
      <c r="A47" s="12" t="s">
        <v>38</v>
      </c>
      <c r="B47" s="12">
        <v>129</v>
      </c>
      <c r="C47" s="12">
        <v>1</v>
      </c>
      <c r="D47" s="13" t="s">
        <v>440</v>
      </c>
      <c r="E47" s="6">
        <v>546</v>
      </c>
      <c r="F47" s="6">
        <v>503</v>
      </c>
      <c r="G47" s="6">
        <v>6607284</v>
      </c>
      <c r="H47" s="6">
        <v>65520</v>
      </c>
      <c r="I47" s="6">
        <v>60360</v>
      </c>
      <c r="J47" s="7">
        <v>22054.59</v>
      </c>
      <c r="K47" s="7">
        <v>22054.59</v>
      </c>
      <c r="L47" s="7">
        <v>22054.59</v>
      </c>
      <c r="M47" s="12">
        <v>1</v>
      </c>
      <c r="N47" s="7">
        <v>38305.410000000003</v>
      </c>
      <c r="O47" s="7">
        <v>38305.410000000003</v>
      </c>
      <c r="P47" s="7">
        <v>804.8</v>
      </c>
      <c r="Q47" s="6">
        <v>65520</v>
      </c>
      <c r="R47" s="7">
        <v>4388.1000000000004</v>
      </c>
      <c r="S47" s="7">
        <v>69908.100000000006</v>
      </c>
      <c r="T47" s="7">
        <v>17477.03</v>
      </c>
      <c r="U47" s="7">
        <v>26866.3</v>
      </c>
      <c r="V47" s="7">
        <v>1612.85</v>
      </c>
      <c r="W47" s="7">
        <v>15204.85</v>
      </c>
      <c r="X47" s="7">
        <v>1350.99</v>
      </c>
      <c r="Y47" s="7">
        <v>0</v>
      </c>
      <c r="Z47" s="7">
        <v>22865.79</v>
      </c>
      <c r="AA47" s="7">
        <v>20657.7</v>
      </c>
      <c r="AB47" s="7">
        <v>3180.67</v>
      </c>
      <c r="AC47" s="7">
        <v>1162.17</v>
      </c>
      <c r="AD47" s="7">
        <v>2018.5</v>
      </c>
      <c r="AE47" s="7">
        <v>20892.419999999998</v>
      </c>
      <c r="AF47" s="7">
        <v>36286.910000000003</v>
      </c>
    </row>
    <row r="48" spans="1:32" x14ac:dyDescent="0.25">
      <c r="A48" s="12" t="s">
        <v>38</v>
      </c>
      <c r="B48" s="12">
        <v>138</v>
      </c>
      <c r="C48" s="12">
        <v>1</v>
      </c>
      <c r="D48" s="13" t="s">
        <v>441</v>
      </c>
      <c r="E48" s="6">
        <v>1595</v>
      </c>
      <c r="F48" s="6">
        <v>1600</v>
      </c>
      <c r="G48" s="6">
        <v>19815763</v>
      </c>
      <c r="H48" s="6">
        <v>191400</v>
      </c>
      <c r="I48" s="6">
        <v>192000</v>
      </c>
      <c r="J48" s="7">
        <v>66143.429999999993</v>
      </c>
      <c r="K48" s="7">
        <v>66143.429999999993</v>
      </c>
      <c r="L48" s="7">
        <v>66143.429999999993</v>
      </c>
      <c r="M48" s="12">
        <v>1</v>
      </c>
      <c r="N48" s="7">
        <v>125856.57</v>
      </c>
      <c r="O48" s="7">
        <v>125856.57</v>
      </c>
      <c r="P48" s="7">
        <v>2560</v>
      </c>
      <c r="Q48" s="6">
        <v>191400</v>
      </c>
      <c r="R48" s="7">
        <v>23675.86</v>
      </c>
      <c r="S48" s="7">
        <v>215075.86</v>
      </c>
      <c r="T48" s="7">
        <v>53768.97</v>
      </c>
      <c r="U48" s="7">
        <v>43784.67</v>
      </c>
      <c r="V48" s="7">
        <v>0</v>
      </c>
      <c r="W48" s="7">
        <v>43710.93</v>
      </c>
      <c r="X48" s="7">
        <v>0</v>
      </c>
      <c r="Y48" s="7">
        <v>0</v>
      </c>
      <c r="Z48" s="7">
        <v>44127.09</v>
      </c>
      <c r="AA48" s="7">
        <v>43874.23</v>
      </c>
      <c r="AB48" s="7">
        <v>0</v>
      </c>
      <c r="AC48" s="7">
        <v>0</v>
      </c>
      <c r="AD48" s="7">
        <v>0</v>
      </c>
      <c r="AE48" s="7">
        <v>66143.429999999993</v>
      </c>
      <c r="AF48" s="7">
        <v>125856.57</v>
      </c>
    </row>
    <row r="49" spans="1:32" x14ac:dyDescent="0.25">
      <c r="A49" s="12" t="s">
        <v>38</v>
      </c>
      <c r="B49" s="12">
        <v>139</v>
      </c>
      <c r="C49" s="12">
        <v>1</v>
      </c>
      <c r="D49" s="13" t="s">
        <v>442</v>
      </c>
      <c r="E49" s="6">
        <v>324</v>
      </c>
      <c r="F49" s="6">
        <v>303</v>
      </c>
      <c r="G49" s="6">
        <v>5965348</v>
      </c>
      <c r="H49" s="6">
        <v>38880</v>
      </c>
      <c r="I49" s="6">
        <v>36360</v>
      </c>
      <c r="J49" s="7">
        <v>19911.849999999999</v>
      </c>
      <c r="K49" s="7">
        <v>19911.849999999999</v>
      </c>
      <c r="L49" s="7">
        <v>19911.849999999999</v>
      </c>
      <c r="M49" s="12">
        <v>1</v>
      </c>
      <c r="N49" s="7">
        <v>16448.150000000001</v>
      </c>
      <c r="O49" s="7">
        <v>16448.150000000001</v>
      </c>
      <c r="P49" s="7">
        <v>484.8</v>
      </c>
      <c r="Q49" s="6">
        <v>38880</v>
      </c>
      <c r="R49" s="7">
        <v>1359.6</v>
      </c>
      <c r="S49" s="7">
        <v>40239.599999999999</v>
      </c>
      <c r="T49" s="7">
        <v>10059.9</v>
      </c>
      <c r="U49" s="7">
        <v>6693.51</v>
      </c>
      <c r="V49" s="7">
        <v>0</v>
      </c>
      <c r="W49" s="7">
        <v>5276.95</v>
      </c>
      <c r="X49" s="7">
        <v>0</v>
      </c>
      <c r="Y49" s="7">
        <v>0</v>
      </c>
      <c r="Z49" s="7">
        <v>2755.89</v>
      </c>
      <c r="AA49" s="7">
        <v>4908.78</v>
      </c>
      <c r="AB49" s="7">
        <v>0</v>
      </c>
      <c r="AC49" s="7">
        <v>0</v>
      </c>
      <c r="AD49" s="7">
        <v>0</v>
      </c>
      <c r="AE49" s="7">
        <v>19911.849999999999</v>
      </c>
      <c r="AF49" s="7">
        <v>16448.150000000001</v>
      </c>
    </row>
    <row r="50" spans="1:32" x14ac:dyDescent="0.25">
      <c r="A50" s="12" t="s">
        <v>38</v>
      </c>
      <c r="B50" s="12">
        <v>146</v>
      </c>
      <c r="C50" s="12">
        <v>1</v>
      </c>
      <c r="D50" s="13" t="s">
        <v>443</v>
      </c>
      <c r="E50" s="6">
        <v>285</v>
      </c>
      <c r="F50" s="6">
        <v>287</v>
      </c>
      <c r="G50" s="6">
        <v>5165548</v>
      </c>
      <c r="H50" s="6">
        <v>34200</v>
      </c>
      <c r="I50" s="6">
        <v>34440</v>
      </c>
      <c r="J50" s="7">
        <v>17242.189999999999</v>
      </c>
      <c r="K50" s="7">
        <v>17242.189999999999</v>
      </c>
      <c r="L50" s="7">
        <v>17242.189999999999</v>
      </c>
      <c r="M50" s="12">
        <v>1</v>
      </c>
      <c r="N50" s="7">
        <v>17197.810000000001</v>
      </c>
      <c r="O50" s="7">
        <v>17197.810000000001</v>
      </c>
      <c r="P50" s="7">
        <v>459.2</v>
      </c>
      <c r="Q50" s="6">
        <v>34200</v>
      </c>
      <c r="R50" s="7">
        <v>1102</v>
      </c>
      <c r="S50" s="7">
        <v>35302</v>
      </c>
      <c r="T50" s="7">
        <v>8825.5</v>
      </c>
      <c r="U50" s="7">
        <v>10143.280000000001</v>
      </c>
      <c r="V50" s="7">
        <v>0</v>
      </c>
      <c r="W50" s="7">
        <v>10203.549999999999</v>
      </c>
      <c r="X50" s="7">
        <v>0</v>
      </c>
      <c r="Y50" s="7">
        <v>0</v>
      </c>
      <c r="Z50" s="7">
        <v>6068.04</v>
      </c>
      <c r="AA50" s="7">
        <v>8804.9599999999991</v>
      </c>
      <c r="AB50" s="7">
        <v>0</v>
      </c>
      <c r="AC50" s="7">
        <v>0</v>
      </c>
      <c r="AD50" s="7">
        <v>0</v>
      </c>
      <c r="AE50" s="7">
        <v>17242.189999999999</v>
      </c>
      <c r="AF50" s="7">
        <v>17197.810000000001</v>
      </c>
    </row>
    <row r="51" spans="1:32" x14ac:dyDescent="0.25">
      <c r="A51" s="12" t="s">
        <v>38</v>
      </c>
      <c r="B51" s="12">
        <v>150</v>
      </c>
      <c r="C51" s="12">
        <v>1</v>
      </c>
      <c r="D51" s="13" t="s">
        <v>444</v>
      </c>
      <c r="E51" s="6">
        <v>262</v>
      </c>
      <c r="F51" s="6">
        <v>259</v>
      </c>
      <c r="G51" s="6">
        <v>3225733</v>
      </c>
      <c r="H51" s="6">
        <v>31440</v>
      </c>
      <c r="I51" s="6">
        <v>31080</v>
      </c>
      <c r="J51" s="7">
        <v>10767.24</v>
      </c>
      <c r="K51" s="7">
        <v>10767.24</v>
      </c>
      <c r="L51" s="7">
        <v>10767.24</v>
      </c>
      <c r="M51" s="12">
        <v>1</v>
      </c>
      <c r="N51" s="7">
        <v>20312.759999999998</v>
      </c>
      <c r="O51" s="7">
        <v>20312.759999999998</v>
      </c>
      <c r="P51" s="7">
        <v>0</v>
      </c>
      <c r="Q51" s="6">
        <v>31440</v>
      </c>
      <c r="R51" s="7">
        <v>1338</v>
      </c>
      <c r="S51" s="7">
        <v>32778</v>
      </c>
      <c r="T51" s="7">
        <v>8194.5</v>
      </c>
      <c r="U51" s="7">
        <v>48708.42</v>
      </c>
      <c r="V51" s="7">
        <v>19020.060000000001</v>
      </c>
      <c r="W51" s="7">
        <v>61499.35</v>
      </c>
      <c r="X51" s="7">
        <v>29153.82</v>
      </c>
      <c r="Y51" s="7">
        <v>0</v>
      </c>
      <c r="Z51" s="7">
        <v>48949.52</v>
      </c>
      <c r="AA51" s="7">
        <v>36994.47</v>
      </c>
      <c r="AB51" s="7">
        <v>28799.97</v>
      </c>
      <c r="AC51" s="7">
        <v>9977.35</v>
      </c>
      <c r="AD51" s="7">
        <v>18822.62</v>
      </c>
      <c r="AE51" s="7">
        <v>789.89</v>
      </c>
      <c r="AF51" s="7">
        <v>1490.14</v>
      </c>
    </row>
    <row r="52" spans="1:32" x14ac:dyDescent="0.25">
      <c r="A52" s="12" t="s">
        <v>38</v>
      </c>
      <c r="B52" s="12">
        <v>152</v>
      </c>
      <c r="C52" s="12">
        <v>1</v>
      </c>
      <c r="D52" s="13" t="s">
        <v>445</v>
      </c>
      <c r="E52" s="6">
        <v>1985</v>
      </c>
      <c r="F52" s="6">
        <v>1995</v>
      </c>
      <c r="G52" s="6">
        <v>27652899</v>
      </c>
      <c r="H52" s="6">
        <v>238200</v>
      </c>
      <c r="I52" s="6">
        <v>239400</v>
      </c>
      <c r="J52" s="7">
        <v>92303.16</v>
      </c>
      <c r="K52" s="7">
        <v>92303.16</v>
      </c>
      <c r="L52" s="7">
        <v>92303.16</v>
      </c>
      <c r="M52" s="12">
        <v>1</v>
      </c>
      <c r="N52" s="7">
        <v>147096.84</v>
      </c>
      <c r="O52" s="7">
        <v>147096.84</v>
      </c>
      <c r="P52" s="7">
        <v>3192</v>
      </c>
      <c r="Q52" s="6">
        <v>238200</v>
      </c>
      <c r="R52" s="7">
        <v>26518.06</v>
      </c>
      <c r="S52" s="7">
        <v>264718.06</v>
      </c>
      <c r="T52" s="7">
        <v>66179.520000000004</v>
      </c>
      <c r="U52" s="7">
        <v>58867.92</v>
      </c>
      <c r="V52" s="7">
        <v>0</v>
      </c>
      <c r="W52" s="7">
        <v>75500.66</v>
      </c>
      <c r="X52" s="7">
        <v>0</v>
      </c>
      <c r="Y52" s="7">
        <v>0</v>
      </c>
      <c r="Z52" s="7">
        <v>74224.75</v>
      </c>
      <c r="AA52" s="7">
        <v>69531.11</v>
      </c>
      <c r="AB52" s="7">
        <v>3351.59</v>
      </c>
      <c r="AC52" s="7">
        <v>1292.24</v>
      </c>
      <c r="AD52" s="7">
        <v>2059.35</v>
      </c>
      <c r="AE52" s="7">
        <v>91010.92</v>
      </c>
      <c r="AF52" s="7">
        <v>145037.49</v>
      </c>
    </row>
    <row r="53" spans="1:32" x14ac:dyDescent="0.25">
      <c r="A53" s="12" t="s">
        <v>38</v>
      </c>
      <c r="B53" s="12">
        <v>162</v>
      </c>
      <c r="C53" s="12">
        <v>1</v>
      </c>
      <c r="D53" s="13" t="s">
        <v>446</v>
      </c>
      <c r="E53" s="6">
        <v>512</v>
      </c>
      <c r="F53" s="6">
        <v>546</v>
      </c>
      <c r="G53" s="6">
        <v>4955486</v>
      </c>
      <c r="H53" s="6">
        <v>61440</v>
      </c>
      <c r="I53" s="6">
        <v>65520</v>
      </c>
      <c r="J53" s="7">
        <v>16541.02</v>
      </c>
      <c r="K53" s="7">
        <v>16541.02</v>
      </c>
      <c r="L53" s="7">
        <v>16541.02</v>
      </c>
      <c r="M53" s="12">
        <v>1</v>
      </c>
      <c r="N53" s="7">
        <v>48978.98</v>
      </c>
      <c r="O53" s="7">
        <v>48978.98</v>
      </c>
      <c r="P53" s="7">
        <v>873.6</v>
      </c>
      <c r="Q53" s="6">
        <v>61440</v>
      </c>
      <c r="R53" s="7">
        <v>2974.2</v>
      </c>
      <c r="S53" s="7">
        <v>64414.2</v>
      </c>
      <c r="T53" s="7">
        <v>16103.55</v>
      </c>
      <c r="U53" s="7">
        <v>22215.08</v>
      </c>
      <c r="V53" s="7">
        <v>1788.09</v>
      </c>
      <c r="W53" s="7">
        <v>18337.830000000002</v>
      </c>
      <c r="X53" s="7">
        <v>2053.9</v>
      </c>
      <c r="Y53" s="7">
        <v>0</v>
      </c>
      <c r="Z53" s="7">
        <v>20742.05</v>
      </c>
      <c r="AA53" s="7">
        <v>19150.990000000002</v>
      </c>
      <c r="AB53" s="7">
        <v>3047.44</v>
      </c>
      <c r="AC53" s="7">
        <v>769.35</v>
      </c>
      <c r="AD53" s="7">
        <v>2278.09</v>
      </c>
      <c r="AE53" s="7">
        <v>15771.67</v>
      </c>
      <c r="AF53" s="7">
        <v>46700.89</v>
      </c>
    </row>
    <row r="54" spans="1:32" x14ac:dyDescent="0.25">
      <c r="A54" s="12" t="s">
        <v>38</v>
      </c>
      <c r="B54" s="12">
        <v>166</v>
      </c>
      <c r="C54" s="12">
        <v>1</v>
      </c>
      <c r="D54" s="13" t="s">
        <v>447</v>
      </c>
      <c r="E54" s="6">
        <v>193</v>
      </c>
      <c r="F54" s="6">
        <v>201</v>
      </c>
      <c r="G54" s="6">
        <v>19974308</v>
      </c>
      <c r="H54" s="6">
        <v>23160</v>
      </c>
      <c r="I54" s="6">
        <v>24120</v>
      </c>
      <c r="J54" s="7">
        <v>23160</v>
      </c>
      <c r="K54" s="7">
        <v>24120</v>
      </c>
      <c r="L54" s="7">
        <v>23160</v>
      </c>
      <c r="M54" s="12">
        <v>1</v>
      </c>
      <c r="N54" s="7">
        <v>0</v>
      </c>
      <c r="O54" s="7">
        <v>0</v>
      </c>
      <c r="P54" s="7">
        <v>321.60000000000002</v>
      </c>
      <c r="Q54" s="6">
        <v>23160</v>
      </c>
      <c r="R54" s="7">
        <v>17505.599999999999</v>
      </c>
      <c r="S54" s="7">
        <v>40665.599999999999</v>
      </c>
      <c r="T54" s="7">
        <v>10166.4</v>
      </c>
      <c r="U54" s="7">
        <v>14169.26</v>
      </c>
      <c r="V54" s="7">
        <v>0</v>
      </c>
      <c r="W54" s="7">
        <v>21669.4</v>
      </c>
      <c r="X54" s="7">
        <v>5229.2</v>
      </c>
      <c r="Y54" s="7">
        <v>0</v>
      </c>
      <c r="Z54" s="7">
        <v>23039.14</v>
      </c>
      <c r="AA54" s="7">
        <v>17882.87</v>
      </c>
      <c r="AB54" s="7">
        <v>7716.47</v>
      </c>
      <c r="AC54" s="7">
        <v>7716.47</v>
      </c>
      <c r="AD54" s="7">
        <v>0</v>
      </c>
      <c r="AE54" s="7">
        <v>16403.53</v>
      </c>
      <c r="AF54" s="7">
        <v>0</v>
      </c>
    </row>
    <row r="55" spans="1:32" x14ac:dyDescent="0.25">
      <c r="A55" s="12" t="s">
        <v>38</v>
      </c>
      <c r="B55" s="12">
        <v>173</v>
      </c>
      <c r="C55" s="12">
        <v>1</v>
      </c>
      <c r="D55" s="13" t="s">
        <v>448</v>
      </c>
      <c r="E55" s="6">
        <v>180</v>
      </c>
      <c r="F55" s="6">
        <v>184</v>
      </c>
      <c r="G55" s="6">
        <v>4084225</v>
      </c>
      <c r="H55" s="6">
        <v>21600</v>
      </c>
      <c r="I55" s="6">
        <v>22080</v>
      </c>
      <c r="J55" s="7">
        <v>13632.82</v>
      </c>
      <c r="K55" s="7">
        <v>13632.82</v>
      </c>
      <c r="L55" s="7">
        <v>13632.82</v>
      </c>
      <c r="M55" s="12">
        <v>1</v>
      </c>
      <c r="N55" s="7">
        <v>8447.18</v>
      </c>
      <c r="O55" s="7">
        <v>8447.18</v>
      </c>
      <c r="P55" s="7">
        <v>294.39999999999998</v>
      </c>
      <c r="Q55" s="6">
        <v>21600</v>
      </c>
      <c r="R55" s="7">
        <v>3704.5</v>
      </c>
      <c r="S55" s="7">
        <v>25304.5</v>
      </c>
      <c r="T55" s="7">
        <v>6326.13</v>
      </c>
      <c r="U55" s="7">
        <v>5804.03</v>
      </c>
      <c r="V55" s="7">
        <v>0</v>
      </c>
      <c r="W55" s="7">
        <v>5335.72</v>
      </c>
      <c r="X55" s="7">
        <v>0</v>
      </c>
      <c r="Y55" s="7">
        <v>0</v>
      </c>
      <c r="Z55" s="7">
        <v>4621.37</v>
      </c>
      <c r="AA55" s="7">
        <v>5253.71</v>
      </c>
      <c r="AB55" s="7">
        <v>0</v>
      </c>
      <c r="AC55" s="7">
        <v>0</v>
      </c>
      <c r="AD55" s="7">
        <v>0</v>
      </c>
      <c r="AE55" s="7">
        <v>13632.82</v>
      </c>
      <c r="AF55" s="7">
        <v>8447.18</v>
      </c>
    </row>
    <row r="56" spans="1:32" x14ac:dyDescent="0.25">
      <c r="A56" s="12" t="s">
        <v>38</v>
      </c>
      <c r="B56" s="12">
        <v>177</v>
      </c>
      <c r="C56" s="12">
        <v>1</v>
      </c>
      <c r="D56" s="13" t="s">
        <v>449</v>
      </c>
      <c r="E56" s="6">
        <v>382</v>
      </c>
      <c r="F56" s="6">
        <v>371</v>
      </c>
      <c r="G56" s="6">
        <v>6884057</v>
      </c>
      <c r="H56" s="6">
        <v>45840</v>
      </c>
      <c r="I56" s="6">
        <v>44520</v>
      </c>
      <c r="J56" s="7">
        <v>22978.43</v>
      </c>
      <c r="K56" s="7">
        <v>22978.43</v>
      </c>
      <c r="L56" s="7">
        <v>22978.43</v>
      </c>
      <c r="M56" s="12">
        <v>1</v>
      </c>
      <c r="N56" s="7">
        <v>21541.57</v>
      </c>
      <c r="O56" s="7">
        <v>21541.57</v>
      </c>
      <c r="P56" s="7">
        <v>593.6</v>
      </c>
      <c r="Q56" s="6">
        <v>45840</v>
      </c>
      <c r="R56" s="7">
        <v>2330.6999999999998</v>
      </c>
      <c r="S56" s="7">
        <v>48170.7</v>
      </c>
      <c r="T56" s="7">
        <v>12042.68</v>
      </c>
      <c r="U56" s="7">
        <v>14526.94</v>
      </c>
      <c r="V56" s="7">
        <v>0</v>
      </c>
      <c r="W56" s="7">
        <v>10483.32</v>
      </c>
      <c r="X56" s="7">
        <v>0</v>
      </c>
      <c r="Y56" s="7">
        <v>0</v>
      </c>
      <c r="Z56" s="7">
        <v>6907.05</v>
      </c>
      <c r="AA56" s="7">
        <v>10639.1</v>
      </c>
      <c r="AB56" s="7">
        <v>0</v>
      </c>
      <c r="AC56" s="7">
        <v>0</v>
      </c>
      <c r="AD56" s="7">
        <v>0</v>
      </c>
      <c r="AE56" s="7">
        <v>22978.43</v>
      </c>
      <c r="AF56" s="7">
        <v>21541.57</v>
      </c>
    </row>
    <row r="57" spans="1:32" x14ac:dyDescent="0.25">
      <c r="A57" s="12" t="s">
        <v>38</v>
      </c>
      <c r="B57" s="12">
        <v>181</v>
      </c>
      <c r="C57" s="12">
        <v>1</v>
      </c>
      <c r="D57" s="13" t="s">
        <v>450</v>
      </c>
      <c r="E57" s="6">
        <v>3375</v>
      </c>
      <c r="F57" s="6">
        <v>3401</v>
      </c>
      <c r="G57" s="6">
        <v>71138505</v>
      </c>
      <c r="H57" s="6">
        <v>405000</v>
      </c>
      <c r="I57" s="6">
        <v>408120</v>
      </c>
      <c r="J57" s="7">
        <v>237454.64</v>
      </c>
      <c r="K57" s="7">
        <v>237454.64</v>
      </c>
      <c r="L57" s="7">
        <v>237454.64</v>
      </c>
      <c r="M57" s="12">
        <v>1</v>
      </c>
      <c r="N57" s="7">
        <v>170665.36</v>
      </c>
      <c r="O57" s="7">
        <v>170665.36</v>
      </c>
      <c r="P57" s="7">
        <v>5441.6</v>
      </c>
      <c r="Q57" s="6">
        <v>405000</v>
      </c>
      <c r="R57" s="7">
        <v>36431.89</v>
      </c>
      <c r="S57" s="7">
        <v>441431.89</v>
      </c>
      <c r="T57" s="7">
        <v>110357.97</v>
      </c>
      <c r="U57" s="7">
        <v>87035.99</v>
      </c>
      <c r="V57" s="7">
        <v>0</v>
      </c>
      <c r="W57" s="7">
        <v>96106.98</v>
      </c>
      <c r="X57" s="7">
        <v>0</v>
      </c>
      <c r="Y57" s="7">
        <v>0</v>
      </c>
      <c r="Z57" s="7">
        <v>67791.55</v>
      </c>
      <c r="AA57" s="7">
        <v>83644.84</v>
      </c>
      <c r="AB57" s="7">
        <v>0</v>
      </c>
      <c r="AC57" s="7">
        <v>0</v>
      </c>
      <c r="AD57" s="7">
        <v>0</v>
      </c>
      <c r="AE57" s="7">
        <v>237454.64</v>
      </c>
      <c r="AF57" s="7">
        <v>170665.36</v>
      </c>
    </row>
    <row r="58" spans="1:32" x14ac:dyDescent="0.25">
      <c r="A58" s="12" t="s">
        <v>38</v>
      </c>
      <c r="B58" s="12">
        <v>182</v>
      </c>
      <c r="C58" s="12">
        <v>1</v>
      </c>
      <c r="D58" s="13" t="s">
        <v>451</v>
      </c>
      <c r="E58" s="6">
        <v>465</v>
      </c>
      <c r="F58" s="6">
        <v>450</v>
      </c>
      <c r="G58" s="6">
        <v>26599669</v>
      </c>
      <c r="H58" s="6">
        <v>55800</v>
      </c>
      <c r="I58" s="6">
        <v>54000</v>
      </c>
      <c r="J58" s="7">
        <v>55800</v>
      </c>
      <c r="K58" s="7">
        <v>54000</v>
      </c>
      <c r="L58" s="7">
        <v>55800</v>
      </c>
      <c r="M58" s="12">
        <v>1</v>
      </c>
      <c r="N58" s="7">
        <v>0</v>
      </c>
      <c r="O58" s="7">
        <v>0</v>
      </c>
      <c r="P58" s="7">
        <v>720</v>
      </c>
      <c r="Q58" s="6">
        <v>55800</v>
      </c>
      <c r="R58" s="7">
        <v>10143.85</v>
      </c>
      <c r="S58" s="7">
        <v>65943.850000000006</v>
      </c>
      <c r="T58" s="7">
        <v>16485.96</v>
      </c>
      <c r="U58" s="7">
        <v>16758.64</v>
      </c>
      <c r="V58" s="7">
        <v>0</v>
      </c>
      <c r="W58" s="7">
        <v>10052.030000000001</v>
      </c>
      <c r="X58" s="7">
        <v>0</v>
      </c>
      <c r="Y58" s="7">
        <v>0</v>
      </c>
      <c r="Z58" s="7">
        <v>12735.83</v>
      </c>
      <c r="AA58" s="7">
        <v>13182.17</v>
      </c>
      <c r="AB58" s="7">
        <v>0</v>
      </c>
      <c r="AC58" s="7">
        <v>0</v>
      </c>
      <c r="AD58" s="7">
        <v>0</v>
      </c>
      <c r="AE58" s="7">
        <v>54000</v>
      </c>
      <c r="AF58" s="7">
        <v>0</v>
      </c>
    </row>
    <row r="59" spans="1:32" x14ac:dyDescent="0.25">
      <c r="A59" s="12" t="s">
        <v>38</v>
      </c>
      <c r="B59" s="12">
        <v>186</v>
      </c>
      <c r="C59" s="12">
        <v>1</v>
      </c>
      <c r="D59" s="13" t="s">
        <v>452</v>
      </c>
      <c r="E59" s="6">
        <v>635</v>
      </c>
      <c r="F59" s="6">
        <v>655</v>
      </c>
      <c r="G59" s="6">
        <v>42588989</v>
      </c>
      <c r="H59" s="6">
        <v>76200</v>
      </c>
      <c r="I59" s="6">
        <v>78600</v>
      </c>
      <c r="J59" s="7">
        <v>76200</v>
      </c>
      <c r="K59" s="7">
        <v>78600</v>
      </c>
      <c r="L59" s="7">
        <v>76200</v>
      </c>
      <c r="M59" s="12">
        <v>1</v>
      </c>
      <c r="N59" s="7">
        <v>0</v>
      </c>
      <c r="O59" s="7">
        <v>0</v>
      </c>
      <c r="P59" s="7">
        <v>1048</v>
      </c>
      <c r="Q59" s="6">
        <v>76200</v>
      </c>
      <c r="R59" s="7">
        <v>16706.5</v>
      </c>
      <c r="S59" s="7">
        <v>92906.5</v>
      </c>
      <c r="T59" s="7">
        <v>23226.63</v>
      </c>
      <c r="U59" s="7">
        <v>14768.94</v>
      </c>
      <c r="V59" s="7">
        <v>0</v>
      </c>
      <c r="W59" s="7">
        <v>33993.89</v>
      </c>
      <c r="X59" s="7">
        <v>0</v>
      </c>
      <c r="Y59" s="7">
        <v>0</v>
      </c>
      <c r="Z59" s="7">
        <v>45361.17</v>
      </c>
      <c r="AA59" s="7">
        <v>31374.67</v>
      </c>
      <c r="AB59" s="7">
        <v>8148.04</v>
      </c>
      <c r="AC59" s="7">
        <v>8148.04</v>
      </c>
      <c r="AD59" s="7">
        <v>0</v>
      </c>
      <c r="AE59" s="7">
        <v>70451.960000000006</v>
      </c>
      <c r="AF59" s="7">
        <v>0</v>
      </c>
    </row>
    <row r="60" spans="1:32" x14ac:dyDescent="0.25">
      <c r="A60" s="12" t="s">
        <v>38</v>
      </c>
      <c r="B60" s="12">
        <v>191</v>
      </c>
      <c r="C60" s="12">
        <v>1</v>
      </c>
      <c r="D60" s="13" t="s">
        <v>453</v>
      </c>
      <c r="E60" s="6">
        <v>3930</v>
      </c>
      <c r="F60" s="6">
        <v>3925</v>
      </c>
      <c r="G60" s="6">
        <v>77947960</v>
      </c>
      <c r="H60" s="6">
        <v>471600</v>
      </c>
      <c r="I60" s="6">
        <v>471000</v>
      </c>
      <c r="J60" s="7">
        <v>260184.05</v>
      </c>
      <c r="K60" s="7">
        <v>260184.05</v>
      </c>
      <c r="L60" s="7">
        <v>260184.05</v>
      </c>
      <c r="M60" s="12">
        <v>1</v>
      </c>
      <c r="N60" s="7">
        <v>210815.95</v>
      </c>
      <c r="O60" s="7">
        <v>210815.95</v>
      </c>
      <c r="P60" s="7">
        <v>6280</v>
      </c>
      <c r="Q60" s="6">
        <v>471600</v>
      </c>
      <c r="R60" s="7">
        <v>46202.85</v>
      </c>
      <c r="S60" s="7">
        <v>517802.85</v>
      </c>
      <c r="T60" s="7">
        <v>129450.71</v>
      </c>
      <c r="U60" s="7">
        <v>68533.47</v>
      </c>
      <c r="V60" s="7">
        <v>0</v>
      </c>
      <c r="W60" s="7">
        <v>55664.14</v>
      </c>
      <c r="X60" s="7">
        <v>0</v>
      </c>
      <c r="Y60" s="7">
        <v>0</v>
      </c>
      <c r="Z60" s="7">
        <v>12227.44</v>
      </c>
      <c r="AA60" s="7">
        <v>45475.02</v>
      </c>
      <c r="AB60" s="7">
        <v>0</v>
      </c>
      <c r="AC60" s="7">
        <v>0</v>
      </c>
      <c r="AD60" s="7">
        <v>0</v>
      </c>
      <c r="AE60" s="7">
        <v>260184.05</v>
      </c>
      <c r="AF60" s="7">
        <v>210815.95</v>
      </c>
    </row>
    <row r="61" spans="1:32" x14ac:dyDescent="0.25">
      <c r="A61" s="12" t="s">
        <v>38</v>
      </c>
      <c r="B61" s="12">
        <v>192</v>
      </c>
      <c r="C61" s="12">
        <v>1</v>
      </c>
      <c r="D61" s="13" t="s">
        <v>454</v>
      </c>
      <c r="E61" s="6">
        <v>2860</v>
      </c>
      <c r="F61" s="6">
        <v>3070</v>
      </c>
      <c r="G61" s="6">
        <v>35460850</v>
      </c>
      <c r="H61" s="6">
        <v>343200</v>
      </c>
      <c r="I61" s="6">
        <v>368400</v>
      </c>
      <c r="J61" s="7">
        <v>118365.48</v>
      </c>
      <c r="K61" s="7">
        <v>118365.48</v>
      </c>
      <c r="L61" s="7">
        <v>118365.48</v>
      </c>
      <c r="M61" s="12">
        <v>1</v>
      </c>
      <c r="N61" s="7">
        <v>250034.52</v>
      </c>
      <c r="O61" s="7">
        <v>250034.52</v>
      </c>
      <c r="P61" s="7">
        <v>4912</v>
      </c>
      <c r="Q61" s="6">
        <v>343200</v>
      </c>
      <c r="R61" s="7">
        <v>37504.660000000003</v>
      </c>
      <c r="S61" s="7">
        <v>380704.66</v>
      </c>
      <c r="T61" s="7">
        <v>95176.17</v>
      </c>
      <c r="U61" s="7">
        <v>168921.21</v>
      </c>
      <c r="V61" s="7">
        <v>14709.58</v>
      </c>
      <c r="W61" s="7">
        <v>128073.56</v>
      </c>
      <c r="X61" s="7">
        <v>31561.83</v>
      </c>
      <c r="Y61" s="7">
        <v>0</v>
      </c>
      <c r="Z61" s="7">
        <v>4401.5600000000004</v>
      </c>
      <c r="AA61" s="7">
        <v>85041.64</v>
      </c>
      <c r="AB61" s="7">
        <v>0</v>
      </c>
      <c r="AC61" s="7">
        <v>0</v>
      </c>
      <c r="AD61" s="7">
        <v>0</v>
      </c>
      <c r="AE61" s="7">
        <v>118365.48</v>
      </c>
      <c r="AF61" s="7">
        <v>250034.52</v>
      </c>
    </row>
    <row r="62" spans="1:32" x14ac:dyDescent="0.25">
      <c r="A62" s="12" t="s">
        <v>38</v>
      </c>
      <c r="B62" s="12">
        <v>194</v>
      </c>
      <c r="C62" s="12">
        <v>1</v>
      </c>
      <c r="D62" s="13" t="s">
        <v>455</v>
      </c>
      <c r="E62" s="6">
        <v>4560</v>
      </c>
      <c r="F62" s="6">
        <v>4455</v>
      </c>
      <c r="G62" s="6">
        <v>79183434</v>
      </c>
      <c r="H62" s="6">
        <v>547200</v>
      </c>
      <c r="I62" s="6">
        <v>534600</v>
      </c>
      <c r="J62" s="7">
        <v>264307.96999999997</v>
      </c>
      <c r="K62" s="7">
        <v>264307.96999999997</v>
      </c>
      <c r="L62" s="7">
        <v>264307.96999999997</v>
      </c>
      <c r="M62" s="12">
        <v>1</v>
      </c>
      <c r="N62" s="7">
        <v>270292.03000000003</v>
      </c>
      <c r="O62" s="7">
        <v>270292.03000000003</v>
      </c>
      <c r="P62" s="7">
        <v>7128</v>
      </c>
      <c r="Q62" s="6">
        <v>547200</v>
      </c>
      <c r="R62" s="7">
        <v>108606.05</v>
      </c>
      <c r="S62" s="7">
        <v>655806.05000000005</v>
      </c>
      <c r="T62" s="7">
        <v>163951.51</v>
      </c>
      <c r="U62" s="7">
        <v>89474</v>
      </c>
      <c r="V62" s="7">
        <v>0</v>
      </c>
      <c r="W62" s="7">
        <v>142480</v>
      </c>
      <c r="X62" s="7">
        <v>0</v>
      </c>
      <c r="Y62" s="7">
        <v>0</v>
      </c>
      <c r="Z62" s="7">
        <v>141502</v>
      </c>
      <c r="AA62" s="7">
        <v>124485.33</v>
      </c>
      <c r="AB62" s="7">
        <v>0</v>
      </c>
      <c r="AC62" s="7">
        <v>0</v>
      </c>
      <c r="AD62" s="7">
        <v>0</v>
      </c>
      <c r="AE62" s="7">
        <v>264307.96999999997</v>
      </c>
      <c r="AF62" s="7">
        <v>270292.03000000003</v>
      </c>
    </row>
    <row r="63" spans="1:32" x14ac:dyDescent="0.25">
      <c r="A63" s="12" t="s">
        <v>38</v>
      </c>
      <c r="B63" s="12">
        <v>195</v>
      </c>
      <c r="C63" s="12">
        <v>1</v>
      </c>
      <c r="D63" s="13" t="s">
        <v>456</v>
      </c>
      <c r="E63" s="6">
        <v>108</v>
      </c>
      <c r="F63" s="6">
        <v>126</v>
      </c>
      <c r="G63" s="6">
        <v>5173825</v>
      </c>
      <c r="H63" s="6">
        <v>18000</v>
      </c>
      <c r="I63" s="6">
        <v>18000</v>
      </c>
      <c r="J63" s="7">
        <v>17269.810000000001</v>
      </c>
      <c r="K63" s="7">
        <v>17269.810000000001</v>
      </c>
      <c r="L63" s="7">
        <v>17269.810000000001</v>
      </c>
      <c r="M63" s="12">
        <v>1</v>
      </c>
      <c r="N63" s="7">
        <v>730.19</v>
      </c>
      <c r="O63" s="7">
        <v>730.19</v>
      </c>
      <c r="P63" s="7">
        <v>201.6</v>
      </c>
      <c r="Q63" s="6">
        <v>18000</v>
      </c>
      <c r="R63" s="7">
        <v>1162.8</v>
      </c>
      <c r="S63" s="7">
        <v>19162.8</v>
      </c>
      <c r="T63" s="7">
        <v>4790.7</v>
      </c>
      <c r="U63" s="7">
        <v>-7326.82</v>
      </c>
      <c r="V63" s="7">
        <v>0</v>
      </c>
      <c r="W63" s="7">
        <v>-2983.48</v>
      </c>
      <c r="X63" s="7">
        <v>0</v>
      </c>
      <c r="Y63" s="7">
        <v>0</v>
      </c>
      <c r="Z63" s="7">
        <v>-7844.03</v>
      </c>
      <c r="AA63" s="7">
        <v>-6051.44</v>
      </c>
      <c r="AB63" s="7">
        <v>0</v>
      </c>
      <c r="AC63" s="7">
        <v>0</v>
      </c>
      <c r="AD63" s="7">
        <v>0</v>
      </c>
      <c r="AE63" s="7">
        <v>17269.810000000001</v>
      </c>
      <c r="AF63" s="7">
        <v>730.19</v>
      </c>
    </row>
    <row r="64" spans="1:32" x14ac:dyDescent="0.25">
      <c r="A64" s="12" t="s">
        <v>38</v>
      </c>
      <c r="B64" s="12">
        <v>196</v>
      </c>
      <c r="C64" s="12">
        <v>1</v>
      </c>
      <c r="D64" s="13" t="s">
        <v>457</v>
      </c>
      <c r="E64" s="6">
        <v>10915</v>
      </c>
      <c r="F64" s="6">
        <v>10735</v>
      </c>
      <c r="G64" s="6">
        <v>186690900</v>
      </c>
      <c r="H64" s="6">
        <v>1309800</v>
      </c>
      <c r="I64" s="6">
        <v>1288200</v>
      </c>
      <c r="J64" s="7">
        <v>623159.29</v>
      </c>
      <c r="K64" s="7">
        <v>623159.29</v>
      </c>
      <c r="L64" s="7">
        <v>623159.29</v>
      </c>
      <c r="M64" s="12">
        <v>1</v>
      </c>
      <c r="N64" s="7">
        <v>665040.71</v>
      </c>
      <c r="O64" s="7">
        <v>665040.71</v>
      </c>
      <c r="P64" s="7">
        <v>17176</v>
      </c>
      <c r="Q64" s="6">
        <v>1309800</v>
      </c>
      <c r="R64" s="7">
        <v>146603.97</v>
      </c>
      <c r="S64" s="7">
        <v>1456403.97</v>
      </c>
      <c r="T64" s="7">
        <v>364100.99</v>
      </c>
      <c r="U64" s="7">
        <v>156566.63</v>
      </c>
      <c r="V64" s="7">
        <v>0</v>
      </c>
      <c r="W64" s="7">
        <v>87035.23</v>
      </c>
      <c r="X64" s="7">
        <v>0</v>
      </c>
      <c r="Y64" s="7">
        <v>0</v>
      </c>
      <c r="Z64" s="7">
        <v>55093.68</v>
      </c>
      <c r="AA64" s="7">
        <v>99565.18</v>
      </c>
      <c r="AB64" s="7">
        <v>0</v>
      </c>
      <c r="AC64" s="7">
        <v>0</v>
      </c>
      <c r="AD64" s="7">
        <v>0</v>
      </c>
      <c r="AE64" s="7">
        <v>623159.29</v>
      </c>
      <c r="AF64" s="7">
        <v>665040.71</v>
      </c>
    </row>
    <row r="65" spans="1:32" x14ac:dyDescent="0.25">
      <c r="A65" s="12" t="s">
        <v>38</v>
      </c>
      <c r="B65" s="12">
        <v>197</v>
      </c>
      <c r="C65" s="12">
        <v>1</v>
      </c>
      <c r="D65" s="13" t="s">
        <v>458</v>
      </c>
      <c r="E65" s="6">
        <v>3065</v>
      </c>
      <c r="F65" s="6">
        <v>3070</v>
      </c>
      <c r="G65" s="6">
        <v>75123468</v>
      </c>
      <c r="H65" s="6">
        <v>367800</v>
      </c>
      <c r="I65" s="6">
        <v>368400</v>
      </c>
      <c r="J65" s="7">
        <v>250756.13</v>
      </c>
      <c r="K65" s="7">
        <v>250756.13</v>
      </c>
      <c r="L65" s="7">
        <v>250756.13</v>
      </c>
      <c r="M65" s="12">
        <v>1</v>
      </c>
      <c r="N65" s="7">
        <v>117643.87</v>
      </c>
      <c r="O65" s="7">
        <v>117643.87</v>
      </c>
      <c r="P65" s="7">
        <v>4912</v>
      </c>
      <c r="Q65" s="6">
        <v>367800</v>
      </c>
      <c r="R65" s="7">
        <v>40062.29</v>
      </c>
      <c r="S65" s="7">
        <v>407862.29</v>
      </c>
      <c r="T65" s="7">
        <v>101965.57</v>
      </c>
      <c r="U65" s="7">
        <v>59139</v>
      </c>
      <c r="V65" s="7">
        <v>0</v>
      </c>
      <c r="W65" s="7">
        <v>6296</v>
      </c>
      <c r="X65" s="7">
        <v>0</v>
      </c>
      <c r="Y65" s="7">
        <v>0</v>
      </c>
      <c r="Z65" s="7">
        <v>-8035</v>
      </c>
      <c r="AA65" s="7">
        <v>19133.330000000002</v>
      </c>
      <c r="AB65" s="7">
        <v>0</v>
      </c>
      <c r="AC65" s="7">
        <v>0</v>
      </c>
      <c r="AD65" s="7">
        <v>0</v>
      </c>
      <c r="AE65" s="7">
        <v>250756.13</v>
      </c>
      <c r="AF65" s="7">
        <v>117643.87</v>
      </c>
    </row>
    <row r="66" spans="1:32" x14ac:dyDescent="0.25">
      <c r="A66" s="12" t="s">
        <v>38</v>
      </c>
      <c r="B66" s="12">
        <v>199</v>
      </c>
      <c r="C66" s="12">
        <v>1</v>
      </c>
      <c r="D66" s="13" t="s">
        <v>459</v>
      </c>
      <c r="E66" s="6">
        <v>1800</v>
      </c>
      <c r="F66" s="6">
        <v>1774</v>
      </c>
      <c r="G66" s="6">
        <v>33502318</v>
      </c>
      <c r="H66" s="6">
        <v>216000</v>
      </c>
      <c r="I66" s="6">
        <v>212880</v>
      </c>
      <c r="J66" s="7">
        <v>111828.06</v>
      </c>
      <c r="K66" s="7">
        <v>111828.06</v>
      </c>
      <c r="L66" s="7">
        <v>111828.06</v>
      </c>
      <c r="M66" s="12">
        <v>1</v>
      </c>
      <c r="N66" s="7">
        <v>101051.94</v>
      </c>
      <c r="O66" s="7">
        <v>101051.94</v>
      </c>
      <c r="P66" s="7">
        <v>2838.4</v>
      </c>
      <c r="Q66" s="6">
        <v>216000</v>
      </c>
      <c r="R66" s="7">
        <v>2880</v>
      </c>
      <c r="S66" s="7">
        <v>218880</v>
      </c>
      <c r="T66" s="7">
        <v>54720</v>
      </c>
      <c r="U66" s="7">
        <v>9632.01</v>
      </c>
      <c r="V66" s="7">
        <v>0</v>
      </c>
      <c r="W66" s="7">
        <v>9543.91</v>
      </c>
      <c r="X66" s="7">
        <v>0</v>
      </c>
      <c r="Y66" s="7">
        <v>0</v>
      </c>
      <c r="Z66" s="7">
        <v>9318.73</v>
      </c>
      <c r="AA66" s="7">
        <v>9498.2199999999993</v>
      </c>
      <c r="AB66" s="7">
        <v>0</v>
      </c>
      <c r="AC66" s="7">
        <v>0</v>
      </c>
      <c r="AD66" s="7">
        <v>0</v>
      </c>
      <c r="AE66" s="7">
        <v>111828.06</v>
      </c>
      <c r="AF66" s="7">
        <v>101051.94</v>
      </c>
    </row>
    <row r="67" spans="1:32" x14ac:dyDescent="0.25">
      <c r="A67" s="12" t="s">
        <v>38</v>
      </c>
      <c r="B67" s="12">
        <v>200</v>
      </c>
      <c r="C67" s="12">
        <v>1</v>
      </c>
      <c r="D67" s="13" t="s">
        <v>460</v>
      </c>
      <c r="E67" s="6">
        <v>2030</v>
      </c>
      <c r="F67" s="6">
        <v>2040</v>
      </c>
      <c r="G67" s="6">
        <v>42243317</v>
      </c>
      <c r="H67" s="6">
        <v>243600</v>
      </c>
      <c r="I67" s="6">
        <v>244800</v>
      </c>
      <c r="J67" s="7">
        <v>141004.81</v>
      </c>
      <c r="K67" s="7">
        <v>141004.81</v>
      </c>
      <c r="L67" s="7">
        <v>141004.81</v>
      </c>
      <c r="M67" s="12">
        <v>1</v>
      </c>
      <c r="N67" s="7">
        <v>103795.19</v>
      </c>
      <c r="O67" s="7">
        <v>103795.19</v>
      </c>
      <c r="P67" s="7">
        <v>3264</v>
      </c>
      <c r="Q67" s="6">
        <v>243600</v>
      </c>
      <c r="R67" s="7">
        <v>18260.650000000001</v>
      </c>
      <c r="S67" s="7">
        <v>261860.65</v>
      </c>
      <c r="T67" s="7">
        <v>65465.16</v>
      </c>
      <c r="U67" s="7">
        <v>47916.49</v>
      </c>
      <c r="V67" s="7">
        <v>0</v>
      </c>
      <c r="W67" s="7">
        <v>39606.99</v>
      </c>
      <c r="X67" s="7">
        <v>0</v>
      </c>
      <c r="Y67" s="7">
        <v>0</v>
      </c>
      <c r="Z67" s="7">
        <v>51740.83</v>
      </c>
      <c r="AA67" s="7">
        <v>46421.440000000002</v>
      </c>
      <c r="AB67" s="7">
        <v>0</v>
      </c>
      <c r="AC67" s="7">
        <v>0</v>
      </c>
      <c r="AD67" s="7">
        <v>0</v>
      </c>
      <c r="AE67" s="7">
        <v>141004.81</v>
      </c>
      <c r="AF67" s="7">
        <v>103795.19</v>
      </c>
    </row>
    <row r="68" spans="1:32" x14ac:dyDescent="0.25">
      <c r="A68" s="12" t="s">
        <v>38</v>
      </c>
      <c r="B68" s="12">
        <v>203</v>
      </c>
      <c r="C68" s="12">
        <v>1</v>
      </c>
      <c r="D68" s="13" t="s">
        <v>461</v>
      </c>
      <c r="E68" s="6">
        <v>296</v>
      </c>
      <c r="F68" s="6">
        <v>297</v>
      </c>
      <c r="G68" s="6">
        <v>6408576</v>
      </c>
      <c r="H68" s="6">
        <v>35520</v>
      </c>
      <c r="I68" s="6">
        <v>35640</v>
      </c>
      <c r="J68" s="7">
        <v>21391.31</v>
      </c>
      <c r="K68" s="7">
        <v>21391.31</v>
      </c>
      <c r="L68" s="7">
        <v>21391.31</v>
      </c>
      <c r="M68" s="12">
        <v>1</v>
      </c>
      <c r="N68" s="7">
        <v>14248.69</v>
      </c>
      <c r="O68" s="7">
        <v>14248.69</v>
      </c>
      <c r="P68" s="7">
        <v>475.2</v>
      </c>
      <c r="Q68" s="6">
        <v>35520</v>
      </c>
      <c r="R68" s="7">
        <v>1911.6</v>
      </c>
      <c r="S68" s="7">
        <v>37431.599999999999</v>
      </c>
      <c r="T68" s="7">
        <v>9357.9</v>
      </c>
      <c r="U68" s="7">
        <v>-3902.61</v>
      </c>
      <c r="V68" s="7">
        <v>0</v>
      </c>
      <c r="W68" s="7">
        <v>-1154.33</v>
      </c>
      <c r="X68" s="7">
        <v>0</v>
      </c>
      <c r="Y68" s="7">
        <v>0</v>
      </c>
      <c r="Z68" s="7">
        <v>730.03</v>
      </c>
      <c r="AA68" s="7">
        <v>-1442.3</v>
      </c>
      <c r="AB68" s="7">
        <v>0</v>
      </c>
      <c r="AC68" s="7">
        <v>0</v>
      </c>
      <c r="AD68" s="7">
        <v>0</v>
      </c>
      <c r="AE68" s="7">
        <v>21391.31</v>
      </c>
      <c r="AF68" s="7">
        <v>14248.69</v>
      </c>
    </row>
    <row r="69" spans="1:32" x14ac:dyDescent="0.25">
      <c r="A69" s="12" t="s">
        <v>38</v>
      </c>
      <c r="B69" s="12">
        <v>204</v>
      </c>
      <c r="C69" s="12">
        <v>1</v>
      </c>
      <c r="D69" s="13" t="s">
        <v>462</v>
      </c>
      <c r="E69" s="6">
        <v>810</v>
      </c>
      <c r="F69" s="6">
        <v>818</v>
      </c>
      <c r="G69" s="6">
        <v>7866441</v>
      </c>
      <c r="H69" s="6">
        <v>97200</v>
      </c>
      <c r="I69" s="6">
        <v>98160</v>
      </c>
      <c r="J69" s="7">
        <v>26257.55</v>
      </c>
      <c r="K69" s="7">
        <v>26257.55</v>
      </c>
      <c r="L69" s="7">
        <v>26257.55</v>
      </c>
      <c r="M69" s="12">
        <v>1</v>
      </c>
      <c r="N69" s="7">
        <v>71902.45</v>
      </c>
      <c r="O69" s="7">
        <v>71902.45</v>
      </c>
      <c r="P69" s="7">
        <v>1308.8</v>
      </c>
      <c r="Q69" s="6">
        <v>97200</v>
      </c>
      <c r="R69" s="7">
        <v>5135.67</v>
      </c>
      <c r="S69" s="7">
        <v>102335.67</v>
      </c>
      <c r="T69" s="7">
        <v>25583.919999999998</v>
      </c>
      <c r="U69" s="7">
        <v>39707.620000000003</v>
      </c>
      <c r="V69" s="7">
        <v>0</v>
      </c>
      <c r="W69" s="7">
        <v>59004.06</v>
      </c>
      <c r="X69" s="7">
        <v>13825.09</v>
      </c>
      <c r="Y69" s="7">
        <v>0</v>
      </c>
      <c r="Z69" s="7">
        <v>59536.959999999999</v>
      </c>
      <c r="AA69" s="7">
        <v>48141.18</v>
      </c>
      <c r="AB69" s="7">
        <v>22557.26</v>
      </c>
      <c r="AC69" s="7">
        <v>6034.01</v>
      </c>
      <c r="AD69" s="7">
        <v>16523.25</v>
      </c>
      <c r="AE69" s="7">
        <v>20223.54</v>
      </c>
      <c r="AF69" s="7">
        <v>55379.199999999997</v>
      </c>
    </row>
    <row r="70" spans="1:32" x14ac:dyDescent="0.25">
      <c r="A70" s="12" t="s">
        <v>38</v>
      </c>
      <c r="B70" s="12">
        <v>206</v>
      </c>
      <c r="C70" s="12">
        <v>1</v>
      </c>
      <c r="D70" s="13" t="s">
        <v>463</v>
      </c>
      <c r="E70" s="6">
        <v>1552</v>
      </c>
      <c r="F70" s="6">
        <v>1580</v>
      </c>
      <c r="G70" s="6">
        <v>47293888</v>
      </c>
      <c r="H70" s="6">
        <v>186240</v>
      </c>
      <c r="I70" s="6">
        <v>189600</v>
      </c>
      <c r="J70" s="7">
        <v>157863.21</v>
      </c>
      <c r="K70" s="7">
        <v>157863.21</v>
      </c>
      <c r="L70" s="7">
        <v>157863.21</v>
      </c>
      <c r="M70" s="12">
        <v>1</v>
      </c>
      <c r="N70" s="7">
        <v>31736.79</v>
      </c>
      <c r="O70" s="7">
        <v>31736.79</v>
      </c>
      <c r="P70" s="7">
        <v>2528</v>
      </c>
      <c r="Q70" s="6">
        <v>186240</v>
      </c>
      <c r="R70" s="7">
        <v>70710.539999999994</v>
      </c>
      <c r="S70" s="7">
        <v>256950.54</v>
      </c>
      <c r="T70" s="7">
        <v>64237.64</v>
      </c>
      <c r="U70" s="7">
        <v>56922.22</v>
      </c>
      <c r="V70" s="7">
        <v>0</v>
      </c>
      <c r="W70" s="7">
        <v>44522.25</v>
      </c>
      <c r="X70" s="7">
        <v>0</v>
      </c>
      <c r="Y70" s="7">
        <v>0</v>
      </c>
      <c r="Z70" s="7">
        <v>48737.37</v>
      </c>
      <c r="AA70" s="7">
        <v>50060.61</v>
      </c>
      <c r="AB70" s="7">
        <v>0</v>
      </c>
      <c r="AC70" s="7">
        <v>0</v>
      </c>
      <c r="AD70" s="7">
        <v>0</v>
      </c>
      <c r="AE70" s="7">
        <v>157863.21</v>
      </c>
      <c r="AF70" s="7">
        <v>31736.79</v>
      </c>
    </row>
    <row r="71" spans="1:32" x14ac:dyDescent="0.25">
      <c r="A71" s="12" t="s">
        <v>38</v>
      </c>
      <c r="B71" s="12">
        <v>207</v>
      </c>
      <c r="C71" s="12">
        <v>1</v>
      </c>
      <c r="D71" s="13" t="s">
        <v>464</v>
      </c>
      <c r="E71" s="6">
        <v>121</v>
      </c>
      <c r="F71" s="6">
        <v>110</v>
      </c>
      <c r="G71" s="6">
        <v>3085962</v>
      </c>
      <c r="H71" s="6">
        <v>18000</v>
      </c>
      <c r="I71" s="6">
        <v>18000</v>
      </c>
      <c r="J71" s="7">
        <v>10300.69</v>
      </c>
      <c r="K71" s="7">
        <v>10300.69</v>
      </c>
      <c r="L71" s="7">
        <v>10300.69</v>
      </c>
      <c r="M71" s="12">
        <v>1</v>
      </c>
      <c r="N71" s="7">
        <v>7699.31</v>
      </c>
      <c r="O71" s="7">
        <v>7699.31</v>
      </c>
      <c r="P71" s="7">
        <v>176</v>
      </c>
      <c r="Q71" s="6">
        <v>18000</v>
      </c>
      <c r="R71" s="7">
        <v>193.6</v>
      </c>
      <c r="S71" s="7">
        <v>18193.599999999999</v>
      </c>
      <c r="T71" s="7">
        <v>4548.3999999999996</v>
      </c>
      <c r="U71" s="7">
        <v>5472.89</v>
      </c>
      <c r="V71" s="7">
        <v>0</v>
      </c>
      <c r="W71" s="7">
        <v>14579.57</v>
      </c>
      <c r="X71" s="7">
        <v>0</v>
      </c>
      <c r="Y71" s="7">
        <v>0</v>
      </c>
      <c r="Z71" s="7">
        <v>-6556.5</v>
      </c>
      <c r="AA71" s="7">
        <v>4498.6499999999996</v>
      </c>
      <c r="AB71" s="7">
        <v>0</v>
      </c>
      <c r="AC71" s="7">
        <v>0</v>
      </c>
      <c r="AD71" s="7">
        <v>0</v>
      </c>
      <c r="AE71" s="7">
        <v>10300.69</v>
      </c>
      <c r="AF71" s="7">
        <v>7699.31</v>
      </c>
    </row>
    <row r="72" spans="1:32" x14ac:dyDescent="0.25">
      <c r="A72" s="12" t="s">
        <v>38</v>
      </c>
      <c r="B72" s="12">
        <v>208</v>
      </c>
      <c r="C72" s="12">
        <v>1</v>
      </c>
      <c r="D72" s="13" t="s">
        <v>465</v>
      </c>
      <c r="E72" s="6">
        <v>111</v>
      </c>
      <c r="F72" s="6">
        <v>112</v>
      </c>
      <c r="G72" s="6">
        <v>2513379</v>
      </c>
      <c r="H72" s="6">
        <v>18000</v>
      </c>
      <c r="I72" s="6">
        <v>18000</v>
      </c>
      <c r="J72" s="7">
        <v>8389.4599999999991</v>
      </c>
      <c r="K72" s="7">
        <v>8389.4599999999991</v>
      </c>
      <c r="L72" s="7">
        <v>8389.4599999999991</v>
      </c>
      <c r="M72" s="12">
        <v>1</v>
      </c>
      <c r="N72" s="7">
        <v>9610.5400000000009</v>
      </c>
      <c r="O72" s="7">
        <v>9610.5400000000009</v>
      </c>
      <c r="P72" s="7">
        <v>179.2</v>
      </c>
      <c r="Q72" s="6">
        <v>18000</v>
      </c>
      <c r="R72" s="7">
        <v>177.6</v>
      </c>
      <c r="S72" s="7">
        <v>18177.599999999999</v>
      </c>
      <c r="T72" s="7">
        <v>4544.3999999999996</v>
      </c>
      <c r="U72" s="7">
        <v>2846.62</v>
      </c>
      <c r="V72" s="7">
        <v>0</v>
      </c>
      <c r="W72" s="7">
        <v>3675.35</v>
      </c>
      <c r="X72" s="7">
        <v>0</v>
      </c>
      <c r="Y72" s="7">
        <v>0</v>
      </c>
      <c r="Z72" s="7">
        <v>3948.2</v>
      </c>
      <c r="AA72" s="7">
        <v>3490.06</v>
      </c>
      <c r="AB72" s="7">
        <v>0</v>
      </c>
      <c r="AC72" s="7">
        <v>0</v>
      </c>
      <c r="AD72" s="7">
        <v>0</v>
      </c>
      <c r="AE72" s="7">
        <v>8389.4599999999991</v>
      </c>
      <c r="AF72" s="7">
        <v>9610.5400000000009</v>
      </c>
    </row>
    <row r="73" spans="1:32" x14ac:dyDescent="0.25">
      <c r="A73" s="12" t="s">
        <v>38</v>
      </c>
      <c r="B73" s="12">
        <v>213</v>
      </c>
      <c r="C73" s="12">
        <v>1</v>
      </c>
      <c r="D73" s="13" t="s">
        <v>466</v>
      </c>
      <c r="E73" s="6">
        <v>273</v>
      </c>
      <c r="F73" s="6">
        <v>276</v>
      </c>
      <c r="G73" s="6">
        <v>4683367</v>
      </c>
      <c r="H73" s="6">
        <v>32760</v>
      </c>
      <c r="I73" s="6">
        <v>33120</v>
      </c>
      <c r="J73" s="7">
        <v>15632.7</v>
      </c>
      <c r="K73" s="7">
        <v>15632.7</v>
      </c>
      <c r="L73" s="7">
        <v>15632.7</v>
      </c>
      <c r="M73" s="12">
        <v>1</v>
      </c>
      <c r="N73" s="7">
        <v>17487.3</v>
      </c>
      <c r="O73" s="7">
        <v>17487.3</v>
      </c>
      <c r="P73" s="7">
        <v>441.6</v>
      </c>
      <c r="Q73" s="6">
        <v>32760</v>
      </c>
      <c r="R73" s="7">
        <v>2291.8000000000002</v>
      </c>
      <c r="S73" s="7">
        <v>35051.800000000003</v>
      </c>
      <c r="T73" s="7">
        <v>8762.9500000000007</v>
      </c>
      <c r="U73" s="7">
        <v>15725.13</v>
      </c>
      <c r="V73" s="7">
        <v>0</v>
      </c>
      <c r="W73" s="7">
        <v>26680.66</v>
      </c>
      <c r="X73" s="7">
        <v>7231.52</v>
      </c>
      <c r="Y73" s="7">
        <v>0</v>
      </c>
      <c r="Z73" s="7">
        <v>21507.91</v>
      </c>
      <c r="AA73" s="7">
        <v>18894.060000000001</v>
      </c>
      <c r="AB73" s="7">
        <v>10131.11</v>
      </c>
      <c r="AC73" s="7">
        <v>4781.8999999999996</v>
      </c>
      <c r="AD73" s="7">
        <v>5349.21</v>
      </c>
      <c r="AE73" s="7">
        <v>10850.8</v>
      </c>
      <c r="AF73" s="7">
        <v>12138.09</v>
      </c>
    </row>
    <row r="74" spans="1:32" x14ac:dyDescent="0.25">
      <c r="A74" s="12" t="s">
        <v>38</v>
      </c>
      <c r="B74" s="12">
        <v>227</v>
      </c>
      <c r="C74" s="12">
        <v>1</v>
      </c>
      <c r="D74" s="13" t="s">
        <v>467</v>
      </c>
      <c r="E74" s="6">
        <v>325</v>
      </c>
      <c r="F74" s="6">
        <v>363</v>
      </c>
      <c r="G74" s="6">
        <v>5768292</v>
      </c>
      <c r="H74" s="6">
        <v>39000</v>
      </c>
      <c r="I74" s="6">
        <v>43560</v>
      </c>
      <c r="J74" s="7">
        <v>19254.099999999999</v>
      </c>
      <c r="K74" s="7">
        <v>19254.099999999999</v>
      </c>
      <c r="L74" s="7">
        <v>19254.099999999999</v>
      </c>
      <c r="M74" s="12">
        <v>1</v>
      </c>
      <c r="N74" s="7">
        <v>24305.9</v>
      </c>
      <c r="O74" s="7">
        <v>24305.9</v>
      </c>
      <c r="P74" s="7">
        <v>580.79999999999995</v>
      </c>
      <c r="Q74" s="6">
        <v>39000</v>
      </c>
      <c r="R74" s="7">
        <v>4712.8</v>
      </c>
      <c r="S74" s="7">
        <v>43712.800000000003</v>
      </c>
      <c r="T74" s="7">
        <v>10928.2</v>
      </c>
      <c r="U74" s="7">
        <v>12299.12</v>
      </c>
      <c r="V74" s="7">
        <v>0</v>
      </c>
      <c r="W74" s="7">
        <v>16935.37</v>
      </c>
      <c r="X74" s="7">
        <v>1838.41</v>
      </c>
      <c r="Y74" s="7">
        <v>0</v>
      </c>
      <c r="Z74" s="7">
        <v>3970.03</v>
      </c>
      <c r="AA74" s="7">
        <v>10455.370000000001</v>
      </c>
      <c r="AB74" s="7">
        <v>0</v>
      </c>
      <c r="AC74" s="7">
        <v>0</v>
      </c>
      <c r="AD74" s="7">
        <v>0</v>
      </c>
      <c r="AE74" s="7">
        <v>19254.099999999999</v>
      </c>
      <c r="AF74" s="7">
        <v>24305.9</v>
      </c>
    </row>
    <row r="75" spans="1:32" x14ac:dyDescent="0.25">
      <c r="A75" s="12" t="s">
        <v>38</v>
      </c>
      <c r="B75" s="12">
        <v>229</v>
      </c>
      <c r="C75" s="12">
        <v>1</v>
      </c>
      <c r="D75" s="13" t="s">
        <v>468</v>
      </c>
      <c r="E75" s="6">
        <v>133</v>
      </c>
      <c r="F75" s="6">
        <v>119</v>
      </c>
      <c r="G75" s="6">
        <v>2582208</v>
      </c>
      <c r="H75" s="6">
        <v>18000</v>
      </c>
      <c r="I75" s="6">
        <v>18000</v>
      </c>
      <c r="J75" s="7">
        <v>8619.2000000000007</v>
      </c>
      <c r="K75" s="7">
        <v>8619.2000000000007</v>
      </c>
      <c r="L75" s="7">
        <v>8619.2000000000007</v>
      </c>
      <c r="M75" s="12">
        <v>1</v>
      </c>
      <c r="N75" s="7">
        <v>9380.7999999999993</v>
      </c>
      <c r="O75" s="7">
        <v>9380.7999999999993</v>
      </c>
      <c r="P75" s="7">
        <v>0</v>
      </c>
      <c r="Q75" s="6">
        <v>18000</v>
      </c>
      <c r="R75" s="7">
        <v>373.26</v>
      </c>
      <c r="S75" s="7">
        <v>18373.259999999998</v>
      </c>
      <c r="T75" s="7">
        <v>4593.32</v>
      </c>
      <c r="U75" s="7">
        <v>1652.07</v>
      </c>
      <c r="V75" s="7">
        <v>0</v>
      </c>
      <c r="W75" s="7">
        <v>4690.08</v>
      </c>
      <c r="X75" s="7">
        <v>0</v>
      </c>
      <c r="Y75" s="7">
        <v>0</v>
      </c>
      <c r="Z75" s="7">
        <v>2786.55</v>
      </c>
      <c r="AA75" s="7">
        <v>3042.9</v>
      </c>
      <c r="AB75" s="7">
        <v>0</v>
      </c>
      <c r="AC75" s="7">
        <v>0</v>
      </c>
      <c r="AD75" s="7">
        <v>0</v>
      </c>
      <c r="AE75" s="7">
        <v>8619.2000000000007</v>
      </c>
      <c r="AF75" s="7">
        <v>9380.7999999999993</v>
      </c>
    </row>
    <row r="76" spans="1:32" x14ac:dyDescent="0.25">
      <c r="A76" s="12" t="s">
        <v>38</v>
      </c>
      <c r="B76" s="12">
        <v>238</v>
      </c>
      <c r="C76" s="12">
        <v>1</v>
      </c>
      <c r="D76" s="13" t="s">
        <v>469</v>
      </c>
      <c r="E76" s="6">
        <v>181</v>
      </c>
      <c r="F76" s="6">
        <v>164</v>
      </c>
      <c r="G76" s="6">
        <v>2719313</v>
      </c>
      <c r="H76" s="6">
        <v>21720</v>
      </c>
      <c r="I76" s="6">
        <v>19680</v>
      </c>
      <c r="J76" s="7">
        <v>9076.85</v>
      </c>
      <c r="K76" s="7">
        <v>9076.85</v>
      </c>
      <c r="L76" s="7">
        <v>9076.85</v>
      </c>
      <c r="M76" s="12">
        <v>1</v>
      </c>
      <c r="N76" s="7">
        <v>10603.15</v>
      </c>
      <c r="O76" s="7">
        <v>10603.15</v>
      </c>
      <c r="P76" s="7">
        <v>0</v>
      </c>
      <c r="Q76" s="6">
        <v>21720</v>
      </c>
      <c r="R76" s="7">
        <v>2366.62</v>
      </c>
      <c r="S76" s="7">
        <v>24086.62</v>
      </c>
      <c r="T76" s="7">
        <v>6021.66</v>
      </c>
      <c r="U76" s="7">
        <v>26961.46</v>
      </c>
      <c r="V76" s="7">
        <v>11269.87</v>
      </c>
      <c r="W76" s="7">
        <v>19005.189999999999</v>
      </c>
      <c r="X76" s="7">
        <v>10114.74</v>
      </c>
      <c r="Y76" s="7">
        <v>0</v>
      </c>
      <c r="Z76" s="7">
        <v>13826.4</v>
      </c>
      <c r="AA76" s="7">
        <v>12802.81</v>
      </c>
      <c r="AB76" s="7">
        <v>6781.15</v>
      </c>
      <c r="AC76" s="7">
        <v>3127.62</v>
      </c>
      <c r="AD76" s="7">
        <v>3653.53</v>
      </c>
      <c r="AE76" s="7">
        <v>5949.23</v>
      </c>
      <c r="AF76" s="7">
        <v>6949.62</v>
      </c>
    </row>
    <row r="77" spans="1:32" x14ac:dyDescent="0.25">
      <c r="A77" s="12" t="s">
        <v>38</v>
      </c>
      <c r="B77" s="12">
        <v>239</v>
      </c>
      <c r="C77" s="12">
        <v>1</v>
      </c>
      <c r="D77" s="13" t="s">
        <v>470</v>
      </c>
      <c r="E77" s="6">
        <v>228</v>
      </c>
      <c r="F77" s="6">
        <v>201</v>
      </c>
      <c r="G77" s="6">
        <v>4407172</v>
      </c>
      <c r="H77" s="6">
        <v>27360</v>
      </c>
      <c r="I77" s="6">
        <v>24120</v>
      </c>
      <c r="J77" s="7">
        <v>14710.79</v>
      </c>
      <c r="K77" s="7">
        <v>14710.79</v>
      </c>
      <c r="L77" s="7">
        <v>14710.79</v>
      </c>
      <c r="M77" s="12">
        <v>1</v>
      </c>
      <c r="N77" s="7">
        <v>9409.2099999999991</v>
      </c>
      <c r="O77" s="7">
        <v>9409.2099999999991</v>
      </c>
      <c r="P77" s="7">
        <v>321.60000000000002</v>
      </c>
      <c r="Q77" s="6">
        <v>27360</v>
      </c>
      <c r="R77" s="7">
        <v>1324.8</v>
      </c>
      <c r="S77" s="7">
        <v>28684.799999999999</v>
      </c>
      <c r="T77" s="7">
        <v>7171.2</v>
      </c>
      <c r="U77" s="7">
        <v>7680.08</v>
      </c>
      <c r="V77" s="7">
        <v>0</v>
      </c>
      <c r="W77" s="7">
        <v>3439.42</v>
      </c>
      <c r="X77" s="7">
        <v>0</v>
      </c>
      <c r="Y77" s="7">
        <v>0</v>
      </c>
      <c r="Z77" s="7">
        <v>7175.41</v>
      </c>
      <c r="AA77" s="7">
        <v>6098.3</v>
      </c>
      <c r="AB77" s="7">
        <v>0</v>
      </c>
      <c r="AC77" s="7">
        <v>0</v>
      </c>
      <c r="AD77" s="7">
        <v>0</v>
      </c>
      <c r="AE77" s="7">
        <v>14710.79</v>
      </c>
      <c r="AF77" s="7">
        <v>9409.2099999999991</v>
      </c>
    </row>
    <row r="78" spans="1:32" x14ac:dyDescent="0.25">
      <c r="A78" s="12" t="s">
        <v>38</v>
      </c>
      <c r="B78" s="12">
        <v>241</v>
      </c>
      <c r="C78" s="12">
        <v>1</v>
      </c>
      <c r="D78" s="13" t="s">
        <v>471</v>
      </c>
      <c r="E78" s="6">
        <v>1411</v>
      </c>
      <c r="F78" s="6">
        <v>1412</v>
      </c>
      <c r="G78" s="6">
        <v>19771234</v>
      </c>
      <c r="H78" s="6">
        <v>169320</v>
      </c>
      <c r="I78" s="6">
        <v>169440</v>
      </c>
      <c r="J78" s="7">
        <v>65994.8</v>
      </c>
      <c r="K78" s="7">
        <v>65994.8</v>
      </c>
      <c r="L78" s="7">
        <v>65994.8</v>
      </c>
      <c r="M78" s="12">
        <v>1</v>
      </c>
      <c r="N78" s="7">
        <v>103445.2</v>
      </c>
      <c r="O78" s="7">
        <v>103445.2</v>
      </c>
      <c r="P78" s="7">
        <v>2259.1999999999998</v>
      </c>
      <c r="Q78" s="6">
        <v>169320</v>
      </c>
      <c r="R78" s="7">
        <v>51567.19</v>
      </c>
      <c r="S78" s="7">
        <v>220887.19</v>
      </c>
      <c r="T78" s="7">
        <v>55221.8</v>
      </c>
      <c r="U78" s="7">
        <v>43703.96</v>
      </c>
      <c r="V78" s="7">
        <v>0</v>
      </c>
      <c r="W78" s="7">
        <v>59625</v>
      </c>
      <c r="X78" s="7">
        <v>0</v>
      </c>
      <c r="Y78" s="7">
        <v>0</v>
      </c>
      <c r="Z78" s="7">
        <v>65862.789999999994</v>
      </c>
      <c r="AA78" s="7">
        <v>56397.25</v>
      </c>
      <c r="AB78" s="7">
        <v>1175.45</v>
      </c>
      <c r="AC78" s="7">
        <v>457.82</v>
      </c>
      <c r="AD78" s="7">
        <v>717.63</v>
      </c>
      <c r="AE78" s="7">
        <v>65536.98</v>
      </c>
      <c r="AF78" s="7">
        <v>102727.57</v>
      </c>
    </row>
    <row r="79" spans="1:32" x14ac:dyDescent="0.25">
      <c r="A79" s="12" t="s">
        <v>38</v>
      </c>
      <c r="B79" s="12">
        <v>242</v>
      </c>
      <c r="C79" s="12">
        <v>1</v>
      </c>
      <c r="D79" s="13" t="s">
        <v>472</v>
      </c>
      <c r="E79" s="6">
        <v>80</v>
      </c>
      <c r="F79" s="6">
        <v>78</v>
      </c>
      <c r="G79" s="6">
        <v>2310337</v>
      </c>
      <c r="H79" s="6">
        <v>18000</v>
      </c>
      <c r="I79" s="6">
        <v>18000</v>
      </c>
      <c r="J79" s="7">
        <v>7711.72</v>
      </c>
      <c r="K79" s="7">
        <v>7711.72</v>
      </c>
      <c r="L79" s="7">
        <v>7711.72</v>
      </c>
      <c r="M79" s="12">
        <v>1</v>
      </c>
      <c r="N79" s="7">
        <v>10288.280000000001</v>
      </c>
      <c r="O79" s="7">
        <v>10288.280000000001</v>
      </c>
      <c r="P79" s="7">
        <v>124.8</v>
      </c>
      <c r="Q79" s="6">
        <v>18000</v>
      </c>
      <c r="R79" s="7">
        <v>147380.85999999999</v>
      </c>
      <c r="S79" s="7">
        <v>165380.85999999999</v>
      </c>
      <c r="T79" s="7">
        <v>41345.22</v>
      </c>
      <c r="U79" s="7">
        <v>-101701.85</v>
      </c>
      <c r="V79" s="7">
        <v>0</v>
      </c>
      <c r="W79" s="7">
        <v>-121745.24</v>
      </c>
      <c r="X79" s="7">
        <v>0</v>
      </c>
      <c r="Y79" s="7">
        <v>0</v>
      </c>
      <c r="Z79" s="7">
        <v>0</v>
      </c>
      <c r="AA79" s="7">
        <v>-74482.36</v>
      </c>
      <c r="AB79" s="7">
        <v>0</v>
      </c>
      <c r="AC79" s="7">
        <v>0</v>
      </c>
      <c r="AD79" s="7">
        <v>0</v>
      </c>
      <c r="AE79" s="7">
        <v>7711.72</v>
      </c>
      <c r="AF79" s="7">
        <v>10288.280000000001</v>
      </c>
    </row>
    <row r="80" spans="1:32" x14ac:dyDescent="0.25">
      <c r="A80" s="12" t="s">
        <v>38</v>
      </c>
      <c r="B80" s="12">
        <v>252</v>
      </c>
      <c r="C80" s="12">
        <v>1</v>
      </c>
      <c r="D80" s="13" t="s">
        <v>473</v>
      </c>
      <c r="E80" s="6">
        <v>445</v>
      </c>
      <c r="F80" s="6">
        <v>438</v>
      </c>
      <c r="G80" s="6">
        <v>10729120</v>
      </c>
      <c r="H80" s="6">
        <v>53400</v>
      </c>
      <c r="I80" s="6">
        <v>52560</v>
      </c>
      <c r="J80" s="7">
        <v>35812.94</v>
      </c>
      <c r="K80" s="7">
        <v>35812.94</v>
      </c>
      <c r="L80" s="7">
        <v>35812.94</v>
      </c>
      <c r="M80" s="12">
        <v>1</v>
      </c>
      <c r="N80" s="7">
        <v>16747.060000000001</v>
      </c>
      <c r="O80" s="7">
        <v>16747.060000000001</v>
      </c>
      <c r="P80" s="7">
        <v>700.8</v>
      </c>
      <c r="Q80" s="6">
        <v>53400</v>
      </c>
      <c r="R80" s="7">
        <v>4772.25</v>
      </c>
      <c r="S80" s="7">
        <v>58172.25</v>
      </c>
      <c r="T80" s="7">
        <v>14543.06</v>
      </c>
      <c r="U80" s="7">
        <v>12926.9</v>
      </c>
      <c r="V80" s="7">
        <v>0</v>
      </c>
      <c r="W80" s="7">
        <v>13323.21</v>
      </c>
      <c r="X80" s="7">
        <v>10.73</v>
      </c>
      <c r="Y80" s="7">
        <v>0</v>
      </c>
      <c r="Z80" s="7">
        <v>1941.25</v>
      </c>
      <c r="AA80" s="7">
        <v>9393.5400000000009</v>
      </c>
      <c r="AB80" s="7">
        <v>0</v>
      </c>
      <c r="AC80" s="7">
        <v>0</v>
      </c>
      <c r="AD80" s="7">
        <v>0</v>
      </c>
      <c r="AE80" s="7">
        <v>35812.94</v>
      </c>
      <c r="AF80" s="7">
        <v>16747.060000000001</v>
      </c>
    </row>
    <row r="81" spans="1:32" x14ac:dyDescent="0.25">
      <c r="A81" s="12" t="s">
        <v>38</v>
      </c>
      <c r="B81" s="12">
        <v>253</v>
      </c>
      <c r="C81" s="12">
        <v>1</v>
      </c>
      <c r="D81" s="13" t="s">
        <v>474</v>
      </c>
      <c r="E81" s="6">
        <v>239</v>
      </c>
      <c r="F81" s="6">
        <v>231</v>
      </c>
      <c r="G81" s="6">
        <v>3966349</v>
      </c>
      <c r="H81" s="6">
        <v>28680</v>
      </c>
      <c r="I81" s="6">
        <v>27720</v>
      </c>
      <c r="J81" s="7">
        <v>13239.36</v>
      </c>
      <c r="K81" s="7">
        <v>13239.36</v>
      </c>
      <c r="L81" s="7">
        <v>13239.36</v>
      </c>
      <c r="M81" s="12">
        <v>1</v>
      </c>
      <c r="N81" s="7">
        <v>14480.64</v>
      </c>
      <c r="O81" s="7">
        <v>14480.64</v>
      </c>
      <c r="P81" s="7">
        <v>369.6</v>
      </c>
      <c r="Q81" s="6">
        <v>28680</v>
      </c>
      <c r="R81" s="7">
        <v>1925.4</v>
      </c>
      <c r="S81" s="7">
        <v>30605.4</v>
      </c>
      <c r="T81" s="7">
        <v>7651.35</v>
      </c>
      <c r="U81" s="7">
        <v>2689.36</v>
      </c>
      <c r="V81" s="7">
        <v>0</v>
      </c>
      <c r="W81" s="7">
        <v>-1904.77</v>
      </c>
      <c r="X81" s="7">
        <v>0</v>
      </c>
      <c r="Y81" s="7">
        <v>0</v>
      </c>
      <c r="Z81" s="7">
        <v>13342.09</v>
      </c>
      <c r="AA81" s="7">
        <v>4708.8900000000003</v>
      </c>
      <c r="AB81" s="7">
        <v>0</v>
      </c>
      <c r="AC81" s="7">
        <v>0</v>
      </c>
      <c r="AD81" s="7">
        <v>0</v>
      </c>
      <c r="AE81" s="7">
        <v>13239.36</v>
      </c>
      <c r="AF81" s="7">
        <v>14480.64</v>
      </c>
    </row>
    <row r="82" spans="1:32" x14ac:dyDescent="0.25">
      <c r="A82" s="12" t="s">
        <v>38</v>
      </c>
      <c r="B82" s="12">
        <v>255</v>
      </c>
      <c r="C82" s="12">
        <v>1</v>
      </c>
      <c r="D82" s="13" t="s">
        <v>475</v>
      </c>
      <c r="E82" s="6">
        <v>503</v>
      </c>
      <c r="F82" s="6">
        <v>481</v>
      </c>
      <c r="G82" s="6">
        <v>6717522</v>
      </c>
      <c r="H82" s="6">
        <v>60360</v>
      </c>
      <c r="I82" s="6">
        <v>57720</v>
      </c>
      <c r="J82" s="7">
        <v>22422.55</v>
      </c>
      <c r="K82" s="7">
        <v>22422.55</v>
      </c>
      <c r="L82" s="7">
        <v>22422.55</v>
      </c>
      <c r="M82" s="12">
        <v>1</v>
      </c>
      <c r="N82" s="7">
        <v>35297.449999999997</v>
      </c>
      <c r="O82" s="7">
        <v>35297.449999999997</v>
      </c>
      <c r="P82" s="7">
        <v>769.6</v>
      </c>
      <c r="Q82" s="6">
        <v>60360</v>
      </c>
      <c r="R82" s="7">
        <v>7824.53</v>
      </c>
      <c r="S82" s="7">
        <v>68184.53</v>
      </c>
      <c r="T82" s="7">
        <v>17046.13</v>
      </c>
      <c r="U82" s="7">
        <v>10808.44</v>
      </c>
      <c r="V82" s="7">
        <v>0</v>
      </c>
      <c r="W82" s="7">
        <v>22474.080000000002</v>
      </c>
      <c r="X82" s="7">
        <v>0</v>
      </c>
      <c r="Y82" s="7">
        <v>0</v>
      </c>
      <c r="Z82" s="7">
        <v>24313.01</v>
      </c>
      <c r="AA82" s="7">
        <v>19198.509999999998</v>
      </c>
      <c r="AB82" s="7">
        <v>2152.38</v>
      </c>
      <c r="AC82" s="7">
        <v>836.14</v>
      </c>
      <c r="AD82" s="7">
        <v>1316.24</v>
      </c>
      <c r="AE82" s="7">
        <v>21586.41</v>
      </c>
      <c r="AF82" s="7">
        <v>33981.21</v>
      </c>
    </row>
    <row r="83" spans="1:32" x14ac:dyDescent="0.25">
      <c r="A83" s="12" t="s">
        <v>38</v>
      </c>
      <c r="B83" s="12">
        <v>256</v>
      </c>
      <c r="C83" s="12">
        <v>1</v>
      </c>
      <c r="D83" s="13" t="s">
        <v>476</v>
      </c>
      <c r="E83" s="6">
        <v>1109</v>
      </c>
      <c r="F83" s="6">
        <v>1104</v>
      </c>
      <c r="G83" s="6">
        <v>27191271</v>
      </c>
      <c r="H83" s="6">
        <v>133080</v>
      </c>
      <c r="I83" s="6">
        <v>132480</v>
      </c>
      <c r="J83" s="7">
        <v>90762.29</v>
      </c>
      <c r="K83" s="7">
        <v>90762.29</v>
      </c>
      <c r="L83" s="7">
        <v>90762.29</v>
      </c>
      <c r="M83" s="12">
        <v>1</v>
      </c>
      <c r="N83" s="7">
        <v>41717.71</v>
      </c>
      <c r="O83" s="7">
        <v>41717.71</v>
      </c>
      <c r="P83" s="7">
        <v>1766.4</v>
      </c>
      <c r="Q83" s="6">
        <v>133080</v>
      </c>
      <c r="R83" s="7">
        <v>28039.360000000001</v>
      </c>
      <c r="S83" s="7">
        <v>161119.35999999999</v>
      </c>
      <c r="T83" s="7">
        <v>40279.839999999997</v>
      </c>
      <c r="U83" s="7">
        <v>2405.04</v>
      </c>
      <c r="V83" s="7">
        <v>0</v>
      </c>
      <c r="W83" s="7">
        <v>8476.2999999999993</v>
      </c>
      <c r="X83" s="7">
        <v>0</v>
      </c>
      <c r="Y83" s="7">
        <v>0</v>
      </c>
      <c r="Z83" s="7">
        <v>33177.25</v>
      </c>
      <c r="AA83" s="7">
        <v>14686.2</v>
      </c>
      <c r="AB83" s="7">
        <v>0</v>
      </c>
      <c r="AC83" s="7">
        <v>0</v>
      </c>
      <c r="AD83" s="7">
        <v>0</v>
      </c>
      <c r="AE83" s="7">
        <v>90762.29</v>
      </c>
      <c r="AF83" s="7">
        <v>41717.71</v>
      </c>
    </row>
    <row r="84" spans="1:32" x14ac:dyDescent="0.25">
      <c r="A84" s="12" t="s">
        <v>38</v>
      </c>
      <c r="B84" s="12">
        <v>261</v>
      </c>
      <c r="C84" s="12">
        <v>1</v>
      </c>
      <c r="D84" s="13" t="s">
        <v>477</v>
      </c>
      <c r="E84" s="6">
        <v>105</v>
      </c>
      <c r="F84" s="6">
        <v>105</v>
      </c>
      <c r="G84" s="6">
        <v>2323821</v>
      </c>
      <c r="H84" s="6">
        <v>18000</v>
      </c>
      <c r="I84" s="6">
        <v>18000</v>
      </c>
      <c r="J84" s="7">
        <v>7756.73</v>
      </c>
      <c r="K84" s="7">
        <v>7756.73</v>
      </c>
      <c r="L84" s="7">
        <v>7756.73</v>
      </c>
      <c r="M84" s="12">
        <v>1</v>
      </c>
      <c r="N84" s="7">
        <v>10243.27</v>
      </c>
      <c r="O84" s="7">
        <v>10243.27</v>
      </c>
      <c r="P84" s="7">
        <v>168</v>
      </c>
      <c r="Q84" s="6">
        <v>18000</v>
      </c>
      <c r="R84" s="7">
        <v>5566</v>
      </c>
      <c r="S84" s="7">
        <v>23566</v>
      </c>
      <c r="T84" s="7">
        <v>5891.5</v>
      </c>
      <c r="U84" s="7">
        <v>-5609.95</v>
      </c>
      <c r="V84" s="7">
        <v>0</v>
      </c>
      <c r="W84" s="7">
        <v>-6854.8</v>
      </c>
      <c r="X84" s="7">
        <v>0</v>
      </c>
      <c r="Y84" s="7">
        <v>0</v>
      </c>
      <c r="Z84" s="7">
        <v>-8941.51</v>
      </c>
      <c r="AA84" s="7">
        <v>-7135.42</v>
      </c>
      <c r="AB84" s="7">
        <v>0</v>
      </c>
      <c r="AC84" s="7">
        <v>0</v>
      </c>
      <c r="AD84" s="7">
        <v>0</v>
      </c>
      <c r="AE84" s="7">
        <v>7756.73</v>
      </c>
      <c r="AF84" s="7">
        <v>10243.27</v>
      </c>
    </row>
    <row r="85" spans="1:32" x14ac:dyDescent="0.25">
      <c r="A85" s="12" t="s">
        <v>38</v>
      </c>
      <c r="B85" s="12">
        <v>264</v>
      </c>
      <c r="C85" s="12">
        <v>1</v>
      </c>
      <c r="D85" s="13" t="s">
        <v>478</v>
      </c>
      <c r="E85" s="6">
        <v>46</v>
      </c>
      <c r="F85" s="6">
        <v>46</v>
      </c>
      <c r="G85" s="6">
        <v>2644487</v>
      </c>
      <c r="H85" s="6">
        <v>18000</v>
      </c>
      <c r="I85" s="6">
        <v>18000</v>
      </c>
      <c r="J85" s="7">
        <v>8827.09</v>
      </c>
      <c r="K85" s="7">
        <v>8827.09</v>
      </c>
      <c r="L85" s="7">
        <v>8827.09</v>
      </c>
      <c r="M85" s="12">
        <v>1</v>
      </c>
      <c r="N85" s="7">
        <v>9172.91</v>
      </c>
      <c r="O85" s="7">
        <v>9172.91</v>
      </c>
      <c r="P85" s="7">
        <v>73.599999999999994</v>
      </c>
      <c r="Q85" s="6">
        <v>18000</v>
      </c>
      <c r="R85" s="7">
        <v>238.6</v>
      </c>
      <c r="S85" s="7">
        <v>18238.599999999999</v>
      </c>
      <c r="T85" s="7">
        <v>4559.6499999999996</v>
      </c>
      <c r="U85" s="7">
        <v>-5427.54</v>
      </c>
      <c r="V85" s="7">
        <v>0</v>
      </c>
      <c r="W85" s="7">
        <v>-7015.41</v>
      </c>
      <c r="X85" s="7">
        <v>0</v>
      </c>
      <c r="Y85" s="7">
        <v>0</v>
      </c>
      <c r="Z85" s="7">
        <v>-1956.96</v>
      </c>
      <c r="AA85" s="7">
        <v>-4799.97</v>
      </c>
      <c r="AB85" s="7">
        <v>0</v>
      </c>
      <c r="AC85" s="7">
        <v>0</v>
      </c>
      <c r="AD85" s="7">
        <v>0</v>
      </c>
      <c r="AE85" s="7">
        <v>8827.09</v>
      </c>
      <c r="AF85" s="7">
        <v>9172.91</v>
      </c>
    </row>
    <row r="86" spans="1:32" x14ac:dyDescent="0.25">
      <c r="A86" s="12" t="s">
        <v>38</v>
      </c>
      <c r="B86" s="12">
        <v>270</v>
      </c>
      <c r="C86" s="12">
        <v>1</v>
      </c>
      <c r="D86" s="13" t="s">
        <v>479</v>
      </c>
      <c r="E86" s="6">
        <v>3005</v>
      </c>
      <c r="F86" s="6">
        <v>3005</v>
      </c>
      <c r="G86" s="6">
        <v>114962396</v>
      </c>
      <c r="H86" s="6">
        <v>360600</v>
      </c>
      <c r="I86" s="6">
        <v>360600</v>
      </c>
      <c r="J86" s="7">
        <v>360600</v>
      </c>
      <c r="K86" s="7">
        <v>360600</v>
      </c>
      <c r="L86" s="7">
        <v>360600</v>
      </c>
      <c r="M86" s="12">
        <v>1</v>
      </c>
      <c r="N86" s="7">
        <v>0</v>
      </c>
      <c r="O86" s="7">
        <v>0</v>
      </c>
      <c r="P86" s="7">
        <v>4808</v>
      </c>
      <c r="Q86" s="6">
        <v>360600</v>
      </c>
      <c r="R86" s="7">
        <v>85547.55</v>
      </c>
      <c r="S86" s="7">
        <v>446147.55</v>
      </c>
      <c r="T86" s="7">
        <v>111536.89</v>
      </c>
      <c r="U86" s="7">
        <v>51838.37</v>
      </c>
      <c r="V86" s="7">
        <v>0</v>
      </c>
      <c r="W86" s="7">
        <v>87106</v>
      </c>
      <c r="X86" s="7">
        <v>0</v>
      </c>
      <c r="Y86" s="7">
        <v>0</v>
      </c>
      <c r="Z86" s="7">
        <v>76255.97</v>
      </c>
      <c r="AA86" s="7">
        <v>71733.45</v>
      </c>
      <c r="AB86" s="7">
        <v>0</v>
      </c>
      <c r="AC86" s="7">
        <v>0</v>
      </c>
      <c r="AD86" s="7">
        <v>0</v>
      </c>
      <c r="AE86" s="7">
        <v>360600</v>
      </c>
      <c r="AF86" s="7">
        <v>0</v>
      </c>
    </row>
    <row r="87" spans="1:32" x14ac:dyDescent="0.25">
      <c r="A87" s="12" t="s">
        <v>38</v>
      </c>
      <c r="B87" s="12">
        <v>271</v>
      </c>
      <c r="C87" s="12">
        <v>1</v>
      </c>
      <c r="D87" s="13" t="s">
        <v>480</v>
      </c>
      <c r="E87" s="6">
        <v>4749</v>
      </c>
      <c r="F87" s="6">
        <v>4705</v>
      </c>
      <c r="G87" s="6">
        <v>131779026</v>
      </c>
      <c r="H87" s="6">
        <v>569880</v>
      </c>
      <c r="I87" s="6">
        <v>564600</v>
      </c>
      <c r="J87" s="7">
        <v>439867.85</v>
      </c>
      <c r="K87" s="7">
        <v>439867.85</v>
      </c>
      <c r="L87" s="7">
        <v>439867.85</v>
      </c>
      <c r="M87" s="12">
        <v>1</v>
      </c>
      <c r="N87" s="7">
        <v>124732.15</v>
      </c>
      <c r="O87" s="7">
        <v>124732.15</v>
      </c>
      <c r="P87" s="7">
        <v>7528</v>
      </c>
      <c r="Q87" s="6">
        <v>569880</v>
      </c>
      <c r="R87" s="7">
        <v>404287.05</v>
      </c>
      <c r="S87" s="7">
        <v>974167.05</v>
      </c>
      <c r="T87" s="7">
        <v>243541.76000000001</v>
      </c>
      <c r="U87" s="7">
        <v>229912.21</v>
      </c>
      <c r="V87" s="7">
        <v>0</v>
      </c>
      <c r="W87" s="7">
        <v>136072.51999999999</v>
      </c>
      <c r="X87" s="7">
        <v>0</v>
      </c>
      <c r="Y87" s="7">
        <v>0</v>
      </c>
      <c r="Z87" s="7">
        <v>88367.65</v>
      </c>
      <c r="AA87" s="7">
        <v>151450.79</v>
      </c>
      <c r="AB87" s="7">
        <v>0</v>
      </c>
      <c r="AC87" s="7">
        <v>0</v>
      </c>
      <c r="AD87" s="7">
        <v>0</v>
      </c>
      <c r="AE87" s="7">
        <v>439867.85</v>
      </c>
      <c r="AF87" s="7">
        <v>124732.15</v>
      </c>
    </row>
    <row r="88" spans="1:32" x14ac:dyDescent="0.25">
      <c r="A88" s="12" t="s">
        <v>38</v>
      </c>
      <c r="B88" s="12">
        <v>272</v>
      </c>
      <c r="C88" s="12">
        <v>1</v>
      </c>
      <c r="D88" s="13" t="s">
        <v>481</v>
      </c>
      <c r="E88" s="6">
        <v>5307</v>
      </c>
      <c r="F88" s="6">
        <v>5238</v>
      </c>
      <c r="G88" s="6">
        <v>112186065</v>
      </c>
      <c r="H88" s="6">
        <v>636840</v>
      </c>
      <c r="I88" s="6">
        <v>628560</v>
      </c>
      <c r="J88" s="7">
        <v>374468.11</v>
      </c>
      <c r="K88" s="7">
        <v>374468.11</v>
      </c>
      <c r="L88" s="7">
        <v>374468.11</v>
      </c>
      <c r="M88" s="12">
        <v>1</v>
      </c>
      <c r="N88" s="7">
        <v>254091.89</v>
      </c>
      <c r="O88" s="7">
        <v>254091.89</v>
      </c>
      <c r="P88" s="7">
        <v>8380.7999999999993</v>
      </c>
      <c r="Q88" s="6">
        <v>636840</v>
      </c>
      <c r="R88" s="7">
        <v>265825.59999999998</v>
      </c>
      <c r="S88" s="7">
        <v>902665.6</v>
      </c>
      <c r="T88" s="7">
        <v>225666.4</v>
      </c>
      <c r="U88" s="7">
        <v>241379.32</v>
      </c>
      <c r="V88" s="7">
        <v>0</v>
      </c>
      <c r="W88" s="7">
        <v>252916.18</v>
      </c>
      <c r="X88" s="7">
        <v>0</v>
      </c>
      <c r="Y88" s="7">
        <v>0</v>
      </c>
      <c r="Z88" s="7">
        <v>179645.27</v>
      </c>
      <c r="AA88" s="7">
        <v>224646.92</v>
      </c>
      <c r="AB88" s="7">
        <v>0</v>
      </c>
      <c r="AC88" s="7">
        <v>0</v>
      </c>
      <c r="AD88" s="7">
        <v>0</v>
      </c>
      <c r="AE88" s="7">
        <v>374468.11</v>
      </c>
      <c r="AF88" s="7">
        <v>254091.89</v>
      </c>
    </row>
    <row r="89" spans="1:32" x14ac:dyDescent="0.25">
      <c r="A89" s="12" t="s">
        <v>38</v>
      </c>
      <c r="B89" s="12">
        <v>273</v>
      </c>
      <c r="C89" s="12">
        <v>1</v>
      </c>
      <c r="D89" s="13" t="s">
        <v>482</v>
      </c>
      <c r="E89" s="6">
        <v>2870</v>
      </c>
      <c r="F89" s="6">
        <v>2930</v>
      </c>
      <c r="G89" s="6">
        <v>97664268</v>
      </c>
      <c r="H89" s="6">
        <v>344400</v>
      </c>
      <c r="I89" s="6">
        <v>351600</v>
      </c>
      <c r="J89" s="7">
        <v>325995.51</v>
      </c>
      <c r="K89" s="7">
        <v>325995.51</v>
      </c>
      <c r="L89" s="7">
        <v>275995.51</v>
      </c>
      <c r="M89" s="12">
        <v>0.84662365439999998</v>
      </c>
      <c r="N89" s="7">
        <v>25604.49</v>
      </c>
      <c r="O89" s="7">
        <v>21677.37</v>
      </c>
      <c r="P89" s="7">
        <v>4688</v>
      </c>
      <c r="Q89" s="6">
        <v>344400</v>
      </c>
      <c r="R89" s="7">
        <v>413728.69</v>
      </c>
      <c r="S89" s="7">
        <v>758128.69</v>
      </c>
      <c r="T89" s="7">
        <v>189532.17</v>
      </c>
      <c r="U89" s="7">
        <v>357736.8</v>
      </c>
      <c r="V89" s="7">
        <v>0</v>
      </c>
      <c r="W89" s="7">
        <v>68001.039999999994</v>
      </c>
      <c r="X89" s="7">
        <v>69126.13</v>
      </c>
      <c r="Y89" s="7">
        <v>0</v>
      </c>
      <c r="Z89" s="7">
        <v>190596.46</v>
      </c>
      <c r="AA89" s="7">
        <v>182402.72</v>
      </c>
      <c r="AB89" s="7">
        <v>0</v>
      </c>
      <c r="AC89" s="7">
        <v>0</v>
      </c>
      <c r="AD89" s="7">
        <v>0</v>
      </c>
      <c r="AE89" s="7">
        <v>325995.51</v>
      </c>
      <c r="AF89" s="7">
        <v>21677.37</v>
      </c>
    </row>
    <row r="90" spans="1:32" x14ac:dyDescent="0.25">
      <c r="A90" s="12" t="s">
        <v>38</v>
      </c>
      <c r="B90" s="12">
        <v>276</v>
      </c>
      <c r="C90" s="12">
        <v>1</v>
      </c>
      <c r="D90" s="13" t="s">
        <v>483</v>
      </c>
      <c r="E90" s="6">
        <v>2920</v>
      </c>
      <c r="F90" s="6">
        <v>2565</v>
      </c>
      <c r="G90" s="6">
        <v>94648584</v>
      </c>
      <c r="H90" s="6">
        <v>350400</v>
      </c>
      <c r="I90" s="6">
        <v>307800</v>
      </c>
      <c r="J90" s="7">
        <v>315929.40000000002</v>
      </c>
      <c r="K90" s="7">
        <v>307800</v>
      </c>
      <c r="L90" s="7">
        <v>315929.40000000002</v>
      </c>
      <c r="M90" s="12">
        <v>1</v>
      </c>
      <c r="N90" s="7">
        <v>0</v>
      </c>
      <c r="O90" s="7">
        <v>0</v>
      </c>
      <c r="P90" s="7">
        <v>4104</v>
      </c>
      <c r="Q90" s="6">
        <v>350400</v>
      </c>
      <c r="R90" s="7">
        <v>525680.87</v>
      </c>
      <c r="S90" s="7">
        <v>876080.87</v>
      </c>
      <c r="T90" s="7">
        <v>219020.22</v>
      </c>
      <c r="U90" s="7">
        <v>33537.5</v>
      </c>
      <c r="V90" s="7">
        <v>0</v>
      </c>
      <c r="W90" s="7">
        <v>14891.48</v>
      </c>
      <c r="X90" s="7">
        <v>0</v>
      </c>
      <c r="Y90" s="7">
        <v>0</v>
      </c>
      <c r="Z90" s="7">
        <v>13570.16</v>
      </c>
      <c r="AA90" s="7">
        <v>20666.38</v>
      </c>
      <c r="AB90" s="7">
        <v>0</v>
      </c>
      <c r="AC90" s="7">
        <v>0</v>
      </c>
      <c r="AD90" s="7">
        <v>0</v>
      </c>
      <c r="AE90" s="7">
        <v>307800</v>
      </c>
      <c r="AF90" s="7">
        <v>0</v>
      </c>
    </row>
    <row r="91" spans="1:32" x14ac:dyDescent="0.25">
      <c r="A91" s="12" t="s">
        <v>38</v>
      </c>
      <c r="B91" s="12">
        <v>277</v>
      </c>
      <c r="C91" s="12">
        <v>1</v>
      </c>
      <c r="D91" s="13" t="s">
        <v>484</v>
      </c>
      <c r="E91" s="6">
        <v>1115</v>
      </c>
      <c r="F91" s="6">
        <v>1103</v>
      </c>
      <c r="G91" s="6">
        <v>45696449</v>
      </c>
      <c r="H91" s="6">
        <v>133800</v>
      </c>
      <c r="I91" s="6">
        <v>132360</v>
      </c>
      <c r="J91" s="7">
        <v>133800</v>
      </c>
      <c r="K91" s="7">
        <v>132360</v>
      </c>
      <c r="L91" s="7">
        <v>133800</v>
      </c>
      <c r="M91" s="12">
        <v>1</v>
      </c>
      <c r="N91" s="7">
        <v>0</v>
      </c>
      <c r="O91" s="7">
        <v>0</v>
      </c>
      <c r="P91" s="7">
        <v>1764.8</v>
      </c>
      <c r="Q91" s="6">
        <v>133800</v>
      </c>
      <c r="R91" s="7">
        <v>19750.62</v>
      </c>
      <c r="S91" s="7">
        <v>153550.62</v>
      </c>
      <c r="T91" s="7">
        <v>38387.660000000003</v>
      </c>
      <c r="U91" s="7">
        <v>31480.55</v>
      </c>
      <c r="V91" s="7">
        <v>0</v>
      </c>
      <c r="W91" s="7">
        <v>56570.77</v>
      </c>
      <c r="X91" s="7">
        <v>1829.07</v>
      </c>
      <c r="Y91" s="7">
        <v>0</v>
      </c>
      <c r="Z91" s="7">
        <v>22661.119999999999</v>
      </c>
      <c r="AA91" s="7">
        <v>36294.46</v>
      </c>
      <c r="AB91" s="7">
        <v>0</v>
      </c>
      <c r="AC91" s="7">
        <v>0</v>
      </c>
      <c r="AD91" s="7">
        <v>0</v>
      </c>
      <c r="AE91" s="7">
        <v>132360</v>
      </c>
      <c r="AF91" s="7">
        <v>0</v>
      </c>
    </row>
    <row r="92" spans="1:32" x14ac:dyDescent="0.25">
      <c r="A92" s="12" t="s">
        <v>38</v>
      </c>
      <c r="B92" s="12">
        <v>278</v>
      </c>
      <c r="C92" s="12">
        <v>1</v>
      </c>
      <c r="D92" s="13" t="s">
        <v>485</v>
      </c>
      <c r="E92" s="6">
        <v>873</v>
      </c>
      <c r="F92" s="6">
        <v>835</v>
      </c>
      <c r="G92" s="6">
        <v>45389905</v>
      </c>
      <c r="H92" s="6">
        <v>104760</v>
      </c>
      <c r="I92" s="6">
        <v>100200</v>
      </c>
      <c r="J92" s="7">
        <v>104760</v>
      </c>
      <c r="K92" s="7">
        <v>100200</v>
      </c>
      <c r="L92" s="7">
        <v>104760</v>
      </c>
      <c r="M92" s="12">
        <v>1</v>
      </c>
      <c r="N92" s="7">
        <v>0</v>
      </c>
      <c r="O92" s="7">
        <v>0</v>
      </c>
      <c r="P92" s="7">
        <v>1336</v>
      </c>
      <c r="Q92" s="6">
        <v>104760</v>
      </c>
      <c r="R92" s="7">
        <v>71973.56</v>
      </c>
      <c r="S92" s="7">
        <v>176733.56</v>
      </c>
      <c r="T92" s="7">
        <v>44183.39</v>
      </c>
      <c r="U92" s="7">
        <v>44409.26</v>
      </c>
      <c r="V92" s="7">
        <v>0</v>
      </c>
      <c r="W92" s="7">
        <v>28716.43</v>
      </c>
      <c r="X92" s="7">
        <v>0</v>
      </c>
      <c r="Y92" s="7">
        <v>0</v>
      </c>
      <c r="Z92" s="7">
        <v>31922.6</v>
      </c>
      <c r="AA92" s="7">
        <v>35016.1</v>
      </c>
      <c r="AB92" s="7">
        <v>0</v>
      </c>
      <c r="AC92" s="7">
        <v>0</v>
      </c>
      <c r="AD92" s="7">
        <v>0</v>
      </c>
      <c r="AE92" s="7">
        <v>100200</v>
      </c>
      <c r="AF92" s="7">
        <v>0</v>
      </c>
    </row>
    <row r="93" spans="1:32" x14ac:dyDescent="0.25">
      <c r="A93" s="12" t="s">
        <v>38</v>
      </c>
      <c r="B93" s="12">
        <v>279</v>
      </c>
      <c r="C93" s="12">
        <v>1</v>
      </c>
      <c r="D93" s="13" t="s">
        <v>486</v>
      </c>
      <c r="E93" s="6">
        <v>9598</v>
      </c>
      <c r="F93" s="6">
        <v>9856</v>
      </c>
      <c r="G93" s="6">
        <v>174071841</v>
      </c>
      <c r="H93" s="6">
        <v>1151760</v>
      </c>
      <c r="I93" s="6">
        <v>1182720</v>
      </c>
      <c r="J93" s="7">
        <v>581037.88</v>
      </c>
      <c r="K93" s="7">
        <v>581037.88</v>
      </c>
      <c r="L93" s="7">
        <v>581037.88</v>
      </c>
      <c r="M93" s="12">
        <v>1</v>
      </c>
      <c r="N93" s="7">
        <v>601682.12</v>
      </c>
      <c r="O93" s="7">
        <v>601682.12</v>
      </c>
      <c r="P93" s="7">
        <v>15769.6</v>
      </c>
      <c r="Q93" s="6">
        <v>1151760</v>
      </c>
      <c r="R93" s="7">
        <v>313218.42</v>
      </c>
      <c r="S93" s="7">
        <v>1464978.42</v>
      </c>
      <c r="T93" s="7">
        <v>366244.61</v>
      </c>
      <c r="U93" s="7">
        <v>245705.5</v>
      </c>
      <c r="V93" s="7">
        <v>0</v>
      </c>
      <c r="W93" s="7">
        <v>186079.79</v>
      </c>
      <c r="X93" s="7">
        <v>0</v>
      </c>
      <c r="Y93" s="7">
        <v>0</v>
      </c>
      <c r="Z93" s="7">
        <v>149974.82</v>
      </c>
      <c r="AA93" s="7">
        <v>193920.04</v>
      </c>
      <c r="AB93" s="7">
        <v>0</v>
      </c>
      <c r="AC93" s="7">
        <v>0</v>
      </c>
      <c r="AD93" s="7">
        <v>0</v>
      </c>
      <c r="AE93" s="7">
        <v>581037.88</v>
      </c>
      <c r="AF93" s="7">
        <v>601682.12</v>
      </c>
    </row>
    <row r="94" spans="1:32" x14ac:dyDescent="0.25">
      <c r="A94" s="12" t="s">
        <v>38</v>
      </c>
      <c r="B94" s="12">
        <v>280</v>
      </c>
      <c r="C94" s="12">
        <v>1</v>
      </c>
      <c r="D94" s="13" t="s">
        <v>487</v>
      </c>
      <c r="E94" s="6">
        <v>2437</v>
      </c>
      <c r="F94" s="6">
        <v>2484</v>
      </c>
      <c r="G94" s="6">
        <v>40952931</v>
      </c>
      <c r="H94" s="6">
        <v>292440</v>
      </c>
      <c r="I94" s="6">
        <v>298080</v>
      </c>
      <c r="J94" s="7">
        <v>136697.60999999999</v>
      </c>
      <c r="K94" s="7">
        <v>136697.60999999999</v>
      </c>
      <c r="L94" s="7">
        <v>136697.60999999999</v>
      </c>
      <c r="M94" s="12">
        <v>1</v>
      </c>
      <c r="N94" s="7">
        <v>161382.39000000001</v>
      </c>
      <c r="O94" s="7">
        <v>161382.39000000001</v>
      </c>
      <c r="P94" s="7">
        <v>3974.4</v>
      </c>
      <c r="Q94" s="6">
        <v>292440</v>
      </c>
      <c r="R94" s="7">
        <v>3899.2</v>
      </c>
      <c r="S94" s="7">
        <v>296339.20000000001</v>
      </c>
      <c r="T94" s="7">
        <v>74084.800000000003</v>
      </c>
      <c r="U94" s="7">
        <v>19090.22</v>
      </c>
      <c r="V94" s="7">
        <v>0</v>
      </c>
      <c r="W94" s="7">
        <v>21390.89</v>
      </c>
      <c r="X94" s="7">
        <v>0</v>
      </c>
      <c r="Y94" s="7">
        <v>0</v>
      </c>
      <c r="Z94" s="7">
        <v>20784.87</v>
      </c>
      <c r="AA94" s="7">
        <v>20421.990000000002</v>
      </c>
      <c r="AB94" s="7">
        <v>0</v>
      </c>
      <c r="AC94" s="7">
        <v>0</v>
      </c>
      <c r="AD94" s="7">
        <v>0</v>
      </c>
      <c r="AE94" s="7">
        <v>136697.60999999999</v>
      </c>
      <c r="AF94" s="7">
        <v>161382.39000000001</v>
      </c>
    </row>
    <row r="95" spans="1:32" x14ac:dyDescent="0.25">
      <c r="A95" s="12" t="s">
        <v>38</v>
      </c>
      <c r="B95" s="12">
        <v>281</v>
      </c>
      <c r="C95" s="12">
        <v>1</v>
      </c>
      <c r="D95" s="13" t="s">
        <v>488</v>
      </c>
      <c r="E95" s="6">
        <v>6720</v>
      </c>
      <c r="F95" s="6">
        <v>7075</v>
      </c>
      <c r="G95" s="6">
        <v>111082729</v>
      </c>
      <c r="H95" s="6">
        <v>806400</v>
      </c>
      <c r="I95" s="6">
        <v>849000</v>
      </c>
      <c r="J95" s="7">
        <v>370785.26</v>
      </c>
      <c r="K95" s="7">
        <v>370785.26</v>
      </c>
      <c r="L95" s="7">
        <v>370785.26</v>
      </c>
      <c r="M95" s="12">
        <v>1</v>
      </c>
      <c r="N95" s="7">
        <v>478214.74</v>
      </c>
      <c r="O95" s="7">
        <v>478214.74</v>
      </c>
      <c r="P95" s="7">
        <v>11320</v>
      </c>
      <c r="Q95" s="6">
        <v>806400</v>
      </c>
      <c r="R95" s="7">
        <v>371690.39</v>
      </c>
      <c r="S95" s="7">
        <v>1178090.3899999999</v>
      </c>
      <c r="T95" s="7">
        <v>294522.59999999998</v>
      </c>
      <c r="U95" s="7">
        <v>168623.92</v>
      </c>
      <c r="V95" s="7">
        <v>0</v>
      </c>
      <c r="W95" s="7">
        <v>210139.64</v>
      </c>
      <c r="X95" s="7">
        <v>0</v>
      </c>
      <c r="Y95" s="7">
        <v>0</v>
      </c>
      <c r="Z95" s="7">
        <v>260860.22</v>
      </c>
      <c r="AA95" s="7">
        <v>213207.93</v>
      </c>
      <c r="AB95" s="7">
        <v>0</v>
      </c>
      <c r="AC95" s="7">
        <v>0</v>
      </c>
      <c r="AD95" s="7">
        <v>0</v>
      </c>
      <c r="AE95" s="7">
        <v>370785.26</v>
      </c>
      <c r="AF95" s="7">
        <v>478214.74</v>
      </c>
    </row>
    <row r="96" spans="1:32" x14ac:dyDescent="0.25">
      <c r="A96" s="12" t="s">
        <v>38</v>
      </c>
      <c r="B96" s="12">
        <v>282</v>
      </c>
      <c r="C96" s="12">
        <v>1</v>
      </c>
      <c r="D96" s="13" t="s">
        <v>489</v>
      </c>
      <c r="E96" s="6">
        <v>315</v>
      </c>
      <c r="F96" s="6">
        <v>320</v>
      </c>
      <c r="G96" s="6">
        <v>10986569</v>
      </c>
      <c r="H96" s="6">
        <v>37800</v>
      </c>
      <c r="I96" s="6">
        <v>38400</v>
      </c>
      <c r="J96" s="7">
        <v>36672.29</v>
      </c>
      <c r="K96" s="7">
        <v>36672.29</v>
      </c>
      <c r="L96" s="7">
        <v>36672.29</v>
      </c>
      <c r="M96" s="12">
        <v>1</v>
      </c>
      <c r="N96" s="7">
        <v>1727.71</v>
      </c>
      <c r="O96" s="7">
        <v>1727.71</v>
      </c>
      <c r="P96" s="7">
        <v>512</v>
      </c>
      <c r="Q96" s="6">
        <v>37800</v>
      </c>
      <c r="R96" s="7">
        <v>19388.64</v>
      </c>
      <c r="S96" s="7">
        <v>57188.639999999999</v>
      </c>
      <c r="T96" s="7">
        <v>14297.16</v>
      </c>
      <c r="U96" s="7">
        <v>-34225.79</v>
      </c>
      <c r="V96" s="7">
        <v>0</v>
      </c>
      <c r="W96" s="7">
        <v>-16025.58</v>
      </c>
      <c r="X96" s="7">
        <v>0</v>
      </c>
      <c r="Y96" s="7">
        <v>0</v>
      </c>
      <c r="Z96" s="7">
        <v>-1309.48</v>
      </c>
      <c r="AA96" s="7">
        <v>-17186.95</v>
      </c>
      <c r="AB96" s="7">
        <v>0</v>
      </c>
      <c r="AC96" s="7">
        <v>0</v>
      </c>
      <c r="AD96" s="7">
        <v>0</v>
      </c>
      <c r="AE96" s="7">
        <v>36672.29</v>
      </c>
      <c r="AF96" s="7">
        <v>1727.71</v>
      </c>
    </row>
    <row r="97" spans="1:32" x14ac:dyDescent="0.25">
      <c r="A97" s="12" t="s">
        <v>38</v>
      </c>
      <c r="B97" s="12">
        <v>283</v>
      </c>
      <c r="C97" s="12">
        <v>1</v>
      </c>
      <c r="D97" s="13" t="s">
        <v>490</v>
      </c>
      <c r="E97" s="6">
        <v>3151</v>
      </c>
      <c r="F97" s="6">
        <v>3205</v>
      </c>
      <c r="G97" s="6">
        <v>59384747</v>
      </c>
      <c r="H97" s="6">
        <v>378120</v>
      </c>
      <c r="I97" s="6">
        <v>384600</v>
      </c>
      <c r="J97" s="7">
        <v>198221.53</v>
      </c>
      <c r="K97" s="7">
        <v>198221.53</v>
      </c>
      <c r="L97" s="7">
        <v>198221.53</v>
      </c>
      <c r="M97" s="12">
        <v>1</v>
      </c>
      <c r="N97" s="7">
        <v>186378.47</v>
      </c>
      <c r="O97" s="7">
        <v>186378.47</v>
      </c>
      <c r="P97" s="7">
        <v>5128</v>
      </c>
      <c r="Q97" s="6">
        <v>378120</v>
      </c>
      <c r="R97" s="7">
        <v>129981.63</v>
      </c>
      <c r="S97" s="7">
        <v>508101.63</v>
      </c>
      <c r="T97" s="7">
        <v>127025.41</v>
      </c>
      <c r="U97" s="7">
        <v>-3238</v>
      </c>
      <c r="V97" s="7">
        <v>0</v>
      </c>
      <c r="W97" s="7">
        <v>-4207.74</v>
      </c>
      <c r="X97" s="7">
        <v>0</v>
      </c>
      <c r="Y97" s="7">
        <v>0</v>
      </c>
      <c r="Z97" s="7">
        <v>0</v>
      </c>
      <c r="AA97" s="7">
        <v>-2481.91</v>
      </c>
      <c r="AB97" s="7">
        <v>0</v>
      </c>
      <c r="AC97" s="7">
        <v>0</v>
      </c>
      <c r="AD97" s="7">
        <v>0</v>
      </c>
      <c r="AE97" s="7">
        <v>198221.53</v>
      </c>
      <c r="AF97" s="7">
        <v>186378.47</v>
      </c>
    </row>
    <row r="98" spans="1:32" x14ac:dyDescent="0.25">
      <c r="A98" s="12" t="s">
        <v>38</v>
      </c>
      <c r="B98" s="12">
        <v>284</v>
      </c>
      <c r="C98" s="12">
        <v>1</v>
      </c>
      <c r="D98" s="13" t="s">
        <v>491</v>
      </c>
      <c r="E98" s="6">
        <v>3245</v>
      </c>
      <c r="F98" s="6">
        <v>3215</v>
      </c>
      <c r="G98" s="6">
        <v>128200383</v>
      </c>
      <c r="H98" s="6">
        <v>389400</v>
      </c>
      <c r="I98" s="6">
        <v>385800</v>
      </c>
      <c r="J98" s="7">
        <v>389400</v>
      </c>
      <c r="K98" s="7">
        <v>385800</v>
      </c>
      <c r="L98" s="7">
        <v>389400</v>
      </c>
      <c r="M98" s="12">
        <v>1</v>
      </c>
      <c r="N98" s="7">
        <v>0</v>
      </c>
      <c r="O98" s="7">
        <v>0</v>
      </c>
      <c r="P98" s="7">
        <v>5144</v>
      </c>
      <c r="Q98" s="6">
        <v>389400</v>
      </c>
      <c r="R98" s="7">
        <v>116785.75</v>
      </c>
      <c r="S98" s="7">
        <v>506185.75</v>
      </c>
      <c r="T98" s="7">
        <v>126546.44</v>
      </c>
      <c r="U98" s="7">
        <v>65183.98</v>
      </c>
      <c r="V98" s="7">
        <v>0</v>
      </c>
      <c r="W98" s="7">
        <v>84096.59</v>
      </c>
      <c r="X98" s="7">
        <v>0</v>
      </c>
      <c r="Y98" s="7">
        <v>0</v>
      </c>
      <c r="Z98" s="7">
        <v>90568.24</v>
      </c>
      <c r="AA98" s="7">
        <v>79949.600000000006</v>
      </c>
      <c r="AB98" s="7">
        <v>0</v>
      </c>
      <c r="AC98" s="7">
        <v>0</v>
      </c>
      <c r="AD98" s="7">
        <v>0</v>
      </c>
      <c r="AE98" s="7">
        <v>385800</v>
      </c>
      <c r="AF98" s="7">
        <v>0</v>
      </c>
    </row>
    <row r="99" spans="1:32" x14ac:dyDescent="0.25">
      <c r="A99" s="12" t="s">
        <v>38</v>
      </c>
      <c r="B99" s="12">
        <v>286</v>
      </c>
      <c r="C99" s="12">
        <v>1</v>
      </c>
      <c r="D99" s="13" t="s">
        <v>492</v>
      </c>
      <c r="E99" s="6">
        <v>965</v>
      </c>
      <c r="F99" s="6">
        <v>925</v>
      </c>
      <c r="G99" s="6">
        <v>8672593</v>
      </c>
      <c r="H99" s="6">
        <v>115800</v>
      </c>
      <c r="I99" s="6">
        <v>111000</v>
      </c>
      <c r="J99" s="7">
        <v>28948.42</v>
      </c>
      <c r="K99" s="7">
        <v>28948.42</v>
      </c>
      <c r="L99" s="7">
        <v>28948.42</v>
      </c>
      <c r="M99" s="12">
        <v>1</v>
      </c>
      <c r="N99" s="7">
        <v>82051.58</v>
      </c>
      <c r="O99" s="7">
        <v>82051.58</v>
      </c>
      <c r="P99" s="7">
        <v>1480</v>
      </c>
      <c r="Q99" s="6">
        <v>115800</v>
      </c>
      <c r="R99" s="7">
        <v>2951</v>
      </c>
      <c r="S99" s="7">
        <v>118751</v>
      </c>
      <c r="T99" s="7">
        <v>29687.75</v>
      </c>
      <c r="U99" s="7">
        <v>45735.55</v>
      </c>
      <c r="V99" s="7">
        <v>0</v>
      </c>
      <c r="W99" s="7">
        <v>32760.9</v>
      </c>
      <c r="X99" s="7">
        <v>0</v>
      </c>
      <c r="Y99" s="7">
        <v>0</v>
      </c>
      <c r="Z99" s="7">
        <v>5436.7</v>
      </c>
      <c r="AA99" s="7">
        <v>27977.72</v>
      </c>
      <c r="AB99" s="7">
        <v>0</v>
      </c>
      <c r="AC99" s="7">
        <v>0</v>
      </c>
      <c r="AD99" s="7">
        <v>0</v>
      </c>
      <c r="AE99" s="7">
        <v>28948.42</v>
      </c>
      <c r="AF99" s="7">
        <v>82051.58</v>
      </c>
    </row>
    <row r="100" spans="1:32" x14ac:dyDescent="0.25">
      <c r="A100" s="12" t="s">
        <v>38</v>
      </c>
      <c r="B100" s="12">
        <v>294</v>
      </c>
      <c r="C100" s="12">
        <v>1</v>
      </c>
      <c r="D100" s="13" t="s">
        <v>493</v>
      </c>
      <c r="E100" s="6">
        <v>167</v>
      </c>
      <c r="F100" s="6">
        <v>152</v>
      </c>
      <c r="G100" s="6">
        <v>3251972</v>
      </c>
      <c r="H100" s="6">
        <v>20040</v>
      </c>
      <c r="I100" s="6">
        <v>18240</v>
      </c>
      <c r="J100" s="7">
        <v>10854.82</v>
      </c>
      <c r="K100" s="7">
        <v>10854.82</v>
      </c>
      <c r="L100" s="7">
        <v>10854.82</v>
      </c>
      <c r="M100" s="12">
        <v>1</v>
      </c>
      <c r="N100" s="7">
        <v>7385.18</v>
      </c>
      <c r="O100" s="7">
        <v>7385.18</v>
      </c>
      <c r="P100" s="7">
        <v>243.2</v>
      </c>
      <c r="Q100" s="6">
        <v>20040</v>
      </c>
      <c r="R100" s="7">
        <v>3461.12</v>
      </c>
      <c r="S100" s="7">
        <v>23501.119999999999</v>
      </c>
      <c r="T100" s="7">
        <v>5875.28</v>
      </c>
      <c r="U100" s="7">
        <v>141.32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47.11</v>
      </c>
      <c r="AB100" s="7">
        <v>0</v>
      </c>
      <c r="AC100" s="7">
        <v>0</v>
      </c>
      <c r="AD100" s="7">
        <v>0</v>
      </c>
      <c r="AE100" s="7">
        <v>10854.82</v>
      </c>
      <c r="AF100" s="7">
        <v>7385.18</v>
      </c>
    </row>
    <row r="101" spans="1:32" x14ac:dyDescent="0.25">
      <c r="A101" s="12" t="s">
        <v>38</v>
      </c>
      <c r="B101" s="12">
        <v>297</v>
      </c>
      <c r="C101" s="12">
        <v>1</v>
      </c>
      <c r="D101" s="13" t="s">
        <v>494</v>
      </c>
      <c r="E101" s="6">
        <v>116</v>
      </c>
      <c r="F101" s="6">
        <v>104</v>
      </c>
      <c r="G101" s="6">
        <v>2340746</v>
      </c>
      <c r="H101" s="6">
        <v>18000</v>
      </c>
      <c r="I101" s="6">
        <v>18000</v>
      </c>
      <c r="J101" s="7">
        <v>7813.22</v>
      </c>
      <c r="K101" s="7">
        <v>7813.22</v>
      </c>
      <c r="L101" s="7">
        <v>7813.22</v>
      </c>
      <c r="M101" s="12">
        <v>1</v>
      </c>
      <c r="N101" s="7">
        <v>10186.780000000001</v>
      </c>
      <c r="O101" s="7">
        <v>10186.780000000001</v>
      </c>
      <c r="P101" s="7">
        <v>166.4</v>
      </c>
      <c r="Q101" s="6">
        <v>18000</v>
      </c>
      <c r="R101" s="7">
        <v>3353.12</v>
      </c>
      <c r="S101" s="7">
        <v>21353.119999999999</v>
      </c>
      <c r="T101" s="7">
        <v>5338.28</v>
      </c>
      <c r="U101" s="7">
        <v>2240.83</v>
      </c>
      <c r="V101" s="7">
        <v>0</v>
      </c>
      <c r="W101" s="7">
        <v>2868.31</v>
      </c>
      <c r="X101" s="7">
        <v>0</v>
      </c>
      <c r="Y101" s="7">
        <v>0</v>
      </c>
      <c r="Z101" s="7">
        <v>3490.49</v>
      </c>
      <c r="AA101" s="7">
        <v>2866.54</v>
      </c>
      <c r="AB101" s="7">
        <v>0</v>
      </c>
      <c r="AC101" s="7">
        <v>0</v>
      </c>
      <c r="AD101" s="7">
        <v>0</v>
      </c>
      <c r="AE101" s="7">
        <v>7813.22</v>
      </c>
      <c r="AF101" s="7">
        <v>10186.780000000001</v>
      </c>
    </row>
    <row r="102" spans="1:32" x14ac:dyDescent="0.25">
      <c r="A102" s="12" t="s">
        <v>38</v>
      </c>
      <c r="B102" s="12">
        <v>299</v>
      </c>
      <c r="C102" s="12">
        <v>1</v>
      </c>
      <c r="D102" s="13" t="s">
        <v>495</v>
      </c>
      <c r="E102" s="6">
        <v>374</v>
      </c>
      <c r="F102" s="6">
        <v>352</v>
      </c>
      <c r="G102" s="6">
        <v>6047203</v>
      </c>
      <c r="H102" s="6">
        <v>44880</v>
      </c>
      <c r="I102" s="6">
        <v>42240</v>
      </c>
      <c r="J102" s="7">
        <v>20185.080000000002</v>
      </c>
      <c r="K102" s="7">
        <v>20185.080000000002</v>
      </c>
      <c r="L102" s="7">
        <v>20185.080000000002</v>
      </c>
      <c r="M102" s="12">
        <v>1</v>
      </c>
      <c r="N102" s="7">
        <v>22054.92</v>
      </c>
      <c r="O102" s="7">
        <v>22054.92</v>
      </c>
      <c r="P102" s="7">
        <v>563.20000000000005</v>
      </c>
      <c r="Q102" s="6">
        <v>44880</v>
      </c>
      <c r="R102" s="7">
        <v>2589.7800000000002</v>
      </c>
      <c r="S102" s="7">
        <v>47469.78</v>
      </c>
      <c r="T102" s="7">
        <v>11867.45</v>
      </c>
      <c r="U102" s="7">
        <v>4946.41</v>
      </c>
      <c r="V102" s="7">
        <v>0</v>
      </c>
      <c r="W102" s="7">
        <v>5813.62</v>
      </c>
      <c r="X102" s="7">
        <v>0</v>
      </c>
      <c r="Y102" s="7">
        <v>0</v>
      </c>
      <c r="Z102" s="7">
        <v>10717.66</v>
      </c>
      <c r="AA102" s="7">
        <v>7159.23</v>
      </c>
      <c r="AB102" s="7">
        <v>0</v>
      </c>
      <c r="AC102" s="7">
        <v>0</v>
      </c>
      <c r="AD102" s="7">
        <v>0</v>
      </c>
      <c r="AE102" s="7">
        <v>20185.080000000002</v>
      </c>
      <c r="AF102" s="7">
        <v>22054.92</v>
      </c>
    </row>
    <row r="103" spans="1:32" x14ac:dyDescent="0.25">
      <c r="A103" s="12" t="s">
        <v>38</v>
      </c>
      <c r="B103" s="12">
        <v>300</v>
      </c>
      <c r="C103" s="12">
        <v>1</v>
      </c>
      <c r="D103" s="13" t="s">
        <v>496</v>
      </c>
      <c r="E103" s="6">
        <v>505</v>
      </c>
      <c r="F103" s="6">
        <v>500</v>
      </c>
      <c r="G103" s="6">
        <v>7602388</v>
      </c>
      <c r="H103" s="6">
        <v>60600</v>
      </c>
      <c r="I103" s="6">
        <v>60000</v>
      </c>
      <c r="J103" s="7">
        <v>25376.16</v>
      </c>
      <c r="K103" s="7">
        <v>25376.16</v>
      </c>
      <c r="L103" s="7">
        <v>25376.16</v>
      </c>
      <c r="M103" s="12">
        <v>1</v>
      </c>
      <c r="N103" s="7">
        <v>34623.839999999997</v>
      </c>
      <c r="O103" s="7">
        <v>34623.839999999997</v>
      </c>
      <c r="P103" s="7">
        <v>800</v>
      </c>
      <c r="Q103" s="6">
        <v>60600</v>
      </c>
      <c r="R103" s="7">
        <v>3935.27</v>
      </c>
      <c r="S103" s="7">
        <v>64535.27</v>
      </c>
      <c r="T103" s="7">
        <v>16133.82</v>
      </c>
      <c r="U103" s="7">
        <v>-5497.64</v>
      </c>
      <c r="V103" s="7">
        <v>0</v>
      </c>
      <c r="W103" s="7">
        <v>-9956.32</v>
      </c>
      <c r="X103" s="7">
        <v>0</v>
      </c>
      <c r="Y103" s="7">
        <v>0</v>
      </c>
      <c r="Z103" s="7">
        <v>-7482.41</v>
      </c>
      <c r="AA103" s="7">
        <v>-7645.46</v>
      </c>
      <c r="AB103" s="7">
        <v>0</v>
      </c>
      <c r="AC103" s="7">
        <v>0</v>
      </c>
      <c r="AD103" s="7">
        <v>0</v>
      </c>
      <c r="AE103" s="7">
        <v>25376.16</v>
      </c>
      <c r="AF103" s="7">
        <v>34623.839999999997</v>
      </c>
    </row>
    <row r="104" spans="1:32" x14ac:dyDescent="0.25">
      <c r="A104" s="12" t="s">
        <v>38</v>
      </c>
      <c r="B104" s="12">
        <v>306</v>
      </c>
      <c r="C104" s="12">
        <v>1</v>
      </c>
      <c r="D104" s="13" t="s">
        <v>497</v>
      </c>
      <c r="E104" s="6">
        <v>89</v>
      </c>
      <c r="F104" s="6">
        <v>95</v>
      </c>
      <c r="G104" s="6">
        <v>3403341</v>
      </c>
      <c r="H104" s="6">
        <v>18000</v>
      </c>
      <c r="I104" s="6">
        <v>18000</v>
      </c>
      <c r="J104" s="7">
        <v>11360.08</v>
      </c>
      <c r="K104" s="7">
        <v>11360.08</v>
      </c>
      <c r="L104" s="7">
        <v>11360.08</v>
      </c>
      <c r="M104" s="12">
        <v>1</v>
      </c>
      <c r="N104" s="7">
        <v>6639.92</v>
      </c>
      <c r="O104" s="7">
        <v>6639.92</v>
      </c>
      <c r="P104" s="7">
        <v>152</v>
      </c>
      <c r="Q104" s="6">
        <v>18000</v>
      </c>
      <c r="R104" s="7">
        <v>234.4</v>
      </c>
      <c r="S104" s="7">
        <v>18234.400000000001</v>
      </c>
      <c r="T104" s="7">
        <v>4558.6000000000004</v>
      </c>
      <c r="U104" s="7">
        <v>9504.41</v>
      </c>
      <c r="V104" s="7">
        <v>352.97</v>
      </c>
      <c r="W104" s="7">
        <v>7377.5</v>
      </c>
      <c r="X104" s="7">
        <v>2137.56</v>
      </c>
      <c r="Y104" s="7">
        <v>0</v>
      </c>
      <c r="Z104" s="7">
        <v>4652.2</v>
      </c>
      <c r="AA104" s="7">
        <v>6347.86</v>
      </c>
      <c r="AB104" s="7">
        <v>1789.26</v>
      </c>
      <c r="AC104" s="7">
        <v>1129.23</v>
      </c>
      <c r="AD104" s="7">
        <v>660.03</v>
      </c>
      <c r="AE104" s="7">
        <v>10230.85</v>
      </c>
      <c r="AF104" s="7">
        <v>5979.89</v>
      </c>
    </row>
    <row r="105" spans="1:32" x14ac:dyDescent="0.25">
      <c r="A105" s="12" t="s">
        <v>38</v>
      </c>
      <c r="B105" s="12">
        <v>308</v>
      </c>
      <c r="C105" s="12">
        <v>1</v>
      </c>
      <c r="D105" s="13" t="s">
        <v>498</v>
      </c>
      <c r="E105" s="6">
        <v>195</v>
      </c>
      <c r="F105" s="6">
        <v>225</v>
      </c>
      <c r="G105" s="6">
        <v>8077794</v>
      </c>
      <c r="H105" s="6">
        <v>23400</v>
      </c>
      <c r="I105" s="6">
        <v>27000</v>
      </c>
      <c r="J105" s="7">
        <v>23400</v>
      </c>
      <c r="K105" s="7">
        <v>26963.03</v>
      </c>
      <c r="L105" s="7">
        <v>23400</v>
      </c>
      <c r="M105" s="12">
        <v>1</v>
      </c>
      <c r="N105" s="7">
        <v>36.97</v>
      </c>
      <c r="O105" s="7">
        <v>36.97</v>
      </c>
      <c r="P105" s="7">
        <v>360</v>
      </c>
      <c r="Q105" s="6">
        <v>23400</v>
      </c>
      <c r="R105" s="7">
        <v>11640.25</v>
      </c>
      <c r="S105" s="7">
        <v>35040.25</v>
      </c>
      <c r="T105" s="7">
        <v>8760.06</v>
      </c>
      <c r="U105" s="7">
        <v>-223.14</v>
      </c>
      <c r="V105" s="7">
        <v>0</v>
      </c>
      <c r="W105" s="7">
        <v>1345.43</v>
      </c>
      <c r="X105" s="7">
        <v>0</v>
      </c>
      <c r="Y105" s="7">
        <v>0</v>
      </c>
      <c r="Z105" s="7">
        <v>-5943.66</v>
      </c>
      <c r="AA105" s="7">
        <v>-1607.12</v>
      </c>
      <c r="AB105" s="7">
        <v>0</v>
      </c>
      <c r="AC105" s="7">
        <v>0</v>
      </c>
      <c r="AD105" s="7">
        <v>0</v>
      </c>
      <c r="AE105" s="7">
        <v>26963.03</v>
      </c>
      <c r="AF105" s="7">
        <v>36.97</v>
      </c>
    </row>
    <row r="106" spans="1:32" x14ac:dyDescent="0.25">
      <c r="A106" s="12" t="s">
        <v>38</v>
      </c>
      <c r="B106" s="12">
        <v>309</v>
      </c>
      <c r="C106" s="12">
        <v>1</v>
      </c>
      <c r="D106" s="13" t="s">
        <v>499</v>
      </c>
      <c r="E106" s="6">
        <v>705</v>
      </c>
      <c r="F106" s="6">
        <v>817</v>
      </c>
      <c r="G106" s="6">
        <v>25544660</v>
      </c>
      <c r="H106" s="6">
        <v>84600</v>
      </c>
      <c r="I106" s="6">
        <v>98040</v>
      </c>
      <c r="J106" s="7">
        <v>84600</v>
      </c>
      <c r="K106" s="7">
        <v>85266.03</v>
      </c>
      <c r="L106" s="7">
        <v>84600</v>
      </c>
      <c r="M106" s="12">
        <v>1</v>
      </c>
      <c r="N106" s="7">
        <v>12773.97</v>
      </c>
      <c r="O106" s="7">
        <v>12773.97</v>
      </c>
      <c r="P106" s="7">
        <v>1307.2</v>
      </c>
      <c r="Q106" s="6">
        <v>84600</v>
      </c>
      <c r="R106" s="7">
        <v>8049.72</v>
      </c>
      <c r="S106" s="7">
        <v>92649.72</v>
      </c>
      <c r="T106" s="7">
        <v>23162.43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661.47</v>
      </c>
      <c r="AA106" s="7">
        <v>220.49</v>
      </c>
      <c r="AB106" s="7">
        <v>0</v>
      </c>
      <c r="AC106" s="7">
        <v>0</v>
      </c>
      <c r="AD106" s="7">
        <v>0</v>
      </c>
      <c r="AE106" s="7">
        <v>85266.03</v>
      </c>
      <c r="AF106" s="7">
        <v>12773.97</v>
      </c>
    </row>
    <row r="107" spans="1:32" x14ac:dyDescent="0.25">
      <c r="A107" s="12" t="s">
        <v>38</v>
      </c>
      <c r="B107" s="12">
        <v>314</v>
      </c>
      <c r="C107" s="12">
        <v>1</v>
      </c>
      <c r="D107" s="13" t="s">
        <v>500</v>
      </c>
      <c r="E107" s="6">
        <v>370</v>
      </c>
      <c r="F107" s="6">
        <v>355</v>
      </c>
      <c r="G107" s="6">
        <v>6182834</v>
      </c>
      <c r="H107" s="6">
        <v>44400</v>
      </c>
      <c r="I107" s="6">
        <v>42600</v>
      </c>
      <c r="J107" s="7">
        <v>20637.810000000001</v>
      </c>
      <c r="K107" s="7">
        <v>20637.810000000001</v>
      </c>
      <c r="L107" s="7">
        <v>20637.810000000001</v>
      </c>
      <c r="M107" s="12">
        <v>1</v>
      </c>
      <c r="N107" s="7">
        <v>21962.19</v>
      </c>
      <c r="O107" s="7">
        <v>21962.19</v>
      </c>
      <c r="P107" s="7">
        <v>568</v>
      </c>
      <c r="Q107" s="6">
        <v>44400</v>
      </c>
      <c r="R107" s="7">
        <v>1244.5</v>
      </c>
      <c r="S107" s="7">
        <v>45644.5</v>
      </c>
      <c r="T107" s="7">
        <v>11411.13</v>
      </c>
      <c r="U107" s="7">
        <v>23237.41</v>
      </c>
      <c r="V107" s="7">
        <v>5941.73</v>
      </c>
      <c r="W107" s="7">
        <v>27780.46</v>
      </c>
      <c r="X107" s="7">
        <v>10718.57</v>
      </c>
      <c r="Y107" s="7">
        <v>0</v>
      </c>
      <c r="Z107" s="7">
        <v>40763.21</v>
      </c>
      <c r="AA107" s="7">
        <v>25040.26</v>
      </c>
      <c r="AB107" s="7">
        <v>13629.13</v>
      </c>
      <c r="AC107" s="7">
        <v>6602.71</v>
      </c>
      <c r="AD107" s="7">
        <v>7026.42</v>
      </c>
      <c r="AE107" s="7">
        <v>14035.1</v>
      </c>
      <c r="AF107" s="7">
        <v>14935.77</v>
      </c>
    </row>
    <row r="108" spans="1:32" x14ac:dyDescent="0.25">
      <c r="A108" s="12" t="s">
        <v>38</v>
      </c>
      <c r="B108" s="12">
        <v>316</v>
      </c>
      <c r="C108" s="12">
        <v>1</v>
      </c>
      <c r="D108" s="13" t="s">
        <v>501</v>
      </c>
      <c r="E108" s="6">
        <v>510</v>
      </c>
      <c r="F108" s="6">
        <v>535</v>
      </c>
      <c r="G108" s="6">
        <v>7447492</v>
      </c>
      <c r="H108" s="6">
        <v>61200</v>
      </c>
      <c r="I108" s="6">
        <v>64200</v>
      </c>
      <c r="J108" s="7">
        <v>24859.13</v>
      </c>
      <c r="K108" s="7">
        <v>24859.13</v>
      </c>
      <c r="L108" s="7">
        <v>24859.13</v>
      </c>
      <c r="M108" s="12">
        <v>1</v>
      </c>
      <c r="N108" s="7">
        <v>39340.870000000003</v>
      </c>
      <c r="O108" s="7">
        <v>39340.870000000003</v>
      </c>
      <c r="P108" s="7">
        <v>856</v>
      </c>
      <c r="Q108" s="6">
        <v>61200</v>
      </c>
      <c r="R108" s="7">
        <v>23358.57</v>
      </c>
      <c r="S108" s="7">
        <v>84558.57</v>
      </c>
      <c r="T108" s="7">
        <v>21139.64</v>
      </c>
      <c r="U108" s="7">
        <v>24175.919999999998</v>
      </c>
      <c r="V108" s="7">
        <v>0</v>
      </c>
      <c r="W108" s="7">
        <v>41380.239999999998</v>
      </c>
      <c r="X108" s="7">
        <v>1917.21</v>
      </c>
      <c r="Y108" s="7">
        <v>0</v>
      </c>
      <c r="Z108" s="7">
        <v>18824.509999999998</v>
      </c>
      <c r="AA108" s="7">
        <v>27487.82</v>
      </c>
      <c r="AB108" s="7">
        <v>6348.18</v>
      </c>
      <c r="AC108" s="7">
        <v>2458.1</v>
      </c>
      <c r="AD108" s="7">
        <v>3890.08</v>
      </c>
      <c r="AE108" s="7">
        <v>22401.03</v>
      </c>
      <c r="AF108" s="7">
        <v>35450.79</v>
      </c>
    </row>
    <row r="109" spans="1:32" x14ac:dyDescent="0.25">
      <c r="A109" s="12" t="s">
        <v>38</v>
      </c>
      <c r="B109" s="12">
        <v>317</v>
      </c>
      <c r="C109" s="12">
        <v>1</v>
      </c>
      <c r="D109" s="13" t="s">
        <v>502</v>
      </c>
      <c r="E109" s="6">
        <v>395</v>
      </c>
      <c r="F109" s="6">
        <v>400</v>
      </c>
      <c r="G109" s="6">
        <v>9064556</v>
      </c>
      <c r="H109" s="6">
        <v>47400</v>
      </c>
      <c r="I109" s="6">
        <v>48000</v>
      </c>
      <c r="J109" s="7">
        <v>30256.76</v>
      </c>
      <c r="K109" s="7">
        <v>30256.76</v>
      </c>
      <c r="L109" s="7">
        <v>30256.76</v>
      </c>
      <c r="M109" s="12">
        <v>1</v>
      </c>
      <c r="N109" s="7">
        <v>17743.240000000002</v>
      </c>
      <c r="O109" s="7">
        <v>17743.240000000002</v>
      </c>
      <c r="P109" s="7">
        <v>640</v>
      </c>
      <c r="Q109" s="6">
        <v>47400</v>
      </c>
      <c r="R109" s="7">
        <v>23091.33</v>
      </c>
      <c r="S109" s="7">
        <v>70491.33</v>
      </c>
      <c r="T109" s="7">
        <v>17622.830000000002</v>
      </c>
      <c r="U109" s="7">
        <v>30573.29</v>
      </c>
      <c r="V109" s="7">
        <v>0</v>
      </c>
      <c r="W109" s="7">
        <v>27783.43</v>
      </c>
      <c r="X109" s="7">
        <v>4081.19</v>
      </c>
      <c r="Y109" s="7">
        <v>0</v>
      </c>
      <c r="Z109" s="7">
        <v>3637.03</v>
      </c>
      <c r="AA109" s="7">
        <v>19304.189999999999</v>
      </c>
      <c r="AB109" s="7">
        <v>1681.36</v>
      </c>
      <c r="AC109" s="7">
        <v>1059.8399999999999</v>
      </c>
      <c r="AD109" s="7">
        <v>621.52</v>
      </c>
      <c r="AE109" s="7">
        <v>29196.92</v>
      </c>
      <c r="AF109" s="7">
        <v>17121.72</v>
      </c>
    </row>
    <row r="110" spans="1:32" x14ac:dyDescent="0.25">
      <c r="A110" s="12" t="s">
        <v>38</v>
      </c>
      <c r="B110" s="12">
        <v>318</v>
      </c>
      <c r="C110" s="12">
        <v>1</v>
      </c>
      <c r="D110" s="13" t="s">
        <v>503</v>
      </c>
      <c r="E110" s="6">
        <v>1500</v>
      </c>
      <c r="F110" s="6">
        <v>1565</v>
      </c>
      <c r="G110" s="6">
        <v>49658622</v>
      </c>
      <c r="H110" s="6">
        <v>180000</v>
      </c>
      <c r="I110" s="6">
        <v>187800</v>
      </c>
      <c r="J110" s="7">
        <v>165756.51</v>
      </c>
      <c r="K110" s="7">
        <v>165756.51</v>
      </c>
      <c r="L110" s="7">
        <v>165756.51</v>
      </c>
      <c r="M110" s="12">
        <v>1</v>
      </c>
      <c r="N110" s="7">
        <v>22043.49</v>
      </c>
      <c r="O110" s="7">
        <v>22043.49</v>
      </c>
      <c r="P110" s="7">
        <v>2504</v>
      </c>
      <c r="Q110" s="6">
        <v>180000</v>
      </c>
      <c r="R110" s="7">
        <v>80577.02</v>
      </c>
      <c r="S110" s="7">
        <v>260577.02</v>
      </c>
      <c r="T110" s="7">
        <v>65144.26</v>
      </c>
      <c r="U110" s="7">
        <v>5938.61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1979.54</v>
      </c>
      <c r="AB110" s="7">
        <v>0</v>
      </c>
      <c r="AC110" s="7">
        <v>0</v>
      </c>
      <c r="AD110" s="7">
        <v>0</v>
      </c>
      <c r="AE110" s="7">
        <v>165756.51</v>
      </c>
      <c r="AF110" s="7">
        <v>22043.49</v>
      </c>
    </row>
    <row r="111" spans="1:32" x14ac:dyDescent="0.25">
      <c r="A111" s="12" t="s">
        <v>38</v>
      </c>
      <c r="B111" s="12">
        <v>319</v>
      </c>
      <c r="C111" s="12">
        <v>1</v>
      </c>
      <c r="D111" s="13" t="s">
        <v>504</v>
      </c>
      <c r="E111" s="6">
        <v>240</v>
      </c>
      <c r="F111" s="6">
        <v>245</v>
      </c>
      <c r="G111" s="6">
        <v>4561118</v>
      </c>
      <c r="H111" s="6">
        <v>28800</v>
      </c>
      <c r="I111" s="6">
        <v>29400</v>
      </c>
      <c r="J111" s="7">
        <v>15224.65</v>
      </c>
      <c r="K111" s="7">
        <v>15224.65</v>
      </c>
      <c r="L111" s="7">
        <v>15224.65</v>
      </c>
      <c r="M111" s="12">
        <v>1</v>
      </c>
      <c r="N111" s="7">
        <v>14175.35</v>
      </c>
      <c r="O111" s="7">
        <v>14175.35</v>
      </c>
      <c r="P111" s="7">
        <v>392</v>
      </c>
      <c r="Q111" s="6">
        <v>28800</v>
      </c>
      <c r="R111" s="7">
        <v>384</v>
      </c>
      <c r="S111" s="7">
        <v>29184</v>
      </c>
      <c r="T111" s="7">
        <v>7296</v>
      </c>
      <c r="U111" s="7">
        <v>12133.35</v>
      </c>
      <c r="V111" s="7">
        <v>0</v>
      </c>
      <c r="W111" s="7">
        <v>13745.05</v>
      </c>
      <c r="X111" s="7">
        <v>3634.62</v>
      </c>
      <c r="Y111" s="7">
        <v>0</v>
      </c>
      <c r="Z111" s="7">
        <v>11626.87</v>
      </c>
      <c r="AA111" s="7">
        <v>11290.22</v>
      </c>
      <c r="AB111" s="7">
        <v>3994.22</v>
      </c>
      <c r="AC111" s="7">
        <v>2068.39</v>
      </c>
      <c r="AD111" s="7">
        <v>1925.83</v>
      </c>
      <c r="AE111" s="7">
        <v>13156.26</v>
      </c>
      <c r="AF111" s="7">
        <v>12249.52</v>
      </c>
    </row>
    <row r="112" spans="1:32" x14ac:dyDescent="0.25">
      <c r="A112" s="12" t="s">
        <v>38</v>
      </c>
      <c r="B112" s="12">
        <v>330</v>
      </c>
      <c r="C112" s="12">
        <v>1</v>
      </c>
      <c r="D112" s="13" t="s">
        <v>505</v>
      </c>
      <c r="E112" s="6">
        <v>82</v>
      </c>
      <c r="F112" s="6">
        <v>87</v>
      </c>
      <c r="G112" s="6">
        <v>3302256</v>
      </c>
      <c r="H112" s="6">
        <v>18000</v>
      </c>
      <c r="I112" s="6">
        <v>18000</v>
      </c>
      <c r="J112" s="7">
        <v>11022.67</v>
      </c>
      <c r="K112" s="7">
        <v>11022.67</v>
      </c>
      <c r="L112" s="7">
        <v>11022.67</v>
      </c>
      <c r="M112" s="12">
        <v>1</v>
      </c>
      <c r="N112" s="7">
        <v>6977.33</v>
      </c>
      <c r="O112" s="7">
        <v>6977.33</v>
      </c>
      <c r="P112" s="7">
        <v>139.19999999999999</v>
      </c>
      <c r="Q112" s="6">
        <v>18000</v>
      </c>
      <c r="R112" s="7">
        <v>11759.94</v>
      </c>
      <c r="S112" s="7">
        <v>29759.94</v>
      </c>
      <c r="T112" s="7">
        <v>7439.99</v>
      </c>
      <c r="U112" s="7">
        <v>-9274.11</v>
      </c>
      <c r="V112" s="7">
        <v>0</v>
      </c>
      <c r="W112" s="7">
        <v>-10617.24</v>
      </c>
      <c r="X112" s="7">
        <v>0</v>
      </c>
      <c r="Y112" s="7">
        <v>0</v>
      </c>
      <c r="Z112" s="7">
        <v>2753.33</v>
      </c>
      <c r="AA112" s="7">
        <v>-5712.67</v>
      </c>
      <c r="AB112" s="7">
        <v>0</v>
      </c>
      <c r="AC112" s="7">
        <v>0</v>
      </c>
      <c r="AD112" s="7">
        <v>0</v>
      </c>
      <c r="AE112" s="7">
        <v>11022.67</v>
      </c>
      <c r="AF112" s="7">
        <v>6977.33</v>
      </c>
    </row>
    <row r="113" spans="1:32" x14ac:dyDescent="0.25">
      <c r="A113" s="12" t="s">
        <v>38</v>
      </c>
      <c r="B113" s="12">
        <v>332</v>
      </c>
      <c r="C113" s="12">
        <v>1</v>
      </c>
      <c r="D113" s="13" t="s">
        <v>506</v>
      </c>
      <c r="E113" s="6">
        <v>740</v>
      </c>
      <c r="F113" s="6">
        <v>740</v>
      </c>
      <c r="G113" s="6">
        <v>10431303</v>
      </c>
      <c r="H113" s="6">
        <v>88800</v>
      </c>
      <c r="I113" s="6">
        <v>88800</v>
      </c>
      <c r="J113" s="7">
        <v>34818.85</v>
      </c>
      <c r="K113" s="7">
        <v>34818.85</v>
      </c>
      <c r="L113" s="7">
        <v>34818.85</v>
      </c>
      <c r="M113" s="12">
        <v>1</v>
      </c>
      <c r="N113" s="7">
        <v>53981.15</v>
      </c>
      <c r="O113" s="7">
        <v>53981.15</v>
      </c>
      <c r="P113" s="7">
        <v>1184</v>
      </c>
      <c r="Q113" s="6">
        <v>88800</v>
      </c>
      <c r="R113" s="7">
        <v>17413.439999999999</v>
      </c>
      <c r="S113" s="7">
        <v>106213.44</v>
      </c>
      <c r="T113" s="7">
        <v>26553.360000000001</v>
      </c>
      <c r="U113" s="7">
        <v>28317.37</v>
      </c>
      <c r="V113" s="7">
        <v>0</v>
      </c>
      <c r="W113" s="7">
        <v>29703.87</v>
      </c>
      <c r="X113" s="7">
        <v>0</v>
      </c>
      <c r="Y113" s="7">
        <v>0</v>
      </c>
      <c r="Z113" s="7">
        <v>21430.73</v>
      </c>
      <c r="AA113" s="7">
        <v>26483.99</v>
      </c>
      <c r="AB113" s="7">
        <v>0</v>
      </c>
      <c r="AC113" s="7">
        <v>0</v>
      </c>
      <c r="AD113" s="7">
        <v>0</v>
      </c>
      <c r="AE113" s="7">
        <v>34818.85</v>
      </c>
      <c r="AF113" s="7">
        <v>53981.15</v>
      </c>
    </row>
    <row r="114" spans="1:32" x14ac:dyDescent="0.25">
      <c r="A114" s="12" t="s">
        <v>38</v>
      </c>
      <c r="B114" s="12">
        <v>333</v>
      </c>
      <c r="C114" s="12">
        <v>1</v>
      </c>
      <c r="D114" s="13" t="s">
        <v>507</v>
      </c>
      <c r="E114" s="6">
        <v>170</v>
      </c>
      <c r="F114" s="6">
        <v>177</v>
      </c>
      <c r="G114" s="6">
        <v>3395643</v>
      </c>
      <c r="H114" s="6">
        <v>20400</v>
      </c>
      <c r="I114" s="6">
        <v>21240</v>
      </c>
      <c r="J114" s="7">
        <v>11334.38</v>
      </c>
      <c r="K114" s="7">
        <v>11334.38</v>
      </c>
      <c r="L114" s="7">
        <v>11334.38</v>
      </c>
      <c r="M114" s="12">
        <v>1</v>
      </c>
      <c r="N114" s="7">
        <v>9905.6200000000008</v>
      </c>
      <c r="O114" s="7">
        <v>9905.6200000000008</v>
      </c>
      <c r="P114" s="7">
        <v>283.2</v>
      </c>
      <c r="Q114" s="6">
        <v>20400</v>
      </c>
      <c r="R114" s="7">
        <v>2491</v>
      </c>
      <c r="S114" s="7">
        <v>22891</v>
      </c>
      <c r="T114" s="7">
        <v>5722.75</v>
      </c>
      <c r="U114" s="7">
        <v>-15190.35</v>
      </c>
      <c r="V114" s="7">
        <v>0</v>
      </c>
      <c r="W114" s="7">
        <v>-17165.45</v>
      </c>
      <c r="X114" s="7">
        <v>0</v>
      </c>
      <c r="Y114" s="7">
        <v>0</v>
      </c>
      <c r="Z114" s="7">
        <v>-14583.72</v>
      </c>
      <c r="AA114" s="7">
        <v>-15646.51</v>
      </c>
      <c r="AB114" s="7">
        <v>0</v>
      </c>
      <c r="AC114" s="7">
        <v>0</v>
      </c>
      <c r="AD114" s="7">
        <v>0</v>
      </c>
      <c r="AE114" s="7">
        <v>11334.38</v>
      </c>
      <c r="AF114" s="7">
        <v>9905.6200000000008</v>
      </c>
    </row>
    <row r="115" spans="1:32" x14ac:dyDescent="0.25">
      <c r="A115" s="12" t="s">
        <v>38</v>
      </c>
      <c r="B115" s="12">
        <v>345</v>
      </c>
      <c r="C115" s="12">
        <v>1</v>
      </c>
      <c r="D115" s="13" t="s">
        <v>508</v>
      </c>
      <c r="E115" s="6">
        <v>523</v>
      </c>
      <c r="F115" s="6">
        <v>518</v>
      </c>
      <c r="G115" s="6">
        <v>14798838</v>
      </c>
      <c r="H115" s="6">
        <v>62760</v>
      </c>
      <c r="I115" s="6">
        <v>62160</v>
      </c>
      <c r="J115" s="7">
        <v>49397.34</v>
      </c>
      <c r="K115" s="7">
        <v>49397.34</v>
      </c>
      <c r="L115" s="7">
        <v>49397.34</v>
      </c>
      <c r="M115" s="12">
        <v>1</v>
      </c>
      <c r="N115" s="7">
        <v>12762.66</v>
      </c>
      <c r="O115" s="7">
        <v>12762.66</v>
      </c>
      <c r="P115" s="7">
        <v>828.8</v>
      </c>
      <c r="Q115" s="6">
        <v>62760</v>
      </c>
      <c r="R115" s="7">
        <v>13261.16</v>
      </c>
      <c r="S115" s="7">
        <v>76021.16</v>
      </c>
      <c r="T115" s="7">
        <v>19005.29</v>
      </c>
      <c r="U115" s="7">
        <v>4451.08</v>
      </c>
      <c r="V115" s="7">
        <v>0</v>
      </c>
      <c r="W115" s="7">
        <v>5881.83</v>
      </c>
      <c r="X115" s="7">
        <v>0</v>
      </c>
      <c r="Y115" s="7">
        <v>0</v>
      </c>
      <c r="Z115" s="7">
        <v>2737.08</v>
      </c>
      <c r="AA115" s="7">
        <v>4356.66</v>
      </c>
      <c r="AB115" s="7">
        <v>0</v>
      </c>
      <c r="AC115" s="7">
        <v>0</v>
      </c>
      <c r="AD115" s="7">
        <v>0</v>
      </c>
      <c r="AE115" s="7">
        <v>49397.34</v>
      </c>
      <c r="AF115" s="7">
        <v>12762.66</v>
      </c>
    </row>
    <row r="116" spans="1:32" x14ac:dyDescent="0.25">
      <c r="A116" s="12" t="s">
        <v>38</v>
      </c>
      <c r="B116" s="12">
        <v>347</v>
      </c>
      <c r="C116" s="12">
        <v>1</v>
      </c>
      <c r="D116" s="13" t="s">
        <v>509</v>
      </c>
      <c r="E116" s="6">
        <v>1901</v>
      </c>
      <c r="F116" s="6">
        <v>1918</v>
      </c>
      <c r="G116" s="6">
        <v>22715564</v>
      </c>
      <c r="H116" s="6">
        <v>228120</v>
      </c>
      <c r="I116" s="6">
        <v>230160</v>
      </c>
      <c r="J116" s="7">
        <v>75822.740000000005</v>
      </c>
      <c r="K116" s="7">
        <v>75822.740000000005</v>
      </c>
      <c r="L116" s="7">
        <v>75822.740000000005</v>
      </c>
      <c r="M116" s="12">
        <v>1</v>
      </c>
      <c r="N116" s="7">
        <v>154337.26</v>
      </c>
      <c r="O116" s="7">
        <v>154337.26</v>
      </c>
      <c r="P116" s="7">
        <v>3068.8</v>
      </c>
      <c r="Q116" s="6">
        <v>228120</v>
      </c>
      <c r="R116" s="7">
        <v>33089.46</v>
      </c>
      <c r="S116" s="7">
        <v>261209.46</v>
      </c>
      <c r="T116" s="7">
        <v>65302.37</v>
      </c>
      <c r="U116" s="7">
        <v>0</v>
      </c>
      <c r="V116" s="7">
        <v>0</v>
      </c>
      <c r="W116" s="7">
        <v>72889.5</v>
      </c>
      <c r="X116" s="7">
        <v>0</v>
      </c>
      <c r="Y116" s="7">
        <v>0</v>
      </c>
      <c r="Z116" s="7">
        <v>84880.8</v>
      </c>
      <c r="AA116" s="7">
        <v>52590.1</v>
      </c>
      <c r="AB116" s="7">
        <v>0</v>
      </c>
      <c r="AC116" s="7">
        <v>0</v>
      </c>
      <c r="AD116" s="7">
        <v>0</v>
      </c>
      <c r="AE116" s="7">
        <v>75822.740000000005</v>
      </c>
      <c r="AF116" s="7">
        <v>154337.26</v>
      </c>
    </row>
    <row r="117" spans="1:32" x14ac:dyDescent="0.25">
      <c r="A117" s="12" t="s">
        <v>38</v>
      </c>
      <c r="B117" s="12">
        <v>356</v>
      </c>
      <c r="C117" s="12">
        <v>1</v>
      </c>
      <c r="D117" s="13" t="s">
        <v>510</v>
      </c>
      <c r="E117" s="6">
        <v>67</v>
      </c>
      <c r="F117" s="6">
        <v>65</v>
      </c>
      <c r="G117" s="6">
        <v>975146</v>
      </c>
      <c r="H117" s="6">
        <v>18000</v>
      </c>
      <c r="I117" s="6">
        <v>18000</v>
      </c>
      <c r="J117" s="7">
        <v>3254.96</v>
      </c>
      <c r="K117" s="7">
        <v>3254.96</v>
      </c>
      <c r="L117" s="7">
        <v>3254.96</v>
      </c>
      <c r="M117" s="12">
        <v>1</v>
      </c>
      <c r="N117" s="7">
        <v>14745.04</v>
      </c>
      <c r="O117" s="7">
        <v>14745.04</v>
      </c>
      <c r="P117" s="7">
        <v>0</v>
      </c>
      <c r="Q117" s="6">
        <v>18000</v>
      </c>
      <c r="R117" s="7">
        <v>0</v>
      </c>
      <c r="S117" s="7">
        <v>18000</v>
      </c>
      <c r="T117" s="7">
        <v>4500</v>
      </c>
      <c r="U117" s="7">
        <v>1.18</v>
      </c>
      <c r="V117" s="7">
        <v>0</v>
      </c>
      <c r="W117" s="7">
        <v>7.0000000000000007E-2</v>
      </c>
      <c r="X117" s="7">
        <v>0</v>
      </c>
      <c r="Y117" s="7">
        <v>0</v>
      </c>
      <c r="Z117" s="7">
        <v>-0.31</v>
      </c>
      <c r="AA117" s="7">
        <v>0.31</v>
      </c>
      <c r="AB117" s="7">
        <v>0</v>
      </c>
      <c r="AC117" s="7">
        <v>0</v>
      </c>
      <c r="AD117" s="7">
        <v>0</v>
      </c>
      <c r="AE117" s="7">
        <v>3254.96</v>
      </c>
      <c r="AF117" s="7">
        <v>14745.04</v>
      </c>
    </row>
    <row r="118" spans="1:32" x14ac:dyDescent="0.25">
      <c r="A118" s="12" t="s">
        <v>38</v>
      </c>
      <c r="B118" s="12">
        <v>361</v>
      </c>
      <c r="C118" s="12">
        <v>1</v>
      </c>
      <c r="D118" s="13" t="s">
        <v>511</v>
      </c>
      <c r="E118" s="6">
        <v>451</v>
      </c>
      <c r="F118" s="6">
        <v>451</v>
      </c>
      <c r="G118" s="6">
        <v>9468057</v>
      </c>
      <c r="H118" s="6">
        <v>54120</v>
      </c>
      <c r="I118" s="6">
        <v>54120</v>
      </c>
      <c r="J118" s="7">
        <v>31603.62</v>
      </c>
      <c r="K118" s="7">
        <v>31603.62</v>
      </c>
      <c r="L118" s="7">
        <v>31603.62</v>
      </c>
      <c r="M118" s="12">
        <v>1</v>
      </c>
      <c r="N118" s="7">
        <v>22516.38</v>
      </c>
      <c r="O118" s="7">
        <v>22516.38</v>
      </c>
      <c r="P118" s="7">
        <v>0</v>
      </c>
      <c r="Q118" s="6">
        <v>54120</v>
      </c>
      <c r="R118" s="7">
        <v>2728</v>
      </c>
      <c r="S118" s="7">
        <v>56848</v>
      </c>
      <c r="T118" s="7">
        <v>14212</v>
      </c>
      <c r="U118" s="7">
        <v>14517.6</v>
      </c>
      <c r="V118" s="7">
        <v>0</v>
      </c>
      <c r="W118" s="7">
        <v>13872.17</v>
      </c>
      <c r="X118" s="7">
        <v>0</v>
      </c>
      <c r="Y118" s="7">
        <v>0</v>
      </c>
      <c r="Z118" s="7">
        <v>7534.63</v>
      </c>
      <c r="AA118" s="7">
        <v>11974.8</v>
      </c>
      <c r="AB118" s="7">
        <v>0</v>
      </c>
      <c r="AC118" s="7">
        <v>0</v>
      </c>
      <c r="AD118" s="7">
        <v>0</v>
      </c>
      <c r="AE118" s="7">
        <v>31603.62</v>
      </c>
      <c r="AF118" s="7">
        <v>22516.38</v>
      </c>
    </row>
    <row r="119" spans="1:32" x14ac:dyDescent="0.25">
      <c r="A119" s="12" t="s">
        <v>38</v>
      </c>
      <c r="B119" s="12">
        <v>362</v>
      </c>
      <c r="C119" s="12">
        <v>1</v>
      </c>
      <c r="D119" s="13" t="s">
        <v>512</v>
      </c>
      <c r="E119" s="6">
        <v>52</v>
      </c>
      <c r="F119" s="6">
        <v>32</v>
      </c>
      <c r="G119" s="6">
        <v>1584793</v>
      </c>
      <c r="H119" s="6">
        <v>18000</v>
      </c>
      <c r="I119" s="6">
        <v>18000</v>
      </c>
      <c r="J119" s="7">
        <v>5289.91</v>
      </c>
      <c r="K119" s="7">
        <v>5289.91</v>
      </c>
      <c r="L119" s="7">
        <v>5289.91</v>
      </c>
      <c r="M119" s="12">
        <v>1</v>
      </c>
      <c r="N119" s="7">
        <v>12710.09</v>
      </c>
      <c r="O119" s="7">
        <v>12710.09</v>
      </c>
      <c r="P119" s="7">
        <v>0</v>
      </c>
      <c r="Q119" s="6">
        <v>18000</v>
      </c>
      <c r="R119" s="7">
        <v>6833.85</v>
      </c>
      <c r="S119" s="7">
        <v>24833.85</v>
      </c>
      <c r="T119" s="7">
        <v>6208.46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5289.91</v>
      </c>
      <c r="AF119" s="7">
        <v>12710.09</v>
      </c>
    </row>
    <row r="120" spans="1:32" x14ac:dyDescent="0.25">
      <c r="A120" s="12" t="s">
        <v>38</v>
      </c>
      <c r="B120" s="12">
        <v>363</v>
      </c>
      <c r="C120" s="12">
        <v>1</v>
      </c>
      <c r="D120" s="13" t="s">
        <v>513</v>
      </c>
      <c r="E120" s="6">
        <v>60</v>
      </c>
      <c r="F120" s="6">
        <v>48</v>
      </c>
      <c r="G120" s="6">
        <v>1844853</v>
      </c>
      <c r="H120" s="6">
        <v>18000</v>
      </c>
      <c r="I120" s="6">
        <v>18000</v>
      </c>
      <c r="J120" s="7">
        <v>6157.97</v>
      </c>
      <c r="K120" s="7">
        <v>6157.97</v>
      </c>
      <c r="L120" s="7">
        <v>6157.97</v>
      </c>
      <c r="M120" s="12">
        <v>1</v>
      </c>
      <c r="N120" s="7">
        <v>11842.03</v>
      </c>
      <c r="O120" s="7">
        <v>11842.03</v>
      </c>
      <c r="P120" s="7">
        <v>0</v>
      </c>
      <c r="Q120" s="6">
        <v>18000</v>
      </c>
      <c r="R120" s="7">
        <v>32601.94</v>
      </c>
      <c r="S120" s="7">
        <v>50601.94</v>
      </c>
      <c r="T120" s="7">
        <v>12650.49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6157.97</v>
      </c>
      <c r="AF120" s="7">
        <v>11842.03</v>
      </c>
    </row>
    <row r="121" spans="1:32" x14ac:dyDescent="0.25">
      <c r="A121" s="12" t="s">
        <v>38</v>
      </c>
      <c r="B121" s="12">
        <v>378</v>
      </c>
      <c r="C121" s="12">
        <v>1</v>
      </c>
      <c r="D121" s="13" t="s">
        <v>514</v>
      </c>
      <c r="E121" s="6">
        <v>162</v>
      </c>
      <c r="F121" s="6">
        <v>155</v>
      </c>
      <c r="G121" s="6">
        <v>4272700</v>
      </c>
      <c r="H121" s="6">
        <v>19440</v>
      </c>
      <c r="I121" s="6">
        <v>18600</v>
      </c>
      <c r="J121" s="7">
        <v>14261.93</v>
      </c>
      <c r="K121" s="7">
        <v>14261.93</v>
      </c>
      <c r="L121" s="7">
        <v>14261.93</v>
      </c>
      <c r="M121" s="12">
        <v>1</v>
      </c>
      <c r="N121" s="7">
        <v>4338.07</v>
      </c>
      <c r="O121" s="7">
        <v>4338.07</v>
      </c>
      <c r="P121" s="7">
        <v>248</v>
      </c>
      <c r="Q121" s="6">
        <v>19440</v>
      </c>
      <c r="R121" s="7">
        <v>1951.95</v>
      </c>
      <c r="S121" s="7">
        <v>21391.95</v>
      </c>
      <c r="T121" s="7">
        <v>5347.99</v>
      </c>
      <c r="U121" s="7">
        <v>-18823.39</v>
      </c>
      <c r="V121" s="7">
        <v>0</v>
      </c>
      <c r="W121" s="7">
        <v>-14495.56</v>
      </c>
      <c r="X121" s="7">
        <v>0</v>
      </c>
      <c r="Y121" s="7">
        <v>0</v>
      </c>
      <c r="Z121" s="7">
        <v>-8269.89</v>
      </c>
      <c r="AA121" s="7">
        <v>-13862.95</v>
      </c>
      <c r="AB121" s="7">
        <v>0</v>
      </c>
      <c r="AC121" s="7">
        <v>0</v>
      </c>
      <c r="AD121" s="7">
        <v>0</v>
      </c>
      <c r="AE121" s="7">
        <v>14261.93</v>
      </c>
      <c r="AF121" s="7">
        <v>4338.07</v>
      </c>
    </row>
    <row r="122" spans="1:32" x14ac:dyDescent="0.25">
      <c r="A122" s="12" t="s">
        <v>38</v>
      </c>
      <c r="B122" s="12">
        <v>381</v>
      </c>
      <c r="C122" s="12">
        <v>1</v>
      </c>
      <c r="D122" s="13" t="s">
        <v>515</v>
      </c>
      <c r="E122" s="6">
        <v>614</v>
      </c>
      <c r="F122" s="6">
        <v>638</v>
      </c>
      <c r="G122" s="6">
        <v>24099864</v>
      </c>
      <c r="H122" s="6">
        <v>73680</v>
      </c>
      <c r="I122" s="6">
        <v>76560</v>
      </c>
      <c r="J122" s="7">
        <v>73680</v>
      </c>
      <c r="K122" s="7">
        <v>76560</v>
      </c>
      <c r="L122" s="7">
        <v>73680</v>
      </c>
      <c r="M122" s="12">
        <v>1</v>
      </c>
      <c r="N122" s="7">
        <v>0</v>
      </c>
      <c r="O122" s="7">
        <v>0</v>
      </c>
      <c r="P122" s="7">
        <v>1020.8</v>
      </c>
      <c r="Q122" s="6">
        <v>73680</v>
      </c>
      <c r="R122" s="7">
        <v>21150.78</v>
      </c>
      <c r="S122" s="7">
        <v>94830.78</v>
      </c>
      <c r="T122" s="7">
        <v>23707.7</v>
      </c>
      <c r="U122" s="7">
        <v>4278.3999999999996</v>
      </c>
      <c r="V122" s="7">
        <v>0</v>
      </c>
      <c r="W122" s="7">
        <v>15226.71</v>
      </c>
      <c r="X122" s="7">
        <v>0</v>
      </c>
      <c r="Y122" s="7">
        <v>0</v>
      </c>
      <c r="Z122" s="7">
        <v>26154.46</v>
      </c>
      <c r="AA122" s="7">
        <v>15219.86</v>
      </c>
      <c r="AB122" s="7">
        <v>0</v>
      </c>
      <c r="AC122" s="7">
        <v>0</v>
      </c>
      <c r="AD122" s="7">
        <v>0</v>
      </c>
      <c r="AE122" s="7">
        <v>76560</v>
      </c>
      <c r="AF122" s="7">
        <v>0</v>
      </c>
    </row>
    <row r="123" spans="1:32" x14ac:dyDescent="0.25">
      <c r="A123" s="12" t="s">
        <v>38</v>
      </c>
      <c r="B123" s="12">
        <v>390</v>
      </c>
      <c r="C123" s="12">
        <v>1</v>
      </c>
      <c r="D123" s="13" t="s">
        <v>516</v>
      </c>
      <c r="E123" s="6">
        <v>235</v>
      </c>
      <c r="F123" s="6">
        <v>223</v>
      </c>
      <c r="G123" s="6">
        <v>5099703</v>
      </c>
      <c r="H123" s="6">
        <v>28200</v>
      </c>
      <c r="I123" s="6">
        <v>26760</v>
      </c>
      <c r="J123" s="7">
        <v>17022.400000000001</v>
      </c>
      <c r="K123" s="7">
        <v>17022.400000000001</v>
      </c>
      <c r="L123" s="7">
        <v>17022.400000000001</v>
      </c>
      <c r="M123" s="12">
        <v>1</v>
      </c>
      <c r="N123" s="7">
        <v>9737.6</v>
      </c>
      <c r="O123" s="7">
        <v>9737.6</v>
      </c>
      <c r="P123" s="7">
        <v>356.8</v>
      </c>
      <c r="Q123" s="6">
        <v>28200</v>
      </c>
      <c r="R123" s="7">
        <v>28222</v>
      </c>
      <c r="S123" s="7">
        <v>56422</v>
      </c>
      <c r="T123" s="7">
        <v>14105.5</v>
      </c>
      <c r="U123" s="7">
        <v>-5925.78</v>
      </c>
      <c r="V123" s="7">
        <v>0</v>
      </c>
      <c r="W123" s="7">
        <v>0</v>
      </c>
      <c r="X123" s="7">
        <v>0</v>
      </c>
      <c r="Y123" s="7">
        <v>0</v>
      </c>
      <c r="Z123" s="7">
        <v>-0.55000000000000004</v>
      </c>
      <c r="AA123" s="7">
        <v>-1975.44</v>
      </c>
      <c r="AB123" s="7">
        <v>0</v>
      </c>
      <c r="AC123" s="7">
        <v>0</v>
      </c>
      <c r="AD123" s="7">
        <v>0</v>
      </c>
      <c r="AE123" s="7">
        <v>17022.400000000001</v>
      </c>
      <c r="AF123" s="7">
        <v>9737.6</v>
      </c>
    </row>
    <row r="124" spans="1:32" x14ac:dyDescent="0.25">
      <c r="A124" s="12" t="s">
        <v>38</v>
      </c>
      <c r="B124" s="12">
        <v>391</v>
      </c>
      <c r="C124" s="12">
        <v>1</v>
      </c>
      <c r="D124" s="13" t="s">
        <v>517</v>
      </c>
      <c r="E124" s="6">
        <v>72</v>
      </c>
      <c r="F124" s="6">
        <v>72</v>
      </c>
      <c r="G124" s="6">
        <v>5058842</v>
      </c>
      <c r="H124" s="6">
        <v>18000</v>
      </c>
      <c r="I124" s="6">
        <v>18000</v>
      </c>
      <c r="J124" s="7">
        <v>16886.009999999998</v>
      </c>
      <c r="K124" s="7">
        <v>16886.009999999998</v>
      </c>
      <c r="L124" s="7">
        <v>16886.009999999998</v>
      </c>
      <c r="M124" s="12">
        <v>1</v>
      </c>
      <c r="N124" s="7">
        <v>1113.99</v>
      </c>
      <c r="O124" s="7">
        <v>1113.99</v>
      </c>
      <c r="P124" s="7">
        <v>115.2</v>
      </c>
      <c r="Q124" s="6">
        <v>18000</v>
      </c>
      <c r="R124" s="7">
        <v>1309.7</v>
      </c>
      <c r="S124" s="7">
        <v>19309.7</v>
      </c>
      <c r="T124" s="7">
        <v>4827.43</v>
      </c>
      <c r="U124" s="7">
        <v>17099.32</v>
      </c>
      <c r="V124" s="7">
        <v>3522.67</v>
      </c>
      <c r="W124" s="7">
        <v>9821.59</v>
      </c>
      <c r="X124" s="7">
        <v>5310.2</v>
      </c>
      <c r="Y124" s="7">
        <v>0</v>
      </c>
      <c r="Z124" s="7">
        <v>9209.25</v>
      </c>
      <c r="AA124" s="7">
        <v>9099.1</v>
      </c>
      <c r="AB124" s="7">
        <v>4271.67</v>
      </c>
      <c r="AC124" s="7">
        <v>4007.3</v>
      </c>
      <c r="AD124" s="7">
        <v>264.37</v>
      </c>
      <c r="AE124" s="7">
        <v>12878.71</v>
      </c>
      <c r="AF124" s="7">
        <v>849.62</v>
      </c>
    </row>
    <row r="125" spans="1:32" x14ac:dyDescent="0.25">
      <c r="A125" s="12" t="s">
        <v>38</v>
      </c>
      <c r="B125" s="12">
        <v>392</v>
      </c>
      <c r="C125" s="12">
        <v>1</v>
      </c>
      <c r="D125" s="13" t="s">
        <v>518</v>
      </c>
      <c r="E125" s="6">
        <v>307</v>
      </c>
      <c r="F125" s="6">
        <v>284</v>
      </c>
      <c r="G125" s="6">
        <v>5121941</v>
      </c>
      <c r="H125" s="6">
        <v>36840</v>
      </c>
      <c r="I125" s="6">
        <v>34080</v>
      </c>
      <c r="J125" s="7">
        <v>17096.63</v>
      </c>
      <c r="K125" s="7">
        <v>17096.63</v>
      </c>
      <c r="L125" s="7">
        <v>17096.63</v>
      </c>
      <c r="M125" s="12">
        <v>1</v>
      </c>
      <c r="N125" s="7">
        <v>16983.37</v>
      </c>
      <c r="O125" s="7">
        <v>16983.37</v>
      </c>
      <c r="P125" s="7">
        <v>454.4</v>
      </c>
      <c r="Q125" s="6">
        <v>36840</v>
      </c>
      <c r="R125" s="7">
        <v>1744.2</v>
      </c>
      <c r="S125" s="7">
        <v>38584.199999999997</v>
      </c>
      <c r="T125" s="7">
        <v>9646.0499999999993</v>
      </c>
      <c r="U125" s="7">
        <v>18333.59</v>
      </c>
      <c r="V125" s="7">
        <v>1907.89</v>
      </c>
      <c r="W125" s="7">
        <v>17610.07</v>
      </c>
      <c r="X125" s="7">
        <v>4218.71</v>
      </c>
      <c r="Y125" s="7">
        <v>0</v>
      </c>
      <c r="Z125" s="7">
        <v>17502.38</v>
      </c>
      <c r="AA125" s="7">
        <v>15773.15</v>
      </c>
      <c r="AB125" s="7">
        <v>6127.1</v>
      </c>
      <c r="AC125" s="7">
        <v>3073.73</v>
      </c>
      <c r="AD125" s="7">
        <v>3053.37</v>
      </c>
      <c r="AE125" s="7">
        <v>14022.9</v>
      </c>
      <c r="AF125" s="7">
        <v>13930</v>
      </c>
    </row>
    <row r="126" spans="1:32" x14ac:dyDescent="0.25">
      <c r="A126" s="12" t="s">
        <v>38</v>
      </c>
      <c r="B126" s="12">
        <v>394</v>
      </c>
      <c r="C126" s="12">
        <v>1</v>
      </c>
      <c r="D126" s="13" t="s">
        <v>519</v>
      </c>
      <c r="E126" s="6">
        <v>622</v>
      </c>
      <c r="F126" s="6">
        <v>615</v>
      </c>
      <c r="G126" s="6">
        <v>10105412</v>
      </c>
      <c r="H126" s="6">
        <v>74640</v>
      </c>
      <c r="I126" s="6">
        <v>73800</v>
      </c>
      <c r="J126" s="7">
        <v>33731.06</v>
      </c>
      <c r="K126" s="7">
        <v>33731.06</v>
      </c>
      <c r="L126" s="7">
        <v>33731.06</v>
      </c>
      <c r="M126" s="12">
        <v>1</v>
      </c>
      <c r="N126" s="7">
        <v>40068.94</v>
      </c>
      <c r="O126" s="7">
        <v>40068.94</v>
      </c>
      <c r="P126" s="7">
        <v>984</v>
      </c>
      <c r="Q126" s="6">
        <v>74640</v>
      </c>
      <c r="R126" s="7">
        <v>7492.72</v>
      </c>
      <c r="S126" s="7">
        <v>82132.72</v>
      </c>
      <c r="T126" s="7">
        <v>20533.18</v>
      </c>
      <c r="U126" s="7">
        <v>16146.54</v>
      </c>
      <c r="V126" s="7">
        <v>0</v>
      </c>
      <c r="W126" s="7">
        <v>11181.53</v>
      </c>
      <c r="X126" s="7">
        <v>0</v>
      </c>
      <c r="Y126" s="7">
        <v>0</v>
      </c>
      <c r="Z126" s="7">
        <v>8166.44</v>
      </c>
      <c r="AA126" s="7">
        <v>11831.5</v>
      </c>
      <c r="AB126" s="7">
        <v>0</v>
      </c>
      <c r="AC126" s="7">
        <v>0</v>
      </c>
      <c r="AD126" s="7">
        <v>0</v>
      </c>
      <c r="AE126" s="7">
        <v>33731.06</v>
      </c>
      <c r="AF126" s="7">
        <v>40068.94</v>
      </c>
    </row>
    <row r="127" spans="1:32" x14ac:dyDescent="0.25">
      <c r="A127" s="12" t="s">
        <v>38</v>
      </c>
      <c r="B127" s="12">
        <v>402</v>
      </c>
      <c r="C127" s="12">
        <v>1</v>
      </c>
      <c r="D127" s="13" t="s">
        <v>520</v>
      </c>
      <c r="E127" s="6">
        <v>49</v>
      </c>
      <c r="F127" s="6">
        <v>56</v>
      </c>
      <c r="G127" s="6">
        <v>1469423</v>
      </c>
      <c r="H127" s="6">
        <v>18000</v>
      </c>
      <c r="I127" s="6">
        <v>18000</v>
      </c>
      <c r="J127" s="7">
        <v>4904.82</v>
      </c>
      <c r="K127" s="7">
        <v>4904.82</v>
      </c>
      <c r="L127" s="7">
        <v>4904.82</v>
      </c>
      <c r="M127" s="12">
        <v>1</v>
      </c>
      <c r="N127" s="7">
        <v>13095.18</v>
      </c>
      <c r="O127" s="7">
        <v>13095.18</v>
      </c>
      <c r="P127" s="7">
        <v>89.6</v>
      </c>
      <c r="Q127" s="6">
        <v>18000</v>
      </c>
      <c r="R127" s="7">
        <v>526.4</v>
      </c>
      <c r="S127" s="7">
        <v>18526.400000000001</v>
      </c>
      <c r="T127" s="7">
        <v>4631.6000000000004</v>
      </c>
      <c r="U127" s="7">
        <v>8365.82</v>
      </c>
      <c r="V127" s="7">
        <v>2455.87</v>
      </c>
      <c r="W127" s="7">
        <v>10855.01</v>
      </c>
      <c r="X127" s="7">
        <v>2420.85</v>
      </c>
      <c r="Y127" s="7">
        <v>0</v>
      </c>
      <c r="Z127" s="7">
        <v>17980.310000000001</v>
      </c>
      <c r="AA127" s="7">
        <v>10774.81</v>
      </c>
      <c r="AB127" s="7">
        <v>6143.21</v>
      </c>
      <c r="AC127" s="7">
        <v>1673.96</v>
      </c>
      <c r="AD127" s="7">
        <v>4469.25</v>
      </c>
      <c r="AE127" s="7">
        <v>3230.86</v>
      </c>
      <c r="AF127" s="7">
        <v>8625.93</v>
      </c>
    </row>
    <row r="128" spans="1:32" x14ac:dyDescent="0.25">
      <c r="A128" s="12" t="s">
        <v>38</v>
      </c>
      <c r="B128" s="12">
        <v>403</v>
      </c>
      <c r="C128" s="12">
        <v>1</v>
      </c>
      <c r="D128" s="13" t="s">
        <v>521</v>
      </c>
      <c r="E128" s="6">
        <v>55</v>
      </c>
      <c r="F128" s="6">
        <v>52</v>
      </c>
      <c r="G128" s="6">
        <v>1906380</v>
      </c>
      <c r="H128" s="6">
        <v>18000</v>
      </c>
      <c r="I128" s="6">
        <v>18000</v>
      </c>
      <c r="J128" s="7">
        <v>6363.34</v>
      </c>
      <c r="K128" s="7">
        <v>6363.34</v>
      </c>
      <c r="L128" s="7">
        <v>6363.34</v>
      </c>
      <c r="M128" s="12">
        <v>1</v>
      </c>
      <c r="N128" s="7">
        <v>11636.66</v>
      </c>
      <c r="O128" s="7">
        <v>11636.66</v>
      </c>
      <c r="P128" s="7">
        <v>83.2</v>
      </c>
      <c r="Q128" s="6">
        <v>18000</v>
      </c>
      <c r="R128" s="7">
        <v>88</v>
      </c>
      <c r="S128" s="7">
        <v>18088</v>
      </c>
      <c r="T128" s="7">
        <v>4522</v>
      </c>
      <c r="U128" s="7">
        <v>8720.6299999999992</v>
      </c>
      <c r="V128" s="7">
        <v>3677.89</v>
      </c>
      <c r="W128" s="7">
        <v>8850.52</v>
      </c>
      <c r="X128" s="7">
        <v>1989.28</v>
      </c>
      <c r="Y128" s="7">
        <v>0</v>
      </c>
      <c r="Z128" s="7">
        <v>17893.310000000001</v>
      </c>
      <c r="AA128" s="7">
        <v>9932.43</v>
      </c>
      <c r="AB128" s="7">
        <v>5410.43</v>
      </c>
      <c r="AC128" s="7">
        <v>1912.69</v>
      </c>
      <c r="AD128" s="7">
        <v>3497.74</v>
      </c>
      <c r="AE128" s="7">
        <v>4450.6499999999996</v>
      </c>
      <c r="AF128" s="7">
        <v>8138.92</v>
      </c>
    </row>
    <row r="129" spans="1:32" x14ac:dyDescent="0.25">
      <c r="A129" s="12" t="s">
        <v>38</v>
      </c>
      <c r="B129" s="12">
        <v>404</v>
      </c>
      <c r="C129" s="12">
        <v>1</v>
      </c>
      <c r="D129" s="13" t="s">
        <v>522</v>
      </c>
      <c r="E129" s="6">
        <v>94</v>
      </c>
      <c r="F129" s="6">
        <v>82</v>
      </c>
      <c r="G129" s="6">
        <v>2364273</v>
      </c>
      <c r="H129" s="6">
        <v>18000</v>
      </c>
      <c r="I129" s="6">
        <v>18000</v>
      </c>
      <c r="J129" s="7">
        <v>7891.75</v>
      </c>
      <c r="K129" s="7">
        <v>7891.75</v>
      </c>
      <c r="L129" s="7">
        <v>7891.75</v>
      </c>
      <c r="M129" s="12">
        <v>1</v>
      </c>
      <c r="N129" s="7">
        <v>10108.25</v>
      </c>
      <c r="O129" s="7">
        <v>10108.25</v>
      </c>
      <c r="P129" s="7">
        <v>131.19999999999999</v>
      </c>
      <c r="Q129" s="6">
        <v>18000</v>
      </c>
      <c r="R129" s="7">
        <v>305.39999999999998</v>
      </c>
      <c r="S129" s="7">
        <v>18305.400000000001</v>
      </c>
      <c r="T129" s="7">
        <v>4576.3500000000004</v>
      </c>
      <c r="U129" s="7">
        <v>20358.330000000002</v>
      </c>
      <c r="V129" s="7">
        <v>5914.75</v>
      </c>
      <c r="W129" s="7">
        <v>19186.38</v>
      </c>
      <c r="X129" s="7">
        <v>8909.77</v>
      </c>
      <c r="Y129" s="7">
        <v>0</v>
      </c>
      <c r="Z129" s="7">
        <v>24003.18</v>
      </c>
      <c r="AA129" s="7">
        <v>16241.12</v>
      </c>
      <c r="AB129" s="7">
        <v>11664.77</v>
      </c>
      <c r="AC129" s="7">
        <v>5114.1899999999996</v>
      </c>
      <c r="AD129" s="7">
        <v>6550.58</v>
      </c>
      <c r="AE129" s="7">
        <v>2777.56</v>
      </c>
      <c r="AF129" s="7">
        <v>3557.67</v>
      </c>
    </row>
    <row r="130" spans="1:32" x14ac:dyDescent="0.25">
      <c r="A130" s="12" t="s">
        <v>38</v>
      </c>
      <c r="B130" s="12">
        <v>413</v>
      </c>
      <c r="C130" s="12">
        <v>1</v>
      </c>
      <c r="D130" s="13" t="s">
        <v>523</v>
      </c>
      <c r="E130" s="6">
        <v>1031</v>
      </c>
      <c r="F130" s="6">
        <v>1059</v>
      </c>
      <c r="G130" s="6">
        <v>14205425</v>
      </c>
      <c r="H130" s="6">
        <v>123720</v>
      </c>
      <c r="I130" s="6">
        <v>127080</v>
      </c>
      <c r="J130" s="7">
        <v>47416.57</v>
      </c>
      <c r="K130" s="7">
        <v>47416.57</v>
      </c>
      <c r="L130" s="7">
        <v>47416.57</v>
      </c>
      <c r="M130" s="12">
        <v>1</v>
      </c>
      <c r="N130" s="7">
        <v>79663.429999999993</v>
      </c>
      <c r="O130" s="7">
        <v>79663.429999999993</v>
      </c>
      <c r="P130" s="7">
        <v>1694.4</v>
      </c>
      <c r="Q130" s="6">
        <v>123720</v>
      </c>
      <c r="R130" s="7">
        <v>9917.2099999999991</v>
      </c>
      <c r="S130" s="7">
        <v>133637.21</v>
      </c>
      <c r="T130" s="7">
        <v>33409.300000000003</v>
      </c>
      <c r="U130" s="7">
        <v>42279.07</v>
      </c>
      <c r="V130" s="7">
        <v>4886.4399999999996</v>
      </c>
      <c r="W130" s="7">
        <v>22701.89</v>
      </c>
      <c r="X130" s="7">
        <v>580.01</v>
      </c>
      <c r="Y130" s="7">
        <v>0</v>
      </c>
      <c r="Z130" s="7">
        <v>2232.15</v>
      </c>
      <c r="AA130" s="7">
        <v>20582.22</v>
      </c>
      <c r="AB130" s="7">
        <v>0</v>
      </c>
      <c r="AC130" s="7">
        <v>0</v>
      </c>
      <c r="AD130" s="7">
        <v>0</v>
      </c>
      <c r="AE130" s="7">
        <v>47416.57</v>
      </c>
      <c r="AF130" s="7">
        <v>79663.429999999993</v>
      </c>
    </row>
    <row r="131" spans="1:32" x14ac:dyDescent="0.25">
      <c r="A131" s="12" t="s">
        <v>38</v>
      </c>
      <c r="B131" s="12">
        <v>414</v>
      </c>
      <c r="C131" s="12">
        <v>1</v>
      </c>
      <c r="D131" s="13" t="s">
        <v>524</v>
      </c>
      <c r="E131" s="6">
        <v>162</v>
      </c>
      <c r="F131" s="6">
        <v>148</v>
      </c>
      <c r="G131" s="6">
        <v>3476311</v>
      </c>
      <c r="H131" s="6">
        <v>19440</v>
      </c>
      <c r="I131" s="6">
        <v>18000</v>
      </c>
      <c r="J131" s="7">
        <v>11603.65</v>
      </c>
      <c r="K131" s="7">
        <v>11603.65</v>
      </c>
      <c r="L131" s="7">
        <v>11603.65</v>
      </c>
      <c r="M131" s="12">
        <v>1</v>
      </c>
      <c r="N131" s="7">
        <v>6396.35</v>
      </c>
      <c r="O131" s="7">
        <v>6396.35</v>
      </c>
      <c r="P131" s="7">
        <v>0</v>
      </c>
      <c r="Q131" s="6">
        <v>19440</v>
      </c>
      <c r="R131" s="7">
        <v>0</v>
      </c>
      <c r="S131" s="7">
        <v>19440</v>
      </c>
      <c r="T131" s="7">
        <v>4860</v>
      </c>
      <c r="U131" s="7">
        <v>18599.93</v>
      </c>
      <c r="V131" s="7">
        <v>3081.19</v>
      </c>
      <c r="W131" s="7">
        <v>18560.25</v>
      </c>
      <c r="X131" s="7">
        <v>8065.29</v>
      </c>
      <c r="Y131" s="7">
        <v>0</v>
      </c>
      <c r="Z131" s="7">
        <v>18560.93</v>
      </c>
      <c r="AA131" s="7">
        <v>14858.21</v>
      </c>
      <c r="AB131" s="7">
        <v>9998.2099999999991</v>
      </c>
      <c r="AC131" s="7">
        <v>6445.32</v>
      </c>
      <c r="AD131" s="7">
        <v>3552.89</v>
      </c>
      <c r="AE131" s="7">
        <v>5158.33</v>
      </c>
      <c r="AF131" s="7">
        <v>2843.46</v>
      </c>
    </row>
    <row r="132" spans="1:32" x14ac:dyDescent="0.25">
      <c r="A132" s="12" t="s">
        <v>38</v>
      </c>
      <c r="B132" s="12">
        <v>415</v>
      </c>
      <c r="C132" s="12">
        <v>1</v>
      </c>
      <c r="D132" s="13" t="s">
        <v>525</v>
      </c>
      <c r="E132" s="6">
        <v>56</v>
      </c>
      <c r="F132" s="6">
        <v>67</v>
      </c>
      <c r="G132" s="6">
        <v>1742767</v>
      </c>
      <c r="H132" s="6">
        <v>18000</v>
      </c>
      <c r="I132" s="6">
        <v>18000</v>
      </c>
      <c r="J132" s="7">
        <v>5817.22</v>
      </c>
      <c r="K132" s="7">
        <v>5817.22</v>
      </c>
      <c r="L132" s="7">
        <v>5817.22</v>
      </c>
      <c r="M132" s="12">
        <v>1</v>
      </c>
      <c r="N132" s="7">
        <v>12182.78</v>
      </c>
      <c r="O132" s="7">
        <v>12182.78</v>
      </c>
      <c r="P132" s="7">
        <v>107.2</v>
      </c>
      <c r="Q132" s="6">
        <v>18000</v>
      </c>
      <c r="R132" s="7">
        <v>489.6</v>
      </c>
      <c r="S132" s="7">
        <v>18489.599999999999</v>
      </c>
      <c r="T132" s="7">
        <v>4622.3999999999996</v>
      </c>
      <c r="U132" s="7">
        <v>746.36</v>
      </c>
      <c r="V132" s="7">
        <v>0</v>
      </c>
      <c r="W132" s="7">
        <v>515</v>
      </c>
      <c r="X132" s="7">
        <v>0</v>
      </c>
      <c r="Y132" s="7">
        <v>0</v>
      </c>
      <c r="Z132" s="7">
        <v>-283.62</v>
      </c>
      <c r="AA132" s="7">
        <v>325.91000000000003</v>
      </c>
      <c r="AB132" s="7">
        <v>0</v>
      </c>
      <c r="AC132" s="7">
        <v>0</v>
      </c>
      <c r="AD132" s="7">
        <v>0</v>
      </c>
      <c r="AE132" s="7">
        <v>5817.22</v>
      </c>
      <c r="AF132" s="7">
        <v>12182.78</v>
      </c>
    </row>
    <row r="133" spans="1:32" x14ac:dyDescent="0.25">
      <c r="A133" s="12" t="s">
        <v>38</v>
      </c>
      <c r="B133" s="12">
        <v>423</v>
      </c>
      <c r="C133" s="12">
        <v>1</v>
      </c>
      <c r="D133" s="13" t="s">
        <v>526</v>
      </c>
      <c r="E133" s="6">
        <v>1394</v>
      </c>
      <c r="F133" s="6">
        <v>1309</v>
      </c>
      <c r="G133" s="6">
        <v>18279914</v>
      </c>
      <c r="H133" s="6">
        <v>167280</v>
      </c>
      <c r="I133" s="6">
        <v>157080</v>
      </c>
      <c r="J133" s="7">
        <v>61016.89</v>
      </c>
      <c r="K133" s="7">
        <v>61016.89</v>
      </c>
      <c r="L133" s="7">
        <v>61016.89</v>
      </c>
      <c r="M133" s="12">
        <v>1</v>
      </c>
      <c r="N133" s="7">
        <v>96063.11</v>
      </c>
      <c r="O133" s="7">
        <v>96063.11</v>
      </c>
      <c r="P133" s="7">
        <v>2094.4</v>
      </c>
      <c r="Q133" s="6">
        <v>167280</v>
      </c>
      <c r="R133" s="7">
        <v>19421.45</v>
      </c>
      <c r="S133" s="7">
        <v>186701.45</v>
      </c>
      <c r="T133" s="7">
        <v>46675.360000000001</v>
      </c>
      <c r="U133" s="7">
        <v>29653.95</v>
      </c>
      <c r="V133" s="7">
        <v>0</v>
      </c>
      <c r="W133" s="7">
        <v>33994.269999999997</v>
      </c>
      <c r="X133" s="7">
        <v>0</v>
      </c>
      <c r="Y133" s="7">
        <v>0</v>
      </c>
      <c r="Z133" s="7">
        <v>50944.63</v>
      </c>
      <c r="AA133" s="7">
        <v>38197.620000000003</v>
      </c>
      <c r="AB133" s="7">
        <v>0</v>
      </c>
      <c r="AC133" s="7">
        <v>0</v>
      </c>
      <c r="AD133" s="7">
        <v>0</v>
      </c>
      <c r="AE133" s="7">
        <v>61016.89</v>
      </c>
      <c r="AF133" s="7">
        <v>96063.11</v>
      </c>
    </row>
    <row r="134" spans="1:32" x14ac:dyDescent="0.25">
      <c r="A134" s="12" t="s">
        <v>38</v>
      </c>
      <c r="B134" s="12">
        <v>424</v>
      </c>
      <c r="C134" s="12">
        <v>1</v>
      </c>
      <c r="D134" s="13" t="s">
        <v>527</v>
      </c>
      <c r="E134" s="6">
        <v>182</v>
      </c>
      <c r="F134" s="6">
        <v>187</v>
      </c>
      <c r="G134" s="6">
        <v>3264599</v>
      </c>
      <c r="H134" s="6">
        <v>21840</v>
      </c>
      <c r="I134" s="6">
        <v>22440</v>
      </c>
      <c r="J134" s="7">
        <v>10896.97</v>
      </c>
      <c r="K134" s="7">
        <v>10896.97</v>
      </c>
      <c r="L134" s="7">
        <v>10896.97</v>
      </c>
      <c r="M134" s="12">
        <v>1</v>
      </c>
      <c r="N134" s="7">
        <v>11543.03</v>
      </c>
      <c r="O134" s="7">
        <v>11543.03</v>
      </c>
      <c r="P134" s="7">
        <v>299.2</v>
      </c>
      <c r="Q134" s="6">
        <v>21840</v>
      </c>
      <c r="R134" s="7">
        <v>621.20000000000005</v>
      </c>
      <c r="S134" s="7">
        <v>22461.200000000001</v>
      </c>
      <c r="T134" s="7">
        <v>5615.3</v>
      </c>
      <c r="U134" s="7">
        <v>27132.02</v>
      </c>
      <c r="V134" s="7">
        <v>14464.83</v>
      </c>
      <c r="W134" s="7">
        <v>7626.39</v>
      </c>
      <c r="X134" s="7">
        <v>7203.32</v>
      </c>
      <c r="Y134" s="7">
        <v>0</v>
      </c>
      <c r="Z134" s="7">
        <v>14765.83</v>
      </c>
      <c r="AA134" s="7">
        <v>9285.36</v>
      </c>
      <c r="AB134" s="7">
        <v>3670.06</v>
      </c>
      <c r="AC134" s="7">
        <v>1782.2</v>
      </c>
      <c r="AD134" s="7">
        <v>1887.86</v>
      </c>
      <c r="AE134" s="7">
        <v>9114.77</v>
      </c>
      <c r="AF134" s="7">
        <v>9655.17</v>
      </c>
    </row>
    <row r="135" spans="1:32" x14ac:dyDescent="0.25">
      <c r="A135" s="12" t="s">
        <v>38</v>
      </c>
      <c r="B135" s="12">
        <v>432</v>
      </c>
      <c r="C135" s="12">
        <v>1</v>
      </c>
      <c r="D135" s="13" t="s">
        <v>528</v>
      </c>
      <c r="E135" s="6">
        <v>308</v>
      </c>
      <c r="F135" s="6">
        <v>311</v>
      </c>
      <c r="G135" s="6">
        <v>2332604</v>
      </c>
      <c r="H135" s="6">
        <v>36960</v>
      </c>
      <c r="I135" s="6">
        <v>37320</v>
      </c>
      <c r="J135" s="7">
        <v>7786.05</v>
      </c>
      <c r="K135" s="7">
        <v>7786.05</v>
      </c>
      <c r="L135" s="7">
        <v>7786.05</v>
      </c>
      <c r="M135" s="12">
        <v>1</v>
      </c>
      <c r="N135" s="7">
        <v>29533.95</v>
      </c>
      <c r="O135" s="7">
        <v>29533.95</v>
      </c>
      <c r="P135" s="7">
        <v>497.6</v>
      </c>
      <c r="Q135" s="6">
        <v>36960</v>
      </c>
      <c r="R135" s="7">
        <v>492.8</v>
      </c>
      <c r="S135" s="7">
        <v>37452.800000000003</v>
      </c>
      <c r="T135" s="7">
        <v>9363.2000000000007</v>
      </c>
      <c r="U135" s="7">
        <v>9213.56</v>
      </c>
      <c r="V135" s="7">
        <v>0</v>
      </c>
      <c r="W135" s="7">
        <v>5258.73</v>
      </c>
      <c r="X135" s="7">
        <v>0</v>
      </c>
      <c r="Y135" s="7">
        <v>0</v>
      </c>
      <c r="Z135" s="7">
        <v>8259.49</v>
      </c>
      <c r="AA135" s="7">
        <v>7577.26</v>
      </c>
      <c r="AB135" s="7">
        <v>0</v>
      </c>
      <c r="AC135" s="7">
        <v>0</v>
      </c>
      <c r="AD135" s="7">
        <v>0</v>
      </c>
      <c r="AE135" s="7">
        <v>7786.05</v>
      </c>
      <c r="AF135" s="7">
        <v>29533.95</v>
      </c>
    </row>
    <row r="136" spans="1:32" x14ac:dyDescent="0.25">
      <c r="A136" s="12" t="s">
        <v>38</v>
      </c>
      <c r="B136" s="12">
        <v>435</v>
      </c>
      <c r="C136" s="12">
        <v>1</v>
      </c>
      <c r="D136" s="13" t="s">
        <v>529</v>
      </c>
      <c r="E136" s="6">
        <v>180</v>
      </c>
      <c r="F136" s="6">
        <v>173</v>
      </c>
      <c r="G136" s="6">
        <v>4683200</v>
      </c>
      <c r="H136" s="6">
        <v>21600</v>
      </c>
      <c r="I136" s="6">
        <v>20760</v>
      </c>
      <c r="J136" s="7">
        <v>15632.15</v>
      </c>
      <c r="K136" s="7">
        <v>15632.15</v>
      </c>
      <c r="L136" s="7">
        <v>15632.15</v>
      </c>
      <c r="M136" s="12">
        <v>1</v>
      </c>
      <c r="N136" s="7">
        <v>5127.8500000000004</v>
      </c>
      <c r="O136" s="7">
        <v>5127.8500000000004</v>
      </c>
      <c r="P136" s="7">
        <v>276.8</v>
      </c>
      <c r="Q136" s="6">
        <v>21600</v>
      </c>
      <c r="R136" s="7">
        <v>7738</v>
      </c>
      <c r="S136" s="7">
        <v>29338</v>
      </c>
      <c r="T136" s="7">
        <v>7334.5</v>
      </c>
      <c r="U136" s="7">
        <v>-149206.9</v>
      </c>
      <c r="V136" s="7">
        <v>0</v>
      </c>
      <c r="W136" s="7">
        <v>-130175.52</v>
      </c>
      <c r="X136" s="7">
        <v>0</v>
      </c>
      <c r="Y136" s="7">
        <v>0</v>
      </c>
      <c r="Z136" s="7">
        <v>-109537.39</v>
      </c>
      <c r="AA136" s="7">
        <v>-129639.94</v>
      </c>
      <c r="AB136" s="7">
        <v>0</v>
      </c>
      <c r="AC136" s="7">
        <v>0</v>
      </c>
      <c r="AD136" s="7">
        <v>0</v>
      </c>
      <c r="AE136" s="7">
        <v>15632.15</v>
      </c>
      <c r="AF136" s="7">
        <v>5127.8500000000004</v>
      </c>
    </row>
    <row r="137" spans="1:32" x14ac:dyDescent="0.25">
      <c r="A137" s="12" t="s">
        <v>38</v>
      </c>
      <c r="B137" s="12">
        <v>441</v>
      </c>
      <c r="C137" s="12">
        <v>1</v>
      </c>
      <c r="D137" s="13" t="s">
        <v>530</v>
      </c>
      <c r="E137" s="6">
        <v>101</v>
      </c>
      <c r="F137" s="6">
        <v>110</v>
      </c>
      <c r="G137" s="6">
        <v>2467835</v>
      </c>
      <c r="H137" s="6">
        <v>18000</v>
      </c>
      <c r="I137" s="6">
        <v>18000</v>
      </c>
      <c r="J137" s="7">
        <v>8237.44</v>
      </c>
      <c r="K137" s="7">
        <v>8237.44</v>
      </c>
      <c r="L137" s="7">
        <v>8237.44</v>
      </c>
      <c r="M137" s="12">
        <v>1</v>
      </c>
      <c r="N137" s="7">
        <v>9762.56</v>
      </c>
      <c r="O137" s="7">
        <v>9762.56</v>
      </c>
      <c r="P137" s="7">
        <v>176</v>
      </c>
      <c r="Q137" s="6">
        <v>18000</v>
      </c>
      <c r="R137" s="7">
        <v>15341.6</v>
      </c>
      <c r="S137" s="7">
        <v>33341.599999999999</v>
      </c>
      <c r="T137" s="7">
        <v>8335.4</v>
      </c>
      <c r="U137" s="7">
        <v>-1.37</v>
      </c>
      <c r="V137" s="7">
        <v>0</v>
      </c>
      <c r="W137" s="7">
        <v>-0.18</v>
      </c>
      <c r="X137" s="7">
        <v>0</v>
      </c>
      <c r="Y137" s="7">
        <v>0</v>
      </c>
      <c r="Z137" s="7">
        <v>-0.41</v>
      </c>
      <c r="AA137" s="7">
        <v>-0.65</v>
      </c>
      <c r="AB137" s="7">
        <v>0</v>
      </c>
      <c r="AC137" s="7">
        <v>0</v>
      </c>
      <c r="AD137" s="7">
        <v>0</v>
      </c>
      <c r="AE137" s="7">
        <v>8237.44</v>
      </c>
      <c r="AF137" s="7">
        <v>9762.56</v>
      </c>
    </row>
    <row r="138" spans="1:32" x14ac:dyDescent="0.25">
      <c r="A138" s="12" t="s">
        <v>38</v>
      </c>
      <c r="B138" s="12">
        <v>447</v>
      </c>
      <c r="C138" s="12">
        <v>1</v>
      </c>
      <c r="D138" s="13" t="s">
        <v>531</v>
      </c>
      <c r="E138" s="6">
        <v>35</v>
      </c>
      <c r="F138" s="6">
        <v>26</v>
      </c>
      <c r="G138" s="6">
        <v>1185829</v>
      </c>
      <c r="H138" s="6">
        <v>18000</v>
      </c>
      <c r="I138" s="6">
        <v>18000</v>
      </c>
      <c r="J138" s="7">
        <v>3958.2</v>
      </c>
      <c r="K138" s="7">
        <v>3958.2</v>
      </c>
      <c r="L138" s="7">
        <v>3958.2</v>
      </c>
      <c r="M138" s="12">
        <v>1</v>
      </c>
      <c r="N138" s="7">
        <v>14041.8</v>
      </c>
      <c r="O138" s="7">
        <v>14041.8</v>
      </c>
      <c r="P138" s="7">
        <v>0</v>
      </c>
      <c r="Q138" s="6">
        <v>18000</v>
      </c>
      <c r="R138" s="7">
        <v>1628.61</v>
      </c>
      <c r="S138" s="7">
        <v>19628.61</v>
      </c>
      <c r="T138" s="7">
        <v>4907.1499999999996</v>
      </c>
      <c r="U138" s="7">
        <v>1397.74</v>
      </c>
      <c r="V138" s="7">
        <v>0</v>
      </c>
      <c r="W138" s="7">
        <v>383.16</v>
      </c>
      <c r="X138" s="7">
        <v>0</v>
      </c>
      <c r="Y138" s="7">
        <v>0</v>
      </c>
      <c r="Z138" s="7">
        <v>44.18</v>
      </c>
      <c r="AA138" s="7">
        <v>608.36</v>
      </c>
      <c r="AB138" s="7">
        <v>0</v>
      </c>
      <c r="AC138" s="7">
        <v>0</v>
      </c>
      <c r="AD138" s="7">
        <v>0</v>
      </c>
      <c r="AE138" s="7">
        <v>3958.2</v>
      </c>
      <c r="AF138" s="7">
        <v>14041.8</v>
      </c>
    </row>
    <row r="139" spans="1:32" x14ac:dyDescent="0.25">
      <c r="A139" s="12" t="s">
        <v>38</v>
      </c>
      <c r="B139" s="12">
        <v>458</v>
      </c>
      <c r="C139" s="12">
        <v>1</v>
      </c>
      <c r="D139" s="13" t="s">
        <v>532</v>
      </c>
      <c r="E139" s="6">
        <v>210</v>
      </c>
      <c r="F139" s="6">
        <v>200</v>
      </c>
      <c r="G139" s="6">
        <v>3982798</v>
      </c>
      <c r="H139" s="6">
        <v>25200</v>
      </c>
      <c r="I139" s="6">
        <v>24000</v>
      </c>
      <c r="J139" s="7">
        <v>13294.26</v>
      </c>
      <c r="K139" s="7">
        <v>13294.26</v>
      </c>
      <c r="L139" s="7">
        <v>13294.26</v>
      </c>
      <c r="M139" s="12">
        <v>1</v>
      </c>
      <c r="N139" s="7">
        <v>10705.74</v>
      </c>
      <c r="O139" s="7">
        <v>10705.74</v>
      </c>
      <c r="P139" s="7">
        <v>320</v>
      </c>
      <c r="Q139" s="6">
        <v>25200</v>
      </c>
      <c r="R139" s="7">
        <v>597.70000000000005</v>
      </c>
      <c r="S139" s="7">
        <v>25797.7</v>
      </c>
      <c r="T139" s="7">
        <v>6449.43</v>
      </c>
      <c r="U139" s="7">
        <v>1936.29</v>
      </c>
      <c r="V139" s="7">
        <v>0</v>
      </c>
      <c r="W139" s="7">
        <v>1880.98</v>
      </c>
      <c r="X139" s="7">
        <v>0</v>
      </c>
      <c r="Y139" s="7">
        <v>0</v>
      </c>
      <c r="Z139" s="7">
        <v>1430.42</v>
      </c>
      <c r="AA139" s="7">
        <v>1749.23</v>
      </c>
      <c r="AB139" s="7">
        <v>0</v>
      </c>
      <c r="AC139" s="7">
        <v>0</v>
      </c>
      <c r="AD139" s="7">
        <v>0</v>
      </c>
      <c r="AE139" s="7">
        <v>13294.26</v>
      </c>
      <c r="AF139" s="7">
        <v>10705.74</v>
      </c>
    </row>
    <row r="140" spans="1:32" x14ac:dyDescent="0.25">
      <c r="A140" s="12" t="s">
        <v>38</v>
      </c>
      <c r="B140" s="12">
        <v>463</v>
      </c>
      <c r="C140" s="12">
        <v>1</v>
      </c>
      <c r="D140" s="13" t="s">
        <v>533</v>
      </c>
      <c r="E140" s="6">
        <v>358</v>
      </c>
      <c r="F140" s="6">
        <v>316</v>
      </c>
      <c r="G140" s="6">
        <v>5748566</v>
      </c>
      <c r="H140" s="6">
        <v>42960</v>
      </c>
      <c r="I140" s="6">
        <v>37920</v>
      </c>
      <c r="J140" s="7">
        <v>19188.25</v>
      </c>
      <c r="K140" s="7">
        <v>19188.25</v>
      </c>
      <c r="L140" s="7">
        <v>19188.25</v>
      </c>
      <c r="M140" s="12">
        <v>1</v>
      </c>
      <c r="N140" s="7">
        <v>18731.75</v>
      </c>
      <c r="O140" s="7">
        <v>18731.75</v>
      </c>
      <c r="P140" s="7">
        <v>505.6</v>
      </c>
      <c r="Q140" s="6">
        <v>42960</v>
      </c>
      <c r="R140" s="7">
        <v>572.79999999999995</v>
      </c>
      <c r="S140" s="7">
        <v>43532.800000000003</v>
      </c>
      <c r="T140" s="7">
        <v>10883.2</v>
      </c>
      <c r="U140" s="7">
        <v>9951.23</v>
      </c>
      <c r="V140" s="7">
        <v>0</v>
      </c>
      <c r="W140" s="7">
        <v>13135.13</v>
      </c>
      <c r="X140" s="7">
        <v>383.51</v>
      </c>
      <c r="Y140" s="7">
        <v>0</v>
      </c>
      <c r="Z140" s="7">
        <v>8757.9500000000007</v>
      </c>
      <c r="AA140" s="7">
        <v>10486.93</v>
      </c>
      <c r="AB140" s="7">
        <v>0</v>
      </c>
      <c r="AC140" s="7">
        <v>0</v>
      </c>
      <c r="AD140" s="7">
        <v>0</v>
      </c>
      <c r="AE140" s="7">
        <v>19188.25</v>
      </c>
      <c r="AF140" s="7">
        <v>18731.75</v>
      </c>
    </row>
    <row r="141" spans="1:32" x14ac:dyDescent="0.25">
      <c r="A141" s="12" t="s">
        <v>38</v>
      </c>
      <c r="B141" s="12">
        <v>465</v>
      </c>
      <c r="C141" s="12">
        <v>1</v>
      </c>
      <c r="D141" s="13" t="s">
        <v>534</v>
      </c>
      <c r="E141" s="6">
        <v>800</v>
      </c>
      <c r="F141" s="6">
        <v>825</v>
      </c>
      <c r="G141" s="6">
        <v>12896560</v>
      </c>
      <c r="H141" s="6">
        <v>96000</v>
      </c>
      <c r="I141" s="6">
        <v>99000</v>
      </c>
      <c r="J141" s="7">
        <v>43047.69</v>
      </c>
      <c r="K141" s="7">
        <v>43047.69</v>
      </c>
      <c r="L141" s="7">
        <v>43047.69</v>
      </c>
      <c r="M141" s="12">
        <v>1</v>
      </c>
      <c r="N141" s="7">
        <v>55952.31</v>
      </c>
      <c r="O141" s="7">
        <v>55952.31</v>
      </c>
      <c r="P141" s="7">
        <v>1320</v>
      </c>
      <c r="Q141" s="6">
        <v>96000</v>
      </c>
      <c r="R141" s="7">
        <v>7955.96</v>
      </c>
      <c r="S141" s="7">
        <v>103955.96</v>
      </c>
      <c r="T141" s="7">
        <v>25988.99</v>
      </c>
      <c r="U141" s="7">
        <v>3122.01</v>
      </c>
      <c r="V141" s="7">
        <v>0</v>
      </c>
      <c r="W141" s="7">
        <v>-3547.52</v>
      </c>
      <c r="X141" s="7">
        <v>0</v>
      </c>
      <c r="Y141" s="7">
        <v>0</v>
      </c>
      <c r="Z141" s="7">
        <v>5054.2299999999996</v>
      </c>
      <c r="AA141" s="7">
        <v>1542.91</v>
      </c>
      <c r="AB141" s="7">
        <v>0</v>
      </c>
      <c r="AC141" s="7">
        <v>0</v>
      </c>
      <c r="AD141" s="7">
        <v>0</v>
      </c>
      <c r="AE141" s="7">
        <v>43047.69</v>
      </c>
      <c r="AF141" s="7">
        <v>55952.31</v>
      </c>
    </row>
    <row r="142" spans="1:32" x14ac:dyDescent="0.25">
      <c r="A142" s="12" t="s">
        <v>38</v>
      </c>
      <c r="B142" s="12">
        <v>466</v>
      </c>
      <c r="C142" s="12">
        <v>1</v>
      </c>
      <c r="D142" s="13" t="s">
        <v>535</v>
      </c>
      <c r="E142" s="6">
        <v>884</v>
      </c>
      <c r="F142" s="6">
        <v>885</v>
      </c>
      <c r="G142" s="6">
        <v>12115625</v>
      </c>
      <c r="H142" s="6">
        <v>106080</v>
      </c>
      <c r="I142" s="6">
        <v>106200</v>
      </c>
      <c r="J142" s="7">
        <v>40440.99</v>
      </c>
      <c r="K142" s="7">
        <v>40440.99</v>
      </c>
      <c r="L142" s="7">
        <v>40440.99</v>
      </c>
      <c r="M142" s="12">
        <v>1</v>
      </c>
      <c r="N142" s="7">
        <v>65759.009999999995</v>
      </c>
      <c r="O142" s="7">
        <v>65759.009999999995</v>
      </c>
      <c r="P142" s="7">
        <v>1416</v>
      </c>
      <c r="Q142" s="6">
        <v>106080</v>
      </c>
      <c r="R142" s="7">
        <v>12481.39</v>
      </c>
      <c r="S142" s="7">
        <v>118561.39</v>
      </c>
      <c r="T142" s="7">
        <v>29640.35</v>
      </c>
      <c r="U142" s="7">
        <v>11079.54</v>
      </c>
      <c r="V142" s="7">
        <v>0</v>
      </c>
      <c r="W142" s="7">
        <v>22434.77</v>
      </c>
      <c r="X142" s="7">
        <v>0</v>
      </c>
      <c r="Y142" s="7">
        <v>0</v>
      </c>
      <c r="Z142" s="7">
        <v>20896.13</v>
      </c>
      <c r="AA142" s="7">
        <v>18136.810000000001</v>
      </c>
      <c r="AB142" s="7">
        <v>0</v>
      </c>
      <c r="AC142" s="7">
        <v>0</v>
      </c>
      <c r="AD142" s="7">
        <v>0</v>
      </c>
      <c r="AE142" s="7">
        <v>40440.99</v>
      </c>
      <c r="AF142" s="7">
        <v>65759.009999999995</v>
      </c>
    </row>
    <row r="143" spans="1:32" x14ac:dyDescent="0.25">
      <c r="A143" s="12" t="s">
        <v>38</v>
      </c>
      <c r="B143" s="12">
        <v>473</v>
      </c>
      <c r="C143" s="12">
        <v>1</v>
      </c>
      <c r="D143" s="13" t="s">
        <v>536</v>
      </c>
      <c r="E143" s="6">
        <v>153</v>
      </c>
      <c r="F143" s="6">
        <v>147</v>
      </c>
      <c r="G143" s="6">
        <v>7092398</v>
      </c>
      <c r="H143" s="6">
        <v>18360</v>
      </c>
      <c r="I143" s="6">
        <v>18000</v>
      </c>
      <c r="J143" s="7">
        <v>18360</v>
      </c>
      <c r="K143" s="7">
        <v>18000</v>
      </c>
      <c r="L143" s="7">
        <v>18360</v>
      </c>
      <c r="M143" s="12">
        <v>1</v>
      </c>
      <c r="N143" s="7">
        <v>0</v>
      </c>
      <c r="O143" s="7">
        <v>0</v>
      </c>
      <c r="P143" s="7">
        <v>235.2</v>
      </c>
      <c r="Q143" s="6">
        <v>18360</v>
      </c>
      <c r="R143" s="7">
        <v>1320.3</v>
      </c>
      <c r="S143" s="7">
        <v>19680.3</v>
      </c>
      <c r="T143" s="7">
        <v>4920.08</v>
      </c>
      <c r="U143" s="7">
        <v>12384.67</v>
      </c>
      <c r="V143" s="7">
        <v>0</v>
      </c>
      <c r="W143" s="7">
        <v>18671.54</v>
      </c>
      <c r="X143" s="7">
        <v>7237.8</v>
      </c>
      <c r="Y143" s="7">
        <v>0</v>
      </c>
      <c r="Z143" s="7">
        <v>14820.6</v>
      </c>
      <c r="AA143" s="7">
        <v>12879.67</v>
      </c>
      <c r="AB143" s="7">
        <v>7959.59</v>
      </c>
      <c r="AC143" s="7">
        <v>7959.59</v>
      </c>
      <c r="AD143" s="7">
        <v>0</v>
      </c>
      <c r="AE143" s="7">
        <v>10040.41</v>
      </c>
      <c r="AF143" s="7">
        <v>0</v>
      </c>
    </row>
    <row r="144" spans="1:32" x14ac:dyDescent="0.25">
      <c r="A144" s="12" t="s">
        <v>38</v>
      </c>
      <c r="B144" s="12">
        <v>477</v>
      </c>
      <c r="C144" s="12">
        <v>1</v>
      </c>
      <c r="D144" s="13" t="s">
        <v>537</v>
      </c>
      <c r="E144" s="6">
        <v>1579</v>
      </c>
      <c r="F144" s="6">
        <v>1152</v>
      </c>
      <c r="G144" s="6">
        <v>21323886</v>
      </c>
      <c r="H144" s="6">
        <v>189480</v>
      </c>
      <c r="I144" s="6">
        <v>138240</v>
      </c>
      <c r="J144" s="7">
        <v>71177.429999999993</v>
      </c>
      <c r="K144" s="7">
        <v>71177.429999999993</v>
      </c>
      <c r="L144" s="7">
        <v>71177.429999999993</v>
      </c>
      <c r="M144" s="12">
        <v>1</v>
      </c>
      <c r="N144" s="7">
        <v>67062.570000000007</v>
      </c>
      <c r="O144" s="7">
        <v>67062.570000000007</v>
      </c>
      <c r="P144" s="7">
        <v>1843.2</v>
      </c>
      <c r="Q144" s="6">
        <v>189480</v>
      </c>
      <c r="R144" s="7">
        <v>18615.23</v>
      </c>
      <c r="S144" s="7">
        <v>208095.23</v>
      </c>
      <c r="T144" s="7">
        <v>52023.81</v>
      </c>
      <c r="U144" s="7">
        <v>38232.47</v>
      </c>
      <c r="V144" s="7">
        <v>0</v>
      </c>
      <c r="W144" s="7">
        <v>51309.13</v>
      </c>
      <c r="X144" s="7">
        <v>0</v>
      </c>
      <c r="Y144" s="7">
        <v>0</v>
      </c>
      <c r="Z144" s="7">
        <v>62710.75</v>
      </c>
      <c r="AA144" s="7">
        <v>50750.78</v>
      </c>
      <c r="AB144" s="7">
        <v>0</v>
      </c>
      <c r="AC144" s="7">
        <v>0</v>
      </c>
      <c r="AD144" s="7">
        <v>0</v>
      </c>
      <c r="AE144" s="7">
        <v>71177.429999999993</v>
      </c>
      <c r="AF144" s="7">
        <v>67062.570000000007</v>
      </c>
    </row>
    <row r="145" spans="1:32" x14ac:dyDescent="0.25">
      <c r="A145" s="12" t="s">
        <v>38</v>
      </c>
      <c r="B145" s="12">
        <v>480</v>
      </c>
      <c r="C145" s="12">
        <v>1</v>
      </c>
      <c r="D145" s="13" t="s">
        <v>538</v>
      </c>
      <c r="E145" s="6">
        <v>380</v>
      </c>
      <c r="F145" s="6">
        <v>385</v>
      </c>
      <c r="G145" s="6">
        <v>9669556</v>
      </c>
      <c r="H145" s="6">
        <v>45600</v>
      </c>
      <c r="I145" s="6">
        <v>46200</v>
      </c>
      <c r="J145" s="7">
        <v>32276.2</v>
      </c>
      <c r="K145" s="7">
        <v>32276.2</v>
      </c>
      <c r="L145" s="7">
        <v>32276.2</v>
      </c>
      <c r="M145" s="12">
        <v>1</v>
      </c>
      <c r="N145" s="7">
        <v>13923.8</v>
      </c>
      <c r="O145" s="7">
        <v>13923.8</v>
      </c>
      <c r="P145" s="7">
        <v>616</v>
      </c>
      <c r="Q145" s="6">
        <v>45600</v>
      </c>
      <c r="R145" s="7">
        <v>6755</v>
      </c>
      <c r="S145" s="7">
        <v>52355</v>
      </c>
      <c r="T145" s="7">
        <v>13088.75</v>
      </c>
      <c r="U145" s="7">
        <v>-11743.72</v>
      </c>
      <c r="V145" s="7">
        <v>0</v>
      </c>
      <c r="W145" s="7">
        <v>-21088.2</v>
      </c>
      <c r="X145" s="7">
        <v>0</v>
      </c>
      <c r="Y145" s="7">
        <v>0</v>
      </c>
      <c r="Z145" s="7">
        <v>-31924.38</v>
      </c>
      <c r="AA145" s="7">
        <v>-21585.43</v>
      </c>
      <c r="AB145" s="7">
        <v>0</v>
      </c>
      <c r="AC145" s="7">
        <v>0</v>
      </c>
      <c r="AD145" s="7">
        <v>0</v>
      </c>
      <c r="AE145" s="7">
        <v>32276.2</v>
      </c>
      <c r="AF145" s="7">
        <v>13923.8</v>
      </c>
    </row>
    <row r="146" spans="1:32" x14ac:dyDescent="0.25">
      <c r="A146" s="12" t="s">
        <v>38</v>
      </c>
      <c r="B146" s="12">
        <v>482</v>
      </c>
      <c r="C146" s="12">
        <v>1</v>
      </c>
      <c r="D146" s="13" t="s">
        <v>539</v>
      </c>
      <c r="E146" s="6">
        <v>1110</v>
      </c>
      <c r="F146" s="6">
        <v>1110</v>
      </c>
      <c r="G146" s="6">
        <v>14851982</v>
      </c>
      <c r="H146" s="6">
        <v>133200</v>
      </c>
      <c r="I146" s="6">
        <v>133200</v>
      </c>
      <c r="J146" s="7">
        <v>49574.73</v>
      </c>
      <c r="K146" s="7">
        <v>49574.73</v>
      </c>
      <c r="L146" s="7">
        <v>49574.73</v>
      </c>
      <c r="M146" s="12">
        <v>1</v>
      </c>
      <c r="N146" s="7">
        <v>83625.27</v>
      </c>
      <c r="O146" s="7">
        <v>83625.27</v>
      </c>
      <c r="P146" s="7">
        <v>1776</v>
      </c>
      <c r="Q146" s="6">
        <v>133200</v>
      </c>
      <c r="R146" s="7">
        <v>8035.5</v>
      </c>
      <c r="S146" s="7">
        <v>141235.5</v>
      </c>
      <c r="T146" s="7">
        <v>35308.879999999997</v>
      </c>
      <c r="U146" s="7">
        <v>58923.98</v>
      </c>
      <c r="V146" s="7">
        <v>0</v>
      </c>
      <c r="W146" s="7">
        <v>31228.91</v>
      </c>
      <c r="X146" s="7">
        <v>4582.88</v>
      </c>
      <c r="Y146" s="7">
        <v>0</v>
      </c>
      <c r="Z146" s="7">
        <v>20371.53</v>
      </c>
      <c r="AA146" s="7">
        <v>35313.85</v>
      </c>
      <c r="AB146" s="7">
        <v>4.97</v>
      </c>
      <c r="AC146" s="7">
        <v>1.85</v>
      </c>
      <c r="AD146" s="7">
        <v>3.12</v>
      </c>
      <c r="AE146" s="7">
        <v>49572.88</v>
      </c>
      <c r="AF146" s="7">
        <v>83622.149999999994</v>
      </c>
    </row>
    <row r="147" spans="1:32" x14ac:dyDescent="0.25">
      <c r="A147" s="12" t="s">
        <v>38</v>
      </c>
      <c r="B147" s="12">
        <v>484</v>
      </c>
      <c r="C147" s="12">
        <v>1</v>
      </c>
      <c r="D147" s="13" t="s">
        <v>540</v>
      </c>
      <c r="E147" s="6">
        <v>343</v>
      </c>
      <c r="F147" s="6">
        <v>358</v>
      </c>
      <c r="G147" s="6">
        <v>5326105</v>
      </c>
      <c r="H147" s="6">
        <v>41160</v>
      </c>
      <c r="I147" s="6">
        <v>42960</v>
      </c>
      <c r="J147" s="7">
        <v>17778.11</v>
      </c>
      <c r="K147" s="7">
        <v>17778.11</v>
      </c>
      <c r="L147" s="7">
        <v>17778.11</v>
      </c>
      <c r="M147" s="12">
        <v>1</v>
      </c>
      <c r="N147" s="7">
        <v>25181.89</v>
      </c>
      <c r="O147" s="7">
        <v>25181.89</v>
      </c>
      <c r="P147" s="7">
        <v>0</v>
      </c>
      <c r="Q147" s="6">
        <v>41160</v>
      </c>
      <c r="R147" s="7">
        <v>0</v>
      </c>
      <c r="S147" s="7">
        <v>41160</v>
      </c>
      <c r="T147" s="7">
        <v>10290</v>
      </c>
      <c r="U147" s="7">
        <v>7250.12</v>
      </c>
      <c r="V147" s="7">
        <v>0</v>
      </c>
      <c r="W147" s="7">
        <v>7133.64</v>
      </c>
      <c r="X147" s="7">
        <v>0</v>
      </c>
      <c r="Y147" s="7">
        <v>0</v>
      </c>
      <c r="Z147" s="7">
        <v>7143.25</v>
      </c>
      <c r="AA147" s="7">
        <v>7175.67</v>
      </c>
      <c r="AB147" s="7">
        <v>0</v>
      </c>
      <c r="AC147" s="7">
        <v>0</v>
      </c>
      <c r="AD147" s="7">
        <v>0</v>
      </c>
      <c r="AE147" s="7">
        <v>17778.11</v>
      </c>
      <c r="AF147" s="7">
        <v>25181.89</v>
      </c>
    </row>
    <row r="148" spans="1:32" x14ac:dyDescent="0.25">
      <c r="A148" s="12" t="s">
        <v>38</v>
      </c>
      <c r="B148" s="12">
        <v>485</v>
      </c>
      <c r="C148" s="12">
        <v>1</v>
      </c>
      <c r="D148" s="13" t="s">
        <v>541</v>
      </c>
      <c r="E148" s="6">
        <v>281</v>
      </c>
      <c r="F148" s="6">
        <v>276</v>
      </c>
      <c r="G148" s="6">
        <v>3775421</v>
      </c>
      <c r="H148" s="6">
        <v>33720</v>
      </c>
      <c r="I148" s="6">
        <v>33120</v>
      </c>
      <c r="J148" s="7">
        <v>12602.05</v>
      </c>
      <c r="K148" s="7">
        <v>12602.05</v>
      </c>
      <c r="L148" s="7">
        <v>12602.05</v>
      </c>
      <c r="M148" s="12">
        <v>1</v>
      </c>
      <c r="N148" s="7">
        <v>20517.95</v>
      </c>
      <c r="O148" s="7">
        <v>20517.95</v>
      </c>
      <c r="P148" s="7">
        <v>441.6</v>
      </c>
      <c r="Q148" s="6">
        <v>33720</v>
      </c>
      <c r="R148" s="7">
        <v>449.6</v>
      </c>
      <c r="S148" s="7">
        <v>34169.599999999999</v>
      </c>
      <c r="T148" s="7">
        <v>8542.4</v>
      </c>
      <c r="U148" s="7">
        <v>10093.209999999999</v>
      </c>
      <c r="V148" s="7">
        <v>929.84</v>
      </c>
      <c r="W148" s="7">
        <v>10635.61</v>
      </c>
      <c r="X148" s="7">
        <v>0</v>
      </c>
      <c r="Y148" s="7">
        <v>0</v>
      </c>
      <c r="Z148" s="7">
        <v>10961.73</v>
      </c>
      <c r="AA148" s="7">
        <v>10253.57</v>
      </c>
      <c r="AB148" s="7">
        <v>1711.17</v>
      </c>
      <c r="AC148" s="7">
        <v>651.09</v>
      </c>
      <c r="AD148" s="7">
        <v>1060.08</v>
      </c>
      <c r="AE148" s="7">
        <v>11950.96</v>
      </c>
      <c r="AF148" s="7">
        <v>19457.87</v>
      </c>
    </row>
    <row r="149" spans="1:32" x14ac:dyDescent="0.25">
      <c r="A149" s="12" t="s">
        <v>38</v>
      </c>
      <c r="B149" s="12">
        <v>486</v>
      </c>
      <c r="C149" s="12">
        <v>1</v>
      </c>
      <c r="D149" s="13" t="s">
        <v>542</v>
      </c>
      <c r="E149" s="6">
        <v>89</v>
      </c>
      <c r="F149" s="6">
        <v>93</v>
      </c>
      <c r="G149" s="6">
        <v>2200187</v>
      </c>
      <c r="H149" s="6">
        <v>18000</v>
      </c>
      <c r="I149" s="6">
        <v>18000</v>
      </c>
      <c r="J149" s="7">
        <v>7344.05</v>
      </c>
      <c r="K149" s="7">
        <v>7344.05</v>
      </c>
      <c r="L149" s="7">
        <v>7344.05</v>
      </c>
      <c r="M149" s="12">
        <v>1</v>
      </c>
      <c r="N149" s="7">
        <v>10655.95</v>
      </c>
      <c r="O149" s="7">
        <v>10655.95</v>
      </c>
      <c r="P149" s="7">
        <v>148.80000000000001</v>
      </c>
      <c r="Q149" s="6">
        <v>18000</v>
      </c>
      <c r="R149" s="7">
        <v>142.4</v>
      </c>
      <c r="S149" s="7">
        <v>18142.400000000001</v>
      </c>
      <c r="T149" s="7">
        <v>4535.6000000000004</v>
      </c>
      <c r="U149" s="7">
        <v>3707.83</v>
      </c>
      <c r="V149" s="7">
        <v>0</v>
      </c>
      <c r="W149" s="7">
        <v>7161.01</v>
      </c>
      <c r="X149" s="7">
        <v>350.19</v>
      </c>
      <c r="Y149" s="7">
        <v>0</v>
      </c>
      <c r="Z149" s="7">
        <v>6775.33</v>
      </c>
      <c r="AA149" s="7">
        <v>5764.66</v>
      </c>
      <c r="AB149" s="7">
        <v>1229.06</v>
      </c>
      <c r="AC149" s="7">
        <v>501.46</v>
      </c>
      <c r="AD149" s="7">
        <v>727.6</v>
      </c>
      <c r="AE149" s="7">
        <v>6842.59</v>
      </c>
      <c r="AF149" s="7">
        <v>9928.35</v>
      </c>
    </row>
    <row r="150" spans="1:32" x14ac:dyDescent="0.25">
      <c r="A150" s="12" t="s">
        <v>38</v>
      </c>
      <c r="B150" s="12">
        <v>487</v>
      </c>
      <c r="C150" s="12">
        <v>1</v>
      </c>
      <c r="D150" s="13" t="s">
        <v>543</v>
      </c>
      <c r="E150" s="6">
        <v>117</v>
      </c>
      <c r="F150" s="6">
        <v>108</v>
      </c>
      <c r="G150" s="6">
        <v>1825780</v>
      </c>
      <c r="H150" s="6">
        <v>18000</v>
      </c>
      <c r="I150" s="6">
        <v>18000</v>
      </c>
      <c r="J150" s="7">
        <v>6094.31</v>
      </c>
      <c r="K150" s="7">
        <v>6094.31</v>
      </c>
      <c r="L150" s="7">
        <v>6094.31</v>
      </c>
      <c r="M150" s="12">
        <v>1</v>
      </c>
      <c r="N150" s="7">
        <v>11905.69</v>
      </c>
      <c r="O150" s="7">
        <v>11905.69</v>
      </c>
      <c r="P150" s="7">
        <v>172.8</v>
      </c>
      <c r="Q150" s="6">
        <v>18000</v>
      </c>
      <c r="R150" s="7">
        <v>187.2</v>
      </c>
      <c r="S150" s="7">
        <v>18187.2</v>
      </c>
      <c r="T150" s="7">
        <v>4546.8</v>
      </c>
      <c r="U150" s="7">
        <v>5453.11</v>
      </c>
      <c r="V150" s="7">
        <v>976.38</v>
      </c>
      <c r="W150" s="7">
        <v>5600.27</v>
      </c>
      <c r="X150" s="7">
        <v>298.64</v>
      </c>
      <c r="Y150" s="7">
        <v>0</v>
      </c>
      <c r="Z150" s="7">
        <v>5468.75</v>
      </c>
      <c r="AA150" s="7">
        <v>5082.37</v>
      </c>
      <c r="AB150" s="7">
        <v>535.57000000000005</v>
      </c>
      <c r="AC150" s="7">
        <v>181.33</v>
      </c>
      <c r="AD150" s="7">
        <v>354.24</v>
      </c>
      <c r="AE150" s="7">
        <v>5912.98</v>
      </c>
      <c r="AF150" s="7">
        <v>11551.45</v>
      </c>
    </row>
    <row r="151" spans="1:32" x14ac:dyDescent="0.25">
      <c r="A151" s="12" t="s">
        <v>38</v>
      </c>
      <c r="B151" s="12">
        <v>492</v>
      </c>
      <c r="C151" s="12">
        <v>1</v>
      </c>
      <c r="D151" s="13" t="s">
        <v>544</v>
      </c>
      <c r="E151" s="6">
        <v>1910</v>
      </c>
      <c r="F151" s="6">
        <v>2096</v>
      </c>
      <c r="G151" s="6">
        <v>17167484</v>
      </c>
      <c r="H151" s="6">
        <v>229200</v>
      </c>
      <c r="I151" s="6">
        <v>251520</v>
      </c>
      <c r="J151" s="7">
        <v>57303.69</v>
      </c>
      <c r="K151" s="7">
        <v>57303.69</v>
      </c>
      <c r="L151" s="7">
        <v>57303.69</v>
      </c>
      <c r="M151" s="12">
        <v>1</v>
      </c>
      <c r="N151" s="7">
        <v>194216.31</v>
      </c>
      <c r="O151" s="7">
        <v>194216.31</v>
      </c>
      <c r="P151" s="7">
        <v>3353.6</v>
      </c>
      <c r="Q151" s="6">
        <v>229200</v>
      </c>
      <c r="R151" s="7">
        <v>64795.46</v>
      </c>
      <c r="S151" s="7">
        <v>293995.46000000002</v>
      </c>
      <c r="T151" s="7">
        <v>73498.87</v>
      </c>
      <c r="U151" s="7">
        <v>84360.29</v>
      </c>
      <c r="V151" s="7">
        <v>4864.6499999999996</v>
      </c>
      <c r="W151" s="7">
        <v>42415.68</v>
      </c>
      <c r="X151" s="7">
        <v>0</v>
      </c>
      <c r="Y151" s="7">
        <v>0</v>
      </c>
      <c r="Z151" s="7">
        <v>47999.82</v>
      </c>
      <c r="AA151" s="7">
        <v>56637.05</v>
      </c>
      <c r="AB151" s="7">
        <v>0</v>
      </c>
      <c r="AC151" s="7">
        <v>0</v>
      </c>
      <c r="AD151" s="7">
        <v>0</v>
      </c>
      <c r="AE151" s="7">
        <v>57303.69</v>
      </c>
      <c r="AF151" s="7">
        <v>194216.31</v>
      </c>
    </row>
    <row r="152" spans="1:32" x14ac:dyDescent="0.25">
      <c r="A152" s="12" t="s">
        <v>38</v>
      </c>
      <c r="B152" s="12">
        <v>495</v>
      </c>
      <c r="C152" s="12">
        <v>1</v>
      </c>
      <c r="D152" s="13" t="s">
        <v>545</v>
      </c>
      <c r="E152" s="6">
        <v>127</v>
      </c>
      <c r="F152" s="6">
        <v>108</v>
      </c>
      <c r="G152" s="6">
        <v>3021831</v>
      </c>
      <c r="H152" s="6">
        <v>18000</v>
      </c>
      <c r="I152" s="6">
        <v>18000</v>
      </c>
      <c r="J152" s="7">
        <v>10086.629999999999</v>
      </c>
      <c r="K152" s="7">
        <v>10086.629999999999</v>
      </c>
      <c r="L152" s="7">
        <v>10086.629999999999</v>
      </c>
      <c r="M152" s="12">
        <v>1</v>
      </c>
      <c r="N152" s="7">
        <v>7913.37</v>
      </c>
      <c r="O152" s="7">
        <v>7913.37</v>
      </c>
      <c r="P152" s="7">
        <v>172.8</v>
      </c>
      <c r="Q152" s="6">
        <v>18000</v>
      </c>
      <c r="R152" s="7">
        <v>1053.2</v>
      </c>
      <c r="S152" s="7">
        <v>19053.2</v>
      </c>
      <c r="T152" s="7">
        <v>4763.3</v>
      </c>
      <c r="U152" s="7">
        <v>-14282.03</v>
      </c>
      <c r="V152" s="7">
        <v>0</v>
      </c>
      <c r="W152" s="7">
        <v>-14242.93</v>
      </c>
      <c r="X152" s="7">
        <v>0</v>
      </c>
      <c r="Y152" s="7">
        <v>0</v>
      </c>
      <c r="Z152" s="7">
        <v>2415.34</v>
      </c>
      <c r="AA152" s="7">
        <v>-8703.2099999999991</v>
      </c>
      <c r="AB152" s="7">
        <v>0</v>
      </c>
      <c r="AC152" s="7">
        <v>0</v>
      </c>
      <c r="AD152" s="7">
        <v>0</v>
      </c>
      <c r="AE152" s="7">
        <v>10086.629999999999</v>
      </c>
      <c r="AF152" s="7">
        <v>7913.37</v>
      </c>
    </row>
    <row r="153" spans="1:32" x14ac:dyDescent="0.25">
      <c r="A153" s="12" t="s">
        <v>38</v>
      </c>
      <c r="B153" s="12">
        <v>497</v>
      </c>
      <c r="C153" s="12">
        <v>1</v>
      </c>
      <c r="D153" s="13" t="s">
        <v>546</v>
      </c>
      <c r="E153" s="6">
        <v>74</v>
      </c>
      <c r="F153" s="6">
        <v>71</v>
      </c>
      <c r="G153" s="6">
        <v>1695286</v>
      </c>
      <c r="H153" s="6">
        <v>18000</v>
      </c>
      <c r="I153" s="6">
        <v>18000</v>
      </c>
      <c r="J153" s="7">
        <v>5658.73</v>
      </c>
      <c r="K153" s="7">
        <v>5658.73</v>
      </c>
      <c r="L153" s="7">
        <v>5658.73</v>
      </c>
      <c r="M153" s="12">
        <v>1</v>
      </c>
      <c r="N153" s="7">
        <v>12341.27</v>
      </c>
      <c r="O153" s="7">
        <v>12341.27</v>
      </c>
      <c r="P153" s="7">
        <v>113.6</v>
      </c>
      <c r="Q153" s="6">
        <v>18000</v>
      </c>
      <c r="R153" s="7">
        <v>14087.32</v>
      </c>
      <c r="S153" s="7">
        <v>32087.32</v>
      </c>
      <c r="T153" s="7">
        <v>8021.83</v>
      </c>
      <c r="U153" s="7">
        <v>3530.75</v>
      </c>
      <c r="V153" s="7">
        <v>0</v>
      </c>
      <c r="W153" s="7">
        <v>3301.42</v>
      </c>
      <c r="X153" s="7">
        <v>0</v>
      </c>
      <c r="Y153" s="7">
        <v>0</v>
      </c>
      <c r="Z153" s="7">
        <v>14194.04</v>
      </c>
      <c r="AA153" s="7">
        <v>7008.74</v>
      </c>
      <c r="AB153" s="7">
        <v>0</v>
      </c>
      <c r="AC153" s="7">
        <v>0</v>
      </c>
      <c r="AD153" s="7">
        <v>0</v>
      </c>
      <c r="AE153" s="7">
        <v>5658.73</v>
      </c>
      <c r="AF153" s="7">
        <v>12341.27</v>
      </c>
    </row>
    <row r="154" spans="1:32" x14ac:dyDescent="0.25">
      <c r="A154" s="12" t="s">
        <v>38</v>
      </c>
      <c r="B154" s="12">
        <v>499</v>
      </c>
      <c r="C154" s="12">
        <v>1</v>
      </c>
      <c r="D154" s="13" t="s">
        <v>547</v>
      </c>
      <c r="E154" s="6">
        <v>141</v>
      </c>
      <c r="F154" s="6">
        <v>130</v>
      </c>
      <c r="G154" s="6">
        <v>3358774</v>
      </c>
      <c r="H154" s="6">
        <v>18000</v>
      </c>
      <c r="I154" s="6">
        <v>18000</v>
      </c>
      <c r="J154" s="7">
        <v>11211.32</v>
      </c>
      <c r="K154" s="7">
        <v>11211.32</v>
      </c>
      <c r="L154" s="7">
        <v>11211.32</v>
      </c>
      <c r="M154" s="12">
        <v>1</v>
      </c>
      <c r="N154" s="7">
        <v>6788.68</v>
      </c>
      <c r="O154" s="7">
        <v>6788.68</v>
      </c>
      <c r="P154" s="7">
        <v>208</v>
      </c>
      <c r="Q154" s="6">
        <v>18000</v>
      </c>
      <c r="R154" s="7">
        <v>1577.6</v>
      </c>
      <c r="S154" s="7">
        <v>19577.599999999999</v>
      </c>
      <c r="T154" s="7">
        <v>4894.3999999999996</v>
      </c>
      <c r="U154" s="7">
        <v>3987.07</v>
      </c>
      <c r="V154" s="7">
        <v>0</v>
      </c>
      <c r="W154" s="7">
        <v>3749.26</v>
      </c>
      <c r="X154" s="7">
        <v>0</v>
      </c>
      <c r="Y154" s="7">
        <v>0</v>
      </c>
      <c r="Z154" s="7">
        <v>3773.3</v>
      </c>
      <c r="AA154" s="7">
        <v>3836.54</v>
      </c>
      <c r="AB154" s="7">
        <v>0</v>
      </c>
      <c r="AC154" s="7">
        <v>0</v>
      </c>
      <c r="AD154" s="7">
        <v>0</v>
      </c>
      <c r="AE154" s="7">
        <v>11211.32</v>
      </c>
      <c r="AF154" s="7">
        <v>6788.68</v>
      </c>
    </row>
    <row r="155" spans="1:32" x14ac:dyDescent="0.25">
      <c r="A155" s="12" t="s">
        <v>38</v>
      </c>
      <c r="B155" s="12">
        <v>500</v>
      </c>
      <c r="C155" s="12">
        <v>1</v>
      </c>
      <c r="D155" s="13" t="s">
        <v>548</v>
      </c>
      <c r="E155" s="6">
        <v>201</v>
      </c>
      <c r="F155" s="6">
        <v>217</v>
      </c>
      <c r="G155" s="6">
        <v>5533591</v>
      </c>
      <c r="H155" s="6">
        <v>24120</v>
      </c>
      <c r="I155" s="6">
        <v>26040</v>
      </c>
      <c r="J155" s="7">
        <v>18470.68</v>
      </c>
      <c r="K155" s="7">
        <v>18470.68</v>
      </c>
      <c r="L155" s="7">
        <v>18470.68</v>
      </c>
      <c r="M155" s="12">
        <v>1</v>
      </c>
      <c r="N155" s="7">
        <v>7569.32</v>
      </c>
      <c r="O155" s="7">
        <v>7569.32</v>
      </c>
      <c r="P155" s="7">
        <v>347.2</v>
      </c>
      <c r="Q155" s="6">
        <v>24120</v>
      </c>
      <c r="R155" s="7">
        <v>7728.61</v>
      </c>
      <c r="S155" s="7">
        <v>31848.61</v>
      </c>
      <c r="T155" s="7">
        <v>7962.15</v>
      </c>
      <c r="U155" s="7">
        <v>0</v>
      </c>
      <c r="V155" s="7">
        <v>0</v>
      </c>
      <c r="W155" s="7">
        <v>271.7</v>
      </c>
      <c r="X155" s="7">
        <v>0</v>
      </c>
      <c r="Y155" s="7">
        <v>0</v>
      </c>
      <c r="Z155" s="7">
        <v>426.64</v>
      </c>
      <c r="AA155" s="7">
        <v>232.78</v>
      </c>
      <c r="AB155" s="7">
        <v>0</v>
      </c>
      <c r="AC155" s="7">
        <v>0</v>
      </c>
      <c r="AD155" s="7">
        <v>0</v>
      </c>
      <c r="AE155" s="7">
        <v>18470.68</v>
      </c>
      <c r="AF155" s="7">
        <v>7569.32</v>
      </c>
    </row>
    <row r="156" spans="1:32" x14ac:dyDescent="0.25">
      <c r="A156" s="12" t="s">
        <v>38</v>
      </c>
      <c r="B156" s="12">
        <v>505</v>
      </c>
      <c r="C156" s="12">
        <v>1</v>
      </c>
      <c r="D156" s="13" t="s">
        <v>549</v>
      </c>
      <c r="E156" s="6">
        <v>89</v>
      </c>
      <c r="F156" s="6">
        <v>96</v>
      </c>
      <c r="G156" s="6">
        <v>4565926</v>
      </c>
      <c r="H156" s="6">
        <v>18000</v>
      </c>
      <c r="I156" s="6">
        <v>18000</v>
      </c>
      <c r="J156" s="7">
        <v>15240.7</v>
      </c>
      <c r="K156" s="7">
        <v>15240.7</v>
      </c>
      <c r="L156" s="7">
        <v>15240.7</v>
      </c>
      <c r="M156" s="12">
        <v>1</v>
      </c>
      <c r="N156" s="7">
        <v>2759.3</v>
      </c>
      <c r="O156" s="7">
        <v>2759.3</v>
      </c>
      <c r="P156" s="7">
        <v>153.6</v>
      </c>
      <c r="Q156" s="6">
        <v>18000</v>
      </c>
      <c r="R156" s="7">
        <v>142.4</v>
      </c>
      <c r="S156" s="7">
        <v>18142.400000000001</v>
      </c>
      <c r="T156" s="7">
        <v>4535.6000000000004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15240.7</v>
      </c>
      <c r="AF156" s="7">
        <v>2759.3</v>
      </c>
    </row>
    <row r="157" spans="1:32" x14ac:dyDescent="0.25">
      <c r="A157" s="12" t="s">
        <v>38</v>
      </c>
      <c r="B157" s="12">
        <v>507</v>
      </c>
      <c r="C157" s="12">
        <v>1</v>
      </c>
      <c r="D157" s="13" t="s">
        <v>550</v>
      </c>
      <c r="E157" s="6">
        <v>138</v>
      </c>
      <c r="F157" s="6">
        <v>177</v>
      </c>
      <c r="G157" s="6">
        <v>4089771</v>
      </c>
      <c r="H157" s="6">
        <v>18000</v>
      </c>
      <c r="I157" s="6">
        <v>21240</v>
      </c>
      <c r="J157" s="7">
        <v>13651.33</v>
      </c>
      <c r="K157" s="7">
        <v>13651.33</v>
      </c>
      <c r="L157" s="7">
        <v>13651.33</v>
      </c>
      <c r="M157" s="12">
        <v>1</v>
      </c>
      <c r="N157" s="7">
        <v>7588.67</v>
      </c>
      <c r="O157" s="7">
        <v>7588.67</v>
      </c>
      <c r="P157" s="7">
        <v>283.2</v>
      </c>
      <c r="Q157" s="6">
        <v>18000</v>
      </c>
      <c r="R157" s="7">
        <v>2212.3000000000002</v>
      </c>
      <c r="S157" s="7">
        <v>20212.3</v>
      </c>
      <c r="T157" s="7">
        <v>5053.08</v>
      </c>
      <c r="U157" s="7">
        <v>5052.51</v>
      </c>
      <c r="V157" s="7">
        <v>0</v>
      </c>
      <c r="W157" s="7">
        <v>5324.42</v>
      </c>
      <c r="X157" s="7">
        <v>0</v>
      </c>
      <c r="Y157" s="7">
        <v>0</v>
      </c>
      <c r="Z157" s="7">
        <v>6943.83</v>
      </c>
      <c r="AA157" s="7">
        <v>5773.59</v>
      </c>
      <c r="AB157" s="7">
        <v>720.51</v>
      </c>
      <c r="AC157" s="7">
        <v>463.08</v>
      </c>
      <c r="AD157" s="7">
        <v>257.43</v>
      </c>
      <c r="AE157" s="7">
        <v>13188.25</v>
      </c>
      <c r="AF157" s="7">
        <v>7331.24</v>
      </c>
    </row>
    <row r="158" spans="1:32" x14ac:dyDescent="0.25">
      <c r="A158" s="12" t="s">
        <v>38</v>
      </c>
      <c r="B158" s="12">
        <v>508</v>
      </c>
      <c r="C158" s="12">
        <v>1</v>
      </c>
      <c r="D158" s="13" t="s">
        <v>551</v>
      </c>
      <c r="E158" s="6">
        <v>802</v>
      </c>
      <c r="F158" s="6">
        <v>819</v>
      </c>
      <c r="G158" s="6">
        <v>10330686</v>
      </c>
      <c r="H158" s="6">
        <v>96240</v>
      </c>
      <c r="I158" s="6">
        <v>98280</v>
      </c>
      <c r="J158" s="7">
        <v>34483</v>
      </c>
      <c r="K158" s="7">
        <v>34483</v>
      </c>
      <c r="L158" s="7">
        <v>34483</v>
      </c>
      <c r="M158" s="12">
        <v>1</v>
      </c>
      <c r="N158" s="7">
        <v>63797</v>
      </c>
      <c r="O158" s="7">
        <v>63797</v>
      </c>
      <c r="P158" s="7">
        <v>1310.4000000000001</v>
      </c>
      <c r="Q158" s="6">
        <v>96240</v>
      </c>
      <c r="R158" s="7">
        <v>44971.28</v>
      </c>
      <c r="S158" s="7">
        <v>141211.28</v>
      </c>
      <c r="T158" s="7">
        <v>35302.82</v>
      </c>
      <c r="U158" s="7">
        <v>36047.96</v>
      </c>
      <c r="V158" s="7">
        <v>0</v>
      </c>
      <c r="W158" s="7">
        <v>41514.36</v>
      </c>
      <c r="X158" s="7">
        <v>0</v>
      </c>
      <c r="Y158" s="7">
        <v>0</v>
      </c>
      <c r="Z158" s="7">
        <v>36219.53</v>
      </c>
      <c r="AA158" s="7">
        <v>37927.279999999999</v>
      </c>
      <c r="AB158" s="7">
        <v>2624.46</v>
      </c>
      <c r="AC158" s="7">
        <v>920.83</v>
      </c>
      <c r="AD158" s="7">
        <v>1703.63</v>
      </c>
      <c r="AE158" s="7">
        <v>33562.17</v>
      </c>
      <c r="AF158" s="7">
        <v>62093.37</v>
      </c>
    </row>
    <row r="159" spans="1:32" x14ac:dyDescent="0.25">
      <c r="A159" s="12" t="s">
        <v>38</v>
      </c>
      <c r="B159" s="12">
        <v>511</v>
      </c>
      <c r="C159" s="12">
        <v>1</v>
      </c>
      <c r="D159" s="13" t="s">
        <v>552</v>
      </c>
      <c r="E159" s="6">
        <v>157</v>
      </c>
      <c r="F159" s="6">
        <v>140</v>
      </c>
      <c r="G159" s="6">
        <v>4214956</v>
      </c>
      <c r="H159" s="6">
        <v>18840</v>
      </c>
      <c r="I159" s="6">
        <v>18000</v>
      </c>
      <c r="J159" s="7">
        <v>14069.19</v>
      </c>
      <c r="K159" s="7">
        <v>14069.19</v>
      </c>
      <c r="L159" s="7">
        <v>14069.19</v>
      </c>
      <c r="M159" s="12">
        <v>1</v>
      </c>
      <c r="N159" s="7">
        <v>3930.81</v>
      </c>
      <c r="O159" s="7">
        <v>3930.81</v>
      </c>
      <c r="P159" s="7">
        <v>224</v>
      </c>
      <c r="Q159" s="6">
        <v>18840</v>
      </c>
      <c r="R159" s="7">
        <v>283.2</v>
      </c>
      <c r="S159" s="7">
        <v>19123.2</v>
      </c>
      <c r="T159" s="7">
        <v>4780.8</v>
      </c>
      <c r="U159" s="7">
        <v>14614.78</v>
      </c>
      <c r="V159" s="7">
        <v>3774.55</v>
      </c>
      <c r="W159" s="7">
        <v>22915.48</v>
      </c>
      <c r="X159" s="7">
        <v>8134.05</v>
      </c>
      <c r="Y159" s="7">
        <v>0</v>
      </c>
      <c r="Z159" s="7">
        <v>24493.5</v>
      </c>
      <c r="AA159" s="7">
        <v>16705.05</v>
      </c>
      <c r="AB159" s="7">
        <v>11924.25</v>
      </c>
      <c r="AC159" s="7">
        <v>9320.25</v>
      </c>
      <c r="AD159" s="7">
        <v>2604</v>
      </c>
      <c r="AE159" s="7">
        <v>4748.9399999999996</v>
      </c>
      <c r="AF159" s="7">
        <v>1326.81</v>
      </c>
    </row>
    <row r="160" spans="1:32" x14ac:dyDescent="0.25">
      <c r="A160" s="12" t="s">
        <v>38</v>
      </c>
      <c r="B160" s="12">
        <v>513</v>
      </c>
      <c r="C160" s="12">
        <v>1</v>
      </c>
      <c r="D160" s="13" t="s">
        <v>553</v>
      </c>
      <c r="E160" s="6">
        <v>46</v>
      </c>
      <c r="F160" s="6">
        <v>50</v>
      </c>
      <c r="G160" s="6">
        <v>2045766</v>
      </c>
      <c r="H160" s="6">
        <v>18000</v>
      </c>
      <c r="I160" s="6">
        <v>18000</v>
      </c>
      <c r="J160" s="7">
        <v>6828.6</v>
      </c>
      <c r="K160" s="7">
        <v>6828.6</v>
      </c>
      <c r="L160" s="7">
        <v>6828.6</v>
      </c>
      <c r="M160" s="12">
        <v>1</v>
      </c>
      <c r="N160" s="7">
        <v>11171.4</v>
      </c>
      <c r="O160" s="7">
        <v>11171.4</v>
      </c>
      <c r="P160" s="7">
        <v>80</v>
      </c>
      <c r="Q160" s="6">
        <v>18000</v>
      </c>
      <c r="R160" s="7">
        <v>78.599999999999994</v>
      </c>
      <c r="S160" s="7">
        <v>18078.599999999999</v>
      </c>
      <c r="T160" s="7">
        <v>4519.6499999999996</v>
      </c>
      <c r="U160" s="7">
        <v>1818.18</v>
      </c>
      <c r="V160" s="7">
        <v>0</v>
      </c>
      <c r="W160" s="7">
        <v>42.7</v>
      </c>
      <c r="X160" s="7">
        <v>0</v>
      </c>
      <c r="Y160" s="7">
        <v>0</v>
      </c>
      <c r="Z160" s="7">
        <v>-0.49</v>
      </c>
      <c r="AA160" s="7">
        <v>620.13</v>
      </c>
      <c r="AB160" s="7">
        <v>0</v>
      </c>
      <c r="AC160" s="7">
        <v>0</v>
      </c>
      <c r="AD160" s="7">
        <v>0</v>
      </c>
      <c r="AE160" s="7">
        <v>6828.6</v>
      </c>
      <c r="AF160" s="7">
        <v>11171.4</v>
      </c>
    </row>
    <row r="161" spans="1:32" x14ac:dyDescent="0.25">
      <c r="A161" s="12" t="s">
        <v>38</v>
      </c>
      <c r="B161" s="12">
        <v>514</v>
      </c>
      <c r="C161" s="12">
        <v>1</v>
      </c>
      <c r="D161" s="13" t="s">
        <v>554</v>
      </c>
      <c r="E161" s="6">
        <v>23</v>
      </c>
      <c r="F161" s="6">
        <v>33</v>
      </c>
      <c r="G161" s="6">
        <v>1847306</v>
      </c>
      <c r="H161" s="6">
        <v>18000</v>
      </c>
      <c r="I161" s="6">
        <v>18000</v>
      </c>
      <c r="J161" s="7">
        <v>6166.16</v>
      </c>
      <c r="K161" s="7">
        <v>6166.16</v>
      </c>
      <c r="L161" s="7">
        <v>6166.16</v>
      </c>
      <c r="M161" s="12">
        <v>1</v>
      </c>
      <c r="N161" s="7">
        <v>11833.84</v>
      </c>
      <c r="O161" s="7">
        <v>11833.84</v>
      </c>
      <c r="P161" s="7">
        <v>52.8</v>
      </c>
      <c r="Q161" s="6">
        <v>18000</v>
      </c>
      <c r="R161" s="7">
        <v>7929.03</v>
      </c>
      <c r="S161" s="7">
        <v>25929.03</v>
      </c>
      <c r="T161" s="7">
        <v>6482.26</v>
      </c>
      <c r="U161" s="7">
        <v>13629.68</v>
      </c>
      <c r="V161" s="7">
        <v>5015.09</v>
      </c>
      <c r="W161" s="7">
        <v>24859.86</v>
      </c>
      <c r="X161" s="7">
        <v>5697.78</v>
      </c>
      <c r="Y161" s="7">
        <v>0</v>
      </c>
      <c r="Z161" s="7">
        <v>21214.7</v>
      </c>
      <c r="AA161" s="7">
        <v>16330.46</v>
      </c>
      <c r="AB161" s="7">
        <v>9848.2000000000007</v>
      </c>
      <c r="AC161" s="7">
        <v>3373.64</v>
      </c>
      <c r="AD161" s="7">
        <v>6474.56</v>
      </c>
      <c r="AE161" s="7">
        <v>2792.52</v>
      </c>
      <c r="AF161" s="7">
        <v>5359.28</v>
      </c>
    </row>
    <row r="162" spans="1:32" x14ac:dyDescent="0.25">
      <c r="A162" s="12" t="s">
        <v>38</v>
      </c>
      <c r="B162" s="12">
        <v>516</v>
      </c>
      <c r="C162" s="12">
        <v>1</v>
      </c>
      <c r="D162" s="13" t="s">
        <v>555</v>
      </c>
      <c r="E162" s="6">
        <v>45</v>
      </c>
      <c r="F162" s="6">
        <v>37</v>
      </c>
      <c r="G162" s="6">
        <v>1447899</v>
      </c>
      <c r="H162" s="6">
        <v>18000</v>
      </c>
      <c r="I162" s="6">
        <v>18000</v>
      </c>
      <c r="J162" s="7">
        <v>4832.97</v>
      </c>
      <c r="K162" s="7">
        <v>4832.97</v>
      </c>
      <c r="L162" s="7">
        <v>4832.97</v>
      </c>
      <c r="M162" s="12">
        <v>1</v>
      </c>
      <c r="N162" s="7">
        <v>13167.03</v>
      </c>
      <c r="O162" s="7">
        <v>13167.03</v>
      </c>
      <c r="P162" s="7">
        <v>59.2</v>
      </c>
      <c r="Q162" s="6">
        <v>18000</v>
      </c>
      <c r="R162" s="7">
        <v>72</v>
      </c>
      <c r="S162" s="7">
        <v>18072</v>
      </c>
      <c r="T162" s="7">
        <v>4518</v>
      </c>
      <c r="U162" s="7">
        <v>738.21</v>
      </c>
      <c r="V162" s="7">
        <v>0</v>
      </c>
      <c r="W162" s="7">
        <v>13025.74</v>
      </c>
      <c r="X162" s="7">
        <v>3744.29</v>
      </c>
      <c r="Y162" s="7">
        <v>0</v>
      </c>
      <c r="Z162" s="7">
        <v>145.09</v>
      </c>
      <c r="AA162" s="7">
        <v>3388.25</v>
      </c>
      <c r="AB162" s="7">
        <v>0</v>
      </c>
      <c r="AC162" s="7">
        <v>0</v>
      </c>
      <c r="AD162" s="7">
        <v>0</v>
      </c>
      <c r="AE162" s="7">
        <v>4832.97</v>
      </c>
      <c r="AF162" s="7">
        <v>13167.03</v>
      </c>
    </row>
    <row r="163" spans="1:32" x14ac:dyDescent="0.25">
      <c r="A163" s="12" t="s">
        <v>38</v>
      </c>
      <c r="B163" s="12">
        <v>518</v>
      </c>
      <c r="C163" s="12">
        <v>1</v>
      </c>
      <c r="D163" s="13" t="s">
        <v>556</v>
      </c>
      <c r="E163" s="6">
        <v>1113</v>
      </c>
      <c r="F163" s="6">
        <v>1171</v>
      </c>
      <c r="G163" s="6">
        <v>12413596</v>
      </c>
      <c r="H163" s="6">
        <v>133560</v>
      </c>
      <c r="I163" s="6">
        <v>140520</v>
      </c>
      <c r="J163" s="7">
        <v>41435.589999999997</v>
      </c>
      <c r="K163" s="7">
        <v>41435.589999999997</v>
      </c>
      <c r="L163" s="7">
        <v>41435.589999999997</v>
      </c>
      <c r="M163" s="12">
        <v>1</v>
      </c>
      <c r="N163" s="7">
        <v>99084.41</v>
      </c>
      <c r="O163" s="7">
        <v>99084.41</v>
      </c>
      <c r="P163" s="7">
        <v>1873.6</v>
      </c>
      <c r="Q163" s="6">
        <v>133560</v>
      </c>
      <c r="R163" s="7">
        <v>38937.89</v>
      </c>
      <c r="S163" s="7">
        <v>172497.89</v>
      </c>
      <c r="T163" s="7">
        <v>43124.47</v>
      </c>
      <c r="U163" s="7">
        <v>27546.76</v>
      </c>
      <c r="V163" s="7">
        <v>0</v>
      </c>
      <c r="W163" s="7">
        <v>22602.6</v>
      </c>
      <c r="X163" s="7">
        <v>0</v>
      </c>
      <c r="Y163" s="7">
        <v>0</v>
      </c>
      <c r="Z163" s="7">
        <v>22375.87</v>
      </c>
      <c r="AA163" s="7">
        <v>24175.08</v>
      </c>
      <c r="AB163" s="7">
        <v>0</v>
      </c>
      <c r="AC163" s="7">
        <v>0</v>
      </c>
      <c r="AD163" s="7">
        <v>0</v>
      </c>
      <c r="AE163" s="7">
        <v>41435.589999999997</v>
      </c>
      <c r="AF163" s="7">
        <v>99084.41</v>
      </c>
    </row>
    <row r="164" spans="1:32" x14ac:dyDescent="0.25">
      <c r="A164" s="12" t="s">
        <v>38</v>
      </c>
      <c r="B164" s="12">
        <v>531</v>
      </c>
      <c r="C164" s="12">
        <v>1</v>
      </c>
      <c r="D164" s="13" t="s">
        <v>557</v>
      </c>
      <c r="E164" s="6">
        <v>525</v>
      </c>
      <c r="F164" s="6">
        <v>505</v>
      </c>
      <c r="G164" s="6">
        <v>8079792</v>
      </c>
      <c r="H164" s="6">
        <v>63000</v>
      </c>
      <c r="I164" s="6">
        <v>60600</v>
      </c>
      <c r="J164" s="7">
        <v>26969.7</v>
      </c>
      <c r="K164" s="7">
        <v>26969.7</v>
      </c>
      <c r="L164" s="7">
        <v>26969.7</v>
      </c>
      <c r="M164" s="12">
        <v>1</v>
      </c>
      <c r="N164" s="7">
        <v>33630.300000000003</v>
      </c>
      <c r="O164" s="7">
        <v>33630.300000000003</v>
      </c>
      <c r="P164" s="7">
        <v>808</v>
      </c>
      <c r="Q164" s="6">
        <v>63000</v>
      </c>
      <c r="R164" s="7">
        <v>1255.25</v>
      </c>
      <c r="S164" s="7">
        <v>64255.25</v>
      </c>
      <c r="T164" s="7">
        <v>16063.81</v>
      </c>
      <c r="U164" s="7">
        <v>250.01</v>
      </c>
      <c r="V164" s="7">
        <v>0</v>
      </c>
      <c r="W164" s="7">
        <v>1963.82</v>
      </c>
      <c r="X164" s="7">
        <v>0</v>
      </c>
      <c r="Y164" s="7">
        <v>0</v>
      </c>
      <c r="Z164" s="7">
        <v>4702.58</v>
      </c>
      <c r="AA164" s="7">
        <v>2305.4699999999998</v>
      </c>
      <c r="AB164" s="7">
        <v>0</v>
      </c>
      <c r="AC164" s="7">
        <v>0</v>
      </c>
      <c r="AD164" s="7">
        <v>0</v>
      </c>
      <c r="AE164" s="7">
        <v>26969.7</v>
      </c>
      <c r="AF164" s="7">
        <v>33630.300000000003</v>
      </c>
    </row>
    <row r="165" spans="1:32" x14ac:dyDescent="0.25">
      <c r="A165" s="12" t="s">
        <v>38</v>
      </c>
      <c r="B165" s="12">
        <v>533</v>
      </c>
      <c r="C165" s="12">
        <v>1</v>
      </c>
      <c r="D165" s="13" t="s">
        <v>558</v>
      </c>
      <c r="E165" s="6">
        <v>294</v>
      </c>
      <c r="F165" s="6">
        <v>294</v>
      </c>
      <c r="G165" s="6">
        <v>4302502</v>
      </c>
      <c r="H165" s="6">
        <v>35280</v>
      </c>
      <c r="I165" s="6">
        <v>35280</v>
      </c>
      <c r="J165" s="7">
        <v>14361.41</v>
      </c>
      <c r="K165" s="7">
        <v>14361.41</v>
      </c>
      <c r="L165" s="7">
        <v>14361.41</v>
      </c>
      <c r="M165" s="12">
        <v>1</v>
      </c>
      <c r="N165" s="7">
        <v>20918.59</v>
      </c>
      <c r="O165" s="7">
        <v>20918.59</v>
      </c>
      <c r="P165" s="7">
        <v>470.4</v>
      </c>
      <c r="Q165" s="6">
        <v>35280</v>
      </c>
      <c r="R165" s="7">
        <v>8168.82</v>
      </c>
      <c r="S165" s="7">
        <v>43448.82</v>
      </c>
      <c r="T165" s="7">
        <v>10862.21</v>
      </c>
      <c r="U165" s="7">
        <v>29401.15</v>
      </c>
      <c r="V165" s="7">
        <v>9353.33</v>
      </c>
      <c r="W165" s="7">
        <v>19031.39</v>
      </c>
      <c r="X165" s="7">
        <v>7482.12</v>
      </c>
      <c r="Y165" s="7">
        <v>0</v>
      </c>
      <c r="Z165" s="7">
        <v>13354.35</v>
      </c>
      <c r="AA165" s="7">
        <v>14983.81</v>
      </c>
      <c r="AB165" s="7">
        <v>4121.6000000000004</v>
      </c>
      <c r="AC165" s="7">
        <v>1677.78</v>
      </c>
      <c r="AD165" s="7">
        <v>2443.8200000000002</v>
      </c>
      <c r="AE165" s="7">
        <v>12683.63</v>
      </c>
      <c r="AF165" s="7">
        <v>18474.77</v>
      </c>
    </row>
    <row r="166" spans="1:32" x14ac:dyDescent="0.25">
      <c r="A166" s="12" t="s">
        <v>38</v>
      </c>
      <c r="B166" s="12">
        <v>534</v>
      </c>
      <c r="C166" s="12">
        <v>1</v>
      </c>
      <c r="D166" s="13" t="s">
        <v>559</v>
      </c>
      <c r="E166" s="6">
        <v>559</v>
      </c>
      <c r="F166" s="6">
        <v>611</v>
      </c>
      <c r="G166" s="6">
        <v>8816059</v>
      </c>
      <c r="H166" s="6">
        <v>67080</v>
      </c>
      <c r="I166" s="6">
        <v>73320</v>
      </c>
      <c r="J166" s="7">
        <v>29427.3</v>
      </c>
      <c r="K166" s="7">
        <v>29427.3</v>
      </c>
      <c r="L166" s="7">
        <v>29427.3</v>
      </c>
      <c r="M166" s="12">
        <v>1</v>
      </c>
      <c r="N166" s="7">
        <v>43892.7</v>
      </c>
      <c r="O166" s="7">
        <v>43892.7</v>
      </c>
      <c r="P166" s="7">
        <v>977.6</v>
      </c>
      <c r="Q166" s="6">
        <v>67080</v>
      </c>
      <c r="R166" s="7">
        <v>9700.4</v>
      </c>
      <c r="S166" s="7">
        <v>76780.399999999994</v>
      </c>
      <c r="T166" s="7">
        <v>19195.099999999999</v>
      </c>
      <c r="U166" s="7">
        <v>10240.01</v>
      </c>
      <c r="V166" s="7">
        <v>7775.61</v>
      </c>
      <c r="W166" s="7">
        <v>-5426.79</v>
      </c>
      <c r="X166" s="7">
        <v>0</v>
      </c>
      <c r="Y166" s="7">
        <v>0</v>
      </c>
      <c r="Z166" s="7">
        <v>-21288.79</v>
      </c>
      <c r="AA166" s="7">
        <v>-8083.73</v>
      </c>
      <c r="AB166" s="7">
        <v>0</v>
      </c>
      <c r="AC166" s="7">
        <v>0</v>
      </c>
      <c r="AD166" s="7">
        <v>0</v>
      </c>
      <c r="AE166" s="7">
        <v>29427.3</v>
      </c>
      <c r="AF166" s="7">
        <v>43892.7</v>
      </c>
    </row>
    <row r="167" spans="1:32" x14ac:dyDescent="0.25">
      <c r="A167" s="12" t="s">
        <v>38</v>
      </c>
      <c r="B167" s="12">
        <v>535</v>
      </c>
      <c r="C167" s="12">
        <v>1</v>
      </c>
      <c r="D167" s="13" t="s">
        <v>560</v>
      </c>
      <c r="E167" s="6">
        <v>8409</v>
      </c>
      <c r="F167" s="6">
        <v>8273</v>
      </c>
      <c r="G167" s="6">
        <v>129550339</v>
      </c>
      <c r="H167" s="6">
        <v>1009080</v>
      </c>
      <c r="I167" s="6">
        <v>992760</v>
      </c>
      <c r="J167" s="7">
        <v>432428.67</v>
      </c>
      <c r="K167" s="7">
        <v>432428.67</v>
      </c>
      <c r="L167" s="7">
        <v>432428.67</v>
      </c>
      <c r="M167" s="12">
        <v>1</v>
      </c>
      <c r="N167" s="7">
        <v>560331.32999999996</v>
      </c>
      <c r="O167" s="7">
        <v>560331.32999999996</v>
      </c>
      <c r="P167" s="7">
        <v>13236.8</v>
      </c>
      <c r="Q167" s="6">
        <v>1009080</v>
      </c>
      <c r="R167" s="7">
        <v>136670.69</v>
      </c>
      <c r="S167" s="7">
        <v>1145750.69</v>
      </c>
      <c r="T167" s="7">
        <v>286437.67</v>
      </c>
      <c r="U167" s="7">
        <v>228016.36</v>
      </c>
      <c r="V167" s="7">
        <v>0</v>
      </c>
      <c r="W167" s="7">
        <v>358639.74</v>
      </c>
      <c r="X167" s="7">
        <v>0</v>
      </c>
      <c r="Y167" s="7">
        <v>0</v>
      </c>
      <c r="Z167" s="7">
        <v>361335.53</v>
      </c>
      <c r="AA167" s="7">
        <v>315997.21000000002</v>
      </c>
      <c r="AB167" s="7">
        <v>29559.54</v>
      </c>
      <c r="AC167" s="7">
        <v>12875.61</v>
      </c>
      <c r="AD167" s="7">
        <v>16683.93</v>
      </c>
      <c r="AE167" s="7">
        <v>419553.06</v>
      </c>
      <c r="AF167" s="7">
        <v>543647.4</v>
      </c>
    </row>
    <row r="168" spans="1:32" x14ac:dyDescent="0.25">
      <c r="A168" s="12" t="s">
        <v>38</v>
      </c>
      <c r="B168" s="12">
        <v>542</v>
      </c>
      <c r="C168" s="12">
        <v>1</v>
      </c>
      <c r="D168" s="13" t="s">
        <v>561</v>
      </c>
      <c r="E168" s="6">
        <v>151</v>
      </c>
      <c r="F168" s="6">
        <v>192</v>
      </c>
      <c r="G168" s="6">
        <v>14959915</v>
      </c>
      <c r="H168" s="6">
        <v>18120</v>
      </c>
      <c r="I168" s="6">
        <v>23040</v>
      </c>
      <c r="J168" s="7">
        <v>18120</v>
      </c>
      <c r="K168" s="7">
        <v>23040</v>
      </c>
      <c r="L168" s="7">
        <v>18120</v>
      </c>
      <c r="M168" s="12">
        <v>1</v>
      </c>
      <c r="N168" s="7">
        <v>0</v>
      </c>
      <c r="O168" s="7">
        <v>0</v>
      </c>
      <c r="P168" s="7">
        <v>307.2</v>
      </c>
      <c r="Q168" s="6">
        <v>18120</v>
      </c>
      <c r="R168" s="7">
        <v>553.80999999999995</v>
      </c>
      <c r="S168" s="7">
        <v>18673.810000000001</v>
      </c>
      <c r="T168" s="7">
        <v>4668.45</v>
      </c>
      <c r="U168" s="7">
        <v>-3324.47</v>
      </c>
      <c r="V168" s="7">
        <v>0</v>
      </c>
      <c r="W168" s="7">
        <v>-12289.99</v>
      </c>
      <c r="X168" s="7">
        <v>0</v>
      </c>
      <c r="Y168" s="7">
        <v>0</v>
      </c>
      <c r="Z168" s="7">
        <v>-22711.86</v>
      </c>
      <c r="AA168" s="7">
        <v>-12775.44</v>
      </c>
      <c r="AB168" s="7">
        <v>0</v>
      </c>
      <c r="AC168" s="7">
        <v>0</v>
      </c>
      <c r="AD168" s="7">
        <v>0</v>
      </c>
      <c r="AE168" s="7">
        <v>23040</v>
      </c>
      <c r="AF168" s="7">
        <v>0</v>
      </c>
    </row>
    <row r="169" spans="1:32" x14ac:dyDescent="0.25">
      <c r="A169" s="12" t="s">
        <v>38</v>
      </c>
      <c r="B169" s="12">
        <v>544</v>
      </c>
      <c r="C169" s="12">
        <v>1</v>
      </c>
      <c r="D169" s="13" t="s">
        <v>562</v>
      </c>
      <c r="E169" s="6">
        <v>1191</v>
      </c>
      <c r="F169" s="6">
        <v>1139</v>
      </c>
      <c r="G169" s="6">
        <v>19309806</v>
      </c>
      <c r="H169" s="6">
        <v>142920</v>
      </c>
      <c r="I169" s="6">
        <v>136680</v>
      </c>
      <c r="J169" s="7">
        <v>64454.59</v>
      </c>
      <c r="K169" s="7">
        <v>64454.59</v>
      </c>
      <c r="L169" s="7">
        <v>64454.59</v>
      </c>
      <c r="M169" s="12">
        <v>1</v>
      </c>
      <c r="N169" s="7">
        <v>72225.41</v>
      </c>
      <c r="O169" s="7">
        <v>72225.41</v>
      </c>
      <c r="P169" s="7">
        <v>1822.4</v>
      </c>
      <c r="Q169" s="6">
        <v>142920</v>
      </c>
      <c r="R169" s="7">
        <v>25748.080000000002</v>
      </c>
      <c r="S169" s="7">
        <v>168668.08</v>
      </c>
      <c r="T169" s="7">
        <v>42167.02</v>
      </c>
      <c r="U169" s="7">
        <v>7246.26</v>
      </c>
      <c r="V169" s="7">
        <v>0</v>
      </c>
      <c r="W169" s="7">
        <v>12621.16</v>
      </c>
      <c r="X169" s="7">
        <v>0</v>
      </c>
      <c r="Y169" s="7">
        <v>0</v>
      </c>
      <c r="Z169" s="7">
        <v>25599.56</v>
      </c>
      <c r="AA169" s="7">
        <v>15155.66</v>
      </c>
      <c r="AB169" s="7">
        <v>0</v>
      </c>
      <c r="AC169" s="7">
        <v>0</v>
      </c>
      <c r="AD169" s="7">
        <v>0</v>
      </c>
      <c r="AE169" s="7">
        <v>64454.59</v>
      </c>
      <c r="AF169" s="7">
        <v>72225.41</v>
      </c>
    </row>
    <row r="170" spans="1:32" x14ac:dyDescent="0.25">
      <c r="A170" s="12" t="s">
        <v>38</v>
      </c>
      <c r="B170" s="12">
        <v>545</v>
      </c>
      <c r="C170" s="12">
        <v>1</v>
      </c>
      <c r="D170" s="13" t="s">
        <v>563</v>
      </c>
      <c r="E170" s="6">
        <v>124</v>
      </c>
      <c r="F170" s="6">
        <v>123</v>
      </c>
      <c r="G170" s="6">
        <v>5273584</v>
      </c>
      <c r="H170" s="6">
        <v>18000</v>
      </c>
      <c r="I170" s="6">
        <v>18000</v>
      </c>
      <c r="J170" s="7">
        <v>17602.8</v>
      </c>
      <c r="K170" s="7">
        <v>17602.8</v>
      </c>
      <c r="L170" s="7">
        <v>17602.8</v>
      </c>
      <c r="M170" s="12">
        <v>1</v>
      </c>
      <c r="N170" s="7">
        <v>397.2</v>
      </c>
      <c r="O170" s="7">
        <v>397.2</v>
      </c>
      <c r="P170" s="7">
        <v>196.8</v>
      </c>
      <c r="Q170" s="6">
        <v>18000</v>
      </c>
      <c r="R170" s="7">
        <v>707.4</v>
      </c>
      <c r="S170" s="7">
        <v>18707.400000000001</v>
      </c>
      <c r="T170" s="7">
        <v>4676.8500000000004</v>
      </c>
      <c r="U170" s="7">
        <v>1250.0899999999999</v>
      </c>
      <c r="V170" s="7">
        <v>0</v>
      </c>
      <c r="W170" s="7">
        <v>2993.42</v>
      </c>
      <c r="X170" s="7">
        <v>0</v>
      </c>
      <c r="Y170" s="7">
        <v>0</v>
      </c>
      <c r="Z170" s="7">
        <v>5579.14</v>
      </c>
      <c r="AA170" s="7">
        <v>3274.22</v>
      </c>
      <c r="AB170" s="7">
        <v>0</v>
      </c>
      <c r="AC170" s="7">
        <v>0</v>
      </c>
      <c r="AD170" s="7">
        <v>0</v>
      </c>
      <c r="AE170" s="7">
        <v>17602.8</v>
      </c>
      <c r="AF170" s="7">
        <v>397.2</v>
      </c>
    </row>
    <row r="171" spans="1:32" x14ac:dyDescent="0.25">
      <c r="A171" s="12" t="s">
        <v>38</v>
      </c>
      <c r="B171" s="12">
        <v>547</v>
      </c>
      <c r="C171" s="12">
        <v>1</v>
      </c>
      <c r="D171" s="13" t="s">
        <v>564</v>
      </c>
      <c r="E171" s="6">
        <v>135</v>
      </c>
      <c r="F171" s="6">
        <v>148</v>
      </c>
      <c r="G171" s="6">
        <v>4693505</v>
      </c>
      <c r="H171" s="6">
        <v>18000</v>
      </c>
      <c r="I171" s="6">
        <v>18000</v>
      </c>
      <c r="J171" s="7">
        <v>15666.54</v>
      </c>
      <c r="K171" s="7">
        <v>15666.54</v>
      </c>
      <c r="L171" s="7">
        <v>15666.54</v>
      </c>
      <c r="M171" s="12">
        <v>1</v>
      </c>
      <c r="N171" s="7">
        <v>2333.46</v>
      </c>
      <c r="O171" s="7">
        <v>2333.46</v>
      </c>
      <c r="P171" s="7">
        <v>236.8</v>
      </c>
      <c r="Q171" s="6">
        <v>18000</v>
      </c>
      <c r="R171" s="7">
        <v>2063</v>
      </c>
      <c r="S171" s="7">
        <v>20063</v>
      </c>
      <c r="T171" s="7">
        <v>5015.75</v>
      </c>
      <c r="U171" s="7">
        <v>2432.2199999999998</v>
      </c>
      <c r="V171" s="7">
        <v>0</v>
      </c>
      <c r="W171" s="7">
        <v>-2119.5300000000002</v>
      </c>
      <c r="X171" s="7">
        <v>0</v>
      </c>
      <c r="Y171" s="7">
        <v>0</v>
      </c>
      <c r="Z171" s="7">
        <v>-616.48</v>
      </c>
      <c r="AA171" s="7">
        <v>-101.26</v>
      </c>
      <c r="AB171" s="7">
        <v>0</v>
      </c>
      <c r="AC171" s="7">
        <v>0</v>
      </c>
      <c r="AD171" s="7">
        <v>0</v>
      </c>
      <c r="AE171" s="7">
        <v>15666.54</v>
      </c>
      <c r="AF171" s="7">
        <v>2333.46</v>
      </c>
    </row>
    <row r="172" spans="1:32" x14ac:dyDescent="0.25">
      <c r="A172" s="12" t="s">
        <v>38</v>
      </c>
      <c r="B172" s="12">
        <v>548</v>
      </c>
      <c r="C172" s="12">
        <v>1</v>
      </c>
      <c r="D172" s="13" t="s">
        <v>565</v>
      </c>
      <c r="E172" s="6">
        <v>353</v>
      </c>
      <c r="F172" s="6">
        <v>355</v>
      </c>
      <c r="G172" s="6">
        <v>17744460</v>
      </c>
      <c r="H172" s="6">
        <v>42360</v>
      </c>
      <c r="I172" s="6">
        <v>42600</v>
      </c>
      <c r="J172" s="7">
        <v>42360</v>
      </c>
      <c r="K172" s="7">
        <v>42600</v>
      </c>
      <c r="L172" s="7">
        <v>42360</v>
      </c>
      <c r="M172" s="12">
        <v>1</v>
      </c>
      <c r="N172" s="7">
        <v>0</v>
      </c>
      <c r="O172" s="7">
        <v>0</v>
      </c>
      <c r="P172" s="7">
        <v>568</v>
      </c>
      <c r="Q172" s="6">
        <v>42360</v>
      </c>
      <c r="R172" s="7">
        <v>8251.73</v>
      </c>
      <c r="S172" s="7">
        <v>50611.73</v>
      </c>
      <c r="T172" s="7">
        <v>12652.93</v>
      </c>
      <c r="U172" s="7">
        <v>6518.21</v>
      </c>
      <c r="V172" s="7">
        <v>0</v>
      </c>
      <c r="W172" s="7">
        <v>11037.43</v>
      </c>
      <c r="X172" s="7">
        <v>0</v>
      </c>
      <c r="Y172" s="7">
        <v>0</v>
      </c>
      <c r="Z172" s="7">
        <v>-2496.0500000000002</v>
      </c>
      <c r="AA172" s="7">
        <v>5019.8599999999997</v>
      </c>
      <c r="AB172" s="7">
        <v>0</v>
      </c>
      <c r="AC172" s="7">
        <v>0</v>
      </c>
      <c r="AD172" s="7">
        <v>0</v>
      </c>
      <c r="AE172" s="7">
        <v>42600</v>
      </c>
      <c r="AF172" s="7">
        <v>0</v>
      </c>
    </row>
    <row r="173" spans="1:32" x14ac:dyDescent="0.25">
      <c r="A173" s="12" t="s">
        <v>38</v>
      </c>
      <c r="B173" s="12">
        <v>549</v>
      </c>
      <c r="C173" s="12">
        <v>1</v>
      </c>
      <c r="D173" s="13" t="s">
        <v>566</v>
      </c>
      <c r="E173" s="6">
        <v>409</v>
      </c>
      <c r="F173" s="6">
        <v>430</v>
      </c>
      <c r="G173" s="6">
        <v>20329832</v>
      </c>
      <c r="H173" s="6">
        <v>49080</v>
      </c>
      <c r="I173" s="6">
        <v>51600</v>
      </c>
      <c r="J173" s="7">
        <v>49080</v>
      </c>
      <c r="K173" s="7">
        <v>51600</v>
      </c>
      <c r="L173" s="7">
        <v>49080</v>
      </c>
      <c r="M173" s="12">
        <v>1</v>
      </c>
      <c r="N173" s="7">
        <v>0</v>
      </c>
      <c r="O173" s="7">
        <v>0</v>
      </c>
      <c r="P173" s="7">
        <v>688</v>
      </c>
      <c r="Q173" s="6">
        <v>49080</v>
      </c>
      <c r="R173" s="7">
        <v>2723.78</v>
      </c>
      <c r="S173" s="7">
        <v>51803.78</v>
      </c>
      <c r="T173" s="7">
        <v>12950.95</v>
      </c>
      <c r="U173" s="7">
        <v>-15750</v>
      </c>
      <c r="V173" s="7">
        <v>0</v>
      </c>
      <c r="W173" s="7">
        <v>951.35</v>
      </c>
      <c r="X173" s="7">
        <v>0</v>
      </c>
      <c r="Y173" s="7">
        <v>0</v>
      </c>
      <c r="Z173" s="7">
        <v>485.84</v>
      </c>
      <c r="AA173" s="7">
        <v>-4770.9399999999996</v>
      </c>
      <c r="AB173" s="7">
        <v>0</v>
      </c>
      <c r="AC173" s="7">
        <v>0</v>
      </c>
      <c r="AD173" s="7">
        <v>0</v>
      </c>
      <c r="AE173" s="7">
        <v>51600</v>
      </c>
      <c r="AF173" s="7">
        <v>0</v>
      </c>
    </row>
    <row r="174" spans="1:32" x14ac:dyDescent="0.25">
      <c r="A174" s="12" t="s">
        <v>38</v>
      </c>
      <c r="B174" s="12">
        <v>550</v>
      </c>
      <c r="C174" s="12">
        <v>1</v>
      </c>
      <c r="D174" s="13" t="s">
        <v>567</v>
      </c>
      <c r="E174" s="6">
        <v>88</v>
      </c>
      <c r="F174" s="6">
        <v>84</v>
      </c>
      <c r="G174" s="6">
        <v>3694895</v>
      </c>
      <c r="H174" s="6">
        <v>18000</v>
      </c>
      <c r="I174" s="6">
        <v>18000</v>
      </c>
      <c r="J174" s="7">
        <v>12333.26</v>
      </c>
      <c r="K174" s="7">
        <v>12333.26</v>
      </c>
      <c r="L174" s="7">
        <v>12333.26</v>
      </c>
      <c r="M174" s="12">
        <v>1</v>
      </c>
      <c r="N174" s="7">
        <v>5666.74</v>
      </c>
      <c r="O174" s="7">
        <v>5666.74</v>
      </c>
      <c r="P174" s="7">
        <v>134.4</v>
      </c>
      <c r="Q174" s="6">
        <v>18000</v>
      </c>
      <c r="R174" s="7">
        <v>1696.21</v>
      </c>
      <c r="S174" s="7">
        <v>19696.21</v>
      </c>
      <c r="T174" s="7">
        <v>4924.05</v>
      </c>
      <c r="U174" s="7">
        <v>651.73</v>
      </c>
      <c r="V174" s="7">
        <v>0</v>
      </c>
      <c r="W174" s="7">
        <v>7943.09</v>
      </c>
      <c r="X174" s="7">
        <v>0</v>
      </c>
      <c r="Y174" s="7">
        <v>0</v>
      </c>
      <c r="Z174" s="7">
        <v>6382.74</v>
      </c>
      <c r="AA174" s="7">
        <v>4992.5200000000004</v>
      </c>
      <c r="AB174" s="7">
        <v>68.47</v>
      </c>
      <c r="AC174" s="7">
        <v>46.91</v>
      </c>
      <c r="AD174" s="7">
        <v>21.56</v>
      </c>
      <c r="AE174" s="7">
        <v>12286.35</v>
      </c>
      <c r="AF174" s="7">
        <v>5645.18</v>
      </c>
    </row>
    <row r="175" spans="1:32" x14ac:dyDescent="0.25">
      <c r="A175" s="12" t="s">
        <v>38</v>
      </c>
      <c r="B175" s="12">
        <v>553</v>
      </c>
      <c r="C175" s="12">
        <v>1</v>
      </c>
      <c r="D175" s="13" t="s">
        <v>568</v>
      </c>
      <c r="E175" s="6">
        <v>232</v>
      </c>
      <c r="F175" s="6">
        <v>220</v>
      </c>
      <c r="G175" s="6">
        <v>3348326</v>
      </c>
      <c r="H175" s="6">
        <v>27840</v>
      </c>
      <c r="I175" s="6">
        <v>26400</v>
      </c>
      <c r="J175" s="7">
        <v>11176.44</v>
      </c>
      <c r="K175" s="7">
        <v>11176.44</v>
      </c>
      <c r="L175" s="7">
        <v>11176.44</v>
      </c>
      <c r="M175" s="12">
        <v>1</v>
      </c>
      <c r="N175" s="7">
        <v>15223.56</v>
      </c>
      <c r="O175" s="7">
        <v>15223.56</v>
      </c>
      <c r="P175" s="7">
        <v>352</v>
      </c>
      <c r="Q175" s="6">
        <v>27840</v>
      </c>
      <c r="R175" s="7">
        <v>388.6</v>
      </c>
      <c r="S175" s="7">
        <v>28228.6</v>
      </c>
      <c r="T175" s="7">
        <v>7057.15</v>
      </c>
      <c r="U175" s="7">
        <v>6011.01</v>
      </c>
      <c r="V175" s="7">
        <v>0</v>
      </c>
      <c r="W175" s="7">
        <v>2960.23</v>
      </c>
      <c r="X175" s="7">
        <v>0</v>
      </c>
      <c r="Y175" s="7">
        <v>0</v>
      </c>
      <c r="Z175" s="7">
        <v>9183.86</v>
      </c>
      <c r="AA175" s="7">
        <v>6051.7</v>
      </c>
      <c r="AB175" s="7">
        <v>0</v>
      </c>
      <c r="AC175" s="7">
        <v>0</v>
      </c>
      <c r="AD175" s="7">
        <v>0</v>
      </c>
      <c r="AE175" s="7">
        <v>11176.44</v>
      </c>
      <c r="AF175" s="7">
        <v>15223.56</v>
      </c>
    </row>
    <row r="176" spans="1:32" x14ac:dyDescent="0.25">
      <c r="A176" s="12" t="s">
        <v>38</v>
      </c>
      <c r="B176" s="12">
        <v>561</v>
      </c>
      <c r="C176" s="12">
        <v>1</v>
      </c>
      <c r="D176" s="13" t="s">
        <v>569</v>
      </c>
      <c r="E176" s="6">
        <v>71</v>
      </c>
      <c r="F176" s="6">
        <v>58</v>
      </c>
      <c r="G176" s="6">
        <v>1004672</v>
      </c>
      <c r="H176" s="6">
        <v>18000</v>
      </c>
      <c r="I176" s="6">
        <v>18000</v>
      </c>
      <c r="J176" s="7">
        <v>3353.51</v>
      </c>
      <c r="K176" s="7">
        <v>3353.51</v>
      </c>
      <c r="L176" s="7">
        <v>3353.51</v>
      </c>
      <c r="M176" s="12">
        <v>1</v>
      </c>
      <c r="N176" s="7">
        <v>14646.49</v>
      </c>
      <c r="O176" s="7">
        <v>14646.49</v>
      </c>
      <c r="P176" s="7">
        <v>0</v>
      </c>
      <c r="Q176" s="6">
        <v>18000</v>
      </c>
      <c r="R176" s="7">
        <v>0</v>
      </c>
      <c r="S176" s="7">
        <v>18000</v>
      </c>
      <c r="T176" s="7">
        <v>4500</v>
      </c>
      <c r="U176" s="7">
        <v>0.21</v>
      </c>
      <c r="V176" s="7">
        <v>0</v>
      </c>
      <c r="W176" s="7">
        <v>1796.55</v>
      </c>
      <c r="X176" s="7">
        <v>0</v>
      </c>
      <c r="Y176" s="7">
        <v>0</v>
      </c>
      <c r="Z176" s="7">
        <v>-1325.98</v>
      </c>
      <c r="AA176" s="7">
        <v>156.93</v>
      </c>
      <c r="AB176" s="7">
        <v>0</v>
      </c>
      <c r="AC176" s="7">
        <v>0</v>
      </c>
      <c r="AD176" s="7">
        <v>0</v>
      </c>
      <c r="AE176" s="7">
        <v>3353.51</v>
      </c>
      <c r="AF176" s="7">
        <v>14646.49</v>
      </c>
    </row>
    <row r="177" spans="1:32" x14ac:dyDescent="0.25">
      <c r="A177" s="12" t="s">
        <v>38</v>
      </c>
      <c r="B177" s="12">
        <v>564</v>
      </c>
      <c r="C177" s="12">
        <v>1</v>
      </c>
      <c r="D177" s="13" t="s">
        <v>570</v>
      </c>
      <c r="E177" s="6">
        <v>861</v>
      </c>
      <c r="F177" s="6">
        <v>842</v>
      </c>
      <c r="G177" s="6">
        <v>9061466</v>
      </c>
      <c r="H177" s="6">
        <v>103320</v>
      </c>
      <c r="I177" s="6">
        <v>101040</v>
      </c>
      <c r="J177" s="7">
        <v>30246.45</v>
      </c>
      <c r="K177" s="7">
        <v>30246.45</v>
      </c>
      <c r="L177" s="7">
        <v>30246.45</v>
      </c>
      <c r="M177" s="12">
        <v>1</v>
      </c>
      <c r="N177" s="7">
        <v>70793.55</v>
      </c>
      <c r="O177" s="7">
        <v>70793.55</v>
      </c>
      <c r="P177" s="7">
        <v>1347.2</v>
      </c>
      <c r="Q177" s="6">
        <v>103320</v>
      </c>
      <c r="R177" s="7">
        <v>25712.03</v>
      </c>
      <c r="S177" s="7">
        <v>129032.03</v>
      </c>
      <c r="T177" s="7">
        <v>32258.01</v>
      </c>
      <c r="U177" s="7">
        <v>4245.47</v>
      </c>
      <c r="V177" s="7">
        <v>0</v>
      </c>
      <c r="W177" s="7">
        <v>-1146.29</v>
      </c>
      <c r="X177" s="7">
        <v>0</v>
      </c>
      <c r="Y177" s="7">
        <v>0</v>
      </c>
      <c r="Z177" s="7">
        <v>-878.36</v>
      </c>
      <c r="AA177" s="7">
        <v>740.27</v>
      </c>
      <c r="AB177" s="7">
        <v>0</v>
      </c>
      <c r="AC177" s="7">
        <v>0</v>
      </c>
      <c r="AD177" s="7">
        <v>0</v>
      </c>
      <c r="AE177" s="7">
        <v>30246.45</v>
      </c>
      <c r="AF177" s="7">
        <v>70793.55</v>
      </c>
    </row>
    <row r="178" spans="1:32" x14ac:dyDescent="0.25">
      <c r="A178" s="12" t="s">
        <v>38</v>
      </c>
      <c r="B178" s="12">
        <v>577</v>
      </c>
      <c r="C178" s="12">
        <v>1</v>
      </c>
      <c r="D178" s="13" t="s">
        <v>571</v>
      </c>
      <c r="E178" s="6">
        <v>129</v>
      </c>
      <c r="F178" s="6">
        <v>125</v>
      </c>
      <c r="G178" s="6">
        <v>4194466</v>
      </c>
      <c r="H178" s="6">
        <v>18000</v>
      </c>
      <c r="I178" s="6">
        <v>18000</v>
      </c>
      <c r="J178" s="7">
        <v>14000.79</v>
      </c>
      <c r="K178" s="7">
        <v>14000.79</v>
      </c>
      <c r="L178" s="7">
        <v>14000.79</v>
      </c>
      <c r="M178" s="12">
        <v>1</v>
      </c>
      <c r="N178" s="7">
        <v>3999.21</v>
      </c>
      <c r="O178" s="7">
        <v>3999.21</v>
      </c>
      <c r="P178" s="7">
        <v>200</v>
      </c>
      <c r="Q178" s="6">
        <v>18000</v>
      </c>
      <c r="R178" s="7">
        <v>994.95</v>
      </c>
      <c r="S178" s="7">
        <v>18994.95</v>
      </c>
      <c r="T178" s="7">
        <v>4748.74</v>
      </c>
      <c r="U178" s="7">
        <v>4337.2</v>
      </c>
      <c r="V178" s="7">
        <v>1781</v>
      </c>
      <c r="W178" s="7">
        <v>1097.9000000000001</v>
      </c>
      <c r="X178" s="7">
        <v>0</v>
      </c>
      <c r="Y178" s="7">
        <v>0</v>
      </c>
      <c r="Z178" s="7">
        <v>0</v>
      </c>
      <c r="AA178" s="7">
        <v>1218.03</v>
      </c>
      <c r="AB178" s="7">
        <v>0</v>
      </c>
      <c r="AC178" s="7">
        <v>0</v>
      </c>
      <c r="AD178" s="7">
        <v>0</v>
      </c>
      <c r="AE178" s="7">
        <v>14000.79</v>
      </c>
      <c r="AF178" s="7">
        <v>3999.21</v>
      </c>
    </row>
    <row r="179" spans="1:32" x14ac:dyDescent="0.25">
      <c r="A179" s="12" t="s">
        <v>38</v>
      </c>
      <c r="B179" s="12">
        <v>578</v>
      </c>
      <c r="C179" s="12">
        <v>1</v>
      </c>
      <c r="D179" s="13" t="s">
        <v>572</v>
      </c>
      <c r="E179" s="6">
        <v>675</v>
      </c>
      <c r="F179" s="6">
        <v>675</v>
      </c>
      <c r="G179" s="6">
        <v>12042552</v>
      </c>
      <c r="H179" s="6">
        <v>81000</v>
      </c>
      <c r="I179" s="6">
        <v>81000</v>
      </c>
      <c r="J179" s="7">
        <v>40197.08</v>
      </c>
      <c r="K179" s="7">
        <v>40197.08</v>
      </c>
      <c r="L179" s="7">
        <v>40197.08</v>
      </c>
      <c r="M179" s="12">
        <v>1</v>
      </c>
      <c r="N179" s="7">
        <v>40802.92</v>
      </c>
      <c r="O179" s="7">
        <v>40802.92</v>
      </c>
      <c r="P179" s="7">
        <v>1080</v>
      </c>
      <c r="Q179" s="6">
        <v>81000</v>
      </c>
      <c r="R179" s="7">
        <v>3509</v>
      </c>
      <c r="S179" s="7">
        <v>84509</v>
      </c>
      <c r="T179" s="7">
        <v>21127.25</v>
      </c>
      <c r="U179" s="7">
        <v>-47448.31</v>
      </c>
      <c r="V179" s="7">
        <v>0</v>
      </c>
      <c r="W179" s="7">
        <v>-19706.21</v>
      </c>
      <c r="X179" s="7">
        <v>0</v>
      </c>
      <c r="Y179" s="7">
        <v>0</v>
      </c>
      <c r="Z179" s="7">
        <v>-31603.23</v>
      </c>
      <c r="AA179" s="7">
        <v>-32919.25</v>
      </c>
      <c r="AB179" s="7">
        <v>0</v>
      </c>
      <c r="AC179" s="7">
        <v>0</v>
      </c>
      <c r="AD179" s="7">
        <v>0</v>
      </c>
      <c r="AE179" s="7">
        <v>40197.08</v>
      </c>
      <c r="AF179" s="7">
        <v>40802.92</v>
      </c>
    </row>
    <row r="180" spans="1:32" x14ac:dyDescent="0.25">
      <c r="A180" s="12" t="s">
        <v>38</v>
      </c>
      <c r="B180" s="12">
        <v>581</v>
      </c>
      <c r="C180" s="12">
        <v>1</v>
      </c>
      <c r="D180" s="13" t="s">
        <v>573</v>
      </c>
      <c r="E180" s="6">
        <v>157</v>
      </c>
      <c r="F180" s="6">
        <v>159</v>
      </c>
      <c r="G180" s="6">
        <v>2987042</v>
      </c>
      <c r="H180" s="6">
        <v>18840</v>
      </c>
      <c r="I180" s="6">
        <v>19080</v>
      </c>
      <c r="J180" s="7">
        <v>9970.51</v>
      </c>
      <c r="K180" s="7">
        <v>9970.51</v>
      </c>
      <c r="L180" s="7">
        <v>9970.51</v>
      </c>
      <c r="M180" s="12">
        <v>1</v>
      </c>
      <c r="N180" s="7">
        <v>9109.49</v>
      </c>
      <c r="O180" s="7">
        <v>9109.49</v>
      </c>
      <c r="P180" s="7">
        <v>254.4</v>
      </c>
      <c r="Q180" s="6">
        <v>18840</v>
      </c>
      <c r="R180" s="7">
        <v>13979.61</v>
      </c>
      <c r="S180" s="7">
        <v>32819.61</v>
      </c>
      <c r="T180" s="7">
        <v>8204.9</v>
      </c>
      <c r="U180" s="7">
        <v>7259.83</v>
      </c>
      <c r="V180" s="7">
        <v>0</v>
      </c>
      <c r="W180" s="7">
        <v>7787.63</v>
      </c>
      <c r="X180" s="7">
        <v>0</v>
      </c>
      <c r="Y180" s="7">
        <v>0</v>
      </c>
      <c r="Z180" s="7">
        <v>5377.5</v>
      </c>
      <c r="AA180" s="7">
        <v>6808.32</v>
      </c>
      <c r="AB180" s="7">
        <v>0</v>
      </c>
      <c r="AC180" s="7">
        <v>0</v>
      </c>
      <c r="AD180" s="7">
        <v>0</v>
      </c>
      <c r="AE180" s="7">
        <v>9970.51</v>
      </c>
      <c r="AF180" s="7">
        <v>9109.49</v>
      </c>
    </row>
    <row r="181" spans="1:32" x14ac:dyDescent="0.25">
      <c r="A181" s="12" t="s">
        <v>38</v>
      </c>
      <c r="B181" s="12">
        <v>592</v>
      </c>
      <c r="C181" s="12">
        <v>1</v>
      </c>
      <c r="D181" s="13" t="s">
        <v>574</v>
      </c>
      <c r="E181" s="6">
        <v>35</v>
      </c>
      <c r="F181" s="6">
        <v>45</v>
      </c>
      <c r="G181" s="6">
        <v>1147137</v>
      </c>
      <c r="H181" s="6">
        <v>18000</v>
      </c>
      <c r="I181" s="6">
        <v>18000</v>
      </c>
      <c r="J181" s="7">
        <v>3829.05</v>
      </c>
      <c r="K181" s="7">
        <v>3829.05</v>
      </c>
      <c r="L181" s="7">
        <v>3829.05</v>
      </c>
      <c r="M181" s="12">
        <v>1</v>
      </c>
      <c r="N181" s="7">
        <v>14170.95</v>
      </c>
      <c r="O181" s="7">
        <v>14170.95</v>
      </c>
      <c r="P181" s="7">
        <v>72</v>
      </c>
      <c r="Q181" s="6">
        <v>18000</v>
      </c>
      <c r="R181" s="7">
        <v>56</v>
      </c>
      <c r="S181" s="7">
        <v>18056</v>
      </c>
      <c r="T181" s="7">
        <v>4514</v>
      </c>
      <c r="U181" s="7">
        <v>10432.799999999999</v>
      </c>
      <c r="V181" s="7">
        <v>2411.9899999999998</v>
      </c>
      <c r="W181" s="7">
        <v>7872.45</v>
      </c>
      <c r="X181" s="7">
        <v>1875</v>
      </c>
      <c r="Y181" s="7">
        <v>0</v>
      </c>
      <c r="Z181" s="7">
        <v>12592.09</v>
      </c>
      <c r="AA181" s="7">
        <v>8870.1200000000008</v>
      </c>
      <c r="AB181" s="7">
        <v>4356.12</v>
      </c>
      <c r="AC181" s="7">
        <v>926.66</v>
      </c>
      <c r="AD181" s="7">
        <v>3429.46</v>
      </c>
      <c r="AE181" s="7">
        <v>2902.39</v>
      </c>
      <c r="AF181" s="7">
        <v>10741.49</v>
      </c>
    </row>
    <row r="182" spans="1:32" x14ac:dyDescent="0.25">
      <c r="A182" s="12" t="s">
        <v>38</v>
      </c>
      <c r="B182" s="12">
        <v>593</v>
      </c>
      <c r="C182" s="12">
        <v>1</v>
      </c>
      <c r="D182" s="13" t="s">
        <v>575</v>
      </c>
      <c r="E182" s="6">
        <v>630</v>
      </c>
      <c r="F182" s="6">
        <v>602</v>
      </c>
      <c r="G182" s="6">
        <v>7320656</v>
      </c>
      <c r="H182" s="6">
        <v>75600</v>
      </c>
      <c r="I182" s="6">
        <v>72240</v>
      </c>
      <c r="J182" s="7">
        <v>24435.759999999998</v>
      </c>
      <c r="K182" s="7">
        <v>24435.759999999998</v>
      </c>
      <c r="L182" s="7">
        <v>24435.759999999998</v>
      </c>
      <c r="M182" s="12">
        <v>1</v>
      </c>
      <c r="N182" s="7">
        <v>47804.24</v>
      </c>
      <c r="O182" s="7">
        <v>47804.24</v>
      </c>
      <c r="P182" s="7">
        <v>963.2</v>
      </c>
      <c r="Q182" s="6">
        <v>75600</v>
      </c>
      <c r="R182" s="7">
        <v>2689</v>
      </c>
      <c r="S182" s="7">
        <v>78289</v>
      </c>
      <c r="T182" s="7">
        <v>19572.25</v>
      </c>
      <c r="U182" s="7">
        <v>20504.22</v>
      </c>
      <c r="V182" s="7">
        <v>0</v>
      </c>
      <c r="W182" s="7">
        <v>21796.85</v>
      </c>
      <c r="X182" s="7">
        <v>0</v>
      </c>
      <c r="Y182" s="7">
        <v>0</v>
      </c>
      <c r="Z182" s="7">
        <v>16414.439999999999</v>
      </c>
      <c r="AA182" s="7">
        <v>19571.84</v>
      </c>
      <c r="AB182" s="7">
        <v>0</v>
      </c>
      <c r="AC182" s="7">
        <v>0</v>
      </c>
      <c r="AD182" s="7">
        <v>0</v>
      </c>
      <c r="AE182" s="7">
        <v>24435.759999999998</v>
      </c>
      <c r="AF182" s="7">
        <v>47804.24</v>
      </c>
    </row>
    <row r="183" spans="1:32" x14ac:dyDescent="0.25">
      <c r="A183" s="12" t="s">
        <v>38</v>
      </c>
      <c r="B183" s="12">
        <v>595</v>
      </c>
      <c r="C183" s="12">
        <v>1</v>
      </c>
      <c r="D183" s="13" t="s">
        <v>576</v>
      </c>
      <c r="E183" s="6">
        <v>640</v>
      </c>
      <c r="F183" s="6">
        <v>660</v>
      </c>
      <c r="G183" s="6">
        <v>8043201</v>
      </c>
      <c r="H183" s="6">
        <v>76800</v>
      </c>
      <c r="I183" s="6">
        <v>79200</v>
      </c>
      <c r="J183" s="7">
        <v>26847.56</v>
      </c>
      <c r="K183" s="7">
        <v>26847.56</v>
      </c>
      <c r="L183" s="7">
        <v>26847.56</v>
      </c>
      <c r="M183" s="12">
        <v>1</v>
      </c>
      <c r="N183" s="7">
        <v>52352.44</v>
      </c>
      <c r="O183" s="7">
        <v>52352.44</v>
      </c>
      <c r="P183" s="7">
        <v>1056</v>
      </c>
      <c r="Q183" s="6">
        <v>76800</v>
      </c>
      <c r="R183" s="7">
        <v>4498</v>
      </c>
      <c r="S183" s="7">
        <v>81298</v>
      </c>
      <c r="T183" s="7">
        <v>20324.5</v>
      </c>
      <c r="U183" s="7">
        <v>2422.16</v>
      </c>
      <c r="V183" s="7">
        <v>0</v>
      </c>
      <c r="W183" s="7">
        <v>2269.1</v>
      </c>
      <c r="X183" s="7">
        <v>0</v>
      </c>
      <c r="Y183" s="7">
        <v>0</v>
      </c>
      <c r="Z183" s="7">
        <v>14994.51</v>
      </c>
      <c r="AA183" s="7">
        <v>6561.92</v>
      </c>
      <c r="AB183" s="7">
        <v>0</v>
      </c>
      <c r="AC183" s="7">
        <v>0</v>
      </c>
      <c r="AD183" s="7">
        <v>0</v>
      </c>
      <c r="AE183" s="7">
        <v>26847.56</v>
      </c>
      <c r="AF183" s="7">
        <v>52352.44</v>
      </c>
    </row>
    <row r="184" spans="1:32" x14ac:dyDescent="0.25">
      <c r="A184" s="12" t="s">
        <v>38</v>
      </c>
      <c r="B184" s="12">
        <v>599</v>
      </c>
      <c r="C184" s="12">
        <v>1</v>
      </c>
      <c r="D184" s="13" t="s">
        <v>577</v>
      </c>
      <c r="E184" s="6">
        <v>181</v>
      </c>
      <c r="F184" s="6">
        <v>175</v>
      </c>
      <c r="G184" s="6">
        <v>4195928</v>
      </c>
      <c r="H184" s="6">
        <v>21720</v>
      </c>
      <c r="I184" s="6">
        <v>21000</v>
      </c>
      <c r="J184" s="7">
        <v>14005.67</v>
      </c>
      <c r="K184" s="7">
        <v>14005.67</v>
      </c>
      <c r="L184" s="7">
        <v>14005.67</v>
      </c>
      <c r="M184" s="12">
        <v>1</v>
      </c>
      <c r="N184" s="7">
        <v>6994.33</v>
      </c>
      <c r="O184" s="7">
        <v>6994.33</v>
      </c>
      <c r="P184" s="7">
        <v>280</v>
      </c>
      <c r="Q184" s="6">
        <v>21720</v>
      </c>
      <c r="R184" s="7">
        <v>1214.5999999999999</v>
      </c>
      <c r="S184" s="7">
        <v>22934.6</v>
      </c>
      <c r="T184" s="7">
        <v>5733.65</v>
      </c>
      <c r="U184" s="7">
        <v>-0.28999999999999998</v>
      </c>
      <c r="V184" s="7">
        <v>0</v>
      </c>
      <c r="W184" s="7">
        <v>2997.11</v>
      </c>
      <c r="X184" s="7">
        <v>0</v>
      </c>
      <c r="Y184" s="7">
        <v>0</v>
      </c>
      <c r="Z184" s="7">
        <v>0</v>
      </c>
      <c r="AA184" s="7">
        <v>998.94</v>
      </c>
      <c r="AB184" s="7">
        <v>0</v>
      </c>
      <c r="AC184" s="7">
        <v>0</v>
      </c>
      <c r="AD184" s="7">
        <v>0</v>
      </c>
      <c r="AE184" s="7">
        <v>14005.67</v>
      </c>
      <c r="AF184" s="7">
        <v>6994.33</v>
      </c>
    </row>
    <row r="185" spans="1:32" x14ac:dyDescent="0.25">
      <c r="A185" s="12" t="s">
        <v>38</v>
      </c>
      <c r="B185" s="12">
        <v>600</v>
      </c>
      <c r="C185" s="12">
        <v>1</v>
      </c>
      <c r="D185" s="13" t="s">
        <v>578</v>
      </c>
      <c r="E185" s="6">
        <v>30</v>
      </c>
      <c r="F185" s="6">
        <v>38</v>
      </c>
      <c r="G185" s="6">
        <v>1932207</v>
      </c>
      <c r="H185" s="6">
        <v>18000</v>
      </c>
      <c r="I185" s="6">
        <v>18000</v>
      </c>
      <c r="J185" s="7">
        <v>6449.55</v>
      </c>
      <c r="K185" s="7">
        <v>6449.55</v>
      </c>
      <c r="L185" s="7">
        <v>6449.55</v>
      </c>
      <c r="M185" s="12">
        <v>1</v>
      </c>
      <c r="N185" s="7">
        <v>11550.45</v>
      </c>
      <c r="O185" s="7">
        <v>11550.45</v>
      </c>
      <c r="P185" s="7">
        <v>0</v>
      </c>
      <c r="Q185" s="6">
        <v>18000</v>
      </c>
      <c r="R185" s="7">
        <v>333</v>
      </c>
      <c r="S185" s="7">
        <v>18333</v>
      </c>
      <c r="T185" s="7">
        <v>4583.25</v>
      </c>
      <c r="U185" s="7">
        <v>3332.42</v>
      </c>
      <c r="V185" s="7">
        <v>0</v>
      </c>
      <c r="W185" s="7">
        <v>-1409.51</v>
      </c>
      <c r="X185" s="7">
        <v>0</v>
      </c>
      <c r="Y185" s="7">
        <v>0</v>
      </c>
      <c r="Z185" s="7">
        <v>-11449.74</v>
      </c>
      <c r="AA185" s="7">
        <v>-3175.61</v>
      </c>
      <c r="AB185" s="7">
        <v>0</v>
      </c>
      <c r="AC185" s="7">
        <v>0</v>
      </c>
      <c r="AD185" s="7">
        <v>0</v>
      </c>
      <c r="AE185" s="7">
        <v>6449.55</v>
      </c>
      <c r="AF185" s="7">
        <v>11550.45</v>
      </c>
    </row>
    <row r="186" spans="1:32" x14ac:dyDescent="0.25">
      <c r="A186" s="12" t="s">
        <v>38</v>
      </c>
      <c r="B186" s="12">
        <v>601</v>
      </c>
      <c r="C186" s="12">
        <v>1</v>
      </c>
      <c r="D186" s="13" t="s">
        <v>579</v>
      </c>
      <c r="E186" s="6">
        <v>240</v>
      </c>
      <c r="F186" s="6">
        <v>240</v>
      </c>
      <c r="G186" s="6">
        <v>3184880</v>
      </c>
      <c r="H186" s="6">
        <v>28800</v>
      </c>
      <c r="I186" s="6">
        <v>28800</v>
      </c>
      <c r="J186" s="7">
        <v>10630.87</v>
      </c>
      <c r="K186" s="7">
        <v>10630.87</v>
      </c>
      <c r="L186" s="7">
        <v>10630.87</v>
      </c>
      <c r="M186" s="12">
        <v>1</v>
      </c>
      <c r="N186" s="7">
        <v>18169.13</v>
      </c>
      <c r="O186" s="7">
        <v>18169.13</v>
      </c>
      <c r="P186" s="7">
        <v>384</v>
      </c>
      <c r="Q186" s="6">
        <v>28800</v>
      </c>
      <c r="R186" s="7">
        <v>1049</v>
      </c>
      <c r="S186" s="7">
        <v>29849</v>
      </c>
      <c r="T186" s="7">
        <v>7462.25</v>
      </c>
      <c r="U186" s="7">
        <v>-1577.99</v>
      </c>
      <c r="V186" s="7">
        <v>0</v>
      </c>
      <c r="W186" s="7">
        <v>0</v>
      </c>
      <c r="X186" s="7">
        <v>0</v>
      </c>
      <c r="Y186" s="7">
        <v>0</v>
      </c>
      <c r="Z186" s="7">
        <v>637.41</v>
      </c>
      <c r="AA186" s="7">
        <v>-313.52999999999997</v>
      </c>
      <c r="AB186" s="7">
        <v>0</v>
      </c>
      <c r="AC186" s="7">
        <v>0</v>
      </c>
      <c r="AD186" s="7">
        <v>0</v>
      </c>
      <c r="AE186" s="7">
        <v>10630.87</v>
      </c>
      <c r="AF186" s="7">
        <v>18169.13</v>
      </c>
    </row>
    <row r="187" spans="1:32" x14ac:dyDescent="0.25">
      <c r="A187" s="12" t="s">
        <v>38</v>
      </c>
      <c r="B187" s="12">
        <v>611</v>
      </c>
      <c r="C187" s="12">
        <v>1</v>
      </c>
      <c r="D187" s="13" t="s">
        <v>580</v>
      </c>
      <c r="E187" s="6">
        <v>22</v>
      </c>
      <c r="F187" s="6">
        <v>39</v>
      </c>
      <c r="G187" s="6">
        <v>1225904</v>
      </c>
      <c r="H187" s="6">
        <v>18000</v>
      </c>
      <c r="I187" s="6">
        <v>18000</v>
      </c>
      <c r="J187" s="7">
        <v>4091.97</v>
      </c>
      <c r="K187" s="7">
        <v>4091.97</v>
      </c>
      <c r="L187" s="7">
        <v>4091.97</v>
      </c>
      <c r="M187" s="12">
        <v>1</v>
      </c>
      <c r="N187" s="7">
        <v>13908.03</v>
      </c>
      <c r="O187" s="7">
        <v>13908.03</v>
      </c>
      <c r="P187" s="7">
        <v>62.4</v>
      </c>
      <c r="Q187" s="6">
        <v>18000</v>
      </c>
      <c r="R187" s="7">
        <v>4280.45</v>
      </c>
      <c r="S187" s="7">
        <v>22280.45</v>
      </c>
      <c r="T187" s="7">
        <v>5570.11</v>
      </c>
      <c r="U187" s="7">
        <v>7044.54</v>
      </c>
      <c r="V187" s="7">
        <v>56.5</v>
      </c>
      <c r="W187" s="7">
        <v>4140.8599999999997</v>
      </c>
      <c r="X187" s="7">
        <v>262.72000000000003</v>
      </c>
      <c r="Y187" s="7">
        <v>0</v>
      </c>
      <c r="Z187" s="7">
        <v>4972.66</v>
      </c>
      <c r="AA187" s="7">
        <v>5279.61</v>
      </c>
      <c r="AB187" s="7">
        <v>0</v>
      </c>
      <c r="AC187" s="7">
        <v>0</v>
      </c>
      <c r="AD187" s="7">
        <v>0</v>
      </c>
      <c r="AE187" s="7">
        <v>4091.97</v>
      </c>
      <c r="AF187" s="7">
        <v>13908.03</v>
      </c>
    </row>
    <row r="188" spans="1:32" x14ac:dyDescent="0.25">
      <c r="A188" s="12" t="s">
        <v>38</v>
      </c>
      <c r="B188" s="12">
        <v>621</v>
      </c>
      <c r="C188" s="12">
        <v>1</v>
      </c>
      <c r="D188" s="13" t="s">
        <v>581</v>
      </c>
      <c r="E188" s="6">
        <v>4108</v>
      </c>
      <c r="F188" s="6">
        <v>5017</v>
      </c>
      <c r="G188" s="6">
        <v>102788646</v>
      </c>
      <c r="H188" s="6">
        <v>492960</v>
      </c>
      <c r="I188" s="6">
        <v>602040</v>
      </c>
      <c r="J188" s="7">
        <v>343100.28</v>
      </c>
      <c r="K188" s="7">
        <v>343100.28</v>
      </c>
      <c r="L188" s="7">
        <v>343100.28</v>
      </c>
      <c r="M188" s="12">
        <v>1</v>
      </c>
      <c r="N188" s="7">
        <v>258939.72</v>
      </c>
      <c r="O188" s="7">
        <v>258939.72</v>
      </c>
      <c r="P188" s="7">
        <v>8027.2</v>
      </c>
      <c r="Q188" s="6">
        <v>492960</v>
      </c>
      <c r="R188" s="7">
        <v>322004.96000000002</v>
      </c>
      <c r="S188" s="7">
        <v>814964.96</v>
      </c>
      <c r="T188" s="7">
        <v>203741.24</v>
      </c>
      <c r="U188" s="7">
        <v>80724.73</v>
      </c>
      <c r="V188" s="7">
        <v>0</v>
      </c>
      <c r="W188" s="7">
        <v>49998.69</v>
      </c>
      <c r="X188" s="7">
        <v>0</v>
      </c>
      <c r="Y188" s="7">
        <v>0</v>
      </c>
      <c r="Z188" s="7">
        <v>18417.46</v>
      </c>
      <c r="AA188" s="7">
        <v>49713.63</v>
      </c>
      <c r="AB188" s="7">
        <v>0</v>
      </c>
      <c r="AC188" s="7">
        <v>0</v>
      </c>
      <c r="AD188" s="7">
        <v>0</v>
      </c>
      <c r="AE188" s="7">
        <v>343100.28</v>
      </c>
      <c r="AF188" s="7">
        <v>258939.72</v>
      </c>
    </row>
    <row r="189" spans="1:32" x14ac:dyDescent="0.25">
      <c r="A189" s="12" t="s">
        <v>38</v>
      </c>
      <c r="B189" s="12">
        <v>622</v>
      </c>
      <c r="C189" s="12">
        <v>1</v>
      </c>
      <c r="D189" s="13" t="s">
        <v>582</v>
      </c>
      <c r="E189" s="6">
        <v>3410</v>
      </c>
      <c r="F189" s="6">
        <v>3543</v>
      </c>
      <c r="G189" s="6">
        <v>103123190</v>
      </c>
      <c r="H189" s="6">
        <v>409200</v>
      </c>
      <c r="I189" s="6">
        <v>425160</v>
      </c>
      <c r="J189" s="7">
        <v>344216.96</v>
      </c>
      <c r="K189" s="7">
        <v>344216.96</v>
      </c>
      <c r="L189" s="7">
        <v>344216.96</v>
      </c>
      <c r="M189" s="12">
        <v>1</v>
      </c>
      <c r="N189" s="7">
        <v>80943.039999999994</v>
      </c>
      <c r="O189" s="7">
        <v>80943.039999999994</v>
      </c>
      <c r="P189" s="7">
        <v>5668.8</v>
      </c>
      <c r="Q189" s="6">
        <v>409200</v>
      </c>
      <c r="R189" s="7">
        <v>42101.8</v>
      </c>
      <c r="S189" s="7">
        <v>451301.8</v>
      </c>
      <c r="T189" s="7">
        <v>112825.45</v>
      </c>
      <c r="U189" s="7">
        <v>66989.53</v>
      </c>
      <c r="V189" s="7">
        <v>0</v>
      </c>
      <c r="W189" s="7">
        <v>114690.58</v>
      </c>
      <c r="X189" s="7">
        <v>0</v>
      </c>
      <c r="Y189" s="7">
        <v>0</v>
      </c>
      <c r="Z189" s="7">
        <v>121089.16</v>
      </c>
      <c r="AA189" s="7">
        <v>100923.09</v>
      </c>
      <c r="AB189" s="7">
        <v>0</v>
      </c>
      <c r="AC189" s="7">
        <v>0</v>
      </c>
      <c r="AD189" s="7">
        <v>0</v>
      </c>
      <c r="AE189" s="7">
        <v>344216.96</v>
      </c>
      <c r="AF189" s="7">
        <v>80943.039999999994</v>
      </c>
    </row>
    <row r="190" spans="1:32" x14ac:dyDescent="0.25">
      <c r="A190" s="12" t="s">
        <v>38</v>
      </c>
      <c r="B190" s="12">
        <v>623</v>
      </c>
      <c r="C190" s="12">
        <v>1</v>
      </c>
      <c r="D190" s="13" t="s">
        <v>583</v>
      </c>
      <c r="E190" s="6">
        <v>2450</v>
      </c>
      <c r="F190" s="6">
        <v>2605</v>
      </c>
      <c r="G190" s="6">
        <v>73347557</v>
      </c>
      <c r="H190" s="6">
        <v>294000</v>
      </c>
      <c r="I190" s="6">
        <v>312600</v>
      </c>
      <c r="J190" s="7">
        <v>244828.28</v>
      </c>
      <c r="K190" s="7">
        <v>244828.28</v>
      </c>
      <c r="L190" s="7">
        <v>244828.28</v>
      </c>
      <c r="M190" s="12">
        <v>1</v>
      </c>
      <c r="N190" s="7">
        <v>67771.72</v>
      </c>
      <c r="O190" s="7">
        <v>67771.72</v>
      </c>
      <c r="P190" s="7">
        <v>4168</v>
      </c>
      <c r="Q190" s="6">
        <v>294000</v>
      </c>
      <c r="R190" s="7">
        <v>59429.85</v>
      </c>
      <c r="S190" s="7">
        <v>353429.85</v>
      </c>
      <c r="T190" s="7">
        <v>88357.46</v>
      </c>
      <c r="U190" s="7">
        <v>81769.62</v>
      </c>
      <c r="V190" s="7">
        <v>0</v>
      </c>
      <c r="W190" s="7">
        <v>76283.19</v>
      </c>
      <c r="X190" s="7">
        <v>0</v>
      </c>
      <c r="Y190" s="7">
        <v>0</v>
      </c>
      <c r="Z190" s="7">
        <v>64115.26</v>
      </c>
      <c r="AA190" s="7">
        <v>74056.02</v>
      </c>
      <c r="AB190" s="7">
        <v>0</v>
      </c>
      <c r="AC190" s="7">
        <v>0</v>
      </c>
      <c r="AD190" s="7">
        <v>0</v>
      </c>
      <c r="AE190" s="7">
        <v>244828.28</v>
      </c>
      <c r="AF190" s="7">
        <v>67771.72</v>
      </c>
    </row>
    <row r="191" spans="1:32" x14ac:dyDescent="0.25">
      <c r="A191" s="12" t="s">
        <v>38</v>
      </c>
      <c r="B191" s="12">
        <v>624</v>
      </c>
      <c r="C191" s="12">
        <v>1</v>
      </c>
      <c r="D191" s="13" t="s">
        <v>584</v>
      </c>
      <c r="E191" s="6">
        <v>2366</v>
      </c>
      <c r="F191" s="6">
        <v>2976</v>
      </c>
      <c r="G191" s="6">
        <v>84908679</v>
      </c>
      <c r="H191" s="6">
        <v>283920</v>
      </c>
      <c r="I191" s="6">
        <v>357120</v>
      </c>
      <c r="J191" s="7">
        <v>283418.38</v>
      </c>
      <c r="K191" s="7">
        <v>283418.38</v>
      </c>
      <c r="L191" s="7">
        <v>283418.38</v>
      </c>
      <c r="M191" s="12">
        <v>1</v>
      </c>
      <c r="N191" s="7">
        <v>73701.62</v>
      </c>
      <c r="O191" s="7">
        <v>73701.62</v>
      </c>
      <c r="P191" s="7">
        <v>4761.6000000000004</v>
      </c>
      <c r="Q191" s="6">
        <v>283920</v>
      </c>
      <c r="R191" s="7">
        <v>45331.19</v>
      </c>
      <c r="S191" s="7">
        <v>329251.19</v>
      </c>
      <c r="T191" s="7">
        <v>82312.800000000003</v>
      </c>
      <c r="U191" s="7">
        <v>220608</v>
      </c>
      <c r="V191" s="7">
        <v>14330.61</v>
      </c>
      <c r="W191" s="7">
        <v>176865</v>
      </c>
      <c r="X191" s="7">
        <v>60910.720000000001</v>
      </c>
      <c r="Y191" s="7">
        <v>0</v>
      </c>
      <c r="Z191" s="7">
        <v>131904</v>
      </c>
      <c r="AA191" s="7">
        <v>151378.56</v>
      </c>
      <c r="AB191" s="7">
        <v>69065.759999999995</v>
      </c>
      <c r="AC191" s="7">
        <v>54812.12</v>
      </c>
      <c r="AD191" s="7">
        <v>14253.64</v>
      </c>
      <c r="AE191" s="7">
        <v>228606.26</v>
      </c>
      <c r="AF191" s="7">
        <v>59447.98</v>
      </c>
    </row>
    <row r="192" spans="1:32" x14ac:dyDescent="0.25">
      <c r="A192" s="12" t="s">
        <v>38</v>
      </c>
      <c r="B192" s="12">
        <v>625</v>
      </c>
      <c r="C192" s="12">
        <v>1</v>
      </c>
      <c r="D192" s="13" t="s">
        <v>585</v>
      </c>
      <c r="E192" s="6">
        <v>23991</v>
      </c>
      <c r="F192" s="6">
        <v>24288</v>
      </c>
      <c r="G192" s="6">
        <v>295174497</v>
      </c>
      <c r="H192" s="6">
        <v>2878920</v>
      </c>
      <c r="I192" s="6">
        <v>2914560</v>
      </c>
      <c r="J192" s="7">
        <v>985268.86</v>
      </c>
      <c r="K192" s="7">
        <v>985268.86</v>
      </c>
      <c r="L192" s="7">
        <v>985268.86</v>
      </c>
      <c r="M192" s="12">
        <v>1</v>
      </c>
      <c r="N192" s="7">
        <v>1929291.14</v>
      </c>
      <c r="O192" s="7">
        <v>1929291.14</v>
      </c>
      <c r="P192" s="7">
        <v>38860.800000000003</v>
      </c>
      <c r="Q192" s="6">
        <v>2878920</v>
      </c>
      <c r="R192" s="7">
        <v>312643.81</v>
      </c>
      <c r="S192" s="7">
        <v>3191563.81</v>
      </c>
      <c r="T192" s="7">
        <v>797890.95</v>
      </c>
      <c r="U192" s="7">
        <v>338369.7</v>
      </c>
      <c r="V192" s="7">
        <v>0</v>
      </c>
      <c r="W192" s="7">
        <v>53278.879999999997</v>
      </c>
      <c r="X192" s="7">
        <v>0</v>
      </c>
      <c r="Y192" s="7">
        <v>0</v>
      </c>
      <c r="Z192" s="7">
        <v>200978.78</v>
      </c>
      <c r="AA192" s="7">
        <v>197542.45</v>
      </c>
      <c r="AB192" s="7">
        <v>0</v>
      </c>
      <c r="AC192" s="7">
        <v>0</v>
      </c>
      <c r="AD192" s="7">
        <v>0</v>
      </c>
      <c r="AE192" s="7">
        <v>985268.86</v>
      </c>
      <c r="AF192" s="7">
        <v>1929291.14</v>
      </c>
    </row>
    <row r="193" spans="1:32" x14ac:dyDescent="0.25">
      <c r="A193" s="12" t="s">
        <v>38</v>
      </c>
      <c r="B193" s="12">
        <v>627</v>
      </c>
      <c r="C193" s="12">
        <v>1</v>
      </c>
      <c r="D193" s="13" t="s">
        <v>586</v>
      </c>
      <c r="E193" s="6">
        <v>85</v>
      </c>
      <c r="F193" s="6">
        <v>90</v>
      </c>
      <c r="G193" s="6">
        <v>1454390</v>
      </c>
      <c r="H193" s="6">
        <v>18000</v>
      </c>
      <c r="I193" s="6">
        <v>18000</v>
      </c>
      <c r="J193" s="7">
        <v>4854.6400000000003</v>
      </c>
      <c r="K193" s="7">
        <v>4854.6400000000003</v>
      </c>
      <c r="L193" s="7">
        <v>4854.6400000000003</v>
      </c>
      <c r="M193" s="12">
        <v>1</v>
      </c>
      <c r="N193" s="7">
        <v>13145.36</v>
      </c>
      <c r="O193" s="7">
        <v>13145.36</v>
      </c>
      <c r="P193" s="7">
        <v>144</v>
      </c>
      <c r="Q193" s="6">
        <v>18000</v>
      </c>
      <c r="R193" s="7">
        <v>367</v>
      </c>
      <c r="S193" s="7">
        <v>18367</v>
      </c>
      <c r="T193" s="7">
        <v>4591.75</v>
      </c>
      <c r="U193" s="7">
        <v>2125.58</v>
      </c>
      <c r="V193" s="7">
        <v>0</v>
      </c>
      <c r="W193" s="7">
        <v>0.59</v>
      </c>
      <c r="X193" s="7">
        <v>0</v>
      </c>
      <c r="Y193" s="7">
        <v>0</v>
      </c>
      <c r="Z193" s="7">
        <v>7.07</v>
      </c>
      <c r="AA193" s="7">
        <v>711.08</v>
      </c>
      <c r="AB193" s="7">
        <v>0</v>
      </c>
      <c r="AC193" s="7">
        <v>0</v>
      </c>
      <c r="AD193" s="7">
        <v>0</v>
      </c>
      <c r="AE193" s="7">
        <v>4854.6400000000003</v>
      </c>
      <c r="AF193" s="7">
        <v>13145.36</v>
      </c>
    </row>
    <row r="194" spans="1:32" x14ac:dyDescent="0.25">
      <c r="A194" s="12" t="s">
        <v>38</v>
      </c>
      <c r="B194" s="12">
        <v>628</v>
      </c>
      <c r="C194" s="12">
        <v>1</v>
      </c>
      <c r="D194" s="13" t="s">
        <v>587</v>
      </c>
      <c r="E194" s="6">
        <v>48</v>
      </c>
      <c r="F194" s="6">
        <v>39</v>
      </c>
      <c r="G194" s="6">
        <v>1036416</v>
      </c>
      <c r="H194" s="6">
        <v>18000</v>
      </c>
      <c r="I194" s="6">
        <v>18000</v>
      </c>
      <c r="J194" s="7">
        <v>3459.47</v>
      </c>
      <c r="K194" s="7">
        <v>3459.47</v>
      </c>
      <c r="L194" s="7">
        <v>3459.47</v>
      </c>
      <c r="M194" s="12">
        <v>1</v>
      </c>
      <c r="N194" s="7">
        <v>14540.53</v>
      </c>
      <c r="O194" s="7">
        <v>14540.53</v>
      </c>
      <c r="P194" s="7">
        <v>62.4</v>
      </c>
      <c r="Q194" s="6">
        <v>18000</v>
      </c>
      <c r="R194" s="7">
        <v>643.79999999999995</v>
      </c>
      <c r="S194" s="7">
        <v>18643.8</v>
      </c>
      <c r="T194" s="7">
        <v>4660.95</v>
      </c>
      <c r="U194" s="7">
        <v>-28924.41</v>
      </c>
      <c r="V194" s="7">
        <v>0</v>
      </c>
      <c r="W194" s="7">
        <v>0</v>
      </c>
      <c r="X194" s="7">
        <v>0</v>
      </c>
      <c r="Y194" s="7">
        <v>0</v>
      </c>
      <c r="Z194" s="7">
        <v>-6771.61</v>
      </c>
      <c r="AA194" s="7">
        <v>-11898.67</v>
      </c>
      <c r="AB194" s="7">
        <v>0</v>
      </c>
      <c r="AC194" s="7">
        <v>0</v>
      </c>
      <c r="AD194" s="7">
        <v>0</v>
      </c>
      <c r="AE194" s="7">
        <v>3459.47</v>
      </c>
      <c r="AF194" s="7">
        <v>14540.53</v>
      </c>
    </row>
    <row r="195" spans="1:32" x14ac:dyDescent="0.25">
      <c r="A195" s="12" t="s">
        <v>38</v>
      </c>
      <c r="B195" s="12">
        <v>630</v>
      </c>
      <c r="C195" s="12">
        <v>1</v>
      </c>
      <c r="D195" s="13" t="s">
        <v>588</v>
      </c>
      <c r="E195" s="6">
        <v>159</v>
      </c>
      <c r="F195" s="6">
        <v>149</v>
      </c>
      <c r="G195" s="6">
        <v>1440615</v>
      </c>
      <c r="H195" s="6">
        <v>19080</v>
      </c>
      <c r="I195" s="6">
        <v>18000</v>
      </c>
      <c r="J195" s="7">
        <v>4808.66</v>
      </c>
      <c r="K195" s="7">
        <v>4808.66</v>
      </c>
      <c r="L195" s="7">
        <v>4808.66</v>
      </c>
      <c r="M195" s="12">
        <v>1</v>
      </c>
      <c r="N195" s="7">
        <v>13191.34</v>
      </c>
      <c r="O195" s="7">
        <v>13191.34</v>
      </c>
      <c r="P195" s="7">
        <v>238.4</v>
      </c>
      <c r="Q195" s="6">
        <v>19080</v>
      </c>
      <c r="R195" s="7">
        <v>891.23</v>
      </c>
      <c r="S195" s="7">
        <v>19971.23</v>
      </c>
      <c r="T195" s="7">
        <v>4992.8100000000004</v>
      </c>
      <c r="U195" s="7">
        <v>-3584.03</v>
      </c>
      <c r="V195" s="7">
        <v>0</v>
      </c>
      <c r="W195" s="7">
        <v>1390.45</v>
      </c>
      <c r="X195" s="7">
        <v>0</v>
      </c>
      <c r="Y195" s="7">
        <v>0</v>
      </c>
      <c r="Z195" s="7">
        <v>897.85</v>
      </c>
      <c r="AA195" s="7">
        <v>-431.91</v>
      </c>
      <c r="AB195" s="7">
        <v>0</v>
      </c>
      <c r="AC195" s="7">
        <v>0</v>
      </c>
      <c r="AD195" s="7">
        <v>0</v>
      </c>
      <c r="AE195" s="7">
        <v>4808.66</v>
      </c>
      <c r="AF195" s="7">
        <v>13191.34</v>
      </c>
    </row>
    <row r="196" spans="1:32" x14ac:dyDescent="0.25">
      <c r="A196" s="12" t="s">
        <v>38</v>
      </c>
      <c r="B196" s="12">
        <v>635</v>
      </c>
      <c r="C196" s="12">
        <v>1</v>
      </c>
      <c r="D196" s="13" t="s">
        <v>589</v>
      </c>
      <c r="E196" s="6">
        <v>44</v>
      </c>
      <c r="F196" s="6">
        <v>42</v>
      </c>
      <c r="G196" s="6">
        <v>1803143</v>
      </c>
      <c r="H196" s="6">
        <v>18000</v>
      </c>
      <c r="I196" s="6">
        <v>18000</v>
      </c>
      <c r="J196" s="7">
        <v>6018.75</v>
      </c>
      <c r="K196" s="7">
        <v>6018.75</v>
      </c>
      <c r="L196" s="7">
        <v>6018.75</v>
      </c>
      <c r="M196" s="12">
        <v>1</v>
      </c>
      <c r="N196" s="7">
        <v>11981.25</v>
      </c>
      <c r="O196" s="7">
        <v>11981.25</v>
      </c>
      <c r="P196" s="7">
        <v>0</v>
      </c>
      <c r="Q196" s="6">
        <v>18000</v>
      </c>
      <c r="R196" s="7">
        <v>0</v>
      </c>
      <c r="S196" s="7">
        <v>18000</v>
      </c>
      <c r="T196" s="7">
        <v>4500</v>
      </c>
      <c r="U196" s="7">
        <v>22379.74</v>
      </c>
      <c r="V196" s="7">
        <v>11181.96</v>
      </c>
      <c r="W196" s="7">
        <v>20802.38</v>
      </c>
      <c r="X196" s="7">
        <v>10196.25</v>
      </c>
      <c r="Y196" s="7">
        <v>0</v>
      </c>
      <c r="Z196" s="7">
        <v>21778.03</v>
      </c>
      <c r="AA196" s="7">
        <v>14527.31</v>
      </c>
      <c r="AB196" s="7">
        <v>10027.31</v>
      </c>
      <c r="AC196" s="7">
        <v>3352.88</v>
      </c>
      <c r="AD196" s="7">
        <v>6674.43</v>
      </c>
      <c r="AE196" s="7">
        <v>2665.87</v>
      </c>
      <c r="AF196" s="7">
        <v>5306.82</v>
      </c>
    </row>
    <row r="197" spans="1:32" x14ac:dyDescent="0.25">
      <c r="A197" s="12" t="s">
        <v>38</v>
      </c>
      <c r="B197" s="12">
        <v>640</v>
      </c>
      <c r="C197" s="12">
        <v>1</v>
      </c>
      <c r="D197" s="13" t="s">
        <v>590</v>
      </c>
      <c r="E197" s="6">
        <v>165</v>
      </c>
      <c r="F197" s="6">
        <v>175</v>
      </c>
      <c r="G197" s="6">
        <v>4515787</v>
      </c>
      <c r="H197" s="6">
        <v>19800</v>
      </c>
      <c r="I197" s="6">
        <v>21000</v>
      </c>
      <c r="J197" s="7">
        <v>15073.34</v>
      </c>
      <c r="K197" s="7">
        <v>15073.34</v>
      </c>
      <c r="L197" s="7">
        <v>15073.34</v>
      </c>
      <c r="M197" s="12">
        <v>1</v>
      </c>
      <c r="N197" s="7">
        <v>5926.66</v>
      </c>
      <c r="O197" s="7">
        <v>5926.66</v>
      </c>
      <c r="P197" s="7">
        <v>0</v>
      </c>
      <c r="Q197" s="6">
        <v>19800</v>
      </c>
      <c r="R197" s="7">
        <v>991</v>
      </c>
      <c r="S197" s="7">
        <v>20791</v>
      </c>
      <c r="T197" s="7">
        <v>5197.75</v>
      </c>
      <c r="U197" s="7">
        <v>7172.43</v>
      </c>
      <c r="V197" s="7">
        <v>0</v>
      </c>
      <c r="W197" s="7">
        <v>1772.05</v>
      </c>
      <c r="X197" s="7">
        <v>0</v>
      </c>
      <c r="Y197" s="7">
        <v>0</v>
      </c>
      <c r="Z197" s="7">
        <v>347.78</v>
      </c>
      <c r="AA197" s="7">
        <v>3097.42</v>
      </c>
      <c r="AB197" s="7">
        <v>0</v>
      </c>
      <c r="AC197" s="7">
        <v>0</v>
      </c>
      <c r="AD197" s="7">
        <v>0</v>
      </c>
      <c r="AE197" s="7">
        <v>15073.34</v>
      </c>
      <c r="AF197" s="7">
        <v>5926.66</v>
      </c>
    </row>
    <row r="198" spans="1:32" x14ac:dyDescent="0.25">
      <c r="A198" s="12" t="s">
        <v>38</v>
      </c>
      <c r="B198" s="12">
        <v>656</v>
      </c>
      <c r="C198" s="12">
        <v>1</v>
      </c>
      <c r="D198" s="13" t="s">
        <v>591</v>
      </c>
      <c r="E198" s="6">
        <v>1767</v>
      </c>
      <c r="F198" s="6">
        <v>1807</v>
      </c>
      <c r="G198" s="6">
        <v>30614982</v>
      </c>
      <c r="H198" s="6">
        <v>212040</v>
      </c>
      <c r="I198" s="6">
        <v>216840</v>
      </c>
      <c r="J198" s="7">
        <v>102190.36</v>
      </c>
      <c r="K198" s="7">
        <v>102190.36</v>
      </c>
      <c r="L198" s="7">
        <v>102190.36</v>
      </c>
      <c r="M198" s="12">
        <v>1</v>
      </c>
      <c r="N198" s="7">
        <v>114649.64</v>
      </c>
      <c r="O198" s="7">
        <v>114649.64</v>
      </c>
      <c r="P198" s="7">
        <v>2891.2</v>
      </c>
      <c r="Q198" s="6">
        <v>212040</v>
      </c>
      <c r="R198" s="7">
        <v>132861.65</v>
      </c>
      <c r="S198" s="7">
        <v>344901.65</v>
      </c>
      <c r="T198" s="7">
        <v>86225.41</v>
      </c>
      <c r="U198" s="7">
        <v>3643.15</v>
      </c>
      <c r="V198" s="7">
        <v>0</v>
      </c>
      <c r="W198" s="7">
        <v>1553.78</v>
      </c>
      <c r="X198" s="7">
        <v>0</v>
      </c>
      <c r="Y198" s="7">
        <v>0</v>
      </c>
      <c r="Z198" s="7">
        <v>19832.27</v>
      </c>
      <c r="AA198" s="7">
        <v>8343.07</v>
      </c>
      <c r="AB198" s="7">
        <v>0</v>
      </c>
      <c r="AC198" s="7">
        <v>0</v>
      </c>
      <c r="AD198" s="7">
        <v>0</v>
      </c>
      <c r="AE198" s="7">
        <v>102190.36</v>
      </c>
      <c r="AF198" s="7">
        <v>114649.64</v>
      </c>
    </row>
    <row r="199" spans="1:32" x14ac:dyDescent="0.25">
      <c r="A199" s="12" t="s">
        <v>38</v>
      </c>
      <c r="B199" s="12">
        <v>659</v>
      </c>
      <c r="C199" s="12">
        <v>1</v>
      </c>
      <c r="D199" s="13" t="s">
        <v>592</v>
      </c>
      <c r="E199" s="6">
        <v>1725</v>
      </c>
      <c r="F199" s="6">
        <v>1725</v>
      </c>
      <c r="G199" s="6">
        <v>29777239</v>
      </c>
      <c r="H199" s="6">
        <v>207000</v>
      </c>
      <c r="I199" s="6">
        <v>207000</v>
      </c>
      <c r="J199" s="7">
        <v>99394.04</v>
      </c>
      <c r="K199" s="7">
        <v>99394.04</v>
      </c>
      <c r="L199" s="7">
        <v>99394.04</v>
      </c>
      <c r="M199" s="12">
        <v>1</v>
      </c>
      <c r="N199" s="7">
        <v>107605.96</v>
      </c>
      <c r="O199" s="7">
        <v>107605.96</v>
      </c>
      <c r="P199" s="7">
        <v>2760</v>
      </c>
      <c r="Q199" s="6">
        <v>207000</v>
      </c>
      <c r="R199" s="7">
        <v>32689.7</v>
      </c>
      <c r="S199" s="7">
        <v>239689.7</v>
      </c>
      <c r="T199" s="7">
        <v>59922.43</v>
      </c>
      <c r="U199" s="7">
        <v>70908.95</v>
      </c>
      <c r="V199" s="7">
        <v>0</v>
      </c>
      <c r="W199" s="7">
        <v>79701.52</v>
      </c>
      <c r="X199" s="7">
        <v>0</v>
      </c>
      <c r="Y199" s="7">
        <v>0</v>
      </c>
      <c r="Z199" s="7">
        <v>24268.86</v>
      </c>
      <c r="AA199" s="7">
        <v>58293.11</v>
      </c>
      <c r="AB199" s="7">
        <v>0</v>
      </c>
      <c r="AC199" s="7">
        <v>0</v>
      </c>
      <c r="AD199" s="7">
        <v>0</v>
      </c>
      <c r="AE199" s="7">
        <v>99394.04</v>
      </c>
      <c r="AF199" s="7">
        <v>107605.96</v>
      </c>
    </row>
    <row r="200" spans="1:32" x14ac:dyDescent="0.25">
      <c r="A200" s="12" t="s">
        <v>38</v>
      </c>
      <c r="B200" s="12">
        <v>671</v>
      </c>
      <c r="C200" s="12">
        <v>1</v>
      </c>
      <c r="D200" s="13" t="s">
        <v>593</v>
      </c>
      <c r="E200" s="6">
        <v>144</v>
      </c>
      <c r="F200" s="6">
        <v>169</v>
      </c>
      <c r="G200" s="6">
        <v>3648156</v>
      </c>
      <c r="H200" s="6">
        <v>18000</v>
      </c>
      <c r="I200" s="6">
        <v>20280</v>
      </c>
      <c r="J200" s="7">
        <v>12177.25</v>
      </c>
      <c r="K200" s="7">
        <v>12177.25</v>
      </c>
      <c r="L200" s="7">
        <v>12177.25</v>
      </c>
      <c r="M200" s="12">
        <v>1</v>
      </c>
      <c r="N200" s="7">
        <v>8102.75</v>
      </c>
      <c r="O200" s="7">
        <v>8102.75</v>
      </c>
      <c r="P200" s="7">
        <v>270.39999999999998</v>
      </c>
      <c r="Q200" s="6">
        <v>18000</v>
      </c>
      <c r="R200" s="7">
        <v>300.39999999999998</v>
      </c>
      <c r="S200" s="7">
        <v>18300.400000000001</v>
      </c>
      <c r="T200" s="7">
        <v>4575.1000000000004</v>
      </c>
      <c r="U200" s="7">
        <v>32076.2</v>
      </c>
      <c r="V200" s="7">
        <v>17151.13</v>
      </c>
      <c r="W200" s="7">
        <v>26715.119999999999</v>
      </c>
      <c r="X200" s="7">
        <v>15264.92</v>
      </c>
      <c r="Y200" s="7">
        <v>0</v>
      </c>
      <c r="Z200" s="7">
        <v>23307.47</v>
      </c>
      <c r="AA200" s="7">
        <v>16560.91</v>
      </c>
      <c r="AB200" s="7">
        <v>11985.81</v>
      </c>
      <c r="AC200" s="7">
        <v>7196.95</v>
      </c>
      <c r="AD200" s="7">
        <v>4788.8599999999997</v>
      </c>
      <c r="AE200" s="7">
        <v>4980.3</v>
      </c>
      <c r="AF200" s="7">
        <v>3313.89</v>
      </c>
    </row>
    <row r="201" spans="1:32" x14ac:dyDescent="0.25">
      <c r="A201" s="12" t="s">
        <v>38</v>
      </c>
      <c r="B201" s="12">
        <v>676</v>
      </c>
      <c r="C201" s="12">
        <v>1</v>
      </c>
      <c r="D201" s="13" t="s">
        <v>594</v>
      </c>
      <c r="E201" s="6">
        <v>54</v>
      </c>
      <c r="F201" s="6">
        <v>59</v>
      </c>
      <c r="G201" s="6">
        <v>899025</v>
      </c>
      <c r="H201" s="6">
        <v>18000</v>
      </c>
      <c r="I201" s="6">
        <v>18000</v>
      </c>
      <c r="J201" s="7">
        <v>3000.87</v>
      </c>
      <c r="K201" s="7">
        <v>3000.87</v>
      </c>
      <c r="L201" s="7">
        <v>3000.87</v>
      </c>
      <c r="M201" s="12">
        <v>1</v>
      </c>
      <c r="N201" s="7">
        <v>14999.13</v>
      </c>
      <c r="O201" s="7">
        <v>14999.13</v>
      </c>
      <c r="P201" s="7">
        <v>0</v>
      </c>
      <c r="Q201" s="6">
        <v>18000</v>
      </c>
      <c r="R201" s="7">
        <v>0</v>
      </c>
      <c r="S201" s="7">
        <v>18000</v>
      </c>
      <c r="T201" s="7">
        <v>4500</v>
      </c>
      <c r="U201" s="7">
        <v>99.05</v>
      </c>
      <c r="V201" s="7">
        <v>0</v>
      </c>
      <c r="W201" s="7">
        <v>213.34</v>
      </c>
      <c r="X201" s="7">
        <v>0</v>
      </c>
      <c r="Y201" s="7">
        <v>0</v>
      </c>
      <c r="Z201" s="7">
        <v>332.09</v>
      </c>
      <c r="AA201" s="7">
        <v>214.83</v>
      </c>
      <c r="AB201" s="7">
        <v>0</v>
      </c>
      <c r="AC201" s="7">
        <v>0</v>
      </c>
      <c r="AD201" s="7">
        <v>0</v>
      </c>
      <c r="AE201" s="7">
        <v>3000.87</v>
      </c>
      <c r="AF201" s="7">
        <v>14999.13</v>
      </c>
    </row>
    <row r="202" spans="1:32" x14ac:dyDescent="0.25">
      <c r="A202" s="12" t="s">
        <v>38</v>
      </c>
      <c r="B202" s="12">
        <v>682</v>
      </c>
      <c r="C202" s="12">
        <v>1</v>
      </c>
      <c r="D202" s="13" t="s">
        <v>595</v>
      </c>
      <c r="E202" s="6">
        <v>409</v>
      </c>
      <c r="F202" s="6">
        <v>380</v>
      </c>
      <c r="G202" s="6">
        <v>5087030</v>
      </c>
      <c r="H202" s="6">
        <v>49080</v>
      </c>
      <c r="I202" s="6">
        <v>45600</v>
      </c>
      <c r="J202" s="7">
        <v>16980.099999999999</v>
      </c>
      <c r="K202" s="7">
        <v>16980.099999999999</v>
      </c>
      <c r="L202" s="7">
        <v>16980.099999999999</v>
      </c>
      <c r="M202" s="12">
        <v>1</v>
      </c>
      <c r="N202" s="7">
        <v>28619.9</v>
      </c>
      <c r="O202" s="7">
        <v>28619.9</v>
      </c>
      <c r="P202" s="7">
        <v>608</v>
      </c>
      <c r="Q202" s="6">
        <v>49080</v>
      </c>
      <c r="R202" s="7">
        <v>654.4</v>
      </c>
      <c r="S202" s="7">
        <v>49734.400000000001</v>
      </c>
      <c r="T202" s="7">
        <v>12433.6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16980.099999999999</v>
      </c>
      <c r="AF202" s="7">
        <v>28619.9</v>
      </c>
    </row>
    <row r="203" spans="1:32" x14ac:dyDescent="0.25">
      <c r="A203" s="12" t="s">
        <v>38</v>
      </c>
      <c r="B203" s="12">
        <v>690</v>
      </c>
      <c r="C203" s="12">
        <v>1</v>
      </c>
      <c r="D203" s="13" t="s">
        <v>596</v>
      </c>
      <c r="E203" s="6">
        <v>378</v>
      </c>
      <c r="F203" s="6">
        <v>411</v>
      </c>
      <c r="G203" s="6">
        <v>4712516</v>
      </c>
      <c r="H203" s="6">
        <v>45360</v>
      </c>
      <c r="I203" s="6">
        <v>49320</v>
      </c>
      <c r="J203" s="7">
        <v>15730</v>
      </c>
      <c r="K203" s="7">
        <v>15730</v>
      </c>
      <c r="L203" s="7">
        <v>15730</v>
      </c>
      <c r="M203" s="12">
        <v>1</v>
      </c>
      <c r="N203" s="7">
        <v>33590</v>
      </c>
      <c r="O203" s="7">
        <v>33590</v>
      </c>
      <c r="P203" s="7">
        <v>657.6</v>
      </c>
      <c r="Q203" s="6">
        <v>45360</v>
      </c>
      <c r="R203" s="7">
        <v>3592.8</v>
      </c>
      <c r="S203" s="7">
        <v>48952.800000000003</v>
      </c>
      <c r="T203" s="7">
        <v>12238.2</v>
      </c>
      <c r="U203" s="7">
        <v>-7088.53</v>
      </c>
      <c r="V203" s="7">
        <v>0</v>
      </c>
      <c r="W203" s="7">
        <v>-9748.7900000000009</v>
      </c>
      <c r="X203" s="7">
        <v>0</v>
      </c>
      <c r="Y203" s="7">
        <v>0</v>
      </c>
      <c r="Z203" s="7">
        <v>-18463.759999999998</v>
      </c>
      <c r="AA203" s="7">
        <v>-11767.03</v>
      </c>
      <c r="AB203" s="7">
        <v>0</v>
      </c>
      <c r="AC203" s="7">
        <v>0</v>
      </c>
      <c r="AD203" s="7">
        <v>0</v>
      </c>
      <c r="AE203" s="7">
        <v>15730</v>
      </c>
      <c r="AF203" s="7">
        <v>33590</v>
      </c>
    </row>
    <row r="204" spans="1:32" x14ac:dyDescent="0.25">
      <c r="A204" s="12" t="s">
        <v>38</v>
      </c>
      <c r="B204" s="12">
        <v>695</v>
      </c>
      <c r="C204" s="12">
        <v>1</v>
      </c>
      <c r="D204" s="13" t="s">
        <v>597</v>
      </c>
      <c r="E204" s="6">
        <v>384</v>
      </c>
      <c r="F204" s="6">
        <v>388</v>
      </c>
      <c r="G204" s="6">
        <v>2718780</v>
      </c>
      <c r="H204" s="6">
        <v>46080</v>
      </c>
      <c r="I204" s="6">
        <v>46560</v>
      </c>
      <c r="J204" s="7">
        <v>9075.07</v>
      </c>
      <c r="K204" s="7">
        <v>9075.07</v>
      </c>
      <c r="L204" s="7">
        <v>9075.07</v>
      </c>
      <c r="M204" s="12">
        <v>1</v>
      </c>
      <c r="N204" s="7">
        <v>37484.93</v>
      </c>
      <c r="O204" s="7">
        <v>37484.93</v>
      </c>
      <c r="P204" s="7">
        <v>620.79999999999995</v>
      </c>
      <c r="Q204" s="6">
        <v>46080</v>
      </c>
      <c r="R204" s="7">
        <v>4439.41</v>
      </c>
      <c r="S204" s="7">
        <v>50519.41</v>
      </c>
      <c r="T204" s="7">
        <v>12629.85</v>
      </c>
      <c r="U204" s="7">
        <v>8955.81</v>
      </c>
      <c r="V204" s="7">
        <v>0</v>
      </c>
      <c r="W204" s="7">
        <v>9924.19</v>
      </c>
      <c r="X204" s="7">
        <v>0</v>
      </c>
      <c r="Y204" s="7">
        <v>0</v>
      </c>
      <c r="Z204" s="7">
        <v>11929.35</v>
      </c>
      <c r="AA204" s="7">
        <v>10269.780000000001</v>
      </c>
      <c r="AB204" s="7">
        <v>0</v>
      </c>
      <c r="AC204" s="7">
        <v>0</v>
      </c>
      <c r="AD204" s="7">
        <v>0</v>
      </c>
      <c r="AE204" s="7">
        <v>9075.07</v>
      </c>
      <c r="AF204" s="7">
        <v>37484.93</v>
      </c>
    </row>
    <row r="205" spans="1:32" x14ac:dyDescent="0.25">
      <c r="A205" s="12" t="s">
        <v>38</v>
      </c>
      <c r="B205" s="12">
        <v>696</v>
      </c>
      <c r="C205" s="12">
        <v>1</v>
      </c>
      <c r="D205" s="13" t="s">
        <v>598</v>
      </c>
      <c r="E205" s="6">
        <v>197</v>
      </c>
      <c r="F205" s="6">
        <v>205</v>
      </c>
      <c r="G205" s="6">
        <v>9322350</v>
      </c>
      <c r="H205" s="6">
        <v>23640</v>
      </c>
      <c r="I205" s="6">
        <v>24600</v>
      </c>
      <c r="J205" s="7">
        <v>23640</v>
      </c>
      <c r="K205" s="7">
        <v>24600</v>
      </c>
      <c r="L205" s="7">
        <v>23640</v>
      </c>
      <c r="M205" s="12">
        <v>1</v>
      </c>
      <c r="N205" s="7">
        <v>0</v>
      </c>
      <c r="O205" s="7">
        <v>0</v>
      </c>
      <c r="P205" s="7">
        <v>328</v>
      </c>
      <c r="Q205" s="6">
        <v>23640</v>
      </c>
      <c r="R205" s="7">
        <v>5163.2</v>
      </c>
      <c r="S205" s="7">
        <v>28803.200000000001</v>
      </c>
      <c r="T205" s="7">
        <v>7200.8</v>
      </c>
      <c r="U205" s="7">
        <v>1746.86</v>
      </c>
      <c r="V205" s="7">
        <v>0</v>
      </c>
      <c r="W205" s="7">
        <v>8091.39</v>
      </c>
      <c r="X205" s="7">
        <v>0</v>
      </c>
      <c r="Y205" s="7">
        <v>0</v>
      </c>
      <c r="Z205" s="7">
        <v>1961.23</v>
      </c>
      <c r="AA205" s="7">
        <v>3933.16</v>
      </c>
      <c r="AB205" s="7">
        <v>0</v>
      </c>
      <c r="AC205" s="7">
        <v>0</v>
      </c>
      <c r="AD205" s="7">
        <v>0</v>
      </c>
      <c r="AE205" s="7">
        <v>24600</v>
      </c>
      <c r="AF205" s="7">
        <v>0</v>
      </c>
    </row>
    <row r="206" spans="1:32" x14ac:dyDescent="0.25">
      <c r="A206" s="12" t="s">
        <v>38</v>
      </c>
      <c r="B206" s="12">
        <v>698</v>
      </c>
      <c r="C206" s="12">
        <v>1</v>
      </c>
      <c r="D206" s="13" t="s">
        <v>599</v>
      </c>
      <c r="E206" s="6">
        <v>53</v>
      </c>
      <c r="F206" s="6">
        <v>57</v>
      </c>
      <c r="G206" s="6">
        <v>2567299</v>
      </c>
      <c r="H206" s="6">
        <v>18000</v>
      </c>
      <c r="I206" s="6">
        <v>18000</v>
      </c>
      <c r="J206" s="7">
        <v>8569.44</v>
      </c>
      <c r="K206" s="7">
        <v>8569.44</v>
      </c>
      <c r="L206" s="7">
        <v>8569.44</v>
      </c>
      <c r="M206" s="12">
        <v>1</v>
      </c>
      <c r="N206" s="7">
        <v>9430.56</v>
      </c>
      <c r="O206" s="7">
        <v>9430.56</v>
      </c>
      <c r="P206" s="7">
        <v>91.2</v>
      </c>
      <c r="Q206" s="6">
        <v>18000</v>
      </c>
      <c r="R206" s="7">
        <v>563.04999999999995</v>
      </c>
      <c r="S206" s="7">
        <v>18563.05</v>
      </c>
      <c r="T206" s="7">
        <v>4640.76</v>
      </c>
      <c r="U206" s="7">
        <v>4826.7</v>
      </c>
      <c r="V206" s="7">
        <v>0</v>
      </c>
      <c r="W206" s="7">
        <v>4599.08</v>
      </c>
      <c r="X206" s="7">
        <v>0</v>
      </c>
      <c r="Y206" s="7">
        <v>0</v>
      </c>
      <c r="Z206" s="7">
        <v>3488.69</v>
      </c>
      <c r="AA206" s="7">
        <v>4304.82</v>
      </c>
      <c r="AB206" s="7">
        <v>0</v>
      </c>
      <c r="AC206" s="7">
        <v>0</v>
      </c>
      <c r="AD206" s="7">
        <v>0</v>
      </c>
      <c r="AE206" s="7">
        <v>8569.44</v>
      </c>
      <c r="AF206" s="7">
        <v>9430.56</v>
      </c>
    </row>
    <row r="207" spans="1:32" x14ac:dyDescent="0.25">
      <c r="A207" s="12" t="s">
        <v>38</v>
      </c>
      <c r="B207" s="12">
        <v>700</v>
      </c>
      <c r="C207" s="12">
        <v>1</v>
      </c>
      <c r="D207" s="13" t="s">
        <v>600</v>
      </c>
      <c r="E207" s="6">
        <v>625</v>
      </c>
      <c r="F207" s="6">
        <v>630</v>
      </c>
      <c r="G207" s="6">
        <v>13542318</v>
      </c>
      <c r="H207" s="6">
        <v>75000</v>
      </c>
      <c r="I207" s="6">
        <v>75600</v>
      </c>
      <c r="J207" s="7">
        <v>45203.17</v>
      </c>
      <c r="K207" s="7">
        <v>45203.17</v>
      </c>
      <c r="L207" s="7">
        <v>45203.17</v>
      </c>
      <c r="M207" s="12">
        <v>1</v>
      </c>
      <c r="N207" s="7">
        <v>30396.83</v>
      </c>
      <c r="O207" s="7">
        <v>30396.83</v>
      </c>
      <c r="P207" s="7">
        <v>1008</v>
      </c>
      <c r="Q207" s="6">
        <v>75000</v>
      </c>
      <c r="R207" s="7">
        <v>1000</v>
      </c>
      <c r="S207" s="7">
        <v>76000</v>
      </c>
      <c r="T207" s="7">
        <v>19000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45203.17</v>
      </c>
      <c r="AF207" s="7">
        <v>30396.83</v>
      </c>
    </row>
    <row r="208" spans="1:32" x14ac:dyDescent="0.25">
      <c r="A208" s="12" t="s">
        <v>38</v>
      </c>
      <c r="B208" s="12">
        <v>701</v>
      </c>
      <c r="C208" s="12">
        <v>1</v>
      </c>
      <c r="D208" s="13" t="s">
        <v>601</v>
      </c>
      <c r="E208" s="6">
        <v>1010</v>
      </c>
      <c r="F208" s="6">
        <v>1020</v>
      </c>
      <c r="G208" s="6">
        <v>13051065</v>
      </c>
      <c r="H208" s="6">
        <v>121200</v>
      </c>
      <c r="I208" s="6">
        <v>122400</v>
      </c>
      <c r="J208" s="7">
        <v>43563.41</v>
      </c>
      <c r="K208" s="7">
        <v>43563.41</v>
      </c>
      <c r="L208" s="7">
        <v>43563.41</v>
      </c>
      <c r="M208" s="12">
        <v>1</v>
      </c>
      <c r="N208" s="7">
        <v>78836.59</v>
      </c>
      <c r="O208" s="7">
        <v>78836.59</v>
      </c>
      <c r="P208" s="7">
        <v>1632</v>
      </c>
      <c r="Q208" s="6">
        <v>121200</v>
      </c>
      <c r="R208" s="7">
        <v>10046.06</v>
      </c>
      <c r="S208" s="7">
        <v>131246.06</v>
      </c>
      <c r="T208" s="7">
        <v>32811.519999999997</v>
      </c>
      <c r="U208" s="7">
        <v>22328.6</v>
      </c>
      <c r="V208" s="7">
        <v>0</v>
      </c>
      <c r="W208" s="7">
        <v>24073.31</v>
      </c>
      <c r="X208" s="7">
        <v>0</v>
      </c>
      <c r="Y208" s="7">
        <v>0</v>
      </c>
      <c r="Z208" s="7">
        <v>26241.13</v>
      </c>
      <c r="AA208" s="7">
        <v>24214.35</v>
      </c>
      <c r="AB208" s="7">
        <v>0</v>
      </c>
      <c r="AC208" s="7">
        <v>0</v>
      </c>
      <c r="AD208" s="7">
        <v>0</v>
      </c>
      <c r="AE208" s="7">
        <v>43563.41</v>
      </c>
      <c r="AF208" s="7">
        <v>78836.59</v>
      </c>
    </row>
    <row r="209" spans="1:32" x14ac:dyDescent="0.25">
      <c r="A209" s="12" t="s">
        <v>38</v>
      </c>
      <c r="B209" s="12">
        <v>704</v>
      </c>
      <c r="C209" s="12">
        <v>1</v>
      </c>
      <c r="D209" s="13" t="s">
        <v>602</v>
      </c>
      <c r="E209" s="6">
        <v>728</v>
      </c>
      <c r="F209" s="6">
        <v>727</v>
      </c>
      <c r="G209" s="6">
        <v>11937197</v>
      </c>
      <c r="H209" s="6">
        <v>87360</v>
      </c>
      <c r="I209" s="6">
        <v>87240</v>
      </c>
      <c r="J209" s="7">
        <v>39845.410000000003</v>
      </c>
      <c r="K209" s="7">
        <v>39845.410000000003</v>
      </c>
      <c r="L209" s="7">
        <v>39845.410000000003</v>
      </c>
      <c r="M209" s="12">
        <v>1</v>
      </c>
      <c r="N209" s="7">
        <v>47394.59</v>
      </c>
      <c r="O209" s="7">
        <v>47394.59</v>
      </c>
      <c r="P209" s="7">
        <v>1163.2</v>
      </c>
      <c r="Q209" s="6">
        <v>87360</v>
      </c>
      <c r="R209" s="7">
        <v>94662.91</v>
      </c>
      <c r="S209" s="7">
        <v>182022.91</v>
      </c>
      <c r="T209" s="7">
        <v>45505.73</v>
      </c>
      <c r="U209" s="7">
        <v>32726.04</v>
      </c>
      <c r="V209" s="7">
        <v>0</v>
      </c>
      <c r="W209" s="7">
        <v>26592.639999999999</v>
      </c>
      <c r="X209" s="7">
        <v>0</v>
      </c>
      <c r="Y209" s="7">
        <v>0</v>
      </c>
      <c r="Z209" s="7">
        <v>57330.41</v>
      </c>
      <c r="AA209" s="7">
        <v>38883.03</v>
      </c>
      <c r="AB209" s="7">
        <v>0</v>
      </c>
      <c r="AC209" s="7">
        <v>0</v>
      </c>
      <c r="AD209" s="7">
        <v>0</v>
      </c>
      <c r="AE209" s="7">
        <v>39845.410000000003</v>
      </c>
      <c r="AF209" s="7">
        <v>47394.59</v>
      </c>
    </row>
    <row r="210" spans="1:32" x14ac:dyDescent="0.25">
      <c r="A210" s="12" t="s">
        <v>38</v>
      </c>
      <c r="B210" s="12">
        <v>706</v>
      </c>
      <c r="C210" s="12">
        <v>1</v>
      </c>
      <c r="D210" s="13" t="s">
        <v>603</v>
      </c>
      <c r="E210" s="6">
        <v>604</v>
      </c>
      <c r="F210" s="6">
        <v>606</v>
      </c>
      <c r="G210" s="6">
        <v>7211006</v>
      </c>
      <c r="H210" s="6">
        <v>72480</v>
      </c>
      <c r="I210" s="6">
        <v>72720</v>
      </c>
      <c r="J210" s="7">
        <v>24069.759999999998</v>
      </c>
      <c r="K210" s="7">
        <v>24069.759999999998</v>
      </c>
      <c r="L210" s="7">
        <v>24069.759999999998</v>
      </c>
      <c r="M210" s="12">
        <v>1</v>
      </c>
      <c r="N210" s="7">
        <v>48650.239999999998</v>
      </c>
      <c r="O210" s="7">
        <v>48650.239999999998</v>
      </c>
      <c r="P210" s="7">
        <v>969.6</v>
      </c>
      <c r="Q210" s="6">
        <v>72480</v>
      </c>
      <c r="R210" s="7">
        <v>13658.7</v>
      </c>
      <c r="S210" s="7">
        <v>86138.7</v>
      </c>
      <c r="T210" s="7">
        <v>21534.68</v>
      </c>
      <c r="U210" s="7">
        <v>6798.62</v>
      </c>
      <c r="V210" s="7">
        <v>0</v>
      </c>
      <c r="W210" s="7">
        <v>5228.09</v>
      </c>
      <c r="X210" s="7">
        <v>0</v>
      </c>
      <c r="Y210" s="7">
        <v>0</v>
      </c>
      <c r="Z210" s="7">
        <v>3666.88</v>
      </c>
      <c r="AA210" s="7">
        <v>5231.2</v>
      </c>
      <c r="AB210" s="7">
        <v>0</v>
      </c>
      <c r="AC210" s="7">
        <v>0</v>
      </c>
      <c r="AD210" s="7">
        <v>0</v>
      </c>
      <c r="AE210" s="7">
        <v>24069.759999999998</v>
      </c>
      <c r="AF210" s="7">
        <v>48650.239999999998</v>
      </c>
    </row>
    <row r="211" spans="1:32" x14ac:dyDescent="0.25">
      <c r="A211" s="12" t="s">
        <v>38</v>
      </c>
      <c r="B211" s="12">
        <v>707</v>
      </c>
      <c r="C211" s="12">
        <v>1</v>
      </c>
      <c r="D211" s="13" t="s">
        <v>604</v>
      </c>
      <c r="E211" s="6">
        <v>43</v>
      </c>
      <c r="F211" s="6">
        <v>43</v>
      </c>
      <c r="G211" s="6">
        <v>116478</v>
      </c>
      <c r="H211" s="6">
        <v>18000</v>
      </c>
      <c r="I211" s="6">
        <v>18000</v>
      </c>
      <c r="J211" s="7">
        <v>388.79</v>
      </c>
      <c r="K211" s="7">
        <v>388.79</v>
      </c>
      <c r="L211" s="7">
        <v>388.79</v>
      </c>
      <c r="M211" s="12">
        <v>1</v>
      </c>
      <c r="N211" s="7">
        <v>17611.21</v>
      </c>
      <c r="O211" s="7">
        <v>17611.21</v>
      </c>
      <c r="P211" s="7">
        <v>0</v>
      </c>
      <c r="Q211" s="6">
        <v>18000</v>
      </c>
      <c r="R211" s="7">
        <v>0</v>
      </c>
      <c r="S211" s="7">
        <v>18000</v>
      </c>
      <c r="T211" s="7">
        <v>4500</v>
      </c>
      <c r="U211" s="7">
        <v>0</v>
      </c>
      <c r="V211" s="7">
        <v>0</v>
      </c>
      <c r="W211" s="7">
        <v>427.43</v>
      </c>
      <c r="X211" s="7">
        <v>0</v>
      </c>
      <c r="Y211" s="7">
        <v>0</v>
      </c>
      <c r="Z211" s="7">
        <v>751.17</v>
      </c>
      <c r="AA211" s="7">
        <v>392.87</v>
      </c>
      <c r="AB211" s="7">
        <v>0</v>
      </c>
      <c r="AC211" s="7">
        <v>0</v>
      </c>
      <c r="AD211" s="7">
        <v>0</v>
      </c>
      <c r="AE211" s="7">
        <v>388.79</v>
      </c>
      <c r="AF211" s="7">
        <v>17611.21</v>
      </c>
    </row>
    <row r="212" spans="1:32" x14ac:dyDescent="0.25">
      <c r="A212" s="12" t="s">
        <v>38</v>
      </c>
      <c r="B212" s="12">
        <v>709</v>
      </c>
      <c r="C212" s="12">
        <v>1</v>
      </c>
      <c r="D212" s="13" t="s">
        <v>605</v>
      </c>
      <c r="E212" s="6">
        <v>5953</v>
      </c>
      <c r="F212" s="6">
        <v>6018</v>
      </c>
      <c r="G212" s="6">
        <v>75893038</v>
      </c>
      <c r="H212" s="6">
        <v>714360</v>
      </c>
      <c r="I212" s="6">
        <v>722160</v>
      </c>
      <c r="J212" s="7">
        <v>253324.89</v>
      </c>
      <c r="K212" s="7">
        <v>253324.89</v>
      </c>
      <c r="L212" s="7">
        <v>253324.89</v>
      </c>
      <c r="M212" s="12">
        <v>1</v>
      </c>
      <c r="N212" s="7">
        <v>468835.11</v>
      </c>
      <c r="O212" s="7">
        <v>468835.11</v>
      </c>
      <c r="P212" s="7">
        <v>9628.7999999999993</v>
      </c>
      <c r="Q212" s="6">
        <v>714360</v>
      </c>
      <c r="R212" s="7">
        <v>160653.87</v>
      </c>
      <c r="S212" s="7">
        <v>875013.87</v>
      </c>
      <c r="T212" s="7">
        <v>218753.47</v>
      </c>
      <c r="U212" s="7">
        <v>187236.48000000001</v>
      </c>
      <c r="V212" s="7">
        <v>0</v>
      </c>
      <c r="W212" s="7">
        <v>187329.08</v>
      </c>
      <c r="X212" s="7">
        <v>0</v>
      </c>
      <c r="Y212" s="7">
        <v>0</v>
      </c>
      <c r="Z212" s="7">
        <v>188014.04</v>
      </c>
      <c r="AA212" s="7">
        <v>187526.53</v>
      </c>
      <c r="AB212" s="7">
        <v>0</v>
      </c>
      <c r="AC212" s="7">
        <v>0</v>
      </c>
      <c r="AD212" s="7">
        <v>0</v>
      </c>
      <c r="AE212" s="7">
        <v>253324.89</v>
      </c>
      <c r="AF212" s="7">
        <v>468835.11</v>
      </c>
    </row>
    <row r="213" spans="1:32" x14ac:dyDescent="0.25">
      <c r="A213" s="12" t="s">
        <v>38</v>
      </c>
      <c r="B213" s="12">
        <v>712</v>
      </c>
      <c r="C213" s="12">
        <v>1</v>
      </c>
      <c r="D213" s="13" t="s">
        <v>606</v>
      </c>
      <c r="E213" s="6">
        <v>352</v>
      </c>
      <c r="F213" s="6">
        <v>345</v>
      </c>
      <c r="G213" s="6">
        <v>3840492</v>
      </c>
      <c r="H213" s="6">
        <v>42240</v>
      </c>
      <c r="I213" s="6">
        <v>41400</v>
      </c>
      <c r="J213" s="7">
        <v>12819.26</v>
      </c>
      <c r="K213" s="7">
        <v>12819.26</v>
      </c>
      <c r="L213" s="7">
        <v>12819.26</v>
      </c>
      <c r="M213" s="12">
        <v>1</v>
      </c>
      <c r="N213" s="7">
        <v>28580.74</v>
      </c>
      <c r="O213" s="7">
        <v>28580.74</v>
      </c>
      <c r="P213" s="7">
        <v>552</v>
      </c>
      <c r="Q213" s="6">
        <v>42240</v>
      </c>
      <c r="R213" s="7">
        <v>3625.2</v>
      </c>
      <c r="S213" s="7">
        <v>45865.2</v>
      </c>
      <c r="T213" s="7">
        <v>11466.3</v>
      </c>
      <c r="U213" s="7">
        <v>12782.41</v>
      </c>
      <c r="V213" s="7">
        <v>7819.08</v>
      </c>
      <c r="W213" s="7">
        <v>3745.27</v>
      </c>
      <c r="X213" s="7">
        <v>274.74</v>
      </c>
      <c r="Y213" s="7">
        <v>0</v>
      </c>
      <c r="Z213" s="7">
        <v>3006.53</v>
      </c>
      <c r="AA213" s="7">
        <v>3813.46</v>
      </c>
      <c r="AB213" s="7">
        <v>0</v>
      </c>
      <c r="AC213" s="7">
        <v>0</v>
      </c>
      <c r="AD213" s="7">
        <v>0</v>
      </c>
      <c r="AE213" s="7">
        <v>12819.26</v>
      </c>
      <c r="AF213" s="7">
        <v>28580.74</v>
      </c>
    </row>
    <row r="214" spans="1:32" x14ac:dyDescent="0.25">
      <c r="A214" s="12" t="s">
        <v>38</v>
      </c>
      <c r="B214" s="12">
        <v>716</v>
      </c>
      <c r="C214" s="12">
        <v>1</v>
      </c>
      <c r="D214" s="13" t="s">
        <v>607</v>
      </c>
      <c r="E214" s="6">
        <v>883</v>
      </c>
      <c r="F214" s="6">
        <v>925</v>
      </c>
      <c r="G214" s="6">
        <v>11173277</v>
      </c>
      <c r="H214" s="6">
        <v>105960</v>
      </c>
      <c r="I214" s="6">
        <v>111000</v>
      </c>
      <c r="J214" s="7">
        <v>37295.5</v>
      </c>
      <c r="K214" s="7">
        <v>37295.5</v>
      </c>
      <c r="L214" s="7">
        <v>37295.5</v>
      </c>
      <c r="M214" s="12">
        <v>1</v>
      </c>
      <c r="N214" s="7">
        <v>73704.5</v>
      </c>
      <c r="O214" s="7">
        <v>73704.5</v>
      </c>
      <c r="P214" s="7">
        <v>1480</v>
      </c>
      <c r="Q214" s="6">
        <v>105960</v>
      </c>
      <c r="R214" s="7">
        <v>13333.85</v>
      </c>
      <c r="S214" s="7">
        <v>119293.85</v>
      </c>
      <c r="T214" s="7">
        <v>29823.46</v>
      </c>
      <c r="U214" s="7">
        <v>-22183.279999999999</v>
      </c>
      <c r="V214" s="7">
        <v>0</v>
      </c>
      <c r="W214" s="7">
        <v>0</v>
      </c>
      <c r="X214" s="7">
        <v>0</v>
      </c>
      <c r="Y214" s="7">
        <v>0</v>
      </c>
      <c r="Z214" s="7">
        <v>2502.69</v>
      </c>
      <c r="AA214" s="7">
        <v>-6560.2</v>
      </c>
      <c r="AB214" s="7">
        <v>0</v>
      </c>
      <c r="AC214" s="7">
        <v>0</v>
      </c>
      <c r="AD214" s="7">
        <v>0</v>
      </c>
      <c r="AE214" s="7">
        <v>37295.5</v>
      </c>
      <c r="AF214" s="7">
        <v>73704.5</v>
      </c>
    </row>
    <row r="215" spans="1:32" x14ac:dyDescent="0.25">
      <c r="A215" s="12" t="s">
        <v>38</v>
      </c>
      <c r="B215" s="12">
        <v>717</v>
      </c>
      <c r="C215" s="12">
        <v>1</v>
      </c>
      <c r="D215" s="13" t="s">
        <v>608</v>
      </c>
      <c r="E215" s="6">
        <v>935</v>
      </c>
      <c r="F215" s="6">
        <v>940</v>
      </c>
      <c r="G215" s="6">
        <v>12341819</v>
      </c>
      <c r="H215" s="6">
        <v>112200</v>
      </c>
      <c r="I215" s="6">
        <v>112800</v>
      </c>
      <c r="J215" s="7">
        <v>41196</v>
      </c>
      <c r="K215" s="7">
        <v>41196</v>
      </c>
      <c r="L215" s="7">
        <v>41196</v>
      </c>
      <c r="M215" s="12">
        <v>1</v>
      </c>
      <c r="N215" s="7">
        <v>71604</v>
      </c>
      <c r="O215" s="7">
        <v>71604</v>
      </c>
      <c r="P215" s="7">
        <v>1504</v>
      </c>
      <c r="Q215" s="6">
        <v>112200</v>
      </c>
      <c r="R215" s="7">
        <v>76038.210000000006</v>
      </c>
      <c r="S215" s="7">
        <v>188238.21</v>
      </c>
      <c r="T215" s="7">
        <v>47059.55</v>
      </c>
      <c r="U215" s="7">
        <v>48113.87</v>
      </c>
      <c r="V215" s="7">
        <v>0</v>
      </c>
      <c r="W215" s="7">
        <v>35199.74</v>
      </c>
      <c r="X215" s="7">
        <v>0</v>
      </c>
      <c r="Y215" s="7">
        <v>0</v>
      </c>
      <c r="Z215" s="7">
        <v>52175.69</v>
      </c>
      <c r="AA215" s="7">
        <v>45163.1</v>
      </c>
      <c r="AB215" s="7">
        <v>0</v>
      </c>
      <c r="AC215" s="7">
        <v>0</v>
      </c>
      <c r="AD215" s="7">
        <v>0</v>
      </c>
      <c r="AE215" s="7">
        <v>41196</v>
      </c>
      <c r="AF215" s="7">
        <v>71604</v>
      </c>
    </row>
    <row r="216" spans="1:32" x14ac:dyDescent="0.25">
      <c r="A216" s="12" t="s">
        <v>38</v>
      </c>
      <c r="B216" s="12">
        <v>719</v>
      </c>
      <c r="C216" s="12">
        <v>1</v>
      </c>
      <c r="D216" s="13" t="s">
        <v>609</v>
      </c>
      <c r="E216" s="6">
        <v>4395</v>
      </c>
      <c r="F216" s="6">
        <v>4415</v>
      </c>
      <c r="G216" s="6">
        <v>55442440</v>
      </c>
      <c r="H216" s="6">
        <v>527400</v>
      </c>
      <c r="I216" s="6">
        <v>529800</v>
      </c>
      <c r="J216" s="7">
        <v>185062.43</v>
      </c>
      <c r="K216" s="7">
        <v>185062.43</v>
      </c>
      <c r="L216" s="7">
        <v>185062.43</v>
      </c>
      <c r="M216" s="12">
        <v>1</v>
      </c>
      <c r="N216" s="7">
        <v>344737.57</v>
      </c>
      <c r="O216" s="7">
        <v>344737.57</v>
      </c>
      <c r="P216" s="7">
        <v>7064</v>
      </c>
      <c r="Q216" s="6">
        <v>527400</v>
      </c>
      <c r="R216" s="7">
        <v>62659.81</v>
      </c>
      <c r="S216" s="7">
        <v>590059.81000000006</v>
      </c>
      <c r="T216" s="7">
        <v>147514.95000000001</v>
      </c>
      <c r="U216" s="7">
        <v>39542.9</v>
      </c>
      <c r="V216" s="7">
        <v>0</v>
      </c>
      <c r="W216" s="7">
        <v>38226</v>
      </c>
      <c r="X216" s="7">
        <v>0</v>
      </c>
      <c r="Y216" s="7">
        <v>0</v>
      </c>
      <c r="Z216" s="7">
        <v>117867</v>
      </c>
      <c r="AA216" s="7">
        <v>65211.97</v>
      </c>
      <c r="AB216" s="7">
        <v>0</v>
      </c>
      <c r="AC216" s="7">
        <v>0</v>
      </c>
      <c r="AD216" s="7">
        <v>0</v>
      </c>
      <c r="AE216" s="7">
        <v>185062.43</v>
      </c>
      <c r="AF216" s="7">
        <v>344737.57</v>
      </c>
    </row>
    <row r="217" spans="1:32" x14ac:dyDescent="0.25">
      <c r="A217" s="12" t="s">
        <v>38</v>
      </c>
      <c r="B217" s="12">
        <v>720</v>
      </c>
      <c r="C217" s="12">
        <v>1</v>
      </c>
      <c r="D217" s="13" t="s">
        <v>610</v>
      </c>
      <c r="E217" s="6">
        <v>3829</v>
      </c>
      <c r="F217" s="6">
        <v>3583</v>
      </c>
      <c r="G217" s="6">
        <v>54058717</v>
      </c>
      <c r="H217" s="6">
        <v>459480</v>
      </c>
      <c r="I217" s="6">
        <v>429960</v>
      </c>
      <c r="J217" s="7">
        <v>180443.67</v>
      </c>
      <c r="K217" s="7">
        <v>180443.67</v>
      </c>
      <c r="L217" s="7">
        <v>180443.67</v>
      </c>
      <c r="M217" s="12">
        <v>1</v>
      </c>
      <c r="N217" s="7">
        <v>249516.33</v>
      </c>
      <c r="O217" s="7">
        <v>249516.33</v>
      </c>
      <c r="P217" s="7">
        <v>5732.8</v>
      </c>
      <c r="Q217" s="6">
        <v>459480</v>
      </c>
      <c r="R217" s="7">
        <v>43626.400000000001</v>
      </c>
      <c r="S217" s="7">
        <v>503106.4</v>
      </c>
      <c r="T217" s="7">
        <v>125776.6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41603.75</v>
      </c>
      <c r="AA217" s="7">
        <v>13867.92</v>
      </c>
      <c r="AB217" s="7">
        <v>0</v>
      </c>
      <c r="AC217" s="7">
        <v>0</v>
      </c>
      <c r="AD217" s="7">
        <v>0</v>
      </c>
      <c r="AE217" s="7">
        <v>180443.67</v>
      </c>
      <c r="AF217" s="7">
        <v>249516.33</v>
      </c>
    </row>
    <row r="218" spans="1:32" x14ac:dyDescent="0.25">
      <c r="A218" s="12" t="s">
        <v>38</v>
      </c>
      <c r="B218" s="12">
        <v>721</v>
      </c>
      <c r="C218" s="12">
        <v>1</v>
      </c>
      <c r="D218" s="13" t="s">
        <v>611</v>
      </c>
      <c r="E218" s="6">
        <v>1471</v>
      </c>
      <c r="F218" s="6">
        <v>1490</v>
      </c>
      <c r="G218" s="6">
        <v>23917679</v>
      </c>
      <c r="H218" s="6">
        <v>176520</v>
      </c>
      <c r="I218" s="6">
        <v>178800</v>
      </c>
      <c r="J218" s="7">
        <v>79835.3</v>
      </c>
      <c r="K218" s="7">
        <v>79835.3</v>
      </c>
      <c r="L218" s="7">
        <v>79835.3</v>
      </c>
      <c r="M218" s="12">
        <v>1</v>
      </c>
      <c r="N218" s="7">
        <v>98964.7</v>
      </c>
      <c r="O218" s="7">
        <v>98964.7</v>
      </c>
      <c r="P218" s="7">
        <v>2384</v>
      </c>
      <c r="Q218" s="6">
        <v>176520</v>
      </c>
      <c r="R218" s="7">
        <v>28341.3</v>
      </c>
      <c r="S218" s="7">
        <v>204861.3</v>
      </c>
      <c r="T218" s="7">
        <v>51215.33</v>
      </c>
      <c r="U218" s="7">
        <v>0</v>
      </c>
      <c r="V218" s="7">
        <v>0</v>
      </c>
      <c r="W218" s="7">
        <v>7589</v>
      </c>
      <c r="X218" s="7">
        <v>0</v>
      </c>
      <c r="Y218" s="7">
        <v>0</v>
      </c>
      <c r="Z218" s="7">
        <v>4285</v>
      </c>
      <c r="AA218" s="7">
        <v>3958</v>
      </c>
      <c r="AB218" s="7">
        <v>0</v>
      </c>
      <c r="AC218" s="7">
        <v>0</v>
      </c>
      <c r="AD218" s="7">
        <v>0</v>
      </c>
      <c r="AE218" s="7">
        <v>79835.3</v>
      </c>
      <c r="AF218" s="7">
        <v>98964.7</v>
      </c>
    </row>
    <row r="219" spans="1:32" x14ac:dyDescent="0.25">
      <c r="A219" s="12" t="s">
        <v>38</v>
      </c>
      <c r="B219" s="12">
        <v>726</v>
      </c>
      <c r="C219" s="12">
        <v>1</v>
      </c>
      <c r="D219" s="13" t="s">
        <v>612</v>
      </c>
      <c r="E219" s="6">
        <v>1119</v>
      </c>
      <c r="F219" s="6">
        <v>1061</v>
      </c>
      <c r="G219" s="6">
        <v>22972895</v>
      </c>
      <c r="H219" s="6">
        <v>134280</v>
      </c>
      <c r="I219" s="6">
        <v>127320</v>
      </c>
      <c r="J219" s="7">
        <v>76681.69</v>
      </c>
      <c r="K219" s="7">
        <v>76681.69</v>
      </c>
      <c r="L219" s="7">
        <v>76681.69</v>
      </c>
      <c r="M219" s="12">
        <v>1</v>
      </c>
      <c r="N219" s="7">
        <v>50638.31</v>
      </c>
      <c r="O219" s="7">
        <v>50638.31</v>
      </c>
      <c r="P219" s="7">
        <v>1697.6</v>
      </c>
      <c r="Q219" s="6">
        <v>134280</v>
      </c>
      <c r="R219" s="7">
        <v>27661.8</v>
      </c>
      <c r="S219" s="7">
        <v>161941.79999999999</v>
      </c>
      <c r="T219" s="7">
        <v>40485.449999999997</v>
      </c>
      <c r="U219" s="7">
        <v>43073.65</v>
      </c>
      <c r="V219" s="7">
        <v>0</v>
      </c>
      <c r="W219" s="7">
        <v>40266.54</v>
      </c>
      <c r="X219" s="7">
        <v>0</v>
      </c>
      <c r="Y219" s="7">
        <v>0</v>
      </c>
      <c r="Z219" s="7">
        <v>36148.879999999997</v>
      </c>
      <c r="AA219" s="7">
        <v>39829.69</v>
      </c>
      <c r="AB219" s="7">
        <v>0</v>
      </c>
      <c r="AC219" s="7">
        <v>0</v>
      </c>
      <c r="AD219" s="7">
        <v>0</v>
      </c>
      <c r="AE219" s="7">
        <v>76681.69</v>
      </c>
      <c r="AF219" s="7">
        <v>50638.31</v>
      </c>
    </row>
    <row r="220" spans="1:32" x14ac:dyDescent="0.25">
      <c r="A220" s="12" t="s">
        <v>38</v>
      </c>
      <c r="B220" s="12">
        <v>727</v>
      </c>
      <c r="C220" s="12">
        <v>1</v>
      </c>
      <c r="D220" s="13" t="s">
        <v>613</v>
      </c>
      <c r="E220" s="6">
        <v>1755</v>
      </c>
      <c r="F220" s="6">
        <v>1694</v>
      </c>
      <c r="G220" s="6">
        <v>16761134</v>
      </c>
      <c r="H220" s="6">
        <v>210600</v>
      </c>
      <c r="I220" s="6">
        <v>203280</v>
      </c>
      <c r="J220" s="7">
        <v>55947.32</v>
      </c>
      <c r="K220" s="7">
        <v>55947.32</v>
      </c>
      <c r="L220" s="7">
        <v>55947.32</v>
      </c>
      <c r="M220" s="12">
        <v>1</v>
      </c>
      <c r="N220" s="7">
        <v>147332.68</v>
      </c>
      <c r="O220" s="7">
        <v>147332.68</v>
      </c>
      <c r="P220" s="7">
        <v>2710.4</v>
      </c>
      <c r="Q220" s="6">
        <v>210600</v>
      </c>
      <c r="R220" s="7">
        <v>16112.37</v>
      </c>
      <c r="S220" s="7">
        <v>226712.37</v>
      </c>
      <c r="T220" s="7">
        <v>56678.09</v>
      </c>
      <c r="U220" s="7">
        <v>37771.19</v>
      </c>
      <c r="V220" s="7">
        <v>0</v>
      </c>
      <c r="W220" s="7">
        <v>59124.57</v>
      </c>
      <c r="X220" s="7">
        <v>0</v>
      </c>
      <c r="Y220" s="7">
        <v>0</v>
      </c>
      <c r="Z220" s="7">
        <v>56321.42</v>
      </c>
      <c r="AA220" s="7">
        <v>51072.39</v>
      </c>
      <c r="AB220" s="7">
        <v>0</v>
      </c>
      <c r="AC220" s="7">
        <v>0</v>
      </c>
      <c r="AD220" s="7">
        <v>0</v>
      </c>
      <c r="AE220" s="7">
        <v>55947.32</v>
      </c>
      <c r="AF220" s="7">
        <v>147332.68</v>
      </c>
    </row>
    <row r="221" spans="1:32" x14ac:dyDescent="0.25">
      <c r="A221" s="12" t="s">
        <v>38</v>
      </c>
      <c r="B221" s="12">
        <v>728</v>
      </c>
      <c r="C221" s="12">
        <v>1</v>
      </c>
      <c r="D221" s="13" t="s">
        <v>614</v>
      </c>
      <c r="E221" s="6">
        <v>4810</v>
      </c>
      <c r="F221" s="6">
        <v>4866</v>
      </c>
      <c r="G221" s="6">
        <v>81303185</v>
      </c>
      <c r="H221" s="6">
        <v>577200</v>
      </c>
      <c r="I221" s="6">
        <v>583920</v>
      </c>
      <c r="J221" s="7">
        <v>271383.53000000003</v>
      </c>
      <c r="K221" s="7">
        <v>271383.53000000003</v>
      </c>
      <c r="L221" s="7">
        <v>271383.53000000003</v>
      </c>
      <c r="M221" s="12">
        <v>1</v>
      </c>
      <c r="N221" s="7">
        <v>312536.46999999997</v>
      </c>
      <c r="O221" s="7">
        <v>312536.46999999997</v>
      </c>
      <c r="P221" s="7">
        <v>7785.6</v>
      </c>
      <c r="Q221" s="6">
        <v>577200</v>
      </c>
      <c r="R221" s="7">
        <v>104992.78</v>
      </c>
      <c r="S221" s="7">
        <v>682192.78</v>
      </c>
      <c r="T221" s="7">
        <v>170548.2</v>
      </c>
      <c r="U221" s="7">
        <v>153588.48000000001</v>
      </c>
      <c r="V221" s="7">
        <v>0</v>
      </c>
      <c r="W221" s="7">
        <v>134461.95000000001</v>
      </c>
      <c r="X221" s="7">
        <v>0</v>
      </c>
      <c r="Y221" s="7">
        <v>0</v>
      </c>
      <c r="Z221" s="7">
        <v>115432.53</v>
      </c>
      <c r="AA221" s="7">
        <v>134494.32</v>
      </c>
      <c r="AB221" s="7">
        <v>0</v>
      </c>
      <c r="AC221" s="7">
        <v>0</v>
      </c>
      <c r="AD221" s="7">
        <v>0</v>
      </c>
      <c r="AE221" s="7">
        <v>271383.53000000003</v>
      </c>
      <c r="AF221" s="7">
        <v>312536.46999999997</v>
      </c>
    </row>
    <row r="222" spans="1:32" x14ac:dyDescent="0.25">
      <c r="A222" s="12" t="s">
        <v>38</v>
      </c>
      <c r="B222" s="12">
        <v>738</v>
      </c>
      <c r="C222" s="12">
        <v>1</v>
      </c>
      <c r="D222" s="13" t="s">
        <v>615</v>
      </c>
      <c r="E222" s="6">
        <v>325</v>
      </c>
      <c r="F222" s="6">
        <v>325</v>
      </c>
      <c r="G222" s="6">
        <v>5290472</v>
      </c>
      <c r="H222" s="6">
        <v>39000</v>
      </c>
      <c r="I222" s="6">
        <v>39000</v>
      </c>
      <c r="J222" s="7">
        <v>17659.169999999998</v>
      </c>
      <c r="K222" s="7">
        <v>17659.169999999998</v>
      </c>
      <c r="L222" s="7">
        <v>17659.169999999998</v>
      </c>
      <c r="M222" s="12">
        <v>1</v>
      </c>
      <c r="N222" s="7">
        <v>21340.83</v>
      </c>
      <c r="O222" s="7">
        <v>21340.83</v>
      </c>
      <c r="P222" s="7">
        <v>520</v>
      </c>
      <c r="Q222" s="6">
        <v>39000</v>
      </c>
      <c r="R222" s="7">
        <v>520</v>
      </c>
      <c r="S222" s="7">
        <v>39520</v>
      </c>
      <c r="T222" s="7">
        <v>9880</v>
      </c>
      <c r="U222" s="7">
        <v>-15425.37</v>
      </c>
      <c r="V222" s="7">
        <v>0</v>
      </c>
      <c r="W222" s="7">
        <v>6585.51</v>
      </c>
      <c r="X222" s="7">
        <v>0</v>
      </c>
      <c r="Y222" s="7">
        <v>0</v>
      </c>
      <c r="Z222" s="7">
        <v>6585.49</v>
      </c>
      <c r="AA222" s="7">
        <v>-751.46</v>
      </c>
      <c r="AB222" s="7">
        <v>0</v>
      </c>
      <c r="AC222" s="7">
        <v>0</v>
      </c>
      <c r="AD222" s="7">
        <v>0</v>
      </c>
      <c r="AE222" s="7">
        <v>17659.169999999998</v>
      </c>
      <c r="AF222" s="7">
        <v>21340.83</v>
      </c>
    </row>
    <row r="223" spans="1:32" x14ac:dyDescent="0.25">
      <c r="A223" s="12" t="s">
        <v>38</v>
      </c>
      <c r="B223" s="12">
        <v>739</v>
      </c>
      <c r="C223" s="12">
        <v>1</v>
      </c>
      <c r="D223" s="13" t="s">
        <v>616</v>
      </c>
      <c r="E223" s="6">
        <v>283</v>
      </c>
      <c r="F223" s="6">
        <v>267</v>
      </c>
      <c r="G223" s="6">
        <v>6148997</v>
      </c>
      <c r="H223" s="6">
        <v>33960</v>
      </c>
      <c r="I223" s="6">
        <v>32040</v>
      </c>
      <c r="J223" s="7">
        <v>20524.86</v>
      </c>
      <c r="K223" s="7">
        <v>20524.86</v>
      </c>
      <c r="L223" s="7">
        <v>20524.86</v>
      </c>
      <c r="M223" s="12">
        <v>1</v>
      </c>
      <c r="N223" s="7">
        <v>11515.14</v>
      </c>
      <c r="O223" s="7">
        <v>11515.14</v>
      </c>
      <c r="P223" s="7">
        <v>427.2</v>
      </c>
      <c r="Q223" s="6">
        <v>33960</v>
      </c>
      <c r="R223" s="7">
        <v>47393.95</v>
      </c>
      <c r="S223" s="7">
        <v>81353.95</v>
      </c>
      <c r="T223" s="7">
        <v>20338.490000000002</v>
      </c>
      <c r="U223" s="7">
        <v>16841.96</v>
      </c>
      <c r="V223" s="7">
        <v>0</v>
      </c>
      <c r="W223" s="7">
        <v>18341.740000000002</v>
      </c>
      <c r="X223" s="7">
        <v>0</v>
      </c>
      <c r="Y223" s="7">
        <v>0</v>
      </c>
      <c r="Z223" s="7">
        <v>18464.95</v>
      </c>
      <c r="AA223" s="7">
        <v>17882.88</v>
      </c>
      <c r="AB223" s="7">
        <v>0</v>
      </c>
      <c r="AC223" s="7">
        <v>0</v>
      </c>
      <c r="AD223" s="7">
        <v>0</v>
      </c>
      <c r="AE223" s="7">
        <v>20524.86</v>
      </c>
      <c r="AF223" s="7">
        <v>11515.14</v>
      </c>
    </row>
    <row r="224" spans="1:32" x14ac:dyDescent="0.25">
      <c r="A224" s="12" t="s">
        <v>38</v>
      </c>
      <c r="B224" s="12">
        <v>740</v>
      </c>
      <c r="C224" s="12">
        <v>1</v>
      </c>
      <c r="D224" s="13" t="s">
        <v>617</v>
      </c>
      <c r="E224" s="6">
        <v>635</v>
      </c>
      <c r="F224" s="6">
        <v>519</v>
      </c>
      <c r="G224" s="6">
        <v>8964525</v>
      </c>
      <c r="H224" s="6">
        <v>76200</v>
      </c>
      <c r="I224" s="6">
        <v>62280</v>
      </c>
      <c r="J224" s="7">
        <v>29922.87</v>
      </c>
      <c r="K224" s="7">
        <v>29922.87</v>
      </c>
      <c r="L224" s="7">
        <v>29922.87</v>
      </c>
      <c r="M224" s="12">
        <v>1</v>
      </c>
      <c r="N224" s="7">
        <v>32357.13</v>
      </c>
      <c r="O224" s="7">
        <v>32357.13</v>
      </c>
      <c r="P224" s="7">
        <v>830.4</v>
      </c>
      <c r="Q224" s="6">
        <v>76200</v>
      </c>
      <c r="R224" s="7">
        <v>13516.43</v>
      </c>
      <c r="S224" s="7">
        <v>89716.43</v>
      </c>
      <c r="T224" s="7">
        <v>22429.11</v>
      </c>
      <c r="U224" s="7">
        <v>10371.27</v>
      </c>
      <c r="V224" s="7">
        <v>0</v>
      </c>
      <c r="W224" s="7">
        <v>15107.01</v>
      </c>
      <c r="X224" s="7">
        <v>0</v>
      </c>
      <c r="Y224" s="7">
        <v>0</v>
      </c>
      <c r="Z224" s="7">
        <v>38466.160000000003</v>
      </c>
      <c r="AA224" s="7">
        <v>21314.81</v>
      </c>
      <c r="AB224" s="7">
        <v>0</v>
      </c>
      <c r="AC224" s="7">
        <v>0</v>
      </c>
      <c r="AD224" s="7">
        <v>0</v>
      </c>
      <c r="AE224" s="7">
        <v>29922.87</v>
      </c>
      <c r="AF224" s="7">
        <v>32357.13</v>
      </c>
    </row>
    <row r="225" spans="1:32" x14ac:dyDescent="0.25">
      <c r="A225" s="12" t="s">
        <v>38</v>
      </c>
      <c r="B225" s="12">
        <v>741</v>
      </c>
      <c r="C225" s="12">
        <v>1</v>
      </c>
      <c r="D225" s="13" t="s">
        <v>618</v>
      </c>
      <c r="E225" s="6">
        <v>290</v>
      </c>
      <c r="F225" s="6">
        <v>283</v>
      </c>
      <c r="G225" s="6">
        <v>8978520</v>
      </c>
      <c r="H225" s="6">
        <v>34800</v>
      </c>
      <c r="I225" s="6">
        <v>33960</v>
      </c>
      <c r="J225" s="7">
        <v>29969.58</v>
      </c>
      <c r="K225" s="7">
        <v>29969.58</v>
      </c>
      <c r="L225" s="7">
        <v>29969.58</v>
      </c>
      <c r="M225" s="12">
        <v>1</v>
      </c>
      <c r="N225" s="7">
        <v>3990.42</v>
      </c>
      <c r="O225" s="7">
        <v>3990.42</v>
      </c>
      <c r="P225" s="7">
        <v>452.8</v>
      </c>
      <c r="Q225" s="6">
        <v>34800</v>
      </c>
      <c r="R225" s="7">
        <v>2214.5500000000002</v>
      </c>
      <c r="S225" s="7">
        <v>37014.550000000003</v>
      </c>
      <c r="T225" s="7">
        <v>9253.64</v>
      </c>
      <c r="U225" s="7">
        <v>8540.36</v>
      </c>
      <c r="V225" s="7">
        <v>0</v>
      </c>
      <c r="W225" s="7">
        <v>10631.81</v>
      </c>
      <c r="X225" s="7">
        <v>352.1</v>
      </c>
      <c r="Y225" s="7">
        <v>0</v>
      </c>
      <c r="Z225" s="7">
        <v>4938.3500000000004</v>
      </c>
      <c r="AA225" s="7">
        <v>7919.47</v>
      </c>
      <c r="AB225" s="7">
        <v>0</v>
      </c>
      <c r="AC225" s="7">
        <v>0</v>
      </c>
      <c r="AD225" s="7">
        <v>0</v>
      </c>
      <c r="AE225" s="7">
        <v>29969.58</v>
      </c>
      <c r="AF225" s="7">
        <v>3990.42</v>
      </c>
    </row>
    <row r="226" spans="1:32" x14ac:dyDescent="0.25">
      <c r="A226" s="12" t="s">
        <v>38</v>
      </c>
      <c r="B226" s="12">
        <v>742</v>
      </c>
      <c r="C226" s="12">
        <v>1</v>
      </c>
      <c r="D226" s="13" t="s">
        <v>619</v>
      </c>
      <c r="E226" s="6">
        <v>7693</v>
      </c>
      <c r="F226" s="6">
        <v>7786</v>
      </c>
      <c r="G226" s="6">
        <v>90324587</v>
      </c>
      <c r="H226" s="6">
        <v>923160</v>
      </c>
      <c r="I226" s="6">
        <v>934320</v>
      </c>
      <c r="J226" s="7">
        <v>301496.25</v>
      </c>
      <c r="K226" s="7">
        <v>301496.25</v>
      </c>
      <c r="L226" s="7">
        <v>301496.25</v>
      </c>
      <c r="M226" s="12">
        <v>1</v>
      </c>
      <c r="N226" s="7">
        <v>632823.75</v>
      </c>
      <c r="O226" s="7">
        <v>632823.75</v>
      </c>
      <c r="P226" s="7">
        <v>12457.6</v>
      </c>
      <c r="Q226" s="6">
        <v>923160</v>
      </c>
      <c r="R226" s="7">
        <v>56988.3</v>
      </c>
      <c r="S226" s="7">
        <v>980148.3</v>
      </c>
      <c r="T226" s="7">
        <v>245037.08</v>
      </c>
      <c r="U226" s="7">
        <v>26936.66</v>
      </c>
      <c r="V226" s="7">
        <v>0</v>
      </c>
      <c r="W226" s="7">
        <v>27499.06</v>
      </c>
      <c r="X226" s="7">
        <v>0</v>
      </c>
      <c r="Y226" s="7">
        <v>0</v>
      </c>
      <c r="Z226" s="7">
        <v>-37333.83</v>
      </c>
      <c r="AA226" s="7">
        <v>5700.63</v>
      </c>
      <c r="AB226" s="7">
        <v>0</v>
      </c>
      <c r="AC226" s="7">
        <v>0</v>
      </c>
      <c r="AD226" s="7">
        <v>0</v>
      </c>
      <c r="AE226" s="7">
        <v>301496.25</v>
      </c>
      <c r="AF226" s="7">
        <v>632823.75</v>
      </c>
    </row>
    <row r="227" spans="1:32" x14ac:dyDescent="0.25">
      <c r="A227" s="12" t="s">
        <v>38</v>
      </c>
      <c r="B227" s="12">
        <v>743</v>
      </c>
      <c r="C227" s="12">
        <v>1</v>
      </c>
      <c r="D227" s="13" t="s">
        <v>620</v>
      </c>
      <c r="E227" s="6">
        <v>495</v>
      </c>
      <c r="F227" s="6">
        <v>547</v>
      </c>
      <c r="G227" s="6">
        <v>7967511</v>
      </c>
      <c r="H227" s="6">
        <v>59400</v>
      </c>
      <c r="I227" s="6">
        <v>65640</v>
      </c>
      <c r="J227" s="7">
        <v>26594.91</v>
      </c>
      <c r="K227" s="7">
        <v>26594.91</v>
      </c>
      <c r="L227" s="7">
        <v>26594.91</v>
      </c>
      <c r="M227" s="12">
        <v>1</v>
      </c>
      <c r="N227" s="7">
        <v>39045.089999999997</v>
      </c>
      <c r="O227" s="7">
        <v>39045.089999999997</v>
      </c>
      <c r="P227" s="7">
        <v>875.2</v>
      </c>
      <c r="Q227" s="6">
        <v>59400</v>
      </c>
      <c r="R227" s="7">
        <v>76976.45</v>
      </c>
      <c r="S227" s="7">
        <v>136376.45000000001</v>
      </c>
      <c r="T227" s="7">
        <v>34094.11</v>
      </c>
      <c r="U227" s="7">
        <v>-139615.85999999999</v>
      </c>
      <c r="V227" s="7">
        <v>0</v>
      </c>
      <c r="W227" s="7">
        <v>-159500.18</v>
      </c>
      <c r="X227" s="7">
        <v>0</v>
      </c>
      <c r="Y227" s="7">
        <v>0</v>
      </c>
      <c r="Z227" s="7">
        <v>-113870.23</v>
      </c>
      <c r="AA227" s="7">
        <v>-137662.09</v>
      </c>
      <c r="AB227" s="7">
        <v>0</v>
      </c>
      <c r="AC227" s="7">
        <v>0</v>
      </c>
      <c r="AD227" s="7">
        <v>0</v>
      </c>
      <c r="AE227" s="7">
        <v>26594.91</v>
      </c>
      <c r="AF227" s="7">
        <v>39045.089999999997</v>
      </c>
    </row>
    <row r="228" spans="1:32" x14ac:dyDescent="0.25">
      <c r="A228" s="12" t="s">
        <v>38</v>
      </c>
      <c r="B228" s="12">
        <v>745</v>
      </c>
      <c r="C228" s="12">
        <v>1</v>
      </c>
      <c r="D228" s="13" t="s">
        <v>621</v>
      </c>
      <c r="E228" s="6">
        <v>653</v>
      </c>
      <c r="F228" s="6">
        <v>622</v>
      </c>
      <c r="G228" s="6">
        <v>8324630</v>
      </c>
      <c r="H228" s="6">
        <v>78360</v>
      </c>
      <c r="I228" s="6">
        <v>74640</v>
      </c>
      <c r="J228" s="7">
        <v>27786.95</v>
      </c>
      <c r="K228" s="7">
        <v>27786.95</v>
      </c>
      <c r="L228" s="7">
        <v>27786.95</v>
      </c>
      <c r="M228" s="12">
        <v>1</v>
      </c>
      <c r="N228" s="7">
        <v>46853.05</v>
      </c>
      <c r="O228" s="7">
        <v>46853.05</v>
      </c>
      <c r="P228" s="7">
        <v>995.2</v>
      </c>
      <c r="Q228" s="6">
        <v>78360</v>
      </c>
      <c r="R228" s="7">
        <v>14422.79</v>
      </c>
      <c r="S228" s="7">
        <v>92782.79</v>
      </c>
      <c r="T228" s="7">
        <v>23195.7</v>
      </c>
      <c r="U228" s="7">
        <v>42929.91</v>
      </c>
      <c r="V228" s="7">
        <v>0</v>
      </c>
      <c r="W228" s="7">
        <v>12040.14</v>
      </c>
      <c r="X228" s="7">
        <v>0</v>
      </c>
      <c r="Y228" s="7">
        <v>0</v>
      </c>
      <c r="Z228" s="7">
        <v>8705.33</v>
      </c>
      <c r="AA228" s="7">
        <v>21225.13</v>
      </c>
      <c r="AB228" s="7">
        <v>0</v>
      </c>
      <c r="AC228" s="7">
        <v>0</v>
      </c>
      <c r="AD228" s="7">
        <v>0</v>
      </c>
      <c r="AE228" s="7">
        <v>27786.95</v>
      </c>
      <c r="AF228" s="7">
        <v>46853.05</v>
      </c>
    </row>
    <row r="229" spans="1:32" x14ac:dyDescent="0.25">
      <c r="A229" s="12" t="s">
        <v>38</v>
      </c>
      <c r="B229" s="12">
        <v>748</v>
      </c>
      <c r="C229" s="12">
        <v>1</v>
      </c>
      <c r="D229" s="13" t="s">
        <v>622</v>
      </c>
      <c r="E229" s="6">
        <v>1225</v>
      </c>
      <c r="F229" s="6">
        <v>1302</v>
      </c>
      <c r="G229" s="6">
        <v>16326245</v>
      </c>
      <c r="H229" s="6">
        <v>147000</v>
      </c>
      <c r="I229" s="6">
        <v>156240</v>
      </c>
      <c r="J229" s="7">
        <v>54495.7</v>
      </c>
      <c r="K229" s="7">
        <v>54495.7</v>
      </c>
      <c r="L229" s="7">
        <v>54495.7</v>
      </c>
      <c r="M229" s="12">
        <v>1</v>
      </c>
      <c r="N229" s="7">
        <v>101744.3</v>
      </c>
      <c r="O229" s="7">
        <v>101744.3</v>
      </c>
      <c r="P229" s="7">
        <v>2083.1999999999998</v>
      </c>
      <c r="Q229" s="6">
        <v>147000</v>
      </c>
      <c r="R229" s="7">
        <v>50742.95</v>
      </c>
      <c r="S229" s="7">
        <v>197742.95</v>
      </c>
      <c r="T229" s="7">
        <v>49435.74</v>
      </c>
      <c r="U229" s="7">
        <v>0</v>
      </c>
      <c r="V229" s="7">
        <v>0</v>
      </c>
      <c r="W229" s="7">
        <v>552.65</v>
      </c>
      <c r="X229" s="7">
        <v>0</v>
      </c>
      <c r="Y229" s="7">
        <v>0</v>
      </c>
      <c r="Z229" s="7">
        <v>23572.560000000001</v>
      </c>
      <c r="AA229" s="7">
        <v>8041.74</v>
      </c>
      <c r="AB229" s="7">
        <v>0</v>
      </c>
      <c r="AC229" s="7">
        <v>0</v>
      </c>
      <c r="AD229" s="7">
        <v>0</v>
      </c>
      <c r="AE229" s="7">
        <v>54495.7</v>
      </c>
      <c r="AF229" s="7">
        <v>101744.3</v>
      </c>
    </row>
    <row r="230" spans="1:32" x14ac:dyDescent="0.25">
      <c r="A230" s="12" t="s">
        <v>38</v>
      </c>
      <c r="B230" s="12">
        <v>750</v>
      </c>
      <c r="C230" s="12">
        <v>1</v>
      </c>
      <c r="D230" s="13" t="s">
        <v>623</v>
      </c>
      <c r="E230" s="6">
        <v>781</v>
      </c>
      <c r="F230" s="6">
        <v>747</v>
      </c>
      <c r="G230" s="6">
        <v>16255074</v>
      </c>
      <c r="H230" s="6">
        <v>93720</v>
      </c>
      <c r="I230" s="6">
        <v>89640</v>
      </c>
      <c r="J230" s="7">
        <v>54258.14</v>
      </c>
      <c r="K230" s="7">
        <v>54258.14</v>
      </c>
      <c r="L230" s="7">
        <v>54258.14</v>
      </c>
      <c r="M230" s="12">
        <v>1</v>
      </c>
      <c r="N230" s="7">
        <v>35381.86</v>
      </c>
      <c r="O230" s="7">
        <v>35381.86</v>
      </c>
      <c r="P230" s="7">
        <v>0</v>
      </c>
      <c r="Q230" s="6">
        <v>93720</v>
      </c>
      <c r="R230" s="7">
        <v>16078.49</v>
      </c>
      <c r="S230" s="7">
        <v>109798.49</v>
      </c>
      <c r="T230" s="7">
        <v>27449.62</v>
      </c>
      <c r="U230" s="7">
        <v>15571.16</v>
      </c>
      <c r="V230" s="7">
        <v>0</v>
      </c>
      <c r="W230" s="7">
        <v>23892.01</v>
      </c>
      <c r="X230" s="7">
        <v>0</v>
      </c>
      <c r="Y230" s="7">
        <v>0</v>
      </c>
      <c r="Z230" s="7">
        <v>38178.61</v>
      </c>
      <c r="AA230" s="7">
        <v>25880.59</v>
      </c>
      <c r="AB230" s="7">
        <v>0</v>
      </c>
      <c r="AC230" s="7">
        <v>0</v>
      </c>
      <c r="AD230" s="7">
        <v>0</v>
      </c>
      <c r="AE230" s="7">
        <v>54258.14</v>
      </c>
      <c r="AF230" s="7">
        <v>35381.86</v>
      </c>
    </row>
    <row r="231" spans="1:32" x14ac:dyDescent="0.25">
      <c r="A231" s="12" t="s">
        <v>38</v>
      </c>
      <c r="B231" s="12">
        <v>756</v>
      </c>
      <c r="C231" s="12">
        <v>1</v>
      </c>
      <c r="D231" s="13" t="s">
        <v>624</v>
      </c>
      <c r="E231" s="6">
        <v>218</v>
      </c>
      <c r="F231" s="6">
        <v>224</v>
      </c>
      <c r="G231" s="6">
        <v>5576688</v>
      </c>
      <c r="H231" s="6">
        <v>26160</v>
      </c>
      <c r="I231" s="6">
        <v>26880</v>
      </c>
      <c r="J231" s="7">
        <v>18614.54</v>
      </c>
      <c r="K231" s="7">
        <v>18614.54</v>
      </c>
      <c r="L231" s="7">
        <v>18614.54</v>
      </c>
      <c r="M231" s="12">
        <v>1</v>
      </c>
      <c r="N231" s="7">
        <v>8265.4599999999991</v>
      </c>
      <c r="O231" s="7">
        <v>8265.4599999999991</v>
      </c>
      <c r="P231" s="7">
        <v>0</v>
      </c>
      <c r="Q231" s="6">
        <v>26160</v>
      </c>
      <c r="R231" s="7">
        <v>443</v>
      </c>
      <c r="S231" s="7">
        <v>26603</v>
      </c>
      <c r="T231" s="7">
        <v>6650.75</v>
      </c>
      <c r="U231" s="7">
        <v>251.23</v>
      </c>
      <c r="V231" s="7">
        <v>0</v>
      </c>
      <c r="W231" s="7">
        <v>-8900.64</v>
      </c>
      <c r="X231" s="7">
        <v>0</v>
      </c>
      <c r="Y231" s="7">
        <v>0</v>
      </c>
      <c r="Z231" s="7">
        <v>-7979.61</v>
      </c>
      <c r="AA231" s="7">
        <v>-5543.01</v>
      </c>
      <c r="AB231" s="7">
        <v>0</v>
      </c>
      <c r="AC231" s="7">
        <v>0</v>
      </c>
      <c r="AD231" s="7">
        <v>0</v>
      </c>
      <c r="AE231" s="7">
        <v>18614.54</v>
      </c>
      <c r="AF231" s="7">
        <v>8265.4599999999991</v>
      </c>
    </row>
    <row r="232" spans="1:32" x14ac:dyDescent="0.25">
      <c r="A232" s="12" t="s">
        <v>38</v>
      </c>
      <c r="B232" s="12">
        <v>761</v>
      </c>
      <c r="C232" s="12">
        <v>1</v>
      </c>
      <c r="D232" s="13" t="s">
        <v>625</v>
      </c>
      <c r="E232" s="6">
        <v>2260</v>
      </c>
      <c r="F232" s="6">
        <v>2263</v>
      </c>
      <c r="G232" s="6">
        <v>29692800</v>
      </c>
      <c r="H232" s="6">
        <v>271200</v>
      </c>
      <c r="I232" s="6">
        <v>271560</v>
      </c>
      <c r="J232" s="7">
        <v>99112.19</v>
      </c>
      <c r="K232" s="7">
        <v>99112.19</v>
      </c>
      <c r="L232" s="7">
        <v>99112.19</v>
      </c>
      <c r="M232" s="12">
        <v>1</v>
      </c>
      <c r="N232" s="7">
        <v>172447.81</v>
      </c>
      <c r="O232" s="7">
        <v>172447.81</v>
      </c>
      <c r="P232" s="7">
        <v>3620.8</v>
      </c>
      <c r="Q232" s="6">
        <v>271200</v>
      </c>
      <c r="R232" s="7">
        <v>26225.38</v>
      </c>
      <c r="S232" s="7">
        <v>297425.38</v>
      </c>
      <c r="T232" s="7">
        <v>74356.350000000006</v>
      </c>
      <c r="U232" s="7">
        <v>52545.71</v>
      </c>
      <c r="V232" s="7">
        <v>0</v>
      </c>
      <c r="W232" s="7">
        <v>51363.03</v>
      </c>
      <c r="X232" s="7">
        <v>0</v>
      </c>
      <c r="Y232" s="7">
        <v>0</v>
      </c>
      <c r="Z232" s="7">
        <v>47317.13</v>
      </c>
      <c r="AA232" s="7">
        <v>50408.62</v>
      </c>
      <c r="AB232" s="7">
        <v>0</v>
      </c>
      <c r="AC232" s="7">
        <v>0</v>
      </c>
      <c r="AD232" s="7">
        <v>0</v>
      </c>
      <c r="AE232" s="7">
        <v>99112.19</v>
      </c>
      <c r="AF232" s="7">
        <v>172447.81</v>
      </c>
    </row>
    <row r="233" spans="1:32" x14ac:dyDescent="0.25">
      <c r="A233" s="12" t="s">
        <v>38</v>
      </c>
      <c r="B233" s="12">
        <v>763</v>
      </c>
      <c r="C233" s="12">
        <v>1</v>
      </c>
      <c r="D233" s="13" t="s">
        <v>626</v>
      </c>
      <c r="E233" s="6">
        <v>220</v>
      </c>
      <c r="F233" s="6">
        <v>225</v>
      </c>
      <c r="G233" s="6">
        <v>3654716</v>
      </c>
      <c r="H233" s="6">
        <v>26400</v>
      </c>
      <c r="I233" s="6">
        <v>27000</v>
      </c>
      <c r="J233" s="7">
        <v>12199.15</v>
      </c>
      <c r="K233" s="7">
        <v>12199.15</v>
      </c>
      <c r="L233" s="7">
        <v>12199.15</v>
      </c>
      <c r="M233" s="12">
        <v>1</v>
      </c>
      <c r="N233" s="7">
        <v>14800.85</v>
      </c>
      <c r="O233" s="7">
        <v>14800.85</v>
      </c>
      <c r="P233" s="7">
        <v>0</v>
      </c>
      <c r="Q233" s="6">
        <v>26400</v>
      </c>
      <c r="R233" s="7">
        <v>948</v>
      </c>
      <c r="S233" s="7">
        <v>27348</v>
      </c>
      <c r="T233" s="7">
        <v>6837</v>
      </c>
      <c r="U233" s="7">
        <v>11215.59</v>
      </c>
      <c r="V233" s="7">
        <v>0</v>
      </c>
      <c r="W233" s="7">
        <v>9630.48</v>
      </c>
      <c r="X233" s="7">
        <v>1624.35</v>
      </c>
      <c r="Y233" s="7">
        <v>0</v>
      </c>
      <c r="Z233" s="7">
        <v>4723.2299999999996</v>
      </c>
      <c r="AA233" s="7">
        <v>7981.65</v>
      </c>
      <c r="AB233" s="7">
        <v>1144.6500000000001</v>
      </c>
      <c r="AC233" s="7">
        <v>517.17999999999995</v>
      </c>
      <c r="AD233" s="7">
        <v>627.47</v>
      </c>
      <c r="AE233" s="7">
        <v>11681.97</v>
      </c>
      <c r="AF233" s="7">
        <v>14173.38</v>
      </c>
    </row>
    <row r="234" spans="1:32" x14ac:dyDescent="0.25">
      <c r="A234" s="12" t="s">
        <v>38</v>
      </c>
      <c r="B234" s="12">
        <v>768</v>
      </c>
      <c r="C234" s="12">
        <v>1</v>
      </c>
      <c r="D234" s="13" t="s">
        <v>627</v>
      </c>
      <c r="E234" s="6">
        <v>88</v>
      </c>
      <c r="F234" s="6">
        <v>94</v>
      </c>
      <c r="G234" s="6">
        <v>1949401</v>
      </c>
      <c r="H234" s="6">
        <v>18000</v>
      </c>
      <c r="I234" s="6">
        <v>18000</v>
      </c>
      <c r="J234" s="7">
        <v>6506.94</v>
      </c>
      <c r="K234" s="7">
        <v>6506.94</v>
      </c>
      <c r="L234" s="7">
        <v>6506.94</v>
      </c>
      <c r="M234" s="12">
        <v>1</v>
      </c>
      <c r="N234" s="7">
        <v>11493.06</v>
      </c>
      <c r="O234" s="7">
        <v>11493.06</v>
      </c>
      <c r="P234" s="7">
        <v>0</v>
      </c>
      <c r="Q234" s="6">
        <v>18000</v>
      </c>
      <c r="R234" s="7">
        <v>15205</v>
      </c>
      <c r="S234" s="7">
        <v>33205</v>
      </c>
      <c r="T234" s="7">
        <v>8301.25</v>
      </c>
      <c r="U234" s="7">
        <v>9667.67</v>
      </c>
      <c r="V234" s="7">
        <v>0</v>
      </c>
      <c r="W234" s="7">
        <v>-2102.08</v>
      </c>
      <c r="X234" s="7">
        <v>0</v>
      </c>
      <c r="Y234" s="7">
        <v>0</v>
      </c>
      <c r="Z234" s="7">
        <v>-10816.84</v>
      </c>
      <c r="AA234" s="7">
        <v>-1083.75</v>
      </c>
      <c r="AB234" s="7">
        <v>0</v>
      </c>
      <c r="AC234" s="7">
        <v>0</v>
      </c>
      <c r="AD234" s="7">
        <v>0</v>
      </c>
      <c r="AE234" s="7">
        <v>6506.94</v>
      </c>
      <c r="AF234" s="7">
        <v>11493.06</v>
      </c>
    </row>
    <row r="235" spans="1:32" x14ac:dyDescent="0.25">
      <c r="A235" s="12" t="s">
        <v>38</v>
      </c>
      <c r="B235" s="12">
        <v>769</v>
      </c>
      <c r="C235" s="12">
        <v>1</v>
      </c>
      <c r="D235" s="13" t="s">
        <v>628</v>
      </c>
      <c r="E235" s="6">
        <v>443</v>
      </c>
      <c r="F235" s="6">
        <v>452</v>
      </c>
      <c r="G235" s="6">
        <v>6284721</v>
      </c>
      <c r="H235" s="6">
        <v>53160</v>
      </c>
      <c r="I235" s="6">
        <v>54240</v>
      </c>
      <c r="J235" s="7">
        <v>20977.9</v>
      </c>
      <c r="K235" s="7">
        <v>20977.9</v>
      </c>
      <c r="L235" s="7">
        <v>20977.9</v>
      </c>
      <c r="M235" s="12">
        <v>1</v>
      </c>
      <c r="N235" s="7">
        <v>33262.1</v>
      </c>
      <c r="O235" s="7">
        <v>33262.1</v>
      </c>
      <c r="P235" s="7">
        <v>723.2</v>
      </c>
      <c r="Q235" s="6">
        <v>53160</v>
      </c>
      <c r="R235" s="7">
        <v>26808.01</v>
      </c>
      <c r="S235" s="7">
        <v>79968.009999999995</v>
      </c>
      <c r="T235" s="7">
        <v>19992</v>
      </c>
      <c r="U235" s="7">
        <v>15316.59</v>
      </c>
      <c r="V235" s="7">
        <v>0</v>
      </c>
      <c r="W235" s="7">
        <v>17602.79</v>
      </c>
      <c r="X235" s="7">
        <v>0</v>
      </c>
      <c r="Y235" s="7">
        <v>0</v>
      </c>
      <c r="Z235" s="7">
        <v>18264.79</v>
      </c>
      <c r="AA235" s="7">
        <v>17061.39</v>
      </c>
      <c r="AB235" s="7">
        <v>0</v>
      </c>
      <c r="AC235" s="7">
        <v>0</v>
      </c>
      <c r="AD235" s="7">
        <v>0</v>
      </c>
      <c r="AE235" s="7">
        <v>20977.9</v>
      </c>
      <c r="AF235" s="7">
        <v>33262.1</v>
      </c>
    </row>
    <row r="236" spans="1:32" x14ac:dyDescent="0.25">
      <c r="A236" s="12" t="s">
        <v>38</v>
      </c>
      <c r="B236" s="12">
        <v>771</v>
      </c>
      <c r="C236" s="12">
        <v>1</v>
      </c>
      <c r="D236" s="13" t="s">
        <v>629</v>
      </c>
      <c r="E236" s="6">
        <v>72</v>
      </c>
      <c r="F236" s="6">
        <v>60</v>
      </c>
      <c r="G236" s="6">
        <v>3615389</v>
      </c>
      <c r="H236" s="6">
        <v>18000</v>
      </c>
      <c r="I236" s="6">
        <v>18000</v>
      </c>
      <c r="J236" s="7">
        <v>12067.88</v>
      </c>
      <c r="K236" s="7">
        <v>12067.88</v>
      </c>
      <c r="L236" s="7">
        <v>12067.88</v>
      </c>
      <c r="M236" s="12">
        <v>1</v>
      </c>
      <c r="N236" s="7">
        <v>5932.12</v>
      </c>
      <c r="O236" s="7">
        <v>5932.12</v>
      </c>
      <c r="P236" s="7">
        <v>96</v>
      </c>
      <c r="Q236" s="6">
        <v>18000</v>
      </c>
      <c r="R236" s="7">
        <v>3463.11</v>
      </c>
      <c r="S236" s="7">
        <v>21463.11</v>
      </c>
      <c r="T236" s="7">
        <v>5365.78</v>
      </c>
      <c r="U236" s="7">
        <v>1822.55</v>
      </c>
      <c r="V236" s="7">
        <v>0</v>
      </c>
      <c r="W236" s="7">
        <v>2425.6</v>
      </c>
      <c r="X236" s="7">
        <v>0</v>
      </c>
      <c r="Y236" s="7">
        <v>0</v>
      </c>
      <c r="Z236" s="7">
        <v>1140.68</v>
      </c>
      <c r="AA236" s="7">
        <v>1796.28</v>
      </c>
      <c r="AB236" s="7">
        <v>0</v>
      </c>
      <c r="AC236" s="7">
        <v>0</v>
      </c>
      <c r="AD236" s="7">
        <v>0</v>
      </c>
      <c r="AE236" s="7">
        <v>12067.88</v>
      </c>
      <c r="AF236" s="7">
        <v>5932.12</v>
      </c>
    </row>
    <row r="237" spans="1:32" x14ac:dyDescent="0.25">
      <c r="A237" s="12" t="s">
        <v>38</v>
      </c>
      <c r="B237" s="12">
        <v>775</v>
      </c>
      <c r="C237" s="12">
        <v>1</v>
      </c>
      <c r="D237" s="13" t="s">
        <v>630</v>
      </c>
      <c r="E237" s="6">
        <v>231</v>
      </c>
      <c r="F237" s="6">
        <v>189</v>
      </c>
      <c r="G237" s="6">
        <v>5230874</v>
      </c>
      <c r="H237" s="6">
        <v>27720</v>
      </c>
      <c r="I237" s="6">
        <v>22680</v>
      </c>
      <c r="J237" s="7">
        <v>17460.240000000002</v>
      </c>
      <c r="K237" s="7">
        <v>17460.240000000002</v>
      </c>
      <c r="L237" s="7">
        <v>17460.240000000002</v>
      </c>
      <c r="M237" s="12">
        <v>1</v>
      </c>
      <c r="N237" s="7">
        <v>5219.76</v>
      </c>
      <c r="O237" s="7">
        <v>5219.76</v>
      </c>
      <c r="P237" s="7">
        <v>302.39999999999998</v>
      </c>
      <c r="Q237" s="6">
        <v>27720</v>
      </c>
      <c r="R237" s="7">
        <v>5793.1</v>
      </c>
      <c r="S237" s="7">
        <v>33513.1</v>
      </c>
      <c r="T237" s="7">
        <v>8378.2800000000007</v>
      </c>
      <c r="U237" s="7">
        <v>-751.06</v>
      </c>
      <c r="V237" s="7">
        <v>0</v>
      </c>
      <c r="W237" s="7">
        <v>2711.28</v>
      </c>
      <c r="X237" s="7">
        <v>0</v>
      </c>
      <c r="Y237" s="7">
        <v>0</v>
      </c>
      <c r="Z237" s="7">
        <v>9458.4</v>
      </c>
      <c r="AA237" s="7">
        <v>3806.21</v>
      </c>
      <c r="AB237" s="7">
        <v>0</v>
      </c>
      <c r="AC237" s="7">
        <v>0</v>
      </c>
      <c r="AD237" s="7">
        <v>0</v>
      </c>
      <c r="AE237" s="7">
        <v>17460.240000000002</v>
      </c>
      <c r="AF237" s="7">
        <v>5219.76</v>
      </c>
    </row>
    <row r="238" spans="1:32" x14ac:dyDescent="0.25">
      <c r="A238" s="12" t="s">
        <v>38</v>
      </c>
      <c r="B238" s="12">
        <v>777</v>
      </c>
      <c r="C238" s="12">
        <v>1</v>
      </c>
      <c r="D238" s="13" t="s">
        <v>631</v>
      </c>
      <c r="E238" s="6">
        <v>283</v>
      </c>
      <c r="F238" s="6">
        <v>273</v>
      </c>
      <c r="G238" s="6">
        <v>8629813</v>
      </c>
      <c r="H238" s="6">
        <v>33960</v>
      </c>
      <c r="I238" s="6">
        <v>32760</v>
      </c>
      <c r="J238" s="7">
        <v>28805.63</v>
      </c>
      <c r="K238" s="7">
        <v>28805.63</v>
      </c>
      <c r="L238" s="7">
        <v>28805.63</v>
      </c>
      <c r="M238" s="12">
        <v>1</v>
      </c>
      <c r="N238" s="7">
        <v>3954.37</v>
      </c>
      <c r="O238" s="7">
        <v>3954.37</v>
      </c>
      <c r="P238" s="7">
        <v>436.8</v>
      </c>
      <c r="Q238" s="6">
        <v>33960</v>
      </c>
      <c r="R238" s="7">
        <v>21165.75</v>
      </c>
      <c r="S238" s="7">
        <v>55125.75</v>
      </c>
      <c r="T238" s="7">
        <v>13781.44</v>
      </c>
      <c r="U238" s="7">
        <v>11997.68</v>
      </c>
      <c r="V238" s="7">
        <v>0</v>
      </c>
      <c r="W238" s="7">
        <v>13643.46</v>
      </c>
      <c r="X238" s="7">
        <v>0</v>
      </c>
      <c r="Y238" s="7">
        <v>0</v>
      </c>
      <c r="Z238" s="7">
        <v>17732.63</v>
      </c>
      <c r="AA238" s="7">
        <v>14457.92</v>
      </c>
      <c r="AB238" s="7">
        <v>676.48</v>
      </c>
      <c r="AC238" s="7">
        <v>594.82000000000005</v>
      </c>
      <c r="AD238" s="7">
        <v>81.66</v>
      </c>
      <c r="AE238" s="7">
        <v>28210.81</v>
      </c>
      <c r="AF238" s="7">
        <v>3872.71</v>
      </c>
    </row>
    <row r="239" spans="1:32" x14ac:dyDescent="0.25">
      <c r="A239" s="12" t="s">
        <v>38</v>
      </c>
      <c r="B239" s="12">
        <v>786</v>
      </c>
      <c r="C239" s="12">
        <v>1</v>
      </c>
      <c r="D239" s="13" t="s">
        <v>632</v>
      </c>
      <c r="E239" s="6">
        <v>126</v>
      </c>
      <c r="F239" s="6">
        <v>159</v>
      </c>
      <c r="G239" s="6">
        <v>1652175</v>
      </c>
      <c r="H239" s="6">
        <v>18000</v>
      </c>
      <c r="I239" s="6">
        <v>19080</v>
      </c>
      <c r="J239" s="7">
        <v>5514.83</v>
      </c>
      <c r="K239" s="7">
        <v>5514.83</v>
      </c>
      <c r="L239" s="7">
        <v>5514.83</v>
      </c>
      <c r="M239" s="12">
        <v>1</v>
      </c>
      <c r="N239" s="7">
        <v>13565.17</v>
      </c>
      <c r="O239" s="7">
        <v>13565.17</v>
      </c>
      <c r="P239" s="7">
        <v>254.4</v>
      </c>
      <c r="Q239" s="6">
        <v>18000</v>
      </c>
      <c r="R239" s="7">
        <v>280.95</v>
      </c>
      <c r="S239" s="7">
        <v>18280.95</v>
      </c>
      <c r="T239" s="7">
        <v>4570.24</v>
      </c>
      <c r="U239" s="7">
        <v>7421.12</v>
      </c>
      <c r="V239" s="7">
        <v>1774.37</v>
      </c>
      <c r="W239" s="7">
        <v>5646.13</v>
      </c>
      <c r="X239" s="7">
        <v>1170.71</v>
      </c>
      <c r="Y239" s="7">
        <v>0</v>
      </c>
      <c r="Z239" s="7">
        <v>6691.42</v>
      </c>
      <c r="AA239" s="7">
        <v>5604.53</v>
      </c>
      <c r="AB239" s="7">
        <v>1034.29</v>
      </c>
      <c r="AC239" s="7">
        <v>298.95</v>
      </c>
      <c r="AD239" s="7">
        <v>735.34</v>
      </c>
      <c r="AE239" s="7">
        <v>5215.88</v>
      </c>
      <c r="AF239" s="7">
        <v>12829.83</v>
      </c>
    </row>
    <row r="240" spans="1:32" x14ac:dyDescent="0.25">
      <c r="A240" s="12" t="s">
        <v>38</v>
      </c>
      <c r="B240" s="12">
        <v>787</v>
      </c>
      <c r="C240" s="12">
        <v>1</v>
      </c>
      <c r="D240" s="13" t="s">
        <v>633</v>
      </c>
      <c r="E240" s="6">
        <v>114</v>
      </c>
      <c r="F240" s="6">
        <v>115</v>
      </c>
      <c r="G240" s="6">
        <v>2071480</v>
      </c>
      <c r="H240" s="6">
        <v>18000</v>
      </c>
      <c r="I240" s="6">
        <v>18000</v>
      </c>
      <c r="J240" s="7">
        <v>6914.43</v>
      </c>
      <c r="K240" s="7">
        <v>6914.43</v>
      </c>
      <c r="L240" s="7">
        <v>6914.43</v>
      </c>
      <c r="M240" s="12">
        <v>1</v>
      </c>
      <c r="N240" s="7">
        <v>11085.57</v>
      </c>
      <c r="O240" s="7">
        <v>11085.57</v>
      </c>
      <c r="P240" s="7">
        <v>184</v>
      </c>
      <c r="Q240" s="6">
        <v>18000</v>
      </c>
      <c r="R240" s="7">
        <v>182.4</v>
      </c>
      <c r="S240" s="7">
        <v>18182.400000000001</v>
      </c>
      <c r="T240" s="7">
        <v>4545.6000000000004</v>
      </c>
      <c r="U240" s="7">
        <v>3997.45</v>
      </c>
      <c r="V240" s="7">
        <v>742.3</v>
      </c>
      <c r="W240" s="7">
        <v>3886.56</v>
      </c>
      <c r="X240" s="7">
        <v>0</v>
      </c>
      <c r="Y240" s="7">
        <v>0</v>
      </c>
      <c r="Z240" s="7">
        <v>2661.52</v>
      </c>
      <c r="AA240" s="7">
        <v>3267.74</v>
      </c>
      <c r="AB240" s="7">
        <v>0</v>
      </c>
      <c r="AC240" s="7">
        <v>0</v>
      </c>
      <c r="AD240" s="7">
        <v>0</v>
      </c>
      <c r="AE240" s="7">
        <v>6914.43</v>
      </c>
      <c r="AF240" s="7">
        <v>11085.57</v>
      </c>
    </row>
    <row r="241" spans="1:32" x14ac:dyDescent="0.25">
      <c r="A241" s="12" t="s">
        <v>38</v>
      </c>
      <c r="B241" s="12">
        <v>801</v>
      </c>
      <c r="C241" s="12">
        <v>1</v>
      </c>
      <c r="D241" s="13" t="s">
        <v>634</v>
      </c>
      <c r="E241" s="6">
        <v>17</v>
      </c>
      <c r="F241" s="6">
        <v>19</v>
      </c>
      <c r="G241" s="6">
        <v>813029</v>
      </c>
      <c r="H241" s="6">
        <v>18000</v>
      </c>
      <c r="I241" s="6">
        <v>18000</v>
      </c>
      <c r="J241" s="7">
        <v>2713.83</v>
      </c>
      <c r="K241" s="7">
        <v>2713.83</v>
      </c>
      <c r="L241" s="7">
        <v>2713.83</v>
      </c>
      <c r="M241" s="12">
        <v>1</v>
      </c>
      <c r="N241" s="7">
        <v>15286.17</v>
      </c>
      <c r="O241" s="7">
        <v>15286.17</v>
      </c>
      <c r="P241" s="7">
        <v>30.4</v>
      </c>
      <c r="Q241" s="6">
        <v>18000</v>
      </c>
      <c r="R241" s="7">
        <v>27.2</v>
      </c>
      <c r="S241" s="7">
        <v>18027.2</v>
      </c>
      <c r="T241" s="7">
        <v>4506.8</v>
      </c>
      <c r="U241" s="7">
        <v>721.37</v>
      </c>
      <c r="V241" s="7">
        <v>0</v>
      </c>
      <c r="W241" s="7">
        <v>4719.78</v>
      </c>
      <c r="X241" s="7">
        <v>0</v>
      </c>
      <c r="Y241" s="7">
        <v>0</v>
      </c>
      <c r="Z241" s="7">
        <v>15971.01</v>
      </c>
      <c r="AA241" s="7">
        <v>7137.39</v>
      </c>
      <c r="AB241" s="7">
        <v>2630.59</v>
      </c>
      <c r="AC241" s="7">
        <v>396.61</v>
      </c>
      <c r="AD241" s="7">
        <v>2233.98</v>
      </c>
      <c r="AE241" s="7">
        <v>2317.2199999999998</v>
      </c>
      <c r="AF241" s="7">
        <v>13052.19</v>
      </c>
    </row>
    <row r="242" spans="1:32" x14ac:dyDescent="0.25">
      <c r="A242" s="12" t="s">
        <v>38</v>
      </c>
      <c r="B242" s="12">
        <v>803</v>
      </c>
      <c r="C242" s="12">
        <v>1</v>
      </c>
      <c r="D242" s="13" t="s">
        <v>635</v>
      </c>
      <c r="E242" s="6">
        <v>88</v>
      </c>
      <c r="F242" s="6">
        <v>79</v>
      </c>
      <c r="G242" s="6">
        <v>4484863</v>
      </c>
      <c r="H242" s="6">
        <v>18000</v>
      </c>
      <c r="I242" s="6">
        <v>18000</v>
      </c>
      <c r="J242" s="7">
        <v>14970.11</v>
      </c>
      <c r="K242" s="7">
        <v>14970.11</v>
      </c>
      <c r="L242" s="7">
        <v>14970.11</v>
      </c>
      <c r="M242" s="12">
        <v>1</v>
      </c>
      <c r="N242" s="7">
        <v>3029.89</v>
      </c>
      <c r="O242" s="7">
        <v>3029.89</v>
      </c>
      <c r="P242" s="7">
        <v>0</v>
      </c>
      <c r="Q242" s="6">
        <v>18000</v>
      </c>
      <c r="R242" s="7">
        <v>819</v>
      </c>
      <c r="S242" s="7">
        <v>18819</v>
      </c>
      <c r="T242" s="7">
        <v>4704.75</v>
      </c>
      <c r="U242" s="7">
        <v>1463.77</v>
      </c>
      <c r="V242" s="7">
        <v>0</v>
      </c>
      <c r="W242" s="7">
        <v>3737.78</v>
      </c>
      <c r="X242" s="7">
        <v>0</v>
      </c>
      <c r="Y242" s="7">
        <v>0</v>
      </c>
      <c r="Z242" s="7">
        <v>4074.39</v>
      </c>
      <c r="AA242" s="7">
        <v>3091.98</v>
      </c>
      <c r="AB242" s="7">
        <v>0</v>
      </c>
      <c r="AC242" s="7">
        <v>0</v>
      </c>
      <c r="AD242" s="7">
        <v>0</v>
      </c>
      <c r="AE242" s="7">
        <v>14970.11</v>
      </c>
      <c r="AF242" s="7">
        <v>3029.89</v>
      </c>
    </row>
    <row r="243" spans="1:32" x14ac:dyDescent="0.25">
      <c r="A243" s="12" t="s">
        <v>38</v>
      </c>
      <c r="B243" s="12">
        <v>811</v>
      </c>
      <c r="C243" s="12">
        <v>1</v>
      </c>
      <c r="D243" s="13" t="s">
        <v>636</v>
      </c>
      <c r="E243" s="6">
        <v>295</v>
      </c>
      <c r="F243" s="6">
        <v>252</v>
      </c>
      <c r="G243" s="6">
        <v>5850464</v>
      </c>
      <c r="H243" s="6">
        <v>35400</v>
      </c>
      <c r="I243" s="6">
        <v>30240</v>
      </c>
      <c r="J243" s="7">
        <v>19528.38</v>
      </c>
      <c r="K243" s="7">
        <v>19528.38</v>
      </c>
      <c r="L243" s="7">
        <v>19528.38</v>
      </c>
      <c r="M243" s="12">
        <v>1</v>
      </c>
      <c r="N243" s="7">
        <v>10711.62</v>
      </c>
      <c r="O243" s="7">
        <v>10711.62</v>
      </c>
      <c r="P243" s="7">
        <v>403.2</v>
      </c>
      <c r="Q243" s="6">
        <v>35400</v>
      </c>
      <c r="R243" s="7">
        <v>1408</v>
      </c>
      <c r="S243" s="7">
        <v>36808</v>
      </c>
      <c r="T243" s="7">
        <v>9202</v>
      </c>
      <c r="U243" s="7">
        <v>987.81</v>
      </c>
      <c r="V243" s="7">
        <v>0</v>
      </c>
      <c r="W243" s="7">
        <v>8640.16</v>
      </c>
      <c r="X243" s="7">
        <v>0</v>
      </c>
      <c r="Y243" s="7">
        <v>0</v>
      </c>
      <c r="Z243" s="7">
        <v>11299.09</v>
      </c>
      <c r="AA243" s="7">
        <v>6975.69</v>
      </c>
      <c r="AB243" s="7">
        <v>0</v>
      </c>
      <c r="AC243" s="7">
        <v>0</v>
      </c>
      <c r="AD243" s="7">
        <v>0</v>
      </c>
      <c r="AE243" s="7">
        <v>19528.38</v>
      </c>
      <c r="AF243" s="7">
        <v>10711.62</v>
      </c>
    </row>
    <row r="244" spans="1:32" x14ac:dyDescent="0.25">
      <c r="A244" s="12" t="s">
        <v>38</v>
      </c>
      <c r="B244" s="12">
        <v>813</v>
      </c>
      <c r="C244" s="12">
        <v>1</v>
      </c>
      <c r="D244" s="13" t="s">
        <v>637</v>
      </c>
      <c r="E244" s="6">
        <v>546</v>
      </c>
      <c r="F244" s="6">
        <v>541</v>
      </c>
      <c r="G244" s="6">
        <v>11087326</v>
      </c>
      <c r="H244" s="6">
        <v>65520</v>
      </c>
      <c r="I244" s="6">
        <v>64920</v>
      </c>
      <c r="J244" s="7">
        <v>37008.61</v>
      </c>
      <c r="K244" s="7">
        <v>37008.61</v>
      </c>
      <c r="L244" s="7">
        <v>37008.61</v>
      </c>
      <c r="M244" s="12">
        <v>1</v>
      </c>
      <c r="N244" s="7">
        <v>27911.39</v>
      </c>
      <c r="O244" s="7">
        <v>27911.39</v>
      </c>
      <c r="P244" s="7">
        <v>865.6</v>
      </c>
      <c r="Q244" s="6">
        <v>65520</v>
      </c>
      <c r="R244" s="7">
        <v>5102.5600000000004</v>
      </c>
      <c r="S244" s="7">
        <v>70622.559999999998</v>
      </c>
      <c r="T244" s="7">
        <v>17655.64</v>
      </c>
      <c r="U244" s="7">
        <v>25123.79</v>
      </c>
      <c r="V244" s="7">
        <v>5298.44</v>
      </c>
      <c r="W244" s="7">
        <v>18098.759999999998</v>
      </c>
      <c r="X244" s="7">
        <v>1372.69</v>
      </c>
      <c r="Y244" s="7">
        <v>0</v>
      </c>
      <c r="Z244" s="7">
        <v>11483.78</v>
      </c>
      <c r="AA244" s="7">
        <v>16011.73</v>
      </c>
      <c r="AB244" s="7">
        <v>0</v>
      </c>
      <c r="AC244" s="7">
        <v>0</v>
      </c>
      <c r="AD244" s="7">
        <v>0</v>
      </c>
      <c r="AE244" s="7">
        <v>37008.61</v>
      </c>
      <c r="AF244" s="7">
        <v>27911.39</v>
      </c>
    </row>
    <row r="245" spans="1:32" x14ac:dyDescent="0.25">
      <c r="A245" s="12" t="s">
        <v>38</v>
      </c>
      <c r="B245" s="12">
        <v>818</v>
      </c>
      <c r="C245" s="12">
        <v>1</v>
      </c>
      <c r="D245" s="13" t="s">
        <v>638</v>
      </c>
      <c r="E245" s="6">
        <v>90</v>
      </c>
      <c r="F245" s="6">
        <v>85</v>
      </c>
      <c r="G245" s="6">
        <v>1422547</v>
      </c>
      <c r="H245" s="6">
        <v>18000</v>
      </c>
      <c r="I245" s="6">
        <v>18000</v>
      </c>
      <c r="J245" s="7">
        <v>4748.3500000000004</v>
      </c>
      <c r="K245" s="7">
        <v>4748.3500000000004</v>
      </c>
      <c r="L245" s="7">
        <v>4748.3500000000004</v>
      </c>
      <c r="M245" s="12">
        <v>1</v>
      </c>
      <c r="N245" s="7">
        <v>13251.65</v>
      </c>
      <c r="O245" s="7">
        <v>13251.65</v>
      </c>
      <c r="P245" s="7">
        <v>136</v>
      </c>
      <c r="Q245" s="6">
        <v>18000</v>
      </c>
      <c r="R245" s="7">
        <v>144</v>
      </c>
      <c r="S245" s="7">
        <v>18144</v>
      </c>
      <c r="T245" s="7">
        <v>4536</v>
      </c>
      <c r="U245" s="7">
        <v>10502.32</v>
      </c>
      <c r="V245" s="7">
        <v>102.59</v>
      </c>
      <c r="W245" s="7">
        <v>13176.46</v>
      </c>
      <c r="X245" s="7">
        <v>4659.01</v>
      </c>
      <c r="Y245" s="7">
        <v>0</v>
      </c>
      <c r="Z245" s="7">
        <v>2116.2600000000002</v>
      </c>
      <c r="AA245" s="7">
        <v>7011.15</v>
      </c>
      <c r="AB245" s="7">
        <v>2475.15</v>
      </c>
      <c r="AC245" s="7">
        <v>652.94000000000005</v>
      </c>
      <c r="AD245" s="7">
        <v>1822.21</v>
      </c>
      <c r="AE245" s="7">
        <v>4095.41</v>
      </c>
      <c r="AF245" s="7">
        <v>11429.44</v>
      </c>
    </row>
    <row r="246" spans="1:32" x14ac:dyDescent="0.25">
      <c r="A246" s="12" t="s">
        <v>38</v>
      </c>
      <c r="B246" s="12">
        <v>820</v>
      </c>
      <c r="C246" s="12">
        <v>1</v>
      </c>
      <c r="D246" s="13" t="s">
        <v>639</v>
      </c>
      <c r="E246" s="6">
        <v>160</v>
      </c>
      <c r="F246" s="6">
        <v>178</v>
      </c>
      <c r="G246" s="6">
        <v>2930228</v>
      </c>
      <c r="H246" s="6">
        <v>19200</v>
      </c>
      <c r="I246" s="6">
        <v>21360</v>
      </c>
      <c r="J246" s="7">
        <v>9780.8700000000008</v>
      </c>
      <c r="K246" s="7">
        <v>9780.8700000000008</v>
      </c>
      <c r="L246" s="7">
        <v>9780.8700000000008</v>
      </c>
      <c r="M246" s="12">
        <v>1</v>
      </c>
      <c r="N246" s="7">
        <v>11579.13</v>
      </c>
      <c r="O246" s="7">
        <v>11579.13</v>
      </c>
      <c r="P246" s="7">
        <v>284.8</v>
      </c>
      <c r="Q246" s="6">
        <v>19200</v>
      </c>
      <c r="R246" s="7">
        <v>8698</v>
      </c>
      <c r="S246" s="7">
        <v>27898</v>
      </c>
      <c r="T246" s="7">
        <v>6974.5</v>
      </c>
      <c r="U246" s="7">
        <v>6349.98</v>
      </c>
      <c r="V246" s="7">
        <v>0</v>
      </c>
      <c r="W246" s="7">
        <v>6059.56</v>
      </c>
      <c r="X246" s="7">
        <v>0</v>
      </c>
      <c r="Y246" s="7">
        <v>0</v>
      </c>
      <c r="Z246" s="7">
        <v>6089.15</v>
      </c>
      <c r="AA246" s="7">
        <v>6166.23</v>
      </c>
      <c r="AB246" s="7">
        <v>0</v>
      </c>
      <c r="AC246" s="7">
        <v>0</v>
      </c>
      <c r="AD246" s="7">
        <v>0</v>
      </c>
      <c r="AE246" s="7">
        <v>9780.8700000000008</v>
      </c>
      <c r="AF246" s="7">
        <v>11579.13</v>
      </c>
    </row>
    <row r="247" spans="1:32" x14ac:dyDescent="0.25">
      <c r="A247" s="12" t="s">
        <v>38</v>
      </c>
      <c r="B247" s="12">
        <v>821</v>
      </c>
      <c r="C247" s="12">
        <v>1</v>
      </c>
      <c r="D247" s="13" t="s">
        <v>640</v>
      </c>
      <c r="E247" s="6">
        <v>289</v>
      </c>
      <c r="F247" s="6">
        <v>277</v>
      </c>
      <c r="G247" s="6">
        <v>4261969</v>
      </c>
      <c r="H247" s="6">
        <v>34680</v>
      </c>
      <c r="I247" s="6">
        <v>33240</v>
      </c>
      <c r="J247" s="7">
        <v>14226.11</v>
      </c>
      <c r="K247" s="7">
        <v>14226.11</v>
      </c>
      <c r="L247" s="7">
        <v>14226.11</v>
      </c>
      <c r="M247" s="12">
        <v>1</v>
      </c>
      <c r="N247" s="7">
        <v>19013.89</v>
      </c>
      <c r="O247" s="7">
        <v>19013.89</v>
      </c>
      <c r="P247" s="7">
        <v>443.2</v>
      </c>
      <c r="Q247" s="6">
        <v>34680</v>
      </c>
      <c r="R247" s="7">
        <v>462.4</v>
      </c>
      <c r="S247" s="7">
        <v>35142.400000000001</v>
      </c>
      <c r="T247" s="7">
        <v>8785.6</v>
      </c>
      <c r="U247" s="7">
        <v>6218.94</v>
      </c>
      <c r="V247" s="7">
        <v>0</v>
      </c>
      <c r="W247" s="7">
        <v>6615.86</v>
      </c>
      <c r="X247" s="7">
        <v>0</v>
      </c>
      <c r="Y247" s="7">
        <v>0</v>
      </c>
      <c r="Z247" s="7">
        <v>4888.87</v>
      </c>
      <c r="AA247" s="7">
        <v>5907.89</v>
      </c>
      <c r="AB247" s="7">
        <v>0</v>
      </c>
      <c r="AC247" s="7">
        <v>0</v>
      </c>
      <c r="AD247" s="7">
        <v>0</v>
      </c>
      <c r="AE247" s="7">
        <v>14226.11</v>
      </c>
      <c r="AF247" s="7">
        <v>19013.89</v>
      </c>
    </row>
    <row r="248" spans="1:32" x14ac:dyDescent="0.25">
      <c r="A248" s="12" t="s">
        <v>38</v>
      </c>
      <c r="B248" s="12">
        <v>829</v>
      </c>
      <c r="C248" s="12">
        <v>1</v>
      </c>
      <c r="D248" s="13" t="s">
        <v>641</v>
      </c>
      <c r="E248" s="6">
        <v>881</v>
      </c>
      <c r="F248" s="6">
        <v>817</v>
      </c>
      <c r="G248" s="6">
        <v>10521696</v>
      </c>
      <c r="H248" s="6">
        <v>105720</v>
      </c>
      <c r="I248" s="6">
        <v>98040</v>
      </c>
      <c r="J248" s="7">
        <v>35120.58</v>
      </c>
      <c r="K248" s="7">
        <v>35120.58</v>
      </c>
      <c r="L248" s="7">
        <v>35120.58</v>
      </c>
      <c r="M248" s="12">
        <v>1</v>
      </c>
      <c r="N248" s="7">
        <v>62919.42</v>
      </c>
      <c r="O248" s="7">
        <v>62919.42</v>
      </c>
      <c r="P248" s="7">
        <v>1307.2</v>
      </c>
      <c r="Q248" s="6">
        <v>105720</v>
      </c>
      <c r="R248" s="7">
        <v>15653.77</v>
      </c>
      <c r="S248" s="7">
        <v>121373.77</v>
      </c>
      <c r="T248" s="7">
        <v>30343.439999999999</v>
      </c>
      <c r="U248" s="7">
        <v>5176.9799999999996</v>
      </c>
      <c r="V248" s="7">
        <v>0</v>
      </c>
      <c r="W248" s="7">
        <v>25556.16</v>
      </c>
      <c r="X248" s="7">
        <v>0</v>
      </c>
      <c r="Y248" s="7">
        <v>0</v>
      </c>
      <c r="Z248" s="7">
        <v>58467.12</v>
      </c>
      <c r="AA248" s="7">
        <v>29733.42</v>
      </c>
      <c r="AB248" s="7">
        <v>0</v>
      </c>
      <c r="AC248" s="7">
        <v>0</v>
      </c>
      <c r="AD248" s="7">
        <v>0</v>
      </c>
      <c r="AE248" s="7">
        <v>35120.58</v>
      </c>
      <c r="AF248" s="7">
        <v>62919.42</v>
      </c>
    </row>
    <row r="249" spans="1:32" x14ac:dyDescent="0.25">
      <c r="A249" s="12" t="s">
        <v>38</v>
      </c>
      <c r="B249" s="12">
        <v>831</v>
      </c>
      <c r="C249" s="12">
        <v>1</v>
      </c>
      <c r="D249" s="13" t="s">
        <v>642</v>
      </c>
      <c r="E249" s="6">
        <v>3225</v>
      </c>
      <c r="F249" s="6">
        <v>3205</v>
      </c>
      <c r="G249" s="6">
        <v>62569984</v>
      </c>
      <c r="H249" s="6">
        <v>387000</v>
      </c>
      <c r="I249" s="6">
        <v>384600</v>
      </c>
      <c r="J249" s="7">
        <v>208853.6</v>
      </c>
      <c r="K249" s="7">
        <v>208853.6</v>
      </c>
      <c r="L249" s="7">
        <v>208853.6</v>
      </c>
      <c r="M249" s="12">
        <v>1</v>
      </c>
      <c r="N249" s="7">
        <v>175746.4</v>
      </c>
      <c r="O249" s="7">
        <v>175746.4</v>
      </c>
      <c r="P249" s="7">
        <v>5128</v>
      </c>
      <c r="Q249" s="6">
        <v>387000</v>
      </c>
      <c r="R249" s="7">
        <v>66991.990000000005</v>
      </c>
      <c r="S249" s="7">
        <v>453991.99</v>
      </c>
      <c r="T249" s="7">
        <v>113498</v>
      </c>
      <c r="U249" s="7">
        <v>84786</v>
      </c>
      <c r="V249" s="7">
        <v>0</v>
      </c>
      <c r="W249" s="7">
        <v>88864</v>
      </c>
      <c r="X249" s="7">
        <v>0</v>
      </c>
      <c r="Y249" s="7">
        <v>0</v>
      </c>
      <c r="Z249" s="7">
        <v>83230</v>
      </c>
      <c r="AA249" s="7">
        <v>85626.67</v>
      </c>
      <c r="AB249" s="7">
        <v>0</v>
      </c>
      <c r="AC249" s="7">
        <v>0</v>
      </c>
      <c r="AD249" s="7">
        <v>0</v>
      </c>
      <c r="AE249" s="7">
        <v>208853.6</v>
      </c>
      <c r="AF249" s="7">
        <v>175746.4</v>
      </c>
    </row>
    <row r="250" spans="1:32" x14ac:dyDescent="0.25">
      <c r="A250" s="12" t="s">
        <v>38</v>
      </c>
      <c r="B250" s="12">
        <v>832</v>
      </c>
      <c r="C250" s="12">
        <v>1</v>
      </c>
      <c r="D250" s="13" t="s">
        <v>643</v>
      </c>
      <c r="E250" s="6">
        <v>880</v>
      </c>
      <c r="F250" s="6">
        <v>857</v>
      </c>
      <c r="G250" s="6">
        <v>26275676</v>
      </c>
      <c r="H250" s="6">
        <v>105600</v>
      </c>
      <c r="I250" s="6">
        <v>102840</v>
      </c>
      <c r="J250" s="7">
        <v>87706.1</v>
      </c>
      <c r="K250" s="7">
        <v>87706.1</v>
      </c>
      <c r="L250" s="7">
        <v>87706.1</v>
      </c>
      <c r="M250" s="12">
        <v>1</v>
      </c>
      <c r="N250" s="7">
        <v>15133.9</v>
      </c>
      <c r="O250" s="7">
        <v>15133.9</v>
      </c>
      <c r="P250" s="7">
        <v>1371.2</v>
      </c>
      <c r="Q250" s="6">
        <v>105600</v>
      </c>
      <c r="R250" s="7">
        <v>23044.34</v>
      </c>
      <c r="S250" s="7">
        <v>128644.34</v>
      </c>
      <c r="T250" s="7">
        <v>32161.09</v>
      </c>
      <c r="U250" s="7">
        <v>8524.35</v>
      </c>
      <c r="V250" s="7">
        <v>0</v>
      </c>
      <c r="W250" s="7">
        <v>8192.69</v>
      </c>
      <c r="X250" s="7">
        <v>0</v>
      </c>
      <c r="Y250" s="7">
        <v>0</v>
      </c>
      <c r="Z250" s="7">
        <v>-12950.22</v>
      </c>
      <c r="AA250" s="7">
        <v>1255.6099999999999</v>
      </c>
      <c r="AB250" s="7">
        <v>0</v>
      </c>
      <c r="AC250" s="7">
        <v>0</v>
      </c>
      <c r="AD250" s="7">
        <v>0</v>
      </c>
      <c r="AE250" s="7">
        <v>87706.1</v>
      </c>
      <c r="AF250" s="7">
        <v>15133.9</v>
      </c>
    </row>
    <row r="251" spans="1:32" x14ac:dyDescent="0.25">
      <c r="A251" s="12" t="s">
        <v>38</v>
      </c>
      <c r="B251" s="12">
        <v>833</v>
      </c>
      <c r="C251" s="12">
        <v>1</v>
      </c>
      <c r="D251" s="13" t="s">
        <v>644</v>
      </c>
      <c r="E251" s="6">
        <v>7894</v>
      </c>
      <c r="F251" s="6">
        <v>7887</v>
      </c>
      <c r="G251" s="6">
        <v>116871861</v>
      </c>
      <c r="H251" s="6">
        <v>947280</v>
      </c>
      <c r="I251" s="6">
        <v>946440</v>
      </c>
      <c r="J251" s="7">
        <v>390108.92</v>
      </c>
      <c r="K251" s="7">
        <v>390108.92</v>
      </c>
      <c r="L251" s="7">
        <v>390108.92</v>
      </c>
      <c r="M251" s="12">
        <v>1</v>
      </c>
      <c r="N251" s="7">
        <v>556331.07999999996</v>
      </c>
      <c r="O251" s="7">
        <v>556331.07999999996</v>
      </c>
      <c r="P251" s="7">
        <v>12619.2</v>
      </c>
      <c r="Q251" s="6">
        <v>947280</v>
      </c>
      <c r="R251" s="7">
        <v>164554.13</v>
      </c>
      <c r="S251" s="7">
        <v>1111834.1299999999</v>
      </c>
      <c r="T251" s="7">
        <v>277958.53000000003</v>
      </c>
      <c r="U251" s="7">
        <v>181214.96</v>
      </c>
      <c r="V251" s="7">
        <v>0</v>
      </c>
      <c r="W251" s="7">
        <v>134209.59</v>
      </c>
      <c r="X251" s="7">
        <v>0</v>
      </c>
      <c r="Y251" s="7">
        <v>0</v>
      </c>
      <c r="Z251" s="7">
        <v>159187.16</v>
      </c>
      <c r="AA251" s="7">
        <v>158203.9</v>
      </c>
      <c r="AB251" s="7">
        <v>0</v>
      </c>
      <c r="AC251" s="7">
        <v>0</v>
      </c>
      <c r="AD251" s="7">
        <v>0</v>
      </c>
      <c r="AE251" s="7">
        <v>390108.92</v>
      </c>
      <c r="AF251" s="7">
        <v>556331.07999999996</v>
      </c>
    </row>
    <row r="252" spans="1:32" x14ac:dyDescent="0.25">
      <c r="A252" s="12" t="s">
        <v>38</v>
      </c>
      <c r="B252" s="12">
        <v>834</v>
      </c>
      <c r="C252" s="12">
        <v>1</v>
      </c>
      <c r="D252" s="13" t="s">
        <v>645</v>
      </c>
      <c r="E252" s="6">
        <v>3930</v>
      </c>
      <c r="F252" s="6">
        <v>3965</v>
      </c>
      <c r="G252" s="6">
        <v>97858388</v>
      </c>
      <c r="H252" s="6">
        <v>471600</v>
      </c>
      <c r="I252" s="6">
        <v>475800</v>
      </c>
      <c r="J252" s="7">
        <v>326643.46999999997</v>
      </c>
      <c r="K252" s="7">
        <v>326643.46999999997</v>
      </c>
      <c r="L252" s="7">
        <v>326643.46999999997</v>
      </c>
      <c r="M252" s="12">
        <v>1</v>
      </c>
      <c r="N252" s="7">
        <v>149156.53</v>
      </c>
      <c r="O252" s="7">
        <v>149156.53</v>
      </c>
      <c r="P252" s="7">
        <v>6344</v>
      </c>
      <c r="Q252" s="6">
        <v>471600</v>
      </c>
      <c r="R252" s="7">
        <v>60185.83</v>
      </c>
      <c r="S252" s="7">
        <v>531785.82999999996</v>
      </c>
      <c r="T252" s="7">
        <v>132946.46</v>
      </c>
      <c r="U252" s="7">
        <v>0</v>
      </c>
      <c r="V252" s="7">
        <v>0</v>
      </c>
      <c r="W252" s="7">
        <v>2089.04</v>
      </c>
      <c r="X252" s="7">
        <v>0</v>
      </c>
      <c r="Y252" s="7">
        <v>0</v>
      </c>
      <c r="Z252" s="7">
        <v>586.17999999999995</v>
      </c>
      <c r="AA252" s="7">
        <v>891.74</v>
      </c>
      <c r="AB252" s="7">
        <v>0</v>
      </c>
      <c r="AC252" s="7">
        <v>0</v>
      </c>
      <c r="AD252" s="7">
        <v>0</v>
      </c>
      <c r="AE252" s="7">
        <v>326643.46999999997</v>
      </c>
      <c r="AF252" s="7">
        <v>149156.53</v>
      </c>
    </row>
    <row r="253" spans="1:32" x14ac:dyDescent="0.25">
      <c r="A253" s="12" t="s">
        <v>38</v>
      </c>
      <c r="B253" s="12">
        <v>836</v>
      </c>
      <c r="C253" s="12">
        <v>1</v>
      </c>
      <c r="D253" s="13" t="s">
        <v>646</v>
      </c>
      <c r="E253" s="6">
        <v>52</v>
      </c>
      <c r="F253" s="6">
        <v>50</v>
      </c>
      <c r="G253" s="6">
        <v>2092464</v>
      </c>
      <c r="H253" s="6">
        <v>18000</v>
      </c>
      <c r="I253" s="6">
        <v>18000</v>
      </c>
      <c r="J253" s="7">
        <v>6984.48</v>
      </c>
      <c r="K253" s="7">
        <v>6984.48</v>
      </c>
      <c r="L253" s="7">
        <v>6984.48</v>
      </c>
      <c r="M253" s="12">
        <v>1</v>
      </c>
      <c r="N253" s="7">
        <v>11015.52</v>
      </c>
      <c r="O253" s="7">
        <v>11015.52</v>
      </c>
      <c r="P253" s="7">
        <v>80</v>
      </c>
      <c r="Q253" s="6">
        <v>18000</v>
      </c>
      <c r="R253" s="7">
        <v>83.2</v>
      </c>
      <c r="S253" s="7">
        <v>18083.2</v>
      </c>
      <c r="T253" s="7">
        <v>4520.8</v>
      </c>
      <c r="U253" s="7">
        <v>3690.85</v>
      </c>
      <c r="V253" s="7">
        <v>0</v>
      </c>
      <c r="W253" s="7">
        <v>3045.76</v>
      </c>
      <c r="X253" s="7">
        <v>0</v>
      </c>
      <c r="Y253" s="7">
        <v>0</v>
      </c>
      <c r="Z253" s="7">
        <v>3082.65</v>
      </c>
      <c r="AA253" s="7">
        <v>3273.09</v>
      </c>
      <c r="AB253" s="7">
        <v>0</v>
      </c>
      <c r="AC253" s="7">
        <v>0</v>
      </c>
      <c r="AD253" s="7">
        <v>0</v>
      </c>
      <c r="AE253" s="7">
        <v>6984.48</v>
      </c>
      <c r="AF253" s="7">
        <v>11015.52</v>
      </c>
    </row>
    <row r="254" spans="1:32" x14ac:dyDescent="0.25">
      <c r="A254" s="12" t="s">
        <v>38</v>
      </c>
      <c r="B254" s="12">
        <v>837</v>
      </c>
      <c r="C254" s="12">
        <v>1</v>
      </c>
      <c r="D254" s="13" t="s">
        <v>647</v>
      </c>
      <c r="E254" s="6">
        <v>240</v>
      </c>
      <c r="F254" s="6">
        <v>242</v>
      </c>
      <c r="G254" s="6">
        <v>4260393</v>
      </c>
      <c r="H254" s="6">
        <v>28800</v>
      </c>
      <c r="I254" s="6">
        <v>29040</v>
      </c>
      <c r="J254" s="7">
        <v>14220.85</v>
      </c>
      <c r="K254" s="7">
        <v>14220.85</v>
      </c>
      <c r="L254" s="7">
        <v>14220.85</v>
      </c>
      <c r="M254" s="12">
        <v>1</v>
      </c>
      <c r="N254" s="7">
        <v>14819.15</v>
      </c>
      <c r="O254" s="7">
        <v>14819.15</v>
      </c>
      <c r="P254" s="7">
        <v>387.2</v>
      </c>
      <c r="Q254" s="6">
        <v>28800</v>
      </c>
      <c r="R254" s="7">
        <v>1927.5</v>
      </c>
      <c r="S254" s="7">
        <v>30727.5</v>
      </c>
      <c r="T254" s="7">
        <v>7681.88</v>
      </c>
      <c r="U254" s="7">
        <v>142.66999999999999</v>
      </c>
      <c r="V254" s="7">
        <v>0</v>
      </c>
      <c r="W254" s="7">
        <v>1335.77</v>
      </c>
      <c r="X254" s="7">
        <v>0</v>
      </c>
      <c r="Y254" s="7">
        <v>0</v>
      </c>
      <c r="Z254" s="7">
        <v>65.58</v>
      </c>
      <c r="AA254" s="7">
        <v>514.66999999999996</v>
      </c>
      <c r="AB254" s="7">
        <v>0</v>
      </c>
      <c r="AC254" s="7">
        <v>0</v>
      </c>
      <c r="AD254" s="7">
        <v>0</v>
      </c>
      <c r="AE254" s="7">
        <v>14220.85</v>
      </c>
      <c r="AF254" s="7">
        <v>14819.15</v>
      </c>
    </row>
    <row r="255" spans="1:32" x14ac:dyDescent="0.25">
      <c r="A255" s="12" t="s">
        <v>38</v>
      </c>
      <c r="B255" s="12">
        <v>840</v>
      </c>
      <c r="C255" s="12">
        <v>1</v>
      </c>
      <c r="D255" s="13" t="s">
        <v>648</v>
      </c>
      <c r="E255" s="6">
        <v>432</v>
      </c>
      <c r="F255" s="6">
        <v>442</v>
      </c>
      <c r="G255" s="6">
        <v>6719627</v>
      </c>
      <c r="H255" s="6">
        <v>51840</v>
      </c>
      <c r="I255" s="6">
        <v>53040</v>
      </c>
      <c r="J255" s="7">
        <v>22429.58</v>
      </c>
      <c r="K255" s="7">
        <v>22429.58</v>
      </c>
      <c r="L255" s="7">
        <v>22429.58</v>
      </c>
      <c r="M255" s="12">
        <v>1</v>
      </c>
      <c r="N255" s="7">
        <v>30610.42</v>
      </c>
      <c r="O255" s="7">
        <v>30610.42</v>
      </c>
      <c r="P255" s="7">
        <v>707.2</v>
      </c>
      <c r="Q255" s="6">
        <v>51840</v>
      </c>
      <c r="R255" s="7">
        <v>169076.93</v>
      </c>
      <c r="S255" s="7">
        <v>220916.93</v>
      </c>
      <c r="T255" s="7">
        <v>55229.23</v>
      </c>
      <c r="U255" s="7">
        <v>15664.51</v>
      </c>
      <c r="V255" s="7">
        <v>0</v>
      </c>
      <c r="W255" s="7">
        <v>15873.12</v>
      </c>
      <c r="X255" s="7">
        <v>0</v>
      </c>
      <c r="Y255" s="7">
        <v>0</v>
      </c>
      <c r="Z255" s="7">
        <v>16631.5</v>
      </c>
      <c r="AA255" s="7">
        <v>16056.38</v>
      </c>
      <c r="AB255" s="7">
        <v>0</v>
      </c>
      <c r="AC255" s="7">
        <v>0</v>
      </c>
      <c r="AD255" s="7">
        <v>0</v>
      </c>
      <c r="AE255" s="7">
        <v>22429.58</v>
      </c>
      <c r="AF255" s="7">
        <v>30610.42</v>
      </c>
    </row>
    <row r="256" spans="1:32" x14ac:dyDescent="0.25">
      <c r="A256" s="12" t="s">
        <v>38</v>
      </c>
      <c r="B256" s="12">
        <v>846</v>
      </c>
      <c r="C256" s="12">
        <v>1</v>
      </c>
      <c r="D256" s="13" t="s">
        <v>649</v>
      </c>
      <c r="E256" s="6">
        <v>386</v>
      </c>
      <c r="F256" s="6">
        <v>384</v>
      </c>
      <c r="G256" s="6">
        <v>6405948</v>
      </c>
      <c r="H256" s="6">
        <v>46320</v>
      </c>
      <c r="I256" s="6">
        <v>46080</v>
      </c>
      <c r="J256" s="7">
        <v>21382.54</v>
      </c>
      <c r="K256" s="7">
        <v>21382.54</v>
      </c>
      <c r="L256" s="7">
        <v>21382.54</v>
      </c>
      <c r="M256" s="12">
        <v>1</v>
      </c>
      <c r="N256" s="7">
        <v>24697.46</v>
      </c>
      <c r="O256" s="7">
        <v>24697.46</v>
      </c>
      <c r="P256" s="7">
        <v>614.4</v>
      </c>
      <c r="Q256" s="6">
        <v>46320</v>
      </c>
      <c r="R256" s="7">
        <v>50739.4</v>
      </c>
      <c r="S256" s="7">
        <v>97059.4</v>
      </c>
      <c r="T256" s="7">
        <v>24264.85</v>
      </c>
      <c r="U256" s="7">
        <v>20446.240000000002</v>
      </c>
      <c r="V256" s="7">
        <v>0</v>
      </c>
      <c r="W256" s="7">
        <v>20127.98</v>
      </c>
      <c r="X256" s="7">
        <v>0</v>
      </c>
      <c r="Y256" s="7">
        <v>0</v>
      </c>
      <c r="Z256" s="7">
        <v>17502.349999999999</v>
      </c>
      <c r="AA256" s="7">
        <v>19358.86</v>
      </c>
      <c r="AB256" s="7">
        <v>0</v>
      </c>
      <c r="AC256" s="7">
        <v>0</v>
      </c>
      <c r="AD256" s="7">
        <v>0</v>
      </c>
      <c r="AE256" s="7">
        <v>21382.54</v>
      </c>
      <c r="AF256" s="7">
        <v>24697.46</v>
      </c>
    </row>
    <row r="257" spans="1:32" x14ac:dyDescent="0.25">
      <c r="A257" s="12" t="s">
        <v>38</v>
      </c>
      <c r="B257" s="12">
        <v>850</v>
      </c>
      <c r="C257" s="12">
        <v>1</v>
      </c>
      <c r="D257" s="13" t="s">
        <v>650</v>
      </c>
      <c r="E257" s="6">
        <v>38</v>
      </c>
      <c r="F257" s="6">
        <v>60</v>
      </c>
      <c r="G257" s="6">
        <v>2101180</v>
      </c>
      <c r="H257" s="6">
        <v>18000</v>
      </c>
      <c r="I257" s="6">
        <v>18000</v>
      </c>
      <c r="J257" s="7">
        <v>7013.57</v>
      </c>
      <c r="K257" s="7">
        <v>7013.57</v>
      </c>
      <c r="L257" s="7">
        <v>7013.57</v>
      </c>
      <c r="M257" s="12">
        <v>1</v>
      </c>
      <c r="N257" s="7">
        <v>10986.43</v>
      </c>
      <c r="O257" s="7">
        <v>10986.43</v>
      </c>
      <c r="P257" s="7">
        <v>96</v>
      </c>
      <c r="Q257" s="6">
        <v>18000</v>
      </c>
      <c r="R257" s="7">
        <v>27579.66</v>
      </c>
      <c r="S257" s="7">
        <v>45579.66</v>
      </c>
      <c r="T257" s="7">
        <v>11394.92</v>
      </c>
      <c r="U257" s="7">
        <v>-19063.39</v>
      </c>
      <c r="V257" s="7">
        <v>0</v>
      </c>
      <c r="W257" s="7">
        <v>-24230.81</v>
      </c>
      <c r="X257" s="7">
        <v>0</v>
      </c>
      <c r="Y257" s="7">
        <v>0</v>
      </c>
      <c r="Z257" s="7">
        <v>0</v>
      </c>
      <c r="AA257" s="7">
        <v>-14431.4</v>
      </c>
      <c r="AB257" s="7">
        <v>0</v>
      </c>
      <c r="AC257" s="7">
        <v>0</v>
      </c>
      <c r="AD257" s="7">
        <v>0</v>
      </c>
      <c r="AE257" s="7">
        <v>7013.57</v>
      </c>
      <c r="AF257" s="7">
        <v>10986.43</v>
      </c>
    </row>
    <row r="258" spans="1:32" x14ac:dyDescent="0.25">
      <c r="A258" s="12" t="s">
        <v>38</v>
      </c>
      <c r="B258" s="12">
        <v>852</v>
      </c>
      <c r="C258" s="12">
        <v>1</v>
      </c>
      <c r="D258" s="13" t="s">
        <v>651</v>
      </c>
      <c r="E258" s="6">
        <v>32</v>
      </c>
      <c r="F258" s="6">
        <v>43</v>
      </c>
      <c r="G258" s="6">
        <v>3968884</v>
      </c>
      <c r="H258" s="6">
        <v>18000</v>
      </c>
      <c r="I258" s="6">
        <v>18000</v>
      </c>
      <c r="J258" s="7">
        <v>13247.82</v>
      </c>
      <c r="K258" s="7">
        <v>13247.82</v>
      </c>
      <c r="L258" s="7">
        <v>13247.82</v>
      </c>
      <c r="M258" s="12">
        <v>1</v>
      </c>
      <c r="N258" s="7">
        <v>4752.18</v>
      </c>
      <c r="O258" s="7">
        <v>4752.18</v>
      </c>
      <c r="P258" s="7">
        <v>68.8</v>
      </c>
      <c r="Q258" s="6">
        <v>18000</v>
      </c>
      <c r="R258" s="7">
        <v>51.2</v>
      </c>
      <c r="S258" s="7">
        <v>18051.2</v>
      </c>
      <c r="T258" s="7">
        <v>4512.8</v>
      </c>
      <c r="U258" s="7">
        <v>6582.78</v>
      </c>
      <c r="V258" s="7">
        <v>40.04</v>
      </c>
      <c r="W258" s="7">
        <v>0</v>
      </c>
      <c r="X258" s="7">
        <v>0</v>
      </c>
      <c r="Y258" s="7">
        <v>0</v>
      </c>
      <c r="Z258" s="7">
        <v>-8873.64</v>
      </c>
      <c r="AA258" s="7">
        <v>-776.97</v>
      </c>
      <c r="AB258" s="7">
        <v>0</v>
      </c>
      <c r="AC258" s="7">
        <v>0</v>
      </c>
      <c r="AD258" s="7">
        <v>0</v>
      </c>
      <c r="AE258" s="7">
        <v>13247.82</v>
      </c>
      <c r="AF258" s="7">
        <v>4752.18</v>
      </c>
    </row>
    <row r="259" spans="1:32" x14ac:dyDescent="0.25">
      <c r="A259" s="12" t="s">
        <v>38</v>
      </c>
      <c r="B259" s="12">
        <v>857</v>
      </c>
      <c r="C259" s="12">
        <v>1</v>
      </c>
      <c r="D259" s="13" t="s">
        <v>652</v>
      </c>
      <c r="E259" s="6">
        <v>302</v>
      </c>
      <c r="F259" s="6">
        <v>266</v>
      </c>
      <c r="G259" s="6">
        <v>5319558</v>
      </c>
      <c r="H259" s="6">
        <v>36240</v>
      </c>
      <c r="I259" s="6">
        <v>31920</v>
      </c>
      <c r="J259" s="7">
        <v>17756.259999999998</v>
      </c>
      <c r="K259" s="7">
        <v>17756.259999999998</v>
      </c>
      <c r="L259" s="7">
        <v>17756.259999999998</v>
      </c>
      <c r="M259" s="12">
        <v>1</v>
      </c>
      <c r="N259" s="7">
        <v>14163.74</v>
      </c>
      <c r="O259" s="7">
        <v>14163.74</v>
      </c>
      <c r="P259" s="7">
        <v>425.6</v>
      </c>
      <c r="Q259" s="6">
        <v>36240</v>
      </c>
      <c r="R259" s="7">
        <v>2840.7</v>
      </c>
      <c r="S259" s="7">
        <v>39080.699999999997</v>
      </c>
      <c r="T259" s="7">
        <v>9770.18</v>
      </c>
      <c r="U259" s="7">
        <v>40552.25</v>
      </c>
      <c r="V259" s="7">
        <v>14841.33</v>
      </c>
      <c r="W259" s="7">
        <v>33535.370000000003</v>
      </c>
      <c r="X259" s="7">
        <v>18199.43</v>
      </c>
      <c r="Y259" s="7">
        <v>0</v>
      </c>
      <c r="Z259" s="7">
        <v>33980.589999999997</v>
      </c>
      <c r="AA259" s="7">
        <v>25009.15</v>
      </c>
      <c r="AB259" s="7">
        <v>15238.97</v>
      </c>
      <c r="AC259" s="7">
        <v>8477.0400000000009</v>
      </c>
      <c r="AD259" s="7">
        <v>6761.93</v>
      </c>
      <c r="AE259" s="7">
        <v>9279.2199999999993</v>
      </c>
      <c r="AF259" s="7">
        <v>7401.81</v>
      </c>
    </row>
    <row r="260" spans="1:32" x14ac:dyDescent="0.25">
      <c r="A260" s="12" t="s">
        <v>38</v>
      </c>
      <c r="B260" s="12">
        <v>858</v>
      </c>
      <c r="C260" s="12">
        <v>1</v>
      </c>
      <c r="D260" s="13" t="s">
        <v>653</v>
      </c>
      <c r="E260" s="6">
        <v>418</v>
      </c>
      <c r="F260" s="6">
        <v>392</v>
      </c>
      <c r="G260" s="6">
        <v>6350985</v>
      </c>
      <c r="H260" s="6">
        <v>50160</v>
      </c>
      <c r="I260" s="6">
        <v>47040</v>
      </c>
      <c r="J260" s="7">
        <v>21199.08</v>
      </c>
      <c r="K260" s="7">
        <v>21199.08</v>
      </c>
      <c r="L260" s="7">
        <v>21199.08</v>
      </c>
      <c r="M260" s="12">
        <v>1</v>
      </c>
      <c r="N260" s="7">
        <v>25840.92</v>
      </c>
      <c r="O260" s="7">
        <v>25840.92</v>
      </c>
      <c r="P260" s="7">
        <v>627.20000000000005</v>
      </c>
      <c r="Q260" s="6">
        <v>50160</v>
      </c>
      <c r="R260" s="7">
        <v>5128.8</v>
      </c>
      <c r="S260" s="7">
        <v>55288.800000000003</v>
      </c>
      <c r="T260" s="7">
        <v>13822.2</v>
      </c>
      <c r="U260" s="7">
        <v>43345.3</v>
      </c>
      <c r="V260" s="7">
        <v>12480.86</v>
      </c>
      <c r="W260" s="7">
        <v>42354.96</v>
      </c>
      <c r="X260" s="7">
        <v>18688.330000000002</v>
      </c>
      <c r="Y260" s="7">
        <v>0</v>
      </c>
      <c r="Z260" s="7">
        <v>37844.370000000003</v>
      </c>
      <c r="AA260" s="7">
        <v>30791.81</v>
      </c>
      <c r="AB260" s="7">
        <v>16969.61</v>
      </c>
      <c r="AC260" s="7">
        <v>7647.54</v>
      </c>
      <c r="AD260" s="7">
        <v>9322.07</v>
      </c>
      <c r="AE260" s="7">
        <v>13551.54</v>
      </c>
      <c r="AF260" s="7">
        <v>16518.849999999999</v>
      </c>
    </row>
    <row r="261" spans="1:32" x14ac:dyDescent="0.25">
      <c r="A261" s="12" t="s">
        <v>38</v>
      </c>
      <c r="B261" s="12">
        <v>861</v>
      </c>
      <c r="C261" s="12">
        <v>1</v>
      </c>
      <c r="D261" s="13" t="s">
        <v>654</v>
      </c>
      <c r="E261" s="6">
        <v>2067</v>
      </c>
      <c r="F261" s="6">
        <v>2068</v>
      </c>
      <c r="G261" s="6">
        <v>31498442</v>
      </c>
      <c r="H261" s="6">
        <v>248040</v>
      </c>
      <c r="I261" s="6">
        <v>248160</v>
      </c>
      <c r="J261" s="7">
        <v>105139.28</v>
      </c>
      <c r="K261" s="7">
        <v>105139.28</v>
      </c>
      <c r="L261" s="7">
        <v>105139.28</v>
      </c>
      <c r="M261" s="12">
        <v>1</v>
      </c>
      <c r="N261" s="7">
        <v>143020.72</v>
      </c>
      <c r="O261" s="7">
        <v>143020.72</v>
      </c>
      <c r="P261" s="7">
        <v>3308.8</v>
      </c>
      <c r="Q261" s="6">
        <v>248040</v>
      </c>
      <c r="R261" s="7">
        <v>16696.14</v>
      </c>
      <c r="S261" s="7">
        <v>264736.14</v>
      </c>
      <c r="T261" s="7">
        <v>66184.039999999994</v>
      </c>
      <c r="U261" s="7">
        <v>49904.76</v>
      </c>
      <c r="V261" s="7">
        <v>0</v>
      </c>
      <c r="W261" s="7">
        <v>41070.239999999998</v>
      </c>
      <c r="X261" s="7">
        <v>0</v>
      </c>
      <c r="Y261" s="7">
        <v>0</v>
      </c>
      <c r="Z261" s="7">
        <v>28653.96</v>
      </c>
      <c r="AA261" s="7">
        <v>39876.32</v>
      </c>
      <c r="AB261" s="7">
        <v>0</v>
      </c>
      <c r="AC261" s="7">
        <v>0</v>
      </c>
      <c r="AD261" s="7">
        <v>0</v>
      </c>
      <c r="AE261" s="7">
        <v>105139.28</v>
      </c>
      <c r="AF261" s="7">
        <v>143020.72</v>
      </c>
    </row>
    <row r="262" spans="1:32" x14ac:dyDescent="0.25">
      <c r="A262" s="12" t="s">
        <v>38</v>
      </c>
      <c r="B262" s="12">
        <v>876</v>
      </c>
      <c r="C262" s="12">
        <v>1</v>
      </c>
      <c r="D262" s="13" t="s">
        <v>655</v>
      </c>
      <c r="E262" s="6">
        <v>700</v>
      </c>
      <c r="F262" s="6">
        <v>733</v>
      </c>
      <c r="G262" s="6">
        <v>20497256</v>
      </c>
      <c r="H262" s="6">
        <v>84000</v>
      </c>
      <c r="I262" s="6">
        <v>87960</v>
      </c>
      <c r="J262" s="7">
        <v>68418.2</v>
      </c>
      <c r="K262" s="7">
        <v>68418.2</v>
      </c>
      <c r="L262" s="7">
        <v>68418.2</v>
      </c>
      <c r="M262" s="12">
        <v>1</v>
      </c>
      <c r="N262" s="7">
        <v>19541.8</v>
      </c>
      <c r="O262" s="7">
        <v>19541.8</v>
      </c>
      <c r="P262" s="7">
        <v>1172.8</v>
      </c>
      <c r="Q262" s="6">
        <v>84000</v>
      </c>
      <c r="R262" s="7">
        <v>42615.92</v>
      </c>
      <c r="S262" s="7">
        <v>126615.92</v>
      </c>
      <c r="T262" s="7">
        <v>31653.98</v>
      </c>
      <c r="U262" s="7">
        <v>42512.28</v>
      </c>
      <c r="V262" s="7">
        <v>0</v>
      </c>
      <c r="W262" s="7">
        <v>32122.69</v>
      </c>
      <c r="X262" s="7">
        <v>0</v>
      </c>
      <c r="Y262" s="7">
        <v>0</v>
      </c>
      <c r="Z262" s="7">
        <v>19754.86</v>
      </c>
      <c r="AA262" s="7">
        <v>31463.279999999999</v>
      </c>
      <c r="AB262" s="7">
        <v>0</v>
      </c>
      <c r="AC262" s="7">
        <v>0</v>
      </c>
      <c r="AD262" s="7">
        <v>0</v>
      </c>
      <c r="AE262" s="7">
        <v>68418.2</v>
      </c>
      <c r="AF262" s="7">
        <v>19541.8</v>
      </c>
    </row>
    <row r="263" spans="1:32" x14ac:dyDescent="0.25">
      <c r="A263" s="12" t="s">
        <v>38</v>
      </c>
      <c r="B263" s="12">
        <v>877</v>
      </c>
      <c r="C263" s="12">
        <v>1</v>
      </c>
      <c r="D263" s="13" t="s">
        <v>656</v>
      </c>
      <c r="E263" s="6">
        <v>3295</v>
      </c>
      <c r="F263" s="6">
        <v>3309</v>
      </c>
      <c r="G263" s="6">
        <v>38272454</v>
      </c>
      <c r="H263" s="6">
        <v>395400</v>
      </c>
      <c r="I263" s="6">
        <v>397080</v>
      </c>
      <c r="J263" s="7">
        <v>127750.39</v>
      </c>
      <c r="K263" s="7">
        <v>127750.39</v>
      </c>
      <c r="L263" s="7">
        <v>127750.39</v>
      </c>
      <c r="M263" s="12">
        <v>1</v>
      </c>
      <c r="N263" s="7">
        <v>269329.61</v>
      </c>
      <c r="O263" s="7">
        <v>269329.61</v>
      </c>
      <c r="P263" s="7">
        <v>5294.4</v>
      </c>
      <c r="Q263" s="6">
        <v>395400</v>
      </c>
      <c r="R263" s="7">
        <v>305583.86</v>
      </c>
      <c r="S263" s="7">
        <v>700983.86</v>
      </c>
      <c r="T263" s="7">
        <v>175245.97</v>
      </c>
      <c r="U263" s="7">
        <v>81675.520000000004</v>
      </c>
      <c r="V263" s="7">
        <v>0</v>
      </c>
      <c r="W263" s="7">
        <v>69225.67</v>
      </c>
      <c r="X263" s="7">
        <v>0</v>
      </c>
      <c r="Y263" s="7">
        <v>0</v>
      </c>
      <c r="Z263" s="7">
        <v>133839.98000000001</v>
      </c>
      <c r="AA263" s="7">
        <v>94913.72</v>
      </c>
      <c r="AB263" s="7">
        <v>0</v>
      </c>
      <c r="AC263" s="7">
        <v>0</v>
      </c>
      <c r="AD263" s="7">
        <v>0</v>
      </c>
      <c r="AE263" s="7">
        <v>127750.39</v>
      </c>
      <c r="AF263" s="7">
        <v>269329.61</v>
      </c>
    </row>
    <row r="264" spans="1:32" x14ac:dyDescent="0.25">
      <c r="A264" s="12" t="s">
        <v>38</v>
      </c>
      <c r="B264" s="12">
        <v>879</v>
      </c>
      <c r="C264" s="12">
        <v>1</v>
      </c>
      <c r="D264" s="13" t="s">
        <v>657</v>
      </c>
      <c r="E264" s="6">
        <v>900</v>
      </c>
      <c r="F264" s="6">
        <v>905</v>
      </c>
      <c r="G264" s="6">
        <v>17611864</v>
      </c>
      <c r="H264" s="6">
        <v>108000</v>
      </c>
      <c r="I264" s="6">
        <v>108600</v>
      </c>
      <c r="J264" s="7">
        <v>58786.99</v>
      </c>
      <c r="K264" s="7">
        <v>58786.99</v>
      </c>
      <c r="L264" s="7">
        <v>58786.99</v>
      </c>
      <c r="M264" s="12">
        <v>1</v>
      </c>
      <c r="N264" s="7">
        <v>49813.01</v>
      </c>
      <c r="O264" s="7">
        <v>49813.01</v>
      </c>
      <c r="P264" s="7">
        <v>1448</v>
      </c>
      <c r="Q264" s="6">
        <v>108000</v>
      </c>
      <c r="R264" s="7">
        <v>41560.160000000003</v>
      </c>
      <c r="S264" s="7">
        <v>149560.16</v>
      </c>
      <c r="T264" s="7">
        <v>37390.04</v>
      </c>
      <c r="U264" s="7">
        <v>8764.89</v>
      </c>
      <c r="V264" s="7">
        <v>0</v>
      </c>
      <c r="W264" s="7">
        <v>13086.56</v>
      </c>
      <c r="X264" s="7">
        <v>0</v>
      </c>
      <c r="Y264" s="7">
        <v>0</v>
      </c>
      <c r="Z264" s="7">
        <v>3368.49</v>
      </c>
      <c r="AA264" s="7">
        <v>8406.65</v>
      </c>
      <c r="AB264" s="7">
        <v>0</v>
      </c>
      <c r="AC264" s="7">
        <v>0</v>
      </c>
      <c r="AD264" s="7">
        <v>0</v>
      </c>
      <c r="AE264" s="7">
        <v>58786.99</v>
      </c>
      <c r="AF264" s="7">
        <v>49813.01</v>
      </c>
    </row>
    <row r="265" spans="1:32" x14ac:dyDescent="0.25">
      <c r="A265" s="12" t="s">
        <v>38</v>
      </c>
      <c r="B265" s="12">
        <v>881</v>
      </c>
      <c r="C265" s="12">
        <v>1</v>
      </c>
      <c r="D265" s="13" t="s">
        <v>658</v>
      </c>
      <c r="E265" s="6">
        <v>462</v>
      </c>
      <c r="F265" s="6">
        <v>460</v>
      </c>
      <c r="G265" s="6">
        <v>7290486</v>
      </c>
      <c r="H265" s="6">
        <v>55440</v>
      </c>
      <c r="I265" s="6">
        <v>55200</v>
      </c>
      <c r="J265" s="7">
        <v>24335.06</v>
      </c>
      <c r="K265" s="7">
        <v>24335.06</v>
      </c>
      <c r="L265" s="7">
        <v>24335.06</v>
      </c>
      <c r="M265" s="12">
        <v>1</v>
      </c>
      <c r="N265" s="7">
        <v>30864.94</v>
      </c>
      <c r="O265" s="7">
        <v>30864.94</v>
      </c>
      <c r="P265" s="7">
        <v>736</v>
      </c>
      <c r="Q265" s="6">
        <v>55440</v>
      </c>
      <c r="R265" s="7">
        <v>739.2</v>
      </c>
      <c r="S265" s="7">
        <v>56179.199999999997</v>
      </c>
      <c r="T265" s="7">
        <v>14044.8</v>
      </c>
      <c r="U265" s="7">
        <v>24026.03</v>
      </c>
      <c r="V265" s="7">
        <v>4297.01</v>
      </c>
      <c r="W265" s="7">
        <v>23867.62</v>
      </c>
      <c r="X265" s="7">
        <v>5657.85</v>
      </c>
      <c r="Y265" s="7">
        <v>0</v>
      </c>
      <c r="Z265" s="7">
        <v>20585.689999999999</v>
      </c>
      <c r="AA265" s="7">
        <v>19508.16</v>
      </c>
      <c r="AB265" s="7">
        <v>5463.36</v>
      </c>
      <c r="AC265" s="7">
        <v>2408.54</v>
      </c>
      <c r="AD265" s="7">
        <v>3054.82</v>
      </c>
      <c r="AE265" s="7">
        <v>21926.52</v>
      </c>
      <c r="AF265" s="7">
        <v>27810.12</v>
      </c>
    </row>
    <row r="266" spans="1:32" x14ac:dyDescent="0.25">
      <c r="A266" s="12" t="s">
        <v>38</v>
      </c>
      <c r="B266" s="12">
        <v>882</v>
      </c>
      <c r="C266" s="12">
        <v>1</v>
      </c>
      <c r="D266" s="13" t="s">
        <v>659</v>
      </c>
      <c r="E266" s="6">
        <v>1582</v>
      </c>
      <c r="F266" s="6">
        <v>1569</v>
      </c>
      <c r="G266" s="6">
        <v>27652395</v>
      </c>
      <c r="H266" s="6">
        <v>189840</v>
      </c>
      <c r="I266" s="6">
        <v>188280</v>
      </c>
      <c r="J266" s="7">
        <v>92301.48</v>
      </c>
      <c r="K266" s="7">
        <v>92301.48</v>
      </c>
      <c r="L266" s="7">
        <v>92301.48</v>
      </c>
      <c r="M266" s="12">
        <v>1</v>
      </c>
      <c r="N266" s="7">
        <v>95978.52</v>
      </c>
      <c r="O266" s="7">
        <v>95978.52</v>
      </c>
      <c r="P266" s="7">
        <v>2510.4</v>
      </c>
      <c r="Q266" s="6">
        <v>189840</v>
      </c>
      <c r="R266" s="7">
        <v>19991.650000000001</v>
      </c>
      <c r="S266" s="7">
        <v>209831.65</v>
      </c>
      <c r="T266" s="7">
        <v>52457.91</v>
      </c>
      <c r="U266" s="7">
        <v>13570.7</v>
      </c>
      <c r="V266" s="7">
        <v>0</v>
      </c>
      <c r="W266" s="7">
        <v>15356.61</v>
      </c>
      <c r="X266" s="7">
        <v>0</v>
      </c>
      <c r="Y266" s="7">
        <v>0</v>
      </c>
      <c r="Z266" s="7">
        <v>17675.37</v>
      </c>
      <c r="AA266" s="7">
        <v>15534.23</v>
      </c>
      <c r="AB266" s="7">
        <v>0</v>
      </c>
      <c r="AC266" s="7">
        <v>0</v>
      </c>
      <c r="AD266" s="7">
        <v>0</v>
      </c>
      <c r="AE266" s="7">
        <v>92301.48</v>
      </c>
      <c r="AF266" s="7">
        <v>95978.52</v>
      </c>
    </row>
    <row r="267" spans="1:32" x14ac:dyDescent="0.25">
      <c r="A267" s="12" t="s">
        <v>38</v>
      </c>
      <c r="B267" s="12">
        <v>883</v>
      </c>
      <c r="C267" s="12">
        <v>1</v>
      </c>
      <c r="D267" s="13" t="s">
        <v>660</v>
      </c>
      <c r="E267" s="6">
        <v>726</v>
      </c>
      <c r="F267" s="6">
        <v>673</v>
      </c>
      <c r="G267" s="6">
        <v>12433229</v>
      </c>
      <c r="H267" s="6">
        <v>87120</v>
      </c>
      <c r="I267" s="6">
        <v>80760</v>
      </c>
      <c r="J267" s="7">
        <v>41501.120000000003</v>
      </c>
      <c r="K267" s="7">
        <v>41501.120000000003</v>
      </c>
      <c r="L267" s="7">
        <v>41501.120000000003</v>
      </c>
      <c r="M267" s="12">
        <v>1</v>
      </c>
      <c r="N267" s="7">
        <v>39258.879999999997</v>
      </c>
      <c r="O267" s="7">
        <v>39258.879999999997</v>
      </c>
      <c r="P267" s="7">
        <v>1076.8</v>
      </c>
      <c r="Q267" s="6">
        <v>87120</v>
      </c>
      <c r="R267" s="7">
        <v>10890.65</v>
      </c>
      <c r="S267" s="7">
        <v>98010.65</v>
      </c>
      <c r="T267" s="7">
        <v>24502.66</v>
      </c>
      <c r="U267" s="7">
        <v>18868.3</v>
      </c>
      <c r="V267" s="7">
        <v>0</v>
      </c>
      <c r="W267" s="7">
        <v>20064.97</v>
      </c>
      <c r="X267" s="7">
        <v>0</v>
      </c>
      <c r="Y267" s="7">
        <v>0</v>
      </c>
      <c r="Z267" s="7">
        <v>20464.37</v>
      </c>
      <c r="AA267" s="7">
        <v>19799.21</v>
      </c>
      <c r="AB267" s="7">
        <v>0</v>
      </c>
      <c r="AC267" s="7">
        <v>0</v>
      </c>
      <c r="AD267" s="7">
        <v>0</v>
      </c>
      <c r="AE267" s="7">
        <v>41501.120000000003</v>
      </c>
      <c r="AF267" s="7">
        <v>39258.879999999997</v>
      </c>
    </row>
    <row r="268" spans="1:32" x14ac:dyDescent="0.25">
      <c r="A268" s="12" t="s">
        <v>38</v>
      </c>
      <c r="B268" s="12">
        <v>885</v>
      </c>
      <c r="C268" s="12">
        <v>1</v>
      </c>
      <c r="D268" s="13" t="s">
        <v>661</v>
      </c>
      <c r="E268" s="6">
        <v>1873</v>
      </c>
      <c r="F268" s="6">
        <v>1878</v>
      </c>
      <c r="G268" s="6">
        <v>24022560</v>
      </c>
      <c r="H268" s="6">
        <v>224760</v>
      </c>
      <c r="I268" s="6">
        <v>225360</v>
      </c>
      <c r="J268" s="7">
        <v>80185.38</v>
      </c>
      <c r="K268" s="7">
        <v>80185.38</v>
      </c>
      <c r="L268" s="7">
        <v>80185.38</v>
      </c>
      <c r="M268" s="12">
        <v>1</v>
      </c>
      <c r="N268" s="7">
        <v>145174.62</v>
      </c>
      <c r="O268" s="7">
        <v>145174.62</v>
      </c>
      <c r="P268" s="7">
        <v>3004.8</v>
      </c>
      <c r="Q268" s="6">
        <v>224760</v>
      </c>
      <c r="R268" s="7">
        <v>34579.300000000003</v>
      </c>
      <c r="S268" s="7">
        <v>259339.3</v>
      </c>
      <c r="T268" s="7">
        <v>64834.83</v>
      </c>
      <c r="U268" s="7">
        <v>125019.83</v>
      </c>
      <c r="V268" s="7">
        <v>10808.63</v>
      </c>
      <c r="W268" s="7">
        <v>129161.97</v>
      </c>
      <c r="X268" s="7">
        <v>34500.28</v>
      </c>
      <c r="Y268" s="7">
        <v>0</v>
      </c>
      <c r="Z268" s="7">
        <v>36928.5</v>
      </c>
      <c r="AA268" s="7">
        <v>81933.8</v>
      </c>
      <c r="AB268" s="7">
        <v>17098.97</v>
      </c>
      <c r="AC268" s="7">
        <v>6083.99</v>
      </c>
      <c r="AD268" s="7">
        <v>11014.98</v>
      </c>
      <c r="AE268" s="7">
        <v>74101.39</v>
      </c>
      <c r="AF268" s="7">
        <v>134159.64000000001</v>
      </c>
    </row>
    <row r="269" spans="1:32" x14ac:dyDescent="0.25">
      <c r="A269" s="12" t="s">
        <v>38</v>
      </c>
      <c r="B269" s="12">
        <v>891</v>
      </c>
      <c r="C269" s="12">
        <v>1</v>
      </c>
      <c r="D269" s="13" t="s">
        <v>662</v>
      </c>
      <c r="E269" s="6">
        <v>168</v>
      </c>
      <c r="F269" s="6">
        <v>167</v>
      </c>
      <c r="G269" s="6">
        <v>4518630</v>
      </c>
      <c r="H269" s="6">
        <v>20160</v>
      </c>
      <c r="I269" s="6">
        <v>20040</v>
      </c>
      <c r="J269" s="7">
        <v>15082.83</v>
      </c>
      <c r="K269" s="7">
        <v>15082.83</v>
      </c>
      <c r="L269" s="7">
        <v>15082.83</v>
      </c>
      <c r="M269" s="12">
        <v>1</v>
      </c>
      <c r="N269" s="7">
        <v>4957.17</v>
      </c>
      <c r="O269" s="7">
        <v>4957.17</v>
      </c>
      <c r="P269" s="7">
        <v>267.2</v>
      </c>
      <c r="Q269" s="6">
        <v>20160</v>
      </c>
      <c r="R269" s="7">
        <v>57477.05</v>
      </c>
      <c r="S269" s="7">
        <v>77637.05</v>
      </c>
      <c r="T269" s="7">
        <v>19409.259999999998</v>
      </c>
      <c r="U269" s="7">
        <v>-16754.669999999998</v>
      </c>
      <c r="V269" s="7">
        <v>0</v>
      </c>
      <c r="W269" s="7">
        <v>-43526.61</v>
      </c>
      <c r="X269" s="7">
        <v>0</v>
      </c>
      <c r="Y269" s="7">
        <v>0</v>
      </c>
      <c r="Z269" s="7">
        <v>-2506.16</v>
      </c>
      <c r="AA269" s="7">
        <v>-20929.150000000001</v>
      </c>
      <c r="AB269" s="7">
        <v>0</v>
      </c>
      <c r="AC269" s="7">
        <v>0</v>
      </c>
      <c r="AD269" s="7">
        <v>0</v>
      </c>
      <c r="AE269" s="7">
        <v>15082.83</v>
      </c>
      <c r="AF269" s="7">
        <v>4957.17</v>
      </c>
    </row>
    <row r="270" spans="1:32" x14ac:dyDescent="0.25">
      <c r="A270" s="12" t="s">
        <v>38</v>
      </c>
      <c r="B270" s="12">
        <v>911</v>
      </c>
      <c r="C270" s="12">
        <v>1</v>
      </c>
      <c r="D270" s="13" t="s">
        <v>663</v>
      </c>
      <c r="E270" s="6">
        <v>1990</v>
      </c>
      <c r="F270" s="6">
        <v>2030</v>
      </c>
      <c r="G270" s="6">
        <v>30067681</v>
      </c>
      <c r="H270" s="6">
        <v>238800</v>
      </c>
      <c r="I270" s="6">
        <v>243600</v>
      </c>
      <c r="J270" s="7">
        <v>100363.51</v>
      </c>
      <c r="K270" s="7">
        <v>100363.51</v>
      </c>
      <c r="L270" s="7">
        <v>100363.51</v>
      </c>
      <c r="M270" s="12">
        <v>1</v>
      </c>
      <c r="N270" s="7">
        <v>143236.49</v>
      </c>
      <c r="O270" s="7">
        <v>143236.49</v>
      </c>
      <c r="P270" s="7">
        <v>3248</v>
      </c>
      <c r="Q270" s="6">
        <v>238800</v>
      </c>
      <c r="R270" s="7">
        <v>22440.05</v>
      </c>
      <c r="S270" s="7">
        <v>261240.05</v>
      </c>
      <c r="T270" s="7">
        <v>65310.01</v>
      </c>
      <c r="U270" s="7">
        <v>55366.43</v>
      </c>
      <c r="V270" s="7">
        <v>0</v>
      </c>
      <c r="W270" s="7">
        <v>52969.96</v>
      </c>
      <c r="X270" s="7">
        <v>0</v>
      </c>
      <c r="Y270" s="7">
        <v>0</v>
      </c>
      <c r="Z270" s="7">
        <v>55719.06</v>
      </c>
      <c r="AA270" s="7">
        <v>54685.15</v>
      </c>
      <c r="AB270" s="7">
        <v>0</v>
      </c>
      <c r="AC270" s="7">
        <v>0</v>
      </c>
      <c r="AD270" s="7">
        <v>0</v>
      </c>
      <c r="AE270" s="7">
        <v>100363.51</v>
      </c>
      <c r="AF270" s="7">
        <v>143236.49</v>
      </c>
    </row>
    <row r="271" spans="1:32" x14ac:dyDescent="0.25">
      <c r="A271" s="12" t="s">
        <v>38</v>
      </c>
      <c r="B271" s="12">
        <v>912</v>
      </c>
      <c r="C271" s="12">
        <v>1</v>
      </c>
      <c r="D271" s="13" t="s">
        <v>664</v>
      </c>
      <c r="E271" s="6">
        <v>825</v>
      </c>
      <c r="F271" s="6">
        <v>850</v>
      </c>
      <c r="G271" s="6">
        <v>10426193</v>
      </c>
      <c r="H271" s="6">
        <v>99000</v>
      </c>
      <c r="I271" s="6">
        <v>102000</v>
      </c>
      <c r="J271" s="7">
        <v>34801.800000000003</v>
      </c>
      <c r="K271" s="7">
        <v>34801.800000000003</v>
      </c>
      <c r="L271" s="7">
        <v>34801.800000000003</v>
      </c>
      <c r="M271" s="12">
        <v>1</v>
      </c>
      <c r="N271" s="7">
        <v>67198.2</v>
      </c>
      <c r="O271" s="7">
        <v>67198.2</v>
      </c>
      <c r="P271" s="7">
        <v>1360</v>
      </c>
      <c r="Q271" s="6">
        <v>99000</v>
      </c>
      <c r="R271" s="7">
        <v>11682.73</v>
      </c>
      <c r="S271" s="7">
        <v>110682.73</v>
      </c>
      <c r="T271" s="7">
        <v>27670.68</v>
      </c>
      <c r="U271" s="7">
        <v>28617.52</v>
      </c>
      <c r="V271" s="7">
        <v>0</v>
      </c>
      <c r="W271" s="7">
        <v>57024.45</v>
      </c>
      <c r="X271" s="7">
        <v>8395.2999999999993</v>
      </c>
      <c r="Y271" s="7">
        <v>0</v>
      </c>
      <c r="Z271" s="7">
        <v>3973.46</v>
      </c>
      <c r="AA271" s="7">
        <v>27073.38</v>
      </c>
      <c r="AB271" s="7">
        <v>0</v>
      </c>
      <c r="AC271" s="7">
        <v>0</v>
      </c>
      <c r="AD271" s="7">
        <v>0</v>
      </c>
      <c r="AE271" s="7">
        <v>34801.800000000003</v>
      </c>
      <c r="AF271" s="7">
        <v>67198.2</v>
      </c>
    </row>
    <row r="272" spans="1:32" x14ac:dyDescent="0.25">
      <c r="A272" s="12" t="s">
        <v>38</v>
      </c>
      <c r="B272" s="12">
        <v>914</v>
      </c>
      <c r="C272" s="12">
        <v>1</v>
      </c>
      <c r="D272" s="13" t="s">
        <v>665</v>
      </c>
      <c r="E272" s="6">
        <v>88</v>
      </c>
      <c r="F272" s="6">
        <v>84</v>
      </c>
      <c r="G272" s="6">
        <v>2221433</v>
      </c>
      <c r="H272" s="6">
        <v>18000</v>
      </c>
      <c r="I272" s="6">
        <v>18000</v>
      </c>
      <c r="J272" s="7">
        <v>7414.97</v>
      </c>
      <c r="K272" s="7">
        <v>7414.97</v>
      </c>
      <c r="L272" s="7">
        <v>7414.97</v>
      </c>
      <c r="M272" s="12">
        <v>1</v>
      </c>
      <c r="N272" s="7">
        <v>10585.03</v>
      </c>
      <c r="O272" s="7">
        <v>10585.03</v>
      </c>
      <c r="P272" s="7">
        <v>134.4</v>
      </c>
      <c r="Q272" s="6">
        <v>18000</v>
      </c>
      <c r="R272" s="7">
        <v>671.45</v>
      </c>
      <c r="S272" s="7">
        <v>18671.45</v>
      </c>
      <c r="T272" s="7">
        <v>4667.8599999999997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7414.97</v>
      </c>
      <c r="AF272" s="7">
        <v>10585.03</v>
      </c>
    </row>
    <row r="273" spans="1:32" x14ac:dyDescent="0.25">
      <c r="A273" s="12" t="s">
        <v>38</v>
      </c>
      <c r="B273" s="12">
        <v>2071</v>
      </c>
      <c r="C273" s="12">
        <v>1</v>
      </c>
      <c r="D273" s="13" t="s">
        <v>666</v>
      </c>
      <c r="E273" s="6">
        <v>403</v>
      </c>
      <c r="F273" s="6">
        <v>440</v>
      </c>
      <c r="G273" s="6">
        <v>9123497</v>
      </c>
      <c r="H273" s="6">
        <v>48360</v>
      </c>
      <c r="I273" s="6">
        <v>52800</v>
      </c>
      <c r="J273" s="7">
        <v>30453.5</v>
      </c>
      <c r="K273" s="7">
        <v>30453.5</v>
      </c>
      <c r="L273" s="7">
        <v>30453.5</v>
      </c>
      <c r="M273" s="12">
        <v>1</v>
      </c>
      <c r="N273" s="7">
        <v>22346.5</v>
      </c>
      <c r="O273" s="7">
        <v>22346.5</v>
      </c>
      <c r="P273" s="7">
        <v>704</v>
      </c>
      <c r="Q273" s="6">
        <v>48360</v>
      </c>
      <c r="R273" s="7">
        <v>9378.84</v>
      </c>
      <c r="S273" s="7">
        <v>57738.84</v>
      </c>
      <c r="T273" s="7">
        <v>14434.71</v>
      </c>
      <c r="U273" s="7">
        <v>10820.05</v>
      </c>
      <c r="V273" s="7">
        <v>0</v>
      </c>
      <c r="W273" s="7">
        <v>13750.01</v>
      </c>
      <c r="X273" s="7">
        <v>0</v>
      </c>
      <c r="Y273" s="7">
        <v>0</v>
      </c>
      <c r="Z273" s="7">
        <v>20083.03</v>
      </c>
      <c r="AA273" s="7">
        <v>14884.36</v>
      </c>
      <c r="AB273" s="7">
        <v>449.65</v>
      </c>
      <c r="AC273" s="7">
        <v>259.35000000000002</v>
      </c>
      <c r="AD273" s="7">
        <v>190.3</v>
      </c>
      <c r="AE273" s="7">
        <v>30194.15</v>
      </c>
      <c r="AF273" s="7">
        <v>22156.2</v>
      </c>
    </row>
    <row r="274" spans="1:32" x14ac:dyDescent="0.25">
      <c r="A274" s="12" t="s">
        <v>38</v>
      </c>
      <c r="B274" s="12">
        <v>2125</v>
      </c>
      <c r="C274" s="12">
        <v>1</v>
      </c>
      <c r="D274" s="13" t="s">
        <v>667</v>
      </c>
      <c r="E274" s="6">
        <v>586</v>
      </c>
      <c r="F274" s="6">
        <v>590</v>
      </c>
      <c r="G274" s="6">
        <v>8508901</v>
      </c>
      <c r="H274" s="6">
        <v>70320</v>
      </c>
      <c r="I274" s="6">
        <v>70800</v>
      </c>
      <c r="J274" s="7">
        <v>28402.03</v>
      </c>
      <c r="K274" s="7">
        <v>28402.03</v>
      </c>
      <c r="L274" s="7">
        <v>28402.03</v>
      </c>
      <c r="M274" s="12">
        <v>1</v>
      </c>
      <c r="N274" s="7">
        <v>42397.97</v>
      </c>
      <c r="O274" s="7">
        <v>42397.97</v>
      </c>
      <c r="P274" s="7">
        <v>944</v>
      </c>
      <c r="Q274" s="6">
        <v>70320</v>
      </c>
      <c r="R274" s="7">
        <v>14538.33</v>
      </c>
      <c r="S274" s="7">
        <v>84858.33</v>
      </c>
      <c r="T274" s="7">
        <v>21214.58</v>
      </c>
      <c r="U274" s="7">
        <v>23921.8</v>
      </c>
      <c r="V274" s="7">
        <v>0</v>
      </c>
      <c r="W274" s="7">
        <v>32211.89</v>
      </c>
      <c r="X274" s="7">
        <v>5202.0600000000004</v>
      </c>
      <c r="Y274" s="7">
        <v>0</v>
      </c>
      <c r="Z274" s="7">
        <v>6095.13</v>
      </c>
      <c r="AA274" s="7">
        <v>19008.919999999998</v>
      </c>
      <c r="AB274" s="7">
        <v>0</v>
      </c>
      <c r="AC274" s="7">
        <v>0</v>
      </c>
      <c r="AD274" s="7">
        <v>0</v>
      </c>
      <c r="AE274" s="7">
        <v>28402.03</v>
      </c>
      <c r="AF274" s="7">
        <v>42397.97</v>
      </c>
    </row>
    <row r="275" spans="1:32" x14ac:dyDescent="0.25">
      <c r="A275" s="12" t="s">
        <v>38</v>
      </c>
      <c r="B275" s="12">
        <v>2134</v>
      </c>
      <c r="C275" s="12">
        <v>1</v>
      </c>
      <c r="D275" s="13" t="s">
        <v>668</v>
      </c>
      <c r="E275" s="6">
        <v>278</v>
      </c>
      <c r="F275" s="6">
        <v>277</v>
      </c>
      <c r="G275" s="6">
        <v>8683473</v>
      </c>
      <c r="H275" s="6">
        <v>33360</v>
      </c>
      <c r="I275" s="6">
        <v>33240</v>
      </c>
      <c r="J275" s="7">
        <v>28984.74</v>
      </c>
      <c r="K275" s="7">
        <v>28984.74</v>
      </c>
      <c r="L275" s="7">
        <v>28984.74</v>
      </c>
      <c r="M275" s="12">
        <v>1</v>
      </c>
      <c r="N275" s="7">
        <v>4255.26</v>
      </c>
      <c r="O275" s="7">
        <v>4255.26</v>
      </c>
      <c r="P275" s="7">
        <v>0</v>
      </c>
      <c r="Q275" s="6">
        <v>33360</v>
      </c>
      <c r="R275" s="7">
        <v>1172.47</v>
      </c>
      <c r="S275" s="7">
        <v>34532.47</v>
      </c>
      <c r="T275" s="7">
        <v>8633.1200000000008</v>
      </c>
      <c r="U275" s="7">
        <v>6709.96</v>
      </c>
      <c r="V275" s="7">
        <v>0</v>
      </c>
      <c r="W275" s="7">
        <v>6782.37</v>
      </c>
      <c r="X275" s="7">
        <v>0</v>
      </c>
      <c r="Y275" s="7">
        <v>0</v>
      </c>
      <c r="Z275" s="7">
        <v>7449.59</v>
      </c>
      <c r="AA275" s="7">
        <v>6980.64</v>
      </c>
      <c r="AB275" s="7">
        <v>0</v>
      </c>
      <c r="AC275" s="7">
        <v>0</v>
      </c>
      <c r="AD275" s="7">
        <v>0</v>
      </c>
      <c r="AE275" s="7">
        <v>28984.74</v>
      </c>
      <c r="AF275" s="7">
        <v>4255.26</v>
      </c>
    </row>
    <row r="276" spans="1:32" x14ac:dyDescent="0.25">
      <c r="A276" s="12" t="s">
        <v>38</v>
      </c>
      <c r="B276" s="12">
        <v>2135</v>
      </c>
      <c r="C276" s="12">
        <v>1</v>
      </c>
      <c r="D276" s="13" t="s">
        <v>669</v>
      </c>
      <c r="E276" s="6">
        <v>337</v>
      </c>
      <c r="F276" s="6">
        <v>344</v>
      </c>
      <c r="G276" s="6">
        <v>9441471</v>
      </c>
      <c r="H276" s="6">
        <v>40440</v>
      </c>
      <c r="I276" s="6">
        <v>41280</v>
      </c>
      <c r="J276" s="7">
        <v>31514.87</v>
      </c>
      <c r="K276" s="7">
        <v>31514.87</v>
      </c>
      <c r="L276" s="7">
        <v>31514.87</v>
      </c>
      <c r="M276" s="12">
        <v>1</v>
      </c>
      <c r="N276" s="7">
        <v>9765.1299999999992</v>
      </c>
      <c r="O276" s="7">
        <v>9765.1299999999992</v>
      </c>
      <c r="P276" s="7">
        <v>550.4</v>
      </c>
      <c r="Q276" s="6">
        <v>40440</v>
      </c>
      <c r="R276" s="7">
        <v>6516.7</v>
      </c>
      <c r="S276" s="7">
        <v>46956.7</v>
      </c>
      <c r="T276" s="7">
        <v>11739.18</v>
      </c>
      <c r="U276" s="7">
        <v>5048.92</v>
      </c>
      <c r="V276" s="7">
        <v>0</v>
      </c>
      <c r="W276" s="7">
        <v>5067.37</v>
      </c>
      <c r="X276" s="7">
        <v>0</v>
      </c>
      <c r="Y276" s="7">
        <v>0</v>
      </c>
      <c r="Z276" s="7">
        <v>-6670.13</v>
      </c>
      <c r="AA276" s="7">
        <v>1148.72</v>
      </c>
      <c r="AB276" s="7">
        <v>0</v>
      </c>
      <c r="AC276" s="7">
        <v>0</v>
      </c>
      <c r="AD276" s="7">
        <v>0</v>
      </c>
      <c r="AE276" s="7">
        <v>31514.87</v>
      </c>
      <c r="AF276" s="7">
        <v>9765.1299999999992</v>
      </c>
    </row>
    <row r="277" spans="1:32" x14ac:dyDescent="0.25">
      <c r="A277" s="12" t="s">
        <v>38</v>
      </c>
      <c r="B277" s="12">
        <v>2137</v>
      </c>
      <c r="C277" s="12">
        <v>1</v>
      </c>
      <c r="D277" s="13" t="s">
        <v>670</v>
      </c>
      <c r="E277" s="6">
        <v>322</v>
      </c>
      <c r="F277" s="6">
        <v>324</v>
      </c>
      <c r="G277" s="6">
        <v>6180467</v>
      </c>
      <c r="H277" s="6">
        <v>38640</v>
      </c>
      <c r="I277" s="6">
        <v>38880</v>
      </c>
      <c r="J277" s="7">
        <v>20629.900000000001</v>
      </c>
      <c r="K277" s="7">
        <v>20629.900000000001</v>
      </c>
      <c r="L277" s="7">
        <v>20629.900000000001</v>
      </c>
      <c r="M277" s="12">
        <v>1</v>
      </c>
      <c r="N277" s="7">
        <v>18250.099999999999</v>
      </c>
      <c r="O277" s="7">
        <v>18250.099999999999</v>
      </c>
      <c r="P277" s="7">
        <v>518.4</v>
      </c>
      <c r="Q277" s="6">
        <v>38640</v>
      </c>
      <c r="R277" s="7">
        <v>1162.2</v>
      </c>
      <c r="S277" s="7">
        <v>39802.199999999997</v>
      </c>
      <c r="T277" s="7">
        <v>9950.5499999999993</v>
      </c>
      <c r="U277" s="7">
        <v>9000.1299999999992</v>
      </c>
      <c r="V277" s="7">
        <v>0</v>
      </c>
      <c r="W277" s="7">
        <v>8358.59</v>
      </c>
      <c r="X277" s="7">
        <v>0</v>
      </c>
      <c r="Y277" s="7">
        <v>0</v>
      </c>
      <c r="Z277" s="7">
        <v>9141.8799999999992</v>
      </c>
      <c r="AA277" s="7">
        <v>8833.5300000000007</v>
      </c>
      <c r="AB277" s="7">
        <v>0</v>
      </c>
      <c r="AC277" s="7">
        <v>0</v>
      </c>
      <c r="AD277" s="7">
        <v>0</v>
      </c>
      <c r="AE277" s="7">
        <v>20629.900000000001</v>
      </c>
      <c r="AF277" s="7">
        <v>18250.099999999999</v>
      </c>
    </row>
    <row r="278" spans="1:32" x14ac:dyDescent="0.25">
      <c r="A278" s="12" t="s">
        <v>38</v>
      </c>
      <c r="B278" s="12">
        <v>2142</v>
      </c>
      <c r="C278" s="12">
        <v>1</v>
      </c>
      <c r="D278" s="13" t="s">
        <v>671</v>
      </c>
      <c r="E278" s="6">
        <v>690</v>
      </c>
      <c r="F278" s="6">
        <v>650</v>
      </c>
      <c r="G278" s="6">
        <v>42526764</v>
      </c>
      <c r="H278" s="6">
        <v>82800</v>
      </c>
      <c r="I278" s="6">
        <v>78000</v>
      </c>
      <c r="J278" s="7">
        <v>82800</v>
      </c>
      <c r="K278" s="7">
        <v>78000</v>
      </c>
      <c r="L278" s="7">
        <v>82800</v>
      </c>
      <c r="M278" s="12">
        <v>1</v>
      </c>
      <c r="N278" s="7">
        <v>0</v>
      </c>
      <c r="O278" s="7">
        <v>0</v>
      </c>
      <c r="P278" s="7">
        <v>1040</v>
      </c>
      <c r="Q278" s="6">
        <v>82800</v>
      </c>
      <c r="R278" s="7">
        <v>35737.49</v>
      </c>
      <c r="S278" s="7">
        <v>118537.49</v>
      </c>
      <c r="T278" s="7">
        <v>29634.37</v>
      </c>
      <c r="U278" s="7">
        <v>9271.51</v>
      </c>
      <c r="V278" s="7">
        <v>0</v>
      </c>
      <c r="W278" s="7">
        <v>1213.6500000000001</v>
      </c>
      <c r="X278" s="7">
        <v>0</v>
      </c>
      <c r="Y278" s="7">
        <v>0</v>
      </c>
      <c r="Z278" s="7">
        <v>1213.6500000000001</v>
      </c>
      <c r="AA278" s="7">
        <v>3899.6</v>
      </c>
      <c r="AB278" s="7">
        <v>0</v>
      </c>
      <c r="AC278" s="7">
        <v>0</v>
      </c>
      <c r="AD278" s="7">
        <v>0</v>
      </c>
      <c r="AE278" s="7">
        <v>78000</v>
      </c>
      <c r="AF278" s="7">
        <v>0</v>
      </c>
    </row>
    <row r="279" spans="1:32" x14ac:dyDescent="0.25">
      <c r="A279" s="12" t="s">
        <v>38</v>
      </c>
      <c r="B279" s="12">
        <v>2143</v>
      </c>
      <c r="C279" s="12">
        <v>1</v>
      </c>
      <c r="D279" s="13" t="s">
        <v>672</v>
      </c>
      <c r="E279" s="6">
        <v>409</v>
      </c>
      <c r="F279" s="6">
        <v>393</v>
      </c>
      <c r="G279" s="6">
        <v>9408092</v>
      </c>
      <c r="H279" s="6">
        <v>49080</v>
      </c>
      <c r="I279" s="6">
        <v>47160</v>
      </c>
      <c r="J279" s="7">
        <v>31403.46</v>
      </c>
      <c r="K279" s="7">
        <v>31403.46</v>
      </c>
      <c r="L279" s="7">
        <v>31403.46</v>
      </c>
      <c r="M279" s="12">
        <v>1</v>
      </c>
      <c r="N279" s="7">
        <v>15756.54</v>
      </c>
      <c r="O279" s="7">
        <v>15756.54</v>
      </c>
      <c r="P279" s="7">
        <v>628.79999999999995</v>
      </c>
      <c r="Q279" s="6">
        <v>49080</v>
      </c>
      <c r="R279" s="7">
        <v>4122.3999999999996</v>
      </c>
      <c r="S279" s="7">
        <v>53202.400000000001</v>
      </c>
      <c r="T279" s="7">
        <v>13300.6</v>
      </c>
      <c r="U279" s="7">
        <v>9137.9599999999991</v>
      </c>
      <c r="V279" s="7">
        <v>0</v>
      </c>
      <c r="W279" s="7">
        <v>4604.6899999999996</v>
      </c>
      <c r="X279" s="7">
        <v>0</v>
      </c>
      <c r="Y279" s="7">
        <v>0</v>
      </c>
      <c r="Z279" s="7">
        <v>-2150.2800000000002</v>
      </c>
      <c r="AA279" s="7">
        <v>3864.12</v>
      </c>
      <c r="AB279" s="7">
        <v>0</v>
      </c>
      <c r="AC279" s="7">
        <v>0</v>
      </c>
      <c r="AD279" s="7">
        <v>0</v>
      </c>
      <c r="AE279" s="7">
        <v>31403.46</v>
      </c>
      <c r="AF279" s="7">
        <v>15756.54</v>
      </c>
    </row>
    <row r="280" spans="1:32" x14ac:dyDescent="0.25">
      <c r="A280" s="12" t="s">
        <v>38</v>
      </c>
      <c r="B280" s="12">
        <v>2144</v>
      </c>
      <c r="C280" s="12">
        <v>1</v>
      </c>
      <c r="D280" s="13" t="s">
        <v>673</v>
      </c>
      <c r="E280" s="6">
        <v>1135</v>
      </c>
      <c r="F280" s="6">
        <v>1130</v>
      </c>
      <c r="G280" s="6">
        <v>25383884</v>
      </c>
      <c r="H280" s="6">
        <v>136200</v>
      </c>
      <c r="I280" s="6">
        <v>135600</v>
      </c>
      <c r="J280" s="7">
        <v>84729.37</v>
      </c>
      <c r="K280" s="7">
        <v>84729.37</v>
      </c>
      <c r="L280" s="7">
        <v>84729.37</v>
      </c>
      <c r="M280" s="12">
        <v>1</v>
      </c>
      <c r="N280" s="7">
        <v>50870.63</v>
      </c>
      <c r="O280" s="7">
        <v>50870.63</v>
      </c>
      <c r="P280" s="7">
        <v>1808</v>
      </c>
      <c r="Q280" s="6">
        <v>136200</v>
      </c>
      <c r="R280" s="7">
        <v>13902</v>
      </c>
      <c r="S280" s="7">
        <v>150102</v>
      </c>
      <c r="T280" s="7">
        <v>37525.5</v>
      </c>
      <c r="U280" s="7">
        <v>-6070.07</v>
      </c>
      <c r="V280" s="7">
        <v>0</v>
      </c>
      <c r="W280" s="7">
        <v>-1618.12</v>
      </c>
      <c r="X280" s="7">
        <v>0</v>
      </c>
      <c r="Y280" s="7">
        <v>0</v>
      </c>
      <c r="Z280" s="7">
        <v>-22420.03</v>
      </c>
      <c r="AA280" s="7">
        <v>-10036.07</v>
      </c>
      <c r="AB280" s="7">
        <v>0</v>
      </c>
      <c r="AC280" s="7">
        <v>0</v>
      </c>
      <c r="AD280" s="7">
        <v>0</v>
      </c>
      <c r="AE280" s="7">
        <v>84729.37</v>
      </c>
      <c r="AF280" s="7">
        <v>50870.63</v>
      </c>
    </row>
    <row r="281" spans="1:32" x14ac:dyDescent="0.25">
      <c r="A281" s="12" t="s">
        <v>38</v>
      </c>
      <c r="B281" s="12">
        <v>2149</v>
      </c>
      <c r="C281" s="12">
        <v>1</v>
      </c>
      <c r="D281" s="13" t="s">
        <v>674</v>
      </c>
      <c r="E281" s="6">
        <v>523</v>
      </c>
      <c r="F281" s="6">
        <v>572</v>
      </c>
      <c r="G281" s="6">
        <v>14399924</v>
      </c>
      <c r="H281" s="6">
        <v>62760</v>
      </c>
      <c r="I281" s="6">
        <v>68640</v>
      </c>
      <c r="J281" s="7">
        <v>48065.79</v>
      </c>
      <c r="K281" s="7">
        <v>48065.79</v>
      </c>
      <c r="L281" s="7">
        <v>48065.79</v>
      </c>
      <c r="M281" s="12">
        <v>1</v>
      </c>
      <c r="N281" s="7">
        <v>20574.21</v>
      </c>
      <c r="O281" s="7">
        <v>20574.21</v>
      </c>
      <c r="P281" s="7">
        <v>915.2</v>
      </c>
      <c r="Q281" s="6">
        <v>62760</v>
      </c>
      <c r="R281" s="7">
        <v>5712.45</v>
      </c>
      <c r="S281" s="7">
        <v>68472.45</v>
      </c>
      <c r="T281" s="7">
        <v>17118.11</v>
      </c>
      <c r="U281" s="7">
        <v>10641.51</v>
      </c>
      <c r="V281" s="7">
        <v>0</v>
      </c>
      <c r="W281" s="7">
        <v>11277.05</v>
      </c>
      <c r="X281" s="7">
        <v>0</v>
      </c>
      <c r="Y281" s="7">
        <v>0</v>
      </c>
      <c r="Z281" s="7">
        <v>7162.65</v>
      </c>
      <c r="AA281" s="7">
        <v>9693.74</v>
      </c>
      <c r="AB281" s="7">
        <v>0</v>
      </c>
      <c r="AC281" s="7">
        <v>0</v>
      </c>
      <c r="AD281" s="7">
        <v>0</v>
      </c>
      <c r="AE281" s="7">
        <v>48065.79</v>
      </c>
      <c r="AF281" s="7">
        <v>20574.21</v>
      </c>
    </row>
    <row r="282" spans="1:32" x14ac:dyDescent="0.25">
      <c r="A282" s="12" t="s">
        <v>38</v>
      </c>
      <c r="B282" s="12">
        <v>2154</v>
      </c>
      <c r="C282" s="12">
        <v>1</v>
      </c>
      <c r="D282" s="13" t="s">
        <v>675</v>
      </c>
      <c r="E282" s="6">
        <v>530</v>
      </c>
      <c r="F282" s="6">
        <v>484</v>
      </c>
      <c r="G282" s="6">
        <v>5360873</v>
      </c>
      <c r="H282" s="6">
        <v>63600</v>
      </c>
      <c r="I282" s="6">
        <v>58080</v>
      </c>
      <c r="J282" s="7">
        <v>17894.169999999998</v>
      </c>
      <c r="K282" s="7">
        <v>17894.169999999998</v>
      </c>
      <c r="L282" s="7">
        <v>17894.169999999998</v>
      </c>
      <c r="M282" s="12">
        <v>1</v>
      </c>
      <c r="N282" s="7">
        <v>40185.83</v>
      </c>
      <c r="O282" s="7">
        <v>40185.83</v>
      </c>
      <c r="P282" s="7">
        <v>774.4</v>
      </c>
      <c r="Q282" s="6">
        <v>63600</v>
      </c>
      <c r="R282" s="7">
        <v>4183</v>
      </c>
      <c r="S282" s="7">
        <v>67783</v>
      </c>
      <c r="T282" s="7">
        <v>16945.75</v>
      </c>
      <c r="U282" s="7">
        <v>19932.080000000002</v>
      </c>
      <c r="V282" s="7">
        <v>0</v>
      </c>
      <c r="W282" s="7">
        <v>15404.74</v>
      </c>
      <c r="X282" s="7">
        <v>586.66</v>
      </c>
      <c r="Y282" s="7">
        <v>0</v>
      </c>
      <c r="Z282" s="7">
        <v>21202.85</v>
      </c>
      <c r="AA282" s="7">
        <v>18651</v>
      </c>
      <c r="AB282" s="7">
        <v>1705.25</v>
      </c>
      <c r="AC282" s="7">
        <v>525.38</v>
      </c>
      <c r="AD282" s="7">
        <v>1179.8699999999999</v>
      </c>
      <c r="AE282" s="7">
        <v>17368.79</v>
      </c>
      <c r="AF282" s="7">
        <v>39005.96</v>
      </c>
    </row>
    <row r="283" spans="1:32" x14ac:dyDescent="0.25">
      <c r="A283" s="12" t="s">
        <v>38</v>
      </c>
      <c r="B283" s="12">
        <v>2155</v>
      </c>
      <c r="C283" s="12">
        <v>1</v>
      </c>
      <c r="D283" s="13" t="s">
        <v>676</v>
      </c>
      <c r="E283" s="6">
        <v>438</v>
      </c>
      <c r="F283" s="6">
        <v>502</v>
      </c>
      <c r="G283" s="6">
        <v>5457153</v>
      </c>
      <c r="H283" s="6">
        <v>52560</v>
      </c>
      <c r="I283" s="6">
        <v>60240</v>
      </c>
      <c r="J283" s="7">
        <v>18215.54</v>
      </c>
      <c r="K283" s="7">
        <v>18215.54</v>
      </c>
      <c r="L283" s="7">
        <v>18215.54</v>
      </c>
      <c r="M283" s="12">
        <v>1</v>
      </c>
      <c r="N283" s="7">
        <v>42024.46</v>
      </c>
      <c r="O283" s="7">
        <v>42024.46</v>
      </c>
      <c r="P283" s="7">
        <v>803.2</v>
      </c>
      <c r="Q283" s="6">
        <v>52560</v>
      </c>
      <c r="R283" s="7">
        <v>5427.62</v>
      </c>
      <c r="S283" s="7">
        <v>57987.62</v>
      </c>
      <c r="T283" s="7">
        <v>14496.91</v>
      </c>
      <c r="U283" s="7">
        <v>19251.28</v>
      </c>
      <c r="V283" s="7">
        <v>0</v>
      </c>
      <c r="W283" s="7">
        <v>15046.59</v>
      </c>
      <c r="X283" s="7">
        <v>0</v>
      </c>
      <c r="Y283" s="7">
        <v>0</v>
      </c>
      <c r="Z283" s="7">
        <v>14371.33</v>
      </c>
      <c r="AA283" s="7">
        <v>16223.07</v>
      </c>
      <c r="AB283" s="7">
        <v>1726.16</v>
      </c>
      <c r="AC283" s="7">
        <v>521.96</v>
      </c>
      <c r="AD283" s="7">
        <v>1204.2</v>
      </c>
      <c r="AE283" s="7">
        <v>17693.580000000002</v>
      </c>
      <c r="AF283" s="7">
        <v>40820.26</v>
      </c>
    </row>
    <row r="284" spans="1:32" x14ac:dyDescent="0.25">
      <c r="A284" s="12" t="s">
        <v>38</v>
      </c>
      <c r="B284" s="12">
        <v>2159</v>
      </c>
      <c r="C284" s="12">
        <v>1</v>
      </c>
      <c r="D284" s="13" t="s">
        <v>677</v>
      </c>
      <c r="E284" s="6">
        <v>199</v>
      </c>
      <c r="F284" s="6">
        <v>191</v>
      </c>
      <c r="G284" s="6">
        <v>8539937</v>
      </c>
      <c r="H284" s="6">
        <v>23880</v>
      </c>
      <c r="I284" s="6">
        <v>22920</v>
      </c>
      <c r="J284" s="7">
        <v>23880</v>
      </c>
      <c r="K284" s="7">
        <v>22920</v>
      </c>
      <c r="L284" s="7">
        <v>28505.63</v>
      </c>
      <c r="M284" s="12">
        <v>1</v>
      </c>
      <c r="N284" s="7">
        <v>0</v>
      </c>
      <c r="O284" s="7">
        <v>0</v>
      </c>
      <c r="P284" s="7">
        <v>305.60000000000002</v>
      </c>
      <c r="Q284" s="6">
        <v>33240</v>
      </c>
      <c r="R284" s="7">
        <v>6027.99</v>
      </c>
      <c r="S284" s="7">
        <v>39267.99</v>
      </c>
      <c r="T284" s="7">
        <v>9817</v>
      </c>
      <c r="U284" s="7">
        <v>1067.5999999999999</v>
      </c>
      <c r="V284" s="7">
        <v>0</v>
      </c>
      <c r="W284" s="7">
        <v>3961.8</v>
      </c>
      <c r="X284" s="7">
        <v>89.48</v>
      </c>
      <c r="Y284" s="7">
        <v>0</v>
      </c>
      <c r="Z284" s="7">
        <v>13182.37</v>
      </c>
      <c r="AA284" s="7">
        <v>6040.76</v>
      </c>
      <c r="AB284" s="7">
        <v>0</v>
      </c>
      <c r="AC284" s="7">
        <v>0</v>
      </c>
      <c r="AD284" s="7">
        <v>0</v>
      </c>
      <c r="AE284" s="7">
        <v>22920</v>
      </c>
      <c r="AF284" s="7">
        <v>0</v>
      </c>
    </row>
    <row r="285" spans="1:32" x14ac:dyDescent="0.25">
      <c r="A285" s="12" t="s">
        <v>38</v>
      </c>
      <c r="B285" s="12">
        <v>2164</v>
      </c>
      <c r="C285" s="12">
        <v>1</v>
      </c>
      <c r="D285" s="13" t="s">
        <v>678</v>
      </c>
      <c r="E285" s="6">
        <v>580</v>
      </c>
      <c r="F285" s="6">
        <v>594</v>
      </c>
      <c r="G285" s="6">
        <v>5871384</v>
      </c>
      <c r="H285" s="6">
        <v>69600</v>
      </c>
      <c r="I285" s="6">
        <v>71280</v>
      </c>
      <c r="J285" s="7">
        <v>19598.21</v>
      </c>
      <c r="K285" s="7">
        <v>19598.21</v>
      </c>
      <c r="L285" s="7">
        <v>19598.21</v>
      </c>
      <c r="M285" s="12">
        <v>1</v>
      </c>
      <c r="N285" s="7">
        <v>51681.79</v>
      </c>
      <c r="O285" s="7">
        <v>51681.79</v>
      </c>
      <c r="P285" s="7">
        <v>950.4</v>
      </c>
      <c r="Q285" s="6">
        <v>69600</v>
      </c>
      <c r="R285" s="7">
        <v>4220.75</v>
      </c>
      <c r="S285" s="7">
        <v>73820.75</v>
      </c>
      <c r="T285" s="7">
        <v>18455.189999999999</v>
      </c>
      <c r="U285" s="7">
        <v>25450.41</v>
      </c>
      <c r="V285" s="7">
        <v>1389.32</v>
      </c>
      <c r="W285" s="7">
        <v>14697.82</v>
      </c>
      <c r="X285" s="7">
        <v>2411.5500000000002</v>
      </c>
      <c r="Y285" s="7">
        <v>0</v>
      </c>
      <c r="Z285" s="7">
        <v>-9364.5499999999993</v>
      </c>
      <c r="AA285" s="7">
        <v>8994.27</v>
      </c>
      <c r="AB285" s="7">
        <v>0</v>
      </c>
      <c r="AC285" s="7">
        <v>0</v>
      </c>
      <c r="AD285" s="7">
        <v>0</v>
      </c>
      <c r="AE285" s="7">
        <v>19598.21</v>
      </c>
      <c r="AF285" s="7">
        <v>51681.79</v>
      </c>
    </row>
    <row r="286" spans="1:32" x14ac:dyDescent="0.25">
      <c r="A286" s="12" t="s">
        <v>38</v>
      </c>
      <c r="B286" s="12">
        <v>2165</v>
      </c>
      <c r="C286" s="12">
        <v>1</v>
      </c>
      <c r="D286" s="13" t="s">
        <v>679</v>
      </c>
      <c r="E286" s="6">
        <v>319</v>
      </c>
      <c r="F286" s="6">
        <v>337</v>
      </c>
      <c r="G286" s="6">
        <v>9182703</v>
      </c>
      <c r="H286" s="6">
        <v>38280</v>
      </c>
      <c r="I286" s="6">
        <v>40440</v>
      </c>
      <c r="J286" s="7">
        <v>30651.13</v>
      </c>
      <c r="K286" s="7">
        <v>30651.13</v>
      </c>
      <c r="L286" s="7">
        <v>30651.13</v>
      </c>
      <c r="M286" s="12">
        <v>1</v>
      </c>
      <c r="N286" s="7">
        <v>9788.8700000000008</v>
      </c>
      <c r="O286" s="7">
        <v>9788.8700000000008</v>
      </c>
      <c r="P286" s="7">
        <v>0</v>
      </c>
      <c r="Q286" s="6">
        <v>38280</v>
      </c>
      <c r="R286" s="7">
        <v>16865.14</v>
      </c>
      <c r="S286" s="7">
        <v>55145.14</v>
      </c>
      <c r="T286" s="7">
        <v>13786.29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30651.13</v>
      </c>
      <c r="AF286" s="7">
        <v>9788.8700000000008</v>
      </c>
    </row>
    <row r="287" spans="1:32" x14ac:dyDescent="0.25">
      <c r="A287" s="12" t="s">
        <v>38</v>
      </c>
      <c r="B287" s="12">
        <v>2167</v>
      </c>
      <c r="C287" s="12">
        <v>1</v>
      </c>
      <c r="D287" s="13" t="s">
        <v>680</v>
      </c>
      <c r="E287" s="6">
        <v>280</v>
      </c>
      <c r="F287" s="6">
        <v>260</v>
      </c>
      <c r="G287" s="6">
        <v>4519743</v>
      </c>
      <c r="H287" s="6">
        <v>33600</v>
      </c>
      <c r="I287" s="6">
        <v>31200</v>
      </c>
      <c r="J287" s="7">
        <v>15086.54</v>
      </c>
      <c r="K287" s="7">
        <v>15086.54</v>
      </c>
      <c r="L287" s="7">
        <v>15086.54</v>
      </c>
      <c r="M287" s="12">
        <v>1</v>
      </c>
      <c r="N287" s="7">
        <v>16113.46</v>
      </c>
      <c r="O287" s="7">
        <v>16113.46</v>
      </c>
      <c r="P287" s="7">
        <v>416</v>
      </c>
      <c r="Q287" s="6">
        <v>33600</v>
      </c>
      <c r="R287" s="7">
        <v>6583.31</v>
      </c>
      <c r="S287" s="7">
        <v>40183.31</v>
      </c>
      <c r="T287" s="7">
        <v>10045.83</v>
      </c>
      <c r="U287" s="7">
        <v>46221.15</v>
      </c>
      <c r="V287" s="7">
        <v>16988.22</v>
      </c>
      <c r="W287" s="7">
        <v>34953.03</v>
      </c>
      <c r="X287" s="7">
        <v>20693.39</v>
      </c>
      <c r="Y287" s="7">
        <v>0</v>
      </c>
      <c r="Z287" s="7">
        <v>18753.080000000002</v>
      </c>
      <c r="AA287" s="7">
        <v>20748.55</v>
      </c>
      <c r="AB287" s="7">
        <v>10702.72</v>
      </c>
      <c r="AC287" s="7">
        <v>5175.22</v>
      </c>
      <c r="AD287" s="7">
        <v>5527.5</v>
      </c>
      <c r="AE287" s="7">
        <v>9911.32</v>
      </c>
      <c r="AF287" s="7">
        <v>10585.96</v>
      </c>
    </row>
    <row r="288" spans="1:32" x14ac:dyDescent="0.25">
      <c r="A288" s="12" t="s">
        <v>38</v>
      </c>
      <c r="B288" s="12">
        <v>2168</v>
      </c>
      <c r="C288" s="12">
        <v>1</v>
      </c>
      <c r="D288" s="13" t="s">
        <v>681</v>
      </c>
      <c r="E288" s="6">
        <v>301</v>
      </c>
      <c r="F288" s="6">
        <v>302</v>
      </c>
      <c r="G288" s="6">
        <v>8326528</v>
      </c>
      <c r="H288" s="6">
        <v>36120</v>
      </c>
      <c r="I288" s="6">
        <v>36240</v>
      </c>
      <c r="J288" s="7">
        <v>27793.279999999999</v>
      </c>
      <c r="K288" s="7">
        <v>27793.279999999999</v>
      </c>
      <c r="L288" s="7">
        <v>27793.279999999999</v>
      </c>
      <c r="M288" s="12">
        <v>1</v>
      </c>
      <c r="N288" s="7">
        <v>8446.7199999999993</v>
      </c>
      <c r="O288" s="7">
        <v>8446.7199999999993</v>
      </c>
      <c r="P288" s="7">
        <v>483.2</v>
      </c>
      <c r="Q288" s="6">
        <v>36120</v>
      </c>
      <c r="R288" s="7">
        <v>1308.6099999999999</v>
      </c>
      <c r="S288" s="7">
        <v>37428.61</v>
      </c>
      <c r="T288" s="7">
        <v>9357.15</v>
      </c>
      <c r="U288" s="7">
        <v>-2186.1999999999998</v>
      </c>
      <c r="V288" s="7">
        <v>0</v>
      </c>
      <c r="W288" s="7">
        <v>3634.38</v>
      </c>
      <c r="X288" s="7">
        <v>0</v>
      </c>
      <c r="Y288" s="7">
        <v>0</v>
      </c>
      <c r="Z288" s="7">
        <v>10099.61</v>
      </c>
      <c r="AA288" s="7">
        <v>3849.26</v>
      </c>
      <c r="AB288" s="7">
        <v>0</v>
      </c>
      <c r="AC288" s="7">
        <v>0</v>
      </c>
      <c r="AD288" s="7">
        <v>0</v>
      </c>
      <c r="AE288" s="7">
        <v>27793.279999999999</v>
      </c>
      <c r="AF288" s="7">
        <v>8446.7199999999993</v>
      </c>
    </row>
    <row r="289" spans="1:32" x14ac:dyDescent="0.25">
      <c r="A289" s="12" t="s">
        <v>38</v>
      </c>
      <c r="B289" s="12">
        <v>2169</v>
      </c>
      <c r="C289" s="12">
        <v>1</v>
      </c>
      <c r="D289" s="13" t="s">
        <v>682</v>
      </c>
      <c r="E289" s="6">
        <v>321</v>
      </c>
      <c r="F289" s="6">
        <v>327</v>
      </c>
      <c r="G289" s="6">
        <v>7342074</v>
      </c>
      <c r="H289" s="6">
        <v>38520</v>
      </c>
      <c r="I289" s="6">
        <v>39240</v>
      </c>
      <c r="J289" s="7">
        <v>24507.26</v>
      </c>
      <c r="K289" s="7">
        <v>24507.26</v>
      </c>
      <c r="L289" s="7">
        <v>24507.26</v>
      </c>
      <c r="M289" s="12">
        <v>1</v>
      </c>
      <c r="N289" s="7">
        <v>14732.74</v>
      </c>
      <c r="O289" s="7">
        <v>14732.74</v>
      </c>
      <c r="P289" s="7">
        <v>523.20000000000005</v>
      </c>
      <c r="Q289" s="6">
        <v>38520</v>
      </c>
      <c r="R289" s="7">
        <v>77402.2</v>
      </c>
      <c r="S289" s="7">
        <v>115922.2</v>
      </c>
      <c r="T289" s="7">
        <v>28980.55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24507.26</v>
      </c>
      <c r="AF289" s="7">
        <v>14732.74</v>
      </c>
    </row>
    <row r="290" spans="1:32" x14ac:dyDescent="0.25">
      <c r="A290" s="12" t="s">
        <v>38</v>
      </c>
      <c r="B290" s="12">
        <v>2170</v>
      </c>
      <c r="C290" s="12">
        <v>1</v>
      </c>
      <c r="D290" s="13" t="s">
        <v>683</v>
      </c>
      <c r="E290" s="6">
        <v>599</v>
      </c>
      <c r="F290" s="6">
        <v>552</v>
      </c>
      <c r="G290" s="6">
        <v>11817193</v>
      </c>
      <c r="H290" s="6">
        <v>71880</v>
      </c>
      <c r="I290" s="6">
        <v>66240</v>
      </c>
      <c r="J290" s="7">
        <v>39444.839999999997</v>
      </c>
      <c r="K290" s="7">
        <v>39444.839999999997</v>
      </c>
      <c r="L290" s="7">
        <v>39444.839999999997</v>
      </c>
      <c r="M290" s="12">
        <v>1</v>
      </c>
      <c r="N290" s="7">
        <v>26795.16</v>
      </c>
      <c r="O290" s="7">
        <v>26795.16</v>
      </c>
      <c r="P290" s="7">
        <v>883.2</v>
      </c>
      <c r="Q290" s="6">
        <v>71880</v>
      </c>
      <c r="R290" s="7">
        <v>958.4</v>
      </c>
      <c r="S290" s="7">
        <v>72838.399999999994</v>
      </c>
      <c r="T290" s="7">
        <v>18209.599999999999</v>
      </c>
      <c r="U290" s="7">
        <v>19841.63</v>
      </c>
      <c r="V290" s="7">
        <v>0</v>
      </c>
      <c r="W290" s="7">
        <v>18372.75</v>
      </c>
      <c r="X290" s="7">
        <v>0</v>
      </c>
      <c r="Y290" s="7">
        <v>0</v>
      </c>
      <c r="Z290" s="7">
        <v>18232.099999999999</v>
      </c>
      <c r="AA290" s="7">
        <v>18815.490000000002</v>
      </c>
      <c r="AB290" s="7">
        <v>605.89</v>
      </c>
      <c r="AC290" s="7">
        <v>360.8</v>
      </c>
      <c r="AD290" s="7">
        <v>245.09</v>
      </c>
      <c r="AE290" s="7">
        <v>39084.04</v>
      </c>
      <c r="AF290" s="7">
        <v>26550.07</v>
      </c>
    </row>
    <row r="291" spans="1:32" x14ac:dyDescent="0.25">
      <c r="A291" s="12" t="s">
        <v>38</v>
      </c>
      <c r="B291" s="12">
        <v>2171</v>
      </c>
      <c r="C291" s="12">
        <v>1</v>
      </c>
      <c r="D291" s="13" t="s">
        <v>684</v>
      </c>
      <c r="E291" s="6">
        <v>82</v>
      </c>
      <c r="F291" s="6">
        <v>81</v>
      </c>
      <c r="G291" s="6">
        <v>4784730</v>
      </c>
      <c r="H291" s="6">
        <v>18000</v>
      </c>
      <c r="I291" s="6">
        <v>18000</v>
      </c>
      <c r="J291" s="7">
        <v>15971.05</v>
      </c>
      <c r="K291" s="7">
        <v>15971.05</v>
      </c>
      <c r="L291" s="7">
        <v>15971.05</v>
      </c>
      <c r="M291" s="12">
        <v>1</v>
      </c>
      <c r="N291" s="7">
        <v>2028.95</v>
      </c>
      <c r="O291" s="7">
        <v>2028.95</v>
      </c>
      <c r="P291" s="7">
        <v>0</v>
      </c>
      <c r="Q291" s="6">
        <v>18000</v>
      </c>
      <c r="R291" s="7">
        <v>0</v>
      </c>
      <c r="S291" s="7">
        <v>18000</v>
      </c>
      <c r="T291" s="7">
        <v>4500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15971.05</v>
      </c>
      <c r="AF291" s="7">
        <v>2028.95</v>
      </c>
    </row>
    <row r="292" spans="1:32" x14ac:dyDescent="0.25">
      <c r="A292" s="12" t="s">
        <v>38</v>
      </c>
      <c r="B292" s="12">
        <v>2172</v>
      </c>
      <c r="C292" s="12">
        <v>1</v>
      </c>
      <c r="D292" s="13" t="s">
        <v>685</v>
      </c>
      <c r="E292" s="6">
        <v>331</v>
      </c>
      <c r="F292" s="6">
        <v>375</v>
      </c>
      <c r="G292" s="6">
        <v>8535237</v>
      </c>
      <c r="H292" s="6">
        <v>39720</v>
      </c>
      <c r="I292" s="6">
        <v>45000</v>
      </c>
      <c r="J292" s="7">
        <v>28489.94</v>
      </c>
      <c r="K292" s="7">
        <v>28489.94</v>
      </c>
      <c r="L292" s="7">
        <v>28489.94</v>
      </c>
      <c r="M292" s="12">
        <v>1</v>
      </c>
      <c r="N292" s="7">
        <v>16510.060000000001</v>
      </c>
      <c r="O292" s="7">
        <v>16510.060000000001</v>
      </c>
      <c r="P292" s="7">
        <v>600</v>
      </c>
      <c r="Q292" s="6">
        <v>39720</v>
      </c>
      <c r="R292" s="7">
        <v>1888.6</v>
      </c>
      <c r="S292" s="7">
        <v>41608.6</v>
      </c>
      <c r="T292" s="7">
        <v>10402.15</v>
      </c>
      <c r="U292" s="7">
        <v>3401.81</v>
      </c>
      <c r="V292" s="7">
        <v>0</v>
      </c>
      <c r="W292" s="7">
        <v>2499.75</v>
      </c>
      <c r="X292" s="7">
        <v>0</v>
      </c>
      <c r="Y292" s="7">
        <v>0</v>
      </c>
      <c r="Z292" s="7">
        <v>12799.53</v>
      </c>
      <c r="AA292" s="7">
        <v>6233.7</v>
      </c>
      <c r="AB292" s="7">
        <v>0</v>
      </c>
      <c r="AC292" s="7">
        <v>0</v>
      </c>
      <c r="AD292" s="7">
        <v>0</v>
      </c>
      <c r="AE292" s="7">
        <v>28489.94</v>
      </c>
      <c r="AF292" s="7">
        <v>16510.060000000001</v>
      </c>
    </row>
    <row r="293" spans="1:32" x14ac:dyDescent="0.25">
      <c r="A293" s="12" t="s">
        <v>38</v>
      </c>
      <c r="B293" s="12">
        <v>2174</v>
      </c>
      <c r="C293" s="12">
        <v>1</v>
      </c>
      <c r="D293" s="13" t="s">
        <v>686</v>
      </c>
      <c r="E293" s="6">
        <v>455</v>
      </c>
      <c r="F293" s="6">
        <v>435</v>
      </c>
      <c r="G293" s="6">
        <v>20661520</v>
      </c>
      <c r="H293" s="6">
        <v>54600</v>
      </c>
      <c r="I293" s="6">
        <v>52200</v>
      </c>
      <c r="J293" s="7">
        <v>54600</v>
      </c>
      <c r="K293" s="7">
        <v>52200</v>
      </c>
      <c r="L293" s="7">
        <v>54600</v>
      </c>
      <c r="M293" s="12">
        <v>1</v>
      </c>
      <c r="N293" s="7">
        <v>0</v>
      </c>
      <c r="O293" s="7">
        <v>0</v>
      </c>
      <c r="P293" s="7">
        <v>0</v>
      </c>
      <c r="Q293" s="6">
        <v>54600</v>
      </c>
      <c r="R293" s="7">
        <v>7843</v>
      </c>
      <c r="S293" s="7">
        <v>62443</v>
      </c>
      <c r="T293" s="7">
        <v>15610.75</v>
      </c>
      <c r="U293" s="7">
        <v>4770.8100000000004</v>
      </c>
      <c r="V293" s="7">
        <v>0</v>
      </c>
      <c r="W293" s="7">
        <v>13912.03</v>
      </c>
      <c r="X293" s="7">
        <v>0</v>
      </c>
      <c r="Y293" s="7">
        <v>0</v>
      </c>
      <c r="Z293" s="7">
        <v>28423.79</v>
      </c>
      <c r="AA293" s="7">
        <v>15702.21</v>
      </c>
      <c r="AB293" s="7">
        <v>91.46</v>
      </c>
      <c r="AC293" s="7">
        <v>91.46</v>
      </c>
      <c r="AD293" s="7">
        <v>0</v>
      </c>
      <c r="AE293" s="7">
        <v>52108.54</v>
      </c>
      <c r="AF293" s="7">
        <v>0</v>
      </c>
    </row>
    <row r="294" spans="1:32" x14ac:dyDescent="0.25">
      <c r="A294" s="12" t="s">
        <v>38</v>
      </c>
      <c r="B294" s="12">
        <v>2176</v>
      </c>
      <c r="C294" s="12">
        <v>1</v>
      </c>
      <c r="D294" s="13" t="s">
        <v>687</v>
      </c>
      <c r="E294" s="6">
        <v>210</v>
      </c>
      <c r="F294" s="6">
        <v>200</v>
      </c>
      <c r="G294" s="6">
        <v>4856234</v>
      </c>
      <c r="H294" s="6">
        <v>25200</v>
      </c>
      <c r="I294" s="6">
        <v>24000</v>
      </c>
      <c r="J294" s="7">
        <v>16209.72</v>
      </c>
      <c r="K294" s="7">
        <v>16209.72</v>
      </c>
      <c r="L294" s="7">
        <v>16209.72</v>
      </c>
      <c r="M294" s="12">
        <v>1</v>
      </c>
      <c r="N294" s="7">
        <v>7790.28</v>
      </c>
      <c r="O294" s="7">
        <v>7790.28</v>
      </c>
      <c r="P294" s="7">
        <v>320</v>
      </c>
      <c r="Q294" s="6">
        <v>25200</v>
      </c>
      <c r="R294" s="7">
        <v>864</v>
      </c>
      <c r="S294" s="7">
        <v>26064</v>
      </c>
      <c r="T294" s="7">
        <v>6516</v>
      </c>
      <c r="U294" s="7">
        <v>-720.91</v>
      </c>
      <c r="V294" s="7">
        <v>0</v>
      </c>
      <c r="W294" s="7">
        <v>-607.14</v>
      </c>
      <c r="X294" s="7">
        <v>0</v>
      </c>
      <c r="Y294" s="7">
        <v>0</v>
      </c>
      <c r="Z294" s="7">
        <v>-201.83</v>
      </c>
      <c r="AA294" s="7">
        <v>-509.96</v>
      </c>
      <c r="AB294" s="7">
        <v>0</v>
      </c>
      <c r="AC294" s="7">
        <v>0</v>
      </c>
      <c r="AD294" s="7">
        <v>0</v>
      </c>
      <c r="AE294" s="7">
        <v>16209.72</v>
      </c>
      <c r="AF294" s="7">
        <v>7790.28</v>
      </c>
    </row>
    <row r="295" spans="1:32" x14ac:dyDescent="0.25">
      <c r="A295" s="12" t="s">
        <v>38</v>
      </c>
      <c r="B295" s="12">
        <v>2180</v>
      </c>
      <c r="C295" s="12">
        <v>1</v>
      </c>
      <c r="D295" s="13" t="s">
        <v>688</v>
      </c>
      <c r="E295" s="6">
        <v>305</v>
      </c>
      <c r="F295" s="6">
        <v>285</v>
      </c>
      <c r="G295" s="6">
        <v>8141651</v>
      </c>
      <c r="H295" s="6">
        <v>36600</v>
      </c>
      <c r="I295" s="6">
        <v>34200</v>
      </c>
      <c r="J295" s="7">
        <v>27176.18</v>
      </c>
      <c r="K295" s="7">
        <v>27176.18</v>
      </c>
      <c r="L295" s="7">
        <v>27176.18</v>
      </c>
      <c r="M295" s="12">
        <v>1</v>
      </c>
      <c r="N295" s="7">
        <v>7023.82</v>
      </c>
      <c r="O295" s="7">
        <v>7023.82</v>
      </c>
      <c r="P295" s="7">
        <v>0</v>
      </c>
      <c r="Q295" s="6">
        <v>36600</v>
      </c>
      <c r="R295" s="7">
        <v>0</v>
      </c>
      <c r="S295" s="7">
        <v>36600</v>
      </c>
      <c r="T295" s="7">
        <v>9150</v>
      </c>
      <c r="U295" s="7">
        <v>20102</v>
      </c>
      <c r="V295" s="7">
        <v>1952.13</v>
      </c>
      <c r="W295" s="7">
        <v>28434.6</v>
      </c>
      <c r="X295" s="7">
        <v>10575.16</v>
      </c>
      <c r="Y295" s="7">
        <v>0</v>
      </c>
      <c r="Z295" s="7">
        <v>35809.65</v>
      </c>
      <c r="AA295" s="7">
        <v>23939.65</v>
      </c>
      <c r="AB295" s="7">
        <v>14789.65</v>
      </c>
      <c r="AC295" s="7">
        <v>11752.23</v>
      </c>
      <c r="AD295" s="7">
        <v>3037.42</v>
      </c>
      <c r="AE295" s="7">
        <v>15423.95</v>
      </c>
      <c r="AF295" s="7">
        <v>3986.4</v>
      </c>
    </row>
    <row r="296" spans="1:32" x14ac:dyDescent="0.25">
      <c r="A296" s="12" t="s">
        <v>38</v>
      </c>
      <c r="B296" s="12">
        <v>2184</v>
      </c>
      <c r="C296" s="12">
        <v>1</v>
      </c>
      <c r="D296" s="13" t="s">
        <v>689</v>
      </c>
      <c r="E296" s="6">
        <v>491</v>
      </c>
      <c r="F296" s="6">
        <v>484</v>
      </c>
      <c r="G296" s="6">
        <v>9110613</v>
      </c>
      <c r="H296" s="6">
        <v>58920</v>
      </c>
      <c r="I296" s="6">
        <v>58080</v>
      </c>
      <c r="J296" s="7">
        <v>30410.5</v>
      </c>
      <c r="K296" s="7">
        <v>30410.5</v>
      </c>
      <c r="L296" s="7">
        <v>30410.5</v>
      </c>
      <c r="M296" s="12">
        <v>1</v>
      </c>
      <c r="N296" s="7">
        <v>27669.5</v>
      </c>
      <c r="O296" s="7">
        <v>27669.5</v>
      </c>
      <c r="P296" s="7">
        <v>774.4</v>
      </c>
      <c r="Q296" s="6">
        <v>58920</v>
      </c>
      <c r="R296" s="7">
        <v>12941.5</v>
      </c>
      <c r="S296" s="7">
        <v>71861.5</v>
      </c>
      <c r="T296" s="7">
        <v>17965.38</v>
      </c>
      <c r="U296" s="7">
        <v>22647.65</v>
      </c>
      <c r="V296" s="7">
        <v>0</v>
      </c>
      <c r="W296" s="7">
        <v>25019.99</v>
      </c>
      <c r="X296" s="7">
        <v>1304.96</v>
      </c>
      <c r="Y296" s="7">
        <v>0</v>
      </c>
      <c r="Z296" s="7">
        <v>13495.62</v>
      </c>
      <c r="AA296" s="7">
        <v>19952.77</v>
      </c>
      <c r="AB296" s="7">
        <v>1987.39</v>
      </c>
      <c r="AC296" s="7">
        <v>1040.5899999999999</v>
      </c>
      <c r="AD296" s="7">
        <v>946.8</v>
      </c>
      <c r="AE296" s="7">
        <v>29369.91</v>
      </c>
      <c r="AF296" s="7">
        <v>26722.7</v>
      </c>
    </row>
    <row r="297" spans="1:32" x14ac:dyDescent="0.25">
      <c r="A297" s="12" t="s">
        <v>38</v>
      </c>
      <c r="B297" s="12">
        <v>2190</v>
      </c>
      <c r="C297" s="12">
        <v>1</v>
      </c>
      <c r="D297" s="13" t="s">
        <v>690</v>
      </c>
      <c r="E297" s="6">
        <v>387</v>
      </c>
      <c r="F297" s="6">
        <v>377</v>
      </c>
      <c r="G297" s="6">
        <v>9244278</v>
      </c>
      <c r="H297" s="6">
        <v>46440</v>
      </c>
      <c r="I297" s="6">
        <v>45240</v>
      </c>
      <c r="J297" s="7">
        <v>30856.66</v>
      </c>
      <c r="K297" s="7">
        <v>30856.66</v>
      </c>
      <c r="L297" s="7">
        <v>30856.66</v>
      </c>
      <c r="M297" s="12">
        <v>1</v>
      </c>
      <c r="N297" s="7">
        <v>14383.34</v>
      </c>
      <c r="O297" s="7">
        <v>14383.34</v>
      </c>
      <c r="P297" s="7">
        <v>0</v>
      </c>
      <c r="Q297" s="6">
        <v>46440</v>
      </c>
      <c r="R297" s="7">
        <v>2038.2</v>
      </c>
      <c r="S297" s="7">
        <v>48478.2</v>
      </c>
      <c r="T297" s="7">
        <v>12119.55</v>
      </c>
      <c r="U297" s="7">
        <v>11193.13</v>
      </c>
      <c r="V297" s="7">
        <v>0</v>
      </c>
      <c r="W297" s="7">
        <v>7946.14</v>
      </c>
      <c r="X297" s="7">
        <v>0</v>
      </c>
      <c r="Y297" s="7">
        <v>0</v>
      </c>
      <c r="Z297" s="7">
        <v>8663.49</v>
      </c>
      <c r="AA297" s="7">
        <v>9267.59</v>
      </c>
      <c r="AB297" s="7">
        <v>0</v>
      </c>
      <c r="AC297" s="7">
        <v>0</v>
      </c>
      <c r="AD297" s="7">
        <v>0</v>
      </c>
      <c r="AE297" s="7">
        <v>30856.66</v>
      </c>
      <c r="AF297" s="7">
        <v>14383.34</v>
      </c>
    </row>
    <row r="298" spans="1:32" x14ac:dyDescent="0.25">
      <c r="A298" s="12" t="s">
        <v>38</v>
      </c>
      <c r="B298" s="12">
        <v>2198</v>
      </c>
      <c r="C298" s="12">
        <v>1</v>
      </c>
      <c r="D298" s="13" t="s">
        <v>332</v>
      </c>
      <c r="E298" s="6">
        <v>311</v>
      </c>
      <c r="F298" s="6">
        <v>353</v>
      </c>
      <c r="G298" s="6">
        <v>5701392</v>
      </c>
      <c r="H298" s="6">
        <v>37320</v>
      </c>
      <c r="I298" s="6">
        <v>42360</v>
      </c>
      <c r="J298" s="7">
        <v>19030.79</v>
      </c>
      <c r="K298" s="7">
        <v>19030.79</v>
      </c>
      <c r="L298" s="7">
        <v>19030.79</v>
      </c>
      <c r="M298" s="12">
        <v>1</v>
      </c>
      <c r="N298" s="7">
        <v>23329.21</v>
      </c>
      <c r="O298" s="7">
        <v>23329.21</v>
      </c>
      <c r="P298" s="7">
        <v>564.79999999999995</v>
      </c>
      <c r="Q298" s="6">
        <v>37320</v>
      </c>
      <c r="R298" s="7">
        <v>5453.7</v>
      </c>
      <c r="S298" s="7">
        <v>42773.7</v>
      </c>
      <c r="T298" s="7">
        <v>10693.43</v>
      </c>
      <c r="U298" s="7">
        <v>22148.17</v>
      </c>
      <c r="V298" s="7">
        <v>0</v>
      </c>
      <c r="W298" s="7">
        <v>18153.93</v>
      </c>
      <c r="X298" s="7">
        <v>5447.21</v>
      </c>
      <c r="Y298" s="7">
        <v>0</v>
      </c>
      <c r="Z298" s="7">
        <v>473.07</v>
      </c>
      <c r="AA298" s="7">
        <v>11775.99</v>
      </c>
      <c r="AB298" s="7">
        <v>1082.56</v>
      </c>
      <c r="AC298" s="7">
        <v>486.35</v>
      </c>
      <c r="AD298" s="7">
        <v>596.21</v>
      </c>
      <c r="AE298" s="7">
        <v>18544.439999999999</v>
      </c>
      <c r="AF298" s="7">
        <v>22733</v>
      </c>
    </row>
    <row r="299" spans="1:32" x14ac:dyDescent="0.25">
      <c r="A299" s="12" t="s">
        <v>38</v>
      </c>
      <c r="B299" s="12">
        <v>2215</v>
      </c>
      <c r="C299" s="12">
        <v>1</v>
      </c>
      <c r="D299" s="13" t="s">
        <v>691</v>
      </c>
      <c r="E299" s="6">
        <v>116</v>
      </c>
      <c r="F299" s="6">
        <v>116</v>
      </c>
      <c r="G299" s="6">
        <v>2184075</v>
      </c>
      <c r="H299" s="6">
        <v>18000</v>
      </c>
      <c r="I299" s="6">
        <v>18000</v>
      </c>
      <c r="J299" s="7">
        <v>7290.27</v>
      </c>
      <c r="K299" s="7">
        <v>7290.27</v>
      </c>
      <c r="L299" s="7">
        <v>7290.27</v>
      </c>
      <c r="M299" s="12">
        <v>1</v>
      </c>
      <c r="N299" s="7">
        <v>10709.73</v>
      </c>
      <c r="O299" s="7">
        <v>10709.73</v>
      </c>
      <c r="P299" s="7">
        <v>0</v>
      </c>
      <c r="Q299" s="6">
        <v>18000</v>
      </c>
      <c r="R299" s="7">
        <v>11227.22</v>
      </c>
      <c r="S299" s="7">
        <v>29227.22</v>
      </c>
      <c r="T299" s="7">
        <v>7306.81</v>
      </c>
      <c r="U299" s="7">
        <v>-132542.59</v>
      </c>
      <c r="V299" s="7">
        <v>0</v>
      </c>
      <c r="W299" s="7">
        <v>-136842.25</v>
      </c>
      <c r="X299" s="7">
        <v>0</v>
      </c>
      <c r="Y299" s="7">
        <v>0</v>
      </c>
      <c r="Z299" s="7">
        <v>-136444.67000000001</v>
      </c>
      <c r="AA299" s="7">
        <v>-135276.5</v>
      </c>
      <c r="AB299" s="7">
        <v>0</v>
      </c>
      <c r="AC299" s="7">
        <v>0</v>
      </c>
      <c r="AD299" s="7">
        <v>0</v>
      </c>
      <c r="AE299" s="7">
        <v>7290.27</v>
      </c>
      <c r="AF299" s="7">
        <v>10709.73</v>
      </c>
    </row>
    <row r="300" spans="1:32" x14ac:dyDescent="0.25">
      <c r="A300" s="12" t="s">
        <v>38</v>
      </c>
      <c r="B300" s="12">
        <v>2310</v>
      </c>
      <c r="C300" s="12">
        <v>1</v>
      </c>
      <c r="D300" s="13" t="s">
        <v>692</v>
      </c>
      <c r="E300" s="6">
        <v>675</v>
      </c>
      <c r="F300" s="6">
        <v>650</v>
      </c>
      <c r="G300" s="6">
        <v>9235685</v>
      </c>
      <c r="H300" s="6">
        <v>81000</v>
      </c>
      <c r="I300" s="6">
        <v>78000</v>
      </c>
      <c r="J300" s="7">
        <v>30827.98</v>
      </c>
      <c r="K300" s="7">
        <v>30827.98</v>
      </c>
      <c r="L300" s="7">
        <v>30827.98</v>
      </c>
      <c r="M300" s="12">
        <v>1</v>
      </c>
      <c r="N300" s="7">
        <v>47172.02</v>
      </c>
      <c r="O300" s="7">
        <v>47172.02</v>
      </c>
      <c r="P300" s="7">
        <v>1040</v>
      </c>
      <c r="Q300" s="6">
        <v>81000</v>
      </c>
      <c r="R300" s="7">
        <v>15109</v>
      </c>
      <c r="S300" s="7">
        <v>96109</v>
      </c>
      <c r="T300" s="7">
        <v>24027.25</v>
      </c>
      <c r="U300" s="7">
        <v>21588.18</v>
      </c>
      <c r="V300" s="7">
        <v>0</v>
      </c>
      <c r="W300" s="7">
        <v>14929.71</v>
      </c>
      <c r="X300" s="7">
        <v>0</v>
      </c>
      <c r="Y300" s="7">
        <v>0</v>
      </c>
      <c r="Z300" s="7">
        <v>34107.980000000003</v>
      </c>
      <c r="AA300" s="7">
        <v>23541.96</v>
      </c>
      <c r="AB300" s="7">
        <v>0</v>
      </c>
      <c r="AC300" s="7">
        <v>0</v>
      </c>
      <c r="AD300" s="7">
        <v>0</v>
      </c>
      <c r="AE300" s="7">
        <v>30827.98</v>
      </c>
      <c r="AF300" s="7">
        <v>47172.02</v>
      </c>
    </row>
    <row r="301" spans="1:32" x14ac:dyDescent="0.25">
      <c r="A301" s="12" t="s">
        <v>38</v>
      </c>
      <c r="B301" s="12">
        <v>2311</v>
      </c>
      <c r="C301" s="12">
        <v>1</v>
      </c>
      <c r="D301" s="13" t="s">
        <v>693</v>
      </c>
      <c r="E301" s="6">
        <v>198</v>
      </c>
      <c r="F301" s="6">
        <v>199</v>
      </c>
      <c r="G301" s="6">
        <v>4761869</v>
      </c>
      <c r="H301" s="6">
        <v>23760</v>
      </c>
      <c r="I301" s="6">
        <v>23880</v>
      </c>
      <c r="J301" s="7">
        <v>15894.74</v>
      </c>
      <c r="K301" s="7">
        <v>15894.74</v>
      </c>
      <c r="L301" s="7">
        <v>15894.74</v>
      </c>
      <c r="M301" s="12">
        <v>1</v>
      </c>
      <c r="N301" s="7">
        <v>7985.26</v>
      </c>
      <c r="O301" s="7">
        <v>7985.26</v>
      </c>
      <c r="P301" s="7">
        <v>318.39999999999998</v>
      </c>
      <c r="Q301" s="6">
        <v>23760</v>
      </c>
      <c r="R301" s="7">
        <v>8884.7999999999993</v>
      </c>
      <c r="S301" s="7">
        <v>32644.799999999999</v>
      </c>
      <c r="T301" s="7">
        <v>8161.2</v>
      </c>
      <c r="U301" s="7">
        <v>7505.29</v>
      </c>
      <c r="V301" s="7">
        <v>0</v>
      </c>
      <c r="W301" s="7">
        <v>8615.77</v>
      </c>
      <c r="X301" s="7">
        <v>0</v>
      </c>
      <c r="Y301" s="7">
        <v>0</v>
      </c>
      <c r="Z301" s="7">
        <v>9500.9599999999991</v>
      </c>
      <c r="AA301" s="7">
        <v>8540.67</v>
      </c>
      <c r="AB301" s="7">
        <v>379.47</v>
      </c>
      <c r="AC301" s="7">
        <v>252.58</v>
      </c>
      <c r="AD301" s="7">
        <v>126.89</v>
      </c>
      <c r="AE301" s="7">
        <v>15642.16</v>
      </c>
      <c r="AF301" s="7">
        <v>7858.37</v>
      </c>
    </row>
    <row r="302" spans="1:32" x14ac:dyDescent="0.25">
      <c r="A302" s="12" t="s">
        <v>38</v>
      </c>
      <c r="B302" s="12">
        <v>2342</v>
      </c>
      <c r="C302" s="12">
        <v>1</v>
      </c>
      <c r="D302" s="13" t="s">
        <v>694</v>
      </c>
      <c r="E302" s="6">
        <v>310</v>
      </c>
      <c r="F302" s="6">
        <v>307</v>
      </c>
      <c r="G302" s="6">
        <v>8318321</v>
      </c>
      <c r="H302" s="6">
        <v>37200</v>
      </c>
      <c r="I302" s="6">
        <v>36840</v>
      </c>
      <c r="J302" s="7">
        <v>27765.89</v>
      </c>
      <c r="K302" s="7">
        <v>27765.89</v>
      </c>
      <c r="L302" s="7">
        <v>27765.89</v>
      </c>
      <c r="M302" s="12">
        <v>1</v>
      </c>
      <c r="N302" s="7">
        <v>9074.11</v>
      </c>
      <c r="O302" s="7">
        <v>9074.11</v>
      </c>
      <c r="P302" s="7">
        <v>491.2</v>
      </c>
      <c r="Q302" s="6">
        <v>37200</v>
      </c>
      <c r="R302" s="7">
        <v>2391</v>
      </c>
      <c r="S302" s="7">
        <v>39591</v>
      </c>
      <c r="T302" s="7">
        <v>9897.75</v>
      </c>
      <c r="U302" s="7">
        <v>15261.65</v>
      </c>
      <c r="V302" s="7">
        <v>0</v>
      </c>
      <c r="W302" s="7">
        <v>20363.39</v>
      </c>
      <c r="X302" s="7">
        <v>4007.78</v>
      </c>
      <c r="Y302" s="7">
        <v>0</v>
      </c>
      <c r="Z302" s="7">
        <v>2136.52</v>
      </c>
      <c r="AA302" s="7">
        <v>11251.26</v>
      </c>
      <c r="AB302" s="7">
        <v>1353.51</v>
      </c>
      <c r="AC302" s="7">
        <v>1020.13</v>
      </c>
      <c r="AD302" s="7">
        <v>333.38</v>
      </c>
      <c r="AE302" s="7">
        <v>26745.759999999998</v>
      </c>
      <c r="AF302" s="7">
        <v>8740.73</v>
      </c>
    </row>
    <row r="303" spans="1:32" x14ac:dyDescent="0.25">
      <c r="A303" s="12" t="s">
        <v>38</v>
      </c>
      <c r="B303" s="12">
        <v>2358</v>
      </c>
      <c r="C303" s="12">
        <v>1</v>
      </c>
      <c r="D303" s="13" t="s">
        <v>695</v>
      </c>
      <c r="E303" s="6">
        <v>80</v>
      </c>
      <c r="F303" s="6">
        <v>73</v>
      </c>
      <c r="G303" s="6">
        <v>2047208</v>
      </c>
      <c r="H303" s="6">
        <v>18000</v>
      </c>
      <c r="I303" s="6">
        <v>18000</v>
      </c>
      <c r="J303" s="7">
        <v>6833.42</v>
      </c>
      <c r="K303" s="7">
        <v>6833.42</v>
      </c>
      <c r="L303" s="7">
        <v>6833.42</v>
      </c>
      <c r="M303" s="12">
        <v>1</v>
      </c>
      <c r="N303" s="7">
        <v>11166.58</v>
      </c>
      <c r="O303" s="7">
        <v>11166.58</v>
      </c>
      <c r="P303" s="7">
        <v>116.8</v>
      </c>
      <c r="Q303" s="6">
        <v>18000</v>
      </c>
      <c r="R303" s="7">
        <v>128</v>
      </c>
      <c r="S303" s="7">
        <v>18128</v>
      </c>
      <c r="T303" s="7">
        <v>4532</v>
      </c>
      <c r="U303" s="7">
        <v>307</v>
      </c>
      <c r="V303" s="7">
        <v>0</v>
      </c>
      <c r="W303" s="7">
        <v>990.56</v>
      </c>
      <c r="X303" s="7">
        <v>0</v>
      </c>
      <c r="Y303" s="7">
        <v>0</v>
      </c>
      <c r="Z303" s="7">
        <v>-403.24</v>
      </c>
      <c r="AA303" s="7">
        <v>298.11</v>
      </c>
      <c r="AB303" s="7">
        <v>0</v>
      </c>
      <c r="AC303" s="7">
        <v>0</v>
      </c>
      <c r="AD303" s="7">
        <v>0</v>
      </c>
      <c r="AE303" s="7">
        <v>6833.42</v>
      </c>
      <c r="AF303" s="7">
        <v>11166.58</v>
      </c>
    </row>
    <row r="304" spans="1:32" x14ac:dyDescent="0.25">
      <c r="A304" s="12" t="s">
        <v>38</v>
      </c>
      <c r="B304" s="12">
        <v>2364</v>
      </c>
      <c r="C304" s="12">
        <v>1</v>
      </c>
      <c r="D304" s="13" t="s">
        <v>696</v>
      </c>
      <c r="E304" s="6">
        <v>227</v>
      </c>
      <c r="F304" s="6">
        <v>209</v>
      </c>
      <c r="G304" s="6">
        <v>6207156</v>
      </c>
      <c r="H304" s="6">
        <v>27240</v>
      </c>
      <c r="I304" s="6">
        <v>25080</v>
      </c>
      <c r="J304" s="7">
        <v>20718.990000000002</v>
      </c>
      <c r="K304" s="7">
        <v>20718.990000000002</v>
      </c>
      <c r="L304" s="7">
        <v>20718.990000000002</v>
      </c>
      <c r="M304" s="12">
        <v>1</v>
      </c>
      <c r="N304" s="7">
        <v>4361.01</v>
      </c>
      <c r="O304" s="7">
        <v>4361.01</v>
      </c>
      <c r="P304" s="7">
        <v>0</v>
      </c>
      <c r="Q304" s="6">
        <v>27240</v>
      </c>
      <c r="R304" s="7">
        <v>1560</v>
      </c>
      <c r="S304" s="7">
        <v>28800</v>
      </c>
      <c r="T304" s="7">
        <v>7200</v>
      </c>
      <c r="U304" s="7">
        <v>-26332.03</v>
      </c>
      <c r="V304" s="7">
        <v>0</v>
      </c>
      <c r="W304" s="7">
        <v>-26791</v>
      </c>
      <c r="X304" s="7">
        <v>0</v>
      </c>
      <c r="Y304" s="7">
        <v>0</v>
      </c>
      <c r="Z304" s="7">
        <v>-14337.23</v>
      </c>
      <c r="AA304" s="7">
        <v>-22486.75</v>
      </c>
      <c r="AB304" s="7">
        <v>0</v>
      </c>
      <c r="AC304" s="7">
        <v>0</v>
      </c>
      <c r="AD304" s="7">
        <v>0</v>
      </c>
      <c r="AE304" s="7">
        <v>20718.990000000002</v>
      </c>
      <c r="AF304" s="7">
        <v>4361.01</v>
      </c>
    </row>
    <row r="305" spans="1:32" x14ac:dyDescent="0.25">
      <c r="A305" s="12" t="s">
        <v>38</v>
      </c>
      <c r="B305" s="12">
        <v>2365</v>
      </c>
      <c r="C305" s="12">
        <v>1</v>
      </c>
      <c r="D305" s="13" t="s">
        <v>697</v>
      </c>
      <c r="E305" s="6">
        <v>482</v>
      </c>
      <c r="F305" s="6">
        <v>486</v>
      </c>
      <c r="G305" s="6">
        <v>10779741</v>
      </c>
      <c r="H305" s="6">
        <v>57840</v>
      </c>
      <c r="I305" s="6">
        <v>58320</v>
      </c>
      <c r="J305" s="7">
        <v>35981.910000000003</v>
      </c>
      <c r="K305" s="7">
        <v>35981.910000000003</v>
      </c>
      <c r="L305" s="7">
        <v>35981.910000000003</v>
      </c>
      <c r="M305" s="12">
        <v>1</v>
      </c>
      <c r="N305" s="7">
        <v>22338.09</v>
      </c>
      <c r="O305" s="7">
        <v>22338.09</v>
      </c>
      <c r="P305" s="7">
        <v>777.6</v>
      </c>
      <c r="Q305" s="6">
        <v>60360</v>
      </c>
      <c r="R305" s="7">
        <v>19829.27</v>
      </c>
      <c r="S305" s="7">
        <v>80189.27</v>
      </c>
      <c r="T305" s="7">
        <v>20047.32</v>
      </c>
      <c r="U305" s="7">
        <v>20637.71</v>
      </c>
      <c r="V305" s="7">
        <v>0</v>
      </c>
      <c r="W305" s="7">
        <v>28345.64</v>
      </c>
      <c r="X305" s="7">
        <v>0</v>
      </c>
      <c r="Y305" s="7">
        <v>0</v>
      </c>
      <c r="Z305" s="7">
        <v>19178.419999999998</v>
      </c>
      <c r="AA305" s="7">
        <v>22720.59</v>
      </c>
      <c r="AB305" s="7">
        <v>2673.27</v>
      </c>
      <c r="AC305" s="7">
        <v>1649.34</v>
      </c>
      <c r="AD305" s="7">
        <v>1023.93</v>
      </c>
      <c r="AE305" s="7">
        <v>34332.57</v>
      </c>
      <c r="AF305" s="7">
        <v>21314.16</v>
      </c>
    </row>
    <row r="306" spans="1:32" x14ac:dyDescent="0.25">
      <c r="A306" s="12" t="s">
        <v>38</v>
      </c>
      <c r="B306" s="12">
        <v>2396</v>
      </c>
      <c r="C306" s="12">
        <v>1</v>
      </c>
      <c r="D306" s="13" t="s">
        <v>698</v>
      </c>
      <c r="E306" s="6">
        <v>354</v>
      </c>
      <c r="F306" s="6">
        <v>369</v>
      </c>
      <c r="G306" s="6">
        <v>10567030</v>
      </c>
      <c r="H306" s="6">
        <v>42480</v>
      </c>
      <c r="I306" s="6">
        <v>44280</v>
      </c>
      <c r="J306" s="7">
        <v>35271.9</v>
      </c>
      <c r="K306" s="7">
        <v>35271.9</v>
      </c>
      <c r="L306" s="7">
        <v>35271.9</v>
      </c>
      <c r="M306" s="12">
        <v>1</v>
      </c>
      <c r="N306" s="7">
        <v>9008.1</v>
      </c>
      <c r="O306" s="7">
        <v>9008.1</v>
      </c>
      <c r="P306" s="7">
        <v>590.4</v>
      </c>
      <c r="Q306" s="6">
        <v>42480</v>
      </c>
      <c r="R306" s="7">
        <v>16195.46</v>
      </c>
      <c r="S306" s="7">
        <v>58675.46</v>
      </c>
      <c r="T306" s="7">
        <v>14668.87</v>
      </c>
      <c r="U306" s="7">
        <v>4918.63</v>
      </c>
      <c r="V306" s="7">
        <v>0</v>
      </c>
      <c r="W306" s="7">
        <v>7835.68</v>
      </c>
      <c r="X306" s="7">
        <v>0</v>
      </c>
      <c r="Y306" s="7">
        <v>0</v>
      </c>
      <c r="Z306" s="7">
        <v>12755.96</v>
      </c>
      <c r="AA306" s="7">
        <v>8503.42</v>
      </c>
      <c r="AB306" s="7">
        <v>0</v>
      </c>
      <c r="AC306" s="7">
        <v>0</v>
      </c>
      <c r="AD306" s="7">
        <v>0</v>
      </c>
      <c r="AE306" s="7">
        <v>35271.9</v>
      </c>
      <c r="AF306" s="7">
        <v>9008.1</v>
      </c>
    </row>
    <row r="307" spans="1:32" x14ac:dyDescent="0.25">
      <c r="A307" s="12" t="s">
        <v>38</v>
      </c>
      <c r="B307" s="12">
        <v>2397</v>
      </c>
      <c r="C307" s="12">
        <v>1</v>
      </c>
      <c r="D307" s="13" t="s">
        <v>699</v>
      </c>
      <c r="E307" s="6">
        <v>617</v>
      </c>
      <c r="F307" s="6">
        <v>660</v>
      </c>
      <c r="G307" s="6">
        <v>9497642</v>
      </c>
      <c r="H307" s="6">
        <v>74040</v>
      </c>
      <c r="I307" s="6">
        <v>79200</v>
      </c>
      <c r="J307" s="7">
        <v>31702.37</v>
      </c>
      <c r="K307" s="7">
        <v>31702.37</v>
      </c>
      <c r="L307" s="7">
        <v>31702.37</v>
      </c>
      <c r="M307" s="12">
        <v>1</v>
      </c>
      <c r="N307" s="7">
        <v>47497.63</v>
      </c>
      <c r="O307" s="7">
        <v>47497.63</v>
      </c>
      <c r="P307" s="7">
        <v>1056</v>
      </c>
      <c r="Q307" s="6">
        <v>74040</v>
      </c>
      <c r="R307" s="7">
        <v>9186.9500000000007</v>
      </c>
      <c r="S307" s="7">
        <v>83226.95</v>
      </c>
      <c r="T307" s="7">
        <v>20806.740000000002</v>
      </c>
      <c r="U307" s="7">
        <v>28263.74</v>
      </c>
      <c r="V307" s="7">
        <v>1466.5</v>
      </c>
      <c r="W307" s="7">
        <v>32846.29</v>
      </c>
      <c r="X307" s="7">
        <v>6153.26</v>
      </c>
      <c r="Y307" s="7">
        <v>0</v>
      </c>
      <c r="Z307" s="7">
        <v>21110.5</v>
      </c>
      <c r="AA307" s="7">
        <v>24866.92</v>
      </c>
      <c r="AB307" s="7">
        <v>4060.18</v>
      </c>
      <c r="AC307" s="7">
        <v>1625.22</v>
      </c>
      <c r="AD307" s="7">
        <v>2434.96</v>
      </c>
      <c r="AE307" s="7">
        <v>30077.15</v>
      </c>
      <c r="AF307" s="7">
        <v>45062.67</v>
      </c>
    </row>
    <row r="308" spans="1:32" x14ac:dyDescent="0.25">
      <c r="A308" s="12" t="s">
        <v>38</v>
      </c>
      <c r="B308" s="12">
        <v>2448</v>
      </c>
      <c r="C308" s="12">
        <v>1</v>
      </c>
      <c r="D308" s="13" t="s">
        <v>700</v>
      </c>
      <c r="E308" s="6">
        <v>279</v>
      </c>
      <c r="F308" s="6">
        <v>287</v>
      </c>
      <c r="G308" s="6">
        <v>8388821</v>
      </c>
      <c r="H308" s="6">
        <v>33480</v>
      </c>
      <c r="I308" s="6">
        <v>34440</v>
      </c>
      <c r="J308" s="7">
        <v>28001.21</v>
      </c>
      <c r="K308" s="7">
        <v>28001.21</v>
      </c>
      <c r="L308" s="7">
        <v>28001.21</v>
      </c>
      <c r="M308" s="12">
        <v>1</v>
      </c>
      <c r="N308" s="7">
        <v>6438.79</v>
      </c>
      <c r="O308" s="7">
        <v>6438.79</v>
      </c>
      <c r="P308" s="7">
        <v>459.2</v>
      </c>
      <c r="Q308" s="6">
        <v>33480</v>
      </c>
      <c r="R308" s="7">
        <v>8523.4</v>
      </c>
      <c r="S308" s="7">
        <v>42003.4</v>
      </c>
      <c r="T308" s="7">
        <v>10500.85</v>
      </c>
      <c r="U308" s="7">
        <v>9668.7800000000007</v>
      </c>
      <c r="V308" s="7">
        <v>0</v>
      </c>
      <c r="W308" s="7">
        <v>3394.63</v>
      </c>
      <c r="X308" s="7">
        <v>0</v>
      </c>
      <c r="Y308" s="7">
        <v>0</v>
      </c>
      <c r="Z308" s="7">
        <v>8018.16</v>
      </c>
      <c r="AA308" s="7">
        <v>7027.19</v>
      </c>
      <c r="AB308" s="7">
        <v>0</v>
      </c>
      <c r="AC308" s="7">
        <v>0</v>
      </c>
      <c r="AD308" s="7">
        <v>0</v>
      </c>
      <c r="AE308" s="7">
        <v>28001.21</v>
      </c>
      <c r="AF308" s="7">
        <v>6438.79</v>
      </c>
    </row>
    <row r="309" spans="1:32" x14ac:dyDescent="0.25">
      <c r="A309" s="12" t="s">
        <v>38</v>
      </c>
      <c r="B309" s="12">
        <v>2527</v>
      </c>
      <c r="C309" s="12">
        <v>1</v>
      </c>
      <c r="D309" s="13" t="s">
        <v>701</v>
      </c>
      <c r="E309" s="6">
        <v>84</v>
      </c>
      <c r="F309" s="6">
        <v>72</v>
      </c>
      <c r="G309" s="6">
        <v>2358841</v>
      </c>
      <c r="H309" s="6">
        <v>18000</v>
      </c>
      <c r="I309" s="6">
        <v>18000</v>
      </c>
      <c r="J309" s="7">
        <v>7873.62</v>
      </c>
      <c r="K309" s="7">
        <v>7873.62</v>
      </c>
      <c r="L309" s="7">
        <v>7873.62</v>
      </c>
      <c r="M309" s="12">
        <v>1</v>
      </c>
      <c r="N309" s="7">
        <v>10126.379999999999</v>
      </c>
      <c r="O309" s="7">
        <v>10126.379999999999</v>
      </c>
      <c r="P309" s="7">
        <v>115.2</v>
      </c>
      <c r="Q309" s="6">
        <v>18000</v>
      </c>
      <c r="R309" s="7">
        <v>134.4</v>
      </c>
      <c r="S309" s="7">
        <v>18134.400000000001</v>
      </c>
      <c r="T309" s="7">
        <v>4533.6000000000004</v>
      </c>
      <c r="U309" s="7">
        <v>-43662.39</v>
      </c>
      <c r="V309" s="7">
        <v>0</v>
      </c>
      <c r="W309" s="7">
        <v>-49910.69</v>
      </c>
      <c r="X309" s="7">
        <v>0</v>
      </c>
      <c r="Y309" s="7">
        <v>0</v>
      </c>
      <c r="Z309" s="7">
        <v>0</v>
      </c>
      <c r="AA309" s="7">
        <v>-31191.03</v>
      </c>
      <c r="AB309" s="7">
        <v>0</v>
      </c>
      <c r="AC309" s="7">
        <v>0</v>
      </c>
      <c r="AD309" s="7">
        <v>0</v>
      </c>
      <c r="AE309" s="7">
        <v>7873.62</v>
      </c>
      <c r="AF309" s="7">
        <v>10126.379999999999</v>
      </c>
    </row>
    <row r="310" spans="1:32" x14ac:dyDescent="0.25">
      <c r="A310" s="12" t="s">
        <v>38</v>
      </c>
      <c r="B310" s="12">
        <v>2534</v>
      </c>
      <c r="C310" s="12">
        <v>1</v>
      </c>
      <c r="D310" s="13" t="s">
        <v>702</v>
      </c>
      <c r="E310" s="6">
        <v>221</v>
      </c>
      <c r="F310" s="6">
        <v>265</v>
      </c>
      <c r="G310" s="6">
        <v>8167929</v>
      </c>
      <c r="H310" s="6">
        <v>26520</v>
      </c>
      <c r="I310" s="6">
        <v>31800</v>
      </c>
      <c r="J310" s="7">
        <v>26520</v>
      </c>
      <c r="K310" s="7">
        <v>27263.89</v>
      </c>
      <c r="L310" s="7">
        <v>26520</v>
      </c>
      <c r="M310" s="12">
        <v>1</v>
      </c>
      <c r="N310" s="7">
        <v>4536.1099999999997</v>
      </c>
      <c r="O310" s="7">
        <v>4536.1099999999997</v>
      </c>
      <c r="P310" s="7">
        <v>424</v>
      </c>
      <c r="Q310" s="6">
        <v>26520</v>
      </c>
      <c r="R310" s="7">
        <v>1934.6</v>
      </c>
      <c r="S310" s="7">
        <v>28454.6</v>
      </c>
      <c r="T310" s="7">
        <v>7113.65</v>
      </c>
      <c r="U310" s="7">
        <v>14249.38</v>
      </c>
      <c r="V310" s="7">
        <v>2058.77</v>
      </c>
      <c r="W310" s="7">
        <v>9734.35</v>
      </c>
      <c r="X310" s="7">
        <v>901.9</v>
      </c>
      <c r="Y310" s="7">
        <v>0</v>
      </c>
      <c r="Z310" s="7">
        <v>-38.880000000000003</v>
      </c>
      <c r="AA310" s="7">
        <v>6994.73</v>
      </c>
      <c r="AB310" s="7">
        <v>0</v>
      </c>
      <c r="AC310" s="7">
        <v>0</v>
      </c>
      <c r="AD310" s="7">
        <v>0</v>
      </c>
      <c r="AE310" s="7">
        <v>27263.89</v>
      </c>
      <c r="AF310" s="7">
        <v>4536.1099999999997</v>
      </c>
    </row>
    <row r="311" spans="1:32" x14ac:dyDescent="0.25">
      <c r="A311" s="12" t="s">
        <v>38</v>
      </c>
      <c r="B311" s="12">
        <v>2536</v>
      </c>
      <c r="C311" s="12">
        <v>1</v>
      </c>
      <c r="D311" s="13" t="s">
        <v>703</v>
      </c>
      <c r="E311" s="6">
        <v>73</v>
      </c>
      <c r="F311" s="6">
        <v>78</v>
      </c>
      <c r="G311" s="6">
        <v>4478351</v>
      </c>
      <c r="H311" s="6">
        <v>18000</v>
      </c>
      <c r="I311" s="6">
        <v>18000</v>
      </c>
      <c r="J311" s="7">
        <v>14948.38</v>
      </c>
      <c r="K311" s="7">
        <v>14948.38</v>
      </c>
      <c r="L311" s="7">
        <v>14948.38</v>
      </c>
      <c r="M311" s="12">
        <v>1</v>
      </c>
      <c r="N311" s="7">
        <v>3051.62</v>
      </c>
      <c r="O311" s="7">
        <v>3051.62</v>
      </c>
      <c r="P311" s="7">
        <v>124.8</v>
      </c>
      <c r="Q311" s="6">
        <v>18000</v>
      </c>
      <c r="R311" s="7">
        <v>2387.3000000000002</v>
      </c>
      <c r="S311" s="7">
        <v>20387.3</v>
      </c>
      <c r="T311" s="7">
        <v>5096.83</v>
      </c>
      <c r="U311" s="7">
        <v>4723.45</v>
      </c>
      <c r="V311" s="7">
        <v>0</v>
      </c>
      <c r="W311" s="7">
        <v>3394.06</v>
      </c>
      <c r="X311" s="7">
        <v>0</v>
      </c>
      <c r="Y311" s="7">
        <v>0</v>
      </c>
      <c r="Z311" s="7">
        <v>5314.74</v>
      </c>
      <c r="AA311" s="7">
        <v>4477.42</v>
      </c>
      <c r="AB311" s="7">
        <v>0</v>
      </c>
      <c r="AC311" s="7">
        <v>0</v>
      </c>
      <c r="AD311" s="7">
        <v>0</v>
      </c>
      <c r="AE311" s="7">
        <v>14948.38</v>
      </c>
      <c r="AF311" s="7">
        <v>3051.62</v>
      </c>
    </row>
    <row r="312" spans="1:32" x14ac:dyDescent="0.25">
      <c r="A312" s="12" t="s">
        <v>38</v>
      </c>
      <c r="B312" s="12">
        <v>2580</v>
      </c>
      <c r="C312" s="12">
        <v>1</v>
      </c>
      <c r="D312" s="13" t="s">
        <v>704</v>
      </c>
      <c r="E312" s="6">
        <v>288</v>
      </c>
      <c r="F312" s="6">
        <v>288</v>
      </c>
      <c r="G312" s="6">
        <v>6991594</v>
      </c>
      <c r="H312" s="6">
        <v>34560</v>
      </c>
      <c r="I312" s="6">
        <v>34560</v>
      </c>
      <c r="J312" s="7">
        <v>23337.38</v>
      </c>
      <c r="K312" s="7">
        <v>23337.38</v>
      </c>
      <c r="L312" s="7">
        <v>23337.38</v>
      </c>
      <c r="M312" s="12">
        <v>1</v>
      </c>
      <c r="N312" s="7">
        <v>11222.62</v>
      </c>
      <c r="O312" s="7">
        <v>11222.62</v>
      </c>
      <c r="P312" s="7">
        <v>460.8</v>
      </c>
      <c r="Q312" s="6">
        <v>34560</v>
      </c>
      <c r="R312" s="7">
        <v>886.8</v>
      </c>
      <c r="S312" s="7">
        <v>35446.800000000003</v>
      </c>
      <c r="T312" s="7">
        <v>8861.7000000000007</v>
      </c>
      <c r="U312" s="7">
        <v>-3279.99</v>
      </c>
      <c r="V312" s="7">
        <v>0</v>
      </c>
      <c r="W312" s="7">
        <v>5729.27</v>
      </c>
      <c r="X312" s="7">
        <v>0</v>
      </c>
      <c r="Y312" s="7">
        <v>0</v>
      </c>
      <c r="Z312" s="7">
        <v>-230.29</v>
      </c>
      <c r="AA312" s="7">
        <v>739.66</v>
      </c>
      <c r="AB312" s="7">
        <v>0</v>
      </c>
      <c r="AC312" s="7">
        <v>0</v>
      </c>
      <c r="AD312" s="7">
        <v>0</v>
      </c>
      <c r="AE312" s="7">
        <v>23337.38</v>
      </c>
      <c r="AF312" s="7">
        <v>11222.62</v>
      </c>
    </row>
    <row r="313" spans="1:32" x14ac:dyDescent="0.25">
      <c r="A313" s="12" t="s">
        <v>38</v>
      </c>
      <c r="B313" s="12">
        <v>2609</v>
      </c>
      <c r="C313" s="12">
        <v>1</v>
      </c>
      <c r="D313" s="13" t="s">
        <v>705</v>
      </c>
      <c r="E313" s="6">
        <v>175</v>
      </c>
      <c r="F313" s="6">
        <v>175</v>
      </c>
      <c r="G313" s="6">
        <v>3970452</v>
      </c>
      <c r="H313" s="6">
        <v>21000</v>
      </c>
      <c r="I313" s="6">
        <v>21000</v>
      </c>
      <c r="J313" s="7">
        <v>13253.05</v>
      </c>
      <c r="K313" s="7">
        <v>13253.05</v>
      </c>
      <c r="L313" s="7">
        <v>13253.05</v>
      </c>
      <c r="M313" s="12">
        <v>1</v>
      </c>
      <c r="N313" s="7">
        <v>7746.95</v>
      </c>
      <c r="O313" s="7">
        <v>7746.95</v>
      </c>
      <c r="P313" s="7">
        <v>280</v>
      </c>
      <c r="Q313" s="6">
        <v>21000</v>
      </c>
      <c r="R313" s="7">
        <v>280</v>
      </c>
      <c r="S313" s="7">
        <v>21280</v>
      </c>
      <c r="T313" s="7">
        <v>5320</v>
      </c>
      <c r="U313" s="7">
        <v>21107.06</v>
      </c>
      <c r="V313" s="7">
        <v>6905.49</v>
      </c>
      <c r="W313" s="7">
        <v>30610.62</v>
      </c>
      <c r="X313" s="7">
        <v>13539.44</v>
      </c>
      <c r="Y313" s="7">
        <v>0</v>
      </c>
      <c r="Z313" s="7">
        <v>33601.43</v>
      </c>
      <c r="AA313" s="7">
        <v>21624.73</v>
      </c>
      <c r="AB313" s="7">
        <v>16304.73</v>
      </c>
      <c r="AC313" s="7">
        <v>10289.879999999999</v>
      </c>
      <c r="AD313" s="7">
        <v>6014.85</v>
      </c>
      <c r="AE313" s="7">
        <v>2963.17</v>
      </c>
      <c r="AF313" s="7">
        <v>1732.1</v>
      </c>
    </row>
    <row r="314" spans="1:32" x14ac:dyDescent="0.25">
      <c r="A314" s="12" t="s">
        <v>38</v>
      </c>
      <c r="B314" s="12">
        <v>2683</v>
      </c>
      <c r="C314" s="12">
        <v>1</v>
      </c>
      <c r="D314" s="13" t="s">
        <v>706</v>
      </c>
      <c r="E314" s="6">
        <v>137</v>
      </c>
      <c r="F314" s="6">
        <v>139</v>
      </c>
      <c r="G314" s="6">
        <v>2388460</v>
      </c>
      <c r="H314" s="6">
        <v>18000</v>
      </c>
      <c r="I314" s="6">
        <v>18000</v>
      </c>
      <c r="J314" s="7">
        <v>7972.49</v>
      </c>
      <c r="K314" s="7">
        <v>7972.49</v>
      </c>
      <c r="L314" s="7">
        <v>7972.49</v>
      </c>
      <c r="M314" s="12">
        <v>1</v>
      </c>
      <c r="N314" s="7">
        <v>10027.51</v>
      </c>
      <c r="O314" s="7">
        <v>10027.51</v>
      </c>
      <c r="P314" s="7">
        <v>222.4</v>
      </c>
      <c r="Q314" s="6">
        <v>18000</v>
      </c>
      <c r="R314" s="7">
        <v>0</v>
      </c>
      <c r="S314" s="7">
        <v>18000</v>
      </c>
      <c r="T314" s="7">
        <v>4500</v>
      </c>
      <c r="U314" s="7">
        <v>-0.56000000000000005</v>
      </c>
      <c r="V314" s="7">
        <v>0</v>
      </c>
      <c r="W314" s="7">
        <v>168.02</v>
      </c>
      <c r="X314" s="7">
        <v>0</v>
      </c>
      <c r="Y314" s="7">
        <v>0</v>
      </c>
      <c r="Z314" s="7">
        <v>1879.8</v>
      </c>
      <c r="AA314" s="7">
        <v>682.42</v>
      </c>
      <c r="AB314" s="7">
        <v>0</v>
      </c>
      <c r="AC314" s="7">
        <v>0</v>
      </c>
      <c r="AD314" s="7">
        <v>0</v>
      </c>
      <c r="AE314" s="7">
        <v>7972.49</v>
      </c>
      <c r="AF314" s="7">
        <v>10027.51</v>
      </c>
    </row>
    <row r="315" spans="1:32" x14ac:dyDescent="0.25">
      <c r="A315" s="12" t="s">
        <v>38</v>
      </c>
      <c r="B315" s="12">
        <v>2687</v>
      </c>
      <c r="C315" s="12">
        <v>1</v>
      </c>
      <c r="D315" s="13" t="s">
        <v>707</v>
      </c>
      <c r="E315" s="6">
        <v>671</v>
      </c>
      <c r="F315" s="6">
        <v>656</v>
      </c>
      <c r="G315" s="6">
        <v>10554298</v>
      </c>
      <c r="H315" s="6">
        <v>80520</v>
      </c>
      <c r="I315" s="6">
        <v>78720</v>
      </c>
      <c r="J315" s="7">
        <v>35229.4</v>
      </c>
      <c r="K315" s="7">
        <v>35229.4</v>
      </c>
      <c r="L315" s="7">
        <v>35229.4</v>
      </c>
      <c r="M315" s="12">
        <v>1</v>
      </c>
      <c r="N315" s="7">
        <v>43490.6</v>
      </c>
      <c r="O315" s="7">
        <v>43490.6</v>
      </c>
      <c r="P315" s="7">
        <v>1049.5999999999999</v>
      </c>
      <c r="Q315" s="6">
        <v>80520</v>
      </c>
      <c r="R315" s="7">
        <v>2719.35</v>
      </c>
      <c r="S315" s="7">
        <v>83239.350000000006</v>
      </c>
      <c r="T315" s="7">
        <v>20809.84</v>
      </c>
      <c r="U315" s="7">
        <v>11101.66</v>
      </c>
      <c r="V315" s="7">
        <v>0</v>
      </c>
      <c r="W315" s="7">
        <v>5954.84</v>
      </c>
      <c r="X315" s="7">
        <v>0</v>
      </c>
      <c r="Y315" s="7">
        <v>0</v>
      </c>
      <c r="Z315" s="7">
        <v>2860.09</v>
      </c>
      <c r="AA315" s="7">
        <v>6638.86</v>
      </c>
      <c r="AB315" s="7">
        <v>0</v>
      </c>
      <c r="AC315" s="7">
        <v>0</v>
      </c>
      <c r="AD315" s="7">
        <v>0</v>
      </c>
      <c r="AE315" s="7">
        <v>35229.4</v>
      </c>
      <c r="AF315" s="7">
        <v>43490.6</v>
      </c>
    </row>
    <row r="316" spans="1:32" x14ac:dyDescent="0.25">
      <c r="A316" s="12" t="s">
        <v>38</v>
      </c>
      <c r="B316" s="12">
        <v>2689</v>
      </c>
      <c r="C316" s="12">
        <v>1</v>
      </c>
      <c r="D316" s="13" t="s">
        <v>708</v>
      </c>
      <c r="E316" s="6">
        <v>421</v>
      </c>
      <c r="F316" s="6">
        <v>491</v>
      </c>
      <c r="G316" s="6">
        <v>10132600</v>
      </c>
      <c r="H316" s="6">
        <v>50520</v>
      </c>
      <c r="I316" s="6">
        <v>58920</v>
      </c>
      <c r="J316" s="7">
        <v>33821.81</v>
      </c>
      <c r="K316" s="7">
        <v>33821.81</v>
      </c>
      <c r="L316" s="7">
        <v>33821.81</v>
      </c>
      <c r="M316" s="12">
        <v>1</v>
      </c>
      <c r="N316" s="7">
        <v>25098.19</v>
      </c>
      <c r="O316" s="7">
        <v>25098.19</v>
      </c>
      <c r="P316" s="7">
        <v>785.6</v>
      </c>
      <c r="Q316" s="6">
        <v>50520</v>
      </c>
      <c r="R316" s="7">
        <v>7362.72</v>
      </c>
      <c r="S316" s="7">
        <v>57882.720000000001</v>
      </c>
      <c r="T316" s="7">
        <v>14470.68</v>
      </c>
      <c r="U316" s="7">
        <v>-774.36</v>
      </c>
      <c r="V316" s="7">
        <v>0</v>
      </c>
      <c r="W316" s="7">
        <v>29792.799999999999</v>
      </c>
      <c r="X316" s="7">
        <v>0</v>
      </c>
      <c r="Y316" s="7">
        <v>0</v>
      </c>
      <c r="Z316" s="7">
        <v>25380.21</v>
      </c>
      <c r="AA316" s="7">
        <v>18132.88</v>
      </c>
      <c r="AB316" s="7">
        <v>3662.2</v>
      </c>
      <c r="AC316" s="7">
        <v>2102.21</v>
      </c>
      <c r="AD316" s="7">
        <v>1559.99</v>
      </c>
      <c r="AE316" s="7">
        <v>31719.599999999999</v>
      </c>
      <c r="AF316" s="7">
        <v>23538.2</v>
      </c>
    </row>
    <row r="317" spans="1:32" x14ac:dyDescent="0.25">
      <c r="A317" s="12" t="s">
        <v>38</v>
      </c>
      <c r="B317" s="12">
        <v>2711</v>
      </c>
      <c r="C317" s="12">
        <v>1</v>
      </c>
      <c r="D317" s="13" t="s">
        <v>709</v>
      </c>
      <c r="E317" s="6">
        <v>400</v>
      </c>
      <c r="F317" s="6">
        <v>385</v>
      </c>
      <c r="G317" s="6">
        <v>7540877</v>
      </c>
      <c r="H317" s="6">
        <v>48000</v>
      </c>
      <c r="I317" s="6">
        <v>46200</v>
      </c>
      <c r="J317" s="7">
        <v>25170.84</v>
      </c>
      <c r="K317" s="7">
        <v>25170.84</v>
      </c>
      <c r="L317" s="7">
        <v>25170.84</v>
      </c>
      <c r="M317" s="12">
        <v>1</v>
      </c>
      <c r="N317" s="7">
        <v>21029.16</v>
      </c>
      <c r="O317" s="7">
        <v>21029.16</v>
      </c>
      <c r="P317" s="7">
        <v>616</v>
      </c>
      <c r="Q317" s="6">
        <v>48000</v>
      </c>
      <c r="R317" s="7">
        <v>7158.51</v>
      </c>
      <c r="S317" s="7">
        <v>55158.51</v>
      </c>
      <c r="T317" s="7">
        <v>13789.63</v>
      </c>
      <c r="U317" s="7">
        <v>18523.04</v>
      </c>
      <c r="V317" s="7">
        <v>1508.76</v>
      </c>
      <c r="W317" s="7">
        <v>11311.37</v>
      </c>
      <c r="X317" s="7">
        <v>0</v>
      </c>
      <c r="Y317" s="7">
        <v>0</v>
      </c>
      <c r="Z317" s="7">
        <v>2554.5</v>
      </c>
      <c r="AA317" s="7">
        <v>10293.379999999999</v>
      </c>
      <c r="AB317" s="7">
        <v>0</v>
      </c>
      <c r="AC317" s="7">
        <v>0</v>
      </c>
      <c r="AD317" s="7">
        <v>0</v>
      </c>
      <c r="AE317" s="7">
        <v>25170.84</v>
      </c>
      <c r="AF317" s="7">
        <v>21029.16</v>
      </c>
    </row>
    <row r="318" spans="1:32" x14ac:dyDescent="0.25">
      <c r="A318" s="12" t="s">
        <v>38</v>
      </c>
      <c r="B318" s="12">
        <v>2752</v>
      </c>
      <c r="C318" s="12">
        <v>1</v>
      </c>
      <c r="D318" s="13" t="s">
        <v>710</v>
      </c>
      <c r="E318" s="6">
        <v>819</v>
      </c>
      <c r="F318" s="6">
        <v>822</v>
      </c>
      <c r="G318" s="6">
        <v>11326689</v>
      </c>
      <c r="H318" s="6">
        <v>98280</v>
      </c>
      <c r="I318" s="6">
        <v>98640</v>
      </c>
      <c r="J318" s="7">
        <v>37807.58</v>
      </c>
      <c r="K318" s="7">
        <v>37807.58</v>
      </c>
      <c r="L318" s="7">
        <v>37807.58</v>
      </c>
      <c r="M318" s="12">
        <v>1</v>
      </c>
      <c r="N318" s="7">
        <v>60832.42</v>
      </c>
      <c r="O318" s="7">
        <v>60832.42</v>
      </c>
      <c r="P318" s="7">
        <v>1315.2</v>
      </c>
      <c r="Q318" s="6">
        <v>98280</v>
      </c>
      <c r="R318" s="7">
        <v>11836.53</v>
      </c>
      <c r="S318" s="7">
        <v>110116.53</v>
      </c>
      <c r="T318" s="7">
        <v>27529.13</v>
      </c>
      <c r="U318" s="7">
        <v>12856.29</v>
      </c>
      <c r="V318" s="7">
        <v>0</v>
      </c>
      <c r="W318" s="7">
        <v>16916.05</v>
      </c>
      <c r="X318" s="7">
        <v>0</v>
      </c>
      <c r="Y318" s="7">
        <v>0</v>
      </c>
      <c r="Z318" s="7">
        <v>14337.7</v>
      </c>
      <c r="AA318" s="7">
        <v>14703.35</v>
      </c>
      <c r="AB318" s="7">
        <v>0</v>
      </c>
      <c r="AC318" s="7">
        <v>0</v>
      </c>
      <c r="AD318" s="7">
        <v>0</v>
      </c>
      <c r="AE318" s="7">
        <v>37807.58</v>
      </c>
      <c r="AF318" s="7">
        <v>60832.42</v>
      </c>
    </row>
    <row r="319" spans="1:32" x14ac:dyDescent="0.25">
      <c r="A319" s="12" t="s">
        <v>38</v>
      </c>
      <c r="B319" s="12">
        <v>2753</v>
      </c>
      <c r="C319" s="12">
        <v>1</v>
      </c>
      <c r="D319" s="13" t="s">
        <v>711</v>
      </c>
      <c r="E319" s="6">
        <v>620</v>
      </c>
      <c r="F319" s="6">
        <v>651</v>
      </c>
      <c r="G319" s="6">
        <v>7308962</v>
      </c>
      <c r="H319" s="6">
        <v>74400</v>
      </c>
      <c r="I319" s="6">
        <v>78120</v>
      </c>
      <c r="J319" s="7">
        <v>24396.73</v>
      </c>
      <c r="K319" s="7">
        <v>24396.73</v>
      </c>
      <c r="L319" s="7">
        <v>24396.73</v>
      </c>
      <c r="M319" s="12">
        <v>1</v>
      </c>
      <c r="N319" s="7">
        <v>53723.27</v>
      </c>
      <c r="O319" s="7">
        <v>53723.27</v>
      </c>
      <c r="P319" s="7">
        <v>1041.5999999999999</v>
      </c>
      <c r="Q319" s="6">
        <v>74400</v>
      </c>
      <c r="R319" s="7">
        <v>4348.74</v>
      </c>
      <c r="S319" s="7">
        <v>78748.740000000005</v>
      </c>
      <c r="T319" s="7">
        <v>19687.189999999999</v>
      </c>
      <c r="U319" s="7">
        <v>7255.66</v>
      </c>
      <c r="V319" s="7">
        <v>0</v>
      </c>
      <c r="W319" s="7">
        <v>5561.52</v>
      </c>
      <c r="X319" s="7">
        <v>0</v>
      </c>
      <c r="Y319" s="7">
        <v>0</v>
      </c>
      <c r="Z319" s="7">
        <v>4809.87</v>
      </c>
      <c r="AA319" s="7">
        <v>5875.68</v>
      </c>
      <c r="AB319" s="7">
        <v>0</v>
      </c>
      <c r="AC319" s="7">
        <v>0</v>
      </c>
      <c r="AD319" s="7">
        <v>0</v>
      </c>
      <c r="AE319" s="7">
        <v>24396.73</v>
      </c>
      <c r="AF319" s="7">
        <v>53723.27</v>
      </c>
    </row>
    <row r="320" spans="1:32" x14ac:dyDescent="0.25">
      <c r="A320" s="12" t="s">
        <v>38</v>
      </c>
      <c r="B320" s="12">
        <v>2754</v>
      </c>
      <c r="C320" s="12">
        <v>1</v>
      </c>
      <c r="D320" s="13" t="s">
        <v>712</v>
      </c>
      <c r="E320" s="6">
        <v>195</v>
      </c>
      <c r="F320" s="6">
        <v>190</v>
      </c>
      <c r="G320" s="6">
        <v>4300523</v>
      </c>
      <c r="H320" s="6">
        <v>23400</v>
      </c>
      <c r="I320" s="6">
        <v>22800</v>
      </c>
      <c r="J320" s="7">
        <v>14354.8</v>
      </c>
      <c r="K320" s="7">
        <v>14354.8</v>
      </c>
      <c r="L320" s="7">
        <v>14354.8</v>
      </c>
      <c r="M320" s="12">
        <v>1</v>
      </c>
      <c r="N320" s="7">
        <v>8445.2000000000007</v>
      </c>
      <c r="O320" s="7">
        <v>8445.2000000000007</v>
      </c>
      <c r="P320" s="7">
        <v>304</v>
      </c>
      <c r="Q320" s="6">
        <v>23400</v>
      </c>
      <c r="R320" s="7">
        <v>903</v>
      </c>
      <c r="S320" s="7">
        <v>24303</v>
      </c>
      <c r="T320" s="7">
        <v>6075.75</v>
      </c>
      <c r="U320" s="7">
        <v>8244.32</v>
      </c>
      <c r="V320" s="7">
        <v>0</v>
      </c>
      <c r="W320" s="7">
        <v>9478.3799999999992</v>
      </c>
      <c r="X320" s="7">
        <v>1270.82</v>
      </c>
      <c r="Y320" s="7">
        <v>0</v>
      </c>
      <c r="Z320" s="7">
        <v>12553.78</v>
      </c>
      <c r="AA320" s="7">
        <v>9668.5499999999993</v>
      </c>
      <c r="AB320" s="7">
        <v>3592.8</v>
      </c>
      <c r="AC320" s="7">
        <v>2262.0100000000002</v>
      </c>
      <c r="AD320" s="7">
        <v>1330.79</v>
      </c>
      <c r="AE320" s="7">
        <v>12092.79</v>
      </c>
      <c r="AF320" s="7">
        <v>7114.41</v>
      </c>
    </row>
    <row r="321" spans="1:32" x14ac:dyDescent="0.25">
      <c r="A321" s="12" t="s">
        <v>38</v>
      </c>
      <c r="B321" s="12">
        <v>2759</v>
      </c>
      <c r="C321" s="12">
        <v>1</v>
      </c>
      <c r="D321" s="13" t="s">
        <v>713</v>
      </c>
      <c r="E321" s="6">
        <v>181</v>
      </c>
      <c r="F321" s="6">
        <v>174</v>
      </c>
      <c r="G321" s="6">
        <v>1898296</v>
      </c>
      <c r="H321" s="6">
        <v>21720</v>
      </c>
      <c r="I321" s="6">
        <v>20880</v>
      </c>
      <c r="J321" s="7">
        <v>6336.36</v>
      </c>
      <c r="K321" s="7">
        <v>6336.36</v>
      </c>
      <c r="L321" s="7">
        <v>6336.36</v>
      </c>
      <c r="M321" s="12">
        <v>1</v>
      </c>
      <c r="N321" s="7">
        <v>14543.64</v>
      </c>
      <c r="O321" s="7">
        <v>14543.64</v>
      </c>
      <c r="P321" s="7">
        <v>278.39999999999998</v>
      </c>
      <c r="Q321" s="6">
        <v>21720</v>
      </c>
      <c r="R321" s="7">
        <v>289.60000000000002</v>
      </c>
      <c r="S321" s="7">
        <v>22009.599999999999</v>
      </c>
      <c r="T321" s="7">
        <v>5502.4</v>
      </c>
      <c r="U321" s="7">
        <v>-2808.39</v>
      </c>
      <c r="V321" s="7">
        <v>0</v>
      </c>
      <c r="W321" s="7">
        <v>-4388.3999999999996</v>
      </c>
      <c r="X321" s="7">
        <v>0</v>
      </c>
      <c r="Y321" s="7">
        <v>0</v>
      </c>
      <c r="Z321" s="7">
        <v>-3928.37</v>
      </c>
      <c r="AA321" s="7">
        <v>-3708.39</v>
      </c>
      <c r="AB321" s="7">
        <v>0</v>
      </c>
      <c r="AC321" s="7">
        <v>0</v>
      </c>
      <c r="AD321" s="7">
        <v>0</v>
      </c>
      <c r="AE321" s="7">
        <v>6336.36</v>
      </c>
      <c r="AF321" s="7">
        <v>14543.64</v>
      </c>
    </row>
    <row r="322" spans="1:32" x14ac:dyDescent="0.25">
      <c r="A322" s="12" t="s">
        <v>38</v>
      </c>
      <c r="B322" s="12">
        <v>2805</v>
      </c>
      <c r="C322" s="12">
        <v>1</v>
      </c>
      <c r="D322" s="13" t="s">
        <v>714</v>
      </c>
      <c r="E322" s="6">
        <v>473</v>
      </c>
      <c r="F322" s="6">
        <v>468</v>
      </c>
      <c r="G322" s="6">
        <v>7534937</v>
      </c>
      <c r="H322" s="6">
        <v>56760</v>
      </c>
      <c r="I322" s="6">
        <v>56160</v>
      </c>
      <c r="J322" s="7">
        <v>25151.02</v>
      </c>
      <c r="K322" s="7">
        <v>25151.02</v>
      </c>
      <c r="L322" s="7">
        <v>25151.02</v>
      </c>
      <c r="M322" s="12">
        <v>1</v>
      </c>
      <c r="N322" s="7">
        <v>31008.98</v>
      </c>
      <c r="O322" s="7">
        <v>31008.98</v>
      </c>
      <c r="P322" s="7">
        <v>748.8</v>
      </c>
      <c r="Q322" s="6">
        <v>56760</v>
      </c>
      <c r="R322" s="7">
        <v>10756.63</v>
      </c>
      <c r="S322" s="7">
        <v>67516.63</v>
      </c>
      <c r="T322" s="7">
        <v>16879.16</v>
      </c>
      <c r="U322" s="7">
        <v>-5447.66</v>
      </c>
      <c r="V322" s="7">
        <v>0</v>
      </c>
      <c r="W322" s="7">
        <v>-1987.59</v>
      </c>
      <c r="X322" s="7">
        <v>0</v>
      </c>
      <c r="Y322" s="7">
        <v>0</v>
      </c>
      <c r="Z322" s="7">
        <v>9028.9699999999993</v>
      </c>
      <c r="AA322" s="7">
        <v>531.24</v>
      </c>
      <c r="AB322" s="7">
        <v>0</v>
      </c>
      <c r="AC322" s="7">
        <v>0</v>
      </c>
      <c r="AD322" s="7">
        <v>0</v>
      </c>
      <c r="AE322" s="7">
        <v>25151.02</v>
      </c>
      <c r="AF322" s="7">
        <v>31008.98</v>
      </c>
    </row>
    <row r="323" spans="1:32" x14ac:dyDescent="0.25">
      <c r="A323" s="12" t="s">
        <v>38</v>
      </c>
      <c r="B323" s="12">
        <v>2835</v>
      </c>
      <c r="C323" s="12">
        <v>1</v>
      </c>
      <c r="D323" s="13" t="s">
        <v>715</v>
      </c>
      <c r="E323" s="6">
        <v>298</v>
      </c>
      <c r="F323" s="6">
        <v>259</v>
      </c>
      <c r="G323" s="6">
        <v>6787482</v>
      </c>
      <c r="H323" s="6">
        <v>35760</v>
      </c>
      <c r="I323" s="6">
        <v>31080</v>
      </c>
      <c r="J323" s="7">
        <v>22656.07</v>
      </c>
      <c r="K323" s="7">
        <v>22656.07</v>
      </c>
      <c r="L323" s="7">
        <v>22656.07</v>
      </c>
      <c r="M323" s="12">
        <v>1</v>
      </c>
      <c r="N323" s="7">
        <v>8423.93</v>
      </c>
      <c r="O323" s="7">
        <v>8423.93</v>
      </c>
      <c r="P323" s="7">
        <v>0</v>
      </c>
      <c r="Q323" s="6">
        <v>35760</v>
      </c>
      <c r="R323" s="7">
        <v>523</v>
      </c>
      <c r="S323" s="7">
        <v>36283</v>
      </c>
      <c r="T323" s="7">
        <v>9070.75</v>
      </c>
      <c r="U323" s="7">
        <v>4678.75</v>
      </c>
      <c r="V323" s="7">
        <v>0</v>
      </c>
      <c r="W323" s="7">
        <v>-1879.47</v>
      </c>
      <c r="X323" s="7">
        <v>0</v>
      </c>
      <c r="Y323" s="7">
        <v>0</v>
      </c>
      <c r="Z323" s="7">
        <v>17674.57</v>
      </c>
      <c r="AA323" s="7">
        <v>6824.62</v>
      </c>
      <c r="AB323" s="7">
        <v>0</v>
      </c>
      <c r="AC323" s="7">
        <v>0</v>
      </c>
      <c r="AD323" s="7">
        <v>0</v>
      </c>
      <c r="AE323" s="7">
        <v>22656.07</v>
      </c>
      <c r="AF323" s="7">
        <v>8423.93</v>
      </c>
    </row>
    <row r="324" spans="1:32" x14ac:dyDescent="0.25">
      <c r="A324" s="12" t="s">
        <v>38</v>
      </c>
      <c r="B324" s="12">
        <v>2853</v>
      </c>
      <c r="C324" s="12">
        <v>1</v>
      </c>
      <c r="D324" s="13" t="s">
        <v>716</v>
      </c>
      <c r="E324" s="6">
        <v>360</v>
      </c>
      <c r="F324" s="6">
        <v>340</v>
      </c>
      <c r="G324" s="6">
        <v>11449573</v>
      </c>
      <c r="H324" s="6">
        <v>43200</v>
      </c>
      <c r="I324" s="6">
        <v>40800</v>
      </c>
      <c r="J324" s="7">
        <v>38217.760000000002</v>
      </c>
      <c r="K324" s="7">
        <v>38217.760000000002</v>
      </c>
      <c r="L324" s="7">
        <v>38217.760000000002</v>
      </c>
      <c r="M324" s="12">
        <v>1</v>
      </c>
      <c r="N324" s="7">
        <v>2582.2399999999998</v>
      </c>
      <c r="O324" s="7">
        <v>2582.2399999999998</v>
      </c>
      <c r="P324" s="7">
        <v>544</v>
      </c>
      <c r="Q324" s="6">
        <v>43200</v>
      </c>
      <c r="R324" s="7">
        <v>2205.67</v>
      </c>
      <c r="S324" s="7">
        <v>45405.67</v>
      </c>
      <c r="T324" s="7">
        <v>11351.42</v>
      </c>
      <c r="U324" s="7">
        <v>11546.67</v>
      </c>
      <c r="V324" s="7">
        <v>0</v>
      </c>
      <c r="W324" s="7">
        <v>11145.95</v>
      </c>
      <c r="X324" s="7">
        <v>0</v>
      </c>
      <c r="Y324" s="7">
        <v>0</v>
      </c>
      <c r="Z324" s="7">
        <v>10214.36</v>
      </c>
      <c r="AA324" s="7">
        <v>10968.99</v>
      </c>
      <c r="AB324" s="7">
        <v>0</v>
      </c>
      <c r="AC324" s="7">
        <v>0</v>
      </c>
      <c r="AD324" s="7">
        <v>0</v>
      </c>
      <c r="AE324" s="7">
        <v>38217.760000000002</v>
      </c>
      <c r="AF324" s="7">
        <v>2582.2399999999998</v>
      </c>
    </row>
    <row r="325" spans="1:32" x14ac:dyDescent="0.25">
      <c r="A325" s="12" t="s">
        <v>38</v>
      </c>
      <c r="B325" s="12">
        <v>2854</v>
      </c>
      <c r="C325" s="12">
        <v>1</v>
      </c>
      <c r="D325" s="13" t="s">
        <v>717</v>
      </c>
      <c r="E325" s="6">
        <v>175</v>
      </c>
      <c r="F325" s="6">
        <v>179</v>
      </c>
      <c r="G325" s="6">
        <v>3615471</v>
      </c>
      <c r="H325" s="6">
        <v>21000</v>
      </c>
      <c r="I325" s="6">
        <v>21480</v>
      </c>
      <c r="J325" s="7">
        <v>12068.15</v>
      </c>
      <c r="K325" s="7">
        <v>12068.15</v>
      </c>
      <c r="L325" s="7">
        <v>12068.15</v>
      </c>
      <c r="M325" s="12">
        <v>1</v>
      </c>
      <c r="N325" s="7">
        <v>9411.85</v>
      </c>
      <c r="O325" s="7">
        <v>9411.85</v>
      </c>
      <c r="P325" s="7">
        <v>286.39999999999998</v>
      </c>
      <c r="Q325" s="6">
        <v>21000</v>
      </c>
      <c r="R325" s="7">
        <v>8770</v>
      </c>
      <c r="S325" s="7">
        <v>29770</v>
      </c>
      <c r="T325" s="7">
        <v>7442.5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-278.18</v>
      </c>
      <c r="AA325" s="7">
        <v>-92.73</v>
      </c>
      <c r="AB325" s="7">
        <v>0</v>
      </c>
      <c r="AC325" s="7">
        <v>0</v>
      </c>
      <c r="AD325" s="7">
        <v>0</v>
      </c>
      <c r="AE325" s="7">
        <v>12068.15</v>
      </c>
      <c r="AF325" s="7">
        <v>9411.85</v>
      </c>
    </row>
    <row r="326" spans="1:32" x14ac:dyDescent="0.25">
      <c r="A326" s="12" t="s">
        <v>38</v>
      </c>
      <c r="B326" s="12">
        <v>2856</v>
      </c>
      <c r="C326" s="12">
        <v>1</v>
      </c>
      <c r="D326" s="13" t="s">
        <v>718</v>
      </c>
      <c r="E326" s="6">
        <v>102</v>
      </c>
      <c r="F326" s="6">
        <v>91</v>
      </c>
      <c r="G326" s="6">
        <v>3431918</v>
      </c>
      <c r="H326" s="6">
        <v>18000</v>
      </c>
      <c r="I326" s="6">
        <v>18000</v>
      </c>
      <c r="J326" s="7">
        <v>11455.47</v>
      </c>
      <c r="K326" s="7">
        <v>11455.47</v>
      </c>
      <c r="L326" s="7">
        <v>11455.47</v>
      </c>
      <c r="M326" s="12">
        <v>1</v>
      </c>
      <c r="N326" s="7">
        <v>6544.53</v>
      </c>
      <c r="O326" s="7">
        <v>6544.53</v>
      </c>
      <c r="P326" s="7">
        <v>145.6</v>
      </c>
      <c r="Q326" s="6">
        <v>18000</v>
      </c>
      <c r="R326" s="7">
        <v>518.20000000000005</v>
      </c>
      <c r="S326" s="7">
        <v>18518.2</v>
      </c>
      <c r="T326" s="7">
        <v>4629.55</v>
      </c>
      <c r="U326" s="7">
        <v>541.28</v>
      </c>
      <c r="V326" s="7">
        <v>0</v>
      </c>
      <c r="W326" s="7">
        <v>0</v>
      </c>
      <c r="X326" s="7">
        <v>0</v>
      </c>
      <c r="Y326" s="7">
        <v>0</v>
      </c>
      <c r="Z326" s="7">
        <v>0.72</v>
      </c>
      <c r="AA326" s="7">
        <v>180.67</v>
      </c>
      <c r="AB326" s="7">
        <v>0</v>
      </c>
      <c r="AC326" s="7">
        <v>0</v>
      </c>
      <c r="AD326" s="7">
        <v>0</v>
      </c>
      <c r="AE326" s="7">
        <v>11455.47</v>
      </c>
      <c r="AF326" s="7">
        <v>6544.53</v>
      </c>
    </row>
    <row r="327" spans="1:32" x14ac:dyDescent="0.25">
      <c r="A327" s="12" t="s">
        <v>38</v>
      </c>
      <c r="B327" s="12">
        <v>2859</v>
      </c>
      <c r="C327" s="12">
        <v>1</v>
      </c>
      <c r="D327" s="13" t="s">
        <v>719</v>
      </c>
      <c r="E327" s="6">
        <v>800</v>
      </c>
      <c r="F327" s="6">
        <v>870</v>
      </c>
      <c r="G327" s="6">
        <v>14901539</v>
      </c>
      <c r="H327" s="6">
        <v>96000</v>
      </c>
      <c r="I327" s="6">
        <v>104400</v>
      </c>
      <c r="J327" s="7">
        <v>49740.15</v>
      </c>
      <c r="K327" s="7">
        <v>49740.15</v>
      </c>
      <c r="L327" s="7">
        <v>49740.15</v>
      </c>
      <c r="M327" s="12">
        <v>1</v>
      </c>
      <c r="N327" s="7">
        <v>54659.85</v>
      </c>
      <c r="O327" s="7">
        <v>54659.85</v>
      </c>
      <c r="P327" s="7">
        <v>1392</v>
      </c>
      <c r="Q327" s="6">
        <v>104160</v>
      </c>
      <c r="R327" s="7">
        <v>5767.48</v>
      </c>
      <c r="S327" s="7">
        <v>109927.48</v>
      </c>
      <c r="T327" s="7">
        <v>27481.87</v>
      </c>
      <c r="U327" s="7">
        <v>24971.33</v>
      </c>
      <c r="V327" s="7">
        <v>0</v>
      </c>
      <c r="W327" s="7">
        <v>18931.62</v>
      </c>
      <c r="X327" s="7">
        <v>0</v>
      </c>
      <c r="Y327" s="7">
        <v>0</v>
      </c>
      <c r="Z327" s="7">
        <v>15498.39</v>
      </c>
      <c r="AA327" s="7">
        <v>19800.45</v>
      </c>
      <c r="AB327" s="7">
        <v>0</v>
      </c>
      <c r="AC327" s="7">
        <v>0</v>
      </c>
      <c r="AD327" s="7">
        <v>0</v>
      </c>
      <c r="AE327" s="7">
        <v>49740.15</v>
      </c>
      <c r="AF327" s="7">
        <v>54659.85</v>
      </c>
    </row>
    <row r="328" spans="1:32" x14ac:dyDescent="0.25">
      <c r="A328" s="12" t="s">
        <v>38</v>
      </c>
      <c r="B328" s="12">
        <v>2860</v>
      </c>
      <c r="C328" s="12">
        <v>1</v>
      </c>
      <c r="D328" s="13" t="s">
        <v>720</v>
      </c>
      <c r="E328" s="6">
        <v>553</v>
      </c>
      <c r="F328" s="6">
        <v>546</v>
      </c>
      <c r="G328" s="6">
        <v>11408496</v>
      </c>
      <c r="H328" s="6">
        <v>66360</v>
      </c>
      <c r="I328" s="6">
        <v>65520</v>
      </c>
      <c r="J328" s="7">
        <v>38080.65</v>
      </c>
      <c r="K328" s="7">
        <v>38080.65</v>
      </c>
      <c r="L328" s="7">
        <v>38080.65</v>
      </c>
      <c r="M328" s="12">
        <v>1</v>
      </c>
      <c r="N328" s="7">
        <v>27439.35</v>
      </c>
      <c r="O328" s="7">
        <v>27439.35</v>
      </c>
      <c r="P328" s="7">
        <v>873.6</v>
      </c>
      <c r="Q328" s="6">
        <v>66360</v>
      </c>
      <c r="R328" s="7">
        <v>3793.75</v>
      </c>
      <c r="S328" s="7">
        <v>70153.75</v>
      </c>
      <c r="T328" s="7">
        <v>17538.439999999999</v>
      </c>
      <c r="U328" s="7">
        <v>24970.93</v>
      </c>
      <c r="V328" s="7">
        <v>1928.36</v>
      </c>
      <c r="W328" s="7">
        <v>17725.080000000002</v>
      </c>
      <c r="X328" s="7">
        <v>1359</v>
      </c>
      <c r="Y328" s="7">
        <v>0</v>
      </c>
      <c r="Z328" s="7">
        <v>10213.35</v>
      </c>
      <c r="AA328" s="7">
        <v>16540.669999999998</v>
      </c>
      <c r="AB328" s="7">
        <v>0</v>
      </c>
      <c r="AC328" s="7">
        <v>0</v>
      </c>
      <c r="AD328" s="7">
        <v>0</v>
      </c>
      <c r="AE328" s="7">
        <v>38080.65</v>
      </c>
      <c r="AF328" s="7">
        <v>27439.35</v>
      </c>
    </row>
    <row r="329" spans="1:32" x14ac:dyDescent="0.25">
      <c r="A329" s="12" t="s">
        <v>38</v>
      </c>
      <c r="B329" s="12">
        <v>2884</v>
      </c>
      <c r="C329" s="12">
        <v>1</v>
      </c>
      <c r="D329" s="13" t="s">
        <v>721</v>
      </c>
      <c r="E329" s="6">
        <v>121</v>
      </c>
      <c r="F329" s="6">
        <v>121</v>
      </c>
      <c r="G329" s="6">
        <v>7282655</v>
      </c>
      <c r="H329" s="6">
        <v>18000</v>
      </c>
      <c r="I329" s="6">
        <v>18000</v>
      </c>
      <c r="J329" s="7">
        <v>18000</v>
      </c>
      <c r="K329" s="7">
        <v>18000</v>
      </c>
      <c r="L329" s="7">
        <v>18000</v>
      </c>
      <c r="M329" s="12">
        <v>1</v>
      </c>
      <c r="N329" s="7">
        <v>0</v>
      </c>
      <c r="O329" s="7">
        <v>0</v>
      </c>
      <c r="P329" s="7">
        <v>0</v>
      </c>
      <c r="Q329" s="6">
        <v>18000</v>
      </c>
      <c r="R329" s="7">
        <v>0</v>
      </c>
      <c r="S329" s="7">
        <v>18000</v>
      </c>
      <c r="T329" s="7">
        <v>4500</v>
      </c>
      <c r="U329" s="7">
        <v>29089.5</v>
      </c>
      <c r="V329" s="7">
        <v>19200</v>
      </c>
      <c r="W329" s="7">
        <v>21590.55</v>
      </c>
      <c r="X329" s="7">
        <v>18000</v>
      </c>
      <c r="Y329" s="7">
        <v>0</v>
      </c>
      <c r="Z329" s="7">
        <v>12475.6</v>
      </c>
      <c r="AA329" s="7">
        <v>8651.8799999999992</v>
      </c>
      <c r="AB329" s="7">
        <v>4151.88</v>
      </c>
      <c r="AC329" s="7">
        <v>4151.88</v>
      </c>
      <c r="AD329" s="7">
        <v>0</v>
      </c>
      <c r="AE329" s="7">
        <v>13848.12</v>
      </c>
      <c r="AF329" s="7">
        <v>0</v>
      </c>
    </row>
    <row r="330" spans="1:32" x14ac:dyDescent="0.25">
      <c r="A330" s="12" t="s">
        <v>38</v>
      </c>
      <c r="B330" s="12">
        <v>2886</v>
      </c>
      <c r="C330" s="12">
        <v>1</v>
      </c>
      <c r="D330" s="13" t="s">
        <v>722</v>
      </c>
      <c r="E330" s="6">
        <v>139</v>
      </c>
      <c r="F330" s="6">
        <v>121</v>
      </c>
      <c r="G330" s="6">
        <v>3959467</v>
      </c>
      <c r="H330" s="6">
        <v>18000</v>
      </c>
      <c r="I330" s="6">
        <v>18000</v>
      </c>
      <c r="J330" s="7">
        <v>13216.38</v>
      </c>
      <c r="K330" s="7">
        <v>13216.38</v>
      </c>
      <c r="L330" s="7">
        <v>13216.38</v>
      </c>
      <c r="M330" s="12">
        <v>1</v>
      </c>
      <c r="N330" s="7">
        <v>4783.62</v>
      </c>
      <c r="O330" s="7">
        <v>4783.62</v>
      </c>
      <c r="P330" s="7">
        <v>193.6</v>
      </c>
      <c r="Q330" s="6">
        <v>18000</v>
      </c>
      <c r="R330" s="7">
        <v>222.4</v>
      </c>
      <c r="S330" s="7">
        <v>18222.400000000001</v>
      </c>
      <c r="T330" s="7">
        <v>4555.6000000000004</v>
      </c>
      <c r="U330" s="7">
        <v>12592.44</v>
      </c>
      <c r="V330" s="7">
        <v>3022.39</v>
      </c>
      <c r="W330" s="7">
        <v>9057.81</v>
      </c>
      <c r="X330" s="7">
        <v>3994.11</v>
      </c>
      <c r="Y330" s="7">
        <v>0</v>
      </c>
      <c r="Z330" s="7">
        <v>2633.16</v>
      </c>
      <c r="AA330" s="7">
        <v>5755.64</v>
      </c>
      <c r="AB330" s="7">
        <v>1200.04</v>
      </c>
      <c r="AC330" s="7">
        <v>881.12</v>
      </c>
      <c r="AD330" s="7">
        <v>318.92</v>
      </c>
      <c r="AE330" s="7">
        <v>12335.26</v>
      </c>
      <c r="AF330" s="7">
        <v>4464.7</v>
      </c>
    </row>
    <row r="331" spans="1:32" x14ac:dyDescent="0.25">
      <c r="A331" s="12" t="s">
        <v>38</v>
      </c>
      <c r="B331" s="12">
        <v>2888</v>
      </c>
      <c r="C331" s="12">
        <v>1</v>
      </c>
      <c r="D331" s="13" t="s">
        <v>723</v>
      </c>
      <c r="E331" s="6">
        <v>136</v>
      </c>
      <c r="F331" s="6">
        <v>135</v>
      </c>
      <c r="G331" s="6">
        <v>6136013</v>
      </c>
      <c r="H331" s="6">
        <v>18000</v>
      </c>
      <c r="I331" s="6">
        <v>18000</v>
      </c>
      <c r="J331" s="7">
        <v>18000</v>
      </c>
      <c r="K331" s="7">
        <v>18000</v>
      </c>
      <c r="L331" s="7">
        <v>18000</v>
      </c>
      <c r="M331" s="12">
        <v>1</v>
      </c>
      <c r="N331" s="7">
        <v>0</v>
      </c>
      <c r="O331" s="7">
        <v>0</v>
      </c>
      <c r="P331" s="7">
        <v>0</v>
      </c>
      <c r="Q331" s="6">
        <v>18000</v>
      </c>
      <c r="R331" s="7">
        <v>40</v>
      </c>
      <c r="S331" s="7">
        <v>18040</v>
      </c>
      <c r="T331" s="7">
        <v>4510</v>
      </c>
      <c r="U331" s="7">
        <v>0</v>
      </c>
      <c r="V331" s="7">
        <v>0</v>
      </c>
      <c r="W331" s="7">
        <v>5609.21</v>
      </c>
      <c r="X331" s="7">
        <v>0</v>
      </c>
      <c r="Y331" s="7">
        <v>0</v>
      </c>
      <c r="Z331" s="7">
        <v>20347.28</v>
      </c>
      <c r="AA331" s="7">
        <v>8652.16</v>
      </c>
      <c r="AB331" s="7">
        <v>4142.16</v>
      </c>
      <c r="AC331" s="7">
        <v>4142.16</v>
      </c>
      <c r="AD331" s="7">
        <v>0</v>
      </c>
      <c r="AE331" s="7">
        <v>13857.84</v>
      </c>
      <c r="AF331" s="7">
        <v>0</v>
      </c>
    </row>
    <row r="332" spans="1:32" x14ac:dyDescent="0.25">
      <c r="A332" s="12" t="s">
        <v>38</v>
      </c>
      <c r="B332" s="12">
        <v>2889</v>
      </c>
      <c r="C332" s="12">
        <v>1</v>
      </c>
      <c r="D332" s="13" t="s">
        <v>724</v>
      </c>
      <c r="E332" s="6">
        <v>287</v>
      </c>
      <c r="F332" s="6">
        <v>280</v>
      </c>
      <c r="G332" s="6">
        <v>10189247</v>
      </c>
      <c r="H332" s="6">
        <v>34440</v>
      </c>
      <c r="I332" s="6">
        <v>33600</v>
      </c>
      <c r="J332" s="7">
        <v>34010.89</v>
      </c>
      <c r="K332" s="7">
        <v>33600</v>
      </c>
      <c r="L332" s="7">
        <v>34010.89</v>
      </c>
      <c r="M332" s="12">
        <v>1</v>
      </c>
      <c r="N332" s="7">
        <v>0</v>
      </c>
      <c r="O332" s="7">
        <v>0</v>
      </c>
      <c r="P332" s="7">
        <v>448</v>
      </c>
      <c r="Q332" s="6">
        <v>34440</v>
      </c>
      <c r="R332" s="7">
        <v>3916.28</v>
      </c>
      <c r="S332" s="7">
        <v>38356.28</v>
      </c>
      <c r="T332" s="7">
        <v>9589.07</v>
      </c>
      <c r="U332" s="7">
        <v>-40862.370000000003</v>
      </c>
      <c r="V332" s="7">
        <v>0</v>
      </c>
      <c r="W332" s="7">
        <v>-77504.490000000005</v>
      </c>
      <c r="X332" s="7">
        <v>0</v>
      </c>
      <c r="Y332" s="7">
        <v>0</v>
      </c>
      <c r="Z332" s="7">
        <v>-116086.55</v>
      </c>
      <c r="AA332" s="7">
        <v>-78151.14</v>
      </c>
      <c r="AB332" s="7">
        <v>0</v>
      </c>
      <c r="AC332" s="7">
        <v>0</v>
      </c>
      <c r="AD332" s="7">
        <v>0</v>
      </c>
      <c r="AE332" s="7">
        <v>33600</v>
      </c>
      <c r="AF332" s="7">
        <v>0</v>
      </c>
    </row>
    <row r="333" spans="1:32" x14ac:dyDescent="0.25">
      <c r="A333" s="12" t="s">
        <v>38</v>
      </c>
      <c r="B333" s="12">
        <v>2890</v>
      </c>
      <c r="C333" s="12">
        <v>1</v>
      </c>
      <c r="D333" s="13" t="s">
        <v>725</v>
      </c>
      <c r="E333" s="6">
        <v>230</v>
      </c>
      <c r="F333" s="6">
        <v>224</v>
      </c>
      <c r="G333" s="6">
        <v>8124227</v>
      </c>
      <c r="H333" s="6">
        <v>27600</v>
      </c>
      <c r="I333" s="6">
        <v>26880</v>
      </c>
      <c r="J333" s="7">
        <v>27118.02</v>
      </c>
      <c r="K333" s="7">
        <v>26880</v>
      </c>
      <c r="L333" s="7">
        <v>27118.02</v>
      </c>
      <c r="M333" s="12">
        <v>1</v>
      </c>
      <c r="N333" s="7">
        <v>0</v>
      </c>
      <c r="O333" s="7">
        <v>0</v>
      </c>
      <c r="P333" s="7">
        <v>0</v>
      </c>
      <c r="Q333" s="6">
        <v>27600</v>
      </c>
      <c r="R333" s="7">
        <v>242</v>
      </c>
      <c r="S333" s="7">
        <v>27842</v>
      </c>
      <c r="T333" s="7">
        <v>6960.5</v>
      </c>
      <c r="U333" s="7">
        <v>3938.83</v>
      </c>
      <c r="V333" s="7">
        <v>0</v>
      </c>
      <c r="W333" s="7">
        <v>3242.02</v>
      </c>
      <c r="X333" s="7">
        <v>0</v>
      </c>
      <c r="Y333" s="7">
        <v>0</v>
      </c>
      <c r="Z333" s="7">
        <v>-1696.7</v>
      </c>
      <c r="AA333" s="7">
        <v>1828.05</v>
      </c>
      <c r="AB333" s="7">
        <v>0</v>
      </c>
      <c r="AC333" s="7">
        <v>0</v>
      </c>
      <c r="AD333" s="7">
        <v>0</v>
      </c>
      <c r="AE333" s="7">
        <v>26880</v>
      </c>
      <c r="AF333" s="7">
        <v>0</v>
      </c>
    </row>
    <row r="334" spans="1:32" x14ac:dyDescent="0.25">
      <c r="A334" s="12" t="s">
        <v>38</v>
      </c>
      <c r="B334" s="12">
        <v>2895</v>
      </c>
      <c r="C334" s="12">
        <v>1</v>
      </c>
      <c r="D334" s="13" t="s">
        <v>726</v>
      </c>
      <c r="E334" s="6">
        <v>436</v>
      </c>
      <c r="F334" s="6">
        <v>430</v>
      </c>
      <c r="G334" s="6">
        <v>12149393</v>
      </c>
      <c r="H334" s="6">
        <v>52320</v>
      </c>
      <c r="I334" s="6">
        <v>51600</v>
      </c>
      <c r="J334" s="7">
        <v>40553.699999999997</v>
      </c>
      <c r="K334" s="7">
        <v>40553.699999999997</v>
      </c>
      <c r="L334" s="7">
        <v>40553.699999999997</v>
      </c>
      <c r="M334" s="12">
        <v>1</v>
      </c>
      <c r="N334" s="7">
        <v>11046.3</v>
      </c>
      <c r="O334" s="7">
        <v>11046.3</v>
      </c>
      <c r="P334" s="7">
        <v>0</v>
      </c>
      <c r="Q334" s="6">
        <v>52320</v>
      </c>
      <c r="R334" s="7">
        <v>5884.29</v>
      </c>
      <c r="S334" s="7">
        <v>58204.29</v>
      </c>
      <c r="T334" s="7">
        <v>14551.07</v>
      </c>
      <c r="U334" s="7">
        <v>11806.05</v>
      </c>
      <c r="V334" s="7">
        <v>0</v>
      </c>
      <c r="W334" s="7">
        <v>10090.59</v>
      </c>
      <c r="X334" s="7">
        <v>0</v>
      </c>
      <c r="Y334" s="7">
        <v>0</v>
      </c>
      <c r="Z334" s="7">
        <v>10096.86</v>
      </c>
      <c r="AA334" s="7">
        <v>10664.5</v>
      </c>
      <c r="AB334" s="7">
        <v>0</v>
      </c>
      <c r="AC334" s="7">
        <v>0</v>
      </c>
      <c r="AD334" s="7">
        <v>0</v>
      </c>
      <c r="AE334" s="7">
        <v>40553.699999999997</v>
      </c>
      <c r="AF334" s="7">
        <v>11046.3</v>
      </c>
    </row>
    <row r="335" spans="1:32" x14ac:dyDescent="0.25">
      <c r="A335" s="12" t="s">
        <v>38</v>
      </c>
      <c r="B335" s="12">
        <v>2897</v>
      </c>
      <c r="C335" s="12">
        <v>1</v>
      </c>
      <c r="D335" s="13" t="s">
        <v>727</v>
      </c>
      <c r="E335" s="6">
        <v>562</v>
      </c>
      <c r="F335" s="6">
        <v>531</v>
      </c>
      <c r="G335" s="6">
        <v>8024205</v>
      </c>
      <c r="H335" s="6">
        <v>67440</v>
      </c>
      <c r="I335" s="6">
        <v>63720</v>
      </c>
      <c r="J335" s="7">
        <v>26784.15</v>
      </c>
      <c r="K335" s="7">
        <v>26784.15</v>
      </c>
      <c r="L335" s="7">
        <v>26784.15</v>
      </c>
      <c r="M335" s="12">
        <v>1</v>
      </c>
      <c r="N335" s="7">
        <v>36935.85</v>
      </c>
      <c r="O335" s="7">
        <v>36935.85</v>
      </c>
      <c r="P335" s="7">
        <v>849.6</v>
      </c>
      <c r="Q335" s="6">
        <v>67440</v>
      </c>
      <c r="R335" s="7">
        <v>32490.1</v>
      </c>
      <c r="S335" s="7">
        <v>99930.1</v>
      </c>
      <c r="T335" s="7">
        <v>24982.53</v>
      </c>
      <c r="U335" s="7">
        <v>12421.2</v>
      </c>
      <c r="V335" s="7">
        <v>0</v>
      </c>
      <c r="W335" s="7">
        <v>14777.58</v>
      </c>
      <c r="X335" s="7">
        <v>0</v>
      </c>
      <c r="Y335" s="7">
        <v>0</v>
      </c>
      <c r="Z335" s="7">
        <v>-4295.16</v>
      </c>
      <c r="AA335" s="7">
        <v>7634.54</v>
      </c>
      <c r="AB335" s="7">
        <v>0</v>
      </c>
      <c r="AC335" s="7">
        <v>0</v>
      </c>
      <c r="AD335" s="7">
        <v>0</v>
      </c>
      <c r="AE335" s="7">
        <v>26784.15</v>
      </c>
      <c r="AF335" s="7">
        <v>36935.85</v>
      </c>
    </row>
    <row r="336" spans="1:32" x14ac:dyDescent="0.25">
      <c r="A336" s="12" t="s">
        <v>38</v>
      </c>
      <c r="B336" s="12">
        <v>2898</v>
      </c>
      <c r="C336" s="12">
        <v>1</v>
      </c>
      <c r="D336" s="13" t="s">
        <v>728</v>
      </c>
      <c r="E336" s="6">
        <v>155</v>
      </c>
      <c r="F336" s="6">
        <v>134</v>
      </c>
      <c r="G336" s="6">
        <v>5535597</v>
      </c>
      <c r="H336" s="6">
        <v>18600</v>
      </c>
      <c r="I336" s="6">
        <v>18000</v>
      </c>
      <c r="J336" s="7">
        <v>18477.38</v>
      </c>
      <c r="K336" s="7">
        <v>18000</v>
      </c>
      <c r="L336" s="7">
        <v>18477.38</v>
      </c>
      <c r="M336" s="12">
        <v>1</v>
      </c>
      <c r="N336" s="7">
        <v>0</v>
      </c>
      <c r="O336" s="7">
        <v>0</v>
      </c>
      <c r="P336" s="7">
        <v>214.4</v>
      </c>
      <c r="Q336" s="6">
        <v>18600</v>
      </c>
      <c r="R336" s="7">
        <v>0</v>
      </c>
      <c r="S336" s="7">
        <v>18600</v>
      </c>
      <c r="T336" s="7">
        <v>4650</v>
      </c>
      <c r="U336" s="7">
        <v>238.59</v>
      </c>
      <c r="V336" s="7">
        <v>0</v>
      </c>
      <c r="W336" s="7">
        <v>19.22</v>
      </c>
      <c r="X336" s="7">
        <v>0</v>
      </c>
      <c r="Y336" s="7">
        <v>0</v>
      </c>
      <c r="Z336" s="7">
        <v>2766.48</v>
      </c>
      <c r="AA336" s="7">
        <v>1008.1</v>
      </c>
      <c r="AB336" s="7">
        <v>0</v>
      </c>
      <c r="AC336" s="7">
        <v>0</v>
      </c>
      <c r="AD336" s="7">
        <v>0</v>
      </c>
      <c r="AE336" s="7">
        <v>18000</v>
      </c>
      <c r="AF336" s="7">
        <v>0</v>
      </c>
    </row>
    <row r="337" spans="1:32" x14ac:dyDescent="0.25">
      <c r="A337" s="12" t="s">
        <v>38</v>
      </c>
      <c r="B337" s="12">
        <v>2899</v>
      </c>
      <c r="C337" s="12">
        <v>1</v>
      </c>
      <c r="D337" s="13" t="s">
        <v>729</v>
      </c>
      <c r="E337" s="6">
        <v>520</v>
      </c>
      <c r="F337" s="6">
        <v>530</v>
      </c>
      <c r="G337" s="6">
        <v>8596105</v>
      </c>
      <c r="H337" s="6">
        <v>62400</v>
      </c>
      <c r="I337" s="6">
        <v>63600</v>
      </c>
      <c r="J337" s="7">
        <v>28693.11</v>
      </c>
      <c r="K337" s="7">
        <v>28693.11</v>
      </c>
      <c r="L337" s="7">
        <v>28693.11</v>
      </c>
      <c r="M337" s="12">
        <v>1</v>
      </c>
      <c r="N337" s="7">
        <v>34906.89</v>
      </c>
      <c r="O337" s="7">
        <v>34906.89</v>
      </c>
      <c r="P337" s="7">
        <v>848</v>
      </c>
      <c r="Q337" s="6">
        <v>62400</v>
      </c>
      <c r="R337" s="7">
        <v>3123</v>
      </c>
      <c r="S337" s="7">
        <v>65523</v>
      </c>
      <c r="T337" s="7">
        <v>16380.75</v>
      </c>
      <c r="U337" s="7">
        <v>6155.38</v>
      </c>
      <c r="V337" s="7">
        <v>0</v>
      </c>
      <c r="W337" s="7">
        <v>24899.75</v>
      </c>
      <c r="X337" s="7">
        <v>0</v>
      </c>
      <c r="Y337" s="7">
        <v>0</v>
      </c>
      <c r="Z337" s="7">
        <v>31927.34</v>
      </c>
      <c r="AA337" s="7">
        <v>20994.16</v>
      </c>
      <c r="AB337" s="7">
        <v>4613.41</v>
      </c>
      <c r="AC337" s="7">
        <v>2081.34</v>
      </c>
      <c r="AD337" s="7">
        <v>2532.0700000000002</v>
      </c>
      <c r="AE337" s="7">
        <v>26611.77</v>
      </c>
      <c r="AF337" s="7">
        <v>32374.82</v>
      </c>
    </row>
    <row r="338" spans="1:32" x14ac:dyDescent="0.25">
      <c r="A338" s="12" t="s">
        <v>38</v>
      </c>
      <c r="B338" s="12">
        <v>2902</v>
      </c>
      <c r="C338" s="12">
        <v>1</v>
      </c>
      <c r="D338" s="13" t="s">
        <v>730</v>
      </c>
      <c r="E338" s="6">
        <v>162</v>
      </c>
      <c r="F338" s="6">
        <v>225</v>
      </c>
      <c r="G338" s="6">
        <v>4968693</v>
      </c>
      <c r="H338" s="6">
        <v>19440</v>
      </c>
      <c r="I338" s="6">
        <v>27000</v>
      </c>
      <c r="J338" s="7">
        <v>16585.099999999999</v>
      </c>
      <c r="K338" s="7">
        <v>16585.099999999999</v>
      </c>
      <c r="L338" s="7">
        <v>16585.099999999999</v>
      </c>
      <c r="M338" s="12">
        <v>1</v>
      </c>
      <c r="N338" s="7">
        <v>10414.9</v>
      </c>
      <c r="O338" s="7">
        <v>10414.9</v>
      </c>
      <c r="P338" s="7">
        <v>360</v>
      </c>
      <c r="Q338" s="6">
        <v>19440</v>
      </c>
      <c r="R338" s="7">
        <v>28121.7</v>
      </c>
      <c r="S338" s="7">
        <v>47561.7</v>
      </c>
      <c r="T338" s="7">
        <v>11890.43</v>
      </c>
      <c r="U338" s="7">
        <v>23367.63</v>
      </c>
      <c r="V338" s="7">
        <v>0</v>
      </c>
      <c r="W338" s="7">
        <v>30138.91</v>
      </c>
      <c r="X338" s="7">
        <v>5630.15</v>
      </c>
      <c r="Y338" s="7">
        <v>0</v>
      </c>
      <c r="Z338" s="7">
        <v>18595.18</v>
      </c>
      <c r="AA338" s="7">
        <v>22157.19</v>
      </c>
      <c r="AB338" s="7">
        <v>10266.76</v>
      </c>
      <c r="AC338" s="7">
        <v>6306.49</v>
      </c>
      <c r="AD338" s="7">
        <v>3960.27</v>
      </c>
      <c r="AE338" s="7">
        <v>10278.61</v>
      </c>
      <c r="AF338" s="7">
        <v>6454.63</v>
      </c>
    </row>
    <row r="339" spans="1:32" x14ac:dyDescent="0.25">
      <c r="A339" s="12" t="s">
        <v>38</v>
      </c>
      <c r="B339" s="12">
        <v>2903</v>
      </c>
      <c r="C339" s="12">
        <v>1</v>
      </c>
      <c r="D339" s="13" t="s">
        <v>731</v>
      </c>
      <c r="E339" s="6">
        <v>147</v>
      </c>
      <c r="F339" s="6">
        <v>125</v>
      </c>
      <c r="G339" s="6">
        <v>4384128</v>
      </c>
      <c r="H339" s="6">
        <v>18000</v>
      </c>
      <c r="I339" s="6">
        <v>18000</v>
      </c>
      <c r="J339" s="7">
        <v>14633.87</v>
      </c>
      <c r="K339" s="7">
        <v>14633.87</v>
      </c>
      <c r="L339" s="7">
        <v>14633.87</v>
      </c>
      <c r="M339" s="12">
        <v>1</v>
      </c>
      <c r="N339" s="7">
        <v>3366.13</v>
      </c>
      <c r="O339" s="7">
        <v>3366.13</v>
      </c>
      <c r="P339" s="7">
        <v>200</v>
      </c>
      <c r="Q339" s="6">
        <v>18000</v>
      </c>
      <c r="R339" s="7">
        <v>499.7</v>
      </c>
      <c r="S339" s="7">
        <v>18499.7</v>
      </c>
      <c r="T339" s="7">
        <v>4624.93</v>
      </c>
      <c r="U339" s="7">
        <v>-1259.18</v>
      </c>
      <c r="V339" s="7">
        <v>0</v>
      </c>
      <c r="W339" s="7">
        <v>-0.3</v>
      </c>
      <c r="X339" s="7">
        <v>0</v>
      </c>
      <c r="Y339" s="7">
        <v>0</v>
      </c>
      <c r="Z339" s="7">
        <v>3764.26</v>
      </c>
      <c r="AA339" s="7">
        <v>834.93</v>
      </c>
      <c r="AB339" s="7">
        <v>0</v>
      </c>
      <c r="AC339" s="7">
        <v>0</v>
      </c>
      <c r="AD339" s="7">
        <v>0</v>
      </c>
      <c r="AE339" s="7">
        <v>14633.87</v>
      </c>
      <c r="AF339" s="7">
        <v>3366.13</v>
      </c>
    </row>
    <row r="340" spans="1:32" x14ac:dyDescent="0.25">
      <c r="A340" s="12" t="s">
        <v>38</v>
      </c>
      <c r="B340" s="12">
        <v>2904</v>
      </c>
      <c r="C340" s="12">
        <v>1</v>
      </c>
      <c r="D340" s="13" t="s">
        <v>732</v>
      </c>
      <c r="E340" s="6">
        <v>325</v>
      </c>
      <c r="F340" s="6">
        <v>282</v>
      </c>
      <c r="G340" s="6">
        <v>8563928</v>
      </c>
      <c r="H340" s="6">
        <v>39000</v>
      </c>
      <c r="I340" s="6">
        <v>33840</v>
      </c>
      <c r="J340" s="7">
        <v>28585.71</v>
      </c>
      <c r="K340" s="7">
        <v>28585.71</v>
      </c>
      <c r="L340" s="7">
        <v>28585.71</v>
      </c>
      <c r="M340" s="12">
        <v>1</v>
      </c>
      <c r="N340" s="7">
        <v>5254.29</v>
      </c>
      <c r="O340" s="7">
        <v>5254.29</v>
      </c>
      <c r="P340" s="7">
        <v>451.2</v>
      </c>
      <c r="Q340" s="6">
        <v>39000</v>
      </c>
      <c r="R340" s="7">
        <v>520</v>
      </c>
      <c r="S340" s="7">
        <v>39520</v>
      </c>
      <c r="T340" s="7">
        <v>9880</v>
      </c>
      <c r="U340" s="7">
        <v>1784.81</v>
      </c>
      <c r="V340" s="7">
        <v>0</v>
      </c>
      <c r="W340" s="7">
        <v>-15379.14</v>
      </c>
      <c r="X340" s="7">
        <v>0</v>
      </c>
      <c r="Y340" s="7">
        <v>0</v>
      </c>
      <c r="Z340" s="7">
        <v>-13270.68</v>
      </c>
      <c r="AA340" s="7">
        <v>-8955</v>
      </c>
      <c r="AB340" s="7">
        <v>0</v>
      </c>
      <c r="AC340" s="7">
        <v>0</v>
      </c>
      <c r="AD340" s="7">
        <v>0</v>
      </c>
      <c r="AE340" s="7">
        <v>28585.71</v>
      </c>
      <c r="AF340" s="7">
        <v>5254.29</v>
      </c>
    </row>
  </sheetData>
  <sheetProtection password="8AD3" sheet="1" objects="1" scenarios="1"/>
  <mergeCells count="19">
    <mergeCell ref="AB1:AF1"/>
    <mergeCell ref="M1:M2"/>
    <mergeCell ref="N1:N2"/>
    <mergeCell ref="O1:O2"/>
    <mergeCell ref="P1:P2"/>
    <mergeCell ref="Q1:T1"/>
    <mergeCell ref="U1:AA1"/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  <pageSetup scale="95" orientation="landscape" r:id="rId1"/>
  <headerFooter>
    <oddHeader>&amp;L&amp;A&amp;C&amp;F&amp;R&amp;D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9"/>
  <sheetViews>
    <sheetView workbookViewId="0">
      <pane xSplit="4" ySplit="3" topLeftCell="E4" activePane="bottomRight" state="frozen"/>
      <selection pane="topRight" activeCell="D1" sqref="D1"/>
      <selection pane="bottomLeft" activeCell="A3" sqref="A3"/>
      <selection pane="bottomRight" activeCell="A7" sqref="A7"/>
    </sheetView>
  </sheetViews>
  <sheetFormatPr defaultRowHeight="15" x14ac:dyDescent="0.25"/>
  <cols>
    <col min="1" max="1" width="6.28515625" customWidth="1"/>
    <col min="2" max="2" width="8.28515625" bestFit="1" customWidth="1"/>
    <col min="3" max="3" width="5.28515625" bestFit="1" customWidth="1"/>
    <col min="4" max="4" width="24.28515625" bestFit="1" customWidth="1"/>
    <col min="5" max="5" width="10.85546875" customWidth="1"/>
    <col min="6" max="6" width="14.28515625" customWidth="1"/>
    <col min="7" max="7" width="14.7109375" customWidth="1"/>
    <col min="8" max="8" width="15.85546875" customWidth="1"/>
    <col min="9" max="9" width="21" customWidth="1"/>
    <col min="10" max="10" width="11.85546875" customWidth="1"/>
    <col min="11" max="11" width="15" customWidth="1"/>
    <col min="12" max="12" width="12.28515625" customWidth="1"/>
    <col min="13" max="13" width="12.5703125" customWidth="1"/>
    <col min="14" max="14" width="14.5703125" customWidth="1"/>
    <col min="15" max="15" width="10.7109375" customWidth="1"/>
    <col min="16" max="16" width="13.7109375" customWidth="1"/>
    <col min="17" max="17" width="11.140625" customWidth="1"/>
    <col min="18" max="18" width="14.85546875" customWidth="1"/>
    <col min="19" max="19" width="13.42578125" customWidth="1"/>
    <col min="20" max="20" width="11.85546875" customWidth="1"/>
    <col min="21" max="21" width="18.7109375" customWidth="1"/>
    <col min="22" max="22" width="15.42578125" customWidth="1"/>
    <col min="23" max="23" width="18.85546875" customWidth="1"/>
  </cols>
  <sheetData>
    <row r="1" spans="1:23" ht="60" x14ac:dyDescent="0.25">
      <c r="A1" s="15" t="s">
        <v>0</v>
      </c>
      <c r="B1" s="25" t="s">
        <v>1</v>
      </c>
      <c r="C1" s="25" t="s">
        <v>2</v>
      </c>
      <c r="D1" s="25" t="s">
        <v>3</v>
      </c>
      <c r="E1" s="2" t="s">
        <v>733</v>
      </c>
      <c r="F1" s="2" t="s">
        <v>734</v>
      </c>
      <c r="G1" s="2" t="s">
        <v>735</v>
      </c>
      <c r="H1" s="2" t="s">
        <v>736</v>
      </c>
      <c r="I1" s="2" t="s">
        <v>737</v>
      </c>
      <c r="J1" s="2" t="s">
        <v>738</v>
      </c>
      <c r="K1" s="2" t="s">
        <v>739</v>
      </c>
      <c r="L1" s="2" t="s">
        <v>740</v>
      </c>
      <c r="M1" s="2" t="s">
        <v>23</v>
      </c>
      <c r="N1" s="2" t="s">
        <v>741</v>
      </c>
      <c r="O1" s="2" t="s">
        <v>25</v>
      </c>
      <c r="P1" s="2" t="s">
        <v>392</v>
      </c>
      <c r="Q1" s="2" t="s">
        <v>27</v>
      </c>
      <c r="R1" s="2" t="s">
        <v>742</v>
      </c>
      <c r="S1" s="2" t="s">
        <v>394</v>
      </c>
      <c r="T1" s="2" t="s">
        <v>30</v>
      </c>
      <c r="U1" s="2" t="s">
        <v>395</v>
      </c>
      <c r="V1" s="2" t="s">
        <v>32</v>
      </c>
      <c r="W1" s="2" t="s">
        <v>36</v>
      </c>
    </row>
    <row r="2" spans="1:23" x14ac:dyDescent="0.25">
      <c r="A2" s="15"/>
      <c r="B2" s="25"/>
      <c r="C2" s="25"/>
      <c r="D2" s="2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25">
      <c r="A3" s="17"/>
      <c r="B3" s="8"/>
      <c r="C3" s="8"/>
      <c r="D3" s="9" t="s">
        <v>37</v>
      </c>
      <c r="E3" s="10">
        <v>73931</v>
      </c>
      <c r="F3" s="10">
        <v>273391</v>
      </c>
      <c r="G3" s="27">
        <f>COUNTIF(G5:G339,"=Y")</f>
        <v>335</v>
      </c>
      <c r="H3" s="10">
        <v>5047499.9999999981</v>
      </c>
      <c r="I3" s="10">
        <v>5047500.0000000028</v>
      </c>
      <c r="J3" s="10">
        <v>10095000</v>
      </c>
      <c r="K3" s="10">
        <v>10094999.999999989</v>
      </c>
      <c r="L3" s="10">
        <v>11164247.560000001</v>
      </c>
      <c r="M3" s="10">
        <v>21259247.559999995</v>
      </c>
      <c r="N3" s="10">
        <v>5314812.28</v>
      </c>
      <c r="O3" s="10">
        <v>1464401.7500000009</v>
      </c>
      <c r="P3" s="10">
        <v>64135.339999999982</v>
      </c>
      <c r="Q3" s="10">
        <v>1806064.2600000007</v>
      </c>
      <c r="R3" s="10">
        <v>77268.87</v>
      </c>
      <c r="S3" s="10">
        <v>0</v>
      </c>
      <c r="T3" s="10">
        <v>1670107.6399999985</v>
      </c>
      <c r="U3" s="10">
        <v>1599723.0899999999</v>
      </c>
      <c r="V3" s="10">
        <v>78667.33</v>
      </c>
      <c r="W3" s="10">
        <v>10016332.67</v>
      </c>
    </row>
    <row r="4" spans="1:23" x14ac:dyDescent="0.25">
      <c r="A4" s="17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25">
      <c r="A5" s="12" t="s">
        <v>38</v>
      </c>
      <c r="B5" s="12">
        <v>1</v>
      </c>
      <c r="C5" s="12">
        <v>1</v>
      </c>
      <c r="D5" s="13" t="s">
        <v>399</v>
      </c>
      <c r="E5" s="12">
        <v>120</v>
      </c>
      <c r="F5" s="12">
        <v>560</v>
      </c>
      <c r="G5" s="14" t="s">
        <v>743</v>
      </c>
      <c r="H5" s="7">
        <v>8194.2199999999993</v>
      </c>
      <c r="I5" s="7">
        <v>10340.209999999999</v>
      </c>
      <c r="J5" s="7">
        <v>18534.43</v>
      </c>
      <c r="K5" s="7">
        <v>18839.939999999999</v>
      </c>
      <c r="L5" s="7">
        <v>32425</v>
      </c>
      <c r="M5" s="7">
        <v>51264.94</v>
      </c>
      <c r="N5" s="7">
        <v>12816.24</v>
      </c>
      <c r="O5" s="7">
        <v>6266.02</v>
      </c>
      <c r="P5" s="7">
        <v>0</v>
      </c>
      <c r="Q5" s="7">
        <v>10325.66</v>
      </c>
      <c r="R5" s="7">
        <v>0</v>
      </c>
      <c r="S5" s="7">
        <v>0</v>
      </c>
      <c r="T5" s="7">
        <v>16712.39</v>
      </c>
      <c r="U5" s="7">
        <v>11101.36</v>
      </c>
      <c r="V5" s="7">
        <v>0</v>
      </c>
      <c r="W5" s="7">
        <v>18534.43</v>
      </c>
    </row>
    <row r="6" spans="1:23" x14ac:dyDescent="0.25">
      <c r="A6" s="12" t="s">
        <v>38</v>
      </c>
      <c r="B6" s="12">
        <v>1</v>
      </c>
      <c r="C6" s="12">
        <v>3</v>
      </c>
      <c r="D6" s="13" t="s">
        <v>400</v>
      </c>
      <c r="E6" s="12">
        <v>5023</v>
      </c>
      <c r="F6" s="12">
        <v>22344</v>
      </c>
      <c r="G6" s="14" t="s">
        <v>743</v>
      </c>
      <c r="H6" s="7">
        <v>342996.05</v>
      </c>
      <c r="I6" s="7">
        <v>412574.34</v>
      </c>
      <c r="J6" s="7">
        <v>755570.39</v>
      </c>
      <c r="K6" s="7">
        <v>797880.43</v>
      </c>
      <c r="L6" s="7">
        <v>39155.58</v>
      </c>
      <c r="M6" s="7">
        <v>837036.01</v>
      </c>
      <c r="N6" s="7">
        <v>209259</v>
      </c>
      <c r="O6" s="7">
        <v>357430.58</v>
      </c>
      <c r="P6" s="7">
        <v>0</v>
      </c>
      <c r="Q6" s="7">
        <v>173292.49</v>
      </c>
      <c r="R6" s="7">
        <v>0</v>
      </c>
      <c r="S6" s="7">
        <v>0</v>
      </c>
      <c r="T6" s="7">
        <v>58466.87</v>
      </c>
      <c r="U6" s="7">
        <v>196396.65</v>
      </c>
      <c r="V6" s="7">
        <v>0</v>
      </c>
      <c r="W6" s="7">
        <v>755570.39</v>
      </c>
    </row>
    <row r="7" spans="1:23" x14ac:dyDescent="0.25">
      <c r="A7" s="12" t="s">
        <v>38</v>
      </c>
      <c r="B7" s="12">
        <v>2</v>
      </c>
      <c r="C7" s="12">
        <v>1</v>
      </c>
      <c r="D7" s="13" t="s">
        <v>401</v>
      </c>
      <c r="E7" s="12">
        <v>20</v>
      </c>
      <c r="F7" s="12">
        <v>188</v>
      </c>
      <c r="G7" s="14" t="s">
        <v>743</v>
      </c>
      <c r="H7" s="7">
        <v>1365.7</v>
      </c>
      <c r="I7" s="7">
        <v>3471.36</v>
      </c>
      <c r="J7" s="7">
        <v>4837.0600000000004</v>
      </c>
      <c r="K7" s="7">
        <v>5501.6</v>
      </c>
      <c r="L7" s="7">
        <v>564</v>
      </c>
      <c r="M7" s="7">
        <v>6065.6</v>
      </c>
      <c r="N7" s="7">
        <v>1516.4</v>
      </c>
      <c r="O7" s="7">
        <v>1505.71</v>
      </c>
      <c r="P7" s="7">
        <v>0</v>
      </c>
      <c r="Q7" s="7">
        <v>1412.92</v>
      </c>
      <c r="R7" s="7">
        <v>0</v>
      </c>
      <c r="S7" s="7">
        <v>0</v>
      </c>
      <c r="T7" s="7">
        <v>3041.78</v>
      </c>
      <c r="U7" s="7">
        <v>1986.8</v>
      </c>
      <c r="V7" s="7">
        <v>470.4</v>
      </c>
      <c r="W7" s="7">
        <v>4366.66</v>
      </c>
    </row>
    <row r="8" spans="1:23" x14ac:dyDescent="0.25">
      <c r="A8" s="12" t="s">
        <v>38</v>
      </c>
      <c r="B8" s="12">
        <v>4</v>
      </c>
      <c r="C8" s="12">
        <v>1</v>
      </c>
      <c r="D8" s="13" t="s">
        <v>402</v>
      </c>
      <c r="E8" s="12">
        <v>31</v>
      </c>
      <c r="F8" s="12">
        <v>262</v>
      </c>
      <c r="G8" s="14" t="s">
        <v>743</v>
      </c>
      <c r="H8" s="7">
        <v>2116.84</v>
      </c>
      <c r="I8" s="7">
        <v>4837.74</v>
      </c>
      <c r="J8" s="7">
        <v>6954.58</v>
      </c>
      <c r="K8" s="7">
        <v>7248.85</v>
      </c>
      <c r="L8" s="7">
        <v>8425</v>
      </c>
      <c r="M8" s="7">
        <v>15673.85</v>
      </c>
      <c r="N8" s="7">
        <v>3918.46</v>
      </c>
      <c r="O8" s="7">
        <v>-8770.7000000000007</v>
      </c>
      <c r="P8" s="7">
        <v>0</v>
      </c>
      <c r="Q8" s="7">
        <v>-18451.43</v>
      </c>
      <c r="R8" s="7">
        <v>0</v>
      </c>
      <c r="S8" s="7">
        <v>0</v>
      </c>
      <c r="T8" s="7">
        <v>-25039.54</v>
      </c>
      <c r="U8" s="7">
        <v>-17420.560000000001</v>
      </c>
      <c r="V8" s="7">
        <v>0</v>
      </c>
      <c r="W8" s="7">
        <v>6954.58</v>
      </c>
    </row>
    <row r="9" spans="1:23" x14ac:dyDescent="0.25">
      <c r="A9" s="12" t="s">
        <v>38</v>
      </c>
      <c r="B9" s="12">
        <v>6</v>
      </c>
      <c r="C9" s="12">
        <v>3</v>
      </c>
      <c r="D9" s="13" t="s">
        <v>403</v>
      </c>
      <c r="E9" s="12">
        <v>289</v>
      </c>
      <c r="F9" s="12">
        <v>1351</v>
      </c>
      <c r="G9" s="14" t="s">
        <v>743</v>
      </c>
      <c r="H9" s="7">
        <v>19734.400000000001</v>
      </c>
      <c r="I9" s="7">
        <v>24945.759999999998</v>
      </c>
      <c r="J9" s="7">
        <v>44680.160000000003</v>
      </c>
      <c r="K9" s="7">
        <v>43445.31</v>
      </c>
      <c r="L9" s="7">
        <v>41220.300000000003</v>
      </c>
      <c r="M9" s="7">
        <v>84665.61</v>
      </c>
      <c r="N9" s="7">
        <v>21166.400000000001</v>
      </c>
      <c r="O9" s="7">
        <v>-2944.54</v>
      </c>
      <c r="P9" s="7">
        <v>0</v>
      </c>
      <c r="Q9" s="7">
        <v>6056.87</v>
      </c>
      <c r="R9" s="7">
        <v>0</v>
      </c>
      <c r="S9" s="7">
        <v>0</v>
      </c>
      <c r="T9" s="7">
        <v>2896.91</v>
      </c>
      <c r="U9" s="7">
        <v>2003.08</v>
      </c>
      <c r="V9" s="7">
        <v>0</v>
      </c>
      <c r="W9" s="7">
        <v>44680.160000000003</v>
      </c>
    </row>
    <row r="10" spans="1:23" x14ac:dyDescent="0.25">
      <c r="A10" s="12" t="s">
        <v>38</v>
      </c>
      <c r="B10" s="12">
        <v>11</v>
      </c>
      <c r="C10" s="12">
        <v>1</v>
      </c>
      <c r="D10" s="13" t="s">
        <v>404</v>
      </c>
      <c r="E10" s="12">
        <v>3075</v>
      </c>
      <c r="F10" s="12">
        <v>11549</v>
      </c>
      <c r="G10" s="14" t="s">
        <v>743</v>
      </c>
      <c r="H10" s="7">
        <v>209976.76</v>
      </c>
      <c r="I10" s="7">
        <v>213248.38</v>
      </c>
      <c r="J10" s="7">
        <v>423225.14</v>
      </c>
      <c r="K10" s="7">
        <v>418671.54</v>
      </c>
      <c r="L10" s="7">
        <v>692006.05</v>
      </c>
      <c r="M10" s="7">
        <v>1110677.5900000001</v>
      </c>
      <c r="N10" s="7">
        <v>277669.40000000002</v>
      </c>
      <c r="O10" s="7">
        <v>179128.25</v>
      </c>
      <c r="P10" s="7">
        <v>0</v>
      </c>
      <c r="Q10" s="7">
        <v>177680.78</v>
      </c>
      <c r="R10" s="7">
        <v>0</v>
      </c>
      <c r="S10" s="7">
        <v>0</v>
      </c>
      <c r="T10" s="7">
        <v>125127.78</v>
      </c>
      <c r="U10" s="7">
        <v>160645.6</v>
      </c>
      <c r="V10" s="7">
        <v>0</v>
      </c>
      <c r="W10" s="7">
        <v>423225.14</v>
      </c>
    </row>
    <row r="11" spans="1:23" x14ac:dyDescent="0.25">
      <c r="A11" s="12" t="s">
        <v>38</v>
      </c>
      <c r="B11" s="12">
        <v>12</v>
      </c>
      <c r="C11" s="12">
        <v>1</v>
      </c>
      <c r="D11" s="13" t="s">
        <v>405</v>
      </c>
      <c r="E11" s="12">
        <v>460</v>
      </c>
      <c r="F11" s="12">
        <v>1090</v>
      </c>
      <c r="G11" s="14" t="s">
        <v>743</v>
      </c>
      <c r="H11" s="7">
        <v>31411.16</v>
      </c>
      <c r="I11" s="7">
        <v>20126.48</v>
      </c>
      <c r="J11" s="7">
        <v>51537.64</v>
      </c>
      <c r="K11" s="7">
        <v>49509.17</v>
      </c>
      <c r="L11" s="7">
        <v>18308.09</v>
      </c>
      <c r="M11" s="7">
        <v>67817.259999999995</v>
      </c>
      <c r="N11" s="7">
        <v>16954.32</v>
      </c>
      <c r="O11" s="7">
        <v>27709.69</v>
      </c>
      <c r="P11" s="7">
        <v>0</v>
      </c>
      <c r="Q11" s="7">
        <v>21904.54</v>
      </c>
      <c r="R11" s="7">
        <v>0</v>
      </c>
      <c r="S11" s="7">
        <v>0</v>
      </c>
      <c r="T11" s="7">
        <v>-7411.36</v>
      </c>
      <c r="U11" s="7">
        <v>14067.62</v>
      </c>
      <c r="V11" s="7">
        <v>0</v>
      </c>
      <c r="W11" s="7">
        <v>51537.64</v>
      </c>
    </row>
    <row r="12" spans="1:23" x14ac:dyDescent="0.25">
      <c r="A12" s="12" t="s">
        <v>38</v>
      </c>
      <c r="B12" s="12">
        <v>13</v>
      </c>
      <c r="C12" s="12">
        <v>1</v>
      </c>
      <c r="D12" s="13" t="s">
        <v>406</v>
      </c>
      <c r="E12" s="12">
        <v>329</v>
      </c>
      <c r="F12" s="12">
        <v>2092</v>
      </c>
      <c r="G12" s="14" t="s">
        <v>743</v>
      </c>
      <c r="H12" s="7">
        <v>22465.81</v>
      </c>
      <c r="I12" s="7">
        <v>38628.07</v>
      </c>
      <c r="J12" s="7">
        <v>61093.88</v>
      </c>
      <c r="K12" s="7">
        <v>60006.04</v>
      </c>
      <c r="L12" s="7">
        <v>18212.259999999998</v>
      </c>
      <c r="M12" s="7">
        <v>78218.3</v>
      </c>
      <c r="N12" s="7">
        <v>19554.580000000002</v>
      </c>
      <c r="O12" s="7">
        <v>22377.82</v>
      </c>
      <c r="P12" s="7">
        <v>0</v>
      </c>
      <c r="Q12" s="7">
        <v>23924.959999999999</v>
      </c>
      <c r="R12" s="7">
        <v>0</v>
      </c>
      <c r="S12" s="7">
        <v>0</v>
      </c>
      <c r="T12" s="7">
        <v>11734.72</v>
      </c>
      <c r="U12" s="7">
        <v>19345.830000000002</v>
      </c>
      <c r="V12" s="7">
        <v>0</v>
      </c>
      <c r="W12" s="7">
        <v>61093.88</v>
      </c>
    </row>
    <row r="13" spans="1:23" x14ac:dyDescent="0.25">
      <c r="A13" s="12" t="s">
        <v>38</v>
      </c>
      <c r="B13" s="12">
        <v>14</v>
      </c>
      <c r="C13" s="12">
        <v>1</v>
      </c>
      <c r="D13" s="13" t="s">
        <v>407</v>
      </c>
      <c r="E13" s="12">
        <v>211</v>
      </c>
      <c r="F13" s="12">
        <v>1503</v>
      </c>
      <c r="G13" s="14" t="s">
        <v>743</v>
      </c>
      <c r="H13" s="7">
        <v>14408.16</v>
      </c>
      <c r="I13" s="7">
        <v>27752.39</v>
      </c>
      <c r="J13" s="7">
        <v>42160.55</v>
      </c>
      <c r="K13" s="7">
        <v>41669.949999999997</v>
      </c>
      <c r="L13" s="7">
        <v>18480.5</v>
      </c>
      <c r="M13" s="7">
        <v>60150.45</v>
      </c>
      <c r="N13" s="7">
        <v>15037.61</v>
      </c>
      <c r="O13" s="7">
        <v>6898</v>
      </c>
      <c r="P13" s="7">
        <v>0</v>
      </c>
      <c r="Q13" s="7">
        <v>8619.51</v>
      </c>
      <c r="R13" s="7">
        <v>0</v>
      </c>
      <c r="S13" s="7">
        <v>0</v>
      </c>
      <c r="T13" s="7">
        <v>13760.02</v>
      </c>
      <c r="U13" s="7">
        <v>9759.18</v>
      </c>
      <c r="V13" s="7">
        <v>0</v>
      </c>
      <c r="W13" s="7">
        <v>42160.55</v>
      </c>
    </row>
    <row r="14" spans="1:23" x14ac:dyDescent="0.25">
      <c r="A14" s="12" t="s">
        <v>38</v>
      </c>
      <c r="B14" s="12">
        <v>15</v>
      </c>
      <c r="C14" s="12">
        <v>1</v>
      </c>
      <c r="D14" s="13" t="s">
        <v>408</v>
      </c>
      <c r="E14" s="12">
        <v>488</v>
      </c>
      <c r="F14" s="12">
        <v>1512</v>
      </c>
      <c r="G14" s="14" t="s">
        <v>743</v>
      </c>
      <c r="H14" s="7">
        <v>33323.14</v>
      </c>
      <c r="I14" s="7">
        <v>27918.57</v>
      </c>
      <c r="J14" s="7">
        <v>61241.71</v>
      </c>
      <c r="K14" s="7">
        <v>60370.89</v>
      </c>
      <c r="L14" s="7">
        <v>0</v>
      </c>
      <c r="M14" s="7">
        <v>60370.89</v>
      </c>
      <c r="N14" s="7">
        <v>15092.72</v>
      </c>
      <c r="O14" s="7">
        <v>10580.5</v>
      </c>
      <c r="P14" s="7">
        <v>0</v>
      </c>
      <c r="Q14" s="7">
        <v>10468.91</v>
      </c>
      <c r="R14" s="7">
        <v>0</v>
      </c>
      <c r="S14" s="7">
        <v>0</v>
      </c>
      <c r="T14" s="7">
        <v>10387.469999999999</v>
      </c>
      <c r="U14" s="7">
        <v>10478.959999999999</v>
      </c>
      <c r="V14" s="7">
        <v>0</v>
      </c>
      <c r="W14" s="7">
        <v>61241.71</v>
      </c>
    </row>
    <row r="15" spans="1:23" x14ac:dyDescent="0.25">
      <c r="A15" s="12" t="s">
        <v>38</v>
      </c>
      <c r="B15" s="12">
        <v>16</v>
      </c>
      <c r="C15" s="12">
        <v>1</v>
      </c>
      <c r="D15" s="13" t="s">
        <v>409</v>
      </c>
      <c r="E15" s="12">
        <v>303</v>
      </c>
      <c r="F15" s="12">
        <v>1496</v>
      </c>
      <c r="G15" s="14" t="s">
        <v>743</v>
      </c>
      <c r="H15" s="7">
        <v>20690.39</v>
      </c>
      <c r="I15" s="7">
        <v>27623.13</v>
      </c>
      <c r="J15" s="7">
        <v>48313.52</v>
      </c>
      <c r="K15" s="7">
        <v>62806.33</v>
      </c>
      <c r="L15" s="7">
        <v>11995</v>
      </c>
      <c r="M15" s="7">
        <v>74801.33</v>
      </c>
      <c r="N15" s="7">
        <v>18700.330000000002</v>
      </c>
      <c r="O15" s="7">
        <v>7374.98</v>
      </c>
      <c r="P15" s="7">
        <v>0</v>
      </c>
      <c r="Q15" s="7">
        <v>9437.64</v>
      </c>
      <c r="R15" s="7">
        <v>0</v>
      </c>
      <c r="S15" s="7">
        <v>0</v>
      </c>
      <c r="T15" s="7">
        <v>9677.89</v>
      </c>
      <c r="U15" s="7">
        <v>8830.17</v>
      </c>
      <c r="V15" s="7">
        <v>0</v>
      </c>
      <c r="W15" s="7">
        <v>48313.52</v>
      </c>
    </row>
    <row r="16" spans="1:23" x14ac:dyDescent="0.25">
      <c r="A16" s="12" t="s">
        <v>38</v>
      </c>
      <c r="B16" s="12">
        <v>22</v>
      </c>
      <c r="C16" s="12">
        <v>1</v>
      </c>
      <c r="D16" s="13" t="s">
        <v>410</v>
      </c>
      <c r="E16" s="12">
        <v>239</v>
      </c>
      <c r="F16" s="12">
        <v>1080</v>
      </c>
      <c r="G16" s="14" t="s">
        <v>743</v>
      </c>
      <c r="H16" s="7">
        <v>16320.15</v>
      </c>
      <c r="I16" s="7">
        <v>19941.830000000002</v>
      </c>
      <c r="J16" s="7">
        <v>36261.980000000003</v>
      </c>
      <c r="K16" s="7">
        <v>34865.56</v>
      </c>
      <c r="L16" s="7">
        <v>38255.879999999997</v>
      </c>
      <c r="M16" s="7">
        <v>73121.440000000002</v>
      </c>
      <c r="N16" s="7">
        <v>18280.36</v>
      </c>
      <c r="O16" s="7">
        <v>6550.15</v>
      </c>
      <c r="P16" s="7">
        <v>0</v>
      </c>
      <c r="Q16" s="7">
        <v>5427.59</v>
      </c>
      <c r="R16" s="7">
        <v>0</v>
      </c>
      <c r="S16" s="7">
        <v>0</v>
      </c>
      <c r="T16" s="7">
        <v>8689.0400000000009</v>
      </c>
      <c r="U16" s="7">
        <v>6888.93</v>
      </c>
      <c r="V16" s="7">
        <v>0</v>
      </c>
      <c r="W16" s="7">
        <v>36261.980000000003</v>
      </c>
    </row>
    <row r="17" spans="1:23" x14ac:dyDescent="0.25">
      <c r="A17" s="12" t="s">
        <v>38</v>
      </c>
      <c r="B17" s="12">
        <v>23</v>
      </c>
      <c r="C17" s="12">
        <v>1</v>
      </c>
      <c r="D17" s="13" t="s">
        <v>411</v>
      </c>
      <c r="E17" s="12">
        <v>94</v>
      </c>
      <c r="F17" s="12">
        <v>447</v>
      </c>
      <c r="G17" s="14" t="s">
        <v>743</v>
      </c>
      <c r="H17" s="7">
        <v>6418.8</v>
      </c>
      <c r="I17" s="7">
        <v>8253.7000000000007</v>
      </c>
      <c r="J17" s="7">
        <v>14672.5</v>
      </c>
      <c r="K17" s="7">
        <v>15132.5</v>
      </c>
      <c r="L17" s="7">
        <v>16157.09</v>
      </c>
      <c r="M17" s="7">
        <v>31289.59</v>
      </c>
      <c r="N17" s="7">
        <v>7822.4</v>
      </c>
      <c r="O17" s="7">
        <v>5419.53</v>
      </c>
      <c r="P17" s="7">
        <v>0</v>
      </c>
      <c r="Q17" s="7">
        <v>11790.52</v>
      </c>
      <c r="R17" s="7">
        <v>0</v>
      </c>
      <c r="S17" s="7">
        <v>0</v>
      </c>
      <c r="T17" s="7">
        <v>8657.1200000000008</v>
      </c>
      <c r="U17" s="7">
        <v>8622.39</v>
      </c>
      <c r="V17" s="7">
        <v>799.99</v>
      </c>
      <c r="W17" s="7">
        <v>13872.51</v>
      </c>
    </row>
    <row r="18" spans="1:23" x14ac:dyDescent="0.25">
      <c r="A18" s="12" t="s">
        <v>38</v>
      </c>
      <c r="B18" s="12">
        <v>25</v>
      </c>
      <c r="C18" s="12">
        <v>1</v>
      </c>
      <c r="D18" s="13" t="s">
        <v>412</v>
      </c>
      <c r="E18" s="12">
        <v>15</v>
      </c>
      <c r="F18" s="12">
        <v>58</v>
      </c>
      <c r="G18" s="14" t="s">
        <v>743</v>
      </c>
      <c r="H18" s="7">
        <v>1024.28</v>
      </c>
      <c r="I18" s="7">
        <v>1070.95</v>
      </c>
      <c r="J18" s="7">
        <v>2095.23</v>
      </c>
      <c r="K18" s="7">
        <v>2945.75</v>
      </c>
      <c r="L18" s="7">
        <v>0</v>
      </c>
      <c r="M18" s="7">
        <v>2945.75</v>
      </c>
      <c r="N18" s="7">
        <v>736.44</v>
      </c>
      <c r="O18" s="7">
        <v>186.21</v>
      </c>
      <c r="P18" s="7">
        <v>0</v>
      </c>
      <c r="Q18" s="7">
        <v>199.62</v>
      </c>
      <c r="R18" s="7">
        <v>0</v>
      </c>
      <c r="S18" s="7">
        <v>0</v>
      </c>
      <c r="T18" s="7">
        <v>0</v>
      </c>
      <c r="U18" s="7">
        <v>128.61000000000001</v>
      </c>
      <c r="V18" s="7">
        <v>0</v>
      </c>
      <c r="W18" s="7">
        <v>2095.23</v>
      </c>
    </row>
    <row r="19" spans="1:23" x14ac:dyDescent="0.25">
      <c r="A19" s="12" t="s">
        <v>38</v>
      </c>
      <c r="B19" s="12">
        <v>31</v>
      </c>
      <c r="C19" s="12">
        <v>1</v>
      </c>
      <c r="D19" s="13" t="s">
        <v>413</v>
      </c>
      <c r="E19" s="12">
        <v>536</v>
      </c>
      <c r="F19" s="12">
        <v>2531</v>
      </c>
      <c r="G19" s="14" t="s">
        <v>743</v>
      </c>
      <c r="H19" s="7">
        <v>36600.83</v>
      </c>
      <c r="I19" s="7">
        <v>46734.06</v>
      </c>
      <c r="J19" s="7">
        <v>83334.89</v>
      </c>
      <c r="K19" s="7">
        <v>81206.11</v>
      </c>
      <c r="L19" s="7">
        <v>0</v>
      </c>
      <c r="M19" s="7">
        <v>81206.11</v>
      </c>
      <c r="N19" s="7">
        <v>20301.53</v>
      </c>
      <c r="O19" s="7">
        <v>26226.78</v>
      </c>
      <c r="P19" s="7">
        <v>6064.83</v>
      </c>
      <c r="Q19" s="7">
        <v>35381.519999999997</v>
      </c>
      <c r="R19" s="7">
        <v>5313.2</v>
      </c>
      <c r="S19" s="7">
        <v>0</v>
      </c>
      <c r="T19" s="7">
        <v>41463.35</v>
      </c>
      <c r="U19" s="7">
        <v>30564.54</v>
      </c>
      <c r="V19" s="7">
        <v>10263.01</v>
      </c>
      <c r="W19" s="7">
        <v>73071.88</v>
      </c>
    </row>
    <row r="20" spans="1:23" x14ac:dyDescent="0.25">
      <c r="A20" s="12" t="s">
        <v>38</v>
      </c>
      <c r="B20" s="12">
        <v>32</v>
      </c>
      <c r="C20" s="12">
        <v>1</v>
      </c>
      <c r="D20" s="13" t="s">
        <v>414</v>
      </c>
      <c r="E20" s="12">
        <v>56</v>
      </c>
      <c r="F20" s="12">
        <v>369</v>
      </c>
      <c r="G20" s="14" t="s">
        <v>743</v>
      </c>
      <c r="H20" s="7">
        <v>3823.97</v>
      </c>
      <c r="I20" s="7">
        <v>6813.46</v>
      </c>
      <c r="J20" s="7">
        <v>10637.43</v>
      </c>
      <c r="K20" s="7">
        <v>10095.120000000001</v>
      </c>
      <c r="L20" s="7">
        <v>0</v>
      </c>
      <c r="M20" s="7">
        <v>10095.120000000001</v>
      </c>
      <c r="N20" s="7">
        <v>2523.7800000000002</v>
      </c>
      <c r="O20" s="7">
        <v>-428.16</v>
      </c>
      <c r="P20" s="7">
        <v>0</v>
      </c>
      <c r="Q20" s="7">
        <v>2619.4499999999998</v>
      </c>
      <c r="R20" s="7">
        <v>0</v>
      </c>
      <c r="S20" s="7">
        <v>0</v>
      </c>
      <c r="T20" s="7">
        <v>5195.42</v>
      </c>
      <c r="U20" s="7">
        <v>2462.2399999999998</v>
      </c>
      <c r="V20" s="7">
        <v>0</v>
      </c>
      <c r="W20" s="7">
        <v>10637.43</v>
      </c>
    </row>
    <row r="21" spans="1:23" x14ac:dyDescent="0.25">
      <c r="A21" s="12" t="s">
        <v>38</v>
      </c>
      <c r="B21" s="12">
        <v>36</v>
      </c>
      <c r="C21" s="12">
        <v>1</v>
      </c>
      <c r="D21" s="13" t="s">
        <v>415</v>
      </c>
      <c r="E21" s="12">
        <v>10</v>
      </c>
      <c r="F21" s="12">
        <v>175</v>
      </c>
      <c r="G21" s="14" t="s">
        <v>743</v>
      </c>
      <c r="H21" s="7">
        <v>682.85</v>
      </c>
      <c r="I21" s="7">
        <v>3231.32</v>
      </c>
      <c r="J21" s="7">
        <v>3914.17</v>
      </c>
      <c r="K21" s="7">
        <v>4505.5200000000004</v>
      </c>
      <c r="L21" s="7">
        <v>0</v>
      </c>
      <c r="M21" s="7">
        <v>4505.5200000000004</v>
      </c>
      <c r="N21" s="7">
        <v>1126.3800000000001</v>
      </c>
      <c r="O21" s="7">
        <v>-0.36</v>
      </c>
      <c r="P21" s="7">
        <v>0</v>
      </c>
      <c r="Q21" s="7">
        <v>-0.36</v>
      </c>
      <c r="R21" s="7">
        <v>0</v>
      </c>
      <c r="S21" s="7">
        <v>0</v>
      </c>
      <c r="T21" s="7">
        <v>5.16</v>
      </c>
      <c r="U21" s="7">
        <v>1.48</v>
      </c>
      <c r="V21" s="7">
        <v>0</v>
      </c>
      <c r="W21" s="7">
        <v>3914.17</v>
      </c>
    </row>
    <row r="22" spans="1:23" x14ac:dyDescent="0.25">
      <c r="A22" s="12" t="s">
        <v>38</v>
      </c>
      <c r="B22" s="12">
        <v>38</v>
      </c>
      <c r="C22" s="12">
        <v>1</v>
      </c>
      <c r="D22" s="13" t="s">
        <v>416</v>
      </c>
      <c r="E22" s="12">
        <v>201</v>
      </c>
      <c r="F22" s="12">
        <v>1242</v>
      </c>
      <c r="G22" s="14" t="s">
        <v>743</v>
      </c>
      <c r="H22" s="7">
        <v>13725.31</v>
      </c>
      <c r="I22" s="7">
        <v>22933.11</v>
      </c>
      <c r="J22" s="7">
        <v>36658.42</v>
      </c>
      <c r="K22" s="7">
        <v>33893.79</v>
      </c>
      <c r="L22" s="7">
        <v>11400.92</v>
      </c>
      <c r="M22" s="7">
        <v>45294.71</v>
      </c>
      <c r="N22" s="7">
        <v>11323.68</v>
      </c>
      <c r="O22" s="7">
        <v>0</v>
      </c>
      <c r="P22" s="7">
        <v>0</v>
      </c>
      <c r="Q22" s="7">
        <v>0.1</v>
      </c>
      <c r="R22" s="7">
        <v>0</v>
      </c>
      <c r="S22" s="7">
        <v>0</v>
      </c>
      <c r="T22" s="7">
        <v>0</v>
      </c>
      <c r="U22" s="7">
        <v>0.03</v>
      </c>
      <c r="V22" s="7">
        <v>0</v>
      </c>
      <c r="W22" s="7">
        <v>36658.42</v>
      </c>
    </row>
    <row r="23" spans="1:23" x14ac:dyDescent="0.25">
      <c r="A23" s="12" t="s">
        <v>38</v>
      </c>
      <c r="B23" s="12">
        <v>47</v>
      </c>
      <c r="C23" s="12">
        <v>1</v>
      </c>
      <c r="D23" s="13" t="s">
        <v>417</v>
      </c>
      <c r="E23" s="12">
        <v>415</v>
      </c>
      <c r="F23" s="12">
        <v>1210</v>
      </c>
      <c r="G23" s="14" t="s">
        <v>743</v>
      </c>
      <c r="H23" s="7">
        <v>28338.33</v>
      </c>
      <c r="I23" s="7">
        <v>22342.240000000002</v>
      </c>
      <c r="J23" s="7">
        <v>50680.57</v>
      </c>
      <c r="K23" s="7">
        <v>49606.49</v>
      </c>
      <c r="L23" s="7">
        <v>40328.14</v>
      </c>
      <c r="M23" s="7">
        <v>89934.63</v>
      </c>
      <c r="N23" s="7">
        <v>22483.66</v>
      </c>
      <c r="O23" s="7">
        <v>23452.880000000001</v>
      </c>
      <c r="P23" s="7">
        <v>0</v>
      </c>
      <c r="Q23" s="7">
        <v>11973.87</v>
      </c>
      <c r="R23" s="7">
        <v>0</v>
      </c>
      <c r="S23" s="7">
        <v>0</v>
      </c>
      <c r="T23" s="7">
        <v>8539.23</v>
      </c>
      <c r="U23" s="7">
        <v>14655.33</v>
      </c>
      <c r="V23" s="7">
        <v>0</v>
      </c>
      <c r="W23" s="7">
        <v>50680.57</v>
      </c>
    </row>
    <row r="24" spans="1:23" x14ac:dyDescent="0.25">
      <c r="A24" s="12" t="s">
        <v>38</v>
      </c>
      <c r="B24" s="12">
        <v>51</v>
      </c>
      <c r="C24" s="12">
        <v>1</v>
      </c>
      <c r="D24" s="13" t="s">
        <v>418</v>
      </c>
      <c r="E24" s="12">
        <v>152</v>
      </c>
      <c r="F24" s="12">
        <v>560</v>
      </c>
      <c r="G24" s="14" t="s">
        <v>743</v>
      </c>
      <c r="H24" s="7">
        <v>10379.34</v>
      </c>
      <c r="I24" s="7">
        <v>10340.209999999999</v>
      </c>
      <c r="J24" s="7">
        <v>20719.55</v>
      </c>
      <c r="K24" s="7">
        <v>20517.27</v>
      </c>
      <c r="L24" s="7">
        <v>0</v>
      </c>
      <c r="M24" s="7">
        <v>20517.27</v>
      </c>
      <c r="N24" s="7">
        <v>5129.32</v>
      </c>
      <c r="O24" s="7">
        <v>1548.2</v>
      </c>
      <c r="P24" s="7">
        <v>0</v>
      </c>
      <c r="Q24" s="7">
        <v>-195.42</v>
      </c>
      <c r="R24" s="7">
        <v>0</v>
      </c>
      <c r="S24" s="7">
        <v>0</v>
      </c>
      <c r="T24" s="7">
        <v>0</v>
      </c>
      <c r="U24" s="7">
        <v>450.93</v>
      </c>
      <c r="V24" s="7">
        <v>0</v>
      </c>
      <c r="W24" s="7">
        <v>20719.55</v>
      </c>
    </row>
    <row r="25" spans="1:23" x14ac:dyDescent="0.25">
      <c r="A25" s="12" t="s">
        <v>38</v>
      </c>
      <c r="B25" s="12">
        <v>75</v>
      </c>
      <c r="C25" s="12">
        <v>1</v>
      </c>
      <c r="D25" s="13" t="s">
        <v>419</v>
      </c>
      <c r="E25" s="12">
        <v>40</v>
      </c>
      <c r="F25" s="12">
        <v>109</v>
      </c>
      <c r="G25" s="14" t="s">
        <v>743</v>
      </c>
      <c r="H25" s="7">
        <v>2731.41</v>
      </c>
      <c r="I25" s="7">
        <v>2012.65</v>
      </c>
      <c r="J25" s="7">
        <v>4744.0600000000004</v>
      </c>
      <c r="K25" s="7">
        <v>3965.29</v>
      </c>
      <c r="L25" s="7">
        <v>1026.29</v>
      </c>
      <c r="M25" s="7">
        <v>4991.58</v>
      </c>
      <c r="N25" s="7">
        <v>1247.9000000000001</v>
      </c>
      <c r="O25" s="7">
        <v>17.149999999999999</v>
      </c>
      <c r="P25" s="7">
        <v>0</v>
      </c>
      <c r="Q25" s="7">
        <v>-994.86</v>
      </c>
      <c r="R25" s="7">
        <v>0</v>
      </c>
      <c r="S25" s="7">
        <v>0</v>
      </c>
      <c r="T25" s="7">
        <v>0</v>
      </c>
      <c r="U25" s="7">
        <v>-325.89999999999998</v>
      </c>
      <c r="V25" s="7">
        <v>0</v>
      </c>
      <c r="W25" s="7">
        <v>4744.0600000000004</v>
      </c>
    </row>
    <row r="26" spans="1:23" x14ac:dyDescent="0.25">
      <c r="A26" s="12" t="s">
        <v>38</v>
      </c>
      <c r="B26" s="12">
        <v>77</v>
      </c>
      <c r="C26" s="12">
        <v>1</v>
      </c>
      <c r="D26" s="13" t="s">
        <v>420</v>
      </c>
      <c r="E26" s="12">
        <v>581</v>
      </c>
      <c r="F26" s="12">
        <v>2543</v>
      </c>
      <c r="G26" s="14" t="s">
        <v>743</v>
      </c>
      <c r="H26" s="7">
        <v>39673.660000000003</v>
      </c>
      <c r="I26" s="7">
        <v>46955.64</v>
      </c>
      <c r="J26" s="7">
        <v>86629.3</v>
      </c>
      <c r="K26" s="7">
        <v>91747.36</v>
      </c>
      <c r="L26" s="7">
        <v>61257.14</v>
      </c>
      <c r="M26" s="7">
        <v>153004.5</v>
      </c>
      <c r="N26" s="7">
        <v>38251.129999999997</v>
      </c>
      <c r="O26" s="7">
        <v>21904.44</v>
      </c>
      <c r="P26" s="7">
        <v>0</v>
      </c>
      <c r="Q26" s="7">
        <v>25020.15</v>
      </c>
      <c r="R26" s="7">
        <v>0</v>
      </c>
      <c r="S26" s="7">
        <v>0</v>
      </c>
      <c r="T26" s="7">
        <v>36882.18</v>
      </c>
      <c r="U26" s="7">
        <v>27935.59</v>
      </c>
      <c r="V26" s="7">
        <v>0</v>
      </c>
      <c r="W26" s="7">
        <v>86629.3</v>
      </c>
    </row>
    <row r="27" spans="1:23" x14ac:dyDescent="0.25">
      <c r="A27" s="12" t="s">
        <v>38</v>
      </c>
      <c r="B27" s="12">
        <v>81</v>
      </c>
      <c r="C27" s="12">
        <v>1</v>
      </c>
      <c r="D27" s="13" t="s">
        <v>421</v>
      </c>
      <c r="E27" s="12">
        <v>12</v>
      </c>
      <c r="F27" s="12">
        <v>72</v>
      </c>
      <c r="G27" s="14" t="s">
        <v>743</v>
      </c>
      <c r="H27" s="7">
        <v>819.42</v>
      </c>
      <c r="I27" s="7">
        <v>1329.46</v>
      </c>
      <c r="J27" s="7">
        <v>2148.88</v>
      </c>
      <c r="K27" s="7">
        <v>2335.0100000000002</v>
      </c>
      <c r="L27" s="7">
        <v>2669</v>
      </c>
      <c r="M27" s="7">
        <v>5004.01</v>
      </c>
      <c r="N27" s="7">
        <v>1251</v>
      </c>
      <c r="O27" s="7">
        <v>-2606.13</v>
      </c>
      <c r="P27" s="7">
        <v>0</v>
      </c>
      <c r="Q27" s="7">
        <v>-3961.21</v>
      </c>
      <c r="R27" s="7">
        <v>0</v>
      </c>
      <c r="S27" s="7">
        <v>0</v>
      </c>
      <c r="T27" s="7">
        <v>-6958.46</v>
      </c>
      <c r="U27" s="7">
        <v>-4508.6000000000004</v>
      </c>
      <c r="V27" s="7">
        <v>0</v>
      </c>
      <c r="W27" s="7">
        <v>2148.88</v>
      </c>
    </row>
    <row r="28" spans="1:23" x14ac:dyDescent="0.25">
      <c r="A28" s="12" t="s">
        <v>38</v>
      </c>
      <c r="B28" s="12">
        <v>84</v>
      </c>
      <c r="C28" s="12">
        <v>1</v>
      </c>
      <c r="D28" s="13" t="s">
        <v>422</v>
      </c>
      <c r="E28" s="12">
        <v>78</v>
      </c>
      <c r="F28" s="12">
        <v>332</v>
      </c>
      <c r="G28" s="14" t="s">
        <v>743</v>
      </c>
      <c r="H28" s="7">
        <v>5326.24</v>
      </c>
      <c r="I28" s="7">
        <v>6130.27</v>
      </c>
      <c r="J28" s="7">
        <v>11456.51</v>
      </c>
      <c r="K28" s="7">
        <v>11049.77</v>
      </c>
      <c r="L28" s="7">
        <v>33113.31</v>
      </c>
      <c r="M28" s="7">
        <v>44163.08</v>
      </c>
      <c r="N28" s="7">
        <v>11040.77</v>
      </c>
      <c r="O28" s="7">
        <v>-16902.169999999998</v>
      </c>
      <c r="P28" s="7">
        <v>0</v>
      </c>
      <c r="Q28" s="7">
        <v>-16353.77</v>
      </c>
      <c r="R28" s="7">
        <v>0</v>
      </c>
      <c r="S28" s="7">
        <v>0</v>
      </c>
      <c r="T28" s="7">
        <v>-17389.939999999999</v>
      </c>
      <c r="U28" s="7">
        <v>-16881.96</v>
      </c>
      <c r="V28" s="7">
        <v>0</v>
      </c>
      <c r="W28" s="7">
        <v>11456.51</v>
      </c>
    </row>
    <row r="29" spans="1:23" x14ac:dyDescent="0.25">
      <c r="A29" s="12" t="s">
        <v>38</v>
      </c>
      <c r="B29" s="12">
        <v>85</v>
      </c>
      <c r="C29" s="12">
        <v>1</v>
      </c>
      <c r="D29" s="13" t="s">
        <v>423</v>
      </c>
      <c r="E29" s="12">
        <v>39</v>
      </c>
      <c r="F29" s="12">
        <v>218</v>
      </c>
      <c r="G29" s="14" t="s">
        <v>743</v>
      </c>
      <c r="H29" s="7">
        <v>2663.12</v>
      </c>
      <c r="I29" s="7">
        <v>4025.3</v>
      </c>
      <c r="J29" s="7">
        <v>6688.42</v>
      </c>
      <c r="K29" s="7">
        <v>5801.47</v>
      </c>
      <c r="L29" s="7">
        <v>632</v>
      </c>
      <c r="M29" s="7">
        <v>6433.47</v>
      </c>
      <c r="N29" s="7">
        <v>1608.37</v>
      </c>
      <c r="O29" s="7">
        <v>-5805.3</v>
      </c>
      <c r="P29" s="7">
        <v>0</v>
      </c>
      <c r="Q29" s="7">
        <v>-4425.47</v>
      </c>
      <c r="R29" s="7">
        <v>0</v>
      </c>
      <c r="S29" s="7">
        <v>0</v>
      </c>
      <c r="T29" s="7">
        <v>-8400.69</v>
      </c>
      <c r="U29" s="7">
        <v>-6210.49</v>
      </c>
      <c r="V29" s="7">
        <v>0</v>
      </c>
      <c r="W29" s="7">
        <v>6688.42</v>
      </c>
    </row>
    <row r="30" spans="1:23" x14ac:dyDescent="0.25">
      <c r="A30" s="12" t="s">
        <v>38</v>
      </c>
      <c r="B30" s="12">
        <v>88</v>
      </c>
      <c r="C30" s="12">
        <v>1</v>
      </c>
      <c r="D30" s="13" t="s">
        <v>424</v>
      </c>
      <c r="E30" s="12">
        <v>224</v>
      </c>
      <c r="F30" s="12">
        <v>495</v>
      </c>
      <c r="G30" s="14" t="s">
        <v>743</v>
      </c>
      <c r="H30" s="7">
        <v>15295.87</v>
      </c>
      <c r="I30" s="7">
        <v>9140.01</v>
      </c>
      <c r="J30" s="7">
        <v>24435.88</v>
      </c>
      <c r="K30" s="7">
        <v>26234.46</v>
      </c>
      <c r="L30" s="7">
        <v>24268.62</v>
      </c>
      <c r="M30" s="7">
        <v>50503.08</v>
      </c>
      <c r="N30" s="7">
        <v>12625.77</v>
      </c>
      <c r="O30" s="7">
        <v>1150.27</v>
      </c>
      <c r="P30" s="7">
        <v>0</v>
      </c>
      <c r="Q30" s="7">
        <v>0</v>
      </c>
      <c r="R30" s="7">
        <v>0</v>
      </c>
      <c r="S30" s="7">
        <v>0</v>
      </c>
      <c r="T30" s="7">
        <v>2981.99</v>
      </c>
      <c r="U30" s="7">
        <v>1377.42</v>
      </c>
      <c r="V30" s="7">
        <v>0</v>
      </c>
      <c r="W30" s="7">
        <v>24435.88</v>
      </c>
    </row>
    <row r="31" spans="1:23" x14ac:dyDescent="0.25">
      <c r="A31" s="12" t="s">
        <v>38</v>
      </c>
      <c r="B31" s="12">
        <v>91</v>
      </c>
      <c r="C31" s="12">
        <v>1</v>
      </c>
      <c r="D31" s="13" t="s">
        <v>425</v>
      </c>
      <c r="E31" s="12">
        <v>70</v>
      </c>
      <c r="F31" s="12">
        <v>275</v>
      </c>
      <c r="G31" s="14" t="s">
        <v>743</v>
      </c>
      <c r="H31" s="7">
        <v>4779.96</v>
      </c>
      <c r="I31" s="7">
        <v>5077.78</v>
      </c>
      <c r="J31" s="7">
        <v>9857.74</v>
      </c>
      <c r="K31" s="7">
        <v>9402.9699999999993</v>
      </c>
      <c r="L31" s="7">
        <v>13550</v>
      </c>
      <c r="M31" s="7">
        <v>22952.97</v>
      </c>
      <c r="N31" s="7">
        <v>5738.24</v>
      </c>
      <c r="O31" s="7">
        <v>2999.97</v>
      </c>
      <c r="P31" s="7">
        <v>0</v>
      </c>
      <c r="Q31" s="7">
        <v>4477.93</v>
      </c>
      <c r="R31" s="7">
        <v>0</v>
      </c>
      <c r="S31" s="7">
        <v>0</v>
      </c>
      <c r="T31" s="7">
        <v>-3731.87</v>
      </c>
      <c r="U31" s="7">
        <v>1248.68</v>
      </c>
      <c r="V31" s="7">
        <v>0</v>
      </c>
      <c r="W31" s="7">
        <v>9857.74</v>
      </c>
    </row>
    <row r="32" spans="1:23" x14ac:dyDescent="0.25">
      <c r="A32" s="12" t="s">
        <v>38</v>
      </c>
      <c r="B32" s="12">
        <v>93</v>
      </c>
      <c r="C32" s="12">
        <v>1</v>
      </c>
      <c r="D32" s="13" t="s">
        <v>426</v>
      </c>
      <c r="E32" s="12">
        <v>43</v>
      </c>
      <c r="F32" s="12">
        <v>193</v>
      </c>
      <c r="G32" s="14" t="s">
        <v>743</v>
      </c>
      <c r="H32" s="7">
        <v>2936.26</v>
      </c>
      <c r="I32" s="7">
        <v>3563.68</v>
      </c>
      <c r="J32" s="7">
        <v>6499.94</v>
      </c>
      <c r="K32" s="7">
        <v>6634.63</v>
      </c>
      <c r="L32" s="7">
        <v>10680.25</v>
      </c>
      <c r="M32" s="7">
        <v>17314.88</v>
      </c>
      <c r="N32" s="7">
        <v>4328.72</v>
      </c>
      <c r="O32" s="7">
        <v>2349.39</v>
      </c>
      <c r="P32" s="7">
        <v>0</v>
      </c>
      <c r="Q32" s="7">
        <v>-10858.9</v>
      </c>
      <c r="R32" s="7">
        <v>0</v>
      </c>
      <c r="S32" s="7">
        <v>0</v>
      </c>
      <c r="T32" s="7">
        <v>-61041.279999999999</v>
      </c>
      <c r="U32" s="7">
        <v>-23183.599999999999</v>
      </c>
      <c r="V32" s="7">
        <v>0</v>
      </c>
      <c r="W32" s="7">
        <v>6499.94</v>
      </c>
    </row>
    <row r="33" spans="1:23" x14ac:dyDescent="0.25">
      <c r="A33" s="12" t="s">
        <v>38</v>
      </c>
      <c r="B33" s="12">
        <v>94</v>
      </c>
      <c r="C33" s="12">
        <v>1</v>
      </c>
      <c r="D33" s="13" t="s">
        <v>427</v>
      </c>
      <c r="E33" s="12">
        <v>245</v>
      </c>
      <c r="F33" s="12">
        <v>914</v>
      </c>
      <c r="G33" s="14" t="s">
        <v>743</v>
      </c>
      <c r="H33" s="7">
        <v>16729.86</v>
      </c>
      <c r="I33" s="7">
        <v>16876.7</v>
      </c>
      <c r="J33" s="7">
        <v>33606.559999999998</v>
      </c>
      <c r="K33" s="7">
        <v>34609.269999999997</v>
      </c>
      <c r="L33" s="7">
        <v>19316.990000000002</v>
      </c>
      <c r="M33" s="7">
        <v>53926.26</v>
      </c>
      <c r="N33" s="7">
        <v>13481.57</v>
      </c>
      <c r="O33" s="7">
        <v>7826.61</v>
      </c>
      <c r="P33" s="7">
        <v>0</v>
      </c>
      <c r="Q33" s="7">
        <v>10389.450000000001</v>
      </c>
      <c r="R33" s="7">
        <v>0</v>
      </c>
      <c r="S33" s="7">
        <v>0</v>
      </c>
      <c r="T33" s="7">
        <v>9854.33</v>
      </c>
      <c r="U33" s="7">
        <v>9356.7999999999993</v>
      </c>
      <c r="V33" s="7">
        <v>0</v>
      </c>
      <c r="W33" s="7">
        <v>33606.559999999998</v>
      </c>
    </row>
    <row r="34" spans="1:23" x14ac:dyDescent="0.25">
      <c r="A34" s="12" t="s">
        <v>38</v>
      </c>
      <c r="B34" s="12">
        <v>95</v>
      </c>
      <c r="C34" s="12">
        <v>1</v>
      </c>
      <c r="D34" s="13" t="s">
        <v>428</v>
      </c>
      <c r="E34" s="12">
        <v>23</v>
      </c>
      <c r="F34" s="12">
        <v>135</v>
      </c>
      <c r="G34" s="14" t="s">
        <v>743</v>
      </c>
      <c r="H34" s="7">
        <v>1570.56</v>
      </c>
      <c r="I34" s="7">
        <v>2492.73</v>
      </c>
      <c r="J34" s="7">
        <v>4063.29</v>
      </c>
      <c r="K34" s="7">
        <v>3991.26</v>
      </c>
      <c r="L34" s="7">
        <v>18891.5</v>
      </c>
      <c r="M34" s="7">
        <v>22882.76</v>
      </c>
      <c r="N34" s="7">
        <v>5720.69</v>
      </c>
      <c r="O34" s="7">
        <v>2503.5500000000002</v>
      </c>
      <c r="P34" s="7">
        <v>0</v>
      </c>
      <c r="Q34" s="7">
        <v>2503.5500000000002</v>
      </c>
      <c r="R34" s="7">
        <v>0</v>
      </c>
      <c r="S34" s="7">
        <v>0</v>
      </c>
      <c r="T34" s="7">
        <v>2503.54</v>
      </c>
      <c r="U34" s="7">
        <v>2503.5500000000002</v>
      </c>
      <c r="V34" s="7">
        <v>0</v>
      </c>
      <c r="W34" s="7">
        <v>4063.29</v>
      </c>
    </row>
    <row r="35" spans="1:23" x14ac:dyDescent="0.25">
      <c r="A35" s="12" t="s">
        <v>38</v>
      </c>
      <c r="B35" s="12">
        <v>97</v>
      </c>
      <c r="C35" s="12">
        <v>1</v>
      </c>
      <c r="D35" s="13" t="s">
        <v>429</v>
      </c>
      <c r="E35" s="12">
        <v>51</v>
      </c>
      <c r="F35" s="12">
        <v>260</v>
      </c>
      <c r="G35" s="14" t="s">
        <v>743</v>
      </c>
      <c r="H35" s="7">
        <v>3482.54</v>
      </c>
      <c r="I35" s="7">
        <v>4800.8100000000004</v>
      </c>
      <c r="J35" s="7">
        <v>8283.35</v>
      </c>
      <c r="K35" s="7">
        <v>8073.03</v>
      </c>
      <c r="L35" s="7">
        <v>19368.060000000001</v>
      </c>
      <c r="M35" s="7">
        <v>27441.09</v>
      </c>
      <c r="N35" s="7">
        <v>6860.27</v>
      </c>
      <c r="O35" s="7">
        <v>-6903.96</v>
      </c>
      <c r="P35" s="7">
        <v>0</v>
      </c>
      <c r="Q35" s="7">
        <v>-3802.4</v>
      </c>
      <c r="R35" s="7">
        <v>0</v>
      </c>
      <c r="S35" s="7">
        <v>0</v>
      </c>
      <c r="T35" s="7">
        <v>-2200.2399999999998</v>
      </c>
      <c r="U35" s="7">
        <v>-4302.2</v>
      </c>
      <c r="V35" s="7">
        <v>0</v>
      </c>
      <c r="W35" s="7">
        <v>8283.35</v>
      </c>
    </row>
    <row r="36" spans="1:23" x14ac:dyDescent="0.25">
      <c r="A36" s="12" t="s">
        <v>38</v>
      </c>
      <c r="B36" s="12">
        <v>99</v>
      </c>
      <c r="C36" s="12">
        <v>1</v>
      </c>
      <c r="D36" s="13" t="s">
        <v>430</v>
      </c>
      <c r="E36" s="12">
        <v>75</v>
      </c>
      <c r="F36" s="12">
        <v>119</v>
      </c>
      <c r="G36" s="14" t="s">
        <v>743</v>
      </c>
      <c r="H36" s="7">
        <v>5121.38</v>
      </c>
      <c r="I36" s="7">
        <v>2197.29</v>
      </c>
      <c r="J36" s="7">
        <v>7318.67</v>
      </c>
      <c r="K36" s="7">
        <v>7251.96</v>
      </c>
      <c r="L36" s="7">
        <v>31178.28</v>
      </c>
      <c r="M36" s="7">
        <v>38430.239999999998</v>
      </c>
      <c r="N36" s="7">
        <v>9607.56</v>
      </c>
      <c r="O36" s="7">
        <v>11988.8</v>
      </c>
      <c r="P36" s="7">
        <v>0</v>
      </c>
      <c r="Q36" s="7">
        <v>6762.12</v>
      </c>
      <c r="R36" s="7">
        <v>253.84</v>
      </c>
      <c r="S36" s="7">
        <v>0</v>
      </c>
      <c r="T36" s="7">
        <v>7394.76</v>
      </c>
      <c r="U36" s="7">
        <v>8630.61</v>
      </c>
      <c r="V36" s="7">
        <v>0</v>
      </c>
      <c r="W36" s="7">
        <v>7318.67</v>
      </c>
    </row>
    <row r="37" spans="1:23" x14ac:dyDescent="0.25">
      <c r="A37" s="12" t="s">
        <v>38</v>
      </c>
      <c r="B37" s="12">
        <v>100</v>
      </c>
      <c r="C37" s="12">
        <v>1</v>
      </c>
      <c r="D37" s="13" t="s">
        <v>431</v>
      </c>
      <c r="E37" s="12">
        <v>13</v>
      </c>
      <c r="F37" s="12">
        <v>132</v>
      </c>
      <c r="G37" s="14" t="s">
        <v>743</v>
      </c>
      <c r="H37" s="7">
        <v>887.71</v>
      </c>
      <c r="I37" s="7">
        <v>2437.34</v>
      </c>
      <c r="J37" s="7">
        <v>3325.05</v>
      </c>
      <c r="K37" s="7">
        <v>3465.99</v>
      </c>
      <c r="L37" s="7">
        <v>452.55</v>
      </c>
      <c r="M37" s="7">
        <v>3918.54</v>
      </c>
      <c r="N37" s="7">
        <v>979.64</v>
      </c>
      <c r="O37" s="7">
        <v>241.9</v>
      </c>
      <c r="P37" s="7">
        <v>0</v>
      </c>
      <c r="Q37" s="7">
        <v>441.3</v>
      </c>
      <c r="R37" s="7">
        <v>0</v>
      </c>
      <c r="S37" s="7">
        <v>0</v>
      </c>
      <c r="T37" s="7">
        <v>667.45</v>
      </c>
      <c r="U37" s="7">
        <v>450.22</v>
      </c>
      <c r="V37" s="7">
        <v>0</v>
      </c>
      <c r="W37" s="7">
        <v>3325.05</v>
      </c>
    </row>
    <row r="38" spans="1:23" x14ac:dyDescent="0.25">
      <c r="A38" s="12" t="s">
        <v>38</v>
      </c>
      <c r="B38" s="12">
        <v>108</v>
      </c>
      <c r="C38" s="12">
        <v>1</v>
      </c>
      <c r="D38" s="13" t="s">
        <v>432</v>
      </c>
      <c r="E38" s="12">
        <v>98</v>
      </c>
      <c r="F38" s="12">
        <v>202</v>
      </c>
      <c r="G38" s="14" t="s">
        <v>743</v>
      </c>
      <c r="H38" s="7">
        <v>6691.94</v>
      </c>
      <c r="I38" s="7">
        <v>3729.86</v>
      </c>
      <c r="J38" s="7">
        <v>10421.799999999999</v>
      </c>
      <c r="K38" s="7">
        <v>11202.28</v>
      </c>
      <c r="L38" s="7">
        <v>20367</v>
      </c>
      <c r="M38" s="7">
        <v>31569.279999999999</v>
      </c>
      <c r="N38" s="7">
        <v>7892.32</v>
      </c>
      <c r="O38" s="7">
        <v>2594.58</v>
      </c>
      <c r="P38" s="7">
        <v>0</v>
      </c>
      <c r="Q38" s="7">
        <v>5448</v>
      </c>
      <c r="R38" s="7">
        <v>0</v>
      </c>
      <c r="S38" s="7">
        <v>0</v>
      </c>
      <c r="T38" s="7">
        <v>9888.2000000000007</v>
      </c>
      <c r="U38" s="7">
        <v>5976.93</v>
      </c>
      <c r="V38" s="7">
        <v>0</v>
      </c>
      <c r="W38" s="7">
        <v>10421.799999999999</v>
      </c>
    </row>
    <row r="39" spans="1:23" x14ac:dyDescent="0.25">
      <c r="A39" s="12" t="s">
        <v>38</v>
      </c>
      <c r="B39" s="12">
        <v>110</v>
      </c>
      <c r="C39" s="12">
        <v>1</v>
      </c>
      <c r="D39" s="13" t="s">
        <v>433</v>
      </c>
      <c r="E39" s="12">
        <v>334</v>
      </c>
      <c r="F39" s="12">
        <v>325</v>
      </c>
      <c r="G39" s="14" t="s">
        <v>743</v>
      </c>
      <c r="H39" s="7">
        <v>22807.23</v>
      </c>
      <c r="I39" s="7">
        <v>6001.02</v>
      </c>
      <c r="J39" s="7">
        <v>28808.25</v>
      </c>
      <c r="K39" s="7">
        <v>27693.56</v>
      </c>
      <c r="L39" s="7">
        <v>13006.52</v>
      </c>
      <c r="M39" s="7">
        <v>40700.080000000002</v>
      </c>
      <c r="N39" s="7">
        <v>10175.02</v>
      </c>
      <c r="O39" s="7">
        <v>2089.21</v>
      </c>
      <c r="P39" s="7">
        <v>0</v>
      </c>
      <c r="Q39" s="7">
        <v>5394.68</v>
      </c>
      <c r="R39" s="7">
        <v>0</v>
      </c>
      <c r="S39" s="7">
        <v>0</v>
      </c>
      <c r="T39" s="7">
        <v>7409.51</v>
      </c>
      <c r="U39" s="7">
        <v>4964.47</v>
      </c>
      <c r="V39" s="7">
        <v>0</v>
      </c>
      <c r="W39" s="7">
        <v>28808.25</v>
      </c>
    </row>
    <row r="40" spans="1:23" x14ac:dyDescent="0.25">
      <c r="A40" s="12" t="s">
        <v>38</v>
      </c>
      <c r="B40" s="12">
        <v>111</v>
      </c>
      <c r="C40" s="12">
        <v>1</v>
      </c>
      <c r="D40" s="13" t="s">
        <v>434</v>
      </c>
      <c r="E40" s="12">
        <v>153</v>
      </c>
      <c r="F40" s="12">
        <v>237</v>
      </c>
      <c r="G40" s="14" t="s">
        <v>743</v>
      </c>
      <c r="H40" s="7">
        <v>10447.620000000001</v>
      </c>
      <c r="I40" s="7">
        <v>4376.12</v>
      </c>
      <c r="J40" s="7">
        <v>14823.74</v>
      </c>
      <c r="K40" s="7">
        <v>15688.41</v>
      </c>
      <c r="L40" s="7">
        <v>12700</v>
      </c>
      <c r="M40" s="7">
        <v>28388.41</v>
      </c>
      <c r="N40" s="7">
        <v>7097.1</v>
      </c>
      <c r="O40" s="7">
        <v>-2614.4899999999998</v>
      </c>
      <c r="P40" s="7">
        <v>0</v>
      </c>
      <c r="Q40" s="7">
        <v>-4340.08</v>
      </c>
      <c r="R40" s="7">
        <v>0</v>
      </c>
      <c r="S40" s="7">
        <v>0</v>
      </c>
      <c r="T40" s="7">
        <v>20.02</v>
      </c>
      <c r="U40" s="7">
        <v>-2311.52</v>
      </c>
      <c r="V40" s="7">
        <v>0</v>
      </c>
      <c r="W40" s="7">
        <v>14823.74</v>
      </c>
    </row>
    <row r="41" spans="1:23" x14ac:dyDescent="0.25">
      <c r="A41" s="12" t="s">
        <v>38</v>
      </c>
      <c r="B41" s="12">
        <v>112</v>
      </c>
      <c r="C41" s="12">
        <v>1</v>
      </c>
      <c r="D41" s="13" t="s">
        <v>435</v>
      </c>
      <c r="E41" s="12">
        <v>873</v>
      </c>
      <c r="F41" s="12">
        <v>1456</v>
      </c>
      <c r="G41" s="14" t="s">
        <v>743</v>
      </c>
      <c r="H41" s="7">
        <v>59612.92</v>
      </c>
      <c r="I41" s="7">
        <v>26884.55</v>
      </c>
      <c r="J41" s="7">
        <v>86497.47</v>
      </c>
      <c r="K41" s="7">
        <v>89010.36</v>
      </c>
      <c r="L41" s="7">
        <v>43392</v>
      </c>
      <c r="M41" s="7">
        <v>132402.35999999999</v>
      </c>
      <c r="N41" s="7">
        <v>33100.589999999997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86497.47</v>
      </c>
    </row>
    <row r="42" spans="1:23" x14ac:dyDescent="0.25">
      <c r="A42" s="12" t="s">
        <v>38</v>
      </c>
      <c r="B42" s="12">
        <v>113</v>
      </c>
      <c r="C42" s="12">
        <v>1</v>
      </c>
      <c r="D42" s="13" t="s">
        <v>436</v>
      </c>
      <c r="E42" s="12">
        <v>68</v>
      </c>
      <c r="F42" s="12">
        <v>367</v>
      </c>
      <c r="G42" s="14" t="s">
        <v>743</v>
      </c>
      <c r="H42" s="7">
        <v>4643.3900000000003</v>
      </c>
      <c r="I42" s="7">
        <v>6776.53</v>
      </c>
      <c r="J42" s="7">
        <v>11419.92</v>
      </c>
      <c r="K42" s="7">
        <v>11964.34</v>
      </c>
      <c r="L42" s="7">
        <v>3943.25</v>
      </c>
      <c r="M42" s="7">
        <v>15907.59</v>
      </c>
      <c r="N42" s="7">
        <v>3976.9</v>
      </c>
      <c r="O42" s="7">
        <v>2243.59</v>
      </c>
      <c r="P42" s="7">
        <v>0</v>
      </c>
      <c r="Q42" s="7">
        <v>5603.48</v>
      </c>
      <c r="R42" s="7">
        <v>0</v>
      </c>
      <c r="S42" s="7">
        <v>0</v>
      </c>
      <c r="T42" s="7">
        <v>8933.43</v>
      </c>
      <c r="U42" s="7">
        <v>5593.5</v>
      </c>
      <c r="V42" s="7">
        <v>1616.6</v>
      </c>
      <c r="W42" s="7">
        <v>9803.32</v>
      </c>
    </row>
    <row r="43" spans="1:23" x14ac:dyDescent="0.25">
      <c r="A43" s="12" t="s">
        <v>38</v>
      </c>
      <c r="B43" s="12">
        <v>115</v>
      </c>
      <c r="C43" s="12">
        <v>1</v>
      </c>
      <c r="D43" s="13" t="s">
        <v>437</v>
      </c>
      <c r="E43" s="12">
        <v>107</v>
      </c>
      <c r="F43" s="12">
        <v>910</v>
      </c>
      <c r="G43" s="14" t="s">
        <v>743</v>
      </c>
      <c r="H43" s="7">
        <v>7306.51</v>
      </c>
      <c r="I43" s="7">
        <v>16802.84</v>
      </c>
      <c r="J43" s="7">
        <v>24109.35</v>
      </c>
      <c r="K43" s="7">
        <v>21720.44</v>
      </c>
      <c r="L43" s="7">
        <v>0</v>
      </c>
      <c r="M43" s="7">
        <v>21720.44</v>
      </c>
      <c r="N43" s="7">
        <v>5430.11</v>
      </c>
      <c r="O43" s="7">
        <v>613.67999999999995</v>
      </c>
      <c r="P43" s="7">
        <v>0</v>
      </c>
      <c r="Q43" s="7">
        <v>-15786.42</v>
      </c>
      <c r="R43" s="7">
        <v>0</v>
      </c>
      <c r="S43" s="7">
        <v>0</v>
      </c>
      <c r="T43" s="7">
        <v>-16040.45</v>
      </c>
      <c r="U43" s="7">
        <v>-10404.4</v>
      </c>
      <c r="V43" s="7">
        <v>0</v>
      </c>
      <c r="W43" s="7">
        <v>24109.35</v>
      </c>
    </row>
    <row r="44" spans="1:23" x14ac:dyDescent="0.25">
      <c r="A44" s="12" t="s">
        <v>38</v>
      </c>
      <c r="B44" s="12">
        <v>116</v>
      </c>
      <c r="C44" s="12">
        <v>1</v>
      </c>
      <c r="D44" s="13" t="s">
        <v>438</v>
      </c>
      <c r="E44" s="12">
        <v>80</v>
      </c>
      <c r="F44" s="12">
        <v>431</v>
      </c>
      <c r="G44" s="14" t="s">
        <v>743</v>
      </c>
      <c r="H44" s="7">
        <v>5462.81</v>
      </c>
      <c r="I44" s="7">
        <v>7958.27</v>
      </c>
      <c r="J44" s="7">
        <v>13421.08</v>
      </c>
      <c r="K44" s="7">
        <v>13582.65</v>
      </c>
      <c r="L44" s="7">
        <v>35695</v>
      </c>
      <c r="M44" s="7">
        <v>49277.65</v>
      </c>
      <c r="N44" s="7">
        <v>12319.41</v>
      </c>
      <c r="O44" s="7">
        <v>-8431.1</v>
      </c>
      <c r="P44" s="7">
        <v>0</v>
      </c>
      <c r="Q44" s="7">
        <v>-3649.01</v>
      </c>
      <c r="R44" s="7">
        <v>0</v>
      </c>
      <c r="S44" s="7">
        <v>0</v>
      </c>
      <c r="T44" s="7">
        <v>11350.88</v>
      </c>
      <c r="U44" s="7">
        <v>-243.08</v>
      </c>
      <c r="V44" s="7">
        <v>0</v>
      </c>
      <c r="W44" s="7">
        <v>13421.08</v>
      </c>
    </row>
    <row r="45" spans="1:23" x14ac:dyDescent="0.25">
      <c r="A45" s="12" t="s">
        <v>38</v>
      </c>
      <c r="B45" s="12">
        <v>118</v>
      </c>
      <c r="C45" s="12">
        <v>1</v>
      </c>
      <c r="D45" s="13" t="s">
        <v>439</v>
      </c>
      <c r="E45" s="12">
        <v>56</v>
      </c>
      <c r="F45" s="12">
        <v>276</v>
      </c>
      <c r="G45" s="14" t="s">
        <v>743</v>
      </c>
      <c r="H45" s="7">
        <v>3823.97</v>
      </c>
      <c r="I45" s="7">
        <v>5096.25</v>
      </c>
      <c r="J45" s="7">
        <v>8920.2199999999993</v>
      </c>
      <c r="K45" s="7">
        <v>7765.63</v>
      </c>
      <c r="L45" s="7">
        <v>0</v>
      </c>
      <c r="M45" s="7">
        <v>7765.63</v>
      </c>
      <c r="N45" s="7">
        <v>1941.41</v>
      </c>
      <c r="O45" s="7">
        <v>-1362.17</v>
      </c>
      <c r="P45" s="7">
        <v>0</v>
      </c>
      <c r="Q45" s="7">
        <v>-2077.9699999999998</v>
      </c>
      <c r="R45" s="7">
        <v>0</v>
      </c>
      <c r="S45" s="7">
        <v>0</v>
      </c>
      <c r="T45" s="7">
        <v>-2074.65</v>
      </c>
      <c r="U45" s="7">
        <v>-1838.26</v>
      </c>
      <c r="V45" s="7">
        <v>0</v>
      </c>
      <c r="W45" s="7">
        <v>8920.2199999999993</v>
      </c>
    </row>
    <row r="46" spans="1:23" x14ac:dyDescent="0.25">
      <c r="A46" s="12" t="s">
        <v>38</v>
      </c>
      <c r="B46" s="12">
        <v>129</v>
      </c>
      <c r="C46" s="12">
        <v>1</v>
      </c>
      <c r="D46" s="13" t="s">
        <v>440</v>
      </c>
      <c r="E46" s="12">
        <v>100</v>
      </c>
      <c r="F46" s="12">
        <v>539</v>
      </c>
      <c r="G46" s="14" t="s">
        <v>743</v>
      </c>
      <c r="H46" s="7">
        <v>6828.51</v>
      </c>
      <c r="I46" s="7">
        <v>9952.4500000000007</v>
      </c>
      <c r="J46" s="7">
        <v>16780.96</v>
      </c>
      <c r="K46" s="7">
        <v>18762.96</v>
      </c>
      <c r="L46" s="7">
        <v>0</v>
      </c>
      <c r="M46" s="7">
        <v>18762.96</v>
      </c>
      <c r="N46" s="7">
        <v>4690.74</v>
      </c>
      <c r="O46" s="7">
        <v>248.01</v>
      </c>
      <c r="P46" s="7">
        <v>0</v>
      </c>
      <c r="Q46" s="7">
        <v>2223.67</v>
      </c>
      <c r="R46" s="7">
        <v>0</v>
      </c>
      <c r="S46" s="7">
        <v>0</v>
      </c>
      <c r="T46" s="7">
        <v>4247.13</v>
      </c>
      <c r="U46" s="7">
        <v>2239.6</v>
      </c>
      <c r="V46" s="7">
        <v>0</v>
      </c>
      <c r="W46" s="7">
        <v>16780.96</v>
      </c>
    </row>
    <row r="47" spans="1:23" x14ac:dyDescent="0.25">
      <c r="A47" s="12" t="s">
        <v>38</v>
      </c>
      <c r="B47" s="12">
        <v>138</v>
      </c>
      <c r="C47" s="12">
        <v>1</v>
      </c>
      <c r="D47" s="13" t="s">
        <v>441</v>
      </c>
      <c r="E47" s="12">
        <v>320</v>
      </c>
      <c r="F47" s="12">
        <v>1102</v>
      </c>
      <c r="G47" s="14" t="s">
        <v>743</v>
      </c>
      <c r="H47" s="7">
        <v>21851.24</v>
      </c>
      <c r="I47" s="7">
        <v>20348.060000000001</v>
      </c>
      <c r="J47" s="7">
        <v>42199.3</v>
      </c>
      <c r="K47" s="7">
        <v>41114.019999999997</v>
      </c>
      <c r="L47" s="7">
        <v>8934.26</v>
      </c>
      <c r="M47" s="7">
        <v>50048.28</v>
      </c>
      <c r="N47" s="7">
        <v>12512.07</v>
      </c>
      <c r="O47" s="7">
        <v>12370.34</v>
      </c>
      <c r="P47" s="7">
        <v>0</v>
      </c>
      <c r="Q47" s="7">
        <v>12763.41</v>
      </c>
      <c r="R47" s="7">
        <v>885.4</v>
      </c>
      <c r="S47" s="7">
        <v>0</v>
      </c>
      <c r="T47" s="7">
        <v>10420.82</v>
      </c>
      <c r="U47" s="7">
        <v>11556.39</v>
      </c>
      <c r="V47" s="7">
        <v>0</v>
      </c>
      <c r="W47" s="7">
        <v>42199.3</v>
      </c>
    </row>
    <row r="48" spans="1:23" x14ac:dyDescent="0.25">
      <c r="A48" s="12" t="s">
        <v>38</v>
      </c>
      <c r="B48" s="12">
        <v>139</v>
      </c>
      <c r="C48" s="12">
        <v>1</v>
      </c>
      <c r="D48" s="13" t="s">
        <v>442</v>
      </c>
      <c r="E48" s="12">
        <v>86</v>
      </c>
      <c r="F48" s="12">
        <v>280</v>
      </c>
      <c r="G48" s="14" t="s">
        <v>743</v>
      </c>
      <c r="H48" s="7">
        <v>5872.52</v>
      </c>
      <c r="I48" s="7">
        <v>5170.1099999999997</v>
      </c>
      <c r="J48" s="7">
        <v>11042.63</v>
      </c>
      <c r="K48" s="7">
        <v>10958.32</v>
      </c>
      <c r="L48" s="7">
        <v>0</v>
      </c>
      <c r="M48" s="7">
        <v>10958.32</v>
      </c>
      <c r="N48" s="7">
        <v>2739.58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11042.63</v>
      </c>
    </row>
    <row r="49" spans="1:23" x14ac:dyDescent="0.25">
      <c r="A49" s="12" t="s">
        <v>38</v>
      </c>
      <c r="B49" s="12">
        <v>146</v>
      </c>
      <c r="C49" s="12">
        <v>1</v>
      </c>
      <c r="D49" s="13" t="s">
        <v>443</v>
      </c>
      <c r="E49" s="12">
        <v>76</v>
      </c>
      <c r="F49" s="12">
        <v>189</v>
      </c>
      <c r="G49" s="14" t="s">
        <v>743</v>
      </c>
      <c r="H49" s="7">
        <v>5189.67</v>
      </c>
      <c r="I49" s="7">
        <v>3489.82</v>
      </c>
      <c r="J49" s="7">
        <v>8679.49</v>
      </c>
      <c r="K49" s="7">
        <v>8268.51</v>
      </c>
      <c r="L49" s="7">
        <v>44649</v>
      </c>
      <c r="M49" s="7">
        <v>52917.51</v>
      </c>
      <c r="N49" s="7">
        <v>13229.38</v>
      </c>
      <c r="O49" s="7">
        <v>-245.88</v>
      </c>
      <c r="P49" s="7">
        <v>0</v>
      </c>
      <c r="Q49" s="7">
        <v>11473.85</v>
      </c>
      <c r="R49" s="7">
        <v>0</v>
      </c>
      <c r="S49" s="7">
        <v>0</v>
      </c>
      <c r="T49" s="7">
        <v>25558.400000000001</v>
      </c>
      <c r="U49" s="7">
        <v>12262.12</v>
      </c>
      <c r="V49" s="7">
        <v>0</v>
      </c>
      <c r="W49" s="7">
        <v>8679.49</v>
      </c>
    </row>
    <row r="50" spans="1:23" x14ac:dyDescent="0.25">
      <c r="A50" s="12" t="s">
        <v>38</v>
      </c>
      <c r="B50" s="12">
        <v>150</v>
      </c>
      <c r="C50" s="12">
        <v>1</v>
      </c>
      <c r="D50" s="13" t="s">
        <v>444</v>
      </c>
      <c r="E50" s="12">
        <v>54</v>
      </c>
      <c r="F50" s="12">
        <v>144</v>
      </c>
      <c r="G50" s="14" t="s">
        <v>743</v>
      </c>
      <c r="H50" s="7">
        <v>3687.4</v>
      </c>
      <c r="I50" s="7">
        <v>2658.91</v>
      </c>
      <c r="J50" s="7">
        <v>6346.31</v>
      </c>
      <c r="K50" s="7">
        <v>6610.21</v>
      </c>
      <c r="L50" s="7">
        <v>0</v>
      </c>
      <c r="M50" s="7">
        <v>6610.21</v>
      </c>
      <c r="N50" s="7">
        <v>1652.55</v>
      </c>
      <c r="O50" s="7">
        <v>2628.98</v>
      </c>
      <c r="P50" s="7">
        <v>1232.7</v>
      </c>
      <c r="Q50" s="7">
        <v>1506.91</v>
      </c>
      <c r="R50" s="7">
        <v>80.430000000000007</v>
      </c>
      <c r="S50" s="7">
        <v>0</v>
      </c>
      <c r="T50" s="7">
        <v>948.29</v>
      </c>
      <c r="U50" s="7">
        <v>1257.02</v>
      </c>
      <c r="V50" s="7">
        <v>0</v>
      </c>
      <c r="W50" s="7">
        <v>6346.31</v>
      </c>
    </row>
    <row r="51" spans="1:23" x14ac:dyDescent="0.25">
      <c r="A51" s="12" t="s">
        <v>38</v>
      </c>
      <c r="B51" s="12">
        <v>152</v>
      </c>
      <c r="C51" s="12">
        <v>1</v>
      </c>
      <c r="D51" s="13" t="s">
        <v>445</v>
      </c>
      <c r="E51" s="12">
        <v>399</v>
      </c>
      <c r="F51" s="12">
        <v>1795</v>
      </c>
      <c r="G51" s="14" t="s">
        <v>743</v>
      </c>
      <c r="H51" s="7">
        <v>27245.77</v>
      </c>
      <c r="I51" s="7">
        <v>33144.07</v>
      </c>
      <c r="J51" s="7">
        <v>60389.84</v>
      </c>
      <c r="K51" s="7">
        <v>61867.95</v>
      </c>
      <c r="L51" s="7">
        <v>21042.1</v>
      </c>
      <c r="M51" s="7">
        <v>82910.05</v>
      </c>
      <c r="N51" s="7">
        <v>20727.509999999998</v>
      </c>
      <c r="O51" s="7">
        <v>9253.0499999999993</v>
      </c>
      <c r="P51" s="7">
        <v>0</v>
      </c>
      <c r="Q51" s="7">
        <v>20625.599999999999</v>
      </c>
      <c r="R51" s="7">
        <v>0</v>
      </c>
      <c r="S51" s="7">
        <v>0</v>
      </c>
      <c r="T51" s="7">
        <v>25556.31</v>
      </c>
      <c r="U51" s="7">
        <v>18478.32</v>
      </c>
      <c r="V51" s="7">
        <v>0</v>
      </c>
      <c r="W51" s="7">
        <v>60389.84</v>
      </c>
    </row>
    <row r="52" spans="1:23" x14ac:dyDescent="0.25">
      <c r="A52" s="12" t="s">
        <v>38</v>
      </c>
      <c r="B52" s="12">
        <v>162</v>
      </c>
      <c r="C52" s="12">
        <v>1</v>
      </c>
      <c r="D52" s="13" t="s">
        <v>446</v>
      </c>
      <c r="E52" s="12">
        <v>123</v>
      </c>
      <c r="F52" s="12">
        <v>519</v>
      </c>
      <c r="G52" s="14" t="s">
        <v>743</v>
      </c>
      <c r="H52" s="7">
        <v>8399.07</v>
      </c>
      <c r="I52" s="7">
        <v>9583.16</v>
      </c>
      <c r="J52" s="7">
        <v>17982.23</v>
      </c>
      <c r="K52" s="7">
        <v>17033.68</v>
      </c>
      <c r="L52" s="7">
        <v>16877.599999999999</v>
      </c>
      <c r="M52" s="7">
        <v>33911.279999999999</v>
      </c>
      <c r="N52" s="7">
        <v>8477.82</v>
      </c>
      <c r="O52" s="7">
        <v>13217</v>
      </c>
      <c r="P52" s="7">
        <v>0</v>
      </c>
      <c r="Q52" s="7">
        <v>7733.31</v>
      </c>
      <c r="R52" s="7">
        <v>0</v>
      </c>
      <c r="S52" s="7">
        <v>0</v>
      </c>
      <c r="T52" s="7">
        <v>4495.17</v>
      </c>
      <c r="U52" s="7">
        <v>8481.83</v>
      </c>
      <c r="V52" s="7">
        <v>4.01</v>
      </c>
      <c r="W52" s="7">
        <v>17978.22</v>
      </c>
    </row>
    <row r="53" spans="1:23" x14ac:dyDescent="0.25">
      <c r="A53" s="12" t="s">
        <v>38</v>
      </c>
      <c r="B53" s="12">
        <v>166</v>
      </c>
      <c r="C53" s="12">
        <v>1</v>
      </c>
      <c r="D53" s="13" t="s">
        <v>447</v>
      </c>
      <c r="E53" s="12">
        <v>42</v>
      </c>
      <c r="F53" s="12">
        <v>150</v>
      </c>
      <c r="G53" s="14" t="s">
        <v>743</v>
      </c>
      <c r="H53" s="7">
        <v>2867.98</v>
      </c>
      <c r="I53" s="7">
        <v>2769.7</v>
      </c>
      <c r="J53" s="7">
        <v>5637.68</v>
      </c>
      <c r="K53" s="7">
        <v>6194.83</v>
      </c>
      <c r="L53" s="7">
        <v>8084.11</v>
      </c>
      <c r="M53" s="7">
        <v>14278.94</v>
      </c>
      <c r="N53" s="7">
        <v>3569.74</v>
      </c>
      <c r="O53" s="7">
        <v>8109.72</v>
      </c>
      <c r="P53" s="7">
        <v>3466.34</v>
      </c>
      <c r="Q53" s="7">
        <v>3859.57</v>
      </c>
      <c r="R53" s="7">
        <v>2374.08</v>
      </c>
      <c r="S53" s="7">
        <v>0</v>
      </c>
      <c r="T53" s="7">
        <v>7039.6</v>
      </c>
      <c r="U53" s="7">
        <v>4389.49</v>
      </c>
      <c r="V53" s="7">
        <v>819.75</v>
      </c>
      <c r="W53" s="7">
        <v>4817.93</v>
      </c>
    </row>
    <row r="54" spans="1:23" x14ac:dyDescent="0.25">
      <c r="A54" s="12" t="s">
        <v>38</v>
      </c>
      <c r="B54" s="12">
        <v>173</v>
      </c>
      <c r="C54" s="12">
        <v>1</v>
      </c>
      <c r="D54" s="13" t="s">
        <v>448</v>
      </c>
      <c r="E54" s="12">
        <v>31</v>
      </c>
      <c r="F54" s="12">
        <v>230</v>
      </c>
      <c r="G54" s="14" t="s">
        <v>743</v>
      </c>
      <c r="H54" s="7">
        <v>2116.84</v>
      </c>
      <c r="I54" s="7">
        <v>4246.87</v>
      </c>
      <c r="J54" s="7">
        <v>6363.71</v>
      </c>
      <c r="K54" s="7">
        <v>7522.26</v>
      </c>
      <c r="L54" s="7">
        <v>0</v>
      </c>
      <c r="M54" s="7">
        <v>7522.26</v>
      </c>
      <c r="N54" s="7">
        <v>1880.57</v>
      </c>
      <c r="O54" s="7">
        <v>1500.19</v>
      </c>
      <c r="P54" s="7">
        <v>0</v>
      </c>
      <c r="Q54" s="7">
        <v>1440.32</v>
      </c>
      <c r="R54" s="7">
        <v>0</v>
      </c>
      <c r="S54" s="7">
        <v>0</v>
      </c>
      <c r="T54" s="7">
        <v>1449.03</v>
      </c>
      <c r="U54" s="7">
        <v>1463.18</v>
      </c>
      <c r="V54" s="7">
        <v>0</v>
      </c>
      <c r="W54" s="7">
        <v>6363.71</v>
      </c>
    </row>
    <row r="55" spans="1:23" x14ac:dyDescent="0.25">
      <c r="A55" s="12" t="s">
        <v>38</v>
      </c>
      <c r="B55" s="12">
        <v>177</v>
      </c>
      <c r="C55" s="12">
        <v>1</v>
      </c>
      <c r="D55" s="13" t="s">
        <v>449</v>
      </c>
      <c r="E55" s="12">
        <v>83</v>
      </c>
      <c r="F55" s="12">
        <v>355</v>
      </c>
      <c r="G55" s="14" t="s">
        <v>743</v>
      </c>
      <c r="H55" s="7">
        <v>5667.67</v>
      </c>
      <c r="I55" s="7">
        <v>6554.96</v>
      </c>
      <c r="J55" s="7">
        <v>12222.63</v>
      </c>
      <c r="K55" s="7">
        <v>11894.91</v>
      </c>
      <c r="L55" s="7">
        <v>3967</v>
      </c>
      <c r="M55" s="7">
        <v>15861.91</v>
      </c>
      <c r="N55" s="7">
        <v>3965.48</v>
      </c>
      <c r="O55" s="7">
        <v>4431.21</v>
      </c>
      <c r="P55" s="7">
        <v>137.34</v>
      </c>
      <c r="Q55" s="7">
        <v>3079.86</v>
      </c>
      <c r="R55" s="7">
        <v>0</v>
      </c>
      <c r="S55" s="7">
        <v>0</v>
      </c>
      <c r="T55" s="7">
        <v>1925.83</v>
      </c>
      <c r="U55" s="7">
        <v>3099.85</v>
      </c>
      <c r="V55" s="7">
        <v>0</v>
      </c>
      <c r="W55" s="7">
        <v>12222.63</v>
      </c>
    </row>
    <row r="56" spans="1:23" x14ac:dyDescent="0.25">
      <c r="A56" s="12" t="s">
        <v>38</v>
      </c>
      <c r="B56" s="12">
        <v>181</v>
      </c>
      <c r="C56" s="12">
        <v>1</v>
      </c>
      <c r="D56" s="13" t="s">
        <v>450</v>
      </c>
      <c r="E56" s="12">
        <v>702</v>
      </c>
      <c r="F56" s="12">
        <v>2932</v>
      </c>
      <c r="G56" s="14" t="s">
        <v>743</v>
      </c>
      <c r="H56" s="7">
        <v>47936.160000000003</v>
      </c>
      <c r="I56" s="7">
        <v>54138.39</v>
      </c>
      <c r="J56" s="7">
        <v>102074.55</v>
      </c>
      <c r="K56" s="7">
        <v>99746.29</v>
      </c>
      <c r="L56" s="7">
        <v>127623.02</v>
      </c>
      <c r="M56" s="7">
        <v>227369.31</v>
      </c>
      <c r="N56" s="7">
        <v>56842.33</v>
      </c>
      <c r="O56" s="7">
        <v>38566.5</v>
      </c>
      <c r="P56" s="7">
        <v>0</v>
      </c>
      <c r="Q56" s="7">
        <v>21797.96</v>
      </c>
      <c r="R56" s="7">
        <v>0</v>
      </c>
      <c r="S56" s="7">
        <v>0</v>
      </c>
      <c r="T56" s="7">
        <v>-2135.83</v>
      </c>
      <c r="U56" s="7">
        <v>19409.54</v>
      </c>
      <c r="V56" s="7">
        <v>0</v>
      </c>
      <c r="W56" s="7">
        <v>102074.55</v>
      </c>
    </row>
    <row r="57" spans="1:23" x14ac:dyDescent="0.25">
      <c r="A57" s="12" t="s">
        <v>38</v>
      </c>
      <c r="B57" s="12">
        <v>182</v>
      </c>
      <c r="C57" s="12">
        <v>1</v>
      </c>
      <c r="D57" s="13" t="s">
        <v>451</v>
      </c>
      <c r="E57" s="12">
        <v>90</v>
      </c>
      <c r="F57" s="12">
        <v>578</v>
      </c>
      <c r="G57" s="14" t="s">
        <v>743</v>
      </c>
      <c r="H57" s="7">
        <v>6145.66</v>
      </c>
      <c r="I57" s="7">
        <v>10672.57</v>
      </c>
      <c r="J57" s="7">
        <v>16818.23</v>
      </c>
      <c r="K57" s="7">
        <v>18382.54</v>
      </c>
      <c r="L57" s="7">
        <v>0</v>
      </c>
      <c r="M57" s="7">
        <v>18382.54</v>
      </c>
      <c r="N57" s="7">
        <v>4595.6400000000003</v>
      </c>
      <c r="O57" s="7">
        <v>2489.5500000000002</v>
      </c>
      <c r="P57" s="7">
        <v>0</v>
      </c>
      <c r="Q57" s="7">
        <v>2480.44</v>
      </c>
      <c r="R57" s="7">
        <v>0</v>
      </c>
      <c r="S57" s="7">
        <v>0</v>
      </c>
      <c r="T57" s="7">
        <v>1110.04</v>
      </c>
      <c r="U57" s="7">
        <v>2026.68</v>
      </c>
      <c r="V57" s="7">
        <v>0</v>
      </c>
      <c r="W57" s="7">
        <v>16818.23</v>
      </c>
    </row>
    <row r="58" spans="1:23" x14ac:dyDescent="0.25">
      <c r="A58" s="12" t="s">
        <v>38</v>
      </c>
      <c r="B58" s="12">
        <v>186</v>
      </c>
      <c r="C58" s="12">
        <v>1</v>
      </c>
      <c r="D58" s="13" t="s">
        <v>452</v>
      </c>
      <c r="E58" s="12">
        <v>131</v>
      </c>
      <c r="F58" s="12">
        <v>524</v>
      </c>
      <c r="G58" s="14" t="s">
        <v>743</v>
      </c>
      <c r="H58" s="7">
        <v>8945.35</v>
      </c>
      <c r="I58" s="7">
        <v>9675.48</v>
      </c>
      <c r="J58" s="7">
        <v>18620.830000000002</v>
      </c>
      <c r="K58" s="7">
        <v>18031.8</v>
      </c>
      <c r="L58" s="7">
        <v>34762.25</v>
      </c>
      <c r="M58" s="7">
        <v>52794.05</v>
      </c>
      <c r="N58" s="7">
        <v>13198.51</v>
      </c>
      <c r="O58" s="7">
        <v>16875.93</v>
      </c>
      <c r="P58" s="7">
        <v>5020.38</v>
      </c>
      <c r="Q58" s="7">
        <v>154.13999999999999</v>
      </c>
      <c r="R58" s="7">
        <v>0</v>
      </c>
      <c r="S58" s="7">
        <v>0</v>
      </c>
      <c r="T58" s="7">
        <v>-6102.56</v>
      </c>
      <c r="U58" s="7">
        <v>1969.04</v>
      </c>
      <c r="V58" s="7">
        <v>0</v>
      </c>
      <c r="W58" s="7">
        <v>18620.830000000002</v>
      </c>
    </row>
    <row r="59" spans="1:23" x14ac:dyDescent="0.25">
      <c r="A59" s="12" t="s">
        <v>38</v>
      </c>
      <c r="B59" s="12">
        <v>191</v>
      </c>
      <c r="C59" s="12">
        <v>1</v>
      </c>
      <c r="D59" s="13" t="s">
        <v>453</v>
      </c>
      <c r="E59" s="12">
        <v>785</v>
      </c>
      <c r="F59" s="12">
        <v>3490</v>
      </c>
      <c r="G59" s="14" t="s">
        <v>743</v>
      </c>
      <c r="H59" s="7">
        <v>53603.82</v>
      </c>
      <c r="I59" s="7">
        <v>64441.67</v>
      </c>
      <c r="J59" s="7">
        <v>118045.49</v>
      </c>
      <c r="K59" s="7">
        <v>114711.92</v>
      </c>
      <c r="L59" s="7">
        <v>650</v>
      </c>
      <c r="M59" s="7">
        <v>115361.92</v>
      </c>
      <c r="N59" s="7">
        <v>28840.48</v>
      </c>
      <c r="O59" s="7">
        <v>16404.5</v>
      </c>
      <c r="P59" s="7">
        <v>0</v>
      </c>
      <c r="Q59" s="7">
        <v>18643.73</v>
      </c>
      <c r="R59" s="7">
        <v>0</v>
      </c>
      <c r="S59" s="7">
        <v>0</v>
      </c>
      <c r="T59" s="7">
        <v>13619.02</v>
      </c>
      <c r="U59" s="7">
        <v>16222.42</v>
      </c>
      <c r="V59" s="7">
        <v>0</v>
      </c>
      <c r="W59" s="7">
        <v>118045.49</v>
      </c>
    </row>
    <row r="60" spans="1:23" x14ac:dyDescent="0.25">
      <c r="A60" s="12" t="s">
        <v>38</v>
      </c>
      <c r="B60" s="12">
        <v>192</v>
      </c>
      <c r="C60" s="12">
        <v>1</v>
      </c>
      <c r="D60" s="13" t="s">
        <v>454</v>
      </c>
      <c r="E60" s="12">
        <v>614</v>
      </c>
      <c r="F60" s="12">
        <v>1103</v>
      </c>
      <c r="G60" s="14" t="s">
        <v>743</v>
      </c>
      <c r="H60" s="7">
        <v>41927.07</v>
      </c>
      <c r="I60" s="7">
        <v>20366.52</v>
      </c>
      <c r="J60" s="7">
        <v>62293.59</v>
      </c>
      <c r="K60" s="7">
        <v>55798.67</v>
      </c>
      <c r="L60" s="7">
        <v>1075</v>
      </c>
      <c r="M60" s="7">
        <v>56873.67</v>
      </c>
      <c r="N60" s="7">
        <v>14218.42</v>
      </c>
      <c r="O60" s="7">
        <v>22220.39</v>
      </c>
      <c r="P60" s="7">
        <v>2072.79</v>
      </c>
      <c r="Q60" s="7">
        <v>21144.99</v>
      </c>
      <c r="R60" s="7">
        <v>6190.74</v>
      </c>
      <c r="S60" s="7">
        <v>0</v>
      </c>
      <c r="T60" s="7">
        <v>6900.14</v>
      </c>
      <c r="U60" s="7">
        <v>14000.66</v>
      </c>
      <c r="V60" s="7">
        <v>0</v>
      </c>
      <c r="W60" s="7">
        <v>62293.59</v>
      </c>
    </row>
    <row r="61" spans="1:23" x14ac:dyDescent="0.25">
      <c r="A61" s="12" t="s">
        <v>38</v>
      </c>
      <c r="B61" s="12">
        <v>194</v>
      </c>
      <c r="C61" s="12">
        <v>1</v>
      </c>
      <c r="D61" s="13" t="s">
        <v>455</v>
      </c>
      <c r="E61" s="12">
        <v>891</v>
      </c>
      <c r="F61" s="12">
        <v>1228</v>
      </c>
      <c r="G61" s="14" t="s">
        <v>743</v>
      </c>
      <c r="H61" s="7">
        <v>60842.05</v>
      </c>
      <c r="I61" s="7">
        <v>22674.6</v>
      </c>
      <c r="J61" s="7">
        <v>83516.649999999994</v>
      </c>
      <c r="K61" s="7">
        <v>82237.83</v>
      </c>
      <c r="L61" s="7">
        <v>0</v>
      </c>
      <c r="M61" s="7">
        <v>82237.83</v>
      </c>
      <c r="N61" s="7">
        <v>20559.46</v>
      </c>
      <c r="O61" s="7">
        <v>12095</v>
      </c>
      <c r="P61" s="7">
        <v>0</v>
      </c>
      <c r="Q61" s="7">
        <v>12245</v>
      </c>
      <c r="R61" s="7">
        <v>0</v>
      </c>
      <c r="S61" s="7">
        <v>0</v>
      </c>
      <c r="T61" s="7">
        <v>11272</v>
      </c>
      <c r="U61" s="7">
        <v>11870.67</v>
      </c>
      <c r="V61" s="7">
        <v>0</v>
      </c>
      <c r="W61" s="7">
        <v>83516.649999999994</v>
      </c>
    </row>
    <row r="62" spans="1:23" x14ac:dyDescent="0.25">
      <c r="A62" s="12" t="s">
        <v>38</v>
      </c>
      <c r="B62" s="12">
        <v>195</v>
      </c>
      <c r="C62" s="12">
        <v>1</v>
      </c>
      <c r="D62" s="13" t="s">
        <v>456</v>
      </c>
      <c r="E62" s="12">
        <v>34</v>
      </c>
      <c r="F62" s="12">
        <v>96</v>
      </c>
      <c r="G62" s="14" t="s">
        <v>743</v>
      </c>
      <c r="H62" s="7">
        <v>2321.69</v>
      </c>
      <c r="I62" s="7">
        <v>1772.61</v>
      </c>
      <c r="J62" s="7">
        <v>4094.3</v>
      </c>
      <c r="K62" s="7">
        <v>2994.22</v>
      </c>
      <c r="L62" s="7">
        <v>0</v>
      </c>
      <c r="M62" s="7">
        <v>2994.22</v>
      </c>
      <c r="N62" s="7">
        <v>748.56</v>
      </c>
      <c r="O62" s="7">
        <v>3669.86</v>
      </c>
      <c r="P62" s="7">
        <v>856.2</v>
      </c>
      <c r="Q62" s="7">
        <v>5931.81</v>
      </c>
      <c r="R62" s="7">
        <v>2477.5100000000002</v>
      </c>
      <c r="S62" s="7">
        <v>0</v>
      </c>
      <c r="T62" s="7">
        <v>-7936.35</v>
      </c>
      <c r="U62" s="7">
        <v>-556.13</v>
      </c>
      <c r="V62" s="7">
        <v>0</v>
      </c>
      <c r="W62" s="7">
        <v>4094.3</v>
      </c>
    </row>
    <row r="63" spans="1:23" x14ac:dyDescent="0.25">
      <c r="A63" s="12" t="s">
        <v>38</v>
      </c>
      <c r="B63" s="12">
        <v>196</v>
      </c>
      <c r="C63" s="12">
        <v>1</v>
      </c>
      <c r="D63" s="13" t="s">
        <v>457</v>
      </c>
      <c r="E63" s="12">
        <v>2147</v>
      </c>
      <c r="F63" s="12">
        <v>5015</v>
      </c>
      <c r="G63" s="14" t="s">
        <v>743</v>
      </c>
      <c r="H63" s="7">
        <v>146608.17000000001</v>
      </c>
      <c r="I63" s="7">
        <v>92600.28</v>
      </c>
      <c r="J63" s="7">
        <v>239208.45</v>
      </c>
      <c r="K63" s="7">
        <v>244312.45</v>
      </c>
      <c r="L63" s="7">
        <v>156503.82</v>
      </c>
      <c r="M63" s="7">
        <v>400816.27</v>
      </c>
      <c r="N63" s="7">
        <v>100204.07</v>
      </c>
      <c r="O63" s="7">
        <v>84376.5</v>
      </c>
      <c r="P63" s="7">
        <v>0</v>
      </c>
      <c r="Q63" s="7">
        <v>62688.28</v>
      </c>
      <c r="R63" s="7">
        <v>0</v>
      </c>
      <c r="S63" s="7">
        <v>0</v>
      </c>
      <c r="T63" s="7">
        <v>73041.67</v>
      </c>
      <c r="U63" s="7">
        <v>73368.820000000007</v>
      </c>
      <c r="V63" s="7">
        <v>0</v>
      </c>
      <c r="W63" s="7">
        <v>239208.45</v>
      </c>
    </row>
    <row r="64" spans="1:23" x14ac:dyDescent="0.25">
      <c r="A64" s="12" t="s">
        <v>38</v>
      </c>
      <c r="B64" s="12">
        <v>197</v>
      </c>
      <c r="C64" s="12">
        <v>1</v>
      </c>
      <c r="D64" s="13" t="s">
        <v>458</v>
      </c>
      <c r="E64" s="12">
        <v>614</v>
      </c>
      <c r="F64" s="12">
        <v>1685</v>
      </c>
      <c r="G64" s="14" t="s">
        <v>743</v>
      </c>
      <c r="H64" s="7">
        <v>41927.07</v>
      </c>
      <c r="I64" s="7">
        <v>31112.959999999999</v>
      </c>
      <c r="J64" s="7">
        <v>73040.03</v>
      </c>
      <c r="K64" s="7">
        <v>73059.570000000007</v>
      </c>
      <c r="L64" s="7">
        <v>6486.5</v>
      </c>
      <c r="M64" s="7">
        <v>79546.070000000007</v>
      </c>
      <c r="N64" s="7">
        <v>19886.52</v>
      </c>
      <c r="O64" s="7">
        <v>14041</v>
      </c>
      <c r="P64" s="7">
        <v>0</v>
      </c>
      <c r="Q64" s="7">
        <v>17175</v>
      </c>
      <c r="R64" s="7">
        <v>0</v>
      </c>
      <c r="S64" s="7">
        <v>0</v>
      </c>
      <c r="T64" s="7">
        <v>17762</v>
      </c>
      <c r="U64" s="7">
        <v>16326</v>
      </c>
      <c r="V64" s="7">
        <v>0</v>
      </c>
      <c r="W64" s="7">
        <v>73040.03</v>
      </c>
    </row>
    <row r="65" spans="1:23" x14ac:dyDescent="0.25">
      <c r="A65" s="12" t="s">
        <v>38</v>
      </c>
      <c r="B65" s="12">
        <v>199</v>
      </c>
      <c r="C65" s="12">
        <v>1</v>
      </c>
      <c r="D65" s="13" t="s">
        <v>459</v>
      </c>
      <c r="E65" s="12">
        <v>360</v>
      </c>
      <c r="F65" s="12">
        <v>1191</v>
      </c>
      <c r="G65" s="14" t="s">
        <v>743</v>
      </c>
      <c r="H65" s="7">
        <v>24582.65</v>
      </c>
      <c r="I65" s="7">
        <v>21991.41</v>
      </c>
      <c r="J65" s="7">
        <v>46574.06</v>
      </c>
      <c r="K65" s="7">
        <v>44241.24</v>
      </c>
      <c r="L65" s="7">
        <v>0</v>
      </c>
      <c r="M65" s="7">
        <v>44241.24</v>
      </c>
      <c r="N65" s="7">
        <v>11060.31</v>
      </c>
      <c r="O65" s="7">
        <v>-4362.2299999999996</v>
      </c>
      <c r="P65" s="7">
        <v>0</v>
      </c>
      <c r="Q65" s="7">
        <v>-6052.74</v>
      </c>
      <c r="R65" s="7">
        <v>0</v>
      </c>
      <c r="S65" s="7">
        <v>0</v>
      </c>
      <c r="T65" s="7">
        <v>2413.02</v>
      </c>
      <c r="U65" s="7">
        <v>-2667.32</v>
      </c>
      <c r="V65" s="7">
        <v>0</v>
      </c>
      <c r="W65" s="7">
        <v>46574.06</v>
      </c>
    </row>
    <row r="66" spans="1:23" x14ac:dyDescent="0.25">
      <c r="A66" s="12" t="s">
        <v>38</v>
      </c>
      <c r="B66" s="12">
        <v>200</v>
      </c>
      <c r="C66" s="12">
        <v>1</v>
      </c>
      <c r="D66" s="13" t="s">
        <v>460</v>
      </c>
      <c r="E66" s="12">
        <v>408</v>
      </c>
      <c r="F66" s="12">
        <v>965</v>
      </c>
      <c r="G66" s="14" t="s">
        <v>743</v>
      </c>
      <c r="H66" s="7">
        <v>27860.33</v>
      </c>
      <c r="I66" s="7">
        <v>17818.400000000001</v>
      </c>
      <c r="J66" s="7">
        <v>45678.73</v>
      </c>
      <c r="K66" s="7">
        <v>46351.42</v>
      </c>
      <c r="L66" s="7">
        <v>25063</v>
      </c>
      <c r="M66" s="7">
        <v>71414.42</v>
      </c>
      <c r="N66" s="7">
        <v>17853.61</v>
      </c>
      <c r="O66" s="7">
        <v>14061.96</v>
      </c>
      <c r="P66" s="7">
        <v>0</v>
      </c>
      <c r="Q66" s="7">
        <v>8321.01</v>
      </c>
      <c r="R66" s="7">
        <v>0</v>
      </c>
      <c r="S66" s="7">
        <v>0</v>
      </c>
      <c r="T66" s="7">
        <v>9209.36</v>
      </c>
      <c r="U66" s="7">
        <v>10530.78</v>
      </c>
      <c r="V66" s="7">
        <v>0</v>
      </c>
      <c r="W66" s="7">
        <v>45678.73</v>
      </c>
    </row>
    <row r="67" spans="1:23" x14ac:dyDescent="0.25">
      <c r="A67" s="12" t="s">
        <v>38</v>
      </c>
      <c r="B67" s="12">
        <v>203</v>
      </c>
      <c r="C67" s="12">
        <v>1</v>
      </c>
      <c r="D67" s="13" t="s">
        <v>461</v>
      </c>
      <c r="E67" s="12">
        <v>68</v>
      </c>
      <c r="F67" s="12">
        <v>237</v>
      </c>
      <c r="G67" s="14" t="s">
        <v>743</v>
      </c>
      <c r="H67" s="7">
        <v>4643.3900000000003</v>
      </c>
      <c r="I67" s="7">
        <v>4376.12</v>
      </c>
      <c r="J67" s="7">
        <v>9019.51</v>
      </c>
      <c r="K67" s="7">
        <v>8412.4</v>
      </c>
      <c r="L67" s="7">
        <v>0</v>
      </c>
      <c r="M67" s="7">
        <v>8412.4</v>
      </c>
      <c r="N67" s="7">
        <v>2103.1</v>
      </c>
      <c r="O67" s="7">
        <v>6020.66</v>
      </c>
      <c r="P67" s="7">
        <v>1026.25</v>
      </c>
      <c r="Q67" s="7">
        <v>0</v>
      </c>
      <c r="R67" s="7">
        <v>55.56</v>
      </c>
      <c r="S67" s="7">
        <v>0</v>
      </c>
      <c r="T67" s="7">
        <v>1177.58</v>
      </c>
      <c r="U67" s="7">
        <v>2038.81</v>
      </c>
      <c r="V67" s="7">
        <v>0</v>
      </c>
      <c r="W67" s="7">
        <v>9019.51</v>
      </c>
    </row>
    <row r="68" spans="1:23" x14ac:dyDescent="0.25">
      <c r="A68" s="12" t="s">
        <v>38</v>
      </c>
      <c r="B68" s="12">
        <v>204</v>
      </c>
      <c r="C68" s="12">
        <v>1</v>
      </c>
      <c r="D68" s="13" t="s">
        <v>462</v>
      </c>
      <c r="E68" s="12">
        <v>163</v>
      </c>
      <c r="F68" s="12">
        <v>324</v>
      </c>
      <c r="G68" s="14" t="s">
        <v>743</v>
      </c>
      <c r="H68" s="7">
        <v>11130.48</v>
      </c>
      <c r="I68" s="7">
        <v>5982.55</v>
      </c>
      <c r="J68" s="7">
        <v>17113.03</v>
      </c>
      <c r="K68" s="7">
        <v>16610.03</v>
      </c>
      <c r="L68" s="7">
        <v>81137.600000000006</v>
      </c>
      <c r="M68" s="7">
        <v>97747.63</v>
      </c>
      <c r="N68" s="7">
        <v>24436.91</v>
      </c>
      <c r="O68" s="7">
        <v>7578.57</v>
      </c>
      <c r="P68" s="7">
        <v>0</v>
      </c>
      <c r="Q68" s="7">
        <v>36304.07</v>
      </c>
      <c r="R68" s="7">
        <v>0</v>
      </c>
      <c r="S68" s="7">
        <v>0</v>
      </c>
      <c r="T68" s="7">
        <v>28503.16</v>
      </c>
      <c r="U68" s="7">
        <v>24128.6</v>
      </c>
      <c r="V68" s="7">
        <v>0</v>
      </c>
      <c r="W68" s="7">
        <v>17113.03</v>
      </c>
    </row>
    <row r="69" spans="1:23" x14ac:dyDescent="0.25">
      <c r="A69" s="12" t="s">
        <v>38</v>
      </c>
      <c r="B69" s="12">
        <v>206</v>
      </c>
      <c r="C69" s="12">
        <v>1</v>
      </c>
      <c r="D69" s="13" t="s">
        <v>463</v>
      </c>
      <c r="E69" s="12">
        <v>337</v>
      </c>
      <c r="F69" s="12">
        <v>1174</v>
      </c>
      <c r="G69" s="14" t="s">
        <v>743</v>
      </c>
      <c r="H69" s="7">
        <v>23012.09</v>
      </c>
      <c r="I69" s="7">
        <v>21677.51</v>
      </c>
      <c r="J69" s="7">
        <v>44689.599999999999</v>
      </c>
      <c r="K69" s="7">
        <v>44206.16</v>
      </c>
      <c r="L69" s="7">
        <v>137463.06</v>
      </c>
      <c r="M69" s="7">
        <v>181669.22</v>
      </c>
      <c r="N69" s="7">
        <v>45417.31</v>
      </c>
      <c r="O69" s="7">
        <v>9925.68</v>
      </c>
      <c r="P69" s="7">
        <v>0</v>
      </c>
      <c r="Q69" s="7">
        <v>3965.57</v>
      </c>
      <c r="R69" s="7">
        <v>0</v>
      </c>
      <c r="S69" s="7">
        <v>0</v>
      </c>
      <c r="T69" s="7">
        <v>15813.79</v>
      </c>
      <c r="U69" s="7">
        <v>9901.68</v>
      </c>
      <c r="V69" s="7">
        <v>0</v>
      </c>
      <c r="W69" s="7">
        <v>44689.599999999999</v>
      </c>
    </row>
    <row r="70" spans="1:23" x14ac:dyDescent="0.25">
      <c r="A70" s="12" t="s">
        <v>38</v>
      </c>
      <c r="B70" s="12">
        <v>207</v>
      </c>
      <c r="C70" s="12">
        <v>1</v>
      </c>
      <c r="D70" s="13" t="s">
        <v>464</v>
      </c>
      <c r="E70" s="12">
        <v>22</v>
      </c>
      <c r="F70" s="12">
        <v>93</v>
      </c>
      <c r="G70" s="14" t="s">
        <v>743</v>
      </c>
      <c r="H70" s="7">
        <v>1502.27</v>
      </c>
      <c r="I70" s="7">
        <v>1717.21</v>
      </c>
      <c r="J70" s="7">
        <v>3219.48</v>
      </c>
      <c r="K70" s="7">
        <v>3025.71</v>
      </c>
      <c r="L70" s="7">
        <v>9010</v>
      </c>
      <c r="M70" s="7">
        <v>12035.71</v>
      </c>
      <c r="N70" s="7">
        <v>3008.93</v>
      </c>
      <c r="O70" s="7">
        <v>1679.87</v>
      </c>
      <c r="P70" s="7">
        <v>0</v>
      </c>
      <c r="Q70" s="7">
        <v>-974.31</v>
      </c>
      <c r="R70" s="7">
        <v>0</v>
      </c>
      <c r="S70" s="7">
        <v>0</v>
      </c>
      <c r="T70" s="7">
        <v>5140.16</v>
      </c>
      <c r="U70" s="7">
        <v>1948.57</v>
      </c>
      <c r="V70" s="7">
        <v>0</v>
      </c>
      <c r="W70" s="7">
        <v>3219.48</v>
      </c>
    </row>
    <row r="71" spans="1:23" x14ac:dyDescent="0.25">
      <c r="A71" s="12" t="s">
        <v>38</v>
      </c>
      <c r="B71" s="12">
        <v>208</v>
      </c>
      <c r="C71" s="12">
        <v>1</v>
      </c>
      <c r="D71" s="13" t="s">
        <v>465</v>
      </c>
      <c r="E71" s="12">
        <v>20</v>
      </c>
      <c r="F71" s="12">
        <v>54</v>
      </c>
      <c r="G71" s="14" t="s">
        <v>743</v>
      </c>
      <c r="H71" s="7">
        <v>1365.7</v>
      </c>
      <c r="I71" s="7">
        <v>997.09</v>
      </c>
      <c r="J71" s="7">
        <v>2362.79</v>
      </c>
      <c r="K71" s="7">
        <v>3065.69</v>
      </c>
      <c r="L71" s="7">
        <v>4122.6000000000004</v>
      </c>
      <c r="M71" s="7">
        <v>7188.29</v>
      </c>
      <c r="N71" s="7">
        <v>1797.07</v>
      </c>
      <c r="O71" s="7">
        <v>584.61</v>
      </c>
      <c r="P71" s="7">
        <v>0</v>
      </c>
      <c r="Q71" s="7">
        <v>629.73</v>
      </c>
      <c r="R71" s="7">
        <v>0</v>
      </c>
      <c r="S71" s="7">
        <v>0</v>
      </c>
      <c r="T71" s="7">
        <v>503.47</v>
      </c>
      <c r="U71" s="7">
        <v>572.6</v>
      </c>
      <c r="V71" s="7">
        <v>0</v>
      </c>
      <c r="W71" s="7">
        <v>2362.79</v>
      </c>
    </row>
    <row r="72" spans="1:23" x14ac:dyDescent="0.25">
      <c r="A72" s="12" t="s">
        <v>38</v>
      </c>
      <c r="B72" s="12">
        <v>213</v>
      </c>
      <c r="C72" s="12">
        <v>1</v>
      </c>
      <c r="D72" s="13" t="s">
        <v>466</v>
      </c>
      <c r="E72" s="12">
        <v>72</v>
      </c>
      <c r="F72" s="12">
        <v>350</v>
      </c>
      <c r="G72" s="14" t="s">
        <v>743</v>
      </c>
      <c r="H72" s="7">
        <v>4916.53</v>
      </c>
      <c r="I72" s="7">
        <v>6462.63</v>
      </c>
      <c r="J72" s="7">
        <v>11379.16</v>
      </c>
      <c r="K72" s="7">
        <v>8745.7800000000007</v>
      </c>
      <c r="L72" s="7">
        <v>28001</v>
      </c>
      <c r="M72" s="7">
        <v>36746.78</v>
      </c>
      <c r="N72" s="7">
        <v>9186.7000000000007</v>
      </c>
      <c r="O72" s="7">
        <v>-962.96</v>
      </c>
      <c r="P72" s="7">
        <v>0</v>
      </c>
      <c r="Q72" s="7">
        <v>-14435.88</v>
      </c>
      <c r="R72" s="7">
        <v>0</v>
      </c>
      <c r="S72" s="7">
        <v>0</v>
      </c>
      <c r="T72" s="7">
        <v>-40026.42</v>
      </c>
      <c r="U72" s="7">
        <v>-18475.09</v>
      </c>
      <c r="V72" s="7">
        <v>0</v>
      </c>
      <c r="W72" s="7">
        <v>11379.16</v>
      </c>
    </row>
    <row r="73" spans="1:23" x14ac:dyDescent="0.25">
      <c r="A73" s="12" t="s">
        <v>38</v>
      </c>
      <c r="B73" s="12">
        <v>227</v>
      </c>
      <c r="C73" s="12">
        <v>1</v>
      </c>
      <c r="D73" s="13" t="s">
        <v>467</v>
      </c>
      <c r="E73" s="12">
        <v>80</v>
      </c>
      <c r="F73" s="12">
        <v>179</v>
      </c>
      <c r="G73" s="14" t="s">
        <v>743</v>
      </c>
      <c r="H73" s="7">
        <v>5462.81</v>
      </c>
      <c r="I73" s="7">
        <v>3305.17</v>
      </c>
      <c r="J73" s="7">
        <v>8767.98</v>
      </c>
      <c r="K73" s="7">
        <v>7992.1</v>
      </c>
      <c r="L73" s="7">
        <v>113641.65</v>
      </c>
      <c r="M73" s="7">
        <v>121633.75</v>
      </c>
      <c r="N73" s="7">
        <v>30408.44</v>
      </c>
      <c r="O73" s="7">
        <v>15382.58</v>
      </c>
      <c r="P73" s="7">
        <v>0</v>
      </c>
      <c r="Q73" s="7">
        <v>12105.1</v>
      </c>
      <c r="R73" s="7">
        <v>0</v>
      </c>
      <c r="S73" s="7">
        <v>0</v>
      </c>
      <c r="T73" s="7">
        <v>4731.83</v>
      </c>
      <c r="U73" s="7">
        <v>10739.84</v>
      </c>
      <c r="V73" s="7">
        <v>0</v>
      </c>
      <c r="W73" s="7">
        <v>8767.98</v>
      </c>
    </row>
    <row r="74" spans="1:23" x14ac:dyDescent="0.25">
      <c r="A74" s="12" t="s">
        <v>38</v>
      </c>
      <c r="B74" s="12">
        <v>229</v>
      </c>
      <c r="C74" s="12">
        <v>1</v>
      </c>
      <c r="D74" s="13" t="s">
        <v>468</v>
      </c>
      <c r="E74" s="12">
        <v>30</v>
      </c>
      <c r="F74" s="12">
        <v>130</v>
      </c>
      <c r="G74" s="14" t="s">
        <v>743</v>
      </c>
      <c r="H74" s="7">
        <v>2048.5500000000002</v>
      </c>
      <c r="I74" s="7">
        <v>2400.41</v>
      </c>
      <c r="J74" s="7">
        <v>4448.96</v>
      </c>
      <c r="K74" s="7">
        <v>4906.91</v>
      </c>
      <c r="L74" s="7">
        <v>0</v>
      </c>
      <c r="M74" s="7">
        <v>4906.91</v>
      </c>
      <c r="N74" s="7">
        <v>1226.73</v>
      </c>
      <c r="O74" s="7">
        <v>-2287.6</v>
      </c>
      <c r="P74" s="7">
        <v>0</v>
      </c>
      <c r="Q74" s="7">
        <v>-1648.79</v>
      </c>
      <c r="R74" s="7">
        <v>0</v>
      </c>
      <c r="S74" s="7">
        <v>0</v>
      </c>
      <c r="T74" s="7">
        <v>-768.49</v>
      </c>
      <c r="U74" s="7">
        <v>-1568.29</v>
      </c>
      <c r="V74" s="7">
        <v>0</v>
      </c>
      <c r="W74" s="7">
        <v>4448.96</v>
      </c>
    </row>
    <row r="75" spans="1:23" x14ac:dyDescent="0.25">
      <c r="A75" s="12" t="s">
        <v>38</v>
      </c>
      <c r="B75" s="12">
        <v>238</v>
      </c>
      <c r="C75" s="12">
        <v>1</v>
      </c>
      <c r="D75" s="13" t="s">
        <v>469</v>
      </c>
      <c r="E75" s="12">
        <v>37</v>
      </c>
      <c r="F75" s="12">
        <v>103</v>
      </c>
      <c r="G75" s="14" t="s">
        <v>743</v>
      </c>
      <c r="H75" s="7">
        <v>2526.5500000000002</v>
      </c>
      <c r="I75" s="7">
        <v>1901.86</v>
      </c>
      <c r="J75" s="7">
        <v>4428.41</v>
      </c>
      <c r="K75" s="7">
        <v>4526.59</v>
      </c>
      <c r="L75" s="7">
        <v>19652</v>
      </c>
      <c r="M75" s="7">
        <v>24178.59</v>
      </c>
      <c r="N75" s="7">
        <v>6044.65</v>
      </c>
      <c r="O75" s="7">
        <v>-541.64</v>
      </c>
      <c r="P75" s="7">
        <v>0</v>
      </c>
      <c r="Q75" s="7">
        <v>3959.49</v>
      </c>
      <c r="R75" s="7">
        <v>0</v>
      </c>
      <c r="S75" s="7">
        <v>0</v>
      </c>
      <c r="T75" s="7">
        <v>2627.98</v>
      </c>
      <c r="U75" s="7">
        <v>2015.28</v>
      </c>
      <c r="V75" s="7">
        <v>0</v>
      </c>
      <c r="W75" s="7">
        <v>4428.41</v>
      </c>
    </row>
    <row r="76" spans="1:23" x14ac:dyDescent="0.25">
      <c r="A76" s="12" t="s">
        <v>38</v>
      </c>
      <c r="B76" s="12">
        <v>239</v>
      </c>
      <c r="C76" s="12">
        <v>1</v>
      </c>
      <c r="D76" s="13" t="s">
        <v>470</v>
      </c>
      <c r="E76" s="12">
        <v>48</v>
      </c>
      <c r="F76" s="12">
        <v>308</v>
      </c>
      <c r="G76" s="14" t="s">
        <v>743</v>
      </c>
      <c r="H76" s="7">
        <v>3277.69</v>
      </c>
      <c r="I76" s="7">
        <v>5687.12</v>
      </c>
      <c r="J76" s="7">
        <v>8964.81</v>
      </c>
      <c r="K76" s="7">
        <v>8207.4599999999991</v>
      </c>
      <c r="L76" s="7">
        <v>58881.22</v>
      </c>
      <c r="M76" s="7">
        <v>67088.679999999993</v>
      </c>
      <c r="N76" s="7">
        <v>16772.169999999998</v>
      </c>
      <c r="O76" s="7">
        <v>6567.28</v>
      </c>
      <c r="P76" s="7">
        <v>413.77</v>
      </c>
      <c r="Q76" s="7">
        <v>5933.26</v>
      </c>
      <c r="R76" s="7">
        <v>2049.89</v>
      </c>
      <c r="S76" s="7">
        <v>0</v>
      </c>
      <c r="T76" s="7">
        <v>-9180.4</v>
      </c>
      <c r="U76" s="7">
        <v>285.49</v>
      </c>
      <c r="V76" s="7">
        <v>0</v>
      </c>
      <c r="W76" s="7">
        <v>8964.81</v>
      </c>
    </row>
    <row r="77" spans="1:23" x14ac:dyDescent="0.25">
      <c r="A77" s="12" t="s">
        <v>38</v>
      </c>
      <c r="B77" s="12">
        <v>241</v>
      </c>
      <c r="C77" s="12">
        <v>1</v>
      </c>
      <c r="D77" s="13" t="s">
        <v>471</v>
      </c>
      <c r="E77" s="12">
        <v>317</v>
      </c>
      <c r="F77" s="12">
        <v>1488</v>
      </c>
      <c r="G77" s="14" t="s">
        <v>743</v>
      </c>
      <c r="H77" s="7">
        <v>21646.39</v>
      </c>
      <c r="I77" s="7">
        <v>27475.42</v>
      </c>
      <c r="J77" s="7">
        <v>49121.81</v>
      </c>
      <c r="K77" s="7">
        <v>49281.38</v>
      </c>
      <c r="L77" s="7">
        <v>30588</v>
      </c>
      <c r="M77" s="7">
        <v>79869.38</v>
      </c>
      <c r="N77" s="7">
        <v>19967.349999999999</v>
      </c>
      <c r="O77" s="7">
        <v>18166.97</v>
      </c>
      <c r="P77" s="7">
        <v>0</v>
      </c>
      <c r="Q77" s="7">
        <v>19786.87</v>
      </c>
      <c r="R77" s="7">
        <v>0</v>
      </c>
      <c r="S77" s="7">
        <v>0</v>
      </c>
      <c r="T77" s="7">
        <v>20593.150000000001</v>
      </c>
      <c r="U77" s="7">
        <v>19515.66</v>
      </c>
      <c r="V77" s="7">
        <v>0</v>
      </c>
      <c r="W77" s="7">
        <v>49121.81</v>
      </c>
    </row>
    <row r="78" spans="1:23" x14ac:dyDescent="0.25">
      <c r="A78" s="12" t="s">
        <v>38</v>
      </c>
      <c r="B78" s="12">
        <v>242</v>
      </c>
      <c r="C78" s="12">
        <v>1</v>
      </c>
      <c r="D78" s="13" t="s">
        <v>472</v>
      </c>
      <c r="E78" s="12">
        <v>16</v>
      </c>
      <c r="F78" s="12">
        <v>172</v>
      </c>
      <c r="G78" s="14" t="s">
        <v>743</v>
      </c>
      <c r="H78" s="7">
        <v>1092.56</v>
      </c>
      <c r="I78" s="7">
        <v>3175.92</v>
      </c>
      <c r="J78" s="7">
        <v>4268.4799999999996</v>
      </c>
      <c r="K78" s="7">
        <v>3806.32</v>
      </c>
      <c r="L78" s="7">
        <v>42876.36</v>
      </c>
      <c r="M78" s="7">
        <v>46682.68</v>
      </c>
      <c r="N78" s="7">
        <v>11670.67</v>
      </c>
      <c r="O78" s="7">
        <v>-22542.23</v>
      </c>
      <c r="P78" s="7">
        <v>0</v>
      </c>
      <c r="Q78" s="7">
        <v>-32425.73</v>
      </c>
      <c r="R78" s="7">
        <v>0</v>
      </c>
      <c r="S78" s="7">
        <v>0</v>
      </c>
      <c r="T78" s="7">
        <v>0</v>
      </c>
      <c r="U78" s="7">
        <v>-18322.650000000001</v>
      </c>
      <c r="V78" s="7">
        <v>0</v>
      </c>
      <c r="W78" s="7">
        <v>4268.4799999999996</v>
      </c>
    </row>
    <row r="79" spans="1:23" x14ac:dyDescent="0.25">
      <c r="A79" s="12" t="s">
        <v>38</v>
      </c>
      <c r="B79" s="12">
        <v>252</v>
      </c>
      <c r="C79" s="12">
        <v>1</v>
      </c>
      <c r="D79" s="13" t="s">
        <v>473</v>
      </c>
      <c r="E79" s="12">
        <v>92</v>
      </c>
      <c r="F79" s="12">
        <v>265</v>
      </c>
      <c r="G79" s="14" t="s">
        <v>743</v>
      </c>
      <c r="H79" s="7">
        <v>6282.23</v>
      </c>
      <c r="I79" s="7">
        <v>4893.1400000000003</v>
      </c>
      <c r="J79" s="7">
        <v>11175.37</v>
      </c>
      <c r="K79" s="7">
        <v>10612.01</v>
      </c>
      <c r="L79" s="7">
        <v>26</v>
      </c>
      <c r="M79" s="7">
        <v>10638.01</v>
      </c>
      <c r="N79" s="7">
        <v>2659.5</v>
      </c>
      <c r="O79" s="7">
        <v>2169.12</v>
      </c>
      <c r="P79" s="7">
        <v>0</v>
      </c>
      <c r="Q79" s="7">
        <v>2569.15</v>
      </c>
      <c r="R79" s="7">
        <v>62.24</v>
      </c>
      <c r="S79" s="7">
        <v>0</v>
      </c>
      <c r="T79" s="7">
        <v>-2788.72</v>
      </c>
      <c r="U79" s="7">
        <v>629.1</v>
      </c>
      <c r="V79" s="7">
        <v>0</v>
      </c>
      <c r="W79" s="7">
        <v>11175.37</v>
      </c>
    </row>
    <row r="80" spans="1:23" x14ac:dyDescent="0.25">
      <c r="A80" s="12" t="s">
        <v>38</v>
      </c>
      <c r="B80" s="12">
        <v>253</v>
      </c>
      <c r="C80" s="12">
        <v>1</v>
      </c>
      <c r="D80" s="13" t="s">
        <v>474</v>
      </c>
      <c r="E80" s="12">
        <v>54</v>
      </c>
      <c r="F80" s="12">
        <v>142</v>
      </c>
      <c r="G80" s="14" t="s">
        <v>743</v>
      </c>
      <c r="H80" s="7">
        <v>3687.4</v>
      </c>
      <c r="I80" s="7">
        <v>2621.98</v>
      </c>
      <c r="J80" s="7">
        <v>6309.38</v>
      </c>
      <c r="K80" s="7">
        <v>7069.53</v>
      </c>
      <c r="L80" s="7">
        <v>20270.189999999999</v>
      </c>
      <c r="M80" s="7">
        <v>27339.72</v>
      </c>
      <c r="N80" s="7">
        <v>6834.93</v>
      </c>
      <c r="O80" s="7">
        <v>2566.5700000000002</v>
      </c>
      <c r="P80" s="7">
        <v>0</v>
      </c>
      <c r="Q80" s="7">
        <v>1802.53</v>
      </c>
      <c r="R80" s="7">
        <v>0</v>
      </c>
      <c r="S80" s="7">
        <v>0</v>
      </c>
      <c r="T80" s="7">
        <v>2288.0700000000002</v>
      </c>
      <c r="U80" s="7">
        <v>2219.06</v>
      </c>
      <c r="V80" s="7">
        <v>0</v>
      </c>
      <c r="W80" s="7">
        <v>6309.38</v>
      </c>
    </row>
    <row r="81" spans="1:23" x14ac:dyDescent="0.25">
      <c r="A81" s="12" t="s">
        <v>38</v>
      </c>
      <c r="B81" s="12">
        <v>255</v>
      </c>
      <c r="C81" s="12">
        <v>1</v>
      </c>
      <c r="D81" s="13" t="s">
        <v>475</v>
      </c>
      <c r="E81" s="12">
        <v>124</v>
      </c>
      <c r="F81" s="12">
        <v>232</v>
      </c>
      <c r="G81" s="14" t="s">
        <v>743</v>
      </c>
      <c r="H81" s="7">
        <v>8467.36</v>
      </c>
      <c r="I81" s="7">
        <v>4283.8</v>
      </c>
      <c r="J81" s="7">
        <v>12751.16</v>
      </c>
      <c r="K81" s="7">
        <v>13401.89</v>
      </c>
      <c r="L81" s="7">
        <v>40232.800000000003</v>
      </c>
      <c r="M81" s="7">
        <v>53634.69</v>
      </c>
      <c r="N81" s="7">
        <v>13408.67</v>
      </c>
      <c r="O81" s="7">
        <v>1579.18</v>
      </c>
      <c r="P81" s="7">
        <v>409.33</v>
      </c>
      <c r="Q81" s="7">
        <v>4850.92</v>
      </c>
      <c r="R81" s="7">
        <v>0</v>
      </c>
      <c r="S81" s="7">
        <v>0</v>
      </c>
      <c r="T81" s="7">
        <v>8450.85</v>
      </c>
      <c r="U81" s="7">
        <v>4823.87</v>
      </c>
      <c r="V81" s="7">
        <v>0</v>
      </c>
      <c r="W81" s="7">
        <v>12751.16</v>
      </c>
    </row>
    <row r="82" spans="1:23" x14ac:dyDescent="0.25">
      <c r="A82" s="12" t="s">
        <v>38</v>
      </c>
      <c r="B82" s="12">
        <v>256</v>
      </c>
      <c r="C82" s="12">
        <v>1</v>
      </c>
      <c r="D82" s="13" t="s">
        <v>476</v>
      </c>
      <c r="E82" s="12">
        <v>257</v>
      </c>
      <c r="F82" s="12">
        <v>807</v>
      </c>
      <c r="G82" s="14" t="s">
        <v>743</v>
      </c>
      <c r="H82" s="7">
        <v>17549.28</v>
      </c>
      <c r="I82" s="7">
        <v>14900.98</v>
      </c>
      <c r="J82" s="7">
        <v>32450.26</v>
      </c>
      <c r="K82" s="7">
        <v>31445.66</v>
      </c>
      <c r="L82" s="7">
        <v>19674</v>
      </c>
      <c r="M82" s="7">
        <v>51119.66</v>
      </c>
      <c r="N82" s="7">
        <v>12779.92</v>
      </c>
      <c r="O82" s="7">
        <v>3625.78</v>
      </c>
      <c r="P82" s="7">
        <v>0</v>
      </c>
      <c r="Q82" s="7">
        <v>6816.4</v>
      </c>
      <c r="R82" s="7">
        <v>0</v>
      </c>
      <c r="S82" s="7">
        <v>0</v>
      </c>
      <c r="T82" s="7">
        <v>-19412.87</v>
      </c>
      <c r="U82" s="7">
        <v>-2990.23</v>
      </c>
      <c r="V82" s="7">
        <v>0</v>
      </c>
      <c r="W82" s="7">
        <v>32450.26</v>
      </c>
    </row>
    <row r="83" spans="1:23" x14ac:dyDescent="0.25">
      <c r="A83" s="12" t="s">
        <v>38</v>
      </c>
      <c r="B83" s="12">
        <v>261</v>
      </c>
      <c r="C83" s="12">
        <v>1</v>
      </c>
      <c r="D83" s="13" t="s">
        <v>477</v>
      </c>
      <c r="E83" s="12">
        <v>21</v>
      </c>
      <c r="F83" s="12">
        <v>89</v>
      </c>
      <c r="G83" s="14" t="s">
        <v>743</v>
      </c>
      <c r="H83" s="7">
        <v>1433.99</v>
      </c>
      <c r="I83" s="7">
        <v>1643.35</v>
      </c>
      <c r="J83" s="7">
        <v>3077.34</v>
      </c>
      <c r="K83" s="7">
        <v>2997.22</v>
      </c>
      <c r="L83" s="7">
        <v>0</v>
      </c>
      <c r="M83" s="7">
        <v>2997.22</v>
      </c>
      <c r="N83" s="7">
        <v>749.31</v>
      </c>
      <c r="O83" s="7">
        <v>-3408.02</v>
      </c>
      <c r="P83" s="7">
        <v>0</v>
      </c>
      <c r="Q83" s="7">
        <v>-6308.82</v>
      </c>
      <c r="R83" s="7">
        <v>0</v>
      </c>
      <c r="S83" s="7">
        <v>0</v>
      </c>
      <c r="T83" s="7">
        <v>-10015.290000000001</v>
      </c>
      <c r="U83" s="7">
        <v>-6577.38</v>
      </c>
      <c r="V83" s="7">
        <v>0</v>
      </c>
      <c r="W83" s="7">
        <v>3077.34</v>
      </c>
    </row>
    <row r="84" spans="1:23" x14ac:dyDescent="0.25">
      <c r="A84" s="12" t="s">
        <v>38</v>
      </c>
      <c r="B84" s="12">
        <v>264</v>
      </c>
      <c r="C84" s="12">
        <v>1</v>
      </c>
      <c r="D84" s="13" t="s">
        <v>478</v>
      </c>
      <c r="E84" s="12">
        <v>9</v>
      </c>
      <c r="F84" s="12">
        <v>50</v>
      </c>
      <c r="G84" s="14" t="s">
        <v>743</v>
      </c>
      <c r="H84" s="7">
        <v>614.57000000000005</v>
      </c>
      <c r="I84" s="7">
        <v>923.23</v>
      </c>
      <c r="J84" s="7">
        <v>1537.8</v>
      </c>
      <c r="K84" s="7">
        <v>1904.17</v>
      </c>
      <c r="L84" s="7">
        <v>4568</v>
      </c>
      <c r="M84" s="7">
        <v>6472.17</v>
      </c>
      <c r="N84" s="7">
        <v>1618.04</v>
      </c>
      <c r="O84" s="7">
        <v>1846.11</v>
      </c>
      <c r="P84" s="7">
        <v>0</v>
      </c>
      <c r="Q84" s="7">
        <v>1728.82</v>
      </c>
      <c r="R84" s="7">
        <v>0</v>
      </c>
      <c r="S84" s="7">
        <v>0</v>
      </c>
      <c r="T84" s="7">
        <v>-8080.13</v>
      </c>
      <c r="U84" s="7">
        <v>-1501.73</v>
      </c>
      <c r="V84" s="7">
        <v>0</v>
      </c>
      <c r="W84" s="7">
        <v>1537.8</v>
      </c>
    </row>
    <row r="85" spans="1:23" x14ac:dyDescent="0.25">
      <c r="A85" s="12" t="s">
        <v>38</v>
      </c>
      <c r="B85" s="12">
        <v>270</v>
      </c>
      <c r="C85" s="12">
        <v>1</v>
      </c>
      <c r="D85" s="13" t="s">
        <v>479</v>
      </c>
      <c r="E85" s="12">
        <v>574</v>
      </c>
      <c r="F85" s="12">
        <v>2302</v>
      </c>
      <c r="G85" s="14" t="s">
        <v>743</v>
      </c>
      <c r="H85" s="7">
        <v>39195.660000000003</v>
      </c>
      <c r="I85" s="7">
        <v>42505.65</v>
      </c>
      <c r="J85" s="7">
        <v>81701.31</v>
      </c>
      <c r="K85" s="7">
        <v>87696.84</v>
      </c>
      <c r="L85" s="7">
        <v>0</v>
      </c>
      <c r="M85" s="7">
        <v>87696.84</v>
      </c>
      <c r="N85" s="7">
        <v>21924.21</v>
      </c>
      <c r="O85" s="7">
        <v>4951.78</v>
      </c>
      <c r="P85" s="7">
        <v>0</v>
      </c>
      <c r="Q85" s="7">
        <v>28508</v>
      </c>
      <c r="R85" s="7">
        <v>0</v>
      </c>
      <c r="S85" s="7">
        <v>0</v>
      </c>
      <c r="T85" s="7">
        <v>17408.45</v>
      </c>
      <c r="U85" s="7">
        <v>16956.080000000002</v>
      </c>
      <c r="V85" s="7">
        <v>0</v>
      </c>
      <c r="W85" s="7">
        <v>81701.31</v>
      </c>
    </row>
    <row r="86" spans="1:23" x14ac:dyDescent="0.25">
      <c r="A86" s="12" t="s">
        <v>38</v>
      </c>
      <c r="B86" s="12">
        <v>271</v>
      </c>
      <c r="C86" s="12">
        <v>1</v>
      </c>
      <c r="D86" s="13" t="s">
        <v>480</v>
      </c>
      <c r="E86" s="12">
        <v>929</v>
      </c>
      <c r="F86" s="12">
        <v>3690</v>
      </c>
      <c r="G86" s="14" t="s">
        <v>743</v>
      </c>
      <c r="H86" s="7">
        <v>63436.88</v>
      </c>
      <c r="I86" s="7">
        <v>68134.600000000006</v>
      </c>
      <c r="J86" s="7">
        <v>131571.48000000001</v>
      </c>
      <c r="K86" s="7">
        <v>133211.65</v>
      </c>
      <c r="L86" s="7">
        <v>464422.39</v>
      </c>
      <c r="M86" s="7">
        <v>597634.04</v>
      </c>
      <c r="N86" s="7">
        <v>149408.51</v>
      </c>
      <c r="O86" s="7">
        <v>8702.5400000000009</v>
      </c>
      <c r="P86" s="7">
        <v>0</v>
      </c>
      <c r="Q86" s="7">
        <v>59930.239999999998</v>
      </c>
      <c r="R86" s="7">
        <v>0</v>
      </c>
      <c r="S86" s="7">
        <v>0</v>
      </c>
      <c r="T86" s="7">
        <v>932.6</v>
      </c>
      <c r="U86" s="7">
        <v>23188.46</v>
      </c>
      <c r="V86" s="7">
        <v>0</v>
      </c>
      <c r="W86" s="7">
        <v>131571.48000000001</v>
      </c>
    </row>
    <row r="87" spans="1:23" x14ac:dyDescent="0.25">
      <c r="A87" s="12" t="s">
        <v>38</v>
      </c>
      <c r="B87" s="12">
        <v>272</v>
      </c>
      <c r="C87" s="12">
        <v>1</v>
      </c>
      <c r="D87" s="13" t="s">
        <v>481</v>
      </c>
      <c r="E87" s="12">
        <v>907</v>
      </c>
      <c r="F87" s="12">
        <v>1550</v>
      </c>
      <c r="G87" s="14" t="s">
        <v>743</v>
      </c>
      <c r="H87" s="7">
        <v>61934.61</v>
      </c>
      <c r="I87" s="7">
        <v>28620.23</v>
      </c>
      <c r="J87" s="7">
        <v>90554.84</v>
      </c>
      <c r="K87" s="7">
        <v>91564.31</v>
      </c>
      <c r="L87" s="7">
        <v>218586.41</v>
      </c>
      <c r="M87" s="7">
        <v>310150.71999999997</v>
      </c>
      <c r="N87" s="7">
        <v>77537.679999999993</v>
      </c>
      <c r="O87" s="7">
        <v>4339.7700000000004</v>
      </c>
      <c r="P87" s="7">
        <v>0</v>
      </c>
      <c r="Q87" s="7">
        <v>-25455.77</v>
      </c>
      <c r="R87" s="7">
        <v>0</v>
      </c>
      <c r="S87" s="7">
        <v>0</v>
      </c>
      <c r="T87" s="7">
        <v>39201.050000000003</v>
      </c>
      <c r="U87" s="7">
        <v>6028.35</v>
      </c>
      <c r="V87" s="7">
        <v>0</v>
      </c>
      <c r="W87" s="7">
        <v>90554.84</v>
      </c>
    </row>
    <row r="88" spans="1:23" x14ac:dyDescent="0.25">
      <c r="A88" s="12" t="s">
        <v>38</v>
      </c>
      <c r="B88" s="12">
        <v>273</v>
      </c>
      <c r="C88" s="12">
        <v>1</v>
      </c>
      <c r="D88" s="13" t="s">
        <v>482</v>
      </c>
      <c r="E88" s="12">
        <v>586</v>
      </c>
      <c r="F88" s="12">
        <v>617</v>
      </c>
      <c r="G88" s="14" t="s">
        <v>743</v>
      </c>
      <c r="H88" s="7">
        <v>40015.08</v>
      </c>
      <c r="I88" s="7">
        <v>11392.7</v>
      </c>
      <c r="J88" s="7">
        <v>51407.78</v>
      </c>
      <c r="K88" s="7">
        <v>49318.59</v>
      </c>
      <c r="L88" s="7">
        <v>4153</v>
      </c>
      <c r="M88" s="7">
        <v>53471.59</v>
      </c>
      <c r="N88" s="7">
        <v>13367.9</v>
      </c>
      <c r="O88" s="7">
        <v>6005.83</v>
      </c>
      <c r="P88" s="7">
        <v>0</v>
      </c>
      <c r="Q88" s="7">
        <v>6619.42</v>
      </c>
      <c r="R88" s="7">
        <v>0</v>
      </c>
      <c r="S88" s="7">
        <v>0</v>
      </c>
      <c r="T88" s="7">
        <v>1930.91</v>
      </c>
      <c r="U88" s="7">
        <v>4852.05</v>
      </c>
      <c r="V88" s="7">
        <v>0</v>
      </c>
      <c r="W88" s="7">
        <v>51407.78</v>
      </c>
    </row>
    <row r="89" spans="1:23" x14ac:dyDescent="0.25">
      <c r="A89" s="12" t="s">
        <v>38</v>
      </c>
      <c r="B89" s="12">
        <v>276</v>
      </c>
      <c r="C89" s="12">
        <v>1</v>
      </c>
      <c r="D89" s="13" t="s">
        <v>483</v>
      </c>
      <c r="E89" s="12">
        <v>513</v>
      </c>
      <c r="F89" s="12">
        <v>720</v>
      </c>
      <c r="G89" s="14" t="s">
        <v>743</v>
      </c>
      <c r="H89" s="7">
        <v>35030.269999999997</v>
      </c>
      <c r="I89" s="7">
        <v>13294.56</v>
      </c>
      <c r="J89" s="7">
        <v>48324.83</v>
      </c>
      <c r="K89" s="7">
        <v>50922.89</v>
      </c>
      <c r="L89" s="7">
        <v>0</v>
      </c>
      <c r="M89" s="7">
        <v>50922.89</v>
      </c>
      <c r="N89" s="7">
        <v>12730.72</v>
      </c>
      <c r="O89" s="7">
        <v>13129.67</v>
      </c>
      <c r="P89" s="7">
        <v>0</v>
      </c>
      <c r="Q89" s="7">
        <v>13772.14</v>
      </c>
      <c r="R89" s="7">
        <v>0</v>
      </c>
      <c r="S89" s="7">
        <v>0</v>
      </c>
      <c r="T89" s="7">
        <v>12598.42</v>
      </c>
      <c r="U89" s="7">
        <v>13166.74</v>
      </c>
      <c r="V89" s="7">
        <v>436.02</v>
      </c>
      <c r="W89" s="7">
        <v>47888.81</v>
      </c>
    </row>
    <row r="90" spans="1:23" x14ac:dyDescent="0.25">
      <c r="A90" s="12" t="s">
        <v>38</v>
      </c>
      <c r="B90" s="12">
        <v>277</v>
      </c>
      <c r="C90" s="12">
        <v>1</v>
      </c>
      <c r="D90" s="13" t="s">
        <v>484</v>
      </c>
      <c r="E90" s="12">
        <v>317</v>
      </c>
      <c r="F90" s="12">
        <v>390</v>
      </c>
      <c r="G90" s="14" t="s">
        <v>743</v>
      </c>
      <c r="H90" s="7">
        <v>21646.39</v>
      </c>
      <c r="I90" s="7">
        <v>7201.22</v>
      </c>
      <c r="J90" s="7">
        <v>28847.61</v>
      </c>
      <c r="K90" s="7">
        <v>27000.82</v>
      </c>
      <c r="L90" s="7">
        <v>311968.7</v>
      </c>
      <c r="M90" s="7">
        <v>338969.52</v>
      </c>
      <c r="N90" s="7">
        <v>84742.38</v>
      </c>
      <c r="O90" s="7">
        <v>75106.7</v>
      </c>
      <c r="P90" s="7">
        <v>0</v>
      </c>
      <c r="Q90" s="7">
        <v>83133.5</v>
      </c>
      <c r="R90" s="7">
        <v>0</v>
      </c>
      <c r="S90" s="7">
        <v>0</v>
      </c>
      <c r="T90" s="7">
        <v>86568.67</v>
      </c>
      <c r="U90" s="7">
        <v>81602.960000000006</v>
      </c>
      <c r="V90" s="7">
        <v>0</v>
      </c>
      <c r="W90" s="7">
        <v>28847.61</v>
      </c>
    </row>
    <row r="91" spans="1:23" x14ac:dyDescent="0.25">
      <c r="A91" s="12" t="s">
        <v>38</v>
      </c>
      <c r="B91" s="12">
        <v>278</v>
      </c>
      <c r="C91" s="12">
        <v>1</v>
      </c>
      <c r="D91" s="13" t="s">
        <v>485</v>
      </c>
      <c r="E91" s="12">
        <v>167</v>
      </c>
      <c r="F91" s="12">
        <v>221</v>
      </c>
      <c r="G91" s="14" t="s">
        <v>743</v>
      </c>
      <c r="H91" s="7">
        <v>11403.62</v>
      </c>
      <c r="I91" s="7">
        <v>4080.69</v>
      </c>
      <c r="J91" s="7">
        <v>15484.31</v>
      </c>
      <c r="K91" s="7">
        <v>15760.95</v>
      </c>
      <c r="L91" s="7">
        <v>86615.31</v>
      </c>
      <c r="M91" s="7">
        <v>102376.26</v>
      </c>
      <c r="N91" s="7">
        <v>25594.07</v>
      </c>
      <c r="O91" s="7">
        <v>15809.22</v>
      </c>
      <c r="P91" s="7">
        <v>0</v>
      </c>
      <c r="Q91" s="7">
        <v>8537.11</v>
      </c>
      <c r="R91" s="7">
        <v>0</v>
      </c>
      <c r="S91" s="7">
        <v>0</v>
      </c>
      <c r="T91" s="7">
        <v>13030.82</v>
      </c>
      <c r="U91" s="7">
        <v>12459.05</v>
      </c>
      <c r="V91" s="7">
        <v>0</v>
      </c>
      <c r="W91" s="7">
        <v>15484.31</v>
      </c>
    </row>
    <row r="92" spans="1:23" x14ac:dyDescent="0.25">
      <c r="A92" s="12" t="s">
        <v>38</v>
      </c>
      <c r="B92" s="12">
        <v>279</v>
      </c>
      <c r="C92" s="12">
        <v>1</v>
      </c>
      <c r="D92" s="13" t="s">
        <v>486</v>
      </c>
      <c r="E92" s="12">
        <v>1955</v>
      </c>
      <c r="F92" s="12">
        <v>7376</v>
      </c>
      <c r="G92" s="14" t="s">
        <v>743</v>
      </c>
      <c r="H92" s="7">
        <v>133497.42000000001</v>
      </c>
      <c r="I92" s="7">
        <v>136195.35</v>
      </c>
      <c r="J92" s="7">
        <v>269692.77</v>
      </c>
      <c r="K92" s="7">
        <v>269132.61</v>
      </c>
      <c r="L92" s="7">
        <v>42451.35</v>
      </c>
      <c r="M92" s="7">
        <v>311583.96000000002</v>
      </c>
      <c r="N92" s="7">
        <v>77895.990000000005</v>
      </c>
      <c r="O92" s="7">
        <v>56126.61</v>
      </c>
      <c r="P92" s="7">
        <v>0</v>
      </c>
      <c r="Q92" s="7">
        <v>71411.42</v>
      </c>
      <c r="R92" s="7">
        <v>0</v>
      </c>
      <c r="S92" s="7">
        <v>0</v>
      </c>
      <c r="T92" s="7">
        <v>37704.43</v>
      </c>
      <c r="U92" s="7">
        <v>55080.82</v>
      </c>
      <c r="V92" s="7">
        <v>0</v>
      </c>
      <c r="W92" s="7">
        <v>269692.77</v>
      </c>
    </row>
    <row r="93" spans="1:23" x14ac:dyDescent="0.25">
      <c r="A93" s="12" t="s">
        <v>38</v>
      </c>
      <c r="B93" s="12">
        <v>280</v>
      </c>
      <c r="C93" s="12">
        <v>1</v>
      </c>
      <c r="D93" s="13" t="s">
        <v>487</v>
      </c>
      <c r="E93" s="12">
        <v>452</v>
      </c>
      <c r="F93" s="12">
        <v>2468</v>
      </c>
      <c r="G93" s="14" t="s">
        <v>743</v>
      </c>
      <c r="H93" s="7">
        <v>30864.880000000001</v>
      </c>
      <c r="I93" s="7">
        <v>45570.79</v>
      </c>
      <c r="J93" s="7">
        <v>76435.67</v>
      </c>
      <c r="K93" s="7">
        <v>70669.399999999994</v>
      </c>
      <c r="L93" s="7">
        <v>0</v>
      </c>
      <c r="M93" s="7">
        <v>70669.399999999994</v>
      </c>
      <c r="N93" s="7">
        <v>17667.349999999999</v>
      </c>
      <c r="O93" s="7">
        <v>33389.58</v>
      </c>
      <c r="P93" s="7">
        <v>0</v>
      </c>
      <c r="Q93" s="7">
        <v>3389.58</v>
      </c>
      <c r="R93" s="7">
        <v>0</v>
      </c>
      <c r="S93" s="7">
        <v>0</v>
      </c>
      <c r="T93" s="7">
        <v>3388.84</v>
      </c>
      <c r="U93" s="7">
        <v>13389.33</v>
      </c>
      <c r="V93" s="7">
        <v>0</v>
      </c>
      <c r="W93" s="7">
        <v>76435.67</v>
      </c>
    </row>
    <row r="94" spans="1:23" x14ac:dyDescent="0.25">
      <c r="A94" s="12" t="s">
        <v>38</v>
      </c>
      <c r="B94" s="12">
        <v>281</v>
      </c>
      <c r="C94" s="12">
        <v>1</v>
      </c>
      <c r="D94" s="13" t="s">
        <v>488</v>
      </c>
      <c r="E94" s="12">
        <v>1201</v>
      </c>
      <c r="F94" s="12">
        <v>5006</v>
      </c>
      <c r="G94" s="14" t="s">
        <v>743</v>
      </c>
      <c r="H94" s="7">
        <v>82010.44</v>
      </c>
      <c r="I94" s="7">
        <v>92434.1</v>
      </c>
      <c r="J94" s="7">
        <v>174444.54</v>
      </c>
      <c r="K94" s="7">
        <v>178762.26</v>
      </c>
      <c r="L94" s="7">
        <v>0</v>
      </c>
      <c r="M94" s="7">
        <v>178762.26</v>
      </c>
      <c r="N94" s="7">
        <v>44690.57</v>
      </c>
      <c r="O94" s="7">
        <v>33996.800000000003</v>
      </c>
      <c r="P94" s="7">
        <v>0</v>
      </c>
      <c r="Q94" s="7">
        <v>39130.85</v>
      </c>
      <c r="R94" s="7">
        <v>0</v>
      </c>
      <c r="S94" s="7">
        <v>0</v>
      </c>
      <c r="T94" s="7">
        <v>33764.33</v>
      </c>
      <c r="U94" s="7">
        <v>35630.660000000003</v>
      </c>
      <c r="V94" s="7">
        <v>0</v>
      </c>
      <c r="W94" s="7">
        <v>174444.54</v>
      </c>
    </row>
    <row r="95" spans="1:23" x14ac:dyDescent="0.25">
      <c r="A95" s="12" t="s">
        <v>38</v>
      </c>
      <c r="B95" s="12">
        <v>282</v>
      </c>
      <c r="C95" s="12">
        <v>1</v>
      </c>
      <c r="D95" s="13" t="s">
        <v>489</v>
      </c>
      <c r="E95" s="12">
        <v>64</v>
      </c>
      <c r="F95" s="12">
        <v>358</v>
      </c>
      <c r="G95" s="14" t="s">
        <v>743</v>
      </c>
      <c r="H95" s="7">
        <v>4370.25</v>
      </c>
      <c r="I95" s="7">
        <v>6610.35</v>
      </c>
      <c r="J95" s="7">
        <v>10980.6</v>
      </c>
      <c r="K95" s="7">
        <v>10111.15</v>
      </c>
      <c r="L95" s="7">
        <v>160</v>
      </c>
      <c r="M95" s="7">
        <v>10271.15</v>
      </c>
      <c r="N95" s="7">
        <v>2567.79</v>
      </c>
      <c r="O95" s="7">
        <v>335.3</v>
      </c>
      <c r="P95" s="7">
        <v>0</v>
      </c>
      <c r="Q95" s="7">
        <v>335.3</v>
      </c>
      <c r="R95" s="7">
        <v>0</v>
      </c>
      <c r="S95" s="7">
        <v>0</v>
      </c>
      <c r="T95" s="7">
        <v>10.07</v>
      </c>
      <c r="U95" s="7">
        <v>226.89</v>
      </c>
      <c r="V95" s="7">
        <v>0</v>
      </c>
      <c r="W95" s="7">
        <v>10980.6</v>
      </c>
    </row>
    <row r="96" spans="1:23" x14ac:dyDescent="0.25">
      <c r="A96" s="12" t="s">
        <v>38</v>
      </c>
      <c r="B96" s="12">
        <v>283</v>
      </c>
      <c r="C96" s="12">
        <v>1</v>
      </c>
      <c r="D96" s="13" t="s">
        <v>490</v>
      </c>
      <c r="E96" s="12">
        <v>624</v>
      </c>
      <c r="F96" s="12">
        <v>1435</v>
      </c>
      <c r="G96" s="14" t="s">
        <v>743</v>
      </c>
      <c r="H96" s="7">
        <v>42609.919999999998</v>
      </c>
      <c r="I96" s="7">
        <v>26496.79</v>
      </c>
      <c r="J96" s="7">
        <v>69106.710000000006</v>
      </c>
      <c r="K96" s="7">
        <v>66271.11</v>
      </c>
      <c r="L96" s="7">
        <v>0</v>
      </c>
      <c r="M96" s="7">
        <v>66271.11</v>
      </c>
      <c r="N96" s="7">
        <v>16567.78</v>
      </c>
      <c r="O96" s="7">
        <v>21465.13</v>
      </c>
      <c r="P96" s="7">
        <v>10625.95</v>
      </c>
      <c r="Q96" s="7">
        <v>21465.13</v>
      </c>
      <c r="R96" s="7">
        <v>2446.4699999999998</v>
      </c>
      <c r="S96" s="7">
        <v>0</v>
      </c>
      <c r="T96" s="7">
        <v>0</v>
      </c>
      <c r="U96" s="7">
        <v>9952.61</v>
      </c>
      <c r="V96" s="7">
        <v>0</v>
      </c>
      <c r="W96" s="7">
        <v>69106.710000000006</v>
      </c>
    </row>
    <row r="97" spans="1:23" x14ac:dyDescent="0.25">
      <c r="A97" s="12" t="s">
        <v>38</v>
      </c>
      <c r="B97" s="12">
        <v>284</v>
      </c>
      <c r="C97" s="12">
        <v>1</v>
      </c>
      <c r="D97" s="13" t="s">
        <v>491</v>
      </c>
      <c r="E97" s="12">
        <v>643</v>
      </c>
      <c r="F97" s="12">
        <v>1545</v>
      </c>
      <c r="G97" s="14" t="s">
        <v>743</v>
      </c>
      <c r="H97" s="7">
        <v>43907.34</v>
      </c>
      <c r="I97" s="7">
        <v>28527.9</v>
      </c>
      <c r="J97" s="7">
        <v>72435.240000000005</v>
      </c>
      <c r="K97" s="7">
        <v>71446.399999999994</v>
      </c>
      <c r="L97" s="7">
        <v>125000</v>
      </c>
      <c r="M97" s="7">
        <v>196446.4</v>
      </c>
      <c r="N97" s="7">
        <v>49111.6</v>
      </c>
      <c r="O97" s="7">
        <v>192.65</v>
      </c>
      <c r="P97" s="7">
        <v>0</v>
      </c>
      <c r="Q97" s="7">
        <v>8346.76</v>
      </c>
      <c r="R97" s="7">
        <v>0</v>
      </c>
      <c r="S97" s="7">
        <v>0</v>
      </c>
      <c r="T97" s="7">
        <v>10287.950000000001</v>
      </c>
      <c r="U97" s="7">
        <v>6275.79</v>
      </c>
      <c r="V97" s="7">
        <v>0</v>
      </c>
      <c r="W97" s="7">
        <v>72435.240000000005</v>
      </c>
    </row>
    <row r="98" spans="1:23" x14ac:dyDescent="0.25">
      <c r="A98" s="12" t="s">
        <v>38</v>
      </c>
      <c r="B98" s="12">
        <v>286</v>
      </c>
      <c r="C98" s="12">
        <v>1</v>
      </c>
      <c r="D98" s="13" t="s">
        <v>492</v>
      </c>
      <c r="E98" s="12">
        <v>185</v>
      </c>
      <c r="F98" s="12">
        <v>1515</v>
      </c>
      <c r="G98" s="14" t="s">
        <v>743</v>
      </c>
      <c r="H98" s="7">
        <v>12632.75</v>
      </c>
      <c r="I98" s="7">
        <v>27973.96</v>
      </c>
      <c r="J98" s="7">
        <v>40606.71</v>
      </c>
      <c r="K98" s="7">
        <v>38483.83</v>
      </c>
      <c r="L98" s="7">
        <v>28763.66</v>
      </c>
      <c r="M98" s="7">
        <v>67247.490000000005</v>
      </c>
      <c r="N98" s="7">
        <v>16811.87</v>
      </c>
      <c r="O98" s="7">
        <v>24369.64</v>
      </c>
      <c r="P98" s="7">
        <v>0</v>
      </c>
      <c r="Q98" s="7">
        <v>7885.59</v>
      </c>
      <c r="R98" s="7">
        <v>0</v>
      </c>
      <c r="S98" s="7">
        <v>0</v>
      </c>
      <c r="T98" s="7">
        <v>14649.61</v>
      </c>
      <c r="U98" s="7">
        <v>15634.95</v>
      </c>
      <c r="V98" s="7">
        <v>0</v>
      </c>
      <c r="W98" s="7">
        <v>40606.71</v>
      </c>
    </row>
    <row r="99" spans="1:23" x14ac:dyDescent="0.25">
      <c r="A99" s="12" t="s">
        <v>38</v>
      </c>
      <c r="B99" s="12">
        <v>294</v>
      </c>
      <c r="C99" s="12">
        <v>1</v>
      </c>
      <c r="D99" s="13" t="s">
        <v>493</v>
      </c>
      <c r="E99" s="12">
        <v>29</v>
      </c>
      <c r="F99" s="12">
        <v>449</v>
      </c>
      <c r="G99" s="14" t="s">
        <v>743</v>
      </c>
      <c r="H99" s="7">
        <v>1980.27</v>
      </c>
      <c r="I99" s="7">
        <v>8290.6299999999992</v>
      </c>
      <c r="J99" s="7">
        <v>10270.9</v>
      </c>
      <c r="K99" s="7">
        <v>7162.9</v>
      </c>
      <c r="L99" s="7">
        <v>329</v>
      </c>
      <c r="M99" s="7">
        <v>7491.9</v>
      </c>
      <c r="N99" s="7">
        <v>1872.98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10270.9</v>
      </c>
    </row>
    <row r="100" spans="1:23" x14ac:dyDescent="0.25">
      <c r="A100" s="12" t="s">
        <v>38</v>
      </c>
      <c r="B100" s="12">
        <v>297</v>
      </c>
      <c r="C100" s="12">
        <v>1</v>
      </c>
      <c r="D100" s="13" t="s">
        <v>494</v>
      </c>
      <c r="E100" s="12">
        <v>27</v>
      </c>
      <c r="F100" s="12">
        <v>113</v>
      </c>
      <c r="G100" s="14" t="s">
        <v>743</v>
      </c>
      <c r="H100" s="7">
        <v>1843.7</v>
      </c>
      <c r="I100" s="7">
        <v>2086.5100000000002</v>
      </c>
      <c r="J100" s="7">
        <v>3930.21</v>
      </c>
      <c r="K100" s="7">
        <v>3727.91</v>
      </c>
      <c r="L100" s="7">
        <v>2340.75</v>
      </c>
      <c r="M100" s="7">
        <v>6068.66</v>
      </c>
      <c r="N100" s="7">
        <v>1517.17</v>
      </c>
      <c r="O100" s="7">
        <v>1699.96</v>
      </c>
      <c r="P100" s="7">
        <v>0</v>
      </c>
      <c r="Q100" s="7">
        <v>1955.09</v>
      </c>
      <c r="R100" s="7">
        <v>0</v>
      </c>
      <c r="S100" s="7">
        <v>0</v>
      </c>
      <c r="T100" s="7">
        <v>1242.6400000000001</v>
      </c>
      <c r="U100" s="7">
        <v>1632.56</v>
      </c>
      <c r="V100" s="7">
        <v>115.39</v>
      </c>
      <c r="W100" s="7">
        <v>3814.82</v>
      </c>
    </row>
    <row r="101" spans="1:23" x14ac:dyDescent="0.25">
      <c r="A101" s="12" t="s">
        <v>38</v>
      </c>
      <c r="B101" s="12">
        <v>299</v>
      </c>
      <c r="C101" s="12">
        <v>1</v>
      </c>
      <c r="D101" s="13" t="s">
        <v>495</v>
      </c>
      <c r="E101" s="12">
        <v>80</v>
      </c>
      <c r="F101" s="12">
        <v>249</v>
      </c>
      <c r="G101" s="14" t="s">
        <v>743</v>
      </c>
      <c r="H101" s="7">
        <v>5462.81</v>
      </c>
      <c r="I101" s="7">
        <v>4597.7</v>
      </c>
      <c r="J101" s="7">
        <v>10060.51</v>
      </c>
      <c r="K101" s="7">
        <v>9290.56</v>
      </c>
      <c r="L101" s="7">
        <v>37183.25</v>
      </c>
      <c r="M101" s="7">
        <v>46473.81</v>
      </c>
      <c r="N101" s="7">
        <v>11618.45</v>
      </c>
      <c r="O101" s="7">
        <v>4095.26</v>
      </c>
      <c r="P101" s="7">
        <v>0</v>
      </c>
      <c r="Q101" s="7">
        <v>8227.06</v>
      </c>
      <c r="R101" s="7">
        <v>0</v>
      </c>
      <c r="S101" s="7">
        <v>0</v>
      </c>
      <c r="T101" s="7">
        <v>10617.97</v>
      </c>
      <c r="U101" s="7">
        <v>7646.76</v>
      </c>
      <c r="V101" s="7">
        <v>0</v>
      </c>
      <c r="W101" s="7">
        <v>10060.51</v>
      </c>
    </row>
    <row r="102" spans="1:23" x14ac:dyDescent="0.25">
      <c r="A102" s="12" t="s">
        <v>38</v>
      </c>
      <c r="B102" s="12">
        <v>300</v>
      </c>
      <c r="C102" s="12">
        <v>1</v>
      </c>
      <c r="D102" s="13" t="s">
        <v>496</v>
      </c>
      <c r="E102" s="12">
        <v>100</v>
      </c>
      <c r="F102" s="12">
        <v>295</v>
      </c>
      <c r="G102" s="14" t="s">
        <v>743</v>
      </c>
      <c r="H102" s="7">
        <v>6828.51</v>
      </c>
      <c r="I102" s="7">
        <v>5447.08</v>
      </c>
      <c r="J102" s="7">
        <v>12275.59</v>
      </c>
      <c r="K102" s="7">
        <v>12333.27</v>
      </c>
      <c r="L102" s="7">
        <v>17059.34</v>
      </c>
      <c r="M102" s="7">
        <v>29392.61</v>
      </c>
      <c r="N102" s="7">
        <v>7348.15</v>
      </c>
      <c r="O102" s="7">
        <v>-6280.37</v>
      </c>
      <c r="P102" s="7">
        <v>0</v>
      </c>
      <c r="Q102" s="7">
        <v>-4352.3500000000004</v>
      </c>
      <c r="R102" s="7">
        <v>0</v>
      </c>
      <c r="S102" s="7">
        <v>0</v>
      </c>
      <c r="T102" s="7">
        <v>-1362.26</v>
      </c>
      <c r="U102" s="7">
        <v>-3998.33</v>
      </c>
      <c r="V102" s="7">
        <v>0</v>
      </c>
      <c r="W102" s="7">
        <v>12275.59</v>
      </c>
    </row>
    <row r="103" spans="1:23" x14ac:dyDescent="0.25">
      <c r="A103" s="12" t="s">
        <v>38</v>
      </c>
      <c r="B103" s="12">
        <v>306</v>
      </c>
      <c r="C103" s="12">
        <v>1</v>
      </c>
      <c r="D103" s="13" t="s">
        <v>497</v>
      </c>
      <c r="E103" s="12">
        <v>20</v>
      </c>
      <c r="F103" s="12">
        <v>196</v>
      </c>
      <c r="G103" s="14" t="s">
        <v>743</v>
      </c>
      <c r="H103" s="7">
        <v>1365.7</v>
      </c>
      <c r="I103" s="7">
        <v>3619.07</v>
      </c>
      <c r="J103" s="7">
        <v>4984.7700000000004</v>
      </c>
      <c r="K103" s="7">
        <v>5356.17</v>
      </c>
      <c r="L103" s="7">
        <v>3102</v>
      </c>
      <c r="M103" s="7">
        <v>8458.17</v>
      </c>
      <c r="N103" s="7">
        <v>2114.54</v>
      </c>
      <c r="O103" s="7">
        <v>2151.96</v>
      </c>
      <c r="P103" s="7">
        <v>16.28</v>
      </c>
      <c r="Q103" s="7">
        <v>1050.4000000000001</v>
      </c>
      <c r="R103" s="7">
        <v>305.14</v>
      </c>
      <c r="S103" s="7">
        <v>0</v>
      </c>
      <c r="T103" s="7">
        <v>-886.1</v>
      </c>
      <c r="U103" s="7">
        <v>664.95</v>
      </c>
      <c r="V103" s="7">
        <v>0</v>
      </c>
      <c r="W103" s="7">
        <v>4984.7700000000004</v>
      </c>
    </row>
    <row r="104" spans="1:23" x14ac:dyDescent="0.25">
      <c r="A104" s="12" t="s">
        <v>38</v>
      </c>
      <c r="B104" s="12">
        <v>308</v>
      </c>
      <c r="C104" s="12">
        <v>1</v>
      </c>
      <c r="D104" s="13" t="s">
        <v>498</v>
      </c>
      <c r="E104" s="12">
        <v>45</v>
      </c>
      <c r="F104" s="12">
        <v>310</v>
      </c>
      <c r="G104" s="14" t="s">
        <v>743</v>
      </c>
      <c r="H104" s="7">
        <v>3072.83</v>
      </c>
      <c r="I104" s="7">
        <v>5724.05</v>
      </c>
      <c r="J104" s="7">
        <v>8796.8799999999992</v>
      </c>
      <c r="K104" s="7">
        <v>8967.6</v>
      </c>
      <c r="L104" s="7">
        <v>570</v>
      </c>
      <c r="M104" s="7">
        <v>9537.6</v>
      </c>
      <c r="N104" s="7">
        <v>2384.4</v>
      </c>
      <c r="O104" s="7">
        <v>671.71</v>
      </c>
      <c r="P104" s="7">
        <v>0</v>
      </c>
      <c r="Q104" s="7">
        <v>1012.84</v>
      </c>
      <c r="R104" s="7">
        <v>0</v>
      </c>
      <c r="S104" s="7">
        <v>0</v>
      </c>
      <c r="T104" s="7">
        <v>-485.04</v>
      </c>
      <c r="U104" s="7">
        <v>399.84</v>
      </c>
      <c r="V104" s="7">
        <v>0</v>
      </c>
      <c r="W104" s="7">
        <v>8796.8799999999992</v>
      </c>
    </row>
    <row r="105" spans="1:23" x14ac:dyDescent="0.25">
      <c r="A105" s="12" t="s">
        <v>38</v>
      </c>
      <c r="B105" s="12">
        <v>309</v>
      </c>
      <c r="C105" s="12">
        <v>1</v>
      </c>
      <c r="D105" s="13" t="s">
        <v>499</v>
      </c>
      <c r="E105" s="12">
        <v>190</v>
      </c>
      <c r="F105" s="12">
        <v>755</v>
      </c>
      <c r="G105" s="14" t="s">
        <v>743</v>
      </c>
      <c r="H105" s="7">
        <v>12974.17</v>
      </c>
      <c r="I105" s="7">
        <v>13940.82</v>
      </c>
      <c r="J105" s="7">
        <v>26914.99</v>
      </c>
      <c r="K105" s="7">
        <v>25842.42</v>
      </c>
      <c r="L105" s="7">
        <v>34876.58</v>
      </c>
      <c r="M105" s="7">
        <v>60719</v>
      </c>
      <c r="N105" s="7">
        <v>15179.75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3248.43</v>
      </c>
      <c r="U105" s="7">
        <v>1082.81</v>
      </c>
      <c r="V105" s="7">
        <v>0</v>
      </c>
      <c r="W105" s="7">
        <v>26914.99</v>
      </c>
    </row>
    <row r="106" spans="1:23" x14ac:dyDescent="0.25">
      <c r="A106" s="12" t="s">
        <v>38</v>
      </c>
      <c r="B106" s="12">
        <v>314</v>
      </c>
      <c r="C106" s="12">
        <v>1</v>
      </c>
      <c r="D106" s="13" t="s">
        <v>500</v>
      </c>
      <c r="E106" s="12">
        <v>71</v>
      </c>
      <c r="F106" s="12">
        <v>453</v>
      </c>
      <c r="G106" s="14" t="s">
        <v>743</v>
      </c>
      <c r="H106" s="7">
        <v>4848.24</v>
      </c>
      <c r="I106" s="7">
        <v>8364.49</v>
      </c>
      <c r="J106" s="7">
        <v>13212.73</v>
      </c>
      <c r="K106" s="7">
        <v>13323.25</v>
      </c>
      <c r="L106" s="7">
        <v>17350.25</v>
      </c>
      <c r="M106" s="7">
        <v>30673.5</v>
      </c>
      <c r="N106" s="7">
        <v>7668.38</v>
      </c>
      <c r="O106" s="7">
        <v>12374.42</v>
      </c>
      <c r="P106" s="7">
        <v>1527.74</v>
      </c>
      <c r="Q106" s="7">
        <v>12719.94</v>
      </c>
      <c r="R106" s="7">
        <v>3444.77</v>
      </c>
      <c r="S106" s="7">
        <v>0</v>
      </c>
      <c r="T106" s="7">
        <v>14749.2</v>
      </c>
      <c r="U106" s="7">
        <v>11623.68</v>
      </c>
      <c r="V106" s="7">
        <v>3955.3</v>
      </c>
      <c r="W106" s="7">
        <v>9257.43</v>
      </c>
    </row>
    <row r="107" spans="1:23" x14ac:dyDescent="0.25">
      <c r="A107" s="12" t="s">
        <v>38</v>
      </c>
      <c r="B107" s="12">
        <v>316</v>
      </c>
      <c r="C107" s="12">
        <v>1</v>
      </c>
      <c r="D107" s="13" t="s">
        <v>501</v>
      </c>
      <c r="E107" s="12">
        <v>107</v>
      </c>
      <c r="F107" s="12">
        <v>577</v>
      </c>
      <c r="G107" s="14" t="s">
        <v>743</v>
      </c>
      <c r="H107" s="7">
        <v>7306.51</v>
      </c>
      <c r="I107" s="7">
        <v>10654.11</v>
      </c>
      <c r="J107" s="7">
        <v>17960.62</v>
      </c>
      <c r="K107" s="7">
        <v>17719.36</v>
      </c>
      <c r="L107" s="7">
        <v>305</v>
      </c>
      <c r="M107" s="7">
        <v>18024.36</v>
      </c>
      <c r="N107" s="7">
        <v>4506.09</v>
      </c>
      <c r="O107" s="7">
        <v>18037.400000000001</v>
      </c>
      <c r="P107" s="7">
        <v>3781</v>
      </c>
      <c r="Q107" s="7">
        <v>-3207.84</v>
      </c>
      <c r="R107" s="7">
        <v>0</v>
      </c>
      <c r="S107" s="7">
        <v>0</v>
      </c>
      <c r="T107" s="7">
        <v>0</v>
      </c>
      <c r="U107" s="7">
        <v>3682.85</v>
      </c>
      <c r="V107" s="7">
        <v>0</v>
      </c>
      <c r="W107" s="7">
        <v>17960.62</v>
      </c>
    </row>
    <row r="108" spans="1:23" x14ac:dyDescent="0.25">
      <c r="A108" s="12" t="s">
        <v>38</v>
      </c>
      <c r="B108" s="12">
        <v>317</v>
      </c>
      <c r="C108" s="12">
        <v>1</v>
      </c>
      <c r="D108" s="13" t="s">
        <v>502</v>
      </c>
      <c r="E108" s="12">
        <v>80</v>
      </c>
      <c r="F108" s="12">
        <v>534</v>
      </c>
      <c r="G108" s="14" t="s">
        <v>743</v>
      </c>
      <c r="H108" s="7">
        <v>5462.81</v>
      </c>
      <c r="I108" s="7">
        <v>9860.1299999999992</v>
      </c>
      <c r="J108" s="7">
        <v>15322.94</v>
      </c>
      <c r="K108" s="7">
        <v>15984.57</v>
      </c>
      <c r="L108" s="7">
        <v>32500</v>
      </c>
      <c r="M108" s="7">
        <v>48484.57</v>
      </c>
      <c r="N108" s="7">
        <v>12121.14</v>
      </c>
      <c r="O108" s="7">
        <v>33472.33</v>
      </c>
      <c r="P108" s="7">
        <v>0</v>
      </c>
      <c r="Q108" s="7">
        <v>31684.23</v>
      </c>
      <c r="R108" s="7">
        <v>0</v>
      </c>
      <c r="S108" s="7">
        <v>0</v>
      </c>
      <c r="T108" s="7">
        <v>-7786.43</v>
      </c>
      <c r="U108" s="7">
        <v>19123.38</v>
      </c>
      <c r="V108" s="7">
        <v>7002.24</v>
      </c>
      <c r="W108" s="7">
        <v>8320.7000000000007</v>
      </c>
    </row>
    <row r="109" spans="1:23" x14ac:dyDescent="0.25">
      <c r="A109" s="12" t="s">
        <v>38</v>
      </c>
      <c r="B109" s="12">
        <v>318</v>
      </c>
      <c r="C109" s="12">
        <v>1</v>
      </c>
      <c r="D109" s="13" t="s">
        <v>503</v>
      </c>
      <c r="E109" s="12">
        <v>313</v>
      </c>
      <c r="F109" s="12">
        <v>1554</v>
      </c>
      <c r="G109" s="14" t="s">
        <v>743</v>
      </c>
      <c r="H109" s="7">
        <v>21373.24</v>
      </c>
      <c r="I109" s="7">
        <v>28694.080000000002</v>
      </c>
      <c r="J109" s="7">
        <v>50067.32</v>
      </c>
      <c r="K109" s="7">
        <v>48948.95</v>
      </c>
      <c r="L109" s="7">
        <v>19084.060000000001</v>
      </c>
      <c r="M109" s="7">
        <v>68033.009999999995</v>
      </c>
      <c r="N109" s="7">
        <v>17008.25</v>
      </c>
      <c r="O109" s="7">
        <v>3799.4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1266.47</v>
      </c>
      <c r="V109" s="7">
        <v>0</v>
      </c>
      <c r="W109" s="7">
        <v>50067.32</v>
      </c>
    </row>
    <row r="110" spans="1:23" x14ac:dyDescent="0.25">
      <c r="A110" s="12" t="s">
        <v>38</v>
      </c>
      <c r="B110" s="12">
        <v>319</v>
      </c>
      <c r="C110" s="12">
        <v>1</v>
      </c>
      <c r="D110" s="13" t="s">
        <v>504</v>
      </c>
      <c r="E110" s="12">
        <v>49</v>
      </c>
      <c r="F110" s="12">
        <v>332</v>
      </c>
      <c r="G110" s="14" t="s">
        <v>743</v>
      </c>
      <c r="H110" s="7">
        <v>3345.97</v>
      </c>
      <c r="I110" s="7">
        <v>6130.27</v>
      </c>
      <c r="J110" s="7">
        <v>9476.24</v>
      </c>
      <c r="K110" s="7">
        <v>9843.73</v>
      </c>
      <c r="L110" s="7">
        <v>0</v>
      </c>
      <c r="M110" s="7">
        <v>9843.73</v>
      </c>
      <c r="N110" s="7">
        <v>2460.9299999999998</v>
      </c>
      <c r="O110" s="7">
        <v>-832.77</v>
      </c>
      <c r="P110" s="7">
        <v>0</v>
      </c>
      <c r="Q110" s="7">
        <v>-832.77</v>
      </c>
      <c r="R110" s="7">
        <v>0</v>
      </c>
      <c r="S110" s="7">
        <v>0</v>
      </c>
      <c r="T110" s="7">
        <v>-832.61</v>
      </c>
      <c r="U110" s="7">
        <v>-832.72</v>
      </c>
      <c r="V110" s="7">
        <v>0</v>
      </c>
      <c r="W110" s="7">
        <v>9476.24</v>
      </c>
    </row>
    <row r="111" spans="1:23" x14ac:dyDescent="0.25">
      <c r="A111" s="12" t="s">
        <v>38</v>
      </c>
      <c r="B111" s="12">
        <v>330</v>
      </c>
      <c r="C111" s="12">
        <v>1</v>
      </c>
      <c r="D111" s="13" t="s">
        <v>505</v>
      </c>
      <c r="E111" s="12">
        <v>18</v>
      </c>
      <c r="F111" s="12">
        <v>123</v>
      </c>
      <c r="G111" s="14" t="s">
        <v>743</v>
      </c>
      <c r="H111" s="7">
        <v>1229.1300000000001</v>
      </c>
      <c r="I111" s="7">
        <v>2271.15</v>
      </c>
      <c r="J111" s="7">
        <v>3500.28</v>
      </c>
      <c r="K111" s="7">
        <v>3508.48</v>
      </c>
      <c r="L111" s="7">
        <v>3000</v>
      </c>
      <c r="M111" s="7">
        <v>6508.48</v>
      </c>
      <c r="N111" s="7">
        <v>1627.12</v>
      </c>
      <c r="O111" s="7">
        <v>1189.81</v>
      </c>
      <c r="P111" s="7">
        <v>0</v>
      </c>
      <c r="Q111" s="7">
        <v>680.81</v>
      </c>
      <c r="R111" s="7">
        <v>0</v>
      </c>
      <c r="S111" s="7">
        <v>0</v>
      </c>
      <c r="T111" s="7">
        <v>-6161.71</v>
      </c>
      <c r="U111" s="7">
        <v>-1430.36</v>
      </c>
      <c r="V111" s="7">
        <v>0</v>
      </c>
      <c r="W111" s="7">
        <v>3500.28</v>
      </c>
    </row>
    <row r="112" spans="1:23" x14ac:dyDescent="0.25">
      <c r="A112" s="12" t="s">
        <v>38</v>
      </c>
      <c r="B112" s="12">
        <v>332</v>
      </c>
      <c r="C112" s="12">
        <v>1</v>
      </c>
      <c r="D112" s="13" t="s">
        <v>506</v>
      </c>
      <c r="E112" s="12">
        <v>148</v>
      </c>
      <c r="F112" s="12">
        <v>718</v>
      </c>
      <c r="G112" s="14" t="s">
        <v>743</v>
      </c>
      <c r="H112" s="7">
        <v>10106.200000000001</v>
      </c>
      <c r="I112" s="7">
        <v>13257.63</v>
      </c>
      <c r="J112" s="7">
        <v>23363.83</v>
      </c>
      <c r="K112" s="7">
        <v>24967.25</v>
      </c>
      <c r="L112" s="7">
        <v>9308.7999999999993</v>
      </c>
      <c r="M112" s="7">
        <v>34276.050000000003</v>
      </c>
      <c r="N112" s="7">
        <v>8569.01</v>
      </c>
      <c r="O112" s="7">
        <v>7553.08</v>
      </c>
      <c r="P112" s="7">
        <v>0</v>
      </c>
      <c r="Q112" s="7">
        <v>5811.15</v>
      </c>
      <c r="R112" s="7">
        <v>0</v>
      </c>
      <c r="S112" s="7">
        <v>0</v>
      </c>
      <c r="T112" s="7">
        <v>6657.5</v>
      </c>
      <c r="U112" s="7">
        <v>6673.91</v>
      </c>
      <c r="V112" s="7">
        <v>0</v>
      </c>
      <c r="W112" s="7">
        <v>23363.83</v>
      </c>
    </row>
    <row r="113" spans="1:23" x14ac:dyDescent="0.25">
      <c r="A113" s="12" t="s">
        <v>38</v>
      </c>
      <c r="B113" s="12">
        <v>333</v>
      </c>
      <c r="C113" s="12">
        <v>1</v>
      </c>
      <c r="D113" s="13" t="s">
        <v>507</v>
      </c>
      <c r="E113" s="12">
        <v>41</v>
      </c>
      <c r="F113" s="12">
        <v>236</v>
      </c>
      <c r="G113" s="14" t="s">
        <v>743</v>
      </c>
      <c r="H113" s="7">
        <v>2799.69</v>
      </c>
      <c r="I113" s="7">
        <v>4357.66</v>
      </c>
      <c r="J113" s="7">
        <v>7157.35</v>
      </c>
      <c r="K113" s="7">
        <v>9218.99</v>
      </c>
      <c r="L113" s="7">
        <v>12799.5</v>
      </c>
      <c r="M113" s="7">
        <v>22018.49</v>
      </c>
      <c r="N113" s="7">
        <v>5504.62</v>
      </c>
      <c r="O113" s="7">
        <v>2532.79</v>
      </c>
      <c r="P113" s="7">
        <v>382.61</v>
      </c>
      <c r="Q113" s="7">
        <v>-1669.26</v>
      </c>
      <c r="R113" s="7">
        <v>0</v>
      </c>
      <c r="S113" s="7">
        <v>0</v>
      </c>
      <c r="T113" s="7">
        <v>-1393.81</v>
      </c>
      <c r="U113" s="7">
        <v>-304.3</v>
      </c>
      <c r="V113" s="7">
        <v>0</v>
      </c>
      <c r="W113" s="7">
        <v>7157.35</v>
      </c>
    </row>
    <row r="114" spans="1:23" x14ac:dyDescent="0.25">
      <c r="A114" s="12" t="s">
        <v>38</v>
      </c>
      <c r="B114" s="12">
        <v>345</v>
      </c>
      <c r="C114" s="12">
        <v>1</v>
      </c>
      <c r="D114" s="13" t="s">
        <v>508</v>
      </c>
      <c r="E114" s="12">
        <v>117</v>
      </c>
      <c r="F114" s="12">
        <v>445</v>
      </c>
      <c r="G114" s="14" t="s">
        <v>743</v>
      </c>
      <c r="H114" s="7">
        <v>7989.36</v>
      </c>
      <c r="I114" s="7">
        <v>8216.77</v>
      </c>
      <c r="J114" s="7">
        <v>16206.13</v>
      </c>
      <c r="K114" s="7">
        <v>15738.81</v>
      </c>
      <c r="L114" s="7">
        <v>27691.23</v>
      </c>
      <c r="M114" s="7">
        <v>43430.04</v>
      </c>
      <c r="N114" s="7">
        <v>10857.51</v>
      </c>
      <c r="O114" s="7">
        <v>1153.23</v>
      </c>
      <c r="P114" s="7">
        <v>0</v>
      </c>
      <c r="Q114" s="7">
        <v>1693.28</v>
      </c>
      <c r="R114" s="7">
        <v>0</v>
      </c>
      <c r="S114" s="7">
        <v>0</v>
      </c>
      <c r="T114" s="7">
        <v>345.09</v>
      </c>
      <c r="U114" s="7">
        <v>1063.8699999999999</v>
      </c>
      <c r="V114" s="7">
        <v>0</v>
      </c>
      <c r="W114" s="7">
        <v>16206.13</v>
      </c>
    </row>
    <row r="115" spans="1:23" x14ac:dyDescent="0.25">
      <c r="A115" s="12" t="s">
        <v>38</v>
      </c>
      <c r="B115" s="12">
        <v>347</v>
      </c>
      <c r="C115" s="12">
        <v>1</v>
      </c>
      <c r="D115" s="13" t="s">
        <v>509</v>
      </c>
      <c r="E115" s="12">
        <v>380</v>
      </c>
      <c r="F115" s="12">
        <v>2095</v>
      </c>
      <c r="G115" s="14" t="s">
        <v>743</v>
      </c>
      <c r="H115" s="7">
        <v>25948.35</v>
      </c>
      <c r="I115" s="7">
        <v>38683.47</v>
      </c>
      <c r="J115" s="7">
        <v>64631.82</v>
      </c>
      <c r="K115" s="7">
        <v>67810.320000000007</v>
      </c>
      <c r="L115" s="7">
        <v>141862.25</v>
      </c>
      <c r="M115" s="7">
        <v>209672.57</v>
      </c>
      <c r="N115" s="7">
        <v>52418.14</v>
      </c>
      <c r="O115" s="7">
        <v>1660</v>
      </c>
      <c r="P115" s="7">
        <v>0</v>
      </c>
      <c r="Q115" s="7">
        <v>47370.67</v>
      </c>
      <c r="R115" s="7">
        <v>0</v>
      </c>
      <c r="S115" s="7">
        <v>0</v>
      </c>
      <c r="T115" s="7">
        <v>51262.16</v>
      </c>
      <c r="U115" s="7">
        <v>33430.94</v>
      </c>
      <c r="V115" s="7">
        <v>0</v>
      </c>
      <c r="W115" s="7">
        <v>64631.82</v>
      </c>
    </row>
    <row r="116" spans="1:23" x14ac:dyDescent="0.25">
      <c r="A116" s="12" t="s">
        <v>38</v>
      </c>
      <c r="B116" s="12">
        <v>356</v>
      </c>
      <c r="C116" s="12">
        <v>1</v>
      </c>
      <c r="D116" s="13" t="s">
        <v>510</v>
      </c>
      <c r="E116" s="12">
        <v>18</v>
      </c>
      <c r="F116" s="12">
        <v>98</v>
      </c>
      <c r="G116" s="14" t="s">
        <v>743</v>
      </c>
      <c r="H116" s="7">
        <v>1229.1300000000001</v>
      </c>
      <c r="I116" s="7">
        <v>1809.54</v>
      </c>
      <c r="J116" s="7">
        <v>3038.67</v>
      </c>
      <c r="K116" s="7">
        <v>3034.69</v>
      </c>
      <c r="L116" s="7">
        <v>1158</v>
      </c>
      <c r="M116" s="7">
        <v>4192.6899999999996</v>
      </c>
      <c r="N116" s="7">
        <v>1048.17</v>
      </c>
      <c r="O116" s="7">
        <v>0.62</v>
      </c>
      <c r="P116" s="7">
        <v>0</v>
      </c>
      <c r="Q116" s="7">
        <v>-0.14000000000000001</v>
      </c>
      <c r="R116" s="7">
        <v>0</v>
      </c>
      <c r="S116" s="7">
        <v>0</v>
      </c>
      <c r="T116" s="7">
        <v>-322.27999999999997</v>
      </c>
      <c r="U116" s="7">
        <v>-107.27</v>
      </c>
      <c r="V116" s="7">
        <v>0</v>
      </c>
      <c r="W116" s="7">
        <v>3038.67</v>
      </c>
    </row>
    <row r="117" spans="1:23" x14ac:dyDescent="0.25">
      <c r="A117" s="12" t="s">
        <v>38</v>
      </c>
      <c r="B117" s="12">
        <v>361</v>
      </c>
      <c r="C117" s="12">
        <v>1</v>
      </c>
      <c r="D117" s="13" t="s">
        <v>511</v>
      </c>
      <c r="E117" s="12">
        <v>97</v>
      </c>
      <c r="F117" s="12">
        <v>429</v>
      </c>
      <c r="G117" s="14" t="s">
        <v>743</v>
      </c>
      <c r="H117" s="7">
        <v>6623.66</v>
      </c>
      <c r="I117" s="7">
        <v>7921.34</v>
      </c>
      <c r="J117" s="7">
        <v>14545</v>
      </c>
      <c r="K117" s="7">
        <v>14689.71</v>
      </c>
      <c r="L117" s="7">
        <v>54525.08</v>
      </c>
      <c r="M117" s="7">
        <v>69214.789999999994</v>
      </c>
      <c r="N117" s="7">
        <v>17303.7</v>
      </c>
      <c r="O117" s="7">
        <v>4170.42</v>
      </c>
      <c r="P117" s="7">
        <v>0</v>
      </c>
      <c r="Q117" s="7">
        <v>11168.34</v>
      </c>
      <c r="R117" s="7">
        <v>0</v>
      </c>
      <c r="S117" s="7">
        <v>0</v>
      </c>
      <c r="T117" s="7">
        <v>1564.68</v>
      </c>
      <c r="U117" s="7">
        <v>5634.48</v>
      </c>
      <c r="V117" s="7">
        <v>0</v>
      </c>
      <c r="W117" s="7">
        <v>14545</v>
      </c>
    </row>
    <row r="118" spans="1:23" x14ac:dyDescent="0.25">
      <c r="A118" s="12" t="s">
        <v>38</v>
      </c>
      <c r="B118" s="12">
        <v>362</v>
      </c>
      <c r="C118" s="12">
        <v>1</v>
      </c>
      <c r="D118" s="13" t="s">
        <v>512</v>
      </c>
      <c r="E118" s="12">
        <v>14</v>
      </c>
      <c r="F118" s="12">
        <v>131</v>
      </c>
      <c r="G118" s="14" t="s">
        <v>743</v>
      </c>
      <c r="H118" s="7">
        <v>955.99</v>
      </c>
      <c r="I118" s="7">
        <v>2418.87</v>
      </c>
      <c r="J118" s="7">
        <v>3374.86</v>
      </c>
      <c r="K118" s="7">
        <v>4291.13</v>
      </c>
      <c r="L118" s="7">
        <v>61208.19</v>
      </c>
      <c r="M118" s="7">
        <v>65499.32</v>
      </c>
      <c r="N118" s="7">
        <v>16374.83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3374.86</v>
      </c>
    </row>
    <row r="119" spans="1:23" x14ac:dyDescent="0.25">
      <c r="A119" s="12" t="s">
        <v>38</v>
      </c>
      <c r="B119" s="12">
        <v>363</v>
      </c>
      <c r="C119" s="12">
        <v>1</v>
      </c>
      <c r="D119" s="13" t="s">
        <v>513</v>
      </c>
      <c r="E119" s="12">
        <v>9</v>
      </c>
      <c r="F119" s="12">
        <v>202</v>
      </c>
      <c r="G119" s="14" t="s">
        <v>743</v>
      </c>
      <c r="H119" s="7">
        <v>614.57000000000005</v>
      </c>
      <c r="I119" s="7">
        <v>3729.86</v>
      </c>
      <c r="J119" s="7">
        <v>4344.43</v>
      </c>
      <c r="K119" s="7">
        <v>5065.2700000000004</v>
      </c>
      <c r="L119" s="7">
        <v>16563.2</v>
      </c>
      <c r="M119" s="7">
        <v>21628.47</v>
      </c>
      <c r="N119" s="7">
        <v>5407.12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4344.43</v>
      </c>
    </row>
    <row r="120" spans="1:23" x14ac:dyDescent="0.25">
      <c r="A120" s="12" t="s">
        <v>38</v>
      </c>
      <c r="B120" s="12">
        <v>378</v>
      </c>
      <c r="C120" s="12">
        <v>1</v>
      </c>
      <c r="D120" s="13" t="s">
        <v>514</v>
      </c>
      <c r="E120" s="12">
        <v>44</v>
      </c>
      <c r="F120" s="12">
        <v>207</v>
      </c>
      <c r="G120" s="14" t="s">
        <v>743</v>
      </c>
      <c r="H120" s="7">
        <v>3004.55</v>
      </c>
      <c r="I120" s="7">
        <v>3822.19</v>
      </c>
      <c r="J120" s="7">
        <v>6826.74</v>
      </c>
      <c r="K120" s="7">
        <v>5943.93</v>
      </c>
      <c r="L120" s="7">
        <v>24435.3</v>
      </c>
      <c r="M120" s="7">
        <v>30379.23</v>
      </c>
      <c r="N120" s="7">
        <v>7594.81</v>
      </c>
      <c r="O120" s="7">
        <v>21023.46</v>
      </c>
      <c r="P120" s="7">
        <v>2753.74</v>
      </c>
      <c r="Q120" s="7">
        <v>17886.849999999999</v>
      </c>
      <c r="R120" s="7">
        <v>5943.93</v>
      </c>
      <c r="S120" s="7">
        <v>0</v>
      </c>
      <c r="T120" s="7">
        <v>24640.6</v>
      </c>
      <c r="U120" s="7">
        <v>18284.41</v>
      </c>
      <c r="V120" s="7">
        <v>6826.74</v>
      </c>
      <c r="W120" s="7">
        <v>0</v>
      </c>
    </row>
    <row r="121" spans="1:23" x14ac:dyDescent="0.25">
      <c r="A121" s="12" t="s">
        <v>38</v>
      </c>
      <c r="B121" s="12">
        <v>381</v>
      </c>
      <c r="C121" s="12">
        <v>1</v>
      </c>
      <c r="D121" s="13" t="s">
        <v>515</v>
      </c>
      <c r="E121" s="12">
        <v>141</v>
      </c>
      <c r="F121" s="12">
        <v>496</v>
      </c>
      <c r="G121" s="14" t="s">
        <v>743</v>
      </c>
      <c r="H121" s="7">
        <v>9628.2000000000007</v>
      </c>
      <c r="I121" s="7">
        <v>9158.4699999999993</v>
      </c>
      <c r="J121" s="7">
        <v>18786.669999999998</v>
      </c>
      <c r="K121" s="7">
        <v>16345.01</v>
      </c>
      <c r="L121" s="7">
        <v>4864</v>
      </c>
      <c r="M121" s="7">
        <v>21209.01</v>
      </c>
      <c r="N121" s="7">
        <v>5302.25</v>
      </c>
      <c r="O121" s="7">
        <v>2048.36</v>
      </c>
      <c r="P121" s="7">
        <v>0</v>
      </c>
      <c r="Q121" s="7">
        <v>2116.0100000000002</v>
      </c>
      <c r="R121" s="7">
        <v>0</v>
      </c>
      <c r="S121" s="7">
        <v>0</v>
      </c>
      <c r="T121" s="7">
        <v>1349.05</v>
      </c>
      <c r="U121" s="7">
        <v>1837.81</v>
      </c>
      <c r="V121" s="7">
        <v>0</v>
      </c>
      <c r="W121" s="7">
        <v>18786.669999999998</v>
      </c>
    </row>
    <row r="122" spans="1:23" x14ac:dyDescent="0.25">
      <c r="A122" s="12" t="s">
        <v>38</v>
      </c>
      <c r="B122" s="12">
        <v>390</v>
      </c>
      <c r="C122" s="12">
        <v>1</v>
      </c>
      <c r="D122" s="13" t="s">
        <v>516</v>
      </c>
      <c r="E122" s="12">
        <v>44</v>
      </c>
      <c r="F122" s="12">
        <v>269</v>
      </c>
      <c r="G122" s="14" t="s">
        <v>743</v>
      </c>
      <c r="H122" s="7">
        <v>3004.55</v>
      </c>
      <c r="I122" s="7">
        <v>4966.99</v>
      </c>
      <c r="J122" s="7">
        <v>7971.54</v>
      </c>
      <c r="K122" s="7">
        <v>8266.9500000000007</v>
      </c>
      <c r="L122" s="7">
        <v>6525.5</v>
      </c>
      <c r="M122" s="7">
        <v>14792.45</v>
      </c>
      <c r="N122" s="7">
        <v>3698.11</v>
      </c>
      <c r="O122" s="7">
        <v>-585.1</v>
      </c>
      <c r="P122" s="7">
        <v>0</v>
      </c>
      <c r="Q122" s="7">
        <v>0</v>
      </c>
      <c r="R122" s="7">
        <v>0</v>
      </c>
      <c r="S122" s="7">
        <v>0</v>
      </c>
      <c r="T122" s="7">
        <v>0.25</v>
      </c>
      <c r="U122" s="7">
        <v>-194.95</v>
      </c>
      <c r="V122" s="7">
        <v>0</v>
      </c>
      <c r="W122" s="7">
        <v>7971.54</v>
      </c>
    </row>
    <row r="123" spans="1:23" x14ac:dyDescent="0.25">
      <c r="A123" s="12" t="s">
        <v>38</v>
      </c>
      <c r="B123" s="12">
        <v>391</v>
      </c>
      <c r="C123" s="12">
        <v>1</v>
      </c>
      <c r="D123" s="13" t="s">
        <v>517</v>
      </c>
      <c r="E123" s="12">
        <v>20</v>
      </c>
      <c r="F123" s="12">
        <v>106</v>
      </c>
      <c r="G123" s="14" t="s">
        <v>743</v>
      </c>
      <c r="H123" s="7">
        <v>1365.7</v>
      </c>
      <c r="I123" s="7">
        <v>1957.25</v>
      </c>
      <c r="J123" s="7">
        <v>3322.95</v>
      </c>
      <c r="K123" s="7">
        <v>3508.48</v>
      </c>
      <c r="L123" s="7">
        <v>58213.5</v>
      </c>
      <c r="M123" s="7">
        <v>61721.98</v>
      </c>
      <c r="N123" s="7">
        <v>15430.5</v>
      </c>
      <c r="O123" s="7">
        <v>-26236.55</v>
      </c>
      <c r="P123" s="7">
        <v>0</v>
      </c>
      <c r="Q123" s="7">
        <v>-33777.379999999997</v>
      </c>
      <c r="R123" s="7">
        <v>0</v>
      </c>
      <c r="S123" s="7">
        <v>0</v>
      </c>
      <c r="T123" s="7">
        <v>21128.53</v>
      </c>
      <c r="U123" s="7">
        <v>-12961.8</v>
      </c>
      <c r="V123" s="7">
        <v>0</v>
      </c>
      <c r="W123" s="7">
        <v>3322.95</v>
      </c>
    </row>
    <row r="124" spans="1:23" x14ac:dyDescent="0.25">
      <c r="A124" s="12" t="s">
        <v>38</v>
      </c>
      <c r="B124" s="12">
        <v>392</v>
      </c>
      <c r="C124" s="12">
        <v>1</v>
      </c>
      <c r="D124" s="13" t="s">
        <v>518</v>
      </c>
      <c r="E124" s="12">
        <v>52</v>
      </c>
      <c r="F124" s="12">
        <v>256</v>
      </c>
      <c r="G124" s="14" t="s">
        <v>743</v>
      </c>
      <c r="H124" s="7">
        <v>3550.83</v>
      </c>
      <c r="I124" s="7">
        <v>4726.95</v>
      </c>
      <c r="J124" s="7">
        <v>8277.7800000000007</v>
      </c>
      <c r="K124" s="7">
        <v>9125.61</v>
      </c>
      <c r="L124" s="7">
        <v>32441.43</v>
      </c>
      <c r="M124" s="7">
        <v>41567.040000000001</v>
      </c>
      <c r="N124" s="7">
        <v>10391.76</v>
      </c>
      <c r="O124" s="7">
        <v>2309.0300000000002</v>
      </c>
      <c r="P124" s="7">
        <v>0</v>
      </c>
      <c r="Q124" s="7">
        <v>6600.29</v>
      </c>
      <c r="R124" s="7">
        <v>0</v>
      </c>
      <c r="S124" s="7">
        <v>0</v>
      </c>
      <c r="T124" s="7">
        <v>11203.75</v>
      </c>
      <c r="U124" s="7">
        <v>6704.36</v>
      </c>
      <c r="V124" s="7">
        <v>0</v>
      </c>
      <c r="W124" s="7">
        <v>8277.7800000000007</v>
      </c>
    </row>
    <row r="125" spans="1:23" x14ac:dyDescent="0.25">
      <c r="A125" s="12" t="s">
        <v>38</v>
      </c>
      <c r="B125" s="12">
        <v>394</v>
      </c>
      <c r="C125" s="12">
        <v>1</v>
      </c>
      <c r="D125" s="13" t="s">
        <v>519</v>
      </c>
      <c r="E125" s="12">
        <v>139</v>
      </c>
      <c r="F125" s="12">
        <v>315</v>
      </c>
      <c r="G125" s="14" t="s">
        <v>743</v>
      </c>
      <c r="H125" s="7">
        <v>9491.6299999999992</v>
      </c>
      <c r="I125" s="7">
        <v>5816.37</v>
      </c>
      <c r="J125" s="7">
        <v>15308</v>
      </c>
      <c r="K125" s="7">
        <v>13924.65</v>
      </c>
      <c r="L125" s="7">
        <v>34034.6</v>
      </c>
      <c r="M125" s="7">
        <v>47959.25</v>
      </c>
      <c r="N125" s="7">
        <v>11989.81</v>
      </c>
      <c r="O125" s="7">
        <v>12603.48</v>
      </c>
      <c r="P125" s="7">
        <v>0</v>
      </c>
      <c r="Q125" s="7">
        <v>10989.28</v>
      </c>
      <c r="R125" s="7">
        <v>0</v>
      </c>
      <c r="S125" s="7">
        <v>0</v>
      </c>
      <c r="T125" s="7">
        <v>8381.91</v>
      </c>
      <c r="U125" s="7">
        <v>10658.22</v>
      </c>
      <c r="V125" s="7">
        <v>0</v>
      </c>
      <c r="W125" s="7">
        <v>15308</v>
      </c>
    </row>
    <row r="126" spans="1:23" x14ac:dyDescent="0.25">
      <c r="A126" s="12" t="s">
        <v>38</v>
      </c>
      <c r="B126" s="12">
        <v>402</v>
      </c>
      <c r="C126" s="12">
        <v>1</v>
      </c>
      <c r="D126" s="13" t="s">
        <v>520</v>
      </c>
      <c r="E126" s="12">
        <v>14</v>
      </c>
      <c r="F126" s="12">
        <v>74</v>
      </c>
      <c r="G126" s="14" t="s">
        <v>743</v>
      </c>
      <c r="H126" s="7">
        <v>955.99</v>
      </c>
      <c r="I126" s="7">
        <v>1366.38</v>
      </c>
      <c r="J126" s="7">
        <v>2322.37</v>
      </c>
      <c r="K126" s="7">
        <v>2429.4499999999998</v>
      </c>
      <c r="L126" s="7">
        <v>8806.52</v>
      </c>
      <c r="M126" s="7">
        <v>11235.97</v>
      </c>
      <c r="N126" s="7">
        <v>2808.99</v>
      </c>
      <c r="O126" s="7">
        <v>-17342.240000000002</v>
      </c>
      <c r="P126" s="7">
        <v>0</v>
      </c>
      <c r="Q126" s="7">
        <v>-15148.55</v>
      </c>
      <c r="R126" s="7">
        <v>0</v>
      </c>
      <c r="S126" s="7">
        <v>0</v>
      </c>
      <c r="T126" s="7">
        <v>-10857.05</v>
      </c>
      <c r="U126" s="7">
        <v>-14449.28</v>
      </c>
      <c r="V126" s="7">
        <v>0</v>
      </c>
      <c r="W126" s="7">
        <v>2322.37</v>
      </c>
    </row>
    <row r="127" spans="1:23" x14ac:dyDescent="0.25">
      <c r="A127" s="12" t="s">
        <v>38</v>
      </c>
      <c r="B127" s="12">
        <v>403</v>
      </c>
      <c r="C127" s="12">
        <v>1</v>
      </c>
      <c r="D127" s="13" t="s">
        <v>521</v>
      </c>
      <c r="E127" s="12">
        <v>14</v>
      </c>
      <c r="F127" s="12">
        <v>41</v>
      </c>
      <c r="G127" s="14" t="s">
        <v>743</v>
      </c>
      <c r="H127" s="7">
        <v>955.99</v>
      </c>
      <c r="I127" s="7">
        <v>757.05</v>
      </c>
      <c r="J127" s="7">
        <v>1713.04</v>
      </c>
      <c r="K127" s="7">
        <v>2126.59</v>
      </c>
      <c r="L127" s="7">
        <v>0</v>
      </c>
      <c r="M127" s="7">
        <v>2126.59</v>
      </c>
      <c r="N127" s="7">
        <v>531.65</v>
      </c>
      <c r="O127" s="7">
        <v>-8886.7800000000007</v>
      </c>
      <c r="P127" s="7">
        <v>0</v>
      </c>
      <c r="Q127" s="7">
        <v>-6808.53</v>
      </c>
      <c r="R127" s="7">
        <v>0</v>
      </c>
      <c r="S127" s="7">
        <v>0</v>
      </c>
      <c r="T127" s="7">
        <v>-2819.68</v>
      </c>
      <c r="U127" s="7">
        <v>-6171.66</v>
      </c>
      <c r="V127" s="7">
        <v>0</v>
      </c>
      <c r="W127" s="7">
        <v>1713.04</v>
      </c>
    </row>
    <row r="128" spans="1:23" x14ac:dyDescent="0.25">
      <c r="A128" s="12" t="s">
        <v>38</v>
      </c>
      <c r="B128" s="12">
        <v>404</v>
      </c>
      <c r="C128" s="12">
        <v>1</v>
      </c>
      <c r="D128" s="13" t="s">
        <v>522</v>
      </c>
      <c r="E128" s="12">
        <v>17</v>
      </c>
      <c r="F128" s="12">
        <v>49</v>
      </c>
      <c r="G128" s="14" t="s">
        <v>743</v>
      </c>
      <c r="H128" s="7">
        <v>1160.8499999999999</v>
      </c>
      <c r="I128" s="7">
        <v>904.77</v>
      </c>
      <c r="J128" s="7">
        <v>2065.62</v>
      </c>
      <c r="K128" s="7">
        <v>2260.54</v>
      </c>
      <c r="L128" s="7">
        <v>12818.85</v>
      </c>
      <c r="M128" s="7">
        <v>15079.39</v>
      </c>
      <c r="N128" s="7">
        <v>3769.85</v>
      </c>
      <c r="O128" s="7">
        <v>-81063.210000000006</v>
      </c>
      <c r="P128" s="7">
        <v>0</v>
      </c>
      <c r="Q128" s="7">
        <v>-91651.11</v>
      </c>
      <c r="R128" s="7">
        <v>0</v>
      </c>
      <c r="S128" s="7">
        <v>0</v>
      </c>
      <c r="T128" s="7">
        <v>-110835.4</v>
      </c>
      <c r="U128" s="7">
        <v>-94516.57</v>
      </c>
      <c r="V128" s="7">
        <v>0</v>
      </c>
      <c r="W128" s="7">
        <v>2065.62</v>
      </c>
    </row>
    <row r="129" spans="1:23" x14ac:dyDescent="0.25">
      <c r="A129" s="12" t="s">
        <v>38</v>
      </c>
      <c r="B129" s="12">
        <v>413</v>
      </c>
      <c r="C129" s="12">
        <v>1</v>
      </c>
      <c r="D129" s="13" t="s">
        <v>523</v>
      </c>
      <c r="E129" s="12">
        <v>233</v>
      </c>
      <c r="F129" s="12">
        <v>726</v>
      </c>
      <c r="G129" s="14" t="s">
        <v>743</v>
      </c>
      <c r="H129" s="7">
        <v>15910.43</v>
      </c>
      <c r="I129" s="7">
        <v>13405.34</v>
      </c>
      <c r="J129" s="7">
        <v>29315.77</v>
      </c>
      <c r="K129" s="7">
        <v>28469.39</v>
      </c>
      <c r="L129" s="7">
        <v>33190.720000000001</v>
      </c>
      <c r="M129" s="7">
        <v>61660.11</v>
      </c>
      <c r="N129" s="7">
        <v>15415.03</v>
      </c>
      <c r="O129" s="7">
        <v>24731.759999999998</v>
      </c>
      <c r="P129" s="7">
        <v>7021.28</v>
      </c>
      <c r="Q129" s="7">
        <v>5472.02</v>
      </c>
      <c r="R129" s="7">
        <v>75.33</v>
      </c>
      <c r="S129" s="7">
        <v>0</v>
      </c>
      <c r="T129" s="7">
        <v>8507.0499999999993</v>
      </c>
      <c r="U129" s="7">
        <v>10538.07</v>
      </c>
      <c r="V129" s="7">
        <v>0</v>
      </c>
      <c r="W129" s="7">
        <v>29315.77</v>
      </c>
    </row>
    <row r="130" spans="1:23" x14ac:dyDescent="0.25">
      <c r="A130" s="12" t="s">
        <v>38</v>
      </c>
      <c r="B130" s="12">
        <v>414</v>
      </c>
      <c r="C130" s="12">
        <v>1</v>
      </c>
      <c r="D130" s="13" t="s">
        <v>524</v>
      </c>
      <c r="E130" s="12">
        <v>37</v>
      </c>
      <c r="F130" s="12">
        <v>173</v>
      </c>
      <c r="G130" s="14" t="s">
        <v>743</v>
      </c>
      <c r="H130" s="7">
        <v>2526.5500000000002</v>
      </c>
      <c r="I130" s="7">
        <v>3194.39</v>
      </c>
      <c r="J130" s="7">
        <v>5720.94</v>
      </c>
      <c r="K130" s="7">
        <v>5734.55</v>
      </c>
      <c r="L130" s="7">
        <v>7940</v>
      </c>
      <c r="M130" s="7">
        <v>13674.55</v>
      </c>
      <c r="N130" s="7">
        <v>3418.64</v>
      </c>
      <c r="O130" s="7">
        <v>1312.56</v>
      </c>
      <c r="P130" s="7">
        <v>3395.13</v>
      </c>
      <c r="Q130" s="7">
        <v>0</v>
      </c>
      <c r="R130" s="7">
        <v>0</v>
      </c>
      <c r="S130" s="7">
        <v>0</v>
      </c>
      <c r="T130" s="7">
        <v>0</v>
      </c>
      <c r="U130" s="7">
        <v>-694.19</v>
      </c>
      <c r="V130" s="7">
        <v>0</v>
      </c>
      <c r="W130" s="7">
        <v>5720.94</v>
      </c>
    </row>
    <row r="131" spans="1:23" x14ac:dyDescent="0.25">
      <c r="A131" s="12" t="s">
        <v>38</v>
      </c>
      <c r="B131" s="12">
        <v>415</v>
      </c>
      <c r="C131" s="12">
        <v>1</v>
      </c>
      <c r="D131" s="13" t="s">
        <v>525</v>
      </c>
      <c r="E131" s="12">
        <v>15</v>
      </c>
      <c r="F131" s="12">
        <v>72</v>
      </c>
      <c r="G131" s="14" t="s">
        <v>743</v>
      </c>
      <c r="H131" s="7">
        <v>1024.28</v>
      </c>
      <c r="I131" s="7">
        <v>1329.46</v>
      </c>
      <c r="J131" s="7">
        <v>2353.7399999999998</v>
      </c>
      <c r="K131" s="7">
        <v>2826.27</v>
      </c>
      <c r="L131" s="7">
        <v>9561.1200000000008</v>
      </c>
      <c r="M131" s="7">
        <v>12387.39</v>
      </c>
      <c r="N131" s="7">
        <v>3096.85</v>
      </c>
      <c r="O131" s="7">
        <v>7.94</v>
      </c>
      <c r="P131" s="7">
        <v>0</v>
      </c>
      <c r="Q131" s="7">
        <v>-0.21</v>
      </c>
      <c r="R131" s="7">
        <v>0</v>
      </c>
      <c r="S131" s="7">
        <v>0</v>
      </c>
      <c r="T131" s="7">
        <v>2.71</v>
      </c>
      <c r="U131" s="7">
        <v>3.48</v>
      </c>
      <c r="V131" s="7">
        <v>0</v>
      </c>
      <c r="W131" s="7">
        <v>2353.7399999999998</v>
      </c>
    </row>
    <row r="132" spans="1:23" x14ac:dyDescent="0.25">
      <c r="A132" s="12" t="s">
        <v>38</v>
      </c>
      <c r="B132" s="12">
        <v>423</v>
      </c>
      <c r="C132" s="12">
        <v>1</v>
      </c>
      <c r="D132" s="13" t="s">
        <v>526</v>
      </c>
      <c r="E132" s="12">
        <v>320</v>
      </c>
      <c r="F132" s="12">
        <v>814</v>
      </c>
      <c r="G132" s="14" t="s">
        <v>743</v>
      </c>
      <c r="H132" s="7">
        <v>21851.24</v>
      </c>
      <c r="I132" s="7">
        <v>15030.23</v>
      </c>
      <c r="J132" s="7">
        <v>36881.47</v>
      </c>
      <c r="K132" s="7">
        <v>40378.89</v>
      </c>
      <c r="L132" s="7">
        <v>8289</v>
      </c>
      <c r="M132" s="7">
        <v>48667.89</v>
      </c>
      <c r="N132" s="7">
        <v>12166.97</v>
      </c>
      <c r="O132" s="7">
        <v>13396.36</v>
      </c>
      <c r="P132" s="7">
        <v>0</v>
      </c>
      <c r="Q132" s="7">
        <v>9304.11</v>
      </c>
      <c r="R132" s="7">
        <v>0</v>
      </c>
      <c r="S132" s="7">
        <v>0</v>
      </c>
      <c r="T132" s="7">
        <v>11765.53</v>
      </c>
      <c r="U132" s="7">
        <v>11488.67</v>
      </c>
      <c r="V132" s="7">
        <v>0</v>
      </c>
      <c r="W132" s="7">
        <v>36881.47</v>
      </c>
    </row>
    <row r="133" spans="1:23" x14ac:dyDescent="0.25">
      <c r="A133" s="12" t="s">
        <v>38</v>
      </c>
      <c r="B133" s="12">
        <v>424</v>
      </c>
      <c r="C133" s="12">
        <v>1</v>
      </c>
      <c r="D133" s="13" t="s">
        <v>527</v>
      </c>
      <c r="E133" s="12">
        <v>34</v>
      </c>
      <c r="F133" s="12">
        <v>124</v>
      </c>
      <c r="G133" s="14" t="s">
        <v>743</v>
      </c>
      <c r="H133" s="7">
        <v>2321.69</v>
      </c>
      <c r="I133" s="7">
        <v>2289.62</v>
      </c>
      <c r="J133" s="7">
        <v>4611.3100000000004</v>
      </c>
      <c r="K133" s="7">
        <v>5069.3500000000004</v>
      </c>
      <c r="L133" s="7">
        <v>24097.16</v>
      </c>
      <c r="M133" s="7">
        <v>29166.51</v>
      </c>
      <c r="N133" s="7">
        <v>7291.63</v>
      </c>
      <c r="O133" s="7">
        <v>-42519.75</v>
      </c>
      <c r="P133" s="7">
        <v>0</v>
      </c>
      <c r="Q133" s="7">
        <v>-44198</v>
      </c>
      <c r="R133" s="7">
        <v>0</v>
      </c>
      <c r="S133" s="7">
        <v>0</v>
      </c>
      <c r="T133" s="7">
        <v>-65700.53</v>
      </c>
      <c r="U133" s="7">
        <v>-50806.09</v>
      </c>
      <c r="V133" s="7">
        <v>0</v>
      </c>
      <c r="W133" s="7">
        <v>4611.3100000000004</v>
      </c>
    </row>
    <row r="134" spans="1:23" x14ac:dyDescent="0.25">
      <c r="A134" s="12" t="s">
        <v>38</v>
      </c>
      <c r="B134" s="12">
        <v>432</v>
      </c>
      <c r="C134" s="12">
        <v>1</v>
      </c>
      <c r="D134" s="13" t="s">
        <v>528</v>
      </c>
      <c r="E134" s="12">
        <v>62</v>
      </c>
      <c r="F134" s="12">
        <v>447</v>
      </c>
      <c r="G134" s="14" t="s">
        <v>743</v>
      </c>
      <c r="H134" s="7">
        <v>4233.68</v>
      </c>
      <c r="I134" s="7">
        <v>8253.7000000000007</v>
      </c>
      <c r="J134" s="7">
        <v>12487.38</v>
      </c>
      <c r="K134" s="7">
        <v>12841.43</v>
      </c>
      <c r="L134" s="7">
        <v>0</v>
      </c>
      <c r="M134" s="7">
        <v>12841.43</v>
      </c>
      <c r="N134" s="7">
        <v>3210.36</v>
      </c>
      <c r="O134" s="7">
        <v>2376.02</v>
      </c>
      <c r="P134" s="7">
        <v>0</v>
      </c>
      <c r="Q134" s="7">
        <v>2605.8000000000002</v>
      </c>
      <c r="R134" s="7">
        <v>0</v>
      </c>
      <c r="S134" s="7">
        <v>0</v>
      </c>
      <c r="T134" s="7">
        <v>1982.11</v>
      </c>
      <c r="U134" s="7">
        <v>2321.31</v>
      </c>
      <c r="V134" s="7">
        <v>0</v>
      </c>
      <c r="W134" s="7">
        <v>12487.38</v>
      </c>
    </row>
    <row r="135" spans="1:23" x14ac:dyDescent="0.25">
      <c r="A135" s="12" t="s">
        <v>38</v>
      </c>
      <c r="B135" s="12">
        <v>435</v>
      </c>
      <c r="C135" s="12">
        <v>1</v>
      </c>
      <c r="D135" s="13" t="s">
        <v>529</v>
      </c>
      <c r="E135" s="12">
        <v>35</v>
      </c>
      <c r="F135" s="12">
        <v>402</v>
      </c>
      <c r="G135" s="14" t="s">
        <v>743</v>
      </c>
      <c r="H135" s="7">
        <v>2389.98</v>
      </c>
      <c r="I135" s="7">
        <v>7422.79</v>
      </c>
      <c r="J135" s="7">
        <v>9812.77</v>
      </c>
      <c r="K135" s="7">
        <v>9987.14</v>
      </c>
      <c r="L135" s="7">
        <v>0</v>
      </c>
      <c r="M135" s="7">
        <v>9987.14</v>
      </c>
      <c r="N135" s="7">
        <v>2496.79</v>
      </c>
      <c r="O135" s="7">
        <v>24.02</v>
      </c>
      <c r="P135" s="7">
        <v>0</v>
      </c>
      <c r="Q135" s="7">
        <v>75.53</v>
      </c>
      <c r="R135" s="7">
        <v>0</v>
      </c>
      <c r="S135" s="7">
        <v>0</v>
      </c>
      <c r="T135" s="7">
        <v>35.700000000000003</v>
      </c>
      <c r="U135" s="7">
        <v>45.08</v>
      </c>
      <c r="V135" s="7">
        <v>0</v>
      </c>
      <c r="W135" s="7">
        <v>9812.77</v>
      </c>
    </row>
    <row r="136" spans="1:23" x14ac:dyDescent="0.25">
      <c r="A136" s="12" t="s">
        <v>38</v>
      </c>
      <c r="B136" s="12">
        <v>441</v>
      </c>
      <c r="C136" s="12">
        <v>1</v>
      </c>
      <c r="D136" s="13" t="s">
        <v>530</v>
      </c>
      <c r="E136" s="12">
        <v>25</v>
      </c>
      <c r="F136" s="12">
        <v>187</v>
      </c>
      <c r="G136" s="14" t="s">
        <v>743</v>
      </c>
      <c r="H136" s="7">
        <v>1707.13</v>
      </c>
      <c r="I136" s="7">
        <v>3452.89</v>
      </c>
      <c r="J136" s="7">
        <v>5160.0200000000004</v>
      </c>
      <c r="K136" s="7">
        <v>5798</v>
      </c>
      <c r="L136" s="7">
        <v>22125</v>
      </c>
      <c r="M136" s="7">
        <v>27923</v>
      </c>
      <c r="N136" s="7">
        <v>6980.75</v>
      </c>
      <c r="O136" s="7">
        <v>0.02</v>
      </c>
      <c r="P136" s="7">
        <v>0</v>
      </c>
      <c r="Q136" s="7">
        <v>0.11</v>
      </c>
      <c r="R136" s="7">
        <v>0</v>
      </c>
      <c r="S136" s="7">
        <v>0</v>
      </c>
      <c r="T136" s="7">
        <v>-0.63</v>
      </c>
      <c r="U136" s="7">
        <v>-0.17</v>
      </c>
      <c r="V136" s="7">
        <v>0</v>
      </c>
      <c r="W136" s="7">
        <v>5160.0200000000004</v>
      </c>
    </row>
    <row r="137" spans="1:23" x14ac:dyDescent="0.25">
      <c r="A137" s="12" t="s">
        <v>38</v>
      </c>
      <c r="B137" s="12">
        <v>447</v>
      </c>
      <c r="C137" s="12">
        <v>1</v>
      </c>
      <c r="D137" s="13" t="s">
        <v>531</v>
      </c>
      <c r="E137" s="12">
        <v>5</v>
      </c>
      <c r="F137" s="12">
        <v>96</v>
      </c>
      <c r="G137" s="14" t="s">
        <v>743</v>
      </c>
      <c r="H137" s="7">
        <v>341.43</v>
      </c>
      <c r="I137" s="7">
        <v>1772.61</v>
      </c>
      <c r="J137" s="7">
        <v>2114.04</v>
      </c>
      <c r="K137" s="7">
        <v>2358.4699999999998</v>
      </c>
      <c r="L137" s="7">
        <v>0</v>
      </c>
      <c r="M137" s="7">
        <v>2358.4699999999998</v>
      </c>
      <c r="N137" s="7">
        <v>589.62</v>
      </c>
      <c r="O137" s="7">
        <v>325.87</v>
      </c>
      <c r="P137" s="7">
        <v>0</v>
      </c>
      <c r="Q137" s="7">
        <v>-296.85000000000002</v>
      </c>
      <c r="R137" s="7">
        <v>0</v>
      </c>
      <c r="S137" s="7">
        <v>0</v>
      </c>
      <c r="T137" s="7">
        <v>11.62</v>
      </c>
      <c r="U137" s="7">
        <v>13.55</v>
      </c>
      <c r="V137" s="7">
        <v>0</v>
      </c>
      <c r="W137" s="7">
        <v>2114.04</v>
      </c>
    </row>
    <row r="138" spans="1:23" x14ac:dyDescent="0.25">
      <c r="A138" s="12" t="s">
        <v>38</v>
      </c>
      <c r="B138" s="12">
        <v>458</v>
      </c>
      <c r="C138" s="12">
        <v>1</v>
      </c>
      <c r="D138" s="13" t="s">
        <v>532</v>
      </c>
      <c r="E138" s="12">
        <v>40</v>
      </c>
      <c r="F138" s="12">
        <v>156</v>
      </c>
      <c r="G138" s="14" t="s">
        <v>743</v>
      </c>
      <c r="H138" s="7">
        <v>2731.41</v>
      </c>
      <c r="I138" s="7">
        <v>2880.49</v>
      </c>
      <c r="J138" s="7">
        <v>5611.9</v>
      </c>
      <c r="K138" s="7">
        <v>5634.59</v>
      </c>
      <c r="L138" s="7">
        <v>15881</v>
      </c>
      <c r="M138" s="7">
        <v>21515.59</v>
      </c>
      <c r="N138" s="7">
        <v>5378.9</v>
      </c>
      <c r="O138" s="7">
        <v>0.28999999999999998</v>
      </c>
      <c r="P138" s="7">
        <v>0</v>
      </c>
      <c r="Q138" s="7">
        <v>0</v>
      </c>
      <c r="R138" s="7">
        <v>0</v>
      </c>
      <c r="S138" s="7">
        <v>0</v>
      </c>
      <c r="T138" s="7">
        <v>-6131.59</v>
      </c>
      <c r="U138" s="7">
        <v>-2043.77</v>
      </c>
      <c r="V138" s="7">
        <v>0</v>
      </c>
      <c r="W138" s="7">
        <v>5611.9</v>
      </c>
    </row>
    <row r="139" spans="1:23" x14ac:dyDescent="0.25">
      <c r="A139" s="12" t="s">
        <v>38</v>
      </c>
      <c r="B139" s="12">
        <v>463</v>
      </c>
      <c r="C139" s="12">
        <v>1</v>
      </c>
      <c r="D139" s="13" t="s">
        <v>533</v>
      </c>
      <c r="E139" s="12">
        <v>79</v>
      </c>
      <c r="F139" s="12">
        <v>381</v>
      </c>
      <c r="G139" s="14" t="s">
        <v>743</v>
      </c>
      <c r="H139" s="7">
        <v>5394.53</v>
      </c>
      <c r="I139" s="7">
        <v>7035.04</v>
      </c>
      <c r="J139" s="7">
        <v>12429.57</v>
      </c>
      <c r="K139" s="7">
        <v>12251.75</v>
      </c>
      <c r="L139" s="7">
        <v>25730.01</v>
      </c>
      <c r="M139" s="7">
        <v>37981.760000000002</v>
      </c>
      <c r="N139" s="7">
        <v>9495.44</v>
      </c>
      <c r="O139" s="7">
        <v>-41533.75</v>
      </c>
      <c r="P139" s="7">
        <v>0</v>
      </c>
      <c r="Q139" s="7">
        <v>-23640.45</v>
      </c>
      <c r="R139" s="7">
        <v>0</v>
      </c>
      <c r="S139" s="7">
        <v>0</v>
      </c>
      <c r="T139" s="7">
        <v>-22290.78</v>
      </c>
      <c r="U139" s="7">
        <v>-29154.99</v>
      </c>
      <c r="V139" s="7">
        <v>0</v>
      </c>
      <c r="W139" s="7">
        <v>12429.57</v>
      </c>
    </row>
    <row r="140" spans="1:23" x14ac:dyDescent="0.25">
      <c r="A140" s="12" t="s">
        <v>38</v>
      </c>
      <c r="B140" s="12">
        <v>465</v>
      </c>
      <c r="C140" s="12">
        <v>1</v>
      </c>
      <c r="D140" s="13" t="s">
        <v>534</v>
      </c>
      <c r="E140" s="12">
        <v>165</v>
      </c>
      <c r="F140" s="12">
        <v>654</v>
      </c>
      <c r="G140" s="14" t="s">
        <v>743</v>
      </c>
      <c r="H140" s="7">
        <v>11267.05</v>
      </c>
      <c r="I140" s="7">
        <v>12075.89</v>
      </c>
      <c r="J140" s="7">
        <v>23342.94</v>
      </c>
      <c r="K140" s="7">
        <v>23170.09</v>
      </c>
      <c r="L140" s="7">
        <v>23030</v>
      </c>
      <c r="M140" s="7">
        <v>46200.09</v>
      </c>
      <c r="N140" s="7">
        <v>11550.02</v>
      </c>
      <c r="O140" s="7">
        <v>-31413.58</v>
      </c>
      <c r="P140" s="7">
        <v>0</v>
      </c>
      <c r="Q140" s="7">
        <v>-25787.13</v>
      </c>
      <c r="R140" s="7">
        <v>0</v>
      </c>
      <c r="S140" s="7">
        <v>0</v>
      </c>
      <c r="T140" s="7">
        <v>-11967.44</v>
      </c>
      <c r="U140" s="7">
        <v>-23056.05</v>
      </c>
      <c r="V140" s="7">
        <v>0</v>
      </c>
      <c r="W140" s="7">
        <v>23342.94</v>
      </c>
    </row>
    <row r="141" spans="1:23" x14ac:dyDescent="0.25">
      <c r="A141" s="12" t="s">
        <v>38</v>
      </c>
      <c r="B141" s="12">
        <v>466</v>
      </c>
      <c r="C141" s="12">
        <v>1</v>
      </c>
      <c r="D141" s="13" t="s">
        <v>535</v>
      </c>
      <c r="E141" s="12">
        <v>180</v>
      </c>
      <c r="F141" s="12">
        <v>781</v>
      </c>
      <c r="G141" s="14" t="s">
        <v>743</v>
      </c>
      <c r="H141" s="7">
        <v>12291.32</v>
      </c>
      <c r="I141" s="7">
        <v>14420.9</v>
      </c>
      <c r="J141" s="7">
        <v>26712.22</v>
      </c>
      <c r="K141" s="7">
        <v>26495.67</v>
      </c>
      <c r="L141" s="7">
        <v>68245.86</v>
      </c>
      <c r="M141" s="7">
        <v>94741.53</v>
      </c>
      <c r="N141" s="7">
        <v>23685.38</v>
      </c>
      <c r="O141" s="7">
        <v>7469.76</v>
      </c>
      <c r="P141" s="7">
        <v>0</v>
      </c>
      <c r="Q141" s="7">
        <v>4164.8</v>
      </c>
      <c r="R141" s="7">
        <v>0</v>
      </c>
      <c r="S141" s="7">
        <v>0</v>
      </c>
      <c r="T141" s="7">
        <v>15012.53</v>
      </c>
      <c r="U141" s="7">
        <v>8882.36</v>
      </c>
      <c r="V141" s="7">
        <v>0</v>
      </c>
      <c r="W141" s="7">
        <v>26712.22</v>
      </c>
    </row>
    <row r="142" spans="1:23" x14ac:dyDescent="0.25">
      <c r="A142" s="12" t="s">
        <v>38</v>
      </c>
      <c r="B142" s="12">
        <v>473</v>
      </c>
      <c r="C142" s="12">
        <v>1</v>
      </c>
      <c r="D142" s="13" t="s">
        <v>536</v>
      </c>
      <c r="E142" s="12">
        <v>30</v>
      </c>
      <c r="F142" s="12">
        <v>247</v>
      </c>
      <c r="G142" s="14" t="s">
        <v>743</v>
      </c>
      <c r="H142" s="7">
        <v>2048.5500000000002</v>
      </c>
      <c r="I142" s="7">
        <v>4560.7700000000004</v>
      </c>
      <c r="J142" s="7">
        <v>6609.32</v>
      </c>
      <c r="K142" s="7">
        <v>7288.83</v>
      </c>
      <c r="L142" s="7">
        <v>7847.5</v>
      </c>
      <c r="M142" s="7">
        <v>15136.33</v>
      </c>
      <c r="N142" s="7">
        <v>3784.08</v>
      </c>
      <c r="O142" s="7">
        <v>2328.4</v>
      </c>
      <c r="P142" s="7">
        <v>0</v>
      </c>
      <c r="Q142" s="7">
        <v>1229.55</v>
      </c>
      <c r="R142" s="7">
        <v>0</v>
      </c>
      <c r="S142" s="7">
        <v>0</v>
      </c>
      <c r="T142" s="7">
        <v>113.01</v>
      </c>
      <c r="U142" s="7">
        <v>1223.6500000000001</v>
      </c>
      <c r="V142" s="7">
        <v>0</v>
      </c>
      <c r="W142" s="7">
        <v>6609.32</v>
      </c>
    </row>
    <row r="143" spans="1:23" x14ac:dyDescent="0.25">
      <c r="A143" s="12" t="s">
        <v>38</v>
      </c>
      <c r="B143" s="12">
        <v>477</v>
      </c>
      <c r="C143" s="12">
        <v>1</v>
      </c>
      <c r="D143" s="13" t="s">
        <v>537</v>
      </c>
      <c r="E143" s="12">
        <v>284</v>
      </c>
      <c r="F143" s="12">
        <v>1038</v>
      </c>
      <c r="G143" s="14" t="s">
        <v>743</v>
      </c>
      <c r="H143" s="7">
        <v>19392.98</v>
      </c>
      <c r="I143" s="7">
        <v>19166.32</v>
      </c>
      <c r="J143" s="7">
        <v>38559.300000000003</v>
      </c>
      <c r="K143" s="7">
        <v>40581.800000000003</v>
      </c>
      <c r="L143" s="7">
        <v>100104.5</v>
      </c>
      <c r="M143" s="7">
        <v>140686.29999999999</v>
      </c>
      <c r="N143" s="7">
        <v>35171.58</v>
      </c>
      <c r="O143" s="7">
        <v>37693.42</v>
      </c>
      <c r="P143" s="7">
        <v>0</v>
      </c>
      <c r="Q143" s="7">
        <v>8949.51</v>
      </c>
      <c r="R143" s="7">
        <v>0</v>
      </c>
      <c r="S143" s="7">
        <v>0</v>
      </c>
      <c r="T143" s="7">
        <v>22133.45</v>
      </c>
      <c r="U143" s="7">
        <v>22925.46</v>
      </c>
      <c r="V143" s="7">
        <v>0</v>
      </c>
      <c r="W143" s="7">
        <v>38559.300000000003</v>
      </c>
    </row>
    <row r="144" spans="1:23" x14ac:dyDescent="0.25">
      <c r="A144" s="12" t="s">
        <v>38</v>
      </c>
      <c r="B144" s="12">
        <v>480</v>
      </c>
      <c r="C144" s="12">
        <v>1</v>
      </c>
      <c r="D144" s="13" t="s">
        <v>538</v>
      </c>
      <c r="E144" s="12">
        <v>75</v>
      </c>
      <c r="F144" s="12">
        <v>459</v>
      </c>
      <c r="G144" s="14" t="s">
        <v>743</v>
      </c>
      <c r="H144" s="7">
        <v>5121.38</v>
      </c>
      <c r="I144" s="7">
        <v>8475.2800000000007</v>
      </c>
      <c r="J144" s="7">
        <v>13596.66</v>
      </c>
      <c r="K144" s="7">
        <v>14991.01</v>
      </c>
      <c r="L144" s="7">
        <v>0</v>
      </c>
      <c r="M144" s="7">
        <v>14991.01</v>
      </c>
      <c r="N144" s="7">
        <v>3747.75</v>
      </c>
      <c r="O144" s="7">
        <v>-1073.43</v>
      </c>
      <c r="P144" s="7">
        <v>0</v>
      </c>
      <c r="Q144" s="7">
        <v>-2915.91</v>
      </c>
      <c r="R144" s="7">
        <v>0</v>
      </c>
      <c r="S144" s="7">
        <v>0</v>
      </c>
      <c r="T144" s="7">
        <v>-8956.81</v>
      </c>
      <c r="U144" s="7">
        <v>-4315.38</v>
      </c>
      <c r="V144" s="7">
        <v>0</v>
      </c>
      <c r="W144" s="7">
        <v>13596.66</v>
      </c>
    </row>
    <row r="145" spans="1:23" x14ac:dyDescent="0.25">
      <c r="A145" s="12" t="s">
        <v>38</v>
      </c>
      <c r="B145" s="12">
        <v>482</v>
      </c>
      <c r="C145" s="12">
        <v>1</v>
      </c>
      <c r="D145" s="13" t="s">
        <v>539</v>
      </c>
      <c r="E145" s="12">
        <v>222</v>
      </c>
      <c r="F145" s="12">
        <v>1122</v>
      </c>
      <c r="G145" s="14" t="s">
        <v>743</v>
      </c>
      <c r="H145" s="7">
        <v>15159.3</v>
      </c>
      <c r="I145" s="7">
        <v>20717.349999999999</v>
      </c>
      <c r="J145" s="7">
        <v>35876.65</v>
      </c>
      <c r="K145" s="7">
        <v>36451.33</v>
      </c>
      <c r="L145" s="7">
        <v>23665</v>
      </c>
      <c r="M145" s="7">
        <v>60116.33</v>
      </c>
      <c r="N145" s="7">
        <v>15029.08</v>
      </c>
      <c r="O145" s="7">
        <v>-4204.72</v>
      </c>
      <c r="P145" s="7">
        <v>0</v>
      </c>
      <c r="Q145" s="7">
        <v>13276.45</v>
      </c>
      <c r="R145" s="7">
        <v>0</v>
      </c>
      <c r="S145" s="7">
        <v>0</v>
      </c>
      <c r="T145" s="7">
        <v>12530.32</v>
      </c>
      <c r="U145" s="7">
        <v>7200.68</v>
      </c>
      <c r="V145" s="7">
        <v>0</v>
      </c>
      <c r="W145" s="7">
        <v>35876.65</v>
      </c>
    </row>
    <row r="146" spans="1:23" x14ac:dyDescent="0.25">
      <c r="A146" s="12" t="s">
        <v>38</v>
      </c>
      <c r="B146" s="12">
        <v>484</v>
      </c>
      <c r="C146" s="12">
        <v>1</v>
      </c>
      <c r="D146" s="13" t="s">
        <v>540</v>
      </c>
      <c r="E146" s="12">
        <v>70</v>
      </c>
      <c r="F146" s="12">
        <v>448</v>
      </c>
      <c r="G146" s="14" t="s">
        <v>743</v>
      </c>
      <c r="H146" s="7">
        <v>4779.96</v>
      </c>
      <c r="I146" s="7">
        <v>8272.17</v>
      </c>
      <c r="J146" s="7">
        <v>13052.13</v>
      </c>
      <c r="K146" s="7">
        <v>13303.74</v>
      </c>
      <c r="L146" s="7">
        <v>9777</v>
      </c>
      <c r="M146" s="7">
        <v>23080.74</v>
      </c>
      <c r="N146" s="7">
        <v>5770.19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13052.13</v>
      </c>
    </row>
    <row r="147" spans="1:23" x14ac:dyDescent="0.25">
      <c r="A147" s="12" t="s">
        <v>38</v>
      </c>
      <c r="B147" s="12">
        <v>485</v>
      </c>
      <c r="C147" s="12">
        <v>1</v>
      </c>
      <c r="D147" s="13" t="s">
        <v>541</v>
      </c>
      <c r="E147" s="12">
        <v>67</v>
      </c>
      <c r="F147" s="12">
        <v>305</v>
      </c>
      <c r="G147" s="14" t="s">
        <v>743</v>
      </c>
      <c r="H147" s="7">
        <v>4575.1000000000004</v>
      </c>
      <c r="I147" s="7">
        <v>5631.72</v>
      </c>
      <c r="J147" s="7">
        <v>10206.82</v>
      </c>
      <c r="K147" s="7">
        <v>8763.73</v>
      </c>
      <c r="L147" s="7">
        <v>13182</v>
      </c>
      <c r="M147" s="7">
        <v>21945.73</v>
      </c>
      <c r="N147" s="7">
        <v>5486.43</v>
      </c>
      <c r="O147" s="7">
        <v>1029.9100000000001</v>
      </c>
      <c r="P147" s="7">
        <v>0</v>
      </c>
      <c r="Q147" s="7">
        <v>-1204.1600000000001</v>
      </c>
      <c r="R147" s="7">
        <v>0</v>
      </c>
      <c r="S147" s="7">
        <v>0</v>
      </c>
      <c r="T147" s="7">
        <v>-16812.03</v>
      </c>
      <c r="U147" s="7">
        <v>-5662.09</v>
      </c>
      <c r="V147" s="7">
        <v>0</v>
      </c>
      <c r="W147" s="7">
        <v>10206.82</v>
      </c>
    </row>
    <row r="148" spans="1:23" x14ac:dyDescent="0.25">
      <c r="A148" s="12" t="s">
        <v>38</v>
      </c>
      <c r="B148" s="12">
        <v>486</v>
      </c>
      <c r="C148" s="12">
        <v>1</v>
      </c>
      <c r="D148" s="13" t="s">
        <v>542</v>
      </c>
      <c r="E148" s="12">
        <v>25</v>
      </c>
      <c r="F148" s="12">
        <v>184</v>
      </c>
      <c r="G148" s="14" t="s">
        <v>743</v>
      </c>
      <c r="H148" s="7">
        <v>1707.13</v>
      </c>
      <c r="I148" s="7">
        <v>3397.5</v>
      </c>
      <c r="J148" s="7">
        <v>5104.63</v>
      </c>
      <c r="K148" s="7">
        <v>4753.4399999999996</v>
      </c>
      <c r="L148" s="7">
        <v>0</v>
      </c>
      <c r="M148" s="7">
        <v>4753.4399999999996</v>
      </c>
      <c r="N148" s="7">
        <v>1188.3599999999999</v>
      </c>
      <c r="O148" s="7">
        <v>-2189.2399999999998</v>
      </c>
      <c r="P148" s="7">
        <v>0</v>
      </c>
      <c r="Q148" s="7">
        <v>-1843.18</v>
      </c>
      <c r="R148" s="7">
        <v>0</v>
      </c>
      <c r="S148" s="7">
        <v>0</v>
      </c>
      <c r="T148" s="7">
        <v>-2617.1</v>
      </c>
      <c r="U148" s="7">
        <v>-2216.5100000000002</v>
      </c>
      <c r="V148" s="7">
        <v>0</v>
      </c>
      <c r="W148" s="7">
        <v>5104.63</v>
      </c>
    </row>
    <row r="149" spans="1:23" x14ac:dyDescent="0.25">
      <c r="A149" s="12" t="s">
        <v>38</v>
      </c>
      <c r="B149" s="12">
        <v>487</v>
      </c>
      <c r="C149" s="12">
        <v>1</v>
      </c>
      <c r="D149" s="13" t="s">
        <v>543</v>
      </c>
      <c r="E149" s="12">
        <v>25</v>
      </c>
      <c r="F149" s="12">
        <v>167</v>
      </c>
      <c r="G149" s="14" t="s">
        <v>743</v>
      </c>
      <c r="H149" s="7">
        <v>1707.13</v>
      </c>
      <c r="I149" s="7">
        <v>3083.6</v>
      </c>
      <c r="J149" s="7">
        <v>4790.7299999999996</v>
      </c>
      <c r="K149" s="7">
        <v>4576.03</v>
      </c>
      <c r="L149" s="7">
        <v>0</v>
      </c>
      <c r="M149" s="7">
        <v>4576.03</v>
      </c>
      <c r="N149" s="7">
        <v>1144.01</v>
      </c>
      <c r="O149" s="7">
        <v>-681.64</v>
      </c>
      <c r="P149" s="7">
        <v>0</v>
      </c>
      <c r="Q149" s="7">
        <v>-681.64</v>
      </c>
      <c r="R149" s="7">
        <v>0</v>
      </c>
      <c r="S149" s="7">
        <v>0</v>
      </c>
      <c r="T149" s="7">
        <v>-527.94000000000005</v>
      </c>
      <c r="U149" s="7">
        <v>-630.41</v>
      </c>
      <c r="V149" s="7">
        <v>0</v>
      </c>
      <c r="W149" s="7">
        <v>4790.7299999999996</v>
      </c>
    </row>
    <row r="150" spans="1:23" x14ac:dyDescent="0.25">
      <c r="A150" s="12" t="s">
        <v>38</v>
      </c>
      <c r="B150" s="12">
        <v>492</v>
      </c>
      <c r="C150" s="12">
        <v>1</v>
      </c>
      <c r="D150" s="13" t="s">
        <v>544</v>
      </c>
      <c r="E150" s="12">
        <v>477</v>
      </c>
      <c r="F150" s="12">
        <v>2297</v>
      </c>
      <c r="G150" s="14" t="s">
        <v>743</v>
      </c>
      <c r="H150" s="7">
        <v>32572.01</v>
      </c>
      <c r="I150" s="7">
        <v>42413.33</v>
      </c>
      <c r="J150" s="7">
        <v>74985.34</v>
      </c>
      <c r="K150" s="7">
        <v>68696.87</v>
      </c>
      <c r="L150" s="7">
        <v>8007</v>
      </c>
      <c r="M150" s="7">
        <v>76703.87</v>
      </c>
      <c r="N150" s="7">
        <v>19175.97</v>
      </c>
      <c r="O150" s="7">
        <v>35861.769999999997</v>
      </c>
      <c r="P150" s="7">
        <v>0</v>
      </c>
      <c r="Q150" s="7">
        <v>30459.59</v>
      </c>
      <c r="R150" s="7">
        <v>8369.24</v>
      </c>
      <c r="S150" s="7">
        <v>0</v>
      </c>
      <c r="T150" s="7">
        <v>37964</v>
      </c>
      <c r="U150" s="7">
        <v>31972.04</v>
      </c>
      <c r="V150" s="7">
        <v>12796.07</v>
      </c>
      <c r="W150" s="7">
        <v>62189.27</v>
      </c>
    </row>
    <row r="151" spans="1:23" x14ac:dyDescent="0.25">
      <c r="A151" s="12" t="s">
        <v>38</v>
      </c>
      <c r="B151" s="12">
        <v>495</v>
      </c>
      <c r="C151" s="12">
        <v>1</v>
      </c>
      <c r="D151" s="13" t="s">
        <v>545</v>
      </c>
      <c r="E151" s="12">
        <v>27</v>
      </c>
      <c r="F151" s="12">
        <v>123</v>
      </c>
      <c r="G151" s="14" t="s">
        <v>743</v>
      </c>
      <c r="H151" s="7">
        <v>1843.7</v>
      </c>
      <c r="I151" s="7">
        <v>2271.15</v>
      </c>
      <c r="J151" s="7">
        <v>4114.8500000000004</v>
      </c>
      <c r="K151" s="7">
        <v>3802.36</v>
      </c>
      <c r="L151" s="7">
        <v>21067.63</v>
      </c>
      <c r="M151" s="7">
        <v>24869.99</v>
      </c>
      <c r="N151" s="7">
        <v>6217.5</v>
      </c>
      <c r="O151" s="7">
        <v>7774.03</v>
      </c>
      <c r="P151" s="7">
        <v>0</v>
      </c>
      <c r="Q151" s="7">
        <v>-314.89</v>
      </c>
      <c r="R151" s="7">
        <v>0</v>
      </c>
      <c r="S151" s="7">
        <v>0</v>
      </c>
      <c r="T151" s="7">
        <v>0</v>
      </c>
      <c r="U151" s="7">
        <v>2486.38</v>
      </c>
      <c r="V151" s="7">
        <v>0</v>
      </c>
      <c r="W151" s="7">
        <v>4114.8500000000004</v>
      </c>
    </row>
    <row r="152" spans="1:23" x14ac:dyDescent="0.25">
      <c r="A152" s="12" t="s">
        <v>38</v>
      </c>
      <c r="B152" s="12">
        <v>497</v>
      </c>
      <c r="C152" s="12">
        <v>1</v>
      </c>
      <c r="D152" s="13" t="s">
        <v>546</v>
      </c>
      <c r="E152" s="12">
        <v>18</v>
      </c>
      <c r="F152" s="12">
        <v>124</v>
      </c>
      <c r="G152" s="14" t="s">
        <v>743</v>
      </c>
      <c r="H152" s="7">
        <v>1229.1300000000001</v>
      </c>
      <c r="I152" s="7">
        <v>2289.62</v>
      </c>
      <c r="J152" s="7">
        <v>3518.75</v>
      </c>
      <c r="K152" s="7">
        <v>4167.71</v>
      </c>
      <c r="L152" s="7">
        <v>0</v>
      </c>
      <c r="M152" s="7">
        <v>4167.71</v>
      </c>
      <c r="N152" s="7">
        <v>1041.93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3518.75</v>
      </c>
    </row>
    <row r="153" spans="1:23" x14ac:dyDescent="0.25">
      <c r="A153" s="12" t="s">
        <v>38</v>
      </c>
      <c r="B153" s="12">
        <v>499</v>
      </c>
      <c r="C153" s="12">
        <v>1</v>
      </c>
      <c r="D153" s="13" t="s">
        <v>547</v>
      </c>
      <c r="E153" s="12">
        <v>27</v>
      </c>
      <c r="F153" s="12">
        <v>118</v>
      </c>
      <c r="G153" s="14" t="s">
        <v>743</v>
      </c>
      <c r="H153" s="7">
        <v>1843.7</v>
      </c>
      <c r="I153" s="7">
        <v>2178.83</v>
      </c>
      <c r="J153" s="7">
        <v>4022.53</v>
      </c>
      <c r="K153" s="7">
        <v>4236.18</v>
      </c>
      <c r="L153" s="7">
        <v>0</v>
      </c>
      <c r="M153" s="7">
        <v>4236.18</v>
      </c>
      <c r="N153" s="7">
        <v>1059.05</v>
      </c>
      <c r="O153" s="7">
        <v>229.9</v>
      </c>
      <c r="P153" s="7">
        <v>0</v>
      </c>
      <c r="Q153" s="7">
        <v>253.1</v>
      </c>
      <c r="R153" s="7">
        <v>0</v>
      </c>
      <c r="S153" s="7">
        <v>0</v>
      </c>
      <c r="T153" s="7">
        <v>269.72000000000003</v>
      </c>
      <c r="U153" s="7">
        <v>250.91</v>
      </c>
      <c r="V153" s="7">
        <v>0</v>
      </c>
      <c r="W153" s="7">
        <v>4022.53</v>
      </c>
    </row>
    <row r="154" spans="1:23" x14ac:dyDescent="0.25">
      <c r="A154" s="12" t="s">
        <v>38</v>
      </c>
      <c r="B154" s="12">
        <v>500</v>
      </c>
      <c r="C154" s="12">
        <v>1</v>
      </c>
      <c r="D154" s="13" t="s">
        <v>548</v>
      </c>
      <c r="E154" s="12">
        <v>40</v>
      </c>
      <c r="F154" s="12">
        <v>159</v>
      </c>
      <c r="G154" s="14" t="s">
        <v>743</v>
      </c>
      <c r="H154" s="7">
        <v>2731.41</v>
      </c>
      <c r="I154" s="7">
        <v>2935.88</v>
      </c>
      <c r="J154" s="7">
        <v>5667.29</v>
      </c>
      <c r="K154" s="7">
        <v>5101.3100000000004</v>
      </c>
      <c r="L154" s="7">
        <v>30926.16</v>
      </c>
      <c r="M154" s="7">
        <v>36027.47</v>
      </c>
      <c r="N154" s="7">
        <v>9006.8700000000008</v>
      </c>
      <c r="O154" s="7">
        <v>0</v>
      </c>
      <c r="P154" s="7">
        <v>0</v>
      </c>
      <c r="Q154" s="7">
        <v>4693.01</v>
      </c>
      <c r="R154" s="7">
        <v>0</v>
      </c>
      <c r="S154" s="7">
        <v>0</v>
      </c>
      <c r="T154" s="7">
        <v>6233.32</v>
      </c>
      <c r="U154" s="7">
        <v>3642.11</v>
      </c>
      <c r="V154" s="7">
        <v>0</v>
      </c>
      <c r="W154" s="7">
        <v>5667.29</v>
      </c>
    </row>
    <row r="155" spans="1:23" x14ac:dyDescent="0.25">
      <c r="A155" s="12" t="s">
        <v>38</v>
      </c>
      <c r="B155" s="12">
        <v>505</v>
      </c>
      <c r="C155" s="12">
        <v>1</v>
      </c>
      <c r="D155" s="13" t="s">
        <v>549</v>
      </c>
      <c r="E155" s="12">
        <v>25</v>
      </c>
      <c r="F155" s="12">
        <v>129</v>
      </c>
      <c r="G155" s="14" t="s">
        <v>743</v>
      </c>
      <c r="H155" s="7">
        <v>1707.13</v>
      </c>
      <c r="I155" s="7">
        <v>2381.94</v>
      </c>
      <c r="J155" s="7">
        <v>4089.07</v>
      </c>
      <c r="K155" s="7">
        <v>3936.8</v>
      </c>
      <c r="L155" s="7">
        <v>0</v>
      </c>
      <c r="M155" s="7">
        <v>3936.8</v>
      </c>
      <c r="N155" s="7">
        <v>984.2</v>
      </c>
      <c r="O155" s="7">
        <v>31.06</v>
      </c>
      <c r="P155" s="7">
        <v>0</v>
      </c>
      <c r="Q155" s="7">
        <v>31.06</v>
      </c>
      <c r="R155" s="7">
        <v>0</v>
      </c>
      <c r="S155" s="7">
        <v>0</v>
      </c>
      <c r="T155" s="7">
        <v>31.06</v>
      </c>
      <c r="U155" s="7">
        <v>31.06</v>
      </c>
      <c r="V155" s="7">
        <v>0</v>
      </c>
      <c r="W155" s="7">
        <v>4089.07</v>
      </c>
    </row>
    <row r="156" spans="1:23" x14ac:dyDescent="0.25">
      <c r="A156" s="12" t="s">
        <v>38</v>
      </c>
      <c r="B156" s="12">
        <v>507</v>
      </c>
      <c r="C156" s="12">
        <v>1</v>
      </c>
      <c r="D156" s="13" t="s">
        <v>550</v>
      </c>
      <c r="E156" s="12">
        <v>28</v>
      </c>
      <c r="F156" s="12">
        <v>99</v>
      </c>
      <c r="G156" s="14" t="s">
        <v>743</v>
      </c>
      <c r="H156" s="7">
        <v>1911.98</v>
      </c>
      <c r="I156" s="7">
        <v>1828</v>
      </c>
      <c r="J156" s="7">
        <v>3739.98</v>
      </c>
      <c r="K156" s="7">
        <v>4144.25</v>
      </c>
      <c r="L156" s="7">
        <v>0</v>
      </c>
      <c r="M156" s="7">
        <v>4144.25</v>
      </c>
      <c r="N156" s="7">
        <v>1036.06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3739.98</v>
      </c>
    </row>
    <row r="157" spans="1:23" x14ac:dyDescent="0.25">
      <c r="A157" s="12" t="s">
        <v>38</v>
      </c>
      <c r="B157" s="12">
        <v>508</v>
      </c>
      <c r="C157" s="12">
        <v>1</v>
      </c>
      <c r="D157" s="13" t="s">
        <v>551</v>
      </c>
      <c r="E157" s="12">
        <v>199</v>
      </c>
      <c r="F157" s="12">
        <v>664</v>
      </c>
      <c r="G157" s="14" t="s">
        <v>743</v>
      </c>
      <c r="H157" s="7">
        <v>13588.74</v>
      </c>
      <c r="I157" s="7">
        <v>12260.54</v>
      </c>
      <c r="J157" s="7">
        <v>25849.279999999999</v>
      </c>
      <c r="K157" s="7">
        <v>26439.279999999999</v>
      </c>
      <c r="L157" s="7">
        <v>109541.1</v>
      </c>
      <c r="M157" s="7">
        <v>135980.38</v>
      </c>
      <c r="N157" s="7">
        <v>33995.1</v>
      </c>
      <c r="O157" s="7">
        <v>-1084.99</v>
      </c>
      <c r="P157" s="7">
        <v>0</v>
      </c>
      <c r="Q157" s="7">
        <v>-714.51</v>
      </c>
      <c r="R157" s="7">
        <v>0</v>
      </c>
      <c r="S157" s="7">
        <v>0</v>
      </c>
      <c r="T157" s="7">
        <v>28186.58</v>
      </c>
      <c r="U157" s="7">
        <v>8795.69</v>
      </c>
      <c r="V157" s="7">
        <v>0</v>
      </c>
      <c r="W157" s="7">
        <v>25849.279999999999</v>
      </c>
    </row>
    <row r="158" spans="1:23" x14ac:dyDescent="0.25">
      <c r="A158" s="12" t="s">
        <v>38</v>
      </c>
      <c r="B158" s="12">
        <v>511</v>
      </c>
      <c r="C158" s="12">
        <v>1</v>
      </c>
      <c r="D158" s="13" t="s">
        <v>552</v>
      </c>
      <c r="E158" s="12">
        <v>40</v>
      </c>
      <c r="F158" s="12">
        <v>213</v>
      </c>
      <c r="G158" s="14" t="s">
        <v>743</v>
      </c>
      <c r="H158" s="7">
        <v>2731.41</v>
      </c>
      <c r="I158" s="7">
        <v>3932.97</v>
      </c>
      <c r="J158" s="7">
        <v>6664.38</v>
      </c>
      <c r="K158" s="7">
        <v>7428.29</v>
      </c>
      <c r="L158" s="7">
        <v>0</v>
      </c>
      <c r="M158" s="7">
        <v>7428.29</v>
      </c>
      <c r="N158" s="7">
        <v>1857.07</v>
      </c>
      <c r="O158" s="7">
        <v>-1723.08</v>
      </c>
      <c r="P158" s="7">
        <v>0</v>
      </c>
      <c r="Q158" s="7">
        <v>5056.74</v>
      </c>
      <c r="R158" s="7">
        <v>0</v>
      </c>
      <c r="S158" s="7">
        <v>0</v>
      </c>
      <c r="T158" s="7">
        <v>11365.53</v>
      </c>
      <c r="U158" s="7">
        <v>4899.7299999999996</v>
      </c>
      <c r="V158" s="7">
        <v>3042.66</v>
      </c>
      <c r="W158" s="7">
        <v>3621.72</v>
      </c>
    </row>
    <row r="159" spans="1:23" x14ac:dyDescent="0.25">
      <c r="A159" s="12" t="s">
        <v>38</v>
      </c>
      <c r="B159" s="12">
        <v>513</v>
      </c>
      <c r="C159" s="12">
        <v>1</v>
      </c>
      <c r="D159" s="13" t="s">
        <v>553</v>
      </c>
      <c r="E159" s="12">
        <v>8</v>
      </c>
      <c r="F159" s="12">
        <v>87</v>
      </c>
      <c r="G159" s="14" t="s">
        <v>743</v>
      </c>
      <c r="H159" s="7">
        <v>546.28</v>
      </c>
      <c r="I159" s="7">
        <v>1606.43</v>
      </c>
      <c r="J159" s="7">
        <v>2152.71</v>
      </c>
      <c r="K159" s="7">
        <v>2181.06</v>
      </c>
      <c r="L159" s="7">
        <v>9565.5</v>
      </c>
      <c r="M159" s="7">
        <v>11746.56</v>
      </c>
      <c r="N159" s="7">
        <v>2936.64</v>
      </c>
      <c r="O159" s="7">
        <v>-1969.27</v>
      </c>
      <c r="P159" s="7">
        <v>0</v>
      </c>
      <c r="Q159" s="7">
        <v>0</v>
      </c>
      <c r="R159" s="7">
        <v>0</v>
      </c>
      <c r="S159" s="7">
        <v>0</v>
      </c>
      <c r="T159" s="7">
        <v>-18309.78</v>
      </c>
      <c r="U159" s="7">
        <v>-6759.68</v>
      </c>
      <c r="V159" s="7">
        <v>0</v>
      </c>
      <c r="W159" s="7">
        <v>2152.71</v>
      </c>
    </row>
    <row r="160" spans="1:23" x14ac:dyDescent="0.25">
      <c r="A160" s="12" t="s">
        <v>38</v>
      </c>
      <c r="B160" s="12">
        <v>514</v>
      </c>
      <c r="C160" s="12">
        <v>1</v>
      </c>
      <c r="D160" s="13" t="s">
        <v>554</v>
      </c>
      <c r="E160" s="12">
        <v>3</v>
      </c>
      <c r="F160" s="12">
        <v>69</v>
      </c>
      <c r="G160" s="14" t="s">
        <v>743</v>
      </c>
      <c r="H160" s="7">
        <v>204.86</v>
      </c>
      <c r="I160" s="7">
        <v>1274.06</v>
      </c>
      <c r="J160" s="7">
        <v>1478.92</v>
      </c>
      <c r="K160" s="7">
        <v>1736.22</v>
      </c>
      <c r="L160" s="7">
        <v>0</v>
      </c>
      <c r="M160" s="7">
        <v>1736.22</v>
      </c>
      <c r="N160" s="7">
        <v>434.06</v>
      </c>
      <c r="O160" s="7">
        <v>3411.43</v>
      </c>
      <c r="P160" s="7">
        <v>2255.0300000000002</v>
      </c>
      <c r="Q160" s="7">
        <v>3269.88</v>
      </c>
      <c r="R160" s="7">
        <v>1639.25</v>
      </c>
      <c r="S160" s="7">
        <v>0</v>
      </c>
      <c r="T160" s="7">
        <v>3366.85</v>
      </c>
      <c r="U160" s="7">
        <v>2051.29</v>
      </c>
      <c r="V160" s="7">
        <v>1478.92</v>
      </c>
      <c r="W160" s="7">
        <v>0</v>
      </c>
    </row>
    <row r="161" spans="1:23" x14ac:dyDescent="0.25">
      <c r="A161" s="12" t="s">
        <v>38</v>
      </c>
      <c r="B161" s="12">
        <v>516</v>
      </c>
      <c r="C161" s="12">
        <v>1</v>
      </c>
      <c r="D161" s="13" t="s">
        <v>555</v>
      </c>
      <c r="E161" s="12">
        <v>8</v>
      </c>
      <c r="F161" s="12">
        <v>36</v>
      </c>
      <c r="G161" s="14" t="s">
        <v>743</v>
      </c>
      <c r="H161" s="7">
        <v>546.28</v>
      </c>
      <c r="I161" s="7">
        <v>664.73</v>
      </c>
      <c r="J161" s="7">
        <v>1211.01</v>
      </c>
      <c r="K161" s="7">
        <v>1504.35</v>
      </c>
      <c r="L161" s="7">
        <v>0</v>
      </c>
      <c r="M161" s="7">
        <v>1504.35</v>
      </c>
      <c r="N161" s="7">
        <v>376.09</v>
      </c>
      <c r="O161" s="7">
        <v>-6568.95</v>
      </c>
      <c r="P161" s="7">
        <v>0</v>
      </c>
      <c r="Q161" s="7">
        <v>-6521.21</v>
      </c>
      <c r="R161" s="7">
        <v>0</v>
      </c>
      <c r="S161" s="7">
        <v>0</v>
      </c>
      <c r="T161" s="7">
        <v>-5016.8599999999997</v>
      </c>
      <c r="U161" s="7">
        <v>-6035.67</v>
      </c>
      <c r="V161" s="7">
        <v>0</v>
      </c>
      <c r="W161" s="7">
        <v>1211.01</v>
      </c>
    </row>
    <row r="162" spans="1:23" x14ac:dyDescent="0.25">
      <c r="A162" s="12" t="s">
        <v>38</v>
      </c>
      <c r="B162" s="12">
        <v>518</v>
      </c>
      <c r="C162" s="12">
        <v>1</v>
      </c>
      <c r="D162" s="13" t="s">
        <v>556</v>
      </c>
      <c r="E162" s="12">
        <v>235</v>
      </c>
      <c r="F162" s="12">
        <v>1494</v>
      </c>
      <c r="G162" s="14" t="s">
        <v>743</v>
      </c>
      <c r="H162" s="7">
        <v>16047</v>
      </c>
      <c r="I162" s="7">
        <v>27586.21</v>
      </c>
      <c r="J162" s="7">
        <v>43633.21</v>
      </c>
      <c r="K162" s="7">
        <v>40977.800000000003</v>
      </c>
      <c r="L162" s="7">
        <v>0</v>
      </c>
      <c r="M162" s="7">
        <v>40977.800000000003</v>
      </c>
      <c r="N162" s="7">
        <v>10244.450000000001</v>
      </c>
      <c r="O162" s="7">
        <v>4465.3100000000004</v>
      </c>
      <c r="P162" s="7">
        <v>0</v>
      </c>
      <c r="Q162" s="7">
        <v>2640.17</v>
      </c>
      <c r="R162" s="7">
        <v>0</v>
      </c>
      <c r="S162" s="7">
        <v>0</v>
      </c>
      <c r="T162" s="7">
        <v>17764.48</v>
      </c>
      <c r="U162" s="7">
        <v>8289.99</v>
      </c>
      <c r="V162" s="7">
        <v>0</v>
      </c>
      <c r="W162" s="7">
        <v>43633.21</v>
      </c>
    </row>
    <row r="163" spans="1:23" x14ac:dyDescent="0.25">
      <c r="A163" s="12" t="s">
        <v>38</v>
      </c>
      <c r="B163" s="12">
        <v>531</v>
      </c>
      <c r="C163" s="12">
        <v>1</v>
      </c>
      <c r="D163" s="13" t="s">
        <v>557</v>
      </c>
      <c r="E163" s="12">
        <v>101</v>
      </c>
      <c r="F163" s="12">
        <v>216</v>
      </c>
      <c r="G163" s="14" t="s">
        <v>743</v>
      </c>
      <c r="H163" s="7">
        <v>6896.8</v>
      </c>
      <c r="I163" s="7">
        <v>3988.37</v>
      </c>
      <c r="J163" s="7">
        <v>10885.17</v>
      </c>
      <c r="K163" s="7">
        <v>11247.77</v>
      </c>
      <c r="L163" s="7">
        <v>123709.77</v>
      </c>
      <c r="M163" s="7">
        <v>134957.54</v>
      </c>
      <c r="N163" s="7">
        <v>33739.39</v>
      </c>
      <c r="O163" s="7">
        <v>265.7</v>
      </c>
      <c r="P163" s="7">
        <v>0</v>
      </c>
      <c r="Q163" s="7">
        <v>524.79</v>
      </c>
      <c r="R163" s="7">
        <v>0</v>
      </c>
      <c r="S163" s="7">
        <v>0</v>
      </c>
      <c r="T163" s="7">
        <v>3527.04</v>
      </c>
      <c r="U163" s="7">
        <v>1439.18</v>
      </c>
      <c r="V163" s="7">
        <v>0</v>
      </c>
      <c r="W163" s="7">
        <v>10885.17</v>
      </c>
    </row>
    <row r="164" spans="1:23" x14ac:dyDescent="0.25">
      <c r="A164" s="12" t="s">
        <v>38</v>
      </c>
      <c r="B164" s="12">
        <v>533</v>
      </c>
      <c r="C164" s="12">
        <v>1</v>
      </c>
      <c r="D164" s="13" t="s">
        <v>558</v>
      </c>
      <c r="E164" s="12">
        <v>67</v>
      </c>
      <c r="F164" s="12">
        <v>211</v>
      </c>
      <c r="G164" s="14" t="s">
        <v>743</v>
      </c>
      <c r="H164" s="7">
        <v>4575.1000000000004</v>
      </c>
      <c r="I164" s="7">
        <v>3896.04</v>
      </c>
      <c r="J164" s="7">
        <v>8471.14</v>
      </c>
      <c r="K164" s="7">
        <v>7312.89</v>
      </c>
      <c r="L164" s="7">
        <v>22916</v>
      </c>
      <c r="M164" s="7">
        <v>30228.89</v>
      </c>
      <c r="N164" s="7">
        <v>7557.22</v>
      </c>
      <c r="O164" s="7">
        <v>0</v>
      </c>
      <c r="P164" s="7">
        <v>0</v>
      </c>
      <c r="Q164" s="7">
        <v>-604.45000000000005</v>
      </c>
      <c r="R164" s="7">
        <v>0</v>
      </c>
      <c r="S164" s="7">
        <v>0</v>
      </c>
      <c r="T164" s="7">
        <v>3409.97</v>
      </c>
      <c r="U164" s="7">
        <v>935.17</v>
      </c>
      <c r="V164" s="7">
        <v>0</v>
      </c>
      <c r="W164" s="7">
        <v>8471.14</v>
      </c>
    </row>
    <row r="165" spans="1:23" x14ac:dyDescent="0.25">
      <c r="A165" s="12" t="s">
        <v>38</v>
      </c>
      <c r="B165" s="12">
        <v>534</v>
      </c>
      <c r="C165" s="12">
        <v>1</v>
      </c>
      <c r="D165" s="13" t="s">
        <v>559</v>
      </c>
      <c r="E165" s="12">
        <v>138</v>
      </c>
      <c r="F165" s="12">
        <v>405</v>
      </c>
      <c r="G165" s="14" t="s">
        <v>743</v>
      </c>
      <c r="H165" s="7">
        <v>9423.35</v>
      </c>
      <c r="I165" s="7">
        <v>7478.19</v>
      </c>
      <c r="J165" s="7">
        <v>16901.54</v>
      </c>
      <c r="K165" s="7">
        <v>14834.18</v>
      </c>
      <c r="L165" s="7">
        <v>35237</v>
      </c>
      <c r="M165" s="7">
        <v>50071.18</v>
      </c>
      <c r="N165" s="7">
        <v>12517.8</v>
      </c>
      <c r="O165" s="7">
        <v>8094.09</v>
      </c>
      <c r="P165" s="7">
        <v>0</v>
      </c>
      <c r="Q165" s="7">
        <v>1015.43</v>
      </c>
      <c r="R165" s="7">
        <v>0</v>
      </c>
      <c r="S165" s="7">
        <v>0</v>
      </c>
      <c r="T165" s="7">
        <v>-2383.92</v>
      </c>
      <c r="U165" s="7">
        <v>2241.87</v>
      </c>
      <c r="V165" s="7">
        <v>0</v>
      </c>
      <c r="W165" s="7">
        <v>16901.54</v>
      </c>
    </row>
    <row r="166" spans="1:23" x14ac:dyDescent="0.25">
      <c r="A166" s="12" t="s">
        <v>38</v>
      </c>
      <c r="B166" s="12">
        <v>535</v>
      </c>
      <c r="C166" s="12">
        <v>1</v>
      </c>
      <c r="D166" s="13" t="s">
        <v>560</v>
      </c>
      <c r="E166" s="12">
        <v>1675</v>
      </c>
      <c r="F166" s="12">
        <v>5198</v>
      </c>
      <c r="G166" s="14" t="s">
        <v>743</v>
      </c>
      <c r="H166" s="7">
        <v>114377.59</v>
      </c>
      <c r="I166" s="7">
        <v>95979.31</v>
      </c>
      <c r="J166" s="7">
        <v>210356.9</v>
      </c>
      <c r="K166" s="7">
        <v>207895.15</v>
      </c>
      <c r="L166" s="7">
        <v>0</v>
      </c>
      <c r="M166" s="7">
        <v>207895.15</v>
      </c>
      <c r="N166" s="7">
        <v>51973.79</v>
      </c>
      <c r="O166" s="7">
        <v>-31814.98</v>
      </c>
      <c r="P166" s="7">
        <v>0</v>
      </c>
      <c r="Q166" s="7">
        <v>1481.9</v>
      </c>
      <c r="R166" s="7">
        <v>0</v>
      </c>
      <c r="S166" s="7">
        <v>0</v>
      </c>
      <c r="T166" s="7">
        <v>13154.05</v>
      </c>
      <c r="U166" s="7">
        <v>-5726.34</v>
      </c>
      <c r="V166" s="7">
        <v>0</v>
      </c>
      <c r="W166" s="7">
        <v>210356.9</v>
      </c>
    </row>
    <row r="167" spans="1:23" x14ac:dyDescent="0.25">
      <c r="A167" s="12" t="s">
        <v>38</v>
      </c>
      <c r="B167" s="12">
        <v>542</v>
      </c>
      <c r="C167" s="12">
        <v>1</v>
      </c>
      <c r="D167" s="13" t="s">
        <v>561</v>
      </c>
      <c r="E167" s="12">
        <v>45</v>
      </c>
      <c r="F167" s="12">
        <v>195</v>
      </c>
      <c r="G167" s="14" t="s">
        <v>743</v>
      </c>
      <c r="H167" s="7">
        <v>3072.83</v>
      </c>
      <c r="I167" s="7">
        <v>3600.61</v>
      </c>
      <c r="J167" s="7">
        <v>6673.44</v>
      </c>
      <c r="K167" s="7">
        <v>6069.37</v>
      </c>
      <c r="L167" s="7">
        <v>16486.25</v>
      </c>
      <c r="M167" s="7">
        <v>22555.62</v>
      </c>
      <c r="N167" s="7">
        <v>5638.91</v>
      </c>
      <c r="O167" s="7">
        <v>-53130.84</v>
      </c>
      <c r="P167" s="7">
        <v>0</v>
      </c>
      <c r="Q167" s="7">
        <v>-63300.84</v>
      </c>
      <c r="R167" s="7">
        <v>0</v>
      </c>
      <c r="S167" s="7">
        <v>0</v>
      </c>
      <c r="T167" s="7">
        <v>-62260.25</v>
      </c>
      <c r="U167" s="7">
        <v>-59563.98</v>
      </c>
      <c r="V167" s="7">
        <v>0</v>
      </c>
      <c r="W167" s="7">
        <v>6673.44</v>
      </c>
    </row>
    <row r="168" spans="1:23" x14ac:dyDescent="0.25">
      <c r="A168" s="12" t="s">
        <v>38</v>
      </c>
      <c r="B168" s="12">
        <v>544</v>
      </c>
      <c r="C168" s="12">
        <v>1</v>
      </c>
      <c r="D168" s="13" t="s">
        <v>562</v>
      </c>
      <c r="E168" s="12">
        <v>244</v>
      </c>
      <c r="F168" s="12">
        <v>759</v>
      </c>
      <c r="G168" s="14" t="s">
        <v>743</v>
      </c>
      <c r="H168" s="7">
        <v>16661.57</v>
      </c>
      <c r="I168" s="7">
        <v>14014.68</v>
      </c>
      <c r="J168" s="7">
        <v>30676.25</v>
      </c>
      <c r="K168" s="7">
        <v>31074.32</v>
      </c>
      <c r="L168" s="7">
        <v>11527.65</v>
      </c>
      <c r="M168" s="7">
        <v>42601.97</v>
      </c>
      <c r="N168" s="7">
        <v>10650.49</v>
      </c>
      <c r="O168" s="7">
        <v>1837.09</v>
      </c>
      <c r="P168" s="7">
        <v>0</v>
      </c>
      <c r="Q168" s="7">
        <v>640.91999999999996</v>
      </c>
      <c r="R168" s="7">
        <v>0</v>
      </c>
      <c r="S168" s="7">
        <v>0</v>
      </c>
      <c r="T168" s="7">
        <v>7197.53</v>
      </c>
      <c r="U168" s="7">
        <v>3225.18</v>
      </c>
      <c r="V168" s="7">
        <v>0</v>
      </c>
      <c r="W168" s="7">
        <v>30676.25</v>
      </c>
    </row>
    <row r="169" spans="1:23" x14ac:dyDescent="0.25">
      <c r="A169" s="12" t="s">
        <v>38</v>
      </c>
      <c r="B169" s="12">
        <v>545</v>
      </c>
      <c r="C169" s="12">
        <v>1</v>
      </c>
      <c r="D169" s="13" t="s">
        <v>563</v>
      </c>
      <c r="E169" s="12">
        <v>39</v>
      </c>
      <c r="F169" s="12">
        <v>158</v>
      </c>
      <c r="G169" s="14" t="s">
        <v>743</v>
      </c>
      <c r="H169" s="7">
        <v>2663.12</v>
      </c>
      <c r="I169" s="7">
        <v>2917.42</v>
      </c>
      <c r="J169" s="7">
        <v>5580.54</v>
      </c>
      <c r="K169" s="7">
        <v>4590.5200000000004</v>
      </c>
      <c r="L169" s="7">
        <v>19124.36</v>
      </c>
      <c r="M169" s="7">
        <v>23714.880000000001</v>
      </c>
      <c r="N169" s="7">
        <v>5928.72</v>
      </c>
      <c r="O169" s="7">
        <v>335.63</v>
      </c>
      <c r="P169" s="7">
        <v>0</v>
      </c>
      <c r="Q169" s="7">
        <v>2252.6799999999998</v>
      </c>
      <c r="R169" s="7">
        <v>0</v>
      </c>
      <c r="S169" s="7">
        <v>0</v>
      </c>
      <c r="T169" s="7">
        <v>2965.31</v>
      </c>
      <c r="U169" s="7">
        <v>1851.21</v>
      </c>
      <c r="V169" s="7">
        <v>0</v>
      </c>
      <c r="W169" s="7">
        <v>5580.54</v>
      </c>
    </row>
    <row r="170" spans="1:23" x14ac:dyDescent="0.25">
      <c r="A170" s="12" t="s">
        <v>38</v>
      </c>
      <c r="B170" s="12">
        <v>547</v>
      </c>
      <c r="C170" s="12">
        <v>1</v>
      </c>
      <c r="D170" s="13" t="s">
        <v>564</v>
      </c>
      <c r="E170" s="12">
        <v>36</v>
      </c>
      <c r="F170" s="12">
        <v>216</v>
      </c>
      <c r="G170" s="14" t="s">
        <v>743</v>
      </c>
      <c r="H170" s="7">
        <v>2458.2600000000002</v>
      </c>
      <c r="I170" s="7">
        <v>3988.37</v>
      </c>
      <c r="J170" s="7">
        <v>6446.63</v>
      </c>
      <c r="K170" s="7">
        <v>6743.08</v>
      </c>
      <c r="L170" s="7">
        <v>43781.75</v>
      </c>
      <c r="M170" s="7">
        <v>50524.83</v>
      </c>
      <c r="N170" s="7">
        <v>12631.21</v>
      </c>
      <c r="O170" s="7">
        <v>-17228.88</v>
      </c>
      <c r="P170" s="7">
        <v>0</v>
      </c>
      <c r="Q170" s="7">
        <v>-36991.99</v>
      </c>
      <c r="R170" s="7">
        <v>0</v>
      </c>
      <c r="S170" s="7">
        <v>0</v>
      </c>
      <c r="T170" s="7">
        <v>24346.75</v>
      </c>
      <c r="U170" s="7">
        <v>-9958.0400000000009</v>
      </c>
      <c r="V170" s="7">
        <v>0</v>
      </c>
      <c r="W170" s="7">
        <v>6446.63</v>
      </c>
    </row>
    <row r="171" spans="1:23" x14ac:dyDescent="0.25">
      <c r="A171" s="12" t="s">
        <v>38</v>
      </c>
      <c r="B171" s="12">
        <v>548</v>
      </c>
      <c r="C171" s="12">
        <v>1</v>
      </c>
      <c r="D171" s="13" t="s">
        <v>565</v>
      </c>
      <c r="E171" s="12">
        <v>79</v>
      </c>
      <c r="F171" s="12">
        <v>421</v>
      </c>
      <c r="G171" s="14" t="s">
        <v>743</v>
      </c>
      <c r="H171" s="7">
        <v>5394.53</v>
      </c>
      <c r="I171" s="7">
        <v>7773.62</v>
      </c>
      <c r="J171" s="7">
        <v>13168.15</v>
      </c>
      <c r="K171" s="7">
        <v>13214.79</v>
      </c>
      <c r="L171" s="7">
        <v>8402</v>
      </c>
      <c r="M171" s="7">
        <v>21616.79</v>
      </c>
      <c r="N171" s="7">
        <v>5404.2</v>
      </c>
      <c r="O171" s="7">
        <v>-36949.550000000003</v>
      </c>
      <c r="P171" s="7">
        <v>0</v>
      </c>
      <c r="Q171" s="7">
        <v>-25228.13</v>
      </c>
      <c r="R171" s="7">
        <v>0</v>
      </c>
      <c r="S171" s="7">
        <v>0</v>
      </c>
      <c r="T171" s="7">
        <v>-38047.57</v>
      </c>
      <c r="U171" s="7">
        <v>-33408.42</v>
      </c>
      <c r="V171" s="7">
        <v>0</v>
      </c>
      <c r="W171" s="7">
        <v>13168.15</v>
      </c>
    </row>
    <row r="172" spans="1:23" x14ac:dyDescent="0.25">
      <c r="A172" s="12" t="s">
        <v>38</v>
      </c>
      <c r="B172" s="12">
        <v>549</v>
      </c>
      <c r="C172" s="12">
        <v>1</v>
      </c>
      <c r="D172" s="13" t="s">
        <v>566</v>
      </c>
      <c r="E172" s="12">
        <v>86</v>
      </c>
      <c r="F172" s="12">
        <v>629</v>
      </c>
      <c r="G172" s="14" t="s">
        <v>743</v>
      </c>
      <c r="H172" s="7">
        <v>5872.52</v>
      </c>
      <c r="I172" s="7">
        <v>11614.27</v>
      </c>
      <c r="J172" s="7">
        <v>17486.79</v>
      </c>
      <c r="K172" s="7">
        <v>17817.28</v>
      </c>
      <c r="L172" s="7">
        <v>63728.18</v>
      </c>
      <c r="M172" s="7">
        <v>81545.460000000006</v>
      </c>
      <c r="N172" s="7">
        <v>20386.37</v>
      </c>
      <c r="O172" s="7">
        <v>3812.42</v>
      </c>
      <c r="P172" s="7">
        <v>0</v>
      </c>
      <c r="Q172" s="7">
        <v>1018.17</v>
      </c>
      <c r="R172" s="7">
        <v>0</v>
      </c>
      <c r="S172" s="7">
        <v>0</v>
      </c>
      <c r="T172" s="7">
        <v>-8813.83</v>
      </c>
      <c r="U172" s="7">
        <v>-1327.75</v>
      </c>
      <c r="V172" s="7">
        <v>0</v>
      </c>
      <c r="W172" s="7">
        <v>17486.79</v>
      </c>
    </row>
    <row r="173" spans="1:23" x14ac:dyDescent="0.25">
      <c r="A173" s="12" t="s">
        <v>38</v>
      </c>
      <c r="B173" s="12">
        <v>550</v>
      </c>
      <c r="C173" s="12">
        <v>1</v>
      </c>
      <c r="D173" s="13" t="s">
        <v>567</v>
      </c>
      <c r="E173" s="12">
        <v>15</v>
      </c>
      <c r="F173" s="12">
        <v>243</v>
      </c>
      <c r="G173" s="14" t="s">
        <v>743</v>
      </c>
      <c r="H173" s="7">
        <v>1024.28</v>
      </c>
      <c r="I173" s="7">
        <v>4486.91</v>
      </c>
      <c r="J173" s="7">
        <v>5511.19</v>
      </c>
      <c r="K173" s="7">
        <v>6232.77</v>
      </c>
      <c r="L173" s="7">
        <v>38280.81</v>
      </c>
      <c r="M173" s="7">
        <v>44513.58</v>
      </c>
      <c r="N173" s="7">
        <v>11128.4</v>
      </c>
      <c r="O173" s="7">
        <v>-6440.79</v>
      </c>
      <c r="P173" s="7">
        <v>0</v>
      </c>
      <c r="Q173" s="7">
        <v>691.92</v>
      </c>
      <c r="R173" s="7">
        <v>0</v>
      </c>
      <c r="S173" s="7">
        <v>0</v>
      </c>
      <c r="T173" s="7">
        <v>-12425.15</v>
      </c>
      <c r="U173" s="7">
        <v>-6058.01</v>
      </c>
      <c r="V173" s="7">
        <v>0</v>
      </c>
      <c r="W173" s="7">
        <v>5511.19</v>
      </c>
    </row>
    <row r="174" spans="1:23" x14ac:dyDescent="0.25">
      <c r="A174" s="12" t="s">
        <v>38</v>
      </c>
      <c r="B174" s="12">
        <v>553</v>
      </c>
      <c r="C174" s="12">
        <v>1</v>
      </c>
      <c r="D174" s="13" t="s">
        <v>568</v>
      </c>
      <c r="E174" s="12">
        <v>52</v>
      </c>
      <c r="F174" s="12">
        <v>314</v>
      </c>
      <c r="G174" s="14" t="s">
        <v>743</v>
      </c>
      <c r="H174" s="7">
        <v>3550.83</v>
      </c>
      <c r="I174" s="7">
        <v>5797.9</v>
      </c>
      <c r="J174" s="7">
        <v>9348.73</v>
      </c>
      <c r="K174" s="7">
        <v>10311.06</v>
      </c>
      <c r="L174" s="7">
        <v>5447.78</v>
      </c>
      <c r="M174" s="7">
        <v>15758.84</v>
      </c>
      <c r="N174" s="7">
        <v>3939.71</v>
      </c>
      <c r="O174" s="7">
        <v>4228.2299999999996</v>
      </c>
      <c r="P174" s="7">
        <v>0</v>
      </c>
      <c r="Q174" s="7">
        <v>4303.96</v>
      </c>
      <c r="R174" s="7">
        <v>0</v>
      </c>
      <c r="S174" s="7">
        <v>0</v>
      </c>
      <c r="T174" s="7">
        <v>3250.56</v>
      </c>
      <c r="U174" s="7">
        <v>3927.58</v>
      </c>
      <c r="V174" s="7">
        <v>0</v>
      </c>
      <c r="W174" s="7">
        <v>9348.73</v>
      </c>
    </row>
    <row r="175" spans="1:23" x14ac:dyDescent="0.25">
      <c r="A175" s="12" t="s">
        <v>38</v>
      </c>
      <c r="B175" s="12">
        <v>561</v>
      </c>
      <c r="C175" s="12">
        <v>1</v>
      </c>
      <c r="D175" s="13" t="s">
        <v>569</v>
      </c>
      <c r="E175" s="12">
        <v>16</v>
      </c>
      <c r="F175" s="12">
        <v>109</v>
      </c>
      <c r="G175" s="14" t="s">
        <v>743</v>
      </c>
      <c r="H175" s="7">
        <v>1092.56</v>
      </c>
      <c r="I175" s="7">
        <v>2012.65</v>
      </c>
      <c r="J175" s="7">
        <v>3105.21</v>
      </c>
      <c r="K175" s="7">
        <v>3482.99</v>
      </c>
      <c r="L175" s="7">
        <v>0</v>
      </c>
      <c r="M175" s="7">
        <v>3482.99</v>
      </c>
      <c r="N175" s="7">
        <v>870.75</v>
      </c>
      <c r="O175" s="7">
        <v>0.36</v>
      </c>
      <c r="P175" s="7">
        <v>0</v>
      </c>
      <c r="Q175" s="7">
        <v>-30.19</v>
      </c>
      <c r="R175" s="7">
        <v>0</v>
      </c>
      <c r="S175" s="7">
        <v>0</v>
      </c>
      <c r="T175" s="7">
        <v>-476.08</v>
      </c>
      <c r="U175" s="7">
        <v>-168.64</v>
      </c>
      <c r="V175" s="7">
        <v>0</v>
      </c>
      <c r="W175" s="7">
        <v>3105.21</v>
      </c>
    </row>
    <row r="176" spans="1:23" x14ac:dyDescent="0.25">
      <c r="A176" s="12" t="s">
        <v>38</v>
      </c>
      <c r="B176" s="12">
        <v>564</v>
      </c>
      <c r="C176" s="12">
        <v>1</v>
      </c>
      <c r="D176" s="13" t="s">
        <v>570</v>
      </c>
      <c r="E176" s="12">
        <v>179</v>
      </c>
      <c r="F176" s="12">
        <v>743</v>
      </c>
      <c r="G176" s="14" t="s">
        <v>743</v>
      </c>
      <c r="H176" s="7">
        <v>12223.04</v>
      </c>
      <c r="I176" s="7">
        <v>13719.24</v>
      </c>
      <c r="J176" s="7">
        <v>25942.28</v>
      </c>
      <c r="K176" s="7">
        <v>25327.69</v>
      </c>
      <c r="L176" s="7">
        <v>67978.16</v>
      </c>
      <c r="M176" s="7">
        <v>93305.85</v>
      </c>
      <c r="N176" s="7">
        <v>23326.46</v>
      </c>
      <c r="O176" s="7">
        <v>-11206.74</v>
      </c>
      <c r="P176" s="7">
        <v>0</v>
      </c>
      <c r="Q176" s="7">
        <v>-5281.02</v>
      </c>
      <c r="R176" s="7">
        <v>0</v>
      </c>
      <c r="S176" s="7">
        <v>0</v>
      </c>
      <c r="T176" s="7">
        <v>-2213.04</v>
      </c>
      <c r="U176" s="7">
        <v>-6233.6</v>
      </c>
      <c r="V176" s="7">
        <v>0</v>
      </c>
      <c r="W176" s="7">
        <v>25942.28</v>
      </c>
    </row>
    <row r="177" spans="1:23" x14ac:dyDescent="0.25">
      <c r="A177" s="12" t="s">
        <v>38</v>
      </c>
      <c r="B177" s="12">
        <v>577</v>
      </c>
      <c r="C177" s="12">
        <v>1</v>
      </c>
      <c r="D177" s="13" t="s">
        <v>571</v>
      </c>
      <c r="E177" s="12">
        <v>41</v>
      </c>
      <c r="F177" s="12">
        <v>211</v>
      </c>
      <c r="G177" s="14" t="s">
        <v>743</v>
      </c>
      <c r="H177" s="7">
        <v>2799.69</v>
      </c>
      <c r="I177" s="7">
        <v>3896.04</v>
      </c>
      <c r="J177" s="7">
        <v>6695.73</v>
      </c>
      <c r="K177" s="7">
        <v>6974.48</v>
      </c>
      <c r="L177" s="7">
        <v>1978</v>
      </c>
      <c r="M177" s="7">
        <v>8952.48</v>
      </c>
      <c r="N177" s="7">
        <v>2238.12</v>
      </c>
      <c r="O177" s="7">
        <v>0</v>
      </c>
      <c r="P177" s="7">
        <v>0</v>
      </c>
      <c r="Q177" s="7">
        <v>-1806.42</v>
      </c>
      <c r="R177" s="7">
        <v>0</v>
      </c>
      <c r="S177" s="7">
        <v>0</v>
      </c>
      <c r="T177" s="7">
        <v>0</v>
      </c>
      <c r="U177" s="7">
        <v>-602.14</v>
      </c>
      <c r="V177" s="7">
        <v>0</v>
      </c>
      <c r="W177" s="7">
        <v>6695.73</v>
      </c>
    </row>
    <row r="178" spans="1:23" x14ac:dyDescent="0.25">
      <c r="A178" s="12" t="s">
        <v>38</v>
      </c>
      <c r="B178" s="12">
        <v>578</v>
      </c>
      <c r="C178" s="12">
        <v>1</v>
      </c>
      <c r="D178" s="13" t="s">
        <v>572</v>
      </c>
      <c r="E178" s="12">
        <v>135</v>
      </c>
      <c r="F178" s="12">
        <v>662</v>
      </c>
      <c r="G178" s="14" t="s">
        <v>743</v>
      </c>
      <c r="H178" s="7">
        <v>9218.49</v>
      </c>
      <c r="I178" s="7">
        <v>12223.61</v>
      </c>
      <c r="J178" s="7">
        <v>21442.1</v>
      </c>
      <c r="K178" s="7">
        <v>21438.29</v>
      </c>
      <c r="L178" s="7">
        <v>1410</v>
      </c>
      <c r="M178" s="7">
        <v>22848.29</v>
      </c>
      <c r="N178" s="7">
        <v>5712.07</v>
      </c>
      <c r="O178" s="7">
        <v>-40457.43</v>
      </c>
      <c r="P178" s="7">
        <v>0</v>
      </c>
      <c r="Q178" s="7">
        <v>-33922.089999999997</v>
      </c>
      <c r="R178" s="7">
        <v>0</v>
      </c>
      <c r="S178" s="7">
        <v>0</v>
      </c>
      <c r="T178" s="7">
        <v>-26991.41</v>
      </c>
      <c r="U178" s="7">
        <v>-33790.31</v>
      </c>
      <c r="V178" s="7">
        <v>0</v>
      </c>
      <c r="W178" s="7">
        <v>21442.1</v>
      </c>
    </row>
    <row r="179" spans="1:23" x14ac:dyDescent="0.25">
      <c r="A179" s="12" t="s">
        <v>38</v>
      </c>
      <c r="B179" s="12">
        <v>581</v>
      </c>
      <c r="C179" s="12">
        <v>1</v>
      </c>
      <c r="D179" s="13" t="s">
        <v>573</v>
      </c>
      <c r="E179" s="12">
        <v>37</v>
      </c>
      <c r="F179" s="12">
        <v>127</v>
      </c>
      <c r="G179" s="14" t="s">
        <v>743</v>
      </c>
      <c r="H179" s="7">
        <v>2526.5500000000002</v>
      </c>
      <c r="I179" s="7">
        <v>2345.0100000000002</v>
      </c>
      <c r="J179" s="7">
        <v>4871.5600000000004</v>
      </c>
      <c r="K179" s="7">
        <v>4829.45</v>
      </c>
      <c r="L179" s="7">
        <v>8260</v>
      </c>
      <c r="M179" s="7">
        <v>13089.45</v>
      </c>
      <c r="N179" s="7">
        <v>3272.36</v>
      </c>
      <c r="O179" s="7">
        <v>2214.3000000000002</v>
      </c>
      <c r="P179" s="7">
        <v>0</v>
      </c>
      <c r="Q179" s="7">
        <v>-543.79</v>
      </c>
      <c r="R179" s="7">
        <v>0</v>
      </c>
      <c r="S179" s="7">
        <v>0</v>
      </c>
      <c r="T179" s="7">
        <v>-1202.4100000000001</v>
      </c>
      <c r="U179" s="7">
        <v>156.03</v>
      </c>
      <c r="V179" s="7">
        <v>0</v>
      </c>
      <c r="W179" s="7">
        <v>4871.5600000000004</v>
      </c>
    </row>
    <row r="180" spans="1:23" x14ac:dyDescent="0.25">
      <c r="A180" s="12" t="s">
        <v>38</v>
      </c>
      <c r="B180" s="12">
        <v>592</v>
      </c>
      <c r="C180" s="12">
        <v>1</v>
      </c>
      <c r="D180" s="13" t="s">
        <v>574</v>
      </c>
      <c r="E180" s="12">
        <v>13</v>
      </c>
      <c r="F180" s="12">
        <v>103</v>
      </c>
      <c r="G180" s="14" t="s">
        <v>743</v>
      </c>
      <c r="H180" s="7">
        <v>887.71</v>
      </c>
      <c r="I180" s="7">
        <v>1901.86</v>
      </c>
      <c r="J180" s="7">
        <v>2789.57</v>
      </c>
      <c r="K180" s="7">
        <v>2395.4499999999998</v>
      </c>
      <c r="L180" s="7">
        <v>0</v>
      </c>
      <c r="M180" s="7">
        <v>2395.4499999999998</v>
      </c>
      <c r="N180" s="7">
        <v>598.86</v>
      </c>
      <c r="O180" s="7">
        <v>-10754.64</v>
      </c>
      <c r="P180" s="7">
        <v>0</v>
      </c>
      <c r="Q180" s="7">
        <v>-22541.03</v>
      </c>
      <c r="R180" s="7">
        <v>0</v>
      </c>
      <c r="S180" s="7">
        <v>0</v>
      </c>
      <c r="T180" s="7">
        <v>-20227.810000000001</v>
      </c>
      <c r="U180" s="7">
        <v>-17841.16</v>
      </c>
      <c r="V180" s="7">
        <v>0</v>
      </c>
      <c r="W180" s="7">
        <v>2789.57</v>
      </c>
    </row>
    <row r="181" spans="1:23" x14ac:dyDescent="0.25">
      <c r="A181" s="12" t="s">
        <v>38</v>
      </c>
      <c r="B181" s="12">
        <v>593</v>
      </c>
      <c r="C181" s="12">
        <v>1</v>
      </c>
      <c r="D181" s="13" t="s">
        <v>575</v>
      </c>
      <c r="E181" s="12">
        <v>163</v>
      </c>
      <c r="F181" s="12">
        <v>531</v>
      </c>
      <c r="G181" s="14" t="s">
        <v>743</v>
      </c>
      <c r="H181" s="7">
        <v>11130.48</v>
      </c>
      <c r="I181" s="7">
        <v>9804.74</v>
      </c>
      <c r="J181" s="7">
        <v>20935.22</v>
      </c>
      <c r="K181" s="7">
        <v>21913.17</v>
      </c>
      <c r="L181" s="7">
        <v>13957</v>
      </c>
      <c r="M181" s="7">
        <v>35870.17</v>
      </c>
      <c r="N181" s="7">
        <v>8967.5400000000009</v>
      </c>
      <c r="O181" s="7">
        <v>17282.48</v>
      </c>
      <c r="P181" s="7">
        <v>0</v>
      </c>
      <c r="Q181" s="7">
        <v>5640.62</v>
      </c>
      <c r="R181" s="7">
        <v>0</v>
      </c>
      <c r="S181" s="7">
        <v>0</v>
      </c>
      <c r="T181" s="7">
        <v>0</v>
      </c>
      <c r="U181" s="7">
        <v>7641.03</v>
      </c>
      <c r="V181" s="7">
        <v>0</v>
      </c>
      <c r="W181" s="7">
        <v>20935.22</v>
      </c>
    </row>
    <row r="182" spans="1:23" x14ac:dyDescent="0.25">
      <c r="A182" s="12" t="s">
        <v>38</v>
      </c>
      <c r="B182" s="12">
        <v>595</v>
      </c>
      <c r="C182" s="12">
        <v>1</v>
      </c>
      <c r="D182" s="13" t="s">
        <v>576</v>
      </c>
      <c r="E182" s="12">
        <v>132</v>
      </c>
      <c r="F182" s="12">
        <v>555</v>
      </c>
      <c r="G182" s="14" t="s">
        <v>743</v>
      </c>
      <c r="H182" s="7">
        <v>9013.64</v>
      </c>
      <c r="I182" s="7">
        <v>10247.89</v>
      </c>
      <c r="J182" s="7">
        <v>19261.53</v>
      </c>
      <c r="K182" s="7">
        <v>19139.8</v>
      </c>
      <c r="L182" s="7">
        <v>37380</v>
      </c>
      <c r="M182" s="7">
        <v>56519.8</v>
      </c>
      <c r="N182" s="7">
        <v>14129.95</v>
      </c>
      <c r="O182" s="7">
        <v>-5288.37</v>
      </c>
      <c r="P182" s="7">
        <v>0</v>
      </c>
      <c r="Q182" s="7">
        <v>-11727.6</v>
      </c>
      <c r="R182" s="7">
        <v>0</v>
      </c>
      <c r="S182" s="7">
        <v>0</v>
      </c>
      <c r="T182" s="7">
        <v>604.80999999999995</v>
      </c>
      <c r="U182" s="7">
        <v>-5470.39</v>
      </c>
      <c r="V182" s="7">
        <v>0</v>
      </c>
      <c r="W182" s="7">
        <v>19261.53</v>
      </c>
    </row>
    <row r="183" spans="1:23" x14ac:dyDescent="0.25">
      <c r="A183" s="12" t="s">
        <v>38</v>
      </c>
      <c r="B183" s="12">
        <v>599</v>
      </c>
      <c r="C183" s="12">
        <v>1</v>
      </c>
      <c r="D183" s="13" t="s">
        <v>577</v>
      </c>
      <c r="E183" s="12">
        <v>42</v>
      </c>
      <c r="F183" s="12">
        <v>182</v>
      </c>
      <c r="G183" s="14" t="s">
        <v>743</v>
      </c>
      <c r="H183" s="7">
        <v>2867.98</v>
      </c>
      <c r="I183" s="7">
        <v>3360.57</v>
      </c>
      <c r="J183" s="7">
        <v>6228.55</v>
      </c>
      <c r="K183" s="7">
        <v>6608.17</v>
      </c>
      <c r="L183" s="7">
        <v>3600</v>
      </c>
      <c r="M183" s="7">
        <v>10208.17</v>
      </c>
      <c r="N183" s="7">
        <v>2552.04</v>
      </c>
      <c r="O183" s="7">
        <v>0.13</v>
      </c>
      <c r="P183" s="7">
        <v>0</v>
      </c>
      <c r="Q183" s="7">
        <v>2152.15</v>
      </c>
      <c r="R183" s="7">
        <v>0</v>
      </c>
      <c r="S183" s="7">
        <v>0</v>
      </c>
      <c r="T183" s="7">
        <v>0</v>
      </c>
      <c r="U183" s="7">
        <v>717.43</v>
      </c>
      <c r="V183" s="7">
        <v>0</v>
      </c>
      <c r="W183" s="7">
        <v>6228.55</v>
      </c>
    </row>
    <row r="184" spans="1:23" x14ac:dyDescent="0.25">
      <c r="A184" s="12" t="s">
        <v>38</v>
      </c>
      <c r="B184" s="12">
        <v>600</v>
      </c>
      <c r="C184" s="12">
        <v>1</v>
      </c>
      <c r="D184" s="13" t="s">
        <v>578</v>
      </c>
      <c r="E184" s="12">
        <v>11</v>
      </c>
      <c r="F184" s="12">
        <v>68</v>
      </c>
      <c r="G184" s="14" t="s">
        <v>743</v>
      </c>
      <c r="H184" s="7">
        <v>751.14</v>
      </c>
      <c r="I184" s="7">
        <v>1255.5999999999999</v>
      </c>
      <c r="J184" s="7">
        <v>2006.74</v>
      </c>
      <c r="K184" s="7">
        <v>2366.48</v>
      </c>
      <c r="L184" s="7">
        <v>25378.03</v>
      </c>
      <c r="M184" s="7">
        <v>27744.51</v>
      </c>
      <c r="N184" s="7">
        <v>6936.13</v>
      </c>
      <c r="O184" s="7">
        <v>-5757.92</v>
      </c>
      <c r="P184" s="7">
        <v>0</v>
      </c>
      <c r="Q184" s="7">
        <v>-4491.26</v>
      </c>
      <c r="R184" s="7">
        <v>0</v>
      </c>
      <c r="S184" s="7">
        <v>0</v>
      </c>
      <c r="T184" s="7">
        <v>6451.54</v>
      </c>
      <c r="U184" s="7">
        <v>-1265.8800000000001</v>
      </c>
      <c r="V184" s="7">
        <v>0</v>
      </c>
      <c r="W184" s="7">
        <v>2006.74</v>
      </c>
    </row>
    <row r="185" spans="1:23" x14ac:dyDescent="0.25">
      <c r="A185" s="12" t="s">
        <v>38</v>
      </c>
      <c r="B185" s="12">
        <v>601</v>
      </c>
      <c r="C185" s="12">
        <v>1</v>
      </c>
      <c r="D185" s="13" t="s">
        <v>579</v>
      </c>
      <c r="E185" s="12">
        <v>48</v>
      </c>
      <c r="F185" s="12">
        <v>317</v>
      </c>
      <c r="G185" s="14" t="s">
        <v>743</v>
      </c>
      <c r="H185" s="7">
        <v>3277.69</v>
      </c>
      <c r="I185" s="7">
        <v>5853.3</v>
      </c>
      <c r="J185" s="7">
        <v>9130.99</v>
      </c>
      <c r="K185" s="7">
        <v>8984.1200000000008</v>
      </c>
      <c r="L185" s="7">
        <v>3611.21</v>
      </c>
      <c r="M185" s="7">
        <v>12595.33</v>
      </c>
      <c r="N185" s="7">
        <v>3148.83</v>
      </c>
      <c r="O185" s="7">
        <v>-816.59</v>
      </c>
      <c r="P185" s="7">
        <v>0</v>
      </c>
      <c r="Q185" s="7">
        <v>2615.52</v>
      </c>
      <c r="R185" s="7">
        <v>0</v>
      </c>
      <c r="S185" s="7">
        <v>0</v>
      </c>
      <c r="T185" s="7">
        <v>-474.95</v>
      </c>
      <c r="U185" s="7">
        <v>441.33</v>
      </c>
      <c r="V185" s="7">
        <v>0</v>
      </c>
      <c r="W185" s="7">
        <v>9130.99</v>
      </c>
    </row>
    <row r="186" spans="1:23" x14ac:dyDescent="0.25">
      <c r="A186" s="12" t="s">
        <v>38</v>
      </c>
      <c r="B186" s="12">
        <v>611</v>
      </c>
      <c r="C186" s="12">
        <v>1</v>
      </c>
      <c r="D186" s="13" t="s">
        <v>580</v>
      </c>
      <c r="E186" s="12">
        <v>13</v>
      </c>
      <c r="F186" s="12">
        <v>31</v>
      </c>
      <c r="G186" s="14" t="s">
        <v>743</v>
      </c>
      <c r="H186" s="7">
        <v>0</v>
      </c>
      <c r="I186" s="7">
        <v>0</v>
      </c>
      <c r="J186" s="7">
        <v>0</v>
      </c>
      <c r="K186" s="7">
        <v>825.14</v>
      </c>
      <c r="L186" s="7">
        <v>0</v>
      </c>
      <c r="M186" s="7">
        <v>825.14</v>
      </c>
      <c r="N186" s="7">
        <v>206.29</v>
      </c>
      <c r="O186" s="7">
        <v>122.03</v>
      </c>
      <c r="P186" s="7">
        <v>399.2</v>
      </c>
      <c r="Q186" s="7">
        <v>858.96</v>
      </c>
      <c r="R186" s="7">
        <v>69.599999999999994</v>
      </c>
      <c r="S186" s="7">
        <v>0</v>
      </c>
      <c r="T186" s="7">
        <v>1500.12</v>
      </c>
      <c r="U186" s="7">
        <v>670.77</v>
      </c>
      <c r="V186" s="7">
        <v>0</v>
      </c>
      <c r="W186" s="7">
        <v>0</v>
      </c>
    </row>
    <row r="187" spans="1:23" x14ac:dyDescent="0.25">
      <c r="A187" s="12" t="s">
        <v>38</v>
      </c>
      <c r="B187" s="12">
        <v>621</v>
      </c>
      <c r="C187" s="12">
        <v>1</v>
      </c>
      <c r="D187" s="13" t="s">
        <v>581</v>
      </c>
      <c r="E187" s="12">
        <v>1004</v>
      </c>
      <c r="F187" s="12">
        <v>2731</v>
      </c>
      <c r="G187" s="14" t="s">
        <v>743</v>
      </c>
      <c r="H187" s="7">
        <v>68558.27</v>
      </c>
      <c r="I187" s="7">
        <v>50426.99</v>
      </c>
      <c r="J187" s="7">
        <v>118985.26</v>
      </c>
      <c r="K187" s="7">
        <v>115528.3</v>
      </c>
      <c r="L187" s="7">
        <v>17150</v>
      </c>
      <c r="M187" s="7">
        <v>132678.29999999999</v>
      </c>
      <c r="N187" s="7">
        <v>33169.58</v>
      </c>
      <c r="O187" s="7">
        <v>10111.709999999999</v>
      </c>
      <c r="P187" s="7">
        <v>0</v>
      </c>
      <c r="Q187" s="7">
        <v>12603.23</v>
      </c>
      <c r="R187" s="7">
        <v>0</v>
      </c>
      <c r="S187" s="7">
        <v>0</v>
      </c>
      <c r="T187" s="7">
        <v>47068.42</v>
      </c>
      <c r="U187" s="7">
        <v>23261.119999999999</v>
      </c>
      <c r="V187" s="7">
        <v>0</v>
      </c>
      <c r="W187" s="7">
        <v>118985.26</v>
      </c>
    </row>
    <row r="188" spans="1:23" x14ac:dyDescent="0.25">
      <c r="A188" s="12" t="s">
        <v>38</v>
      </c>
      <c r="B188" s="12">
        <v>622</v>
      </c>
      <c r="C188" s="12">
        <v>1</v>
      </c>
      <c r="D188" s="13" t="s">
        <v>582</v>
      </c>
      <c r="E188" s="12">
        <v>773</v>
      </c>
      <c r="F188" s="12">
        <v>4204</v>
      </c>
      <c r="G188" s="14" t="s">
        <v>743</v>
      </c>
      <c r="H188" s="7">
        <v>52784.4</v>
      </c>
      <c r="I188" s="7">
        <v>77625.440000000002</v>
      </c>
      <c r="J188" s="7">
        <v>130409.84</v>
      </c>
      <c r="K188" s="7">
        <v>133156.82999999999</v>
      </c>
      <c r="L188" s="7">
        <v>2130</v>
      </c>
      <c r="M188" s="7">
        <v>135286.82999999999</v>
      </c>
      <c r="N188" s="7">
        <v>33821.71</v>
      </c>
      <c r="O188" s="7">
        <v>51407.03</v>
      </c>
      <c r="P188" s="7">
        <v>0</v>
      </c>
      <c r="Q188" s="7">
        <v>29573.01</v>
      </c>
      <c r="R188" s="7">
        <v>0</v>
      </c>
      <c r="S188" s="7">
        <v>0</v>
      </c>
      <c r="T188" s="7">
        <v>9019.1299999999992</v>
      </c>
      <c r="U188" s="7">
        <v>29999.72</v>
      </c>
      <c r="V188" s="7">
        <v>0</v>
      </c>
      <c r="W188" s="7">
        <v>130409.84</v>
      </c>
    </row>
    <row r="189" spans="1:23" x14ac:dyDescent="0.25">
      <c r="A189" s="12" t="s">
        <v>38</v>
      </c>
      <c r="B189" s="12">
        <v>623</v>
      </c>
      <c r="C189" s="12">
        <v>1</v>
      </c>
      <c r="D189" s="13" t="s">
        <v>583</v>
      </c>
      <c r="E189" s="12">
        <v>607</v>
      </c>
      <c r="F189" s="12">
        <v>2411</v>
      </c>
      <c r="G189" s="14" t="s">
        <v>743</v>
      </c>
      <c r="H189" s="7">
        <v>41449.07</v>
      </c>
      <c r="I189" s="7">
        <v>44518.3</v>
      </c>
      <c r="J189" s="7">
        <v>85967.37</v>
      </c>
      <c r="K189" s="7">
        <v>80490.38</v>
      </c>
      <c r="L189" s="7">
        <v>13053.7</v>
      </c>
      <c r="M189" s="7">
        <v>93544.08</v>
      </c>
      <c r="N189" s="7">
        <v>23386.02</v>
      </c>
      <c r="O189" s="7">
        <v>13164.52</v>
      </c>
      <c r="P189" s="7">
        <v>0</v>
      </c>
      <c r="Q189" s="7">
        <v>24667.43</v>
      </c>
      <c r="R189" s="7">
        <v>0</v>
      </c>
      <c r="S189" s="7">
        <v>0</v>
      </c>
      <c r="T189" s="7">
        <v>14584.17</v>
      </c>
      <c r="U189" s="7">
        <v>17472.04</v>
      </c>
      <c r="V189" s="7">
        <v>0</v>
      </c>
      <c r="W189" s="7">
        <v>85967.37</v>
      </c>
    </row>
    <row r="190" spans="1:23" x14ac:dyDescent="0.25">
      <c r="A190" s="12" t="s">
        <v>38</v>
      </c>
      <c r="B190" s="12">
        <v>624</v>
      </c>
      <c r="C190" s="12">
        <v>1</v>
      </c>
      <c r="D190" s="13" t="s">
        <v>584</v>
      </c>
      <c r="E190" s="12">
        <v>741</v>
      </c>
      <c r="F190" s="12">
        <v>2131</v>
      </c>
      <c r="G190" s="14" t="s">
        <v>743</v>
      </c>
      <c r="H190" s="7">
        <v>50599.28</v>
      </c>
      <c r="I190" s="7">
        <v>39348.19</v>
      </c>
      <c r="J190" s="7">
        <v>89947.47</v>
      </c>
      <c r="K190" s="7">
        <v>73824.87</v>
      </c>
      <c r="L190" s="7">
        <v>0</v>
      </c>
      <c r="M190" s="7">
        <v>73824.87</v>
      </c>
      <c r="N190" s="7">
        <v>18456.22</v>
      </c>
      <c r="O190" s="7">
        <v>-42027</v>
      </c>
      <c r="P190" s="7">
        <v>0</v>
      </c>
      <c r="Q190" s="7">
        <v>0</v>
      </c>
      <c r="R190" s="7">
        <v>0</v>
      </c>
      <c r="S190" s="7">
        <v>0</v>
      </c>
      <c r="T190" s="7">
        <v>22715</v>
      </c>
      <c r="U190" s="7">
        <v>-6437.33</v>
      </c>
      <c r="V190" s="7">
        <v>0</v>
      </c>
      <c r="W190" s="7">
        <v>89947.47</v>
      </c>
    </row>
    <row r="191" spans="1:23" x14ac:dyDescent="0.25">
      <c r="A191" s="12" t="s">
        <v>38</v>
      </c>
      <c r="B191" s="12">
        <v>625</v>
      </c>
      <c r="C191" s="12">
        <v>1</v>
      </c>
      <c r="D191" s="13" t="s">
        <v>585</v>
      </c>
      <c r="E191" s="12">
        <v>4465</v>
      </c>
      <c r="F191" s="12">
        <v>27902</v>
      </c>
      <c r="G191" s="14" t="s">
        <v>743</v>
      </c>
      <c r="H191" s="7">
        <v>304893.09000000003</v>
      </c>
      <c r="I191" s="7">
        <v>515201</v>
      </c>
      <c r="J191" s="7">
        <v>820094.09</v>
      </c>
      <c r="K191" s="7">
        <v>835358.51</v>
      </c>
      <c r="L191" s="7">
        <v>823309.7</v>
      </c>
      <c r="M191" s="7">
        <v>1658668.21</v>
      </c>
      <c r="N191" s="7">
        <v>414667.05</v>
      </c>
      <c r="O191" s="7">
        <v>216962.8</v>
      </c>
      <c r="P191" s="7">
        <v>0</v>
      </c>
      <c r="Q191" s="7">
        <v>554314.23</v>
      </c>
      <c r="R191" s="7">
        <v>0</v>
      </c>
      <c r="S191" s="7">
        <v>0</v>
      </c>
      <c r="T191" s="7">
        <v>467946.8</v>
      </c>
      <c r="U191" s="7">
        <v>413074.61</v>
      </c>
      <c r="V191" s="7">
        <v>0</v>
      </c>
      <c r="W191" s="7">
        <v>820094.09</v>
      </c>
    </row>
    <row r="192" spans="1:23" x14ac:dyDescent="0.25">
      <c r="A192" s="12" t="s">
        <v>38</v>
      </c>
      <c r="B192" s="12">
        <v>627</v>
      </c>
      <c r="C192" s="12">
        <v>1</v>
      </c>
      <c r="D192" s="13" t="s">
        <v>586</v>
      </c>
      <c r="E192" s="12">
        <v>22</v>
      </c>
      <c r="F192" s="12">
        <v>102</v>
      </c>
      <c r="G192" s="14" t="s">
        <v>743</v>
      </c>
      <c r="H192" s="7">
        <v>1502.27</v>
      </c>
      <c r="I192" s="7">
        <v>1883.4</v>
      </c>
      <c r="J192" s="7">
        <v>3385.67</v>
      </c>
      <c r="K192" s="7">
        <v>3308.57</v>
      </c>
      <c r="L192" s="7">
        <v>1030</v>
      </c>
      <c r="M192" s="7">
        <v>4338.57</v>
      </c>
      <c r="N192" s="7">
        <v>1084.6400000000001</v>
      </c>
      <c r="O192" s="7">
        <v>50.24</v>
      </c>
      <c r="P192" s="7">
        <v>0</v>
      </c>
      <c r="Q192" s="7">
        <v>0.46</v>
      </c>
      <c r="R192" s="7">
        <v>0</v>
      </c>
      <c r="S192" s="7">
        <v>0</v>
      </c>
      <c r="T192" s="7">
        <v>-7.0000000000000007E-2</v>
      </c>
      <c r="U192" s="7">
        <v>16.88</v>
      </c>
      <c r="V192" s="7">
        <v>0</v>
      </c>
      <c r="W192" s="7">
        <v>3385.67</v>
      </c>
    </row>
    <row r="193" spans="1:23" x14ac:dyDescent="0.25">
      <c r="A193" s="12" t="s">
        <v>38</v>
      </c>
      <c r="B193" s="12">
        <v>628</v>
      </c>
      <c r="C193" s="12">
        <v>1</v>
      </c>
      <c r="D193" s="13" t="s">
        <v>587</v>
      </c>
      <c r="E193" s="12">
        <v>4</v>
      </c>
      <c r="F193" s="12">
        <v>124</v>
      </c>
      <c r="G193" s="14" t="s">
        <v>743</v>
      </c>
      <c r="H193" s="7">
        <v>273.14</v>
      </c>
      <c r="I193" s="7">
        <v>2289.62</v>
      </c>
      <c r="J193" s="7">
        <v>2562.7600000000002</v>
      </c>
      <c r="K193" s="7">
        <v>3052.16</v>
      </c>
      <c r="L193" s="7">
        <v>0</v>
      </c>
      <c r="M193" s="7">
        <v>3052.16</v>
      </c>
      <c r="N193" s="7">
        <v>763.04</v>
      </c>
      <c r="O193" s="7">
        <v>-413.9</v>
      </c>
      <c r="P193" s="7">
        <v>0</v>
      </c>
      <c r="Q193" s="7">
        <v>0</v>
      </c>
      <c r="R193" s="7">
        <v>0</v>
      </c>
      <c r="S193" s="7">
        <v>0</v>
      </c>
      <c r="T193" s="7">
        <v>-1365.64</v>
      </c>
      <c r="U193" s="7">
        <v>-593.17999999999995</v>
      </c>
      <c r="V193" s="7">
        <v>0</v>
      </c>
      <c r="W193" s="7">
        <v>2562.7600000000002</v>
      </c>
    </row>
    <row r="194" spans="1:23" x14ac:dyDescent="0.25">
      <c r="A194" s="12" t="s">
        <v>38</v>
      </c>
      <c r="B194" s="12">
        <v>630</v>
      </c>
      <c r="C194" s="12">
        <v>1</v>
      </c>
      <c r="D194" s="13" t="s">
        <v>588</v>
      </c>
      <c r="E194" s="12">
        <v>36</v>
      </c>
      <c r="F194" s="12">
        <v>168</v>
      </c>
      <c r="G194" s="14" t="s">
        <v>743</v>
      </c>
      <c r="H194" s="7">
        <v>2458.2600000000002</v>
      </c>
      <c r="I194" s="7">
        <v>3102.06</v>
      </c>
      <c r="J194" s="7">
        <v>5560.32</v>
      </c>
      <c r="K194" s="7">
        <v>6065.9</v>
      </c>
      <c r="L194" s="7">
        <v>5398.5</v>
      </c>
      <c r="M194" s="7">
        <v>11464.4</v>
      </c>
      <c r="N194" s="7">
        <v>2866.1</v>
      </c>
      <c r="O194" s="7">
        <v>-12850.38</v>
      </c>
      <c r="P194" s="7">
        <v>0</v>
      </c>
      <c r="Q194" s="7">
        <v>-14642.47</v>
      </c>
      <c r="R194" s="7">
        <v>0</v>
      </c>
      <c r="S194" s="7">
        <v>0</v>
      </c>
      <c r="T194" s="7">
        <v>0.4</v>
      </c>
      <c r="U194" s="7">
        <v>-9164.15</v>
      </c>
      <c r="V194" s="7">
        <v>0</v>
      </c>
      <c r="W194" s="7">
        <v>5560.32</v>
      </c>
    </row>
    <row r="195" spans="1:23" x14ac:dyDescent="0.25">
      <c r="A195" s="12" t="s">
        <v>38</v>
      </c>
      <c r="B195" s="12">
        <v>635</v>
      </c>
      <c r="C195" s="12">
        <v>1</v>
      </c>
      <c r="D195" s="13" t="s">
        <v>589</v>
      </c>
      <c r="E195" s="12">
        <v>12</v>
      </c>
      <c r="F195" s="12">
        <v>12</v>
      </c>
      <c r="G195" s="14" t="s">
        <v>743</v>
      </c>
      <c r="H195" s="7">
        <v>819.42</v>
      </c>
      <c r="I195" s="7">
        <v>221.58</v>
      </c>
      <c r="J195" s="7">
        <v>1041</v>
      </c>
      <c r="K195" s="7">
        <v>1053.06</v>
      </c>
      <c r="L195" s="7">
        <v>2925</v>
      </c>
      <c r="M195" s="7">
        <v>3978.06</v>
      </c>
      <c r="N195" s="7">
        <v>994.52</v>
      </c>
      <c r="O195" s="7">
        <v>-11651.79</v>
      </c>
      <c r="P195" s="7">
        <v>0</v>
      </c>
      <c r="Q195" s="7">
        <v>-11651.79</v>
      </c>
      <c r="R195" s="7">
        <v>0</v>
      </c>
      <c r="S195" s="7">
        <v>0</v>
      </c>
      <c r="T195" s="7">
        <v>-12946.95</v>
      </c>
      <c r="U195" s="7">
        <v>-12083.51</v>
      </c>
      <c r="V195" s="7">
        <v>0</v>
      </c>
      <c r="W195" s="7">
        <v>1041</v>
      </c>
    </row>
    <row r="196" spans="1:23" x14ac:dyDescent="0.25">
      <c r="A196" s="12" t="s">
        <v>38</v>
      </c>
      <c r="B196" s="12">
        <v>640</v>
      </c>
      <c r="C196" s="12">
        <v>1</v>
      </c>
      <c r="D196" s="13" t="s">
        <v>590</v>
      </c>
      <c r="E196" s="12">
        <v>35</v>
      </c>
      <c r="F196" s="12">
        <v>126</v>
      </c>
      <c r="G196" s="14" t="s">
        <v>743</v>
      </c>
      <c r="H196" s="7">
        <v>2389.98</v>
      </c>
      <c r="I196" s="7">
        <v>2326.5500000000002</v>
      </c>
      <c r="J196" s="7">
        <v>4716.53</v>
      </c>
      <c r="K196" s="7">
        <v>4498.58</v>
      </c>
      <c r="L196" s="7">
        <v>12260.17</v>
      </c>
      <c r="M196" s="7">
        <v>16758.75</v>
      </c>
      <c r="N196" s="7">
        <v>4189.6899999999996</v>
      </c>
      <c r="O196" s="7">
        <v>2490.06</v>
      </c>
      <c r="P196" s="7">
        <v>0</v>
      </c>
      <c r="Q196" s="7">
        <v>-765.17</v>
      </c>
      <c r="R196" s="7">
        <v>0</v>
      </c>
      <c r="S196" s="7">
        <v>0</v>
      </c>
      <c r="T196" s="7">
        <v>-3302.48</v>
      </c>
      <c r="U196" s="7">
        <v>-525.86</v>
      </c>
      <c r="V196" s="7">
        <v>0</v>
      </c>
      <c r="W196" s="7">
        <v>4716.53</v>
      </c>
    </row>
    <row r="197" spans="1:23" x14ac:dyDescent="0.25">
      <c r="A197" s="12" t="s">
        <v>38</v>
      </c>
      <c r="B197" s="12">
        <v>656</v>
      </c>
      <c r="C197" s="12">
        <v>1</v>
      </c>
      <c r="D197" s="13" t="s">
        <v>591</v>
      </c>
      <c r="E197" s="12">
        <v>403</v>
      </c>
      <c r="F197" s="12">
        <v>1993</v>
      </c>
      <c r="G197" s="14" t="s">
        <v>743</v>
      </c>
      <c r="H197" s="7">
        <v>27518.91</v>
      </c>
      <c r="I197" s="7">
        <v>36800.07</v>
      </c>
      <c r="J197" s="7">
        <v>64318.98</v>
      </c>
      <c r="K197" s="7">
        <v>61097.279999999999</v>
      </c>
      <c r="L197" s="7">
        <v>35367.1</v>
      </c>
      <c r="M197" s="7">
        <v>96464.38</v>
      </c>
      <c r="N197" s="7">
        <v>24116.1</v>
      </c>
      <c r="O197" s="7">
        <v>-1480.9</v>
      </c>
      <c r="P197" s="7">
        <v>0</v>
      </c>
      <c r="Q197" s="7">
        <v>-10793.22</v>
      </c>
      <c r="R197" s="7">
        <v>0</v>
      </c>
      <c r="S197" s="7">
        <v>0</v>
      </c>
      <c r="T197" s="7">
        <v>5913.44</v>
      </c>
      <c r="U197" s="7">
        <v>-2120.23</v>
      </c>
      <c r="V197" s="7">
        <v>0</v>
      </c>
      <c r="W197" s="7">
        <v>64318.98</v>
      </c>
    </row>
    <row r="198" spans="1:23" x14ac:dyDescent="0.25">
      <c r="A198" s="12" t="s">
        <v>38</v>
      </c>
      <c r="B198" s="12">
        <v>659</v>
      </c>
      <c r="C198" s="12">
        <v>1</v>
      </c>
      <c r="D198" s="13" t="s">
        <v>592</v>
      </c>
      <c r="E198" s="12">
        <v>345</v>
      </c>
      <c r="F198" s="12">
        <v>918</v>
      </c>
      <c r="G198" s="14" t="s">
        <v>743</v>
      </c>
      <c r="H198" s="7">
        <v>23558.37</v>
      </c>
      <c r="I198" s="7">
        <v>16950.560000000001</v>
      </c>
      <c r="J198" s="7">
        <v>40508.93</v>
      </c>
      <c r="K198" s="7">
        <v>38156.410000000003</v>
      </c>
      <c r="L198" s="7">
        <v>75415.09</v>
      </c>
      <c r="M198" s="7">
        <v>113571.5</v>
      </c>
      <c r="N198" s="7">
        <v>28392.880000000001</v>
      </c>
      <c r="O198" s="7">
        <v>-9329.83</v>
      </c>
      <c r="P198" s="7">
        <v>0</v>
      </c>
      <c r="Q198" s="7">
        <v>-42608.19</v>
      </c>
      <c r="R198" s="7">
        <v>0</v>
      </c>
      <c r="S198" s="7">
        <v>0</v>
      </c>
      <c r="T198" s="7">
        <v>-18789.87</v>
      </c>
      <c r="U198" s="7">
        <v>-23575.96</v>
      </c>
      <c r="V198" s="7">
        <v>0</v>
      </c>
      <c r="W198" s="7">
        <v>40508.93</v>
      </c>
    </row>
    <row r="199" spans="1:23" x14ac:dyDescent="0.25">
      <c r="A199" s="12" t="s">
        <v>38</v>
      </c>
      <c r="B199" s="12">
        <v>671</v>
      </c>
      <c r="C199" s="12">
        <v>1</v>
      </c>
      <c r="D199" s="13" t="s">
        <v>593</v>
      </c>
      <c r="E199" s="12">
        <v>35</v>
      </c>
      <c r="F199" s="12">
        <v>116</v>
      </c>
      <c r="G199" s="14" t="s">
        <v>743</v>
      </c>
      <c r="H199" s="7">
        <v>2389.98</v>
      </c>
      <c r="I199" s="7">
        <v>2141.9</v>
      </c>
      <c r="J199" s="7">
        <v>4531.88</v>
      </c>
      <c r="K199" s="7">
        <v>4244.2</v>
      </c>
      <c r="L199" s="7">
        <v>2751</v>
      </c>
      <c r="M199" s="7">
        <v>6995.2</v>
      </c>
      <c r="N199" s="7">
        <v>1748.8</v>
      </c>
      <c r="O199" s="7">
        <v>8414.33</v>
      </c>
      <c r="P199" s="7">
        <v>2551.42</v>
      </c>
      <c r="Q199" s="7">
        <v>12173.97</v>
      </c>
      <c r="R199" s="7">
        <v>4244.2</v>
      </c>
      <c r="S199" s="7">
        <v>0</v>
      </c>
      <c r="T199" s="7">
        <v>12236.54</v>
      </c>
      <c r="U199" s="7">
        <v>8676.41</v>
      </c>
      <c r="V199" s="7">
        <v>4531.88</v>
      </c>
      <c r="W199" s="7">
        <v>0</v>
      </c>
    </row>
    <row r="200" spans="1:23" x14ac:dyDescent="0.25">
      <c r="A200" s="12" t="s">
        <v>38</v>
      </c>
      <c r="B200" s="12">
        <v>676</v>
      </c>
      <c r="C200" s="12">
        <v>1</v>
      </c>
      <c r="D200" s="13" t="s">
        <v>594</v>
      </c>
      <c r="E200" s="12">
        <v>15</v>
      </c>
      <c r="F200" s="12">
        <v>116</v>
      </c>
      <c r="G200" s="14" t="s">
        <v>743</v>
      </c>
      <c r="H200" s="7">
        <v>1024.28</v>
      </c>
      <c r="I200" s="7">
        <v>2141.9</v>
      </c>
      <c r="J200" s="7">
        <v>3166.18</v>
      </c>
      <c r="K200" s="7">
        <v>3100.65</v>
      </c>
      <c r="L200" s="7">
        <v>0</v>
      </c>
      <c r="M200" s="7">
        <v>3100.65</v>
      </c>
      <c r="N200" s="7">
        <v>775.16</v>
      </c>
      <c r="O200" s="7">
        <v>-429.2</v>
      </c>
      <c r="P200" s="7">
        <v>0</v>
      </c>
      <c r="Q200" s="7">
        <v>1.18</v>
      </c>
      <c r="R200" s="7">
        <v>0</v>
      </c>
      <c r="S200" s="7">
        <v>0</v>
      </c>
      <c r="T200" s="7">
        <v>-60.03</v>
      </c>
      <c r="U200" s="7">
        <v>-162.68</v>
      </c>
      <c r="V200" s="7">
        <v>0</v>
      </c>
      <c r="W200" s="7">
        <v>3166.18</v>
      </c>
    </row>
    <row r="201" spans="1:23" x14ac:dyDescent="0.25">
      <c r="A201" s="12" t="s">
        <v>38</v>
      </c>
      <c r="B201" s="12">
        <v>682</v>
      </c>
      <c r="C201" s="12">
        <v>1</v>
      </c>
      <c r="D201" s="13" t="s">
        <v>595</v>
      </c>
      <c r="E201" s="12">
        <v>78</v>
      </c>
      <c r="F201" s="12">
        <v>375</v>
      </c>
      <c r="G201" s="14" t="s">
        <v>743</v>
      </c>
      <c r="H201" s="7">
        <v>5326.24</v>
      </c>
      <c r="I201" s="7">
        <v>6924.25</v>
      </c>
      <c r="J201" s="7">
        <v>12250.49</v>
      </c>
      <c r="K201" s="7">
        <v>13535.25</v>
      </c>
      <c r="L201" s="7">
        <v>23633.599999999999</v>
      </c>
      <c r="M201" s="7">
        <v>37168.85</v>
      </c>
      <c r="N201" s="7">
        <v>9292.2099999999991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12250.49</v>
      </c>
    </row>
    <row r="202" spans="1:23" x14ac:dyDescent="0.25">
      <c r="A202" s="12" t="s">
        <v>38</v>
      </c>
      <c r="B202" s="12">
        <v>690</v>
      </c>
      <c r="C202" s="12">
        <v>1</v>
      </c>
      <c r="D202" s="13" t="s">
        <v>596</v>
      </c>
      <c r="E202" s="12">
        <v>90</v>
      </c>
      <c r="F202" s="12">
        <v>448</v>
      </c>
      <c r="G202" s="14" t="s">
        <v>743</v>
      </c>
      <c r="H202" s="7">
        <v>6145.66</v>
      </c>
      <c r="I202" s="7">
        <v>8272.17</v>
      </c>
      <c r="J202" s="7">
        <v>14417.83</v>
      </c>
      <c r="K202" s="7">
        <v>12731.53</v>
      </c>
      <c r="L202" s="7">
        <v>52492.5</v>
      </c>
      <c r="M202" s="7">
        <v>65224.03</v>
      </c>
      <c r="N202" s="7">
        <v>16306.01</v>
      </c>
      <c r="O202" s="7">
        <v>-6264.05</v>
      </c>
      <c r="P202" s="7">
        <v>0</v>
      </c>
      <c r="Q202" s="7">
        <v>-9107.58</v>
      </c>
      <c r="R202" s="7">
        <v>0</v>
      </c>
      <c r="S202" s="7">
        <v>0</v>
      </c>
      <c r="T202" s="7">
        <v>-21003.06</v>
      </c>
      <c r="U202" s="7">
        <v>-12124.9</v>
      </c>
      <c r="V202" s="7">
        <v>0</v>
      </c>
      <c r="W202" s="7">
        <v>14417.83</v>
      </c>
    </row>
    <row r="203" spans="1:23" x14ac:dyDescent="0.25">
      <c r="A203" s="12" t="s">
        <v>38</v>
      </c>
      <c r="B203" s="12">
        <v>695</v>
      </c>
      <c r="C203" s="12">
        <v>1</v>
      </c>
      <c r="D203" s="13" t="s">
        <v>597</v>
      </c>
      <c r="E203" s="12">
        <v>76</v>
      </c>
      <c r="F203" s="12">
        <v>346</v>
      </c>
      <c r="G203" s="14" t="s">
        <v>743</v>
      </c>
      <c r="H203" s="7">
        <v>5189.67</v>
      </c>
      <c r="I203" s="7">
        <v>6388.77</v>
      </c>
      <c r="J203" s="7">
        <v>11578.44</v>
      </c>
      <c r="K203" s="7">
        <v>11720.97</v>
      </c>
      <c r="L203" s="7">
        <v>2702</v>
      </c>
      <c r="M203" s="7">
        <v>14422.97</v>
      </c>
      <c r="N203" s="7">
        <v>3605.74</v>
      </c>
      <c r="O203" s="7">
        <v>253.02</v>
      </c>
      <c r="P203" s="7">
        <v>0</v>
      </c>
      <c r="Q203" s="7">
        <v>4289.25</v>
      </c>
      <c r="R203" s="7">
        <v>0</v>
      </c>
      <c r="S203" s="7">
        <v>0</v>
      </c>
      <c r="T203" s="7">
        <v>709.03</v>
      </c>
      <c r="U203" s="7">
        <v>1750.43</v>
      </c>
      <c r="V203" s="7">
        <v>0</v>
      </c>
      <c r="W203" s="7">
        <v>11578.44</v>
      </c>
    </row>
    <row r="204" spans="1:23" x14ac:dyDescent="0.25">
      <c r="A204" s="12" t="s">
        <v>38</v>
      </c>
      <c r="B204" s="12">
        <v>696</v>
      </c>
      <c r="C204" s="12">
        <v>1</v>
      </c>
      <c r="D204" s="13" t="s">
        <v>598</v>
      </c>
      <c r="E204" s="12">
        <v>41</v>
      </c>
      <c r="F204" s="12">
        <v>192</v>
      </c>
      <c r="G204" s="14" t="s">
        <v>743</v>
      </c>
      <c r="H204" s="7">
        <v>2799.69</v>
      </c>
      <c r="I204" s="7">
        <v>3545.22</v>
      </c>
      <c r="J204" s="7">
        <v>6344.91</v>
      </c>
      <c r="K204" s="7">
        <v>6448.73</v>
      </c>
      <c r="L204" s="7">
        <v>110</v>
      </c>
      <c r="M204" s="7">
        <v>6558.73</v>
      </c>
      <c r="N204" s="7">
        <v>1639.68</v>
      </c>
      <c r="O204" s="7">
        <v>4145.4799999999996</v>
      </c>
      <c r="P204" s="7">
        <v>278.29000000000002</v>
      </c>
      <c r="Q204" s="7">
        <v>4183.8100000000004</v>
      </c>
      <c r="R204" s="7">
        <v>1582.98</v>
      </c>
      <c r="S204" s="7">
        <v>0</v>
      </c>
      <c r="T204" s="7">
        <v>2569.79</v>
      </c>
      <c r="U204" s="7">
        <v>3012.6</v>
      </c>
      <c r="V204" s="7">
        <v>1372.92</v>
      </c>
      <c r="W204" s="7">
        <v>4971.99</v>
      </c>
    </row>
    <row r="205" spans="1:23" x14ac:dyDescent="0.25">
      <c r="A205" s="12" t="s">
        <v>38</v>
      </c>
      <c r="B205" s="12">
        <v>698</v>
      </c>
      <c r="C205" s="12">
        <v>1</v>
      </c>
      <c r="D205" s="13" t="s">
        <v>599</v>
      </c>
      <c r="E205" s="12">
        <v>15</v>
      </c>
      <c r="F205" s="12">
        <v>147</v>
      </c>
      <c r="G205" s="14" t="s">
        <v>743</v>
      </c>
      <c r="H205" s="7">
        <v>1024.28</v>
      </c>
      <c r="I205" s="7">
        <v>2714.31</v>
      </c>
      <c r="J205" s="7">
        <v>3738.59</v>
      </c>
      <c r="K205" s="7">
        <v>3117.64</v>
      </c>
      <c r="L205" s="7">
        <v>3252</v>
      </c>
      <c r="M205" s="7">
        <v>6369.64</v>
      </c>
      <c r="N205" s="7">
        <v>1592.41</v>
      </c>
      <c r="O205" s="7">
        <v>248.24</v>
      </c>
      <c r="P205" s="7">
        <v>0</v>
      </c>
      <c r="Q205" s="7">
        <v>-661.18</v>
      </c>
      <c r="R205" s="7">
        <v>0</v>
      </c>
      <c r="S205" s="7">
        <v>0</v>
      </c>
      <c r="T205" s="7">
        <v>-615.36</v>
      </c>
      <c r="U205" s="7">
        <v>-342.77</v>
      </c>
      <c r="V205" s="7">
        <v>0</v>
      </c>
      <c r="W205" s="7">
        <v>3738.59</v>
      </c>
    </row>
    <row r="206" spans="1:23" x14ac:dyDescent="0.25">
      <c r="A206" s="12" t="s">
        <v>38</v>
      </c>
      <c r="B206" s="12">
        <v>700</v>
      </c>
      <c r="C206" s="12">
        <v>1</v>
      </c>
      <c r="D206" s="13" t="s">
        <v>600</v>
      </c>
      <c r="E206" s="12">
        <v>126</v>
      </c>
      <c r="F206" s="12">
        <v>273</v>
      </c>
      <c r="G206" s="14" t="s">
        <v>743</v>
      </c>
      <c r="H206" s="7">
        <v>8603.93</v>
      </c>
      <c r="I206" s="7">
        <v>5040.8500000000004</v>
      </c>
      <c r="J206" s="7">
        <v>13644.78</v>
      </c>
      <c r="K206" s="7">
        <v>13156.97</v>
      </c>
      <c r="L206" s="7">
        <v>103428.38</v>
      </c>
      <c r="M206" s="7">
        <v>116585.35</v>
      </c>
      <c r="N206" s="7">
        <v>29146.34</v>
      </c>
      <c r="O206" s="7">
        <v>33431.269999999997</v>
      </c>
      <c r="P206" s="7">
        <v>0</v>
      </c>
      <c r="Q206" s="7">
        <v>22825.759999999998</v>
      </c>
      <c r="R206" s="7">
        <v>0</v>
      </c>
      <c r="S206" s="7">
        <v>0</v>
      </c>
      <c r="T206" s="7">
        <v>15682.83</v>
      </c>
      <c r="U206" s="7">
        <v>23979.95</v>
      </c>
      <c r="V206" s="7">
        <v>0</v>
      </c>
      <c r="W206" s="7">
        <v>13644.78</v>
      </c>
    </row>
    <row r="207" spans="1:23" x14ac:dyDescent="0.25">
      <c r="A207" s="12" t="s">
        <v>38</v>
      </c>
      <c r="B207" s="12">
        <v>701</v>
      </c>
      <c r="C207" s="12">
        <v>1</v>
      </c>
      <c r="D207" s="13" t="s">
        <v>601</v>
      </c>
      <c r="E207" s="12">
        <v>204</v>
      </c>
      <c r="F207" s="12">
        <v>1013</v>
      </c>
      <c r="G207" s="14" t="s">
        <v>743</v>
      </c>
      <c r="H207" s="7">
        <v>13930.17</v>
      </c>
      <c r="I207" s="7">
        <v>18704.7</v>
      </c>
      <c r="J207" s="7">
        <v>32634.87</v>
      </c>
      <c r="K207" s="7">
        <v>31523.47</v>
      </c>
      <c r="L207" s="7">
        <v>10383.5</v>
      </c>
      <c r="M207" s="7">
        <v>41906.97</v>
      </c>
      <c r="N207" s="7">
        <v>10476.74</v>
      </c>
      <c r="O207" s="7">
        <v>2938.5</v>
      </c>
      <c r="P207" s="7">
        <v>0</v>
      </c>
      <c r="Q207" s="7">
        <v>2977.19</v>
      </c>
      <c r="R207" s="7">
        <v>0</v>
      </c>
      <c r="S207" s="7">
        <v>0</v>
      </c>
      <c r="T207" s="7">
        <v>4031.99</v>
      </c>
      <c r="U207" s="7">
        <v>3315.89</v>
      </c>
      <c r="V207" s="7">
        <v>0</v>
      </c>
      <c r="W207" s="7">
        <v>32634.87</v>
      </c>
    </row>
    <row r="208" spans="1:23" x14ac:dyDescent="0.25">
      <c r="A208" s="12" t="s">
        <v>38</v>
      </c>
      <c r="B208" s="12">
        <v>704</v>
      </c>
      <c r="C208" s="12">
        <v>1</v>
      </c>
      <c r="D208" s="13" t="s">
        <v>602</v>
      </c>
      <c r="E208" s="12">
        <v>147</v>
      </c>
      <c r="F208" s="12">
        <v>484</v>
      </c>
      <c r="G208" s="14" t="s">
        <v>743</v>
      </c>
      <c r="H208" s="7">
        <v>10037.91</v>
      </c>
      <c r="I208" s="7">
        <v>8936.9</v>
      </c>
      <c r="J208" s="7">
        <v>18974.810000000001</v>
      </c>
      <c r="K208" s="7">
        <v>18533.13</v>
      </c>
      <c r="L208" s="7">
        <v>13479.54</v>
      </c>
      <c r="M208" s="7">
        <v>32012.67</v>
      </c>
      <c r="N208" s="7">
        <v>8003.17</v>
      </c>
      <c r="O208" s="7">
        <v>-3094.41</v>
      </c>
      <c r="P208" s="7">
        <v>0</v>
      </c>
      <c r="Q208" s="7">
        <v>-5004.66</v>
      </c>
      <c r="R208" s="7">
        <v>0</v>
      </c>
      <c r="S208" s="7">
        <v>0</v>
      </c>
      <c r="T208" s="7">
        <v>-3093.98</v>
      </c>
      <c r="U208" s="7">
        <v>-3731.02</v>
      </c>
      <c r="V208" s="7">
        <v>0</v>
      </c>
      <c r="W208" s="7">
        <v>18974.810000000001</v>
      </c>
    </row>
    <row r="209" spans="1:23" x14ac:dyDescent="0.25">
      <c r="A209" s="12" t="s">
        <v>38</v>
      </c>
      <c r="B209" s="12">
        <v>706</v>
      </c>
      <c r="C209" s="12">
        <v>1</v>
      </c>
      <c r="D209" s="13" t="s">
        <v>603</v>
      </c>
      <c r="E209" s="12">
        <v>144</v>
      </c>
      <c r="F209" s="12">
        <v>641</v>
      </c>
      <c r="G209" s="14" t="s">
        <v>743</v>
      </c>
      <c r="H209" s="7">
        <v>9833.06</v>
      </c>
      <c r="I209" s="7">
        <v>11835.85</v>
      </c>
      <c r="J209" s="7">
        <v>21668.91</v>
      </c>
      <c r="K209" s="7">
        <v>19523.11</v>
      </c>
      <c r="L209" s="7">
        <v>19798.5</v>
      </c>
      <c r="M209" s="7">
        <v>39321.61</v>
      </c>
      <c r="N209" s="7">
        <v>9830.4</v>
      </c>
      <c r="O209" s="7">
        <v>9103.2999999999993</v>
      </c>
      <c r="P209" s="7">
        <v>0</v>
      </c>
      <c r="Q209" s="7">
        <v>7470.01</v>
      </c>
      <c r="R209" s="7">
        <v>0</v>
      </c>
      <c r="S209" s="7">
        <v>0</v>
      </c>
      <c r="T209" s="7">
        <v>4288.62</v>
      </c>
      <c r="U209" s="7">
        <v>6953.98</v>
      </c>
      <c r="V209" s="7">
        <v>0</v>
      </c>
      <c r="W209" s="7">
        <v>21668.91</v>
      </c>
    </row>
    <row r="210" spans="1:23" x14ac:dyDescent="0.25">
      <c r="A210" s="12" t="s">
        <v>38</v>
      </c>
      <c r="B210" s="12">
        <v>707</v>
      </c>
      <c r="C210" s="12">
        <v>1</v>
      </c>
      <c r="D210" s="13" t="s">
        <v>604</v>
      </c>
      <c r="E210" s="12">
        <v>13</v>
      </c>
      <c r="F210" s="12">
        <v>57</v>
      </c>
      <c r="G210" s="14" t="s">
        <v>743</v>
      </c>
      <c r="H210" s="7">
        <v>887.71</v>
      </c>
      <c r="I210" s="7">
        <v>1052.49</v>
      </c>
      <c r="J210" s="7">
        <v>1940.2</v>
      </c>
      <c r="K210" s="7">
        <v>2158.0700000000002</v>
      </c>
      <c r="L210" s="7">
        <v>0</v>
      </c>
      <c r="M210" s="7">
        <v>2158.0700000000002</v>
      </c>
      <c r="N210" s="7">
        <v>539.52</v>
      </c>
      <c r="O210" s="7">
        <v>303.20999999999998</v>
      </c>
      <c r="P210" s="7">
        <v>0</v>
      </c>
      <c r="Q210" s="7">
        <v>300.58999999999997</v>
      </c>
      <c r="R210" s="7">
        <v>0</v>
      </c>
      <c r="S210" s="7">
        <v>0</v>
      </c>
      <c r="T210" s="7">
        <v>1190.6600000000001</v>
      </c>
      <c r="U210" s="7">
        <v>598.15</v>
      </c>
      <c r="V210" s="7">
        <v>58.63</v>
      </c>
      <c r="W210" s="7">
        <v>1881.57</v>
      </c>
    </row>
    <row r="211" spans="1:23" x14ac:dyDescent="0.25">
      <c r="A211" s="12" t="s">
        <v>38</v>
      </c>
      <c r="B211" s="12">
        <v>709</v>
      </c>
      <c r="C211" s="12">
        <v>1</v>
      </c>
      <c r="D211" s="13" t="s">
        <v>605</v>
      </c>
      <c r="E211" s="12">
        <v>1107</v>
      </c>
      <c r="F211" s="12">
        <v>3888</v>
      </c>
      <c r="G211" s="14" t="s">
        <v>743</v>
      </c>
      <c r="H211" s="7">
        <v>75591.64</v>
      </c>
      <c r="I211" s="7">
        <v>71790.61</v>
      </c>
      <c r="J211" s="7">
        <v>147382.25</v>
      </c>
      <c r="K211" s="7">
        <v>159625.43</v>
      </c>
      <c r="L211" s="7">
        <v>26085</v>
      </c>
      <c r="M211" s="7">
        <v>185710.43</v>
      </c>
      <c r="N211" s="7">
        <v>46427.61</v>
      </c>
      <c r="O211" s="7">
        <v>45966.71</v>
      </c>
      <c r="P211" s="7">
        <v>0</v>
      </c>
      <c r="Q211" s="7">
        <v>46916.27</v>
      </c>
      <c r="R211" s="7">
        <v>0</v>
      </c>
      <c r="S211" s="7">
        <v>0</v>
      </c>
      <c r="T211" s="7">
        <v>14128.8</v>
      </c>
      <c r="U211" s="7">
        <v>35670.589999999997</v>
      </c>
      <c r="V211" s="7">
        <v>0</v>
      </c>
      <c r="W211" s="7">
        <v>147382.25</v>
      </c>
    </row>
    <row r="212" spans="1:23" x14ac:dyDescent="0.25">
      <c r="A212" s="12" t="s">
        <v>38</v>
      </c>
      <c r="B212" s="12">
        <v>712</v>
      </c>
      <c r="C212" s="12">
        <v>1</v>
      </c>
      <c r="D212" s="13" t="s">
        <v>606</v>
      </c>
      <c r="E212" s="12">
        <v>72</v>
      </c>
      <c r="F212" s="12">
        <v>280</v>
      </c>
      <c r="G212" s="14" t="s">
        <v>743</v>
      </c>
      <c r="H212" s="7">
        <v>4916.53</v>
      </c>
      <c r="I212" s="7">
        <v>5170.1099999999997</v>
      </c>
      <c r="J212" s="7">
        <v>10086.64</v>
      </c>
      <c r="K212" s="7">
        <v>10190.64</v>
      </c>
      <c r="L212" s="7">
        <v>1600</v>
      </c>
      <c r="M212" s="7">
        <v>11790.64</v>
      </c>
      <c r="N212" s="7">
        <v>2947.66</v>
      </c>
      <c r="O212" s="7">
        <v>3835.01</v>
      </c>
      <c r="P212" s="7">
        <v>52.48</v>
      </c>
      <c r="Q212" s="7">
        <v>3037.65</v>
      </c>
      <c r="R212" s="7">
        <v>98.85</v>
      </c>
      <c r="S212" s="7">
        <v>0</v>
      </c>
      <c r="T212" s="7">
        <v>2692.89</v>
      </c>
      <c r="U212" s="7">
        <v>3138.07</v>
      </c>
      <c r="V212" s="7">
        <v>190.41</v>
      </c>
      <c r="W212" s="7">
        <v>9896.23</v>
      </c>
    </row>
    <row r="213" spans="1:23" x14ac:dyDescent="0.25">
      <c r="A213" s="12" t="s">
        <v>38</v>
      </c>
      <c r="B213" s="12">
        <v>716</v>
      </c>
      <c r="C213" s="12">
        <v>1</v>
      </c>
      <c r="D213" s="13" t="s">
        <v>607</v>
      </c>
      <c r="E213" s="12">
        <v>194</v>
      </c>
      <c r="F213" s="12">
        <v>302</v>
      </c>
      <c r="G213" s="14" t="s">
        <v>743</v>
      </c>
      <c r="H213" s="7">
        <v>13247.31</v>
      </c>
      <c r="I213" s="7">
        <v>5576.33</v>
      </c>
      <c r="J213" s="7">
        <v>18823.64</v>
      </c>
      <c r="K213" s="7">
        <v>17656.150000000001</v>
      </c>
      <c r="L213" s="7">
        <v>3647.09</v>
      </c>
      <c r="M213" s="7">
        <v>21303.24</v>
      </c>
      <c r="N213" s="7">
        <v>5325.81</v>
      </c>
      <c r="O213" s="7">
        <v>-6905.44</v>
      </c>
      <c r="P213" s="7">
        <v>0</v>
      </c>
      <c r="Q213" s="7">
        <v>0</v>
      </c>
      <c r="R213" s="7">
        <v>0</v>
      </c>
      <c r="S213" s="7">
        <v>0</v>
      </c>
      <c r="T213" s="7">
        <v>1025.19</v>
      </c>
      <c r="U213" s="7">
        <v>-1960.08</v>
      </c>
      <c r="V213" s="7">
        <v>0</v>
      </c>
      <c r="W213" s="7">
        <v>18823.64</v>
      </c>
    </row>
    <row r="214" spans="1:23" x14ac:dyDescent="0.25">
      <c r="A214" s="12" t="s">
        <v>38</v>
      </c>
      <c r="B214" s="12">
        <v>717</v>
      </c>
      <c r="C214" s="12">
        <v>1</v>
      </c>
      <c r="D214" s="13" t="s">
        <v>608</v>
      </c>
      <c r="E214" s="12">
        <v>188</v>
      </c>
      <c r="F214" s="12">
        <v>427</v>
      </c>
      <c r="G214" s="14" t="s">
        <v>743</v>
      </c>
      <c r="H214" s="7">
        <v>12837.6</v>
      </c>
      <c r="I214" s="7">
        <v>7884.41</v>
      </c>
      <c r="J214" s="7">
        <v>20722.009999999998</v>
      </c>
      <c r="K214" s="7">
        <v>20460.88</v>
      </c>
      <c r="L214" s="7">
        <v>21092.75</v>
      </c>
      <c r="M214" s="7">
        <v>41553.629999999997</v>
      </c>
      <c r="N214" s="7">
        <v>10388.41</v>
      </c>
      <c r="O214" s="7">
        <v>5719.1</v>
      </c>
      <c r="P214" s="7">
        <v>0</v>
      </c>
      <c r="Q214" s="7">
        <v>8358.16</v>
      </c>
      <c r="R214" s="7">
        <v>0</v>
      </c>
      <c r="S214" s="7">
        <v>0</v>
      </c>
      <c r="T214" s="7">
        <v>9206.59</v>
      </c>
      <c r="U214" s="7">
        <v>7761.28</v>
      </c>
      <c r="V214" s="7">
        <v>0</v>
      </c>
      <c r="W214" s="7">
        <v>20722.009999999998</v>
      </c>
    </row>
    <row r="215" spans="1:23" x14ac:dyDescent="0.25">
      <c r="A215" s="12" t="s">
        <v>38</v>
      </c>
      <c r="B215" s="12">
        <v>719</v>
      </c>
      <c r="C215" s="12">
        <v>1</v>
      </c>
      <c r="D215" s="13" t="s">
        <v>609</v>
      </c>
      <c r="E215" s="12">
        <v>883</v>
      </c>
      <c r="F215" s="12">
        <v>776</v>
      </c>
      <c r="G215" s="14" t="s">
        <v>743</v>
      </c>
      <c r="H215" s="7">
        <v>60295.77</v>
      </c>
      <c r="I215" s="7">
        <v>14328.58</v>
      </c>
      <c r="J215" s="7">
        <v>74624.350000000006</v>
      </c>
      <c r="K215" s="7">
        <v>70788.22</v>
      </c>
      <c r="L215" s="7">
        <v>188889.32</v>
      </c>
      <c r="M215" s="7">
        <v>259677.54</v>
      </c>
      <c r="N215" s="7">
        <v>64919.39</v>
      </c>
      <c r="O215" s="7">
        <v>8624.36</v>
      </c>
      <c r="P215" s="7">
        <v>0</v>
      </c>
      <c r="Q215" s="7">
        <v>17666</v>
      </c>
      <c r="R215" s="7">
        <v>0</v>
      </c>
      <c r="S215" s="7">
        <v>0</v>
      </c>
      <c r="T215" s="7">
        <v>33414</v>
      </c>
      <c r="U215" s="7">
        <v>19901.45</v>
      </c>
      <c r="V215" s="7">
        <v>0</v>
      </c>
      <c r="W215" s="7">
        <v>74624.350000000006</v>
      </c>
    </row>
    <row r="216" spans="1:23" x14ac:dyDescent="0.25">
      <c r="A216" s="12" t="s">
        <v>38</v>
      </c>
      <c r="B216" s="12">
        <v>720</v>
      </c>
      <c r="C216" s="12">
        <v>1</v>
      </c>
      <c r="D216" s="13" t="s">
        <v>610</v>
      </c>
      <c r="E216" s="12">
        <v>717</v>
      </c>
      <c r="F216" s="12">
        <v>1987</v>
      </c>
      <c r="G216" s="14" t="s">
        <v>743</v>
      </c>
      <c r="H216" s="7">
        <v>48960.44</v>
      </c>
      <c r="I216" s="7">
        <v>36689.279999999999</v>
      </c>
      <c r="J216" s="7">
        <v>85649.72</v>
      </c>
      <c r="K216" s="7">
        <v>88764.98</v>
      </c>
      <c r="L216" s="7">
        <v>30561</v>
      </c>
      <c r="M216" s="7">
        <v>119325.98</v>
      </c>
      <c r="N216" s="7">
        <v>29831.5</v>
      </c>
      <c r="O216" s="7">
        <v>124</v>
      </c>
      <c r="P216" s="7">
        <v>0</v>
      </c>
      <c r="Q216" s="7">
        <v>124</v>
      </c>
      <c r="R216" s="7">
        <v>0</v>
      </c>
      <c r="S216" s="7">
        <v>0</v>
      </c>
      <c r="T216" s="7">
        <v>21412.61</v>
      </c>
      <c r="U216" s="7">
        <v>7220.2</v>
      </c>
      <c r="V216" s="7">
        <v>0</v>
      </c>
      <c r="W216" s="7">
        <v>85649.72</v>
      </c>
    </row>
    <row r="217" spans="1:23" x14ac:dyDescent="0.25">
      <c r="A217" s="12" t="s">
        <v>38</v>
      </c>
      <c r="B217" s="12">
        <v>721</v>
      </c>
      <c r="C217" s="12">
        <v>1</v>
      </c>
      <c r="D217" s="13" t="s">
        <v>611</v>
      </c>
      <c r="E217" s="12">
        <v>305</v>
      </c>
      <c r="F217" s="12">
        <v>513</v>
      </c>
      <c r="G217" s="14" t="s">
        <v>743</v>
      </c>
      <c r="H217" s="7">
        <v>20826.96</v>
      </c>
      <c r="I217" s="7">
        <v>9472.3700000000008</v>
      </c>
      <c r="J217" s="7">
        <v>30299.33</v>
      </c>
      <c r="K217" s="7">
        <v>27277.1</v>
      </c>
      <c r="L217" s="7">
        <v>164059</v>
      </c>
      <c r="M217" s="7">
        <v>191336.1</v>
      </c>
      <c r="N217" s="7">
        <v>47834.03</v>
      </c>
      <c r="O217" s="7">
        <v>0</v>
      </c>
      <c r="P217" s="7">
        <v>0</v>
      </c>
      <c r="Q217" s="7">
        <v>30382</v>
      </c>
      <c r="R217" s="7">
        <v>0</v>
      </c>
      <c r="S217" s="7">
        <v>0</v>
      </c>
      <c r="T217" s="7">
        <v>42986</v>
      </c>
      <c r="U217" s="7">
        <v>24456</v>
      </c>
      <c r="V217" s="7">
        <v>0</v>
      </c>
      <c r="W217" s="7">
        <v>30299.33</v>
      </c>
    </row>
    <row r="218" spans="1:23" x14ac:dyDescent="0.25">
      <c r="A218" s="12" t="s">
        <v>38</v>
      </c>
      <c r="B218" s="12">
        <v>726</v>
      </c>
      <c r="C218" s="12">
        <v>1</v>
      </c>
      <c r="D218" s="13" t="s">
        <v>612</v>
      </c>
      <c r="E218" s="12">
        <v>228</v>
      </c>
      <c r="F218" s="12">
        <v>575</v>
      </c>
      <c r="G218" s="14" t="s">
        <v>743</v>
      </c>
      <c r="H218" s="7">
        <v>15569.01</v>
      </c>
      <c r="I218" s="7">
        <v>10617.18</v>
      </c>
      <c r="J218" s="7">
        <v>26186.19</v>
      </c>
      <c r="K218" s="7">
        <v>26925.17</v>
      </c>
      <c r="L218" s="7">
        <v>63318.06</v>
      </c>
      <c r="M218" s="7">
        <v>90243.23</v>
      </c>
      <c r="N218" s="7">
        <v>22560.81</v>
      </c>
      <c r="O218" s="7">
        <v>7762.33</v>
      </c>
      <c r="P218" s="7">
        <v>0</v>
      </c>
      <c r="Q218" s="7">
        <v>17253.75</v>
      </c>
      <c r="R218" s="7">
        <v>0</v>
      </c>
      <c r="S218" s="7">
        <v>0</v>
      </c>
      <c r="T218" s="7">
        <v>11762.31</v>
      </c>
      <c r="U218" s="7">
        <v>12259.46</v>
      </c>
      <c r="V218" s="7">
        <v>0</v>
      </c>
      <c r="W218" s="7">
        <v>26186.19</v>
      </c>
    </row>
    <row r="219" spans="1:23" x14ac:dyDescent="0.25">
      <c r="A219" s="12" t="s">
        <v>38</v>
      </c>
      <c r="B219" s="12">
        <v>727</v>
      </c>
      <c r="C219" s="12">
        <v>1</v>
      </c>
      <c r="D219" s="13" t="s">
        <v>613</v>
      </c>
      <c r="E219" s="12">
        <v>410</v>
      </c>
      <c r="F219" s="12">
        <v>986</v>
      </c>
      <c r="G219" s="14" t="s">
        <v>743</v>
      </c>
      <c r="H219" s="7">
        <v>27996.9</v>
      </c>
      <c r="I219" s="7">
        <v>18206.16</v>
      </c>
      <c r="J219" s="7">
        <v>46203.06</v>
      </c>
      <c r="K219" s="7">
        <v>45106.47</v>
      </c>
      <c r="L219" s="7">
        <v>85401.98</v>
      </c>
      <c r="M219" s="7">
        <v>130508.45</v>
      </c>
      <c r="N219" s="7">
        <v>32627.11</v>
      </c>
      <c r="O219" s="7">
        <v>18565.189999999999</v>
      </c>
      <c r="P219" s="7">
        <v>0</v>
      </c>
      <c r="Q219" s="7">
        <v>26220.43</v>
      </c>
      <c r="R219" s="7">
        <v>0</v>
      </c>
      <c r="S219" s="7">
        <v>0</v>
      </c>
      <c r="T219" s="7">
        <v>47046.71</v>
      </c>
      <c r="U219" s="7">
        <v>30610.78</v>
      </c>
      <c r="V219" s="7">
        <v>0</v>
      </c>
      <c r="W219" s="7">
        <v>46203.06</v>
      </c>
    </row>
    <row r="220" spans="1:23" x14ac:dyDescent="0.25">
      <c r="A220" s="12" t="s">
        <v>38</v>
      </c>
      <c r="B220" s="12">
        <v>728</v>
      </c>
      <c r="C220" s="12">
        <v>1</v>
      </c>
      <c r="D220" s="13" t="s">
        <v>614</v>
      </c>
      <c r="E220" s="12">
        <v>1177</v>
      </c>
      <c r="F220" s="12">
        <v>2572</v>
      </c>
      <c r="G220" s="14" t="s">
        <v>743</v>
      </c>
      <c r="H220" s="7">
        <v>80371.59</v>
      </c>
      <c r="I220" s="7">
        <v>47491.11</v>
      </c>
      <c r="J220" s="7">
        <v>127862.7</v>
      </c>
      <c r="K220" s="7">
        <v>122121.26</v>
      </c>
      <c r="L220" s="7">
        <v>130705.17</v>
      </c>
      <c r="M220" s="7">
        <v>252826.43</v>
      </c>
      <c r="N220" s="7">
        <v>63206.61</v>
      </c>
      <c r="O220" s="7">
        <v>40811.79</v>
      </c>
      <c r="P220" s="7">
        <v>0</v>
      </c>
      <c r="Q220" s="7">
        <v>58979.38</v>
      </c>
      <c r="R220" s="7">
        <v>0</v>
      </c>
      <c r="S220" s="7">
        <v>0</v>
      </c>
      <c r="T220" s="7">
        <v>34303.33</v>
      </c>
      <c r="U220" s="7">
        <v>44698.17</v>
      </c>
      <c r="V220" s="7">
        <v>0</v>
      </c>
      <c r="W220" s="7">
        <v>127862.7</v>
      </c>
    </row>
    <row r="221" spans="1:23" x14ac:dyDescent="0.25">
      <c r="A221" s="12" t="s">
        <v>38</v>
      </c>
      <c r="B221" s="12">
        <v>738</v>
      </c>
      <c r="C221" s="12">
        <v>1</v>
      </c>
      <c r="D221" s="13" t="s">
        <v>615</v>
      </c>
      <c r="E221" s="12">
        <v>65</v>
      </c>
      <c r="F221" s="12">
        <v>243</v>
      </c>
      <c r="G221" s="14" t="s">
        <v>743</v>
      </c>
      <c r="H221" s="7">
        <v>4438.53</v>
      </c>
      <c r="I221" s="7">
        <v>4486.91</v>
      </c>
      <c r="J221" s="7">
        <v>8925.44</v>
      </c>
      <c r="K221" s="7">
        <v>9108.61</v>
      </c>
      <c r="L221" s="7">
        <v>5205.68</v>
      </c>
      <c r="M221" s="7">
        <v>14314.29</v>
      </c>
      <c r="N221" s="7">
        <v>3578.57</v>
      </c>
      <c r="O221" s="7">
        <v>-21459.82</v>
      </c>
      <c r="P221" s="7">
        <v>0</v>
      </c>
      <c r="Q221" s="7">
        <v>-21459.82</v>
      </c>
      <c r="R221" s="7">
        <v>0</v>
      </c>
      <c r="S221" s="7">
        <v>0</v>
      </c>
      <c r="T221" s="7">
        <v>-21459.82</v>
      </c>
      <c r="U221" s="7">
        <v>-21459.82</v>
      </c>
      <c r="V221" s="7">
        <v>0</v>
      </c>
      <c r="W221" s="7">
        <v>8925.44</v>
      </c>
    </row>
    <row r="222" spans="1:23" x14ac:dyDescent="0.25">
      <c r="A222" s="12" t="s">
        <v>38</v>
      </c>
      <c r="B222" s="12">
        <v>739</v>
      </c>
      <c r="C222" s="12">
        <v>1</v>
      </c>
      <c r="D222" s="13" t="s">
        <v>616</v>
      </c>
      <c r="E222" s="12">
        <v>54</v>
      </c>
      <c r="F222" s="12">
        <v>222</v>
      </c>
      <c r="G222" s="14" t="s">
        <v>743</v>
      </c>
      <c r="H222" s="7">
        <v>3687.4</v>
      </c>
      <c r="I222" s="7">
        <v>4099.1499999999996</v>
      </c>
      <c r="J222" s="7">
        <v>7786.55</v>
      </c>
      <c r="K222" s="7">
        <v>7489.81</v>
      </c>
      <c r="L222" s="7">
        <v>49454.2</v>
      </c>
      <c r="M222" s="7">
        <v>56944.01</v>
      </c>
      <c r="N222" s="7">
        <v>14236</v>
      </c>
      <c r="O222" s="7">
        <v>1532.81</v>
      </c>
      <c r="P222" s="7">
        <v>0</v>
      </c>
      <c r="Q222" s="7">
        <v>9530.25</v>
      </c>
      <c r="R222" s="7">
        <v>0</v>
      </c>
      <c r="S222" s="7">
        <v>0</v>
      </c>
      <c r="T222" s="7">
        <v>19087.169999999998</v>
      </c>
      <c r="U222" s="7">
        <v>10050.08</v>
      </c>
      <c r="V222" s="7">
        <v>0</v>
      </c>
      <c r="W222" s="7">
        <v>7786.55</v>
      </c>
    </row>
    <row r="223" spans="1:23" x14ac:dyDescent="0.25">
      <c r="A223" s="12" t="s">
        <v>38</v>
      </c>
      <c r="B223" s="12">
        <v>740</v>
      </c>
      <c r="C223" s="12">
        <v>1</v>
      </c>
      <c r="D223" s="13" t="s">
        <v>617</v>
      </c>
      <c r="E223" s="12">
        <v>112</v>
      </c>
      <c r="F223" s="12">
        <v>500</v>
      </c>
      <c r="G223" s="14" t="s">
        <v>743</v>
      </c>
      <c r="H223" s="7">
        <v>7647.93</v>
      </c>
      <c r="I223" s="7">
        <v>9232.33</v>
      </c>
      <c r="J223" s="7">
        <v>16880.259999999998</v>
      </c>
      <c r="K223" s="7">
        <v>17871.87</v>
      </c>
      <c r="L223" s="7">
        <v>6772.79</v>
      </c>
      <c r="M223" s="7">
        <v>24644.66</v>
      </c>
      <c r="N223" s="7">
        <v>6161.17</v>
      </c>
      <c r="O223" s="7">
        <v>5100.24</v>
      </c>
      <c r="P223" s="7">
        <v>0</v>
      </c>
      <c r="Q223" s="7">
        <v>4152.6000000000004</v>
      </c>
      <c r="R223" s="7">
        <v>0</v>
      </c>
      <c r="S223" s="7">
        <v>0</v>
      </c>
      <c r="T223" s="7">
        <v>7617.94</v>
      </c>
      <c r="U223" s="7">
        <v>5623.59</v>
      </c>
      <c r="V223" s="7">
        <v>0</v>
      </c>
      <c r="W223" s="7">
        <v>16880.259999999998</v>
      </c>
    </row>
    <row r="224" spans="1:23" x14ac:dyDescent="0.25">
      <c r="A224" s="12" t="s">
        <v>38</v>
      </c>
      <c r="B224" s="12">
        <v>741</v>
      </c>
      <c r="C224" s="12">
        <v>1</v>
      </c>
      <c r="D224" s="13" t="s">
        <v>618</v>
      </c>
      <c r="E224" s="12">
        <v>91</v>
      </c>
      <c r="F224" s="12">
        <v>419</v>
      </c>
      <c r="G224" s="14" t="s">
        <v>743</v>
      </c>
      <c r="H224" s="7">
        <v>6213.95</v>
      </c>
      <c r="I224" s="7">
        <v>7736.69</v>
      </c>
      <c r="J224" s="7">
        <v>13950.64</v>
      </c>
      <c r="K224" s="7">
        <v>12603.09</v>
      </c>
      <c r="L224" s="7">
        <v>20179.05</v>
      </c>
      <c r="M224" s="7">
        <v>32782.14</v>
      </c>
      <c r="N224" s="7">
        <v>8195.5400000000009</v>
      </c>
      <c r="O224" s="7">
        <v>8605.41</v>
      </c>
      <c r="P224" s="7">
        <v>0</v>
      </c>
      <c r="Q224" s="7">
        <v>6875.8</v>
      </c>
      <c r="R224" s="7">
        <v>0</v>
      </c>
      <c r="S224" s="7">
        <v>0</v>
      </c>
      <c r="T224" s="7">
        <v>8761.49</v>
      </c>
      <c r="U224" s="7">
        <v>8080.9</v>
      </c>
      <c r="V224" s="7">
        <v>0</v>
      </c>
      <c r="W224" s="7">
        <v>13950.64</v>
      </c>
    </row>
    <row r="225" spans="1:23" x14ac:dyDescent="0.25">
      <c r="A225" s="12" t="s">
        <v>38</v>
      </c>
      <c r="B225" s="12">
        <v>742</v>
      </c>
      <c r="C225" s="12">
        <v>1</v>
      </c>
      <c r="D225" s="13" t="s">
        <v>619</v>
      </c>
      <c r="E225" s="12">
        <v>1478</v>
      </c>
      <c r="F225" s="12">
        <v>4589</v>
      </c>
      <c r="G225" s="14" t="s">
        <v>743</v>
      </c>
      <c r="H225" s="7">
        <v>100925.42</v>
      </c>
      <c r="I225" s="7">
        <v>84734.33</v>
      </c>
      <c r="J225" s="7">
        <v>185659.75</v>
      </c>
      <c r="K225" s="7">
        <v>186249.4</v>
      </c>
      <c r="L225" s="7">
        <v>292251.05</v>
      </c>
      <c r="M225" s="7">
        <v>478500.45</v>
      </c>
      <c r="N225" s="7">
        <v>119625.11</v>
      </c>
      <c r="O225" s="7">
        <v>-109103.74</v>
      </c>
      <c r="P225" s="7">
        <v>0</v>
      </c>
      <c r="Q225" s="7">
        <v>921.51</v>
      </c>
      <c r="R225" s="7">
        <v>0</v>
      </c>
      <c r="S225" s="7">
        <v>0</v>
      </c>
      <c r="T225" s="7">
        <v>69855.06</v>
      </c>
      <c r="U225" s="7">
        <v>-12775.72</v>
      </c>
      <c r="V225" s="7">
        <v>0</v>
      </c>
      <c r="W225" s="7">
        <v>185659.75</v>
      </c>
    </row>
    <row r="226" spans="1:23" x14ac:dyDescent="0.25">
      <c r="A226" s="12" t="s">
        <v>38</v>
      </c>
      <c r="B226" s="12">
        <v>743</v>
      </c>
      <c r="C226" s="12">
        <v>1</v>
      </c>
      <c r="D226" s="13" t="s">
        <v>620</v>
      </c>
      <c r="E226" s="12">
        <v>102</v>
      </c>
      <c r="F226" s="12">
        <v>402</v>
      </c>
      <c r="G226" s="14" t="s">
        <v>743</v>
      </c>
      <c r="H226" s="7">
        <v>6965.08</v>
      </c>
      <c r="I226" s="7">
        <v>7422.79</v>
      </c>
      <c r="J226" s="7">
        <v>14387.87</v>
      </c>
      <c r="K226" s="7">
        <v>13916.51</v>
      </c>
      <c r="L226" s="7">
        <v>0</v>
      </c>
      <c r="M226" s="7">
        <v>13916.51</v>
      </c>
      <c r="N226" s="7">
        <v>3479.13</v>
      </c>
      <c r="O226" s="7">
        <v>2909.63</v>
      </c>
      <c r="P226" s="7">
        <v>0</v>
      </c>
      <c r="Q226" s="7">
        <v>1519.34</v>
      </c>
      <c r="R226" s="7">
        <v>0</v>
      </c>
      <c r="S226" s="7">
        <v>0</v>
      </c>
      <c r="T226" s="7">
        <v>269.29000000000002</v>
      </c>
      <c r="U226" s="7">
        <v>1566.09</v>
      </c>
      <c r="V226" s="7">
        <v>0</v>
      </c>
      <c r="W226" s="7">
        <v>14387.87</v>
      </c>
    </row>
    <row r="227" spans="1:23" x14ac:dyDescent="0.25">
      <c r="A227" s="12" t="s">
        <v>38</v>
      </c>
      <c r="B227" s="12">
        <v>745</v>
      </c>
      <c r="C227" s="12">
        <v>1</v>
      </c>
      <c r="D227" s="13" t="s">
        <v>621</v>
      </c>
      <c r="E227" s="12">
        <v>128</v>
      </c>
      <c r="F227" s="12">
        <v>349</v>
      </c>
      <c r="G227" s="14" t="s">
        <v>743</v>
      </c>
      <c r="H227" s="7">
        <v>8740.5</v>
      </c>
      <c r="I227" s="7">
        <v>6444.17</v>
      </c>
      <c r="J227" s="7">
        <v>15184.67</v>
      </c>
      <c r="K227" s="7">
        <v>16417.060000000001</v>
      </c>
      <c r="L227" s="7">
        <v>67307</v>
      </c>
      <c r="M227" s="7">
        <v>83724.06</v>
      </c>
      <c r="N227" s="7">
        <v>20931.02</v>
      </c>
      <c r="O227" s="7">
        <v>22555.46</v>
      </c>
      <c r="P227" s="7">
        <v>0</v>
      </c>
      <c r="Q227" s="7">
        <v>33338.639999999999</v>
      </c>
      <c r="R227" s="7">
        <v>0</v>
      </c>
      <c r="S227" s="7">
        <v>0</v>
      </c>
      <c r="T227" s="7">
        <v>5872.05</v>
      </c>
      <c r="U227" s="7">
        <v>20588.72</v>
      </c>
      <c r="V227" s="7">
        <v>0</v>
      </c>
      <c r="W227" s="7">
        <v>15184.67</v>
      </c>
    </row>
    <row r="228" spans="1:23" x14ac:dyDescent="0.25">
      <c r="A228" s="12" t="s">
        <v>38</v>
      </c>
      <c r="B228" s="12">
        <v>748</v>
      </c>
      <c r="C228" s="12">
        <v>1</v>
      </c>
      <c r="D228" s="13" t="s">
        <v>622</v>
      </c>
      <c r="E228" s="12">
        <v>335</v>
      </c>
      <c r="F228" s="12">
        <v>519</v>
      </c>
      <c r="G228" s="14" t="s">
        <v>743</v>
      </c>
      <c r="H228" s="7">
        <v>22875.52</v>
      </c>
      <c r="I228" s="7">
        <v>9583.16</v>
      </c>
      <c r="J228" s="7">
        <v>32458.68</v>
      </c>
      <c r="K228" s="7">
        <v>28401.62</v>
      </c>
      <c r="L228" s="7">
        <v>108598.75</v>
      </c>
      <c r="M228" s="7">
        <v>137000.37</v>
      </c>
      <c r="N228" s="7">
        <v>34250.089999999997</v>
      </c>
      <c r="O228" s="7">
        <v>14276.32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4758.7700000000004</v>
      </c>
      <c r="V228" s="7">
        <v>0</v>
      </c>
      <c r="W228" s="7">
        <v>32458.68</v>
      </c>
    </row>
    <row r="229" spans="1:23" x14ac:dyDescent="0.25">
      <c r="A229" s="12" t="s">
        <v>38</v>
      </c>
      <c r="B229" s="12">
        <v>750</v>
      </c>
      <c r="C229" s="12">
        <v>1</v>
      </c>
      <c r="D229" s="13" t="s">
        <v>623</v>
      </c>
      <c r="E229" s="12">
        <v>171</v>
      </c>
      <c r="F229" s="12">
        <v>565</v>
      </c>
      <c r="G229" s="14" t="s">
        <v>743</v>
      </c>
      <c r="H229" s="7">
        <v>11676.76</v>
      </c>
      <c r="I229" s="7">
        <v>10432.530000000001</v>
      </c>
      <c r="J229" s="7">
        <v>22109.29</v>
      </c>
      <c r="K229" s="7">
        <v>24284.2</v>
      </c>
      <c r="L229" s="7">
        <v>32669</v>
      </c>
      <c r="M229" s="7">
        <v>56953.2</v>
      </c>
      <c r="N229" s="7">
        <v>14238.3</v>
      </c>
      <c r="O229" s="7">
        <v>16375.9</v>
      </c>
      <c r="P229" s="7">
        <v>2743.99</v>
      </c>
      <c r="Q229" s="7">
        <v>15701.06</v>
      </c>
      <c r="R229" s="7">
        <v>3932.24</v>
      </c>
      <c r="S229" s="7">
        <v>0</v>
      </c>
      <c r="T229" s="7">
        <v>18372.96</v>
      </c>
      <c r="U229" s="7">
        <v>14591.23</v>
      </c>
      <c r="V229" s="7">
        <v>352.93</v>
      </c>
      <c r="W229" s="7">
        <v>21756.36</v>
      </c>
    </row>
    <row r="230" spans="1:23" x14ac:dyDescent="0.25">
      <c r="A230" s="12" t="s">
        <v>38</v>
      </c>
      <c r="B230" s="12">
        <v>756</v>
      </c>
      <c r="C230" s="12">
        <v>1</v>
      </c>
      <c r="D230" s="13" t="s">
        <v>624</v>
      </c>
      <c r="E230" s="12">
        <v>56</v>
      </c>
      <c r="F230" s="12">
        <v>235</v>
      </c>
      <c r="G230" s="14" t="s">
        <v>743</v>
      </c>
      <c r="H230" s="7">
        <v>3823.97</v>
      </c>
      <c r="I230" s="7">
        <v>4339.2</v>
      </c>
      <c r="J230" s="7">
        <v>8163.17</v>
      </c>
      <c r="K230" s="7">
        <v>7338.87</v>
      </c>
      <c r="L230" s="7">
        <v>31635</v>
      </c>
      <c r="M230" s="7">
        <v>38973.870000000003</v>
      </c>
      <c r="N230" s="7">
        <v>9743.4699999999993</v>
      </c>
      <c r="O230" s="7">
        <v>1690.99</v>
      </c>
      <c r="P230" s="7">
        <v>0</v>
      </c>
      <c r="Q230" s="7">
        <v>6307.05</v>
      </c>
      <c r="R230" s="7">
        <v>0</v>
      </c>
      <c r="S230" s="7">
        <v>0</v>
      </c>
      <c r="T230" s="7">
        <v>5311.73</v>
      </c>
      <c r="U230" s="7">
        <v>4436.59</v>
      </c>
      <c r="V230" s="7">
        <v>0</v>
      </c>
      <c r="W230" s="7">
        <v>8163.17</v>
      </c>
    </row>
    <row r="231" spans="1:23" x14ac:dyDescent="0.25">
      <c r="A231" s="12" t="s">
        <v>38</v>
      </c>
      <c r="B231" s="12">
        <v>761</v>
      </c>
      <c r="C231" s="12">
        <v>1</v>
      </c>
      <c r="D231" s="13" t="s">
        <v>625</v>
      </c>
      <c r="E231" s="12">
        <v>471</v>
      </c>
      <c r="F231" s="12">
        <v>1743</v>
      </c>
      <c r="G231" s="14" t="s">
        <v>743</v>
      </c>
      <c r="H231" s="7">
        <v>32162.29</v>
      </c>
      <c r="I231" s="7">
        <v>32183.91</v>
      </c>
      <c r="J231" s="7">
        <v>64346.2</v>
      </c>
      <c r="K231" s="7">
        <v>65975.45</v>
      </c>
      <c r="L231" s="7">
        <v>12647.5</v>
      </c>
      <c r="M231" s="7">
        <v>78622.95</v>
      </c>
      <c r="N231" s="7">
        <v>19655.740000000002</v>
      </c>
      <c r="O231" s="7">
        <v>5062.46</v>
      </c>
      <c r="P231" s="7">
        <v>0</v>
      </c>
      <c r="Q231" s="7">
        <v>-2708.92</v>
      </c>
      <c r="R231" s="7">
        <v>0</v>
      </c>
      <c r="S231" s="7">
        <v>0</v>
      </c>
      <c r="T231" s="7">
        <v>-167.95</v>
      </c>
      <c r="U231" s="7">
        <v>728.53</v>
      </c>
      <c r="V231" s="7">
        <v>0</v>
      </c>
      <c r="W231" s="7">
        <v>64346.2</v>
      </c>
    </row>
    <row r="232" spans="1:23" x14ac:dyDescent="0.25">
      <c r="A232" s="12" t="s">
        <v>38</v>
      </c>
      <c r="B232" s="12">
        <v>763</v>
      </c>
      <c r="C232" s="12">
        <v>1</v>
      </c>
      <c r="D232" s="13" t="s">
        <v>626</v>
      </c>
      <c r="E232" s="12">
        <v>45</v>
      </c>
      <c r="F232" s="12">
        <v>194</v>
      </c>
      <c r="G232" s="14" t="s">
        <v>743</v>
      </c>
      <c r="H232" s="7">
        <v>3072.83</v>
      </c>
      <c r="I232" s="7">
        <v>3582.14</v>
      </c>
      <c r="J232" s="7">
        <v>6654.97</v>
      </c>
      <c r="K232" s="7">
        <v>6571.19</v>
      </c>
      <c r="L232" s="7">
        <v>1289.94</v>
      </c>
      <c r="M232" s="7">
        <v>7861.13</v>
      </c>
      <c r="N232" s="7">
        <v>1965.28</v>
      </c>
      <c r="O232" s="7">
        <v>403.51</v>
      </c>
      <c r="P232" s="7">
        <v>0</v>
      </c>
      <c r="Q232" s="7">
        <v>1674.59</v>
      </c>
      <c r="R232" s="7">
        <v>0</v>
      </c>
      <c r="S232" s="7">
        <v>0</v>
      </c>
      <c r="T232" s="7">
        <v>1686.26</v>
      </c>
      <c r="U232" s="7">
        <v>1254.79</v>
      </c>
      <c r="V232" s="7">
        <v>0</v>
      </c>
      <c r="W232" s="7">
        <v>6654.97</v>
      </c>
    </row>
    <row r="233" spans="1:23" x14ac:dyDescent="0.25">
      <c r="A233" s="12" t="s">
        <v>38</v>
      </c>
      <c r="B233" s="12">
        <v>768</v>
      </c>
      <c r="C233" s="12">
        <v>1</v>
      </c>
      <c r="D233" s="13" t="s">
        <v>627</v>
      </c>
      <c r="E233" s="12">
        <v>16</v>
      </c>
      <c r="F233" s="12">
        <v>102</v>
      </c>
      <c r="G233" s="14" t="s">
        <v>743</v>
      </c>
      <c r="H233" s="7">
        <v>1092.56</v>
      </c>
      <c r="I233" s="7">
        <v>1883.4</v>
      </c>
      <c r="J233" s="7">
        <v>2975.96</v>
      </c>
      <c r="K233" s="7">
        <v>3197.13</v>
      </c>
      <c r="L233" s="7">
        <v>0</v>
      </c>
      <c r="M233" s="7">
        <v>3197.13</v>
      </c>
      <c r="N233" s="7">
        <v>799.28</v>
      </c>
      <c r="O233" s="7">
        <v>1659.6</v>
      </c>
      <c r="P233" s="7">
        <v>218.03</v>
      </c>
      <c r="Q233" s="7">
        <v>464.38</v>
      </c>
      <c r="R233" s="7">
        <v>0</v>
      </c>
      <c r="S233" s="7">
        <v>0</v>
      </c>
      <c r="T233" s="7">
        <v>2242.8200000000002</v>
      </c>
      <c r="U233" s="7">
        <v>1382.92</v>
      </c>
      <c r="V233" s="7">
        <v>583.64</v>
      </c>
      <c r="W233" s="7">
        <v>2392.3200000000002</v>
      </c>
    </row>
    <row r="234" spans="1:23" x14ac:dyDescent="0.25">
      <c r="A234" s="12" t="s">
        <v>38</v>
      </c>
      <c r="B234" s="12">
        <v>769</v>
      </c>
      <c r="C234" s="12">
        <v>1</v>
      </c>
      <c r="D234" s="13" t="s">
        <v>628</v>
      </c>
      <c r="E234" s="12">
        <v>97</v>
      </c>
      <c r="F234" s="12">
        <v>268</v>
      </c>
      <c r="G234" s="14" t="s">
        <v>743</v>
      </c>
      <c r="H234" s="7">
        <v>6623.66</v>
      </c>
      <c r="I234" s="7">
        <v>4948.53</v>
      </c>
      <c r="J234" s="7">
        <v>11572.19</v>
      </c>
      <c r="K234" s="7">
        <v>11231.25</v>
      </c>
      <c r="L234" s="7">
        <v>9000</v>
      </c>
      <c r="M234" s="7">
        <v>20231.25</v>
      </c>
      <c r="N234" s="7">
        <v>5057.8100000000004</v>
      </c>
      <c r="O234" s="7">
        <v>5995.97</v>
      </c>
      <c r="P234" s="7">
        <v>0</v>
      </c>
      <c r="Q234" s="7">
        <v>4474.08</v>
      </c>
      <c r="R234" s="7">
        <v>0</v>
      </c>
      <c r="S234" s="7">
        <v>0</v>
      </c>
      <c r="T234" s="7">
        <v>3697.28</v>
      </c>
      <c r="U234" s="7">
        <v>4722.4399999999996</v>
      </c>
      <c r="V234" s="7">
        <v>0</v>
      </c>
      <c r="W234" s="7">
        <v>11572.19</v>
      </c>
    </row>
    <row r="235" spans="1:23" x14ac:dyDescent="0.25">
      <c r="A235" s="12" t="s">
        <v>38</v>
      </c>
      <c r="B235" s="12">
        <v>771</v>
      </c>
      <c r="C235" s="12">
        <v>1</v>
      </c>
      <c r="D235" s="13" t="s">
        <v>629</v>
      </c>
      <c r="E235" s="12">
        <v>6</v>
      </c>
      <c r="F235" s="12">
        <v>64</v>
      </c>
      <c r="G235" s="14" t="s">
        <v>743</v>
      </c>
      <c r="H235" s="7">
        <v>409.71</v>
      </c>
      <c r="I235" s="7">
        <v>1181.74</v>
      </c>
      <c r="J235" s="7">
        <v>1591.45</v>
      </c>
      <c r="K235" s="7">
        <v>2822.8</v>
      </c>
      <c r="L235" s="7">
        <v>4142.5</v>
      </c>
      <c r="M235" s="7">
        <v>6965.3</v>
      </c>
      <c r="N235" s="7">
        <v>1741.33</v>
      </c>
      <c r="O235" s="7">
        <v>-12804.05</v>
      </c>
      <c r="P235" s="7">
        <v>0</v>
      </c>
      <c r="Q235" s="7">
        <v>50.44</v>
      </c>
      <c r="R235" s="7">
        <v>0</v>
      </c>
      <c r="S235" s="7">
        <v>0</v>
      </c>
      <c r="T235" s="7">
        <v>-5376.32</v>
      </c>
      <c r="U235" s="7">
        <v>-6043.31</v>
      </c>
      <c r="V235" s="7">
        <v>0</v>
      </c>
      <c r="W235" s="7">
        <v>1591.45</v>
      </c>
    </row>
    <row r="236" spans="1:23" x14ac:dyDescent="0.25">
      <c r="A236" s="12" t="s">
        <v>38</v>
      </c>
      <c r="B236" s="12">
        <v>775</v>
      </c>
      <c r="C236" s="12">
        <v>1</v>
      </c>
      <c r="D236" s="13" t="s">
        <v>630</v>
      </c>
      <c r="E236" s="12">
        <v>42</v>
      </c>
      <c r="F236" s="12">
        <v>209</v>
      </c>
      <c r="G236" s="14" t="s">
        <v>743</v>
      </c>
      <c r="H236" s="7">
        <v>2867.98</v>
      </c>
      <c r="I236" s="7">
        <v>3859.11</v>
      </c>
      <c r="J236" s="7">
        <v>6727.09</v>
      </c>
      <c r="K236" s="7">
        <v>7792.68</v>
      </c>
      <c r="L236" s="7">
        <v>804</v>
      </c>
      <c r="M236" s="7">
        <v>8596.68</v>
      </c>
      <c r="N236" s="7">
        <v>2149.17</v>
      </c>
      <c r="O236" s="7">
        <v>-12126.33</v>
      </c>
      <c r="P236" s="7">
        <v>0</v>
      </c>
      <c r="Q236" s="7">
        <v>-16583.09</v>
      </c>
      <c r="R236" s="7">
        <v>0</v>
      </c>
      <c r="S236" s="7">
        <v>0</v>
      </c>
      <c r="T236" s="7">
        <v>-18767.599999999999</v>
      </c>
      <c r="U236" s="7">
        <v>-15825.67</v>
      </c>
      <c r="V236" s="7">
        <v>0</v>
      </c>
      <c r="W236" s="7">
        <v>6727.09</v>
      </c>
    </row>
    <row r="237" spans="1:23" x14ac:dyDescent="0.25">
      <c r="A237" s="12" t="s">
        <v>38</v>
      </c>
      <c r="B237" s="12">
        <v>777</v>
      </c>
      <c r="C237" s="12">
        <v>1</v>
      </c>
      <c r="D237" s="13" t="s">
        <v>631</v>
      </c>
      <c r="E237" s="12">
        <v>60</v>
      </c>
      <c r="F237" s="12">
        <v>315</v>
      </c>
      <c r="G237" s="14" t="s">
        <v>743</v>
      </c>
      <c r="H237" s="7">
        <v>4097.1099999999997</v>
      </c>
      <c r="I237" s="7">
        <v>5816.37</v>
      </c>
      <c r="J237" s="7">
        <v>9913.48</v>
      </c>
      <c r="K237" s="7">
        <v>9663.33</v>
      </c>
      <c r="L237" s="7">
        <v>0</v>
      </c>
      <c r="M237" s="7">
        <v>9663.33</v>
      </c>
      <c r="N237" s="7">
        <v>2415.83</v>
      </c>
      <c r="O237" s="7">
        <v>1889.32</v>
      </c>
      <c r="P237" s="7">
        <v>0</v>
      </c>
      <c r="Q237" s="7">
        <v>267.85000000000002</v>
      </c>
      <c r="R237" s="7">
        <v>0</v>
      </c>
      <c r="S237" s="7">
        <v>0</v>
      </c>
      <c r="T237" s="7">
        <v>-2261.5100000000002</v>
      </c>
      <c r="U237" s="7">
        <v>-34.78</v>
      </c>
      <c r="V237" s="7">
        <v>0</v>
      </c>
      <c r="W237" s="7">
        <v>9913.48</v>
      </c>
    </row>
    <row r="238" spans="1:23" x14ac:dyDescent="0.25">
      <c r="A238" s="12" t="s">
        <v>38</v>
      </c>
      <c r="B238" s="12">
        <v>786</v>
      </c>
      <c r="C238" s="12">
        <v>1</v>
      </c>
      <c r="D238" s="13" t="s">
        <v>632</v>
      </c>
      <c r="E238" s="12">
        <v>34</v>
      </c>
      <c r="F238" s="12">
        <v>285</v>
      </c>
      <c r="G238" s="14" t="s">
        <v>743</v>
      </c>
      <c r="H238" s="7">
        <v>2321.69</v>
      </c>
      <c r="I238" s="7">
        <v>5262.43</v>
      </c>
      <c r="J238" s="7">
        <v>7584.12</v>
      </c>
      <c r="K238" s="7">
        <v>8191.42</v>
      </c>
      <c r="L238" s="7">
        <v>0</v>
      </c>
      <c r="M238" s="7">
        <v>8191.42</v>
      </c>
      <c r="N238" s="7">
        <v>2047.86</v>
      </c>
      <c r="O238" s="7">
        <v>3221.2</v>
      </c>
      <c r="P238" s="7">
        <v>1080.6099999999999</v>
      </c>
      <c r="Q238" s="7">
        <v>841.83</v>
      </c>
      <c r="R238" s="7">
        <v>0</v>
      </c>
      <c r="S238" s="7">
        <v>0</v>
      </c>
      <c r="T238" s="7">
        <v>82.09</v>
      </c>
      <c r="U238" s="7">
        <v>1021.5</v>
      </c>
      <c r="V238" s="7">
        <v>0</v>
      </c>
      <c r="W238" s="7">
        <v>7584.12</v>
      </c>
    </row>
    <row r="239" spans="1:23" x14ac:dyDescent="0.25">
      <c r="A239" s="12" t="s">
        <v>38</v>
      </c>
      <c r="B239" s="12">
        <v>787</v>
      </c>
      <c r="C239" s="12">
        <v>1</v>
      </c>
      <c r="D239" s="13" t="s">
        <v>633</v>
      </c>
      <c r="E239" s="12">
        <v>23</v>
      </c>
      <c r="F239" s="12">
        <v>275</v>
      </c>
      <c r="G239" s="14" t="s">
        <v>743</v>
      </c>
      <c r="H239" s="7">
        <v>1570.56</v>
      </c>
      <c r="I239" s="7">
        <v>5077.78</v>
      </c>
      <c r="J239" s="7">
        <v>6648.34</v>
      </c>
      <c r="K239" s="7">
        <v>6558.14</v>
      </c>
      <c r="L239" s="7">
        <v>0</v>
      </c>
      <c r="M239" s="7">
        <v>6558.14</v>
      </c>
      <c r="N239" s="7">
        <v>1639.54</v>
      </c>
      <c r="O239" s="7">
        <v>1702.36</v>
      </c>
      <c r="P239" s="7">
        <v>0</v>
      </c>
      <c r="Q239" s="7">
        <v>1700.52</v>
      </c>
      <c r="R239" s="7">
        <v>0</v>
      </c>
      <c r="S239" s="7">
        <v>0</v>
      </c>
      <c r="T239" s="7">
        <v>2037.56</v>
      </c>
      <c r="U239" s="7">
        <v>1813.48</v>
      </c>
      <c r="V239" s="7">
        <v>173.94</v>
      </c>
      <c r="W239" s="7">
        <v>6474.4</v>
      </c>
    </row>
    <row r="240" spans="1:23" x14ac:dyDescent="0.25">
      <c r="A240" s="12" t="s">
        <v>38</v>
      </c>
      <c r="B240" s="12">
        <v>801</v>
      </c>
      <c r="C240" s="12">
        <v>1</v>
      </c>
      <c r="D240" s="13" t="s">
        <v>634</v>
      </c>
      <c r="E240" s="12">
        <v>5</v>
      </c>
      <c r="F240" s="12">
        <v>83</v>
      </c>
      <c r="G240" s="14" t="s">
        <v>743</v>
      </c>
      <c r="H240" s="7">
        <v>341.43</v>
      </c>
      <c r="I240" s="7">
        <v>1532.57</v>
      </c>
      <c r="J240" s="7">
        <v>1874</v>
      </c>
      <c r="K240" s="7">
        <v>1527.34</v>
      </c>
      <c r="L240" s="7">
        <v>0</v>
      </c>
      <c r="M240" s="7">
        <v>1527.34</v>
      </c>
      <c r="N240" s="7">
        <v>381.84</v>
      </c>
      <c r="O240" s="7">
        <v>1707.05</v>
      </c>
      <c r="P240" s="7">
        <v>220.45</v>
      </c>
      <c r="Q240" s="7">
        <v>-7.07</v>
      </c>
      <c r="R240" s="7">
        <v>248.75</v>
      </c>
      <c r="S240" s="7">
        <v>0</v>
      </c>
      <c r="T240" s="7">
        <v>-836.7</v>
      </c>
      <c r="U240" s="7">
        <v>131.36000000000001</v>
      </c>
      <c r="V240" s="7">
        <v>0</v>
      </c>
      <c r="W240" s="7">
        <v>1874</v>
      </c>
    </row>
    <row r="241" spans="1:23" x14ac:dyDescent="0.25">
      <c r="A241" s="12" t="s">
        <v>38</v>
      </c>
      <c r="B241" s="12">
        <v>803</v>
      </c>
      <c r="C241" s="12">
        <v>1</v>
      </c>
      <c r="D241" s="13" t="s">
        <v>635</v>
      </c>
      <c r="E241" s="12">
        <v>22</v>
      </c>
      <c r="F241" s="12">
        <v>128</v>
      </c>
      <c r="G241" s="14" t="s">
        <v>743</v>
      </c>
      <c r="H241" s="7">
        <v>1502.27</v>
      </c>
      <c r="I241" s="7">
        <v>2363.48</v>
      </c>
      <c r="J241" s="7">
        <v>3865.75</v>
      </c>
      <c r="K241" s="7">
        <v>4270.18</v>
      </c>
      <c r="L241" s="7">
        <v>7810</v>
      </c>
      <c r="M241" s="7">
        <v>12080.18</v>
      </c>
      <c r="N241" s="7">
        <v>3020.05</v>
      </c>
      <c r="O241" s="7">
        <v>1850.47</v>
      </c>
      <c r="P241" s="7">
        <v>0</v>
      </c>
      <c r="Q241" s="7">
        <v>1134.8699999999999</v>
      </c>
      <c r="R241" s="7">
        <v>0</v>
      </c>
      <c r="S241" s="7">
        <v>0</v>
      </c>
      <c r="T241" s="7">
        <v>-7031.79</v>
      </c>
      <c r="U241" s="7">
        <v>-1348.82</v>
      </c>
      <c r="V241" s="7">
        <v>0</v>
      </c>
      <c r="W241" s="7">
        <v>3865.75</v>
      </c>
    </row>
    <row r="242" spans="1:23" x14ac:dyDescent="0.25">
      <c r="A242" s="12" t="s">
        <v>38</v>
      </c>
      <c r="B242" s="12">
        <v>811</v>
      </c>
      <c r="C242" s="12">
        <v>1</v>
      </c>
      <c r="D242" s="13" t="s">
        <v>636</v>
      </c>
      <c r="E242" s="12">
        <v>55</v>
      </c>
      <c r="F242" s="12">
        <v>216</v>
      </c>
      <c r="G242" s="14" t="s">
        <v>743</v>
      </c>
      <c r="H242" s="7">
        <v>3755.68</v>
      </c>
      <c r="I242" s="7">
        <v>3988.37</v>
      </c>
      <c r="J242" s="7">
        <v>7744.05</v>
      </c>
      <c r="K242" s="7">
        <v>8597.34</v>
      </c>
      <c r="L242" s="7">
        <v>26986.25</v>
      </c>
      <c r="M242" s="7">
        <v>35583.589999999997</v>
      </c>
      <c r="N242" s="7">
        <v>8895.9</v>
      </c>
      <c r="O242" s="7">
        <v>5484.28</v>
      </c>
      <c r="P242" s="7">
        <v>0</v>
      </c>
      <c r="Q242" s="7">
        <v>-1842.68</v>
      </c>
      <c r="R242" s="7">
        <v>0</v>
      </c>
      <c r="S242" s="7">
        <v>0</v>
      </c>
      <c r="T242" s="7">
        <v>-4233.09</v>
      </c>
      <c r="U242" s="7">
        <v>-197.16</v>
      </c>
      <c r="V242" s="7">
        <v>0</v>
      </c>
      <c r="W242" s="7">
        <v>7744.05</v>
      </c>
    </row>
    <row r="243" spans="1:23" x14ac:dyDescent="0.25">
      <c r="A243" s="12" t="s">
        <v>38</v>
      </c>
      <c r="B243" s="12">
        <v>813</v>
      </c>
      <c r="C243" s="12">
        <v>1</v>
      </c>
      <c r="D243" s="13" t="s">
        <v>637</v>
      </c>
      <c r="E243" s="12">
        <v>152</v>
      </c>
      <c r="F243" s="12">
        <v>376</v>
      </c>
      <c r="G243" s="14" t="s">
        <v>743</v>
      </c>
      <c r="H243" s="7">
        <v>10379.34</v>
      </c>
      <c r="I243" s="7">
        <v>6942.71</v>
      </c>
      <c r="J243" s="7">
        <v>17322.05</v>
      </c>
      <c r="K243" s="7">
        <v>14319.45</v>
      </c>
      <c r="L243" s="7">
        <v>0</v>
      </c>
      <c r="M243" s="7">
        <v>14319.45</v>
      </c>
      <c r="N243" s="7">
        <v>3579.86</v>
      </c>
      <c r="O243" s="7">
        <v>4978.1000000000004</v>
      </c>
      <c r="P243" s="7">
        <v>607.99</v>
      </c>
      <c r="Q243" s="7">
        <v>-1251.1300000000001</v>
      </c>
      <c r="R243" s="7">
        <v>0</v>
      </c>
      <c r="S243" s="7">
        <v>0</v>
      </c>
      <c r="T243" s="7">
        <v>-29114.73</v>
      </c>
      <c r="U243" s="7">
        <v>-8665.25</v>
      </c>
      <c r="V243" s="7">
        <v>0</v>
      </c>
      <c r="W243" s="7">
        <v>17322.05</v>
      </c>
    </row>
    <row r="244" spans="1:23" x14ac:dyDescent="0.25">
      <c r="A244" s="12" t="s">
        <v>38</v>
      </c>
      <c r="B244" s="12">
        <v>818</v>
      </c>
      <c r="C244" s="12">
        <v>1</v>
      </c>
      <c r="D244" s="13" t="s">
        <v>638</v>
      </c>
      <c r="E244" s="12">
        <v>32</v>
      </c>
      <c r="F244" s="12">
        <v>302</v>
      </c>
      <c r="G244" s="14" t="s">
        <v>743</v>
      </c>
      <c r="H244" s="7">
        <v>2185.12</v>
      </c>
      <c r="I244" s="7">
        <v>5576.33</v>
      </c>
      <c r="J244" s="7">
        <v>7761.45</v>
      </c>
      <c r="K244" s="7">
        <v>6883.51</v>
      </c>
      <c r="L244" s="7">
        <v>0</v>
      </c>
      <c r="M244" s="7">
        <v>6883.51</v>
      </c>
      <c r="N244" s="7">
        <v>1720.88</v>
      </c>
      <c r="O244" s="7">
        <v>515.14</v>
      </c>
      <c r="P244" s="7">
        <v>0</v>
      </c>
      <c r="Q244" s="7">
        <v>353.48</v>
      </c>
      <c r="R244" s="7">
        <v>0</v>
      </c>
      <c r="S244" s="7">
        <v>0</v>
      </c>
      <c r="T244" s="7">
        <v>142.4</v>
      </c>
      <c r="U244" s="7">
        <v>337.01</v>
      </c>
      <c r="V244" s="7">
        <v>0</v>
      </c>
      <c r="W244" s="7">
        <v>7761.45</v>
      </c>
    </row>
    <row r="245" spans="1:23" x14ac:dyDescent="0.25">
      <c r="A245" s="12" t="s">
        <v>38</v>
      </c>
      <c r="B245" s="12">
        <v>820</v>
      </c>
      <c r="C245" s="12">
        <v>1</v>
      </c>
      <c r="D245" s="13" t="s">
        <v>639</v>
      </c>
      <c r="E245" s="12">
        <v>56</v>
      </c>
      <c r="F245" s="12">
        <v>312</v>
      </c>
      <c r="G245" s="14" t="s">
        <v>743</v>
      </c>
      <c r="H245" s="7">
        <v>3823.97</v>
      </c>
      <c r="I245" s="7">
        <v>5760.97</v>
      </c>
      <c r="J245" s="7">
        <v>9584.94</v>
      </c>
      <c r="K245" s="7">
        <v>7868.57</v>
      </c>
      <c r="L245" s="7">
        <v>22075.71</v>
      </c>
      <c r="M245" s="7">
        <v>29944.28</v>
      </c>
      <c r="N245" s="7">
        <v>7486.07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9584.94</v>
      </c>
    </row>
    <row r="246" spans="1:23" x14ac:dyDescent="0.25">
      <c r="A246" s="12" t="s">
        <v>38</v>
      </c>
      <c r="B246" s="12">
        <v>821</v>
      </c>
      <c r="C246" s="12">
        <v>1</v>
      </c>
      <c r="D246" s="13" t="s">
        <v>640</v>
      </c>
      <c r="E246" s="12">
        <v>74</v>
      </c>
      <c r="F246" s="12">
        <v>428</v>
      </c>
      <c r="G246" s="14" t="s">
        <v>743</v>
      </c>
      <c r="H246" s="7">
        <v>5053.1000000000004</v>
      </c>
      <c r="I246" s="7">
        <v>7902.88</v>
      </c>
      <c r="J246" s="7">
        <v>12955.98</v>
      </c>
      <c r="K246" s="7">
        <v>12286.71</v>
      </c>
      <c r="L246" s="7">
        <v>6925</v>
      </c>
      <c r="M246" s="7">
        <v>19211.71</v>
      </c>
      <c r="N246" s="7">
        <v>4802.93</v>
      </c>
      <c r="O246" s="7">
        <v>6435.83</v>
      </c>
      <c r="P246" s="7">
        <v>0</v>
      </c>
      <c r="Q246" s="7">
        <v>6434.89</v>
      </c>
      <c r="R246" s="7">
        <v>1391.01</v>
      </c>
      <c r="S246" s="7">
        <v>0</v>
      </c>
      <c r="T246" s="7">
        <v>5497.03</v>
      </c>
      <c r="U246" s="7">
        <v>5658.91</v>
      </c>
      <c r="V246" s="7">
        <v>855.98</v>
      </c>
      <c r="W246" s="7">
        <v>12100</v>
      </c>
    </row>
    <row r="247" spans="1:23" x14ac:dyDescent="0.25">
      <c r="A247" s="12" t="s">
        <v>38</v>
      </c>
      <c r="B247" s="12">
        <v>829</v>
      </c>
      <c r="C247" s="12">
        <v>1</v>
      </c>
      <c r="D247" s="13" t="s">
        <v>641</v>
      </c>
      <c r="E247" s="12">
        <v>224</v>
      </c>
      <c r="F247" s="12">
        <v>677</v>
      </c>
      <c r="G247" s="14" t="s">
        <v>743</v>
      </c>
      <c r="H247" s="7">
        <v>15295.87</v>
      </c>
      <c r="I247" s="7">
        <v>12500.58</v>
      </c>
      <c r="J247" s="7">
        <v>27796.45</v>
      </c>
      <c r="K247" s="7">
        <v>25826.02</v>
      </c>
      <c r="L247" s="7">
        <v>24944.639999999999</v>
      </c>
      <c r="M247" s="7">
        <v>50770.66</v>
      </c>
      <c r="N247" s="7">
        <v>12692.67</v>
      </c>
      <c r="O247" s="7">
        <v>5739.35</v>
      </c>
      <c r="P247" s="7">
        <v>0</v>
      </c>
      <c r="Q247" s="7">
        <v>1779.44</v>
      </c>
      <c r="R247" s="7">
        <v>0</v>
      </c>
      <c r="S247" s="7">
        <v>0</v>
      </c>
      <c r="T247" s="7">
        <v>3816.82</v>
      </c>
      <c r="U247" s="7">
        <v>3778.54</v>
      </c>
      <c r="V247" s="7">
        <v>0</v>
      </c>
      <c r="W247" s="7">
        <v>27796.45</v>
      </c>
    </row>
    <row r="248" spans="1:23" x14ac:dyDescent="0.25">
      <c r="A248" s="12" t="s">
        <v>38</v>
      </c>
      <c r="B248" s="12">
        <v>831</v>
      </c>
      <c r="C248" s="12">
        <v>1</v>
      </c>
      <c r="D248" s="13" t="s">
        <v>642</v>
      </c>
      <c r="E248" s="12">
        <v>641</v>
      </c>
      <c r="F248" s="12">
        <v>1546</v>
      </c>
      <c r="G248" s="14" t="s">
        <v>743</v>
      </c>
      <c r="H248" s="7">
        <v>43770.77</v>
      </c>
      <c r="I248" s="7">
        <v>28546.37</v>
      </c>
      <c r="J248" s="7">
        <v>72317.14</v>
      </c>
      <c r="K248" s="7">
        <v>72312</v>
      </c>
      <c r="L248" s="7">
        <v>61935.5</v>
      </c>
      <c r="M248" s="7">
        <v>134247.5</v>
      </c>
      <c r="N248" s="7">
        <v>33561.879999999997</v>
      </c>
      <c r="O248" s="7">
        <v>41370.92</v>
      </c>
      <c r="P248" s="7">
        <v>0</v>
      </c>
      <c r="Q248" s="7">
        <v>32994.5</v>
      </c>
      <c r="R248" s="7">
        <v>0</v>
      </c>
      <c r="S248" s="7">
        <v>0</v>
      </c>
      <c r="T248" s="7">
        <v>32900.839999999997</v>
      </c>
      <c r="U248" s="7">
        <v>35755.42</v>
      </c>
      <c r="V248" s="7">
        <v>2193.54</v>
      </c>
      <c r="W248" s="7">
        <v>70123.600000000006</v>
      </c>
    </row>
    <row r="249" spans="1:23" x14ac:dyDescent="0.25">
      <c r="A249" s="12" t="s">
        <v>38</v>
      </c>
      <c r="B249" s="12">
        <v>832</v>
      </c>
      <c r="C249" s="12">
        <v>1</v>
      </c>
      <c r="D249" s="13" t="s">
        <v>643</v>
      </c>
      <c r="E249" s="12">
        <v>204</v>
      </c>
      <c r="F249" s="12">
        <v>271</v>
      </c>
      <c r="G249" s="14" t="s">
        <v>743</v>
      </c>
      <c r="H249" s="7">
        <v>13930.17</v>
      </c>
      <c r="I249" s="7">
        <v>5003.92</v>
      </c>
      <c r="J249" s="7">
        <v>18934.09</v>
      </c>
      <c r="K249" s="7">
        <v>17579.66</v>
      </c>
      <c r="L249" s="7">
        <v>0</v>
      </c>
      <c r="M249" s="7">
        <v>17579.66</v>
      </c>
      <c r="N249" s="7">
        <v>4394.92</v>
      </c>
      <c r="O249" s="7">
        <v>3468.62</v>
      </c>
      <c r="P249" s="7">
        <v>0</v>
      </c>
      <c r="Q249" s="7">
        <v>5050.1899999999996</v>
      </c>
      <c r="R249" s="7">
        <v>0</v>
      </c>
      <c r="S249" s="7">
        <v>0</v>
      </c>
      <c r="T249" s="7">
        <v>4510.49</v>
      </c>
      <c r="U249" s="7">
        <v>4343.1000000000004</v>
      </c>
      <c r="V249" s="7">
        <v>0</v>
      </c>
      <c r="W249" s="7">
        <v>18934.09</v>
      </c>
    </row>
    <row r="250" spans="1:23" x14ac:dyDescent="0.25">
      <c r="A250" s="12" t="s">
        <v>38</v>
      </c>
      <c r="B250" s="12">
        <v>833</v>
      </c>
      <c r="C250" s="12">
        <v>1</v>
      </c>
      <c r="D250" s="13" t="s">
        <v>644</v>
      </c>
      <c r="E250" s="12">
        <v>1607</v>
      </c>
      <c r="F250" s="12">
        <v>2571</v>
      </c>
      <c r="G250" s="14" t="s">
        <v>743</v>
      </c>
      <c r="H250" s="7">
        <v>109734.2</v>
      </c>
      <c r="I250" s="7">
        <v>47472.65</v>
      </c>
      <c r="J250" s="7">
        <v>157206.85</v>
      </c>
      <c r="K250" s="7">
        <v>159590.79</v>
      </c>
      <c r="L250" s="7">
        <v>302769.51</v>
      </c>
      <c r="M250" s="7">
        <v>462360.3</v>
      </c>
      <c r="N250" s="7">
        <v>115590.08</v>
      </c>
      <c r="O250" s="7">
        <v>3524.01</v>
      </c>
      <c r="P250" s="7">
        <v>0</v>
      </c>
      <c r="Q250" s="7">
        <v>-29692.77</v>
      </c>
      <c r="R250" s="7">
        <v>0</v>
      </c>
      <c r="S250" s="7">
        <v>0</v>
      </c>
      <c r="T250" s="7">
        <v>-40461.69</v>
      </c>
      <c r="U250" s="7">
        <v>-22210.15</v>
      </c>
      <c r="V250" s="7">
        <v>0</v>
      </c>
      <c r="W250" s="7">
        <v>157206.85</v>
      </c>
    </row>
    <row r="251" spans="1:23" x14ac:dyDescent="0.25">
      <c r="A251" s="12" t="s">
        <v>38</v>
      </c>
      <c r="B251" s="12">
        <v>834</v>
      </c>
      <c r="C251" s="12">
        <v>1</v>
      </c>
      <c r="D251" s="13" t="s">
        <v>645</v>
      </c>
      <c r="E251" s="12">
        <v>793</v>
      </c>
      <c r="F251" s="12">
        <v>1220</v>
      </c>
      <c r="G251" s="14" t="s">
        <v>743</v>
      </c>
      <c r="H251" s="7">
        <v>54150.11</v>
      </c>
      <c r="I251" s="7">
        <v>22526.89</v>
      </c>
      <c r="J251" s="7">
        <v>76677</v>
      </c>
      <c r="K251" s="7">
        <v>74270.02</v>
      </c>
      <c r="L251" s="7">
        <v>55054.239999999998</v>
      </c>
      <c r="M251" s="7">
        <v>129324.26</v>
      </c>
      <c r="N251" s="7">
        <v>32331.07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76677</v>
      </c>
    </row>
    <row r="252" spans="1:23" x14ac:dyDescent="0.25">
      <c r="A252" s="12" t="s">
        <v>38</v>
      </c>
      <c r="B252" s="12">
        <v>836</v>
      </c>
      <c r="C252" s="12">
        <v>1</v>
      </c>
      <c r="D252" s="13" t="s">
        <v>646</v>
      </c>
      <c r="E252" s="12">
        <v>8</v>
      </c>
      <c r="F252" s="12">
        <v>134</v>
      </c>
      <c r="G252" s="14" t="s">
        <v>743</v>
      </c>
      <c r="H252" s="7">
        <v>546.28</v>
      </c>
      <c r="I252" s="7">
        <v>2474.2600000000002</v>
      </c>
      <c r="J252" s="7">
        <v>3020.54</v>
      </c>
      <c r="K252" s="7">
        <v>3548.95</v>
      </c>
      <c r="L252" s="7">
        <v>670</v>
      </c>
      <c r="M252" s="7">
        <v>4218.95</v>
      </c>
      <c r="N252" s="7">
        <v>1054.74</v>
      </c>
      <c r="O252" s="7">
        <v>856.59</v>
      </c>
      <c r="P252" s="7">
        <v>0</v>
      </c>
      <c r="Q252" s="7">
        <v>500.05</v>
      </c>
      <c r="R252" s="7">
        <v>0</v>
      </c>
      <c r="S252" s="7">
        <v>0</v>
      </c>
      <c r="T252" s="7">
        <v>-573.91</v>
      </c>
      <c r="U252" s="7">
        <v>260.91000000000003</v>
      </c>
      <c r="V252" s="7">
        <v>0</v>
      </c>
      <c r="W252" s="7">
        <v>3020.54</v>
      </c>
    </row>
    <row r="253" spans="1:23" x14ac:dyDescent="0.25">
      <c r="A253" s="12" t="s">
        <v>38</v>
      </c>
      <c r="B253" s="12">
        <v>837</v>
      </c>
      <c r="C253" s="12">
        <v>1</v>
      </c>
      <c r="D253" s="13" t="s">
        <v>647</v>
      </c>
      <c r="E253" s="12">
        <v>34</v>
      </c>
      <c r="F253" s="12">
        <v>258</v>
      </c>
      <c r="G253" s="14" t="s">
        <v>743</v>
      </c>
      <c r="H253" s="7">
        <v>2321.69</v>
      </c>
      <c r="I253" s="7">
        <v>4763.88</v>
      </c>
      <c r="J253" s="7">
        <v>7085.57</v>
      </c>
      <c r="K253" s="7">
        <v>8130.49</v>
      </c>
      <c r="L253" s="7">
        <v>7652.5</v>
      </c>
      <c r="M253" s="7">
        <v>15782.99</v>
      </c>
      <c r="N253" s="7">
        <v>3945.75</v>
      </c>
      <c r="O253" s="7">
        <v>157.04</v>
      </c>
      <c r="P253" s="7">
        <v>0</v>
      </c>
      <c r="Q253" s="7">
        <v>884.81</v>
      </c>
      <c r="R253" s="7">
        <v>0</v>
      </c>
      <c r="S253" s="7">
        <v>0</v>
      </c>
      <c r="T253" s="7">
        <v>188.36</v>
      </c>
      <c r="U253" s="7">
        <v>410.07</v>
      </c>
      <c r="V253" s="7">
        <v>0</v>
      </c>
      <c r="W253" s="7">
        <v>7085.57</v>
      </c>
    </row>
    <row r="254" spans="1:23" x14ac:dyDescent="0.25">
      <c r="A254" s="12" t="s">
        <v>38</v>
      </c>
      <c r="B254" s="12">
        <v>840</v>
      </c>
      <c r="C254" s="12">
        <v>1</v>
      </c>
      <c r="D254" s="13" t="s">
        <v>648</v>
      </c>
      <c r="E254" s="12">
        <v>94</v>
      </c>
      <c r="F254" s="12">
        <v>600</v>
      </c>
      <c r="G254" s="14" t="s">
        <v>743</v>
      </c>
      <c r="H254" s="7">
        <v>6418.8</v>
      </c>
      <c r="I254" s="7">
        <v>11078.8</v>
      </c>
      <c r="J254" s="7">
        <v>17497.599999999999</v>
      </c>
      <c r="K254" s="7">
        <v>16624.29</v>
      </c>
      <c r="L254" s="7">
        <v>502.5</v>
      </c>
      <c r="M254" s="7">
        <v>17126.79</v>
      </c>
      <c r="N254" s="7">
        <v>4281.7</v>
      </c>
      <c r="O254" s="7">
        <v>3996.49</v>
      </c>
      <c r="P254" s="7">
        <v>0</v>
      </c>
      <c r="Q254" s="7">
        <v>3721.29</v>
      </c>
      <c r="R254" s="7">
        <v>0</v>
      </c>
      <c r="S254" s="7">
        <v>0</v>
      </c>
      <c r="T254" s="7">
        <v>3907.43</v>
      </c>
      <c r="U254" s="7">
        <v>3875.07</v>
      </c>
      <c r="V254" s="7">
        <v>0</v>
      </c>
      <c r="W254" s="7">
        <v>17497.599999999999</v>
      </c>
    </row>
    <row r="255" spans="1:23" x14ac:dyDescent="0.25">
      <c r="A255" s="12" t="s">
        <v>38</v>
      </c>
      <c r="B255" s="12">
        <v>846</v>
      </c>
      <c r="C255" s="12">
        <v>1</v>
      </c>
      <c r="D255" s="13" t="s">
        <v>649</v>
      </c>
      <c r="E255" s="12">
        <v>79</v>
      </c>
      <c r="F255" s="12">
        <v>287</v>
      </c>
      <c r="G255" s="14" t="s">
        <v>743</v>
      </c>
      <c r="H255" s="7">
        <v>5394.53</v>
      </c>
      <c r="I255" s="7">
        <v>5299.36</v>
      </c>
      <c r="J255" s="7">
        <v>10693.89</v>
      </c>
      <c r="K255" s="7">
        <v>11015.3</v>
      </c>
      <c r="L255" s="7">
        <v>27428.720000000001</v>
      </c>
      <c r="M255" s="7">
        <v>38444.019999999997</v>
      </c>
      <c r="N255" s="7">
        <v>9611.01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10693.89</v>
      </c>
    </row>
    <row r="256" spans="1:23" x14ac:dyDescent="0.25">
      <c r="A256" s="12" t="s">
        <v>38</v>
      </c>
      <c r="B256" s="12">
        <v>850</v>
      </c>
      <c r="C256" s="12">
        <v>1</v>
      </c>
      <c r="D256" s="13" t="s">
        <v>650</v>
      </c>
      <c r="E256" s="12">
        <v>18</v>
      </c>
      <c r="F256" s="12">
        <v>90</v>
      </c>
      <c r="G256" s="14" t="s">
        <v>743</v>
      </c>
      <c r="H256" s="7">
        <v>1229.1300000000001</v>
      </c>
      <c r="I256" s="7">
        <v>1661.82</v>
      </c>
      <c r="J256" s="7">
        <v>2890.95</v>
      </c>
      <c r="K256" s="7">
        <v>2432.44</v>
      </c>
      <c r="L256" s="7">
        <v>0</v>
      </c>
      <c r="M256" s="7">
        <v>2432.44</v>
      </c>
      <c r="N256" s="7">
        <v>608.11</v>
      </c>
      <c r="O256" s="7">
        <v>1905.1</v>
      </c>
      <c r="P256" s="7">
        <v>753.09</v>
      </c>
      <c r="Q256" s="7">
        <v>-0.81</v>
      </c>
      <c r="R256" s="7">
        <v>0</v>
      </c>
      <c r="S256" s="7">
        <v>0</v>
      </c>
      <c r="T256" s="7">
        <v>0</v>
      </c>
      <c r="U256" s="7">
        <v>383.73</v>
      </c>
      <c r="V256" s="7">
        <v>0</v>
      </c>
      <c r="W256" s="7">
        <v>2890.95</v>
      </c>
    </row>
    <row r="257" spans="1:23" x14ac:dyDescent="0.25">
      <c r="A257" s="12" t="s">
        <v>38</v>
      </c>
      <c r="B257" s="12">
        <v>852</v>
      </c>
      <c r="C257" s="12">
        <v>1</v>
      </c>
      <c r="D257" s="13" t="s">
        <v>651</v>
      </c>
      <c r="E257" s="12">
        <v>9</v>
      </c>
      <c r="F257" s="12">
        <v>70</v>
      </c>
      <c r="G257" s="14" t="s">
        <v>743</v>
      </c>
      <c r="H257" s="7">
        <v>614.57000000000005</v>
      </c>
      <c r="I257" s="7">
        <v>1292.53</v>
      </c>
      <c r="J257" s="7">
        <v>1907.1</v>
      </c>
      <c r="K257" s="7">
        <v>1818.71</v>
      </c>
      <c r="L257" s="7">
        <v>0</v>
      </c>
      <c r="M257" s="7">
        <v>1818.71</v>
      </c>
      <c r="N257" s="7">
        <v>454.68</v>
      </c>
      <c r="O257" s="7">
        <v>-38.96</v>
      </c>
      <c r="P257" s="7">
        <v>0</v>
      </c>
      <c r="Q257" s="7">
        <v>0</v>
      </c>
      <c r="R257" s="7">
        <v>0</v>
      </c>
      <c r="S257" s="7">
        <v>0</v>
      </c>
      <c r="T257" s="7">
        <v>1818.71</v>
      </c>
      <c r="U257" s="7">
        <v>593.25</v>
      </c>
      <c r="V257" s="7">
        <v>138.57</v>
      </c>
      <c r="W257" s="7">
        <v>1768.53</v>
      </c>
    </row>
    <row r="258" spans="1:23" x14ac:dyDescent="0.25">
      <c r="A258" s="12" t="s">
        <v>38</v>
      </c>
      <c r="B258" s="12">
        <v>857</v>
      </c>
      <c r="C258" s="12">
        <v>1</v>
      </c>
      <c r="D258" s="13" t="s">
        <v>652</v>
      </c>
      <c r="E258" s="12">
        <v>60</v>
      </c>
      <c r="F258" s="12">
        <v>265</v>
      </c>
      <c r="G258" s="14" t="s">
        <v>743</v>
      </c>
      <c r="H258" s="7">
        <v>4097.1099999999997</v>
      </c>
      <c r="I258" s="7">
        <v>4893.1400000000003</v>
      </c>
      <c r="J258" s="7">
        <v>8990.25</v>
      </c>
      <c r="K258" s="7">
        <v>11910.95</v>
      </c>
      <c r="L258" s="7">
        <v>37407.75</v>
      </c>
      <c r="M258" s="7">
        <v>49318.7</v>
      </c>
      <c r="N258" s="7">
        <v>12329.68</v>
      </c>
      <c r="O258" s="7">
        <v>-26990.47</v>
      </c>
      <c r="P258" s="7">
        <v>0</v>
      </c>
      <c r="Q258" s="7">
        <v>-30000</v>
      </c>
      <c r="R258" s="7">
        <v>0</v>
      </c>
      <c r="S258" s="7">
        <v>0</v>
      </c>
      <c r="T258" s="7">
        <v>-52083.040000000001</v>
      </c>
      <c r="U258" s="7">
        <v>-36357.839999999997</v>
      </c>
      <c r="V258" s="7">
        <v>0</v>
      </c>
      <c r="W258" s="7">
        <v>8990.25</v>
      </c>
    </row>
    <row r="259" spans="1:23" x14ac:dyDescent="0.25">
      <c r="A259" s="12" t="s">
        <v>38</v>
      </c>
      <c r="B259" s="12">
        <v>858</v>
      </c>
      <c r="C259" s="12">
        <v>1</v>
      </c>
      <c r="D259" s="13" t="s">
        <v>653</v>
      </c>
      <c r="E259" s="12">
        <v>100</v>
      </c>
      <c r="F259" s="12">
        <v>280</v>
      </c>
      <c r="G259" s="14" t="s">
        <v>743</v>
      </c>
      <c r="H259" s="7">
        <v>6828.51</v>
      </c>
      <c r="I259" s="7">
        <v>5170.1099999999997</v>
      </c>
      <c r="J259" s="7">
        <v>11998.62</v>
      </c>
      <c r="K259" s="7">
        <v>12293.29</v>
      </c>
      <c r="L259" s="7">
        <v>0</v>
      </c>
      <c r="M259" s="7">
        <v>12293.29</v>
      </c>
      <c r="N259" s="7">
        <v>3073.32</v>
      </c>
      <c r="O259" s="7">
        <v>8423.74</v>
      </c>
      <c r="P259" s="7">
        <v>0</v>
      </c>
      <c r="Q259" s="7">
        <v>8423.74</v>
      </c>
      <c r="R259" s="7">
        <v>1944.33</v>
      </c>
      <c r="S259" s="7">
        <v>0</v>
      </c>
      <c r="T259" s="7">
        <v>1978</v>
      </c>
      <c r="U259" s="7">
        <v>5627.05</v>
      </c>
      <c r="V259" s="7">
        <v>2553.73</v>
      </c>
      <c r="W259" s="7">
        <v>9444.89</v>
      </c>
    </row>
    <row r="260" spans="1:23" x14ac:dyDescent="0.25">
      <c r="A260" s="12" t="s">
        <v>38</v>
      </c>
      <c r="B260" s="12">
        <v>861</v>
      </c>
      <c r="C260" s="12">
        <v>1</v>
      </c>
      <c r="D260" s="13" t="s">
        <v>654</v>
      </c>
      <c r="E260" s="12">
        <v>414</v>
      </c>
      <c r="F260" s="12">
        <v>1240</v>
      </c>
      <c r="G260" s="14" t="s">
        <v>743</v>
      </c>
      <c r="H260" s="7">
        <v>28270.04</v>
      </c>
      <c r="I260" s="7">
        <v>22896.18</v>
      </c>
      <c r="J260" s="7">
        <v>51166.22</v>
      </c>
      <c r="K260" s="7">
        <v>51408.68</v>
      </c>
      <c r="L260" s="7">
        <v>751</v>
      </c>
      <c r="M260" s="7">
        <v>52159.68</v>
      </c>
      <c r="N260" s="7">
        <v>13039.92</v>
      </c>
      <c r="O260" s="7">
        <v>6811.02</v>
      </c>
      <c r="P260" s="7">
        <v>0</v>
      </c>
      <c r="Q260" s="7">
        <v>9313.34</v>
      </c>
      <c r="R260" s="7">
        <v>0</v>
      </c>
      <c r="S260" s="7">
        <v>0</v>
      </c>
      <c r="T260" s="7">
        <v>6514.11</v>
      </c>
      <c r="U260" s="7">
        <v>7546.16</v>
      </c>
      <c r="V260" s="7">
        <v>0</v>
      </c>
      <c r="W260" s="7">
        <v>51166.22</v>
      </c>
    </row>
    <row r="261" spans="1:23" x14ac:dyDescent="0.25">
      <c r="A261" s="12" t="s">
        <v>38</v>
      </c>
      <c r="B261" s="12">
        <v>876</v>
      </c>
      <c r="C261" s="12">
        <v>1</v>
      </c>
      <c r="D261" s="13" t="s">
        <v>655</v>
      </c>
      <c r="E261" s="12">
        <v>150</v>
      </c>
      <c r="F261" s="12">
        <v>399</v>
      </c>
      <c r="G261" s="14" t="s">
        <v>743</v>
      </c>
      <c r="H261" s="7">
        <v>10242.77</v>
      </c>
      <c r="I261" s="7">
        <v>7367.4</v>
      </c>
      <c r="J261" s="7">
        <v>17610.169999999998</v>
      </c>
      <c r="K261" s="7">
        <v>17307.689999999999</v>
      </c>
      <c r="L261" s="7">
        <v>76831</v>
      </c>
      <c r="M261" s="7">
        <v>94138.69</v>
      </c>
      <c r="N261" s="7">
        <v>23534.67</v>
      </c>
      <c r="O261" s="7">
        <v>16742.27</v>
      </c>
      <c r="P261" s="7">
        <v>0</v>
      </c>
      <c r="Q261" s="7">
        <v>23770.35</v>
      </c>
      <c r="R261" s="7">
        <v>0</v>
      </c>
      <c r="S261" s="7">
        <v>0</v>
      </c>
      <c r="T261" s="7">
        <v>23700.959999999999</v>
      </c>
      <c r="U261" s="7">
        <v>21404.53</v>
      </c>
      <c r="V261" s="7">
        <v>0</v>
      </c>
      <c r="W261" s="7">
        <v>17610.169999999998</v>
      </c>
    </row>
    <row r="262" spans="1:23" x14ac:dyDescent="0.25">
      <c r="A262" s="12" t="s">
        <v>38</v>
      </c>
      <c r="B262" s="12">
        <v>877</v>
      </c>
      <c r="C262" s="12">
        <v>1</v>
      </c>
      <c r="D262" s="13" t="s">
        <v>656</v>
      </c>
      <c r="E262" s="12">
        <v>604</v>
      </c>
      <c r="F262" s="12">
        <v>1558</v>
      </c>
      <c r="G262" s="14" t="s">
        <v>743</v>
      </c>
      <c r="H262" s="7">
        <v>41244.22</v>
      </c>
      <c r="I262" s="7">
        <v>28767.94</v>
      </c>
      <c r="J262" s="7">
        <v>70012.160000000003</v>
      </c>
      <c r="K262" s="7">
        <v>70214.37</v>
      </c>
      <c r="L262" s="7">
        <v>215058.54</v>
      </c>
      <c r="M262" s="7">
        <v>285272.90999999997</v>
      </c>
      <c r="N262" s="7">
        <v>71318.23</v>
      </c>
      <c r="O262" s="7">
        <v>20552.849999999999</v>
      </c>
      <c r="P262" s="7">
        <v>0</v>
      </c>
      <c r="Q262" s="7">
        <v>44430.48</v>
      </c>
      <c r="R262" s="7">
        <v>0</v>
      </c>
      <c r="S262" s="7">
        <v>0</v>
      </c>
      <c r="T262" s="7">
        <v>48586.7</v>
      </c>
      <c r="U262" s="7">
        <v>37856.68</v>
      </c>
      <c r="V262" s="7">
        <v>0</v>
      </c>
      <c r="W262" s="7">
        <v>70012.160000000003</v>
      </c>
    </row>
    <row r="263" spans="1:23" x14ac:dyDescent="0.25">
      <c r="A263" s="12" t="s">
        <v>38</v>
      </c>
      <c r="B263" s="12">
        <v>879</v>
      </c>
      <c r="C263" s="12">
        <v>1</v>
      </c>
      <c r="D263" s="13" t="s">
        <v>657</v>
      </c>
      <c r="E263" s="12">
        <v>181</v>
      </c>
      <c r="F263" s="12">
        <v>360</v>
      </c>
      <c r="G263" s="14" t="s">
        <v>743</v>
      </c>
      <c r="H263" s="7">
        <v>12359.61</v>
      </c>
      <c r="I263" s="7">
        <v>6647.28</v>
      </c>
      <c r="J263" s="7">
        <v>19006.89</v>
      </c>
      <c r="K263" s="7">
        <v>18842.080000000002</v>
      </c>
      <c r="L263" s="7">
        <v>0</v>
      </c>
      <c r="M263" s="7">
        <v>18842.080000000002</v>
      </c>
      <c r="N263" s="7">
        <v>4710.5200000000004</v>
      </c>
      <c r="O263" s="7">
        <v>-2405.52</v>
      </c>
      <c r="P263" s="7">
        <v>0</v>
      </c>
      <c r="Q263" s="7">
        <v>-1169.4100000000001</v>
      </c>
      <c r="R263" s="7">
        <v>0</v>
      </c>
      <c r="S263" s="7">
        <v>0</v>
      </c>
      <c r="T263" s="7">
        <v>1862.15</v>
      </c>
      <c r="U263" s="7">
        <v>-570.92999999999995</v>
      </c>
      <c r="V263" s="7">
        <v>0</v>
      </c>
      <c r="W263" s="7">
        <v>19006.89</v>
      </c>
    </row>
    <row r="264" spans="1:23" x14ac:dyDescent="0.25">
      <c r="A264" s="12" t="s">
        <v>38</v>
      </c>
      <c r="B264" s="12">
        <v>881</v>
      </c>
      <c r="C264" s="12">
        <v>1</v>
      </c>
      <c r="D264" s="13" t="s">
        <v>658</v>
      </c>
      <c r="E264" s="12">
        <v>95</v>
      </c>
      <c r="F264" s="12">
        <v>223</v>
      </c>
      <c r="G264" s="14" t="s">
        <v>743</v>
      </c>
      <c r="H264" s="7">
        <v>6487.09</v>
      </c>
      <c r="I264" s="7">
        <v>4117.62</v>
      </c>
      <c r="J264" s="7">
        <v>10604.71</v>
      </c>
      <c r="K264" s="7">
        <v>9386.57</v>
      </c>
      <c r="L264" s="7">
        <v>0</v>
      </c>
      <c r="M264" s="7">
        <v>9386.57</v>
      </c>
      <c r="N264" s="7">
        <v>2346.64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10604.71</v>
      </c>
    </row>
    <row r="265" spans="1:23" x14ac:dyDescent="0.25">
      <c r="A265" s="12" t="s">
        <v>38</v>
      </c>
      <c r="B265" s="12">
        <v>882</v>
      </c>
      <c r="C265" s="12">
        <v>1</v>
      </c>
      <c r="D265" s="13" t="s">
        <v>659</v>
      </c>
      <c r="E265" s="12">
        <v>299</v>
      </c>
      <c r="F265" s="12">
        <v>1050</v>
      </c>
      <c r="G265" s="14" t="s">
        <v>743</v>
      </c>
      <c r="H265" s="7">
        <v>20417.25</v>
      </c>
      <c r="I265" s="7">
        <v>19387.900000000001</v>
      </c>
      <c r="J265" s="7">
        <v>39805.15</v>
      </c>
      <c r="K265" s="7">
        <v>38376.199999999997</v>
      </c>
      <c r="L265" s="7">
        <v>62841.8</v>
      </c>
      <c r="M265" s="7">
        <v>101218</v>
      </c>
      <c r="N265" s="7">
        <v>25304.5</v>
      </c>
      <c r="O265" s="7">
        <v>8295.57</v>
      </c>
      <c r="P265" s="7">
        <v>0</v>
      </c>
      <c r="Q265" s="7">
        <v>13195.17</v>
      </c>
      <c r="R265" s="7">
        <v>0</v>
      </c>
      <c r="S265" s="7">
        <v>0</v>
      </c>
      <c r="T265" s="7">
        <v>19118.580000000002</v>
      </c>
      <c r="U265" s="7">
        <v>13536.44</v>
      </c>
      <c r="V265" s="7">
        <v>0</v>
      </c>
      <c r="W265" s="7">
        <v>39805.15</v>
      </c>
    </row>
    <row r="266" spans="1:23" x14ac:dyDescent="0.25">
      <c r="A266" s="12" t="s">
        <v>38</v>
      </c>
      <c r="B266" s="12">
        <v>883</v>
      </c>
      <c r="C266" s="12">
        <v>1</v>
      </c>
      <c r="D266" s="13" t="s">
        <v>660</v>
      </c>
      <c r="E266" s="12">
        <v>162</v>
      </c>
      <c r="F266" s="12">
        <v>411</v>
      </c>
      <c r="G266" s="14" t="s">
        <v>743</v>
      </c>
      <c r="H266" s="7">
        <v>11062.19</v>
      </c>
      <c r="I266" s="7">
        <v>7588.98</v>
      </c>
      <c r="J266" s="7">
        <v>18651.169999999998</v>
      </c>
      <c r="K266" s="7">
        <v>18083.87</v>
      </c>
      <c r="L266" s="7">
        <v>141745.14000000001</v>
      </c>
      <c r="M266" s="7">
        <v>159829.01</v>
      </c>
      <c r="N266" s="7">
        <v>39957.25</v>
      </c>
      <c r="O266" s="7">
        <v>32514.27</v>
      </c>
      <c r="P266" s="7">
        <v>0</v>
      </c>
      <c r="Q266" s="7">
        <v>44355.13</v>
      </c>
      <c r="R266" s="7">
        <v>0</v>
      </c>
      <c r="S266" s="7">
        <v>0</v>
      </c>
      <c r="T266" s="7">
        <v>35566.81</v>
      </c>
      <c r="U266" s="7">
        <v>37478.74</v>
      </c>
      <c r="V266" s="7">
        <v>0</v>
      </c>
      <c r="W266" s="7">
        <v>18651.169999999998</v>
      </c>
    </row>
    <row r="267" spans="1:23" x14ac:dyDescent="0.25">
      <c r="A267" s="12" t="s">
        <v>38</v>
      </c>
      <c r="B267" s="12">
        <v>885</v>
      </c>
      <c r="C267" s="12">
        <v>1</v>
      </c>
      <c r="D267" s="13" t="s">
        <v>661</v>
      </c>
      <c r="E267" s="12">
        <v>451</v>
      </c>
      <c r="F267" s="12">
        <v>731</v>
      </c>
      <c r="G267" s="14" t="s">
        <v>743</v>
      </c>
      <c r="H267" s="7">
        <v>30796.59</v>
      </c>
      <c r="I267" s="7">
        <v>13497.67</v>
      </c>
      <c r="J267" s="7">
        <v>44294.26</v>
      </c>
      <c r="K267" s="7">
        <v>42844.12</v>
      </c>
      <c r="L267" s="7">
        <v>283351.95</v>
      </c>
      <c r="M267" s="7">
        <v>326196.07</v>
      </c>
      <c r="N267" s="7">
        <v>81549.02</v>
      </c>
      <c r="O267" s="7">
        <v>-53082.6</v>
      </c>
      <c r="P267" s="7">
        <v>0</v>
      </c>
      <c r="Q267" s="7">
        <v>-5202.66</v>
      </c>
      <c r="R267" s="7">
        <v>0</v>
      </c>
      <c r="S267" s="7">
        <v>0</v>
      </c>
      <c r="T267" s="7">
        <v>12562.7</v>
      </c>
      <c r="U267" s="7">
        <v>-15240.85</v>
      </c>
      <c r="V267" s="7">
        <v>0</v>
      </c>
      <c r="W267" s="7">
        <v>44294.26</v>
      </c>
    </row>
    <row r="268" spans="1:23" x14ac:dyDescent="0.25">
      <c r="A268" s="12" t="s">
        <v>38</v>
      </c>
      <c r="B268" s="12">
        <v>891</v>
      </c>
      <c r="C268" s="12">
        <v>1</v>
      </c>
      <c r="D268" s="13" t="s">
        <v>662</v>
      </c>
      <c r="E268" s="12">
        <v>21</v>
      </c>
      <c r="F268" s="12">
        <v>237</v>
      </c>
      <c r="G268" s="14" t="s">
        <v>743</v>
      </c>
      <c r="H268" s="7">
        <v>1433.99</v>
      </c>
      <c r="I268" s="7">
        <v>4376.12</v>
      </c>
      <c r="J268" s="7">
        <v>5810.11</v>
      </c>
      <c r="K268" s="7">
        <v>6174.84</v>
      </c>
      <c r="L268" s="7">
        <v>19197.75</v>
      </c>
      <c r="M268" s="7">
        <v>25372.59</v>
      </c>
      <c r="N268" s="7">
        <v>6343.15</v>
      </c>
      <c r="O268" s="7">
        <v>-4874.8</v>
      </c>
      <c r="P268" s="7">
        <v>0</v>
      </c>
      <c r="Q268" s="7">
        <v>-7108.09</v>
      </c>
      <c r="R268" s="7">
        <v>0</v>
      </c>
      <c r="S268" s="7">
        <v>0</v>
      </c>
      <c r="T268" s="7">
        <v>-2640.64</v>
      </c>
      <c r="U268" s="7">
        <v>-4874.51</v>
      </c>
      <c r="V268" s="7">
        <v>0</v>
      </c>
      <c r="W268" s="7">
        <v>5810.11</v>
      </c>
    </row>
    <row r="269" spans="1:23" x14ac:dyDescent="0.25">
      <c r="A269" s="12" t="s">
        <v>38</v>
      </c>
      <c r="B269" s="12">
        <v>911</v>
      </c>
      <c r="C269" s="12">
        <v>1</v>
      </c>
      <c r="D269" s="13" t="s">
        <v>663</v>
      </c>
      <c r="E269" s="12">
        <v>406</v>
      </c>
      <c r="F269" s="12">
        <v>1749</v>
      </c>
      <c r="G269" s="14" t="s">
        <v>743</v>
      </c>
      <c r="H269" s="7">
        <v>27723.759999999998</v>
      </c>
      <c r="I269" s="7">
        <v>32294.69</v>
      </c>
      <c r="J269" s="7">
        <v>60018.45</v>
      </c>
      <c r="K269" s="7">
        <v>57418.44</v>
      </c>
      <c r="L269" s="7">
        <v>0</v>
      </c>
      <c r="M269" s="7">
        <v>57418.44</v>
      </c>
      <c r="N269" s="7">
        <v>14354.61</v>
      </c>
      <c r="O269" s="7">
        <v>12147.68</v>
      </c>
      <c r="P269" s="7">
        <v>0</v>
      </c>
      <c r="Q269" s="7">
        <v>13116.15</v>
      </c>
      <c r="R269" s="7">
        <v>0</v>
      </c>
      <c r="S269" s="7">
        <v>0</v>
      </c>
      <c r="T269" s="7">
        <v>21363.91</v>
      </c>
      <c r="U269" s="7">
        <v>15542.58</v>
      </c>
      <c r="V269" s="7">
        <v>1187.97</v>
      </c>
      <c r="W269" s="7">
        <v>58830.48</v>
      </c>
    </row>
    <row r="270" spans="1:23" x14ac:dyDescent="0.25">
      <c r="A270" s="12" t="s">
        <v>38</v>
      </c>
      <c r="B270" s="12">
        <v>912</v>
      </c>
      <c r="C270" s="12">
        <v>1</v>
      </c>
      <c r="D270" s="13" t="s">
        <v>664</v>
      </c>
      <c r="E270" s="12">
        <v>170</v>
      </c>
      <c r="F270" s="12">
        <v>753</v>
      </c>
      <c r="G270" s="14" t="s">
        <v>743</v>
      </c>
      <c r="H270" s="7">
        <v>11608.47</v>
      </c>
      <c r="I270" s="7">
        <v>13903.89</v>
      </c>
      <c r="J270" s="7">
        <v>25512.36</v>
      </c>
      <c r="K270" s="7">
        <v>25032.73</v>
      </c>
      <c r="L270" s="7">
        <v>111488.06</v>
      </c>
      <c r="M270" s="7">
        <v>136520.79</v>
      </c>
      <c r="N270" s="7">
        <v>34130.199999999997</v>
      </c>
      <c r="O270" s="7">
        <v>-37181.660000000003</v>
      </c>
      <c r="P270" s="7">
        <v>0</v>
      </c>
      <c r="Q270" s="7">
        <v>-17645.73</v>
      </c>
      <c r="R270" s="7">
        <v>0</v>
      </c>
      <c r="S270" s="7">
        <v>0</v>
      </c>
      <c r="T270" s="7">
        <v>103841.47</v>
      </c>
      <c r="U270" s="7">
        <v>16338.03</v>
      </c>
      <c r="V270" s="7">
        <v>0</v>
      </c>
      <c r="W270" s="7">
        <v>25512.36</v>
      </c>
    </row>
    <row r="271" spans="1:23" x14ac:dyDescent="0.25">
      <c r="A271" s="12" t="s">
        <v>38</v>
      </c>
      <c r="B271" s="12">
        <v>914</v>
      </c>
      <c r="C271" s="12">
        <v>1</v>
      </c>
      <c r="D271" s="13" t="s">
        <v>665</v>
      </c>
      <c r="E271" s="12">
        <v>22</v>
      </c>
      <c r="F271" s="12">
        <v>83</v>
      </c>
      <c r="G271" s="14" t="s">
        <v>743</v>
      </c>
      <c r="H271" s="7">
        <v>1502.27</v>
      </c>
      <c r="I271" s="7">
        <v>1532.57</v>
      </c>
      <c r="J271" s="7">
        <v>3034.84</v>
      </c>
      <c r="K271" s="7">
        <v>2697.83</v>
      </c>
      <c r="L271" s="7">
        <v>18474.12</v>
      </c>
      <c r="M271" s="7">
        <v>21171.95</v>
      </c>
      <c r="N271" s="7">
        <v>5292.99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3034.84</v>
      </c>
    </row>
    <row r="272" spans="1:23" x14ac:dyDescent="0.25">
      <c r="A272" s="12" t="s">
        <v>38</v>
      </c>
      <c r="B272" s="12">
        <v>2071</v>
      </c>
      <c r="C272" s="12">
        <v>1</v>
      </c>
      <c r="D272" s="13" t="s">
        <v>666</v>
      </c>
      <c r="E272" s="12">
        <v>96</v>
      </c>
      <c r="F272" s="12">
        <v>266</v>
      </c>
      <c r="G272" s="14" t="s">
        <v>743</v>
      </c>
      <c r="H272" s="7">
        <v>6555.37</v>
      </c>
      <c r="I272" s="7">
        <v>4911.6000000000004</v>
      </c>
      <c r="J272" s="7">
        <v>11466.97</v>
      </c>
      <c r="K272" s="7">
        <v>10450.040000000001</v>
      </c>
      <c r="L272" s="7">
        <v>122835.65</v>
      </c>
      <c r="M272" s="7">
        <v>133285.69</v>
      </c>
      <c r="N272" s="7">
        <v>33321.42</v>
      </c>
      <c r="O272" s="7">
        <v>11076.22</v>
      </c>
      <c r="P272" s="7">
        <v>0</v>
      </c>
      <c r="Q272" s="7">
        <v>46296.800000000003</v>
      </c>
      <c r="R272" s="7">
        <v>0</v>
      </c>
      <c r="S272" s="7">
        <v>0</v>
      </c>
      <c r="T272" s="7">
        <v>23541.67</v>
      </c>
      <c r="U272" s="7">
        <v>26971.56</v>
      </c>
      <c r="V272" s="7">
        <v>0</v>
      </c>
      <c r="W272" s="7">
        <v>11466.97</v>
      </c>
    </row>
    <row r="273" spans="1:23" x14ac:dyDescent="0.25">
      <c r="A273" s="12" t="s">
        <v>38</v>
      </c>
      <c r="B273" s="12">
        <v>2125</v>
      </c>
      <c r="C273" s="12">
        <v>1</v>
      </c>
      <c r="D273" s="13" t="s">
        <v>667</v>
      </c>
      <c r="E273" s="12">
        <v>120</v>
      </c>
      <c r="F273" s="12">
        <v>443</v>
      </c>
      <c r="G273" s="14" t="s">
        <v>743</v>
      </c>
      <c r="H273" s="7">
        <v>8194.2199999999993</v>
      </c>
      <c r="I273" s="7">
        <v>8179.85</v>
      </c>
      <c r="J273" s="7">
        <v>16374.07</v>
      </c>
      <c r="K273" s="7">
        <v>15276.98</v>
      </c>
      <c r="L273" s="7">
        <v>41177.42</v>
      </c>
      <c r="M273" s="7">
        <v>56454.400000000001</v>
      </c>
      <c r="N273" s="7">
        <v>14113.6</v>
      </c>
      <c r="O273" s="7">
        <v>5172.93</v>
      </c>
      <c r="P273" s="7">
        <v>0</v>
      </c>
      <c r="Q273" s="7">
        <v>15385.82</v>
      </c>
      <c r="R273" s="7">
        <v>0</v>
      </c>
      <c r="S273" s="7">
        <v>0</v>
      </c>
      <c r="T273" s="7">
        <v>18461.41</v>
      </c>
      <c r="U273" s="7">
        <v>13006.72</v>
      </c>
      <c r="V273" s="7">
        <v>0</v>
      </c>
      <c r="W273" s="7">
        <v>16374.07</v>
      </c>
    </row>
    <row r="274" spans="1:23" x14ac:dyDescent="0.25">
      <c r="A274" s="12" t="s">
        <v>38</v>
      </c>
      <c r="B274" s="12">
        <v>2134</v>
      </c>
      <c r="C274" s="12">
        <v>1</v>
      </c>
      <c r="D274" s="13" t="s">
        <v>668</v>
      </c>
      <c r="E274" s="12">
        <v>79</v>
      </c>
      <c r="F274" s="12">
        <v>343</v>
      </c>
      <c r="G274" s="14" t="s">
        <v>743</v>
      </c>
      <c r="H274" s="7">
        <v>5394.53</v>
      </c>
      <c r="I274" s="7">
        <v>6333.38</v>
      </c>
      <c r="J274" s="7">
        <v>11727.91</v>
      </c>
      <c r="K274" s="7">
        <v>11215.69</v>
      </c>
      <c r="L274" s="7">
        <v>18368</v>
      </c>
      <c r="M274" s="7">
        <v>29583.69</v>
      </c>
      <c r="N274" s="7">
        <v>7395.92</v>
      </c>
      <c r="O274" s="7">
        <v>7405.77</v>
      </c>
      <c r="P274" s="7">
        <v>0</v>
      </c>
      <c r="Q274" s="7">
        <v>7402.09</v>
      </c>
      <c r="R274" s="7">
        <v>0</v>
      </c>
      <c r="S274" s="7">
        <v>0</v>
      </c>
      <c r="T274" s="7">
        <v>7093.49</v>
      </c>
      <c r="U274" s="7">
        <v>7300.45</v>
      </c>
      <c r="V274" s="7">
        <v>0</v>
      </c>
      <c r="W274" s="7">
        <v>11727.91</v>
      </c>
    </row>
    <row r="275" spans="1:23" x14ac:dyDescent="0.25">
      <c r="A275" s="12" t="s">
        <v>38</v>
      </c>
      <c r="B275" s="12">
        <v>2135</v>
      </c>
      <c r="C275" s="12">
        <v>1</v>
      </c>
      <c r="D275" s="13" t="s">
        <v>669</v>
      </c>
      <c r="E275" s="12">
        <v>71</v>
      </c>
      <c r="F275" s="12">
        <v>406</v>
      </c>
      <c r="G275" s="14" t="s">
        <v>743</v>
      </c>
      <c r="H275" s="7">
        <v>4848.24</v>
      </c>
      <c r="I275" s="7">
        <v>7496.65</v>
      </c>
      <c r="J275" s="7">
        <v>12344.89</v>
      </c>
      <c r="K275" s="7">
        <v>11953.33</v>
      </c>
      <c r="L275" s="7">
        <v>56465.1</v>
      </c>
      <c r="M275" s="7">
        <v>68418.429999999993</v>
      </c>
      <c r="N275" s="7">
        <v>17104.61</v>
      </c>
      <c r="O275" s="7">
        <v>13364.96</v>
      </c>
      <c r="P275" s="7">
        <v>0</v>
      </c>
      <c r="Q275" s="7">
        <v>13689.97</v>
      </c>
      <c r="R275" s="7">
        <v>0</v>
      </c>
      <c r="S275" s="7">
        <v>0</v>
      </c>
      <c r="T275" s="7">
        <v>1774.46</v>
      </c>
      <c r="U275" s="7">
        <v>9609.7999999999993</v>
      </c>
      <c r="V275" s="7">
        <v>0</v>
      </c>
      <c r="W275" s="7">
        <v>12344.89</v>
      </c>
    </row>
    <row r="276" spans="1:23" x14ac:dyDescent="0.25">
      <c r="A276" s="12" t="s">
        <v>38</v>
      </c>
      <c r="B276" s="12">
        <v>2137</v>
      </c>
      <c r="C276" s="12">
        <v>1</v>
      </c>
      <c r="D276" s="13" t="s">
        <v>670</v>
      </c>
      <c r="E276" s="12">
        <v>55</v>
      </c>
      <c r="F276" s="12">
        <v>230</v>
      </c>
      <c r="G276" s="14" t="s">
        <v>743</v>
      </c>
      <c r="H276" s="7">
        <v>3755.68</v>
      </c>
      <c r="I276" s="7">
        <v>4246.87</v>
      </c>
      <c r="J276" s="7">
        <v>8002.55</v>
      </c>
      <c r="K276" s="7">
        <v>8397.43</v>
      </c>
      <c r="L276" s="7">
        <v>35966.629999999997</v>
      </c>
      <c r="M276" s="7">
        <v>44364.06</v>
      </c>
      <c r="N276" s="7">
        <v>11091.02</v>
      </c>
      <c r="O276" s="7">
        <v>6110.52</v>
      </c>
      <c r="P276" s="7">
        <v>0</v>
      </c>
      <c r="Q276" s="7">
        <v>6410.61</v>
      </c>
      <c r="R276" s="7">
        <v>0</v>
      </c>
      <c r="S276" s="7">
        <v>0</v>
      </c>
      <c r="T276" s="7">
        <v>4291.25</v>
      </c>
      <c r="U276" s="7">
        <v>5604.13</v>
      </c>
      <c r="V276" s="7">
        <v>0</v>
      </c>
      <c r="W276" s="7">
        <v>8002.55</v>
      </c>
    </row>
    <row r="277" spans="1:23" x14ac:dyDescent="0.25">
      <c r="A277" s="12" t="s">
        <v>38</v>
      </c>
      <c r="B277" s="12">
        <v>2142</v>
      </c>
      <c r="C277" s="12">
        <v>1</v>
      </c>
      <c r="D277" s="13" t="s">
        <v>671</v>
      </c>
      <c r="E277" s="12">
        <v>150</v>
      </c>
      <c r="F277" s="12">
        <v>982</v>
      </c>
      <c r="G277" s="14" t="s">
        <v>743</v>
      </c>
      <c r="H277" s="7">
        <v>10242.77</v>
      </c>
      <c r="I277" s="7">
        <v>18132.3</v>
      </c>
      <c r="J277" s="7">
        <v>28375.07</v>
      </c>
      <c r="K277" s="7">
        <v>27621.03</v>
      </c>
      <c r="L277" s="7">
        <v>12125</v>
      </c>
      <c r="M277" s="7">
        <v>39746.03</v>
      </c>
      <c r="N277" s="7">
        <v>9936.51</v>
      </c>
      <c r="O277" s="7">
        <v>472.12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157.37</v>
      </c>
      <c r="V277" s="7">
        <v>0</v>
      </c>
      <c r="W277" s="7">
        <v>28375.07</v>
      </c>
    </row>
    <row r="278" spans="1:23" x14ac:dyDescent="0.25">
      <c r="A278" s="12" t="s">
        <v>38</v>
      </c>
      <c r="B278" s="12">
        <v>2143</v>
      </c>
      <c r="C278" s="12">
        <v>1</v>
      </c>
      <c r="D278" s="13" t="s">
        <v>672</v>
      </c>
      <c r="E278" s="12">
        <v>85</v>
      </c>
      <c r="F278" s="12">
        <v>298</v>
      </c>
      <c r="G278" s="14" t="s">
        <v>743</v>
      </c>
      <c r="H278" s="7">
        <v>5804.24</v>
      </c>
      <c r="I278" s="7">
        <v>5502.47</v>
      </c>
      <c r="J278" s="7">
        <v>11306.71</v>
      </c>
      <c r="K278" s="7">
        <v>9902.26</v>
      </c>
      <c r="L278" s="7">
        <v>13086.5</v>
      </c>
      <c r="M278" s="7">
        <v>22988.76</v>
      </c>
      <c r="N278" s="7">
        <v>5747.19</v>
      </c>
      <c r="O278" s="7">
        <v>910.69</v>
      </c>
      <c r="P278" s="7">
        <v>0</v>
      </c>
      <c r="Q278" s="7">
        <v>-5981.63</v>
      </c>
      <c r="R278" s="7">
        <v>0</v>
      </c>
      <c r="S278" s="7">
        <v>0</v>
      </c>
      <c r="T278" s="7">
        <v>0</v>
      </c>
      <c r="U278" s="7">
        <v>-1690.31</v>
      </c>
      <c r="V278" s="7">
        <v>0</v>
      </c>
      <c r="W278" s="7">
        <v>11306.71</v>
      </c>
    </row>
    <row r="279" spans="1:23" x14ac:dyDescent="0.25">
      <c r="A279" s="12" t="s">
        <v>38</v>
      </c>
      <c r="B279" s="12">
        <v>2144</v>
      </c>
      <c r="C279" s="12">
        <v>1</v>
      </c>
      <c r="D279" s="13" t="s">
        <v>673</v>
      </c>
      <c r="E279" s="12">
        <v>226</v>
      </c>
      <c r="F279" s="12">
        <v>742</v>
      </c>
      <c r="G279" s="14" t="s">
        <v>743</v>
      </c>
      <c r="H279" s="7">
        <v>15432.44</v>
      </c>
      <c r="I279" s="7">
        <v>13700.78</v>
      </c>
      <c r="J279" s="7">
        <v>29133.22</v>
      </c>
      <c r="K279" s="7">
        <v>28657.33</v>
      </c>
      <c r="L279" s="7">
        <v>2269</v>
      </c>
      <c r="M279" s="7">
        <v>30926.33</v>
      </c>
      <c r="N279" s="7">
        <v>7731.58</v>
      </c>
      <c r="O279" s="7">
        <v>-1449.47</v>
      </c>
      <c r="P279" s="7">
        <v>0</v>
      </c>
      <c r="Q279" s="7">
        <v>-2420.71</v>
      </c>
      <c r="R279" s="7">
        <v>0</v>
      </c>
      <c r="S279" s="7">
        <v>0</v>
      </c>
      <c r="T279" s="7">
        <v>-6472.89</v>
      </c>
      <c r="U279" s="7">
        <v>-3447.69</v>
      </c>
      <c r="V279" s="7">
        <v>0</v>
      </c>
      <c r="W279" s="7">
        <v>29133.22</v>
      </c>
    </row>
    <row r="280" spans="1:23" x14ac:dyDescent="0.25">
      <c r="A280" s="12" t="s">
        <v>38</v>
      </c>
      <c r="B280" s="12">
        <v>2149</v>
      </c>
      <c r="C280" s="12">
        <v>1</v>
      </c>
      <c r="D280" s="13" t="s">
        <v>674</v>
      </c>
      <c r="E280" s="12">
        <v>121</v>
      </c>
      <c r="F280" s="12">
        <v>436</v>
      </c>
      <c r="G280" s="14" t="s">
        <v>743</v>
      </c>
      <c r="H280" s="7">
        <v>8262.5</v>
      </c>
      <c r="I280" s="7">
        <v>8050.59</v>
      </c>
      <c r="J280" s="7">
        <v>16313.09</v>
      </c>
      <c r="K280" s="7">
        <v>15385.92</v>
      </c>
      <c r="L280" s="7">
        <v>36594.5</v>
      </c>
      <c r="M280" s="7">
        <v>51980.42</v>
      </c>
      <c r="N280" s="7">
        <v>12995.11</v>
      </c>
      <c r="O280" s="7">
        <v>1056.8499999999999</v>
      </c>
      <c r="P280" s="7">
        <v>0</v>
      </c>
      <c r="Q280" s="7">
        <v>3505.78</v>
      </c>
      <c r="R280" s="7">
        <v>0</v>
      </c>
      <c r="S280" s="7">
        <v>0</v>
      </c>
      <c r="T280" s="7">
        <v>3287.3</v>
      </c>
      <c r="U280" s="7">
        <v>2616.64</v>
      </c>
      <c r="V280" s="7">
        <v>0</v>
      </c>
      <c r="W280" s="7">
        <v>16313.09</v>
      </c>
    </row>
    <row r="281" spans="1:23" x14ac:dyDescent="0.25">
      <c r="A281" s="12" t="s">
        <v>38</v>
      </c>
      <c r="B281" s="12">
        <v>2154</v>
      </c>
      <c r="C281" s="12">
        <v>1</v>
      </c>
      <c r="D281" s="13" t="s">
        <v>675</v>
      </c>
      <c r="E281" s="12">
        <v>115</v>
      </c>
      <c r="F281" s="12">
        <v>490</v>
      </c>
      <c r="G281" s="14" t="s">
        <v>743</v>
      </c>
      <c r="H281" s="7">
        <v>7852.79</v>
      </c>
      <c r="I281" s="7">
        <v>9047.68</v>
      </c>
      <c r="J281" s="7">
        <v>16900.47</v>
      </c>
      <c r="K281" s="7">
        <v>17318.580000000002</v>
      </c>
      <c r="L281" s="7">
        <v>5820</v>
      </c>
      <c r="M281" s="7">
        <v>23138.58</v>
      </c>
      <c r="N281" s="7">
        <v>5784.65</v>
      </c>
      <c r="O281" s="7">
        <v>8096.59</v>
      </c>
      <c r="P281" s="7">
        <v>0</v>
      </c>
      <c r="Q281" s="7">
        <v>12154.99</v>
      </c>
      <c r="R281" s="7">
        <v>2467.0300000000002</v>
      </c>
      <c r="S281" s="7">
        <v>0</v>
      </c>
      <c r="T281" s="7">
        <v>22.2</v>
      </c>
      <c r="U281" s="7">
        <v>5935.58</v>
      </c>
      <c r="V281" s="7">
        <v>150.93</v>
      </c>
      <c r="W281" s="7">
        <v>16749.54</v>
      </c>
    </row>
    <row r="282" spans="1:23" x14ac:dyDescent="0.25">
      <c r="A282" s="12" t="s">
        <v>38</v>
      </c>
      <c r="B282" s="12">
        <v>2155</v>
      </c>
      <c r="C282" s="12">
        <v>1</v>
      </c>
      <c r="D282" s="13" t="s">
        <v>676</v>
      </c>
      <c r="E282" s="12">
        <v>125</v>
      </c>
      <c r="F282" s="12">
        <v>589</v>
      </c>
      <c r="G282" s="14" t="s">
        <v>743</v>
      </c>
      <c r="H282" s="7">
        <v>8535.64</v>
      </c>
      <c r="I282" s="7">
        <v>10875.69</v>
      </c>
      <c r="J282" s="7">
        <v>19411.330000000002</v>
      </c>
      <c r="K282" s="7">
        <v>19452.599999999999</v>
      </c>
      <c r="L282" s="7">
        <v>48060.11</v>
      </c>
      <c r="M282" s="7">
        <v>67512.710000000006</v>
      </c>
      <c r="N282" s="7">
        <v>16878.18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19411.330000000002</v>
      </c>
    </row>
    <row r="283" spans="1:23" x14ac:dyDescent="0.25">
      <c r="A283" s="12" t="s">
        <v>38</v>
      </c>
      <c r="B283" s="12">
        <v>2159</v>
      </c>
      <c r="C283" s="12">
        <v>1</v>
      </c>
      <c r="D283" s="13" t="s">
        <v>677</v>
      </c>
      <c r="E283" s="12">
        <v>41</v>
      </c>
      <c r="F283" s="12">
        <v>268</v>
      </c>
      <c r="G283" s="14" t="s">
        <v>743</v>
      </c>
      <c r="H283" s="7">
        <v>2799.69</v>
      </c>
      <c r="I283" s="7">
        <v>4948.53</v>
      </c>
      <c r="J283" s="7">
        <v>7748.22</v>
      </c>
      <c r="K283" s="7">
        <v>8113.01</v>
      </c>
      <c r="L283" s="7">
        <v>24760.9</v>
      </c>
      <c r="M283" s="7">
        <v>32873.910000000003</v>
      </c>
      <c r="N283" s="7">
        <v>8218.48</v>
      </c>
      <c r="O283" s="7">
        <v>1054.6300000000001</v>
      </c>
      <c r="P283" s="7">
        <v>0</v>
      </c>
      <c r="Q283" s="7">
        <v>3870.43</v>
      </c>
      <c r="R283" s="7">
        <v>0</v>
      </c>
      <c r="S283" s="7">
        <v>0</v>
      </c>
      <c r="T283" s="7">
        <v>6760.79</v>
      </c>
      <c r="U283" s="7">
        <v>3895.28</v>
      </c>
      <c r="V283" s="7">
        <v>0</v>
      </c>
      <c r="W283" s="7">
        <v>7748.22</v>
      </c>
    </row>
    <row r="284" spans="1:23" x14ac:dyDescent="0.25">
      <c r="A284" s="12" t="s">
        <v>38</v>
      </c>
      <c r="B284" s="12">
        <v>2164</v>
      </c>
      <c r="C284" s="12">
        <v>1</v>
      </c>
      <c r="D284" s="13" t="s">
        <v>678</v>
      </c>
      <c r="E284" s="12">
        <v>150</v>
      </c>
      <c r="F284" s="12">
        <v>438</v>
      </c>
      <c r="G284" s="14" t="s">
        <v>743</v>
      </c>
      <c r="H284" s="7">
        <v>10242.77</v>
      </c>
      <c r="I284" s="7">
        <v>8087.52</v>
      </c>
      <c r="J284" s="7">
        <v>18330.29</v>
      </c>
      <c r="K284" s="7">
        <v>16263.61</v>
      </c>
      <c r="L284" s="7">
        <v>46234.75</v>
      </c>
      <c r="M284" s="7">
        <v>62498.36</v>
      </c>
      <c r="N284" s="7">
        <v>15624.59</v>
      </c>
      <c r="O284" s="7">
        <v>19171.05</v>
      </c>
      <c r="P284" s="7">
        <v>0</v>
      </c>
      <c r="Q284" s="7">
        <v>35269.25</v>
      </c>
      <c r="R284" s="7">
        <v>2197.08</v>
      </c>
      <c r="S284" s="7">
        <v>0</v>
      </c>
      <c r="T284" s="7">
        <v>12375.25</v>
      </c>
      <c r="U284" s="7">
        <v>21539.49</v>
      </c>
      <c r="V284" s="7">
        <v>5914.9</v>
      </c>
      <c r="W284" s="7">
        <v>12415.39</v>
      </c>
    </row>
    <row r="285" spans="1:23" x14ac:dyDescent="0.25">
      <c r="A285" s="12" t="s">
        <v>38</v>
      </c>
      <c r="B285" s="12">
        <v>2165</v>
      </c>
      <c r="C285" s="12">
        <v>1</v>
      </c>
      <c r="D285" s="13" t="s">
        <v>679</v>
      </c>
      <c r="E285" s="12">
        <v>82</v>
      </c>
      <c r="F285" s="12">
        <v>558</v>
      </c>
      <c r="G285" s="14" t="s">
        <v>743</v>
      </c>
      <c r="H285" s="7">
        <v>5599.38</v>
      </c>
      <c r="I285" s="7">
        <v>10303.280000000001</v>
      </c>
      <c r="J285" s="7">
        <v>15902.66</v>
      </c>
      <c r="K285" s="7">
        <v>14465.73</v>
      </c>
      <c r="L285" s="7">
        <v>10055.950000000001</v>
      </c>
      <c r="M285" s="7">
        <v>24521.68</v>
      </c>
      <c r="N285" s="7">
        <v>6130.42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15902.66</v>
      </c>
    </row>
    <row r="286" spans="1:23" x14ac:dyDescent="0.25">
      <c r="A286" s="12" t="s">
        <v>38</v>
      </c>
      <c r="B286" s="12">
        <v>2167</v>
      </c>
      <c r="C286" s="12">
        <v>1</v>
      </c>
      <c r="D286" s="13" t="s">
        <v>680</v>
      </c>
      <c r="E286" s="12">
        <v>52</v>
      </c>
      <c r="F286" s="12">
        <v>205</v>
      </c>
      <c r="G286" s="14" t="s">
        <v>743</v>
      </c>
      <c r="H286" s="7">
        <v>3550.83</v>
      </c>
      <c r="I286" s="7">
        <v>3785.26</v>
      </c>
      <c r="J286" s="7">
        <v>7336.09</v>
      </c>
      <c r="K286" s="7">
        <v>7092.99</v>
      </c>
      <c r="L286" s="7">
        <v>63727.73</v>
      </c>
      <c r="M286" s="7">
        <v>70820.72</v>
      </c>
      <c r="N286" s="7">
        <v>17705.18</v>
      </c>
      <c r="O286" s="7">
        <v>15543.44</v>
      </c>
      <c r="P286" s="7">
        <v>242.95</v>
      </c>
      <c r="Q286" s="7">
        <v>23402.57</v>
      </c>
      <c r="R286" s="7">
        <v>7092.99</v>
      </c>
      <c r="S286" s="7">
        <v>0</v>
      </c>
      <c r="T286" s="7">
        <v>26727.67</v>
      </c>
      <c r="U286" s="7">
        <v>19445.91</v>
      </c>
      <c r="V286" s="7">
        <v>1740.73</v>
      </c>
      <c r="W286" s="7">
        <v>5595.36</v>
      </c>
    </row>
    <row r="287" spans="1:23" x14ac:dyDescent="0.25">
      <c r="A287" s="12" t="s">
        <v>38</v>
      </c>
      <c r="B287" s="12">
        <v>2168</v>
      </c>
      <c r="C287" s="12">
        <v>1</v>
      </c>
      <c r="D287" s="13" t="s">
        <v>681</v>
      </c>
      <c r="E287" s="12">
        <v>82</v>
      </c>
      <c r="F287" s="12">
        <v>334</v>
      </c>
      <c r="G287" s="14" t="s">
        <v>743</v>
      </c>
      <c r="H287" s="7">
        <v>5599.38</v>
      </c>
      <c r="I287" s="7">
        <v>6167.2</v>
      </c>
      <c r="J287" s="7">
        <v>11766.58</v>
      </c>
      <c r="K287" s="7">
        <v>10445.49</v>
      </c>
      <c r="L287" s="7">
        <v>0</v>
      </c>
      <c r="M287" s="7">
        <v>10445.49</v>
      </c>
      <c r="N287" s="7">
        <v>2611.37</v>
      </c>
      <c r="O287" s="7">
        <v>0</v>
      </c>
      <c r="P287" s="7">
        <v>0</v>
      </c>
      <c r="Q287" s="7">
        <v>-5963.45</v>
      </c>
      <c r="R287" s="7">
        <v>0</v>
      </c>
      <c r="S287" s="7">
        <v>0</v>
      </c>
      <c r="T287" s="7">
        <v>-13342.79</v>
      </c>
      <c r="U287" s="7">
        <v>-6435.41</v>
      </c>
      <c r="V287" s="7">
        <v>0</v>
      </c>
      <c r="W287" s="7">
        <v>11766.58</v>
      </c>
    </row>
    <row r="288" spans="1:23" x14ac:dyDescent="0.25">
      <c r="A288" s="12" t="s">
        <v>38</v>
      </c>
      <c r="B288" s="12">
        <v>2169</v>
      </c>
      <c r="C288" s="12">
        <v>1</v>
      </c>
      <c r="D288" s="13" t="s">
        <v>682</v>
      </c>
      <c r="E288" s="12">
        <v>68</v>
      </c>
      <c r="F288" s="12">
        <v>247</v>
      </c>
      <c r="G288" s="14" t="s">
        <v>743</v>
      </c>
      <c r="H288" s="7">
        <v>4643.3900000000003</v>
      </c>
      <c r="I288" s="7">
        <v>4560.7700000000004</v>
      </c>
      <c r="J288" s="7">
        <v>9204.16</v>
      </c>
      <c r="K288" s="7">
        <v>8914.69</v>
      </c>
      <c r="L288" s="7">
        <v>106203.66</v>
      </c>
      <c r="M288" s="7">
        <v>115118.35</v>
      </c>
      <c r="N288" s="7">
        <v>28779.59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9204.16</v>
      </c>
    </row>
    <row r="289" spans="1:23" x14ac:dyDescent="0.25">
      <c r="A289" s="12" t="s">
        <v>38</v>
      </c>
      <c r="B289" s="12">
        <v>2170</v>
      </c>
      <c r="C289" s="12">
        <v>1</v>
      </c>
      <c r="D289" s="13" t="s">
        <v>683</v>
      </c>
      <c r="E289" s="12">
        <v>110</v>
      </c>
      <c r="F289" s="12">
        <v>778</v>
      </c>
      <c r="G289" s="14" t="s">
        <v>743</v>
      </c>
      <c r="H289" s="7">
        <v>7511.36</v>
      </c>
      <c r="I289" s="7">
        <v>14365.51</v>
      </c>
      <c r="J289" s="7">
        <v>21876.87</v>
      </c>
      <c r="K289" s="7">
        <v>23606.78</v>
      </c>
      <c r="L289" s="7">
        <v>0</v>
      </c>
      <c r="M289" s="7">
        <v>23606.78</v>
      </c>
      <c r="N289" s="7">
        <v>5901.7</v>
      </c>
      <c r="O289" s="7">
        <v>5692.07</v>
      </c>
      <c r="P289" s="7">
        <v>0</v>
      </c>
      <c r="Q289" s="7">
        <v>5878.43</v>
      </c>
      <c r="R289" s="7">
        <v>0</v>
      </c>
      <c r="S289" s="7">
        <v>0</v>
      </c>
      <c r="T289" s="7">
        <v>81.209999999999994</v>
      </c>
      <c r="U289" s="7">
        <v>3883.9</v>
      </c>
      <c r="V289" s="7">
        <v>0</v>
      </c>
      <c r="W289" s="7">
        <v>21876.87</v>
      </c>
    </row>
    <row r="290" spans="1:23" x14ac:dyDescent="0.25">
      <c r="A290" s="12" t="s">
        <v>38</v>
      </c>
      <c r="B290" s="12">
        <v>2171</v>
      </c>
      <c r="C290" s="12">
        <v>1</v>
      </c>
      <c r="D290" s="13" t="s">
        <v>684</v>
      </c>
      <c r="E290" s="12">
        <v>19</v>
      </c>
      <c r="F290" s="12">
        <v>68</v>
      </c>
      <c r="G290" s="14" t="s">
        <v>743</v>
      </c>
      <c r="H290" s="7">
        <v>1297.42</v>
      </c>
      <c r="I290" s="7">
        <v>1255.5999999999999</v>
      </c>
      <c r="J290" s="7">
        <v>2553.02</v>
      </c>
      <c r="K290" s="7">
        <v>2546.4</v>
      </c>
      <c r="L290" s="7">
        <v>2555</v>
      </c>
      <c r="M290" s="7">
        <v>5101.3999999999996</v>
      </c>
      <c r="N290" s="7">
        <v>1275.3499999999999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2553.02</v>
      </c>
    </row>
    <row r="291" spans="1:23" x14ac:dyDescent="0.25">
      <c r="A291" s="12" t="s">
        <v>38</v>
      </c>
      <c r="B291" s="12">
        <v>2172</v>
      </c>
      <c r="C291" s="12">
        <v>1</v>
      </c>
      <c r="D291" s="13" t="s">
        <v>685</v>
      </c>
      <c r="E291" s="12">
        <v>75</v>
      </c>
      <c r="F291" s="12">
        <v>226</v>
      </c>
      <c r="G291" s="14" t="s">
        <v>743</v>
      </c>
      <c r="H291" s="7">
        <v>5121.38</v>
      </c>
      <c r="I291" s="7">
        <v>4173.01</v>
      </c>
      <c r="J291" s="7">
        <v>9294.39</v>
      </c>
      <c r="K291" s="7">
        <v>8394.44</v>
      </c>
      <c r="L291" s="7">
        <v>36320.589999999997</v>
      </c>
      <c r="M291" s="7">
        <v>44715.03</v>
      </c>
      <c r="N291" s="7">
        <v>11178.76</v>
      </c>
      <c r="O291" s="7">
        <v>-21709.85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-7236.62</v>
      </c>
      <c r="V291" s="7">
        <v>0</v>
      </c>
      <c r="W291" s="7">
        <v>9294.39</v>
      </c>
    </row>
    <row r="292" spans="1:23" x14ac:dyDescent="0.25">
      <c r="A292" s="12" t="s">
        <v>38</v>
      </c>
      <c r="B292" s="12">
        <v>2174</v>
      </c>
      <c r="C292" s="12">
        <v>1</v>
      </c>
      <c r="D292" s="13" t="s">
        <v>686</v>
      </c>
      <c r="E292" s="12">
        <v>80</v>
      </c>
      <c r="F292" s="12">
        <v>578</v>
      </c>
      <c r="G292" s="14" t="s">
        <v>743</v>
      </c>
      <c r="H292" s="7">
        <v>5462.81</v>
      </c>
      <c r="I292" s="7">
        <v>10672.57</v>
      </c>
      <c r="J292" s="7">
        <v>16135.38</v>
      </c>
      <c r="K292" s="7">
        <v>17260.04</v>
      </c>
      <c r="L292" s="7">
        <v>8596.5</v>
      </c>
      <c r="M292" s="7">
        <v>25856.54</v>
      </c>
      <c r="N292" s="7">
        <v>6464.14</v>
      </c>
      <c r="O292" s="7">
        <v>1074.6400000000001</v>
      </c>
      <c r="P292" s="7">
        <v>0</v>
      </c>
      <c r="Q292" s="7">
        <v>2803.48</v>
      </c>
      <c r="R292" s="7">
        <v>0</v>
      </c>
      <c r="S292" s="7">
        <v>0</v>
      </c>
      <c r="T292" s="7">
        <v>1411.41</v>
      </c>
      <c r="U292" s="7">
        <v>1763.18</v>
      </c>
      <c r="V292" s="7">
        <v>0</v>
      </c>
      <c r="W292" s="7">
        <v>16135.38</v>
      </c>
    </row>
    <row r="293" spans="1:23" x14ac:dyDescent="0.25">
      <c r="A293" s="12" t="s">
        <v>38</v>
      </c>
      <c r="B293" s="12">
        <v>2176</v>
      </c>
      <c r="C293" s="12">
        <v>1</v>
      </c>
      <c r="D293" s="13" t="s">
        <v>687</v>
      </c>
      <c r="E293" s="12">
        <v>44</v>
      </c>
      <c r="F293" s="12">
        <v>161</v>
      </c>
      <c r="G293" s="14" t="s">
        <v>743</v>
      </c>
      <c r="H293" s="7">
        <v>3004.55</v>
      </c>
      <c r="I293" s="7">
        <v>2972.81</v>
      </c>
      <c r="J293" s="7">
        <v>5977.36</v>
      </c>
      <c r="K293" s="7">
        <v>6902.54</v>
      </c>
      <c r="L293" s="7">
        <v>0</v>
      </c>
      <c r="M293" s="7">
        <v>6902.54</v>
      </c>
      <c r="N293" s="7">
        <v>1725.64</v>
      </c>
      <c r="O293" s="7">
        <v>46.3</v>
      </c>
      <c r="P293" s="7">
        <v>0</v>
      </c>
      <c r="Q293" s="7">
        <v>200.15</v>
      </c>
      <c r="R293" s="7">
        <v>0</v>
      </c>
      <c r="S293" s="7">
        <v>0</v>
      </c>
      <c r="T293" s="7">
        <v>0.18</v>
      </c>
      <c r="U293" s="7">
        <v>82.21</v>
      </c>
      <c r="V293" s="7">
        <v>0</v>
      </c>
      <c r="W293" s="7">
        <v>5977.36</v>
      </c>
    </row>
    <row r="294" spans="1:23" x14ac:dyDescent="0.25">
      <c r="A294" s="12" t="s">
        <v>38</v>
      </c>
      <c r="B294" s="12">
        <v>2180</v>
      </c>
      <c r="C294" s="12">
        <v>1</v>
      </c>
      <c r="D294" s="13" t="s">
        <v>688</v>
      </c>
      <c r="E294" s="12">
        <v>60</v>
      </c>
      <c r="F294" s="12">
        <v>251</v>
      </c>
      <c r="G294" s="14" t="s">
        <v>743</v>
      </c>
      <c r="H294" s="7">
        <v>4097.1099999999997</v>
      </c>
      <c r="I294" s="7">
        <v>4634.63</v>
      </c>
      <c r="J294" s="7">
        <v>8731.74</v>
      </c>
      <c r="K294" s="7">
        <v>9294.52</v>
      </c>
      <c r="L294" s="7">
        <v>0</v>
      </c>
      <c r="M294" s="7">
        <v>9294.52</v>
      </c>
      <c r="N294" s="7">
        <v>2323.63</v>
      </c>
      <c r="O294" s="7">
        <v>2126.56</v>
      </c>
      <c r="P294" s="7">
        <v>0</v>
      </c>
      <c r="Q294" s="7">
        <v>2154.46</v>
      </c>
      <c r="R294" s="7">
        <v>0</v>
      </c>
      <c r="S294" s="7">
        <v>0</v>
      </c>
      <c r="T294" s="7">
        <v>2774.5</v>
      </c>
      <c r="U294" s="7">
        <v>2351.84</v>
      </c>
      <c r="V294" s="7">
        <v>28.21</v>
      </c>
      <c r="W294" s="7">
        <v>8703.5300000000007</v>
      </c>
    </row>
    <row r="295" spans="1:23" x14ac:dyDescent="0.25">
      <c r="A295" s="12" t="s">
        <v>38</v>
      </c>
      <c r="B295" s="12">
        <v>2184</v>
      </c>
      <c r="C295" s="12">
        <v>1</v>
      </c>
      <c r="D295" s="13" t="s">
        <v>689</v>
      </c>
      <c r="E295" s="12">
        <v>108</v>
      </c>
      <c r="F295" s="12">
        <v>404</v>
      </c>
      <c r="G295" s="14" t="s">
        <v>743</v>
      </c>
      <c r="H295" s="7">
        <v>7374.79</v>
      </c>
      <c r="I295" s="7">
        <v>7459.72</v>
      </c>
      <c r="J295" s="7">
        <v>14834.51</v>
      </c>
      <c r="K295" s="7">
        <v>13830.09</v>
      </c>
      <c r="L295" s="7">
        <v>2723</v>
      </c>
      <c r="M295" s="7">
        <v>16553.09</v>
      </c>
      <c r="N295" s="7">
        <v>4138.2700000000004</v>
      </c>
      <c r="O295" s="7">
        <v>2543.65</v>
      </c>
      <c r="P295" s="7">
        <v>0</v>
      </c>
      <c r="Q295" s="7">
        <v>3732.4</v>
      </c>
      <c r="R295" s="7">
        <v>0</v>
      </c>
      <c r="S295" s="7">
        <v>0</v>
      </c>
      <c r="T295" s="7">
        <v>11.18</v>
      </c>
      <c r="U295" s="7">
        <v>2095.7399999999998</v>
      </c>
      <c r="V295" s="7">
        <v>0</v>
      </c>
      <c r="W295" s="7">
        <v>14834.51</v>
      </c>
    </row>
    <row r="296" spans="1:23" x14ac:dyDescent="0.25">
      <c r="A296" s="12" t="s">
        <v>38</v>
      </c>
      <c r="B296" s="12">
        <v>2190</v>
      </c>
      <c r="C296" s="12">
        <v>1</v>
      </c>
      <c r="D296" s="13" t="s">
        <v>690</v>
      </c>
      <c r="E296" s="12">
        <v>65</v>
      </c>
      <c r="F296" s="12">
        <v>404</v>
      </c>
      <c r="G296" s="14" t="s">
        <v>743</v>
      </c>
      <c r="H296" s="7">
        <v>4438.53</v>
      </c>
      <c r="I296" s="7">
        <v>7459.72</v>
      </c>
      <c r="J296" s="7">
        <v>11898.25</v>
      </c>
      <c r="K296" s="7">
        <v>13008.9</v>
      </c>
      <c r="L296" s="7">
        <v>9710</v>
      </c>
      <c r="M296" s="7">
        <v>22718.9</v>
      </c>
      <c r="N296" s="7">
        <v>5679.73</v>
      </c>
      <c r="O296" s="7">
        <v>10412.67</v>
      </c>
      <c r="P296" s="7">
        <v>0</v>
      </c>
      <c r="Q296" s="7">
        <v>2888.27</v>
      </c>
      <c r="R296" s="7">
        <v>0</v>
      </c>
      <c r="S296" s="7">
        <v>0</v>
      </c>
      <c r="T296" s="7">
        <v>3706.9</v>
      </c>
      <c r="U296" s="7">
        <v>5669.28</v>
      </c>
      <c r="V296" s="7">
        <v>0</v>
      </c>
      <c r="W296" s="7">
        <v>11898.25</v>
      </c>
    </row>
    <row r="297" spans="1:23" x14ac:dyDescent="0.25">
      <c r="A297" s="12" t="s">
        <v>38</v>
      </c>
      <c r="B297" s="12">
        <v>2198</v>
      </c>
      <c r="C297" s="12">
        <v>1</v>
      </c>
      <c r="D297" s="13" t="s">
        <v>332</v>
      </c>
      <c r="E297" s="12">
        <v>71</v>
      </c>
      <c r="F297" s="12">
        <v>189</v>
      </c>
      <c r="G297" s="14" t="s">
        <v>743</v>
      </c>
      <c r="H297" s="7">
        <v>4848.24</v>
      </c>
      <c r="I297" s="7">
        <v>3489.82</v>
      </c>
      <c r="J297" s="7">
        <v>8338.06</v>
      </c>
      <c r="K297" s="7">
        <v>5917.47</v>
      </c>
      <c r="L297" s="7">
        <v>39829.5</v>
      </c>
      <c r="M297" s="7">
        <v>45746.97</v>
      </c>
      <c r="N297" s="7">
        <v>11436.74</v>
      </c>
      <c r="O297" s="7">
        <v>-30536.79</v>
      </c>
      <c r="P297" s="7">
        <v>0</v>
      </c>
      <c r="Q297" s="7">
        <v>-29074.26</v>
      </c>
      <c r="R297" s="7">
        <v>0</v>
      </c>
      <c r="S297" s="7">
        <v>0</v>
      </c>
      <c r="T297" s="7">
        <v>-29926.73</v>
      </c>
      <c r="U297" s="7">
        <v>-29845.93</v>
      </c>
      <c r="V297" s="7">
        <v>0</v>
      </c>
      <c r="W297" s="7">
        <v>8338.06</v>
      </c>
    </row>
    <row r="298" spans="1:23" x14ac:dyDescent="0.25">
      <c r="A298" s="12" t="s">
        <v>38</v>
      </c>
      <c r="B298" s="12">
        <v>2215</v>
      </c>
      <c r="C298" s="12">
        <v>1</v>
      </c>
      <c r="D298" s="13" t="s">
        <v>691</v>
      </c>
      <c r="E298" s="12">
        <v>23</v>
      </c>
      <c r="F298" s="12">
        <v>161</v>
      </c>
      <c r="G298" s="14" t="s">
        <v>743</v>
      </c>
      <c r="H298" s="7">
        <v>1570.56</v>
      </c>
      <c r="I298" s="7">
        <v>2972.81</v>
      </c>
      <c r="J298" s="7">
        <v>4543.37</v>
      </c>
      <c r="K298" s="7">
        <v>5458.63</v>
      </c>
      <c r="L298" s="7">
        <v>5350</v>
      </c>
      <c r="M298" s="7">
        <v>10808.63</v>
      </c>
      <c r="N298" s="7">
        <v>2702.16</v>
      </c>
      <c r="O298" s="7">
        <v>1007</v>
      </c>
      <c r="P298" s="7">
        <v>0</v>
      </c>
      <c r="Q298" s="7">
        <v>10150.5</v>
      </c>
      <c r="R298" s="7">
        <v>1303.7</v>
      </c>
      <c r="S298" s="7">
        <v>0</v>
      </c>
      <c r="T298" s="7">
        <v>-3944.54</v>
      </c>
      <c r="U298" s="7">
        <v>1969.75</v>
      </c>
      <c r="V298" s="7">
        <v>0</v>
      </c>
      <c r="W298" s="7">
        <v>4543.37</v>
      </c>
    </row>
    <row r="299" spans="1:23" x14ac:dyDescent="0.25">
      <c r="A299" s="12" t="s">
        <v>38</v>
      </c>
      <c r="B299" s="12">
        <v>2310</v>
      </c>
      <c r="C299" s="12">
        <v>1</v>
      </c>
      <c r="D299" s="13" t="s">
        <v>692</v>
      </c>
      <c r="E299" s="12">
        <v>130</v>
      </c>
      <c r="F299" s="12">
        <v>559</v>
      </c>
      <c r="G299" s="14" t="s">
        <v>743</v>
      </c>
      <c r="H299" s="7">
        <v>8877.07</v>
      </c>
      <c r="I299" s="7">
        <v>10321.75</v>
      </c>
      <c r="J299" s="7">
        <v>19198.82</v>
      </c>
      <c r="K299" s="7">
        <v>18999.38</v>
      </c>
      <c r="L299" s="7">
        <v>18115</v>
      </c>
      <c r="M299" s="7">
        <v>37114.379999999997</v>
      </c>
      <c r="N299" s="7">
        <v>9278.6</v>
      </c>
      <c r="O299" s="7">
        <v>27088.33</v>
      </c>
      <c r="P299" s="7">
        <v>0</v>
      </c>
      <c r="Q299" s="7">
        <v>4172</v>
      </c>
      <c r="R299" s="7">
        <v>2622.7</v>
      </c>
      <c r="S299" s="7">
        <v>0</v>
      </c>
      <c r="T299" s="7">
        <v>-4027.06</v>
      </c>
      <c r="U299" s="7">
        <v>8203.52</v>
      </c>
      <c r="V299" s="7">
        <v>0</v>
      </c>
      <c r="W299" s="7">
        <v>19198.82</v>
      </c>
    </row>
    <row r="300" spans="1:23" x14ac:dyDescent="0.25">
      <c r="A300" s="12" t="s">
        <v>38</v>
      </c>
      <c r="B300" s="12">
        <v>2311</v>
      </c>
      <c r="C300" s="12">
        <v>1</v>
      </c>
      <c r="D300" s="13" t="s">
        <v>693</v>
      </c>
      <c r="E300" s="12">
        <v>48</v>
      </c>
      <c r="F300" s="12">
        <v>192</v>
      </c>
      <c r="G300" s="14" t="s">
        <v>743</v>
      </c>
      <c r="H300" s="7">
        <v>3277.69</v>
      </c>
      <c r="I300" s="7">
        <v>3545.22</v>
      </c>
      <c r="J300" s="7">
        <v>6822.91</v>
      </c>
      <c r="K300" s="7">
        <v>7453.78</v>
      </c>
      <c r="L300" s="7">
        <v>8211</v>
      </c>
      <c r="M300" s="7">
        <v>15664.78</v>
      </c>
      <c r="N300" s="7">
        <v>3916.2</v>
      </c>
      <c r="O300" s="7">
        <v>4016.02</v>
      </c>
      <c r="P300" s="7">
        <v>0</v>
      </c>
      <c r="Q300" s="7">
        <v>4373.3500000000004</v>
      </c>
      <c r="R300" s="7">
        <v>0</v>
      </c>
      <c r="S300" s="7">
        <v>0</v>
      </c>
      <c r="T300" s="7">
        <v>1521.41</v>
      </c>
      <c r="U300" s="7">
        <v>3303.59</v>
      </c>
      <c r="V300" s="7">
        <v>0</v>
      </c>
      <c r="W300" s="7">
        <v>6822.91</v>
      </c>
    </row>
    <row r="301" spans="1:23" x14ac:dyDescent="0.25">
      <c r="A301" s="12" t="s">
        <v>38</v>
      </c>
      <c r="B301" s="12">
        <v>2342</v>
      </c>
      <c r="C301" s="12">
        <v>1</v>
      </c>
      <c r="D301" s="13" t="s">
        <v>694</v>
      </c>
      <c r="E301" s="12">
        <v>76</v>
      </c>
      <c r="F301" s="12">
        <v>275</v>
      </c>
      <c r="G301" s="14" t="s">
        <v>743</v>
      </c>
      <c r="H301" s="7">
        <v>5189.67</v>
      </c>
      <c r="I301" s="7">
        <v>5077.78</v>
      </c>
      <c r="J301" s="7">
        <v>10267.450000000001</v>
      </c>
      <c r="K301" s="7">
        <v>9514.9</v>
      </c>
      <c r="L301" s="7">
        <v>15455</v>
      </c>
      <c r="M301" s="7">
        <v>24969.9</v>
      </c>
      <c r="N301" s="7">
        <v>6242.48</v>
      </c>
      <c r="O301" s="7">
        <v>-5724.89</v>
      </c>
      <c r="P301" s="7">
        <v>0</v>
      </c>
      <c r="Q301" s="7">
        <v>-5694.82</v>
      </c>
      <c r="R301" s="7">
        <v>0</v>
      </c>
      <c r="S301" s="7">
        <v>0</v>
      </c>
      <c r="T301" s="7">
        <v>15923.83</v>
      </c>
      <c r="U301" s="7">
        <v>1501.37</v>
      </c>
      <c r="V301" s="7">
        <v>0</v>
      </c>
      <c r="W301" s="7">
        <v>10267.450000000001</v>
      </c>
    </row>
    <row r="302" spans="1:23" x14ac:dyDescent="0.25">
      <c r="A302" s="12" t="s">
        <v>38</v>
      </c>
      <c r="B302" s="12">
        <v>2358</v>
      </c>
      <c r="C302" s="12">
        <v>1</v>
      </c>
      <c r="D302" s="13" t="s">
        <v>695</v>
      </c>
      <c r="E302" s="12">
        <v>16</v>
      </c>
      <c r="F302" s="12">
        <v>122</v>
      </c>
      <c r="G302" s="14" t="s">
        <v>743</v>
      </c>
      <c r="H302" s="7">
        <v>1092.56</v>
      </c>
      <c r="I302" s="7">
        <v>2252.69</v>
      </c>
      <c r="J302" s="7">
        <v>3345.25</v>
      </c>
      <c r="K302" s="7">
        <v>3451.51</v>
      </c>
      <c r="L302" s="7">
        <v>0</v>
      </c>
      <c r="M302" s="7">
        <v>3451.51</v>
      </c>
      <c r="N302" s="7">
        <v>862.88</v>
      </c>
      <c r="O302" s="7">
        <v>-0.11</v>
      </c>
      <c r="P302" s="7">
        <v>0</v>
      </c>
      <c r="Q302" s="7">
        <v>380.36</v>
      </c>
      <c r="R302" s="7">
        <v>0</v>
      </c>
      <c r="S302" s="7">
        <v>0</v>
      </c>
      <c r="T302" s="7">
        <v>-79.459999999999994</v>
      </c>
      <c r="U302" s="7">
        <v>100.26</v>
      </c>
      <c r="V302" s="7">
        <v>0</v>
      </c>
      <c r="W302" s="7">
        <v>3345.25</v>
      </c>
    </row>
    <row r="303" spans="1:23" x14ac:dyDescent="0.25">
      <c r="A303" s="12" t="s">
        <v>38</v>
      </c>
      <c r="B303" s="12">
        <v>2364</v>
      </c>
      <c r="C303" s="12">
        <v>1</v>
      </c>
      <c r="D303" s="13" t="s">
        <v>696</v>
      </c>
      <c r="E303" s="12">
        <v>57</v>
      </c>
      <c r="F303" s="12">
        <v>338</v>
      </c>
      <c r="G303" s="14" t="s">
        <v>743</v>
      </c>
      <c r="H303" s="7">
        <v>3892.25</v>
      </c>
      <c r="I303" s="7">
        <v>6241.06</v>
      </c>
      <c r="J303" s="7">
        <v>10133.31</v>
      </c>
      <c r="K303" s="7">
        <v>9495.39</v>
      </c>
      <c r="L303" s="7">
        <v>8929.6</v>
      </c>
      <c r="M303" s="7">
        <v>18424.990000000002</v>
      </c>
      <c r="N303" s="7">
        <v>4606.25</v>
      </c>
      <c r="O303" s="7">
        <v>1899.77</v>
      </c>
      <c r="P303" s="7">
        <v>0</v>
      </c>
      <c r="Q303" s="7">
        <v>1691.63</v>
      </c>
      <c r="R303" s="7">
        <v>0</v>
      </c>
      <c r="S303" s="7">
        <v>0</v>
      </c>
      <c r="T303" s="7">
        <v>4551.88</v>
      </c>
      <c r="U303" s="7">
        <v>2714.43</v>
      </c>
      <c r="V303" s="7">
        <v>0</v>
      </c>
      <c r="W303" s="7">
        <v>10133.31</v>
      </c>
    </row>
    <row r="304" spans="1:23" x14ac:dyDescent="0.25">
      <c r="A304" s="12" t="s">
        <v>38</v>
      </c>
      <c r="B304" s="12">
        <v>2365</v>
      </c>
      <c r="C304" s="12">
        <v>1</v>
      </c>
      <c r="D304" s="13" t="s">
        <v>697</v>
      </c>
      <c r="E304" s="12">
        <v>104</v>
      </c>
      <c r="F304" s="12">
        <v>352</v>
      </c>
      <c r="G304" s="14" t="s">
        <v>743</v>
      </c>
      <c r="H304" s="7">
        <v>7101.65</v>
      </c>
      <c r="I304" s="7">
        <v>6499.56</v>
      </c>
      <c r="J304" s="7">
        <v>13601.21</v>
      </c>
      <c r="K304" s="7">
        <v>12953</v>
      </c>
      <c r="L304" s="7">
        <v>22987.3</v>
      </c>
      <c r="M304" s="7">
        <v>35940.300000000003</v>
      </c>
      <c r="N304" s="7">
        <v>8985.08</v>
      </c>
      <c r="O304" s="7">
        <v>-733.15</v>
      </c>
      <c r="P304" s="7">
        <v>0</v>
      </c>
      <c r="Q304" s="7">
        <v>547.22</v>
      </c>
      <c r="R304" s="7">
        <v>0</v>
      </c>
      <c r="S304" s="7">
        <v>0</v>
      </c>
      <c r="T304" s="7">
        <v>12943.28</v>
      </c>
      <c r="U304" s="7">
        <v>4252.45</v>
      </c>
      <c r="V304" s="7">
        <v>0</v>
      </c>
      <c r="W304" s="7">
        <v>13601.21</v>
      </c>
    </row>
    <row r="305" spans="1:23" x14ac:dyDescent="0.25">
      <c r="A305" s="12" t="s">
        <v>38</v>
      </c>
      <c r="B305" s="12">
        <v>2396</v>
      </c>
      <c r="C305" s="12">
        <v>1</v>
      </c>
      <c r="D305" s="13" t="s">
        <v>698</v>
      </c>
      <c r="E305" s="12">
        <v>84</v>
      </c>
      <c r="F305" s="12">
        <v>376</v>
      </c>
      <c r="G305" s="14" t="s">
        <v>743</v>
      </c>
      <c r="H305" s="7">
        <v>5735.95</v>
      </c>
      <c r="I305" s="7">
        <v>6942.71</v>
      </c>
      <c r="J305" s="7">
        <v>12678.66</v>
      </c>
      <c r="K305" s="7">
        <v>11658.49</v>
      </c>
      <c r="L305" s="7">
        <v>72814.64</v>
      </c>
      <c r="M305" s="7">
        <v>84473.13</v>
      </c>
      <c r="N305" s="7">
        <v>21118.28</v>
      </c>
      <c r="O305" s="7">
        <v>-5843.89</v>
      </c>
      <c r="P305" s="7">
        <v>0</v>
      </c>
      <c r="Q305" s="7">
        <v>1906.63</v>
      </c>
      <c r="R305" s="7">
        <v>0</v>
      </c>
      <c r="S305" s="7">
        <v>0</v>
      </c>
      <c r="T305" s="7">
        <v>4501.13</v>
      </c>
      <c r="U305" s="7">
        <v>187.96</v>
      </c>
      <c r="V305" s="7">
        <v>0</v>
      </c>
      <c r="W305" s="7">
        <v>12678.66</v>
      </c>
    </row>
    <row r="306" spans="1:23" x14ac:dyDescent="0.25">
      <c r="A306" s="12" t="s">
        <v>38</v>
      </c>
      <c r="B306" s="12">
        <v>2397</v>
      </c>
      <c r="C306" s="12">
        <v>1</v>
      </c>
      <c r="D306" s="13" t="s">
        <v>699</v>
      </c>
      <c r="E306" s="12">
        <v>128</v>
      </c>
      <c r="F306" s="12">
        <v>396</v>
      </c>
      <c r="G306" s="14" t="s">
        <v>743</v>
      </c>
      <c r="H306" s="7">
        <v>8740.5</v>
      </c>
      <c r="I306" s="7">
        <v>7312.01</v>
      </c>
      <c r="J306" s="7">
        <v>16052.51</v>
      </c>
      <c r="K306" s="7">
        <v>15778.31</v>
      </c>
      <c r="L306" s="7">
        <v>34489.75</v>
      </c>
      <c r="M306" s="7">
        <v>50268.06</v>
      </c>
      <c r="N306" s="7">
        <v>12567.02</v>
      </c>
      <c r="O306" s="7">
        <v>8696.81</v>
      </c>
      <c r="P306" s="7">
        <v>0</v>
      </c>
      <c r="Q306" s="7">
        <v>14126.37</v>
      </c>
      <c r="R306" s="7">
        <v>0</v>
      </c>
      <c r="S306" s="7">
        <v>0</v>
      </c>
      <c r="T306" s="7">
        <v>23174.13</v>
      </c>
      <c r="U306" s="7">
        <v>15332.44</v>
      </c>
      <c r="V306" s="7">
        <v>2765.42</v>
      </c>
      <c r="W306" s="7">
        <v>13287.09</v>
      </c>
    </row>
    <row r="307" spans="1:23" x14ac:dyDescent="0.25">
      <c r="A307" s="12" t="s">
        <v>38</v>
      </c>
      <c r="B307" s="12">
        <v>2448</v>
      </c>
      <c r="C307" s="12">
        <v>1</v>
      </c>
      <c r="D307" s="13" t="s">
        <v>700</v>
      </c>
      <c r="E307" s="12">
        <v>70</v>
      </c>
      <c r="F307" s="12">
        <v>239</v>
      </c>
      <c r="G307" s="14" t="s">
        <v>743</v>
      </c>
      <c r="H307" s="7">
        <v>4779.96</v>
      </c>
      <c r="I307" s="7">
        <v>4413.05</v>
      </c>
      <c r="J307" s="7">
        <v>9193.01</v>
      </c>
      <c r="K307" s="7">
        <v>10070.700000000001</v>
      </c>
      <c r="L307" s="7">
        <v>57259.14</v>
      </c>
      <c r="M307" s="7">
        <v>67329.84</v>
      </c>
      <c r="N307" s="7">
        <v>16832.46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9193.01</v>
      </c>
    </row>
    <row r="308" spans="1:23" x14ac:dyDescent="0.25">
      <c r="A308" s="12" t="s">
        <v>38</v>
      </c>
      <c r="B308" s="12">
        <v>2527</v>
      </c>
      <c r="C308" s="12">
        <v>1</v>
      </c>
      <c r="D308" s="13" t="s">
        <v>701</v>
      </c>
      <c r="E308" s="12">
        <v>19</v>
      </c>
      <c r="F308" s="12">
        <v>130</v>
      </c>
      <c r="G308" s="14" t="s">
        <v>743</v>
      </c>
      <c r="H308" s="7">
        <v>1297.42</v>
      </c>
      <c r="I308" s="7">
        <v>2400.41</v>
      </c>
      <c r="J308" s="7">
        <v>3697.83</v>
      </c>
      <c r="K308" s="7">
        <v>4353.62</v>
      </c>
      <c r="L308" s="7">
        <v>0</v>
      </c>
      <c r="M308" s="7">
        <v>4353.62</v>
      </c>
      <c r="N308" s="7">
        <v>1088.4100000000001</v>
      </c>
      <c r="O308" s="7">
        <v>115.43</v>
      </c>
      <c r="P308" s="7">
        <v>0</v>
      </c>
      <c r="Q308" s="7">
        <v>-318.29000000000002</v>
      </c>
      <c r="R308" s="7">
        <v>0</v>
      </c>
      <c r="S308" s="7">
        <v>0</v>
      </c>
      <c r="T308" s="7">
        <v>114.58</v>
      </c>
      <c r="U308" s="7">
        <v>-29.43</v>
      </c>
      <c r="V308" s="7">
        <v>0</v>
      </c>
      <c r="W308" s="7">
        <v>3697.83</v>
      </c>
    </row>
    <row r="309" spans="1:23" x14ac:dyDescent="0.25">
      <c r="A309" s="12" t="s">
        <v>38</v>
      </c>
      <c r="B309" s="12">
        <v>2534</v>
      </c>
      <c r="C309" s="12">
        <v>1</v>
      </c>
      <c r="D309" s="13" t="s">
        <v>702</v>
      </c>
      <c r="E309" s="12">
        <v>53</v>
      </c>
      <c r="F309" s="12">
        <v>328</v>
      </c>
      <c r="G309" s="14" t="s">
        <v>743</v>
      </c>
      <c r="H309" s="7">
        <v>3619.11</v>
      </c>
      <c r="I309" s="7">
        <v>6056.41</v>
      </c>
      <c r="J309" s="7">
        <v>9675.52</v>
      </c>
      <c r="K309" s="7">
        <v>10351.049999999999</v>
      </c>
      <c r="L309" s="7">
        <v>14743.7</v>
      </c>
      <c r="M309" s="7">
        <v>25094.75</v>
      </c>
      <c r="N309" s="7">
        <v>6273.69</v>
      </c>
      <c r="O309" s="7">
        <v>1462.42</v>
      </c>
      <c r="P309" s="7">
        <v>0</v>
      </c>
      <c r="Q309" s="7">
        <v>-3322.12</v>
      </c>
      <c r="R309" s="7">
        <v>0</v>
      </c>
      <c r="S309" s="7">
        <v>0</v>
      </c>
      <c r="T309" s="7">
        <v>-842.54</v>
      </c>
      <c r="U309" s="7">
        <v>-900.75</v>
      </c>
      <c r="V309" s="7">
        <v>0</v>
      </c>
      <c r="W309" s="7">
        <v>9675.52</v>
      </c>
    </row>
    <row r="310" spans="1:23" x14ac:dyDescent="0.25">
      <c r="A310" s="12" t="s">
        <v>38</v>
      </c>
      <c r="B310" s="12">
        <v>2536</v>
      </c>
      <c r="C310" s="12">
        <v>1</v>
      </c>
      <c r="D310" s="13" t="s">
        <v>703</v>
      </c>
      <c r="E310" s="12">
        <v>17</v>
      </c>
      <c r="F310" s="12">
        <v>108</v>
      </c>
      <c r="G310" s="14" t="s">
        <v>743</v>
      </c>
      <c r="H310" s="7">
        <v>1160.8499999999999</v>
      </c>
      <c r="I310" s="7">
        <v>1994.18</v>
      </c>
      <c r="J310" s="7">
        <v>3155.03</v>
      </c>
      <c r="K310" s="7">
        <v>2886.25</v>
      </c>
      <c r="L310" s="7">
        <v>8154.5</v>
      </c>
      <c r="M310" s="7">
        <v>11040.75</v>
      </c>
      <c r="N310" s="7">
        <v>2760.19</v>
      </c>
      <c r="O310" s="7">
        <v>6202.69</v>
      </c>
      <c r="P310" s="7">
        <v>0</v>
      </c>
      <c r="Q310" s="7">
        <v>-11549.57</v>
      </c>
      <c r="R310" s="7">
        <v>0</v>
      </c>
      <c r="S310" s="7">
        <v>0</v>
      </c>
      <c r="T310" s="7">
        <v>-508.82</v>
      </c>
      <c r="U310" s="7">
        <v>-1951.9</v>
      </c>
      <c r="V310" s="7">
        <v>0</v>
      </c>
      <c r="W310" s="7">
        <v>3155.03</v>
      </c>
    </row>
    <row r="311" spans="1:23" x14ac:dyDescent="0.25">
      <c r="A311" s="12" t="s">
        <v>38</v>
      </c>
      <c r="B311" s="12">
        <v>2580</v>
      </c>
      <c r="C311" s="12">
        <v>1</v>
      </c>
      <c r="D311" s="13" t="s">
        <v>704</v>
      </c>
      <c r="E311" s="12">
        <v>57</v>
      </c>
      <c r="F311" s="12">
        <v>440</v>
      </c>
      <c r="G311" s="14" t="s">
        <v>743</v>
      </c>
      <c r="H311" s="7">
        <v>3892.25</v>
      </c>
      <c r="I311" s="7">
        <v>8124.45</v>
      </c>
      <c r="J311" s="7">
        <v>12016.7</v>
      </c>
      <c r="K311" s="7">
        <v>12339.14</v>
      </c>
      <c r="L311" s="7">
        <v>3456</v>
      </c>
      <c r="M311" s="7">
        <v>15795.14</v>
      </c>
      <c r="N311" s="7">
        <v>3948.79</v>
      </c>
      <c r="O311" s="7">
        <v>-20221.41</v>
      </c>
      <c r="P311" s="7">
        <v>0</v>
      </c>
      <c r="Q311" s="7">
        <v>-19286.34</v>
      </c>
      <c r="R311" s="7">
        <v>0</v>
      </c>
      <c r="S311" s="7">
        <v>0</v>
      </c>
      <c r="T311" s="7">
        <v>-32242.98</v>
      </c>
      <c r="U311" s="7">
        <v>-23916.91</v>
      </c>
      <c r="V311" s="7">
        <v>0</v>
      </c>
      <c r="W311" s="7">
        <v>12016.7</v>
      </c>
    </row>
    <row r="312" spans="1:23" x14ac:dyDescent="0.25">
      <c r="A312" s="12" t="s">
        <v>38</v>
      </c>
      <c r="B312" s="12">
        <v>2609</v>
      </c>
      <c r="C312" s="12">
        <v>1</v>
      </c>
      <c r="D312" s="13" t="s">
        <v>705</v>
      </c>
      <c r="E312" s="12">
        <v>35</v>
      </c>
      <c r="F312" s="12">
        <v>203</v>
      </c>
      <c r="G312" s="14" t="s">
        <v>743</v>
      </c>
      <c r="H312" s="7">
        <v>2389.98</v>
      </c>
      <c r="I312" s="7">
        <v>3748.33</v>
      </c>
      <c r="J312" s="7">
        <v>6138.31</v>
      </c>
      <c r="K312" s="7">
        <v>6254.8</v>
      </c>
      <c r="L312" s="7">
        <v>4620</v>
      </c>
      <c r="M312" s="7">
        <v>10874.8</v>
      </c>
      <c r="N312" s="7">
        <v>2718.7</v>
      </c>
      <c r="O312" s="7">
        <v>-1117.6600000000001</v>
      </c>
      <c r="P312" s="7">
        <v>0</v>
      </c>
      <c r="Q312" s="7">
        <v>2089.79</v>
      </c>
      <c r="R312" s="7">
        <v>0</v>
      </c>
      <c r="S312" s="7">
        <v>0</v>
      </c>
      <c r="T312" s="7">
        <v>2824.71</v>
      </c>
      <c r="U312" s="7">
        <v>1265.6099999999999</v>
      </c>
      <c r="V312" s="7">
        <v>0</v>
      </c>
      <c r="W312" s="7">
        <v>6138.31</v>
      </c>
    </row>
    <row r="313" spans="1:23" x14ac:dyDescent="0.25">
      <c r="A313" s="12" t="s">
        <v>38</v>
      </c>
      <c r="B313" s="12">
        <v>2683</v>
      </c>
      <c r="C313" s="12">
        <v>1</v>
      </c>
      <c r="D313" s="13" t="s">
        <v>706</v>
      </c>
      <c r="E313" s="12">
        <v>30</v>
      </c>
      <c r="F313" s="12">
        <v>192</v>
      </c>
      <c r="G313" s="14" t="s">
        <v>743</v>
      </c>
      <c r="H313" s="7">
        <v>2048.5500000000002</v>
      </c>
      <c r="I313" s="7">
        <v>3545.22</v>
      </c>
      <c r="J313" s="7">
        <v>5593.77</v>
      </c>
      <c r="K313" s="7">
        <v>5812.49</v>
      </c>
      <c r="L313" s="7">
        <v>5730</v>
      </c>
      <c r="M313" s="7">
        <v>11542.49</v>
      </c>
      <c r="N313" s="7">
        <v>2885.62</v>
      </c>
      <c r="O313" s="7">
        <v>0.64</v>
      </c>
      <c r="P313" s="7">
        <v>0</v>
      </c>
      <c r="Q313" s="7">
        <v>707.25</v>
      </c>
      <c r="R313" s="7">
        <v>0</v>
      </c>
      <c r="S313" s="7">
        <v>0</v>
      </c>
      <c r="T313" s="7">
        <v>554.80999999999995</v>
      </c>
      <c r="U313" s="7">
        <v>420.9</v>
      </c>
      <c r="V313" s="7">
        <v>0</v>
      </c>
      <c r="W313" s="7">
        <v>5593.77</v>
      </c>
    </row>
    <row r="314" spans="1:23" x14ac:dyDescent="0.25">
      <c r="A314" s="12" t="s">
        <v>38</v>
      </c>
      <c r="B314" s="12">
        <v>2687</v>
      </c>
      <c r="C314" s="12">
        <v>1</v>
      </c>
      <c r="D314" s="13" t="s">
        <v>707</v>
      </c>
      <c r="E314" s="12">
        <v>134</v>
      </c>
      <c r="F314" s="12">
        <v>315</v>
      </c>
      <c r="G314" s="14" t="s">
        <v>743</v>
      </c>
      <c r="H314" s="7">
        <v>9150.2099999999991</v>
      </c>
      <c r="I314" s="7">
        <v>5816.37</v>
      </c>
      <c r="J314" s="7">
        <v>14966.58</v>
      </c>
      <c r="K314" s="7">
        <v>14907.2</v>
      </c>
      <c r="L314" s="7">
        <v>0</v>
      </c>
      <c r="M314" s="7">
        <v>14907.2</v>
      </c>
      <c r="N314" s="7">
        <v>3726.8</v>
      </c>
      <c r="O314" s="7">
        <v>2424.58</v>
      </c>
      <c r="P314" s="7">
        <v>0</v>
      </c>
      <c r="Q314" s="7">
        <v>1978.11</v>
      </c>
      <c r="R314" s="7">
        <v>0</v>
      </c>
      <c r="S314" s="7">
        <v>0</v>
      </c>
      <c r="T314" s="7">
        <v>1444.27</v>
      </c>
      <c r="U314" s="7">
        <v>1948.99</v>
      </c>
      <c r="V314" s="7">
        <v>0</v>
      </c>
      <c r="W314" s="7">
        <v>14966.58</v>
      </c>
    </row>
    <row r="315" spans="1:23" x14ac:dyDescent="0.25">
      <c r="A315" s="12" t="s">
        <v>38</v>
      </c>
      <c r="B315" s="12">
        <v>2689</v>
      </c>
      <c r="C315" s="12">
        <v>1</v>
      </c>
      <c r="D315" s="13" t="s">
        <v>708</v>
      </c>
      <c r="E315" s="12">
        <v>107</v>
      </c>
      <c r="F315" s="12">
        <v>512</v>
      </c>
      <c r="G315" s="14" t="s">
        <v>743</v>
      </c>
      <c r="H315" s="7">
        <v>7306.51</v>
      </c>
      <c r="I315" s="7">
        <v>9453.91</v>
      </c>
      <c r="J315" s="7">
        <v>16760.419999999998</v>
      </c>
      <c r="K315" s="7">
        <v>16311.97</v>
      </c>
      <c r="L315" s="7">
        <v>5775</v>
      </c>
      <c r="M315" s="7">
        <v>22086.97</v>
      </c>
      <c r="N315" s="7">
        <v>5521.74</v>
      </c>
      <c r="O315" s="7">
        <v>3366.53</v>
      </c>
      <c r="P315" s="7">
        <v>0</v>
      </c>
      <c r="Q315" s="7">
        <v>6489.45</v>
      </c>
      <c r="R315" s="7">
        <v>0</v>
      </c>
      <c r="S315" s="7">
        <v>0</v>
      </c>
      <c r="T315" s="7">
        <v>9867.64</v>
      </c>
      <c r="U315" s="7">
        <v>6574.54</v>
      </c>
      <c r="V315" s="7">
        <v>1052.8</v>
      </c>
      <c r="W315" s="7">
        <v>15707.62</v>
      </c>
    </row>
    <row r="316" spans="1:23" x14ac:dyDescent="0.25">
      <c r="A316" s="12" t="s">
        <v>38</v>
      </c>
      <c r="B316" s="12">
        <v>2711</v>
      </c>
      <c r="C316" s="12">
        <v>1</v>
      </c>
      <c r="D316" s="13" t="s">
        <v>709</v>
      </c>
      <c r="E316" s="12">
        <v>77</v>
      </c>
      <c r="F316" s="12">
        <v>389</v>
      </c>
      <c r="G316" s="14" t="s">
        <v>743</v>
      </c>
      <c r="H316" s="7">
        <v>5257.95</v>
      </c>
      <c r="I316" s="7">
        <v>7182.75</v>
      </c>
      <c r="J316" s="7">
        <v>12440.7</v>
      </c>
      <c r="K316" s="7">
        <v>12334.71</v>
      </c>
      <c r="L316" s="7">
        <v>21800.39</v>
      </c>
      <c r="M316" s="7">
        <v>34135.1</v>
      </c>
      <c r="N316" s="7">
        <v>8533.7800000000007</v>
      </c>
      <c r="O316" s="7">
        <v>-96.99</v>
      </c>
      <c r="P316" s="7">
        <v>0</v>
      </c>
      <c r="Q316" s="7">
        <v>4165.38</v>
      </c>
      <c r="R316" s="7">
        <v>0</v>
      </c>
      <c r="S316" s="7">
        <v>0</v>
      </c>
      <c r="T316" s="7">
        <v>8789.31</v>
      </c>
      <c r="U316" s="7">
        <v>4285.8999999999996</v>
      </c>
      <c r="V316" s="7">
        <v>0</v>
      </c>
      <c r="W316" s="7">
        <v>12440.7</v>
      </c>
    </row>
    <row r="317" spans="1:23" x14ac:dyDescent="0.25">
      <c r="A317" s="12" t="s">
        <v>38</v>
      </c>
      <c r="B317" s="12">
        <v>2752</v>
      </c>
      <c r="C317" s="12">
        <v>1</v>
      </c>
      <c r="D317" s="13" t="s">
        <v>710</v>
      </c>
      <c r="E317" s="12">
        <v>183</v>
      </c>
      <c r="F317" s="12">
        <v>673</v>
      </c>
      <c r="G317" s="14" t="s">
        <v>743</v>
      </c>
      <c r="H317" s="7">
        <v>12496.18</v>
      </c>
      <c r="I317" s="7">
        <v>12426.72</v>
      </c>
      <c r="J317" s="7">
        <v>24922.9</v>
      </c>
      <c r="K317" s="7">
        <v>24532.47</v>
      </c>
      <c r="L317" s="7">
        <v>42090.51</v>
      </c>
      <c r="M317" s="7">
        <v>66622.98</v>
      </c>
      <c r="N317" s="7">
        <v>16655.75</v>
      </c>
      <c r="O317" s="7">
        <v>4963</v>
      </c>
      <c r="P317" s="7">
        <v>0</v>
      </c>
      <c r="Q317" s="7">
        <v>13424.04</v>
      </c>
      <c r="R317" s="7">
        <v>0</v>
      </c>
      <c r="S317" s="7">
        <v>0</v>
      </c>
      <c r="T317" s="7">
        <v>27100.02</v>
      </c>
      <c r="U317" s="7">
        <v>15162.35</v>
      </c>
      <c r="V317" s="7">
        <v>0</v>
      </c>
      <c r="W317" s="7">
        <v>24922.9</v>
      </c>
    </row>
    <row r="318" spans="1:23" x14ac:dyDescent="0.25">
      <c r="A318" s="12" t="s">
        <v>38</v>
      </c>
      <c r="B318" s="12">
        <v>2753</v>
      </c>
      <c r="C318" s="12">
        <v>1</v>
      </c>
      <c r="D318" s="13" t="s">
        <v>711</v>
      </c>
      <c r="E318" s="12">
        <v>145</v>
      </c>
      <c r="F318" s="12">
        <v>597</v>
      </c>
      <c r="G318" s="14" t="s">
        <v>743</v>
      </c>
      <c r="H318" s="7">
        <v>9901.34</v>
      </c>
      <c r="I318" s="7">
        <v>11023.4</v>
      </c>
      <c r="J318" s="7">
        <v>20924.740000000002</v>
      </c>
      <c r="K318" s="7">
        <v>19460.14</v>
      </c>
      <c r="L318" s="7">
        <v>8594</v>
      </c>
      <c r="M318" s="7">
        <v>28054.14</v>
      </c>
      <c r="N318" s="7">
        <v>7013.54</v>
      </c>
      <c r="O318" s="7">
        <v>-731.22</v>
      </c>
      <c r="P318" s="7">
        <v>0</v>
      </c>
      <c r="Q318" s="7">
        <v>-5837.95</v>
      </c>
      <c r="R318" s="7">
        <v>0</v>
      </c>
      <c r="S318" s="7">
        <v>0</v>
      </c>
      <c r="T318" s="7">
        <v>-9975.44</v>
      </c>
      <c r="U318" s="7">
        <v>-5514.87</v>
      </c>
      <c r="V318" s="7">
        <v>0</v>
      </c>
      <c r="W318" s="7">
        <v>20924.740000000002</v>
      </c>
    </row>
    <row r="319" spans="1:23" x14ac:dyDescent="0.25">
      <c r="A319" s="12" t="s">
        <v>38</v>
      </c>
      <c r="B319" s="12">
        <v>2754</v>
      </c>
      <c r="C319" s="12">
        <v>1</v>
      </c>
      <c r="D319" s="13" t="s">
        <v>712</v>
      </c>
      <c r="E319" s="12">
        <v>38</v>
      </c>
      <c r="F319" s="12">
        <v>212</v>
      </c>
      <c r="G319" s="14" t="s">
        <v>743</v>
      </c>
      <c r="H319" s="7">
        <v>2594.83</v>
      </c>
      <c r="I319" s="7">
        <v>3914.51</v>
      </c>
      <c r="J319" s="7">
        <v>6509.34</v>
      </c>
      <c r="K319" s="7">
        <v>6508.7</v>
      </c>
      <c r="L319" s="7">
        <v>24221.5</v>
      </c>
      <c r="M319" s="7">
        <v>30730.2</v>
      </c>
      <c r="N319" s="7">
        <v>7682.55</v>
      </c>
      <c r="O319" s="7">
        <v>-8138.91</v>
      </c>
      <c r="P319" s="7">
        <v>0</v>
      </c>
      <c r="Q319" s="7">
        <v>-12733.15</v>
      </c>
      <c r="R319" s="7">
        <v>0</v>
      </c>
      <c r="S319" s="7">
        <v>0</v>
      </c>
      <c r="T319" s="7">
        <v>-12524.52</v>
      </c>
      <c r="U319" s="7">
        <v>-11132.19</v>
      </c>
      <c r="V319" s="7">
        <v>0</v>
      </c>
      <c r="W319" s="7">
        <v>6509.34</v>
      </c>
    </row>
    <row r="320" spans="1:23" x14ac:dyDescent="0.25">
      <c r="A320" s="12" t="s">
        <v>38</v>
      </c>
      <c r="B320" s="12">
        <v>2759</v>
      </c>
      <c r="C320" s="12">
        <v>1</v>
      </c>
      <c r="D320" s="13" t="s">
        <v>713</v>
      </c>
      <c r="E320" s="12">
        <v>37</v>
      </c>
      <c r="F320" s="12">
        <v>199</v>
      </c>
      <c r="G320" s="14" t="s">
        <v>743</v>
      </c>
      <c r="H320" s="7">
        <v>2526.5500000000002</v>
      </c>
      <c r="I320" s="7">
        <v>3674.47</v>
      </c>
      <c r="J320" s="7">
        <v>6201.02</v>
      </c>
      <c r="K320" s="7">
        <v>5346.71</v>
      </c>
      <c r="L320" s="7">
        <v>0</v>
      </c>
      <c r="M320" s="7">
        <v>5346.71</v>
      </c>
      <c r="N320" s="7">
        <v>1336.68</v>
      </c>
      <c r="O320" s="7">
        <v>-228.33</v>
      </c>
      <c r="P320" s="7">
        <v>0</v>
      </c>
      <c r="Q320" s="7">
        <v>-89.11</v>
      </c>
      <c r="R320" s="7">
        <v>0</v>
      </c>
      <c r="S320" s="7">
        <v>0</v>
      </c>
      <c r="T320" s="7">
        <v>1641.03</v>
      </c>
      <c r="U320" s="7">
        <v>441.2</v>
      </c>
      <c r="V320" s="7">
        <v>0</v>
      </c>
      <c r="W320" s="7">
        <v>6201.02</v>
      </c>
    </row>
    <row r="321" spans="1:23" x14ac:dyDescent="0.25">
      <c r="A321" s="12" t="s">
        <v>38</v>
      </c>
      <c r="B321" s="12">
        <v>2805</v>
      </c>
      <c r="C321" s="12">
        <v>1</v>
      </c>
      <c r="D321" s="13" t="s">
        <v>714</v>
      </c>
      <c r="E321" s="12">
        <v>80</v>
      </c>
      <c r="F321" s="12">
        <v>240</v>
      </c>
      <c r="G321" s="14" t="s">
        <v>743</v>
      </c>
      <c r="H321" s="7">
        <v>5462.81</v>
      </c>
      <c r="I321" s="7">
        <v>4431.5200000000004</v>
      </c>
      <c r="J321" s="7">
        <v>9894.33</v>
      </c>
      <c r="K321" s="7">
        <v>10466.09</v>
      </c>
      <c r="L321" s="7">
        <v>53693.45</v>
      </c>
      <c r="M321" s="7">
        <v>64159.54</v>
      </c>
      <c r="N321" s="7">
        <v>16039.89</v>
      </c>
      <c r="O321" s="7">
        <v>11838.77</v>
      </c>
      <c r="P321" s="7">
        <v>0</v>
      </c>
      <c r="Q321" s="7">
        <v>11279.34</v>
      </c>
      <c r="R321" s="7">
        <v>0</v>
      </c>
      <c r="S321" s="7">
        <v>0</v>
      </c>
      <c r="T321" s="7">
        <v>22323.91</v>
      </c>
      <c r="U321" s="7">
        <v>15147.34</v>
      </c>
      <c r="V321" s="7">
        <v>0</v>
      </c>
      <c r="W321" s="7">
        <v>9894.33</v>
      </c>
    </row>
    <row r="322" spans="1:23" x14ac:dyDescent="0.25">
      <c r="A322" s="12" t="s">
        <v>38</v>
      </c>
      <c r="B322" s="12">
        <v>2835</v>
      </c>
      <c r="C322" s="12">
        <v>1</v>
      </c>
      <c r="D322" s="13" t="s">
        <v>715</v>
      </c>
      <c r="E322" s="12">
        <v>56</v>
      </c>
      <c r="F322" s="12">
        <v>154</v>
      </c>
      <c r="G322" s="14" t="s">
        <v>743</v>
      </c>
      <c r="H322" s="7">
        <v>3823.97</v>
      </c>
      <c r="I322" s="7">
        <v>2843.56</v>
      </c>
      <c r="J322" s="7">
        <v>6667.53</v>
      </c>
      <c r="K322" s="7">
        <v>6804.13</v>
      </c>
      <c r="L322" s="7">
        <v>33727.46</v>
      </c>
      <c r="M322" s="7">
        <v>40531.589999999997</v>
      </c>
      <c r="N322" s="7">
        <v>10132.9</v>
      </c>
      <c r="O322" s="7">
        <v>236.66</v>
      </c>
      <c r="P322" s="7">
        <v>0</v>
      </c>
      <c r="Q322" s="7">
        <v>-6071.29</v>
      </c>
      <c r="R322" s="7">
        <v>0</v>
      </c>
      <c r="S322" s="7">
        <v>0</v>
      </c>
      <c r="T322" s="7">
        <v>-1525.73</v>
      </c>
      <c r="U322" s="7">
        <v>-2453.4499999999998</v>
      </c>
      <c r="V322" s="7">
        <v>0</v>
      </c>
      <c r="W322" s="7">
        <v>6667.53</v>
      </c>
    </row>
    <row r="323" spans="1:23" x14ac:dyDescent="0.25">
      <c r="A323" s="12" t="s">
        <v>38</v>
      </c>
      <c r="B323" s="12">
        <v>2853</v>
      </c>
      <c r="C323" s="12">
        <v>1</v>
      </c>
      <c r="D323" s="13" t="s">
        <v>716</v>
      </c>
      <c r="E323" s="12">
        <v>68</v>
      </c>
      <c r="F323" s="12">
        <v>321</v>
      </c>
      <c r="G323" s="14" t="s">
        <v>743</v>
      </c>
      <c r="H323" s="7">
        <v>4643.3900000000003</v>
      </c>
      <c r="I323" s="7">
        <v>5927.16</v>
      </c>
      <c r="J323" s="7">
        <v>10570.55</v>
      </c>
      <c r="K323" s="7">
        <v>11407.1</v>
      </c>
      <c r="L323" s="7">
        <v>51766.1</v>
      </c>
      <c r="M323" s="7">
        <v>63173.2</v>
      </c>
      <c r="N323" s="7">
        <v>15793.3</v>
      </c>
      <c r="O323" s="7">
        <v>-20751.09</v>
      </c>
      <c r="P323" s="7">
        <v>0</v>
      </c>
      <c r="Q323" s="7">
        <v>-17390.13</v>
      </c>
      <c r="R323" s="7">
        <v>0</v>
      </c>
      <c r="S323" s="7">
        <v>0</v>
      </c>
      <c r="T323" s="7">
        <v>-20145.5</v>
      </c>
      <c r="U323" s="7">
        <v>-19428.91</v>
      </c>
      <c r="V323" s="7">
        <v>0</v>
      </c>
      <c r="W323" s="7">
        <v>10570.55</v>
      </c>
    </row>
    <row r="324" spans="1:23" x14ac:dyDescent="0.25">
      <c r="A324" s="12" t="s">
        <v>38</v>
      </c>
      <c r="B324" s="12">
        <v>2854</v>
      </c>
      <c r="C324" s="12">
        <v>1</v>
      </c>
      <c r="D324" s="13" t="s">
        <v>717</v>
      </c>
      <c r="E324" s="12">
        <v>44</v>
      </c>
      <c r="F324" s="12">
        <v>249</v>
      </c>
      <c r="G324" s="14" t="s">
        <v>743</v>
      </c>
      <c r="H324" s="7">
        <v>3004.55</v>
      </c>
      <c r="I324" s="7">
        <v>4597.7</v>
      </c>
      <c r="J324" s="7">
        <v>7602.25</v>
      </c>
      <c r="K324" s="7">
        <v>7376.81</v>
      </c>
      <c r="L324" s="7">
        <v>9896</v>
      </c>
      <c r="M324" s="7">
        <v>17272.810000000001</v>
      </c>
      <c r="N324" s="7">
        <v>4318.2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-317.37</v>
      </c>
      <c r="U324" s="7">
        <v>-105.79</v>
      </c>
      <c r="V324" s="7">
        <v>0</v>
      </c>
      <c r="W324" s="7">
        <v>7602.25</v>
      </c>
    </row>
    <row r="325" spans="1:23" x14ac:dyDescent="0.25">
      <c r="A325" s="12" t="s">
        <v>38</v>
      </c>
      <c r="B325" s="12">
        <v>2856</v>
      </c>
      <c r="C325" s="12">
        <v>1</v>
      </c>
      <c r="D325" s="13" t="s">
        <v>718</v>
      </c>
      <c r="E325" s="12">
        <v>21</v>
      </c>
      <c r="F325" s="12">
        <v>148</v>
      </c>
      <c r="G325" s="14" t="s">
        <v>743</v>
      </c>
      <c r="H325" s="7">
        <v>1433.99</v>
      </c>
      <c r="I325" s="7">
        <v>2732.77</v>
      </c>
      <c r="J325" s="7">
        <v>4166.76</v>
      </c>
      <c r="K325" s="7">
        <v>3997.25</v>
      </c>
      <c r="L325" s="7">
        <v>10704</v>
      </c>
      <c r="M325" s="7">
        <v>14701.25</v>
      </c>
      <c r="N325" s="7">
        <v>3675.31</v>
      </c>
      <c r="O325" s="7">
        <v>252.36</v>
      </c>
      <c r="P325" s="7">
        <v>0</v>
      </c>
      <c r="Q325" s="7">
        <v>0</v>
      </c>
      <c r="R325" s="7">
        <v>0</v>
      </c>
      <c r="S325" s="7">
        <v>0</v>
      </c>
      <c r="T325" s="7">
        <v>0.16</v>
      </c>
      <c r="U325" s="7">
        <v>84.17</v>
      </c>
      <c r="V325" s="7">
        <v>0</v>
      </c>
      <c r="W325" s="7">
        <v>4166.76</v>
      </c>
    </row>
    <row r="326" spans="1:23" x14ac:dyDescent="0.25">
      <c r="A326" s="12" t="s">
        <v>38</v>
      </c>
      <c r="B326" s="12">
        <v>2859</v>
      </c>
      <c r="C326" s="12">
        <v>1</v>
      </c>
      <c r="D326" s="13" t="s">
        <v>719</v>
      </c>
      <c r="E326" s="12">
        <v>195</v>
      </c>
      <c r="F326" s="12">
        <v>660</v>
      </c>
      <c r="G326" s="14" t="s">
        <v>743</v>
      </c>
      <c r="H326" s="7">
        <v>13315.6</v>
      </c>
      <c r="I326" s="7">
        <v>12186.68</v>
      </c>
      <c r="J326" s="7">
        <v>25502.28</v>
      </c>
      <c r="K326" s="7">
        <v>24588.5</v>
      </c>
      <c r="L326" s="7">
        <v>39596.5</v>
      </c>
      <c r="M326" s="7">
        <v>64185</v>
      </c>
      <c r="N326" s="7">
        <v>16046.25</v>
      </c>
      <c r="O326" s="7">
        <v>25764.36</v>
      </c>
      <c r="P326" s="7">
        <v>1529.35</v>
      </c>
      <c r="Q326" s="7">
        <v>16656.830000000002</v>
      </c>
      <c r="R326" s="7">
        <v>5774.11</v>
      </c>
      <c r="S326" s="7">
        <v>0</v>
      </c>
      <c r="T326" s="7">
        <v>4835.8900000000003</v>
      </c>
      <c r="U326" s="7">
        <v>13317.87</v>
      </c>
      <c r="V326" s="7">
        <v>0</v>
      </c>
      <c r="W326" s="7">
        <v>25502.28</v>
      </c>
    </row>
    <row r="327" spans="1:23" x14ac:dyDescent="0.25">
      <c r="A327" s="12" t="s">
        <v>38</v>
      </c>
      <c r="B327" s="12">
        <v>2860</v>
      </c>
      <c r="C327" s="12">
        <v>1</v>
      </c>
      <c r="D327" s="13" t="s">
        <v>720</v>
      </c>
      <c r="E327" s="12">
        <v>134</v>
      </c>
      <c r="F327" s="12">
        <v>530</v>
      </c>
      <c r="G327" s="14" t="s">
        <v>743</v>
      </c>
      <c r="H327" s="7">
        <v>9150.2099999999991</v>
      </c>
      <c r="I327" s="7">
        <v>9786.27</v>
      </c>
      <c r="J327" s="7">
        <v>18936.48</v>
      </c>
      <c r="K327" s="7">
        <v>19033.86</v>
      </c>
      <c r="L327" s="7">
        <v>0</v>
      </c>
      <c r="M327" s="7">
        <v>19033.86</v>
      </c>
      <c r="N327" s="7">
        <v>4758.47</v>
      </c>
      <c r="O327" s="7">
        <v>-4675.29</v>
      </c>
      <c r="P327" s="7">
        <v>0</v>
      </c>
      <c r="Q327" s="7">
        <v>-1895.39</v>
      </c>
      <c r="R327" s="7">
        <v>0</v>
      </c>
      <c r="S327" s="7">
        <v>0</v>
      </c>
      <c r="T327" s="7">
        <v>137.91</v>
      </c>
      <c r="U327" s="7">
        <v>-2144.2600000000002</v>
      </c>
      <c r="V327" s="7">
        <v>0</v>
      </c>
      <c r="W327" s="7">
        <v>18936.48</v>
      </c>
    </row>
    <row r="328" spans="1:23" x14ac:dyDescent="0.25">
      <c r="A328" s="12" t="s">
        <v>38</v>
      </c>
      <c r="B328" s="12">
        <v>2884</v>
      </c>
      <c r="C328" s="12">
        <v>1</v>
      </c>
      <c r="D328" s="13" t="s">
        <v>721</v>
      </c>
      <c r="E328" s="12">
        <v>38</v>
      </c>
      <c r="F328" s="12">
        <v>207</v>
      </c>
      <c r="G328" s="14" t="s">
        <v>743</v>
      </c>
      <c r="H328" s="7">
        <v>2594.83</v>
      </c>
      <c r="I328" s="7">
        <v>3822.19</v>
      </c>
      <c r="J328" s="7">
        <v>6417.02</v>
      </c>
      <c r="K328" s="7">
        <v>6092.36</v>
      </c>
      <c r="L328" s="7">
        <v>5150</v>
      </c>
      <c r="M328" s="7">
        <v>11242.36</v>
      </c>
      <c r="N328" s="7">
        <v>2810.59</v>
      </c>
      <c r="O328" s="7">
        <v>-91859.86</v>
      </c>
      <c r="P328" s="7">
        <v>0</v>
      </c>
      <c r="Q328" s="7">
        <v>-107460.65</v>
      </c>
      <c r="R328" s="7">
        <v>0</v>
      </c>
      <c r="S328" s="7">
        <v>0</v>
      </c>
      <c r="T328" s="7">
        <v>-124550.04</v>
      </c>
      <c r="U328" s="7">
        <v>-107956.85</v>
      </c>
      <c r="V328" s="7">
        <v>0</v>
      </c>
      <c r="W328" s="7">
        <v>6417.02</v>
      </c>
    </row>
    <row r="329" spans="1:23" x14ac:dyDescent="0.25">
      <c r="A329" s="12" t="s">
        <v>38</v>
      </c>
      <c r="B329" s="12">
        <v>2886</v>
      </c>
      <c r="C329" s="12">
        <v>1</v>
      </c>
      <c r="D329" s="13" t="s">
        <v>722</v>
      </c>
      <c r="E329" s="12">
        <v>28</v>
      </c>
      <c r="F329" s="12">
        <v>118</v>
      </c>
      <c r="G329" s="14" t="s">
        <v>743</v>
      </c>
      <c r="H329" s="7">
        <v>1911.98</v>
      </c>
      <c r="I329" s="7">
        <v>2178.83</v>
      </c>
      <c r="J329" s="7">
        <v>4090.81</v>
      </c>
      <c r="K329" s="7">
        <v>5334.73</v>
      </c>
      <c r="L329" s="7">
        <v>0</v>
      </c>
      <c r="M329" s="7">
        <v>5334.73</v>
      </c>
      <c r="N329" s="7">
        <v>1333.68</v>
      </c>
      <c r="O329" s="7">
        <v>0</v>
      </c>
      <c r="P329" s="7">
        <v>0</v>
      </c>
      <c r="Q329" s="7">
        <v>-688.5</v>
      </c>
      <c r="R329" s="7">
        <v>0</v>
      </c>
      <c r="S329" s="7">
        <v>0</v>
      </c>
      <c r="T329" s="7">
        <v>-886.09</v>
      </c>
      <c r="U329" s="7">
        <v>-524.86</v>
      </c>
      <c r="V329" s="7">
        <v>0</v>
      </c>
      <c r="W329" s="7">
        <v>4090.81</v>
      </c>
    </row>
    <row r="330" spans="1:23" x14ac:dyDescent="0.25">
      <c r="A330" s="12" t="s">
        <v>38</v>
      </c>
      <c r="B330" s="12">
        <v>2888</v>
      </c>
      <c r="C330" s="12">
        <v>1</v>
      </c>
      <c r="D330" s="13" t="s">
        <v>723</v>
      </c>
      <c r="E330" s="12">
        <v>26</v>
      </c>
      <c r="F330" s="12">
        <v>174</v>
      </c>
      <c r="G330" s="14" t="s">
        <v>743</v>
      </c>
      <c r="H330" s="7">
        <v>1775.41</v>
      </c>
      <c r="I330" s="7">
        <v>3212.85</v>
      </c>
      <c r="J330" s="7">
        <v>4988.26</v>
      </c>
      <c r="K330" s="7">
        <v>5187.26</v>
      </c>
      <c r="L330" s="7">
        <v>27282</v>
      </c>
      <c r="M330" s="7">
        <v>32469.26</v>
      </c>
      <c r="N330" s="7">
        <v>8117.32</v>
      </c>
      <c r="O330" s="7">
        <v>0</v>
      </c>
      <c r="P330" s="7">
        <v>0</v>
      </c>
      <c r="Q330" s="7">
        <v>5401.41</v>
      </c>
      <c r="R330" s="7">
        <v>0</v>
      </c>
      <c r="S330" s="7">
        <v>0</v>
      </c>
      <c r="T330" s="7">
        <v>3543.94</v>
      </c>
      <c r="U330" s="7">
        <v>2981.78</v>
      </c>
      <c r="V330" s="7">
        <v>0</v>
      </c>
      <c r="W330" s="7">
        <v>4988.26</v>
      </c>
    </row>
    <row r="331" spans="1:23" x14ac:dyDescent="0.25">
      <c r="A331" s="12" t="s">
        <v>38</v>
      </c>
      <c r="B331" s="12">
        <v>2889</v>
      </c>
      <c r="C331" s="12">
        <v>1</v>
      </c>
      <c r="D331" s="13" t="s">
        <v>724</v>
      </c>
      <c r="E331" s="12">
        <v>54</v>
      </c>
      <c r="F331" s="12">
        <v>234</v>
      </c>
      <c r="G331" s="14" t="s">
        <v>743</v>
      </c>
      <c r="H331" s="7">
        <v>3687.4</v>
      </c>
      <c r="I331" s="7">
        <v>4320.7299999999996</v>
      </c>
      <c r="J331" s="7">
        <v>8008.13</v>
      </c>
      <c r="K331" s="7">
        <v>8571.84</v>
      </c>
      <c r="L331" s="7">
        <v>9240.01</v>
      </c>
      <c r="M331" s="7">
        <v>17811.849999999999</v>
      </c>
      <c r="N331" s="7">
        <v>4452.96</v>
      </c>
      <c r="O331" s="7">
        <v>-10835.62</v>
      </c>
      <c r="P331" s="7">
        <v>0</v>
      </c>
      <c r="Q331" s="7">
        <v>-29442.799999999999</v>
      </c>
      <c r="R331" s="7">
        <v>0</v>
      </c>
      <c r="S331" s="7">
        <v>0</v>
      </c>
      <c r="T331" s="7">
        <v>-42610.400000000001</v>
      </c>
      <c r="U331" s="7">
        <v>-27629.61</v>
      </c>
      <c r="V331" s="7">
        <v>0</v>
      </c>
      <c r="W331" s="7">
        <v>8008.13</v>
      </c>
    </row>
    <row r="332" spans="1:23" x14ac:dyDescent="0.25">
      <c r="A332" s="12" t="s">
        <v>38</v>
      </c>
      <c r="B332" s="12">
        <v>2890</v>
      </c>
      <c r="C332" s="12">
        <v>1</v>
      </c>
      <c r="D332" s="13" t="s">
        <v>725</v>
      </c>
      <c r="E332" s="12">
        <v>42</v>
      </c>
      <c r="F332" s="12">
        <v>260</v>
      </c>
      <c r="G332" s="14" t="s">
        <v>743</v>
      </c>
      <c r="H332" s="7">
        <v>2867.98</v>
      </c>
      <c r="I332" s="7">
        <v>4800.8100000000004</v>
      </c>
      <c r="J332" s="7">
        <v>7668.79</v>
      </c>
      <c r="K332" s="7">
        <v>8387.3700000000008</v>
      </c>
      <c r="L332" s="7">
        <v>10360.93</v>
      </c>
      <c r="M332" s="7">
        <v>18748.3</v>
      </c>
      <c r="N332" s="7">
        <v>4687.08</v>
      </c>
      <c r="O332" s="7">
        <v>5453.36</v>
      </c>
      <c r="P332" s="7">
        <v>292.66000000000003</v>
      </c>
      <c r="Q332" s="7">
        <v>9141.14</v>
      </c>
      <c r="R332" s="7">
        <v>332.28</v>
      </c>
      <c r="S332" s="7">
        <v>0</v>
      </c>
      <c r="T332" s="7">
        <v>9670.9699999999993</v>
      </c>
      <c r="U332" s="7">
        <v>7880.18</v>
      </c>
      <c r="V332" s="7">
        <v>3193.1</v>
      </c>
      <c r="W332" s="7">
        <v>4475.6899999999996</v>
      </c>
    </row>
    <row r="333" spans="1:23" x14ac:dyDescent="0.25">
      <c r="A333" s="12" t="s">
        <v>38</v>
      </c>
      <c r="B333" s="12">
        <v>2895</v>
      </c>
      <c r="C333" s="12">
        <v>1</v>
      </c>
      <c r="D333" s="13" t="s">
        <v>726</v>
      </c>
      <c r="E333" s="12">
        <v>104</v>
      </c>
      <c r="F333" s="12">
        <v>398</v>
      </c>
      <c r="G333" s="14" t="s">
        <v>743</v>
      </c>
      <c r="H333" s="7">
        <v>7101.65</v>
      </c>
      <c r="I333" s="7">
        <v>7348.94</v>
      </c>
      <c r="J333" s="7">
        <v>14450.59</v>
      </c>
      <c r="K333" s="7">
        <v>14220.93</v>
      </c>
      <c r="L333" s="7">
        <v>15453.46</v>
      </c>
      <c r="M333" s="7">
        <v>29674.39</v>
      </c>
      <c r="N333" s="7">
        <v>7418.6</v>
      </c>
      <c r="O333" s="7">
        <v>2995.36</v>
      </c>
      <c r="P333" s="7">
        <v>0</v>
      </c>
      <c r="Q333" s="7">
        <v>5096.3500000000004</v>
      </c>
      <c r="R333" s="7">
        <v>0</v>
      </c>
      <c r="S333" s="7">
        <v>0</v>
      </c>
      <c r="T333" s="7">
        <v>5718.25</v>
      </c>
      <c r="U333" s="7">
        <v>4603.32</v>
      </c>
      <c r="V333" s="7">
        <v>0</v>
      </c>
      <c r="W333" s="7">
        <v>14450.59</v>
      </c>
    </row>
    <row r="334" spans="1:23" x14ac:dyDescent="0.25">
      <c r="A334" s="12" t="s">
        <v>38</v>
      </c>
      <c r="B334" s="12">
        <v>2897</v>
      </c>
      <c r="C334" s="12">
        <v>1</v>
      </c>
      <c r="D334" s="13" t="s">
        <v>727</v>
      </c>
      <c r="E334" s="12">
        <v>88</v>
      </c>
      <c r="F334" s="12">
        <v>405</v>
      </c>
      <c r="G334" s="14" t="s">
        <v>743</v>
      </c>
      <c r="H334" s="7">
        <v>6009.09</v>
      </c>
      <c r="I334" s="7">
        <v>7478.19</v>
      </c>
      <c r="J334" s="7">
        <v>13487.28</v>
      </c>
      <c r="K334" s="7">
        <v>15183.49</v>
      </c>
      <c r="L334" s="7">
        <v>41992</v>
      </c>
      <c r="M334" s="7">
        <v>57175.49</v>
      </c>
      <c r="N334" s="7">
        <v>14293.87</v>
      </c>
      <c r="O334" s="7">
        <v>-8736.32</v>
      </c>
      <c r="P334" s="7">
        <v>0</v>
      </c>
      <c r="Q334" s="7">
        <v>-10197.34</v>
      </c>
      <c r="R334" s="7">
        <v>0</v>
      </c>
      <c r="S334" s="7">
        <v>0</v>
      </c>
      <c r="T334" s="7">
        <v>-11743.37</v>
      </c>
      <c r="U334" s="7">
        <v>-10225.68</v>
      </c>
      <c r="V334" s="7">
        <v>0</v>
      </c>
      <c r="W334" s="7">
        <v>13487.28</v>
      </c>
    </row>
    <row r="335" spans="1:23" x14ac:dyDescent="0.25">
      <c r="A335" s="12" t="s">
        <v>38</v>
      </c>
      <c r="B335" s="12">
        <v>2898</v>
      </c>
      <c r="C335" s="12">
        <v>1</v>
      </c>
      <c r="D335" s="13" t="s">
        <v>728</v>
      </c>
      <c r="E335" s="12">
        <v>28</v>
      </c>
      <c r="F335" s="12">
        <v>288</v>
      </c>
      <c r="G335" s="14" t="s">
        <v>743</v>
      </c>
      <c r="H335" s="7">
        <v>1911.98</v>
      </c>
      <c r="I335" s="7">
        <v>5317.82</v>
      </c>
      <c r="J335" s="7">
        <v>7229.8</v>
      </c>
      <c r="K335" s="7">
        <v>7997.01</v>
      </c>
      <c r="L335" s="7">
        <v>3200</v>
      </c>
      <c r="M335" s="7">
        <v>11197.01</v>
      </c>
      <c r="N335" s="7">
        <v>2799.25</v>
      </c>
      <c r="O335" s="7">
        <v>-1942.73</v>
      </c>
      <c r="P335" s="7">
        <v>0</v>
      </c>
      <c r="Q335" s="7">
        <v>60.04</v>
      </c>
      <c r="R335" s="7">
        <v>0</v>
      </c>
      <c r="S335" s="7">
        <v>0</v>
      </c>
      <c r="T335" s="7">
        <v>1272.6600000000001</v>
      </c>
      <c r="U335" s="7">
        <v>-203.34</v>
      </c>
      <c r="V335" s="7">
        <v>0</v>
      </c>
      <c r="W335" s="7">
        <v>7229.8</v>
      </c>
    </row>
    <row r="336" spans="1:23" x14ac:dyDescent="0.25">
      <c r="A336" s="12" t="s">
        <v>38</v>
      </c>
      <c r="B336" s="12">
        <v>2899</v>
      </c>
      <c r="C336" s="12">
        <v>1</v>
      </c>
      <c r="D336" s="13" t="s">
        <v>729</v>
      </c>
      <c r="E336" s="12">
        <v>106</v>
      </c>
      <c r="F336" s="12">
        <v>364</v>
      </c>
      <c r="G336" s="14" t="s">
        <v>743</v>
      </c>
      <c r="H336" s="7">
        <v>7238.22</v>
      </c>
      <c r="I336" s="7">
        <v>6721.14</v>
      </c>
      <c r="J336" s="7">
        <v>13959.36</v>
      </c>
      <c r="K336" s="7">
        <v>12758.59</v>
      </c>
      <c r="L336" s="7">
        <v>60291</v>
      </c>
      <c r="M336" s="7">
        <v>73049.59</v>
      </c>
      <c r="N336" s="7">
        <v>18262.400000000001</v>
      </c>
      <c r="O336" s="7">
        <v>13048.46</v>
      </c>
      <c r="P336" s="7">
        <v>0</v>
      </c>
      <c r="Q336" s="7">
        <v>-2336.6</v>
      </c>
      <c r="R336" s="7">
        <v>0</v>
      </c>
      <c r="S336" s="7">
        <v>0</v>
      </c>
      <c r="T336" s="7">
        <v>14020.72</v>
      </c>
      <c r="U336" s="7">
        <v>8244.19</v>
      </c>
      <c r="V336" s="7">
        <v>0</v>
      </c>
      <c r="W336" s="7">
        <v>13959.36</v>
      </c>
    </row>
    <row r="337" spans="1:23" x14ac:dyDescent="0.25">
      <c r="A337" s="12" t="s">
        <v>38</v>
      </c>
      <c r="B337" s="12">
        <v>2902</v>
      </c>
      <c r="C337" s="12">
        <v>1</v>
      </c>
      <c r="D337" s="13" t="s">
        <v>730</v>
      </c>
      <c r="E337" s="12">
        <v>45</v>
      </c>
      <c r="F337" s="12">
        <v>208</v>
      </c>
      <c r="G337" s="14" t="s">
        <v>743</v>
      </c>
      <c r="H337" s="7">
        <v>3072.83</v>
      </c>
      <c r="I337" s="7">
        <v>3840.65</v>
      </c>
      <c r="J337" s="7">
        <v>6913.48</v>
      </c>
      <c r="K337" s="7">
        <v>7604.25</v>
      </c>
      <c r="L337" s="7">
        <v>0</v>
      </c>
      <c r="M337" s="7">
        <v>7604.25</v>
      </c>
      <c r="N337" s="7">
        <v>1901.06</v>
      </c>
      <c r="O337" s="7">
        <v>1.45</v>
      </c>
      <c r="P337" s="7">
        <v>0</v>
      </c>
      <c r="Q337" s="7">
        <v>1.79</v>
      </c>
      <c r="R337" s="7">
        <v>0</v>
      </c>
      <c r="S337" s="7">
        <v>0</v>
      </c>
      <c r="T337" s="7">
        <v>0.04</v>
      </c>
      <c r="U337" s="7">
        <v>1.0900000000000001</v>
      </c>
      <c r="V337" s="7">
        <v>0</v>
      </c>
      <c r="W337" s="7">
        <v>6913.48</v>
      </c>
    </row>
    <row r="338" spans="1:23" x14ac:dyDescent="0.25">
      <c r="A338" s="12" t="s">
        <v>38</v>
      </c>
      <c r="B338" s="12">
        <v>2903</v>
      </c>
      <c r="C338" s="12">
        <v>1</v>
      </c>
      <c r="D338" s="13" t="s">
        <v>731</v>
      </c>
      <c r="E338" s="12">
        <v>25</v>
      </c>
      <c r="F338" s="12">
        <v>196</v>
      </c>
      <c r="G338" s="14" t="s">
        <v>743</v>
      </c>
      <c r="H338" s="7">
        <v>1707.13</v>
      </c>
      <c r="I338" s="7">
        <v>3619.07</v>
      </c>
      <c r="J338" s="7">
        <v>5326.2</v>
      </c>
      <c r="K338" s="7">
        <v>7031.94</v>
      </c>
      <c r="L338" s="7">
        <v>23175.74</v>
      </c>
      <c r="M338" s="7">
        <v>30207.68</v>
      </c>
      <c r="N338" s="7">
        <v>7551.92</v>
      </c>
      <c r="O338" s="7">
        <v>-416.23</v>
      </c>
      <c r="P338" s="7">
        <v>706.14</v>
      </c>
      <c r="Q338" s="7">
        <v>-0.2</v>
      </c>
      <c r="R338" s="7">
        <v>0</v>
      </c>
      <c r="S338" s="7">
        <v>0</v>
      </c>
      <c r="T338" s="7">
        <v>3519.71</v>
      </c>
      <c r="U338" s="7">
        <v>799.05</v>
      </c>
      <c r="V338" s="7">
        <v>0</v>
      </c>
      <c r="W338" s="7">
        <v>5326.2</v>
      </c>
    </row>
    <row r="339" spans="1:23" x14ac:dyDescent="0.25">
      <c r="A339" s="12" t="s">
        <v>38</v>
      </c>
      <c r="B339" s="12">
        <v>2904</v>
      </c>
      <c r="C339" s="12">
        <v>1</v>
      </c>
      <c r="D339" s="13" t="s">
        <v>732</v>
      </c>
      <c r="E339" s="12">
        <v>79</v>
      </c>
      <c r="F339" s="12">
        <v>427</v>
      </c>
      <c r="G339" s="14" t="s">
        <v>743</v>
      </c>
      <c r="H339" s="7">
        <v>5394.53</v>
      </c>
      <c r="I339" s="7">
        <v>7884.41</v>
      </c>
      <c r="J339" s="7">
        <v>13278.94</v>
      </c>
      <c r="K339" s="7">
        <v>13119.87</v>
      </c>
      <c r="L339" s="7">
        <v>53800.68</v>
      </c>
      <c r="M339" s="7">
        <v>66920.55</v>
      </c>
      <c r="N339" s="7">
        <v>16730.14</v>
      </c>
      <c r="O339" s="7">
        <v>-41794.57</v>
      </c>
      <c r="P339" s="7">
        <v>0</v>
      </c>
      <c r="Q339" s="7">
        <v>-62928.95</v>
      </c>
      <c r="R339" s="7">
        <v>0</v>
      </c>
      <c r="S339" s="7">
        <v>0</v>
      </c>
      <c r="T339" s="7">
        <v>-25327.99</v>
      </c>
      <c r="U339" s="7">
        <v>-43350.5</v>
      </c>
      <c r="V339" s="7">
        <v>0</v>
      </c>
      <c r="W339" s="7">
        <v>13278.94</v>
      </c>
    </row>
  </sheetData>
  <sheetProtection password="8AD3" sheet="1" objects="1" scenarios="1"/>
  <pageMargins left="0.7" right="0.7" top="0.75" bottom="0.75" header="0.3" footer="0.3"/>
  <pageSetup scale="95" orientation="landscape" r:id="rId1"/>
  <headerFooter>
    <oddHeader>&amp;L&amp;A&amp;C&amp;F&amp;R&amp;D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1011 Community Education</vt:lpstr>
      <vt:lpstr>1011 ECFE</vt:lpstr>
      <vt:lpstr>1011 School Readiness</vt:lpstr>
      <vt:lpstr>'1011 Community Education'!Print_Titles</vt:lpstr>
      <vt:lpstr>'1011 ECFE'!Print_Titles</vt:lpstr>
      <vt:lpstr>'1011 School Readiness'!Print_Titles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Kuck, Judy</dc:creator>
  <cp:lastModifiedBy>Kostelecky, Teri</cp:lastModifiedBy>
  <cp:lastPrinted>2012-07-10T16:12:57Z</cp:lastPrinted>
  <dcterms:created xsi:type="dcterms:W3CDTF">2012-07-09T14:17:42Z</dcterms:created>
  <dcterms:modified xsi:type="dcterms:W3CDTF">2012-07-11T18:24:15Z</dcterms:modified>
</cp:coreProperties>
</file>