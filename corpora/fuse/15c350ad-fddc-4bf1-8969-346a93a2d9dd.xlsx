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0" yWindow="30" windowWidth="10890" windowHeight="5805"/>
  </bookViews>
  <sheets>
    <sheet name="Orion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N12" i="2"/>
  <c r="N15"/>
  <c r="I15"/>
  <c r="I14"/>
  <c r="I13"/>
  <c r="I12"/>
  <c r="I11"/>
  <c r="I10"/>
  <c r="I9"/>
  <c r="I8"/>
  <c r="I7"/>
  <c r="I6"/>
  <c r="I5"/>
  <c r="H15"/>
  <c r="H14"/>
  <c r="H13"/>
  <c r="H12"/>
  <c r="H11"/>
  <c r="H10"/>
  <c r="H9"/>
  <c r="H8"/>
  <c r="H7"/>
  <c r="H6"/>
  <c r="H5"/>
  <c r="E15"/>
  <c r="E14"/>
  <c r="E13"/>
  <c r="E12"/>
  <c r="E11"/>
  <c r="E10"/>
  <c r="E9"/>
  <c r="E8"/>
  <c r="E7"/>
  <c r="E6"/>
  <c r="E5"/>
  <c r="D15"/>
  <c r="D14"/>
  <c r="D13"/>
  <c r="D12"/>
  <c r="D11"/>
  <c r="D10"/>
  <c r="D9"/>
  <c r="D8"/>
  <c r="D7"/>
  <c r="D6"/>
  <c r="D5"/>
  <c r="M4"/>
  <c r="L4"/>
  <c r="K4"/>
  <c r="J4"/>
  <c r="I4"/>
  <c r="H4"/>
  <c r="G4"/>
  <c r="F4"/>
  <c r="E4"/>
  <c r="D4"/>
  <c r="B4"/>
  <c r="C4"/>
  <c r="C13"/>
  <c r="C15"/>
  <c r="C11"/>
  <c r="C7"/>
  <c r="C14"/>
  <c r="B15"/>
  <c r="B13"/>
  <c r="B11"/>
  <c r="B9"/>
  <c r="B7"/>
  <c r="B5"/>
  <c r="B14"/>
  <c r="A15"/>
  <c r="A6"/>
  <c r="A7" s="1"/>
  <c r="A8" s="1"/>
  <c r="A9" s="1"/>
  <c r="A10" s="1"/>
  <c r="A11" s="1"/>
  <c r="A12" s="1"/>
  <c r="A13" s="1"/>
  <c r="A14" s="1"/>
  <c r="C5" l="1"/>
  <c r="C9"/>
  <c r="B6"/>
  <c r="B8"/>
  <c r="B10"/>
  <c r="B12"/>
  <c r="C6"/>
  <c r="C8"/>
  <c r="C10"/>
  <c r="C12"/>
</calcChain>
</file>

<file path=xl/sharedStrings.xml><?xml version="1.0" encoding="utf-8"?>
<sst xmlns="http://schemas.openxmlformats.org/spreadsheetml/2006/main" count="610" uniqueCount="596">
  <si>
    <t>Name</t>
  </si>
  <si>
    <t>RA</t>
  </si>
  <si>
    <t>Dec</t>
  </si>
  <si>
    <t>Sep</t>
  </si>
  <si>
    <t>M1</t>
  </si>
  <si>
    <t>M2</t>
  </si>
  <si>
    <t>rA</t>
  </si>
  <si>
    <t>WDS04441+0205</t>
  </si>
  <si>
    <t>HL1, IDS04389+0153, BDS2332, ADS3412, BD+01 00808</t>
  </si>
  <si>
    <t>04h 44m 07s</t>
  </si>
  <si>
    <t>+02°04,8'</t>
  </si>
  <si>
    <t>WDS04465+0358</t>
  </si>
  <si>
    <t>A2425, IDS04412+0347, ADS3439, BD+03 00666</t>
  </si>
  <si>
    <t>04h 46m 31s</t>
  </si>
  <si>
    <t>+03°58,1'</t>
  </si>
  <si>
    <t>WDS04507+0418</t>
  </si>
  <si>
    <t>A1942, IDS04454+0407, ADS3473, BD+04 00762</t>
  </si>
  <si>
    <t>04h 50m 40s</t>
  </si>
  <si>
    <t>+04°17,6'</t>
  </si>
  <si>
    <t>WDS04523+0541</t>
  </si>
  <si>
    <t>A1943, IDS04470+0531, ADS3489, BD+05 00753</t>
  </si>
  <si>
    <t>04h 52m 18s</t>
  </si>
  <si>
    <t>+05°40,6'</t>
  </si>
  <si>
    <t>WDS04536-0302</t>
  </si>
  <si>
    <t>J711, IDS04486-0312, ADS3510</t>
  </si>
  <si>
    <t>04h 53m 39s</t>
  </si>
  <si>
    <t>-03°01,1'</t>
  </si>
  <si>
    <t>WDS04561+0908</t>
  </si>
  <si>
    <t>BU404, IDS04509+0900, BDS2427, ADS3541, BD+08 00803</t>
  </si>
  <si>
    <t>04h 56m 09s</t>
  </si>
  <si>
    <t>+09°08,2'</t>
  </si>
  <si>
    <t>WDS04576+0336</t>
  </si>
  <si>
    <t>BAL2131, IDS04523+0327</t>
  </si>
  <si>
    <t>04h 57m 32s</t>
  </si>
  <si>
    <t>+03°36,5'</t>
  </si>
  <si>
    <t>WDS05010+1430</t>
  </si>
  <si>
    <t>D6, IDS04553+1422, BDS2466, ADS3600, BD+14 00808</t>
  </si>
  <si>
    <t>05h 00m 58s</t>
  </si>
  <si>
    <t>+14°30,2'</t>
  </si>
  <si>
    <t>WDS05041+0257</t>
  </si>
  <si>
    <t>A2632, IDS04588+0249, ADS3652, BD+02 00852</t>
  </si>
  <si>
    <t>05h 04m 04s</t>
  </si>
  <si>
    <t>+02°57,3'</t>
  </si>
  <si>
    <t>WDS05045+0545</t>
  </si>
  <si>
    <t>A2043, IDS04592+0537, ADS3661, BD+05 00800</t>
  </si>
  <si>
    <t>05h 04m 31s</t>
  </si>
  <si>
    <t>+05°45,4'</t>
  </si>
  <si>
    <t>WDS05069+1100</t>
  </si>
  <si>
    <t>KU21, IDS05014+1052, BDS2525, ADS3695, BD+10 00714</t>
  </si>
  <si>
    <t>05h 06m 55s</t>
  </si>
  <si>
    <t>+10°59,8'</t>
  </si>
  <si>
    <t>WDS05074+0227</t>
  </si>
  <si>
    <t>A2634, IDS05022+0219, ADS3707, BD+02 00865</t>
  </si>
  <si>
    <t>05h 07m 22s</t>
  </si>
  <si>
    <t>+02°26,9'</t>
  </si>
  <si>
    <t>WDS05079+0830</t>
  </si>
  <si>
    <t>STT98, IDS05024+0822, BDS2535, ADS3711, BD+08 00866</t>
  </si>
  <si>
    <t>05h 07m 53s</t>
  </si>
  <si>
    <t>+08°29,9'</t>
  </si>
  <si>
    <t>WDS05100+0810</t>
  </si>
  <si>
    <t>STT100, IDS05046+0803, BDS2554, ADS3737, BD+07 00819</t>
  </si>
  <si>
    <t>05h 09m 58s</t>
  </si>
  <si>
    <t>+08°10,3'</t>
  </si>
  <si>
    <t>WDS05103-0327</t>
  </si>
  <si>
    <t>J308, IDS05053-0335, ADS3746, BD-03 01032</t>
  </si>
  <si>
    <t>05h 10m 15s</t>
  </si>
  <si>
    <t>-03°30,1'</t>
  </si>
  <si>
    <t>WDS05110-0146</t>
  </si>
  <si>
    <t>BU885, IDS05110-0146, BDS2565, ADS3755, BD-01 00823</t>
  </si>
  <si>
    <t>05h 10m 57s</t>
  </si>
  <si>
    <t>-01°45,8'</t>
  </si>
  <si>
    <t>WDS05122+0415</t>
  </si>
  <si>
    <t>BAL2629, IDS05069+0408, BD+04 00861</t>
  </si>
  <si>
    <t>05h 12m 11s</t>
  </si>
  <si>
    <t>+04°15,1'</t>
  </si>
  <si>
    <t>WDS05125-0302</t>
  </si>
  <si>
    <t>A51, IDS05074-0309, BDS2578, ADS3777, BD-03 01037</t>
  </si>
  <si>
    <t>05h 12m 27s</t>
  </si>
  <si>
    <t>-03°02,2'</t>
  </si>
  <si>
    <t>WDS05126-0133</t>
  </si>
  <si>
    <t>BAL299, IDS05076-0140, BD-01 00829</t>
  </si>
  <si>
    <t>05h 12m 39s</t>
  </si>
  <si>
    <t>-01°32,8'</t>
  </si>
  <si>
    <t>WDS05135+0158</t>
  </si>
  <si>
    <t>STT517, IDS05083+0151, BDS2588, ADS3799, BD+01 00938</t>
  </si>
  <si>
    <t>05h 13m 32s</t>
  </si>
  <si>
    <t>+01°58,0'</t>
  </si>
  <si>
    <t>WDS05148+1232</t>
  </si>
  <si>
    <t>HU1224, IDS05092+1225, ADS3822, BD+12 00752</t>
  </si>
  <si>
    <t>05h 14m 45s</t>
  </si>
  <si>
    <t>+12°31,5'</t>
  </si>
  <si>
    <t>WDS05159+0345</t>
  </si>
  <si>
    <t>A2638, IDS05106+0338, ADS3847, BD+03 00827</t>
  </si>
  <si>
    <t>05h 15m 53s</t>
  </si>
  <si>
    <t>+03°44,9'</t>
  </si>
  <si>
    <t>WDS05162-0329</t>
  </si>
  <si>
    <t>BU318, IDS05113-0336, BDS2622, ADS3856, BD-03 01051</t>
  </si>
  <si>
    <t>05h 16m 15s</t>
  </si>
  <si>
    <t>-03°29,0'</t>
  </si>
  <si>
    <t>WDS05169-0538</t>
  </si>
  <si>
    <t>A52, IDS05120-0545, BDS2633, ADS3867, BD-05 01210</t>
  </si>
  <si>
    <t>05h 16m 53s</t>
  </si>
  <si>
    <t>-05°38,2'</t>
  </si>
  <si>
    <t>WDS05181+0342</t>
  </si>
  <si>
    <t>A2639, IDS05128+0335, ADS3880, BD+03 00841</t>
  </si>
  <si>
    <t>05h 18m 03s</t>
  </si>
  <si>
    <t>+03°41,5'</t>
  </si>
  <si>
    <t>WDS05192-0304</t>
  </si>
  <si>
    <t>A53, IDS05141-0311, BDS2654, ADS3900, BD-03 01061</t>
  </si>
  <si>
    <t>05h 19m 13s</t>
  </si>
  <si>
    <t>-03°04,4'</t>
  </si>
  <si>
    <t>WDS05197+0539</t>
  </si>
  <si>
    <t>STZ1, BD+05 00885</t>
  </si>
  <si>
    <t>05h 19m 41s</t>
  </si>
  <si>
    <t>+05°38,7'</t>
  </si>
  <si>
    <t>WDS05203-0241</t>
  </si>
  <si>
    <t>A2804, IDS05153-0247, ADS3920, BD-02 01217</t>
  </si>
  <si>
    <t>05h 20m 20s</t>
  </si>
  <si>
    <t>-02°40,6'</t>
  </si>
  <si>
    <t>WDS05204-0802</t>
  </si>
  <si>
    <t>BU190, IDS05156-0808, BDS2673, ADS3927, BD-08 01092</t>
  </si>
  <si>
    <t>05h 20m 24s</t>
  </si>
  <si>
    <t>-08°01,7'</t>
  </si>
  <si>
    <t>WDS05220+0319</t>
  </si>
  <si>
    <t>TDS3160</t>
  </si>
  <si>
    <t>05h 22m 01s</t>
  </si>
  <si>
    <t>+03°18,8'</t>
  </si>
  <si>
    <t>WDS05229+1422</t>
  </si>
  <si>
    <t>HU1225, IDS05173+1416, ADS3961, BD+14 00890</t>
  </si>
  <si>
    <t>05h 22m 57s</t>
  </si>
  <si>
    <t>+14°21,6'</t>
  </si>
  <si>
    <t>WDS05229-0753</t>
  </si>
  <si>
    <t>OL137, IDS05178-0759, ADS3964, BD-08 01102</t>
  </si>
  <si>
    <t>05h 22m 52s</t>
  </si>
  <si>
    <t>-07°53,3'</t>
  </si>
  <si>
    <t>WDS05234-0355</t>
  </si>
  <si>
    <t>RST4275, IDS05184-0400, BD-04 01110</t>
  </si>
  <si>
    <t>05h 23m 22s</t>
  </si>
  <si>
    <t>-03°54,7'</t>
  </si>
  <si>
    <t>WDS05236-1025</t>
  </si>
  <si>
    <t>STN10, IDS05189-1031, BDS2707, ADS3987, BD-10 01174</t>
  </si>
  <si>
    <t>05h 23m 35s</t>
  </si>
  <si>
    <t>-10°25,1'</t>
  </si>
  <si>
    <t>WDS05251+1522</t>
  </si>
  <si>
    <t>HU1226, IDS05194+1516, ADS4006, BD+15 00809</t>
  </si>
  <si>
    <t>05h 25m 06s</t>
  </si>
  <si>
    <t>+15°21,7'</t>
  </si>
  <si>
    <t>WDS05257-0909</t>
  </si>
  <si>
    <t>DAE2, ADS4018</t>
  </si>
  <si>
    <t>05h 25m 42s</t>
  </si>
  <si>
    <t>-09°09,2'</t>
  </si>
  <si>
    <t>WDS05272+0658</t>
  </si>
  <si>
    <t>STF713, IDS05218+0653, BDS2736, ADS4046, BD+06 00928</t>
  </si>
  <si>
    <t>05h 27m 13s</t>
  </si>
  <si>
    <t>+06°58,0'</t>
  </si>
  <si>
    <t>WDS05273+0127</t>
  </si>
  <si>
    <t>J34, IDS05221+0122, ADS4051</t>
  </si>
  <si>
    <t>05h 27m 20s</t>
  </si>
  <si>
    <t>+01°27,2'</t>
  </si>
  <si>
    <t>WDS05273+0350</t>
  </si>
  <si>
    <t>BAL2147, IDS05220+0344, BD+03 00905</t>
  </si>
  <si>
    <t>05h 27m 18s</t>
  </si>
  <si>
    <t>+03°49,5'</t>
  </si>
  <si>
    <t>WDS05278+1047</t>
  </si>
  <si>
    <t>HJ700, IDS05223+1042, BDS2743</t>
  </si>
  <si>
    <t>05h 27m 45s</t>
  </si>
  <si>
    <t>+10°46,7'</t>
  </si>
  <si>
    <t>WDS05289+1233</t>
  </si>
  <si>
    <t>TOK94, BD+12 00801</t>
  </si>
  <si>
    <t>05h 28m 52s</t>
  </si>
  <si>
    <t>+12°33,0'</t>
  </si>
  <si>
    <t>WDS05290+0550</t>
  </si>
  <si>
    <t>A2645, IDS05237+0545, ADS4074, BD+05 00933</t>
  </si>
  <si>
    <t>05h 29m 03s</t>
  </si>
  <si>
    <t>+05°50,1'</t>
  </si>
  <si>
    <t>WDS05300+0222</t>
  </si>
  <si>
    <t>J1256, IDS05248+0217, ADS4102, BD+02 00978</t>
  </si>
  <si>
    <t>05h 30m 00s</t>
  </si>
  <si>
    <t>+02°22,2'</t>
  </si>
  <si>
    <t>WDS05307+1154</t>
  </si>
  <si>
    <t>A2705, IDS05251+1149, ADS4109, BD+11 00833</t>
  </si>
  <si>
    <t>05h 30m 43s</t>
  </si>
  <si>
    <t>+11°53,7'</t>
  </si>
  <si>
    <t>WDS05308+0557</t>
  </si>
  <si>
    <t>STF728, IDS05254+0552, BDS2780, ADS4115, BD+05 00939</t>
  </si>
  <si>
    <t>05h 30m 47s</t>
  </si>
  <si>
    <t>+05°56,8'</t>
  </si>
  <si>
    <t>WDS05309+1015</t>
  </si>
  <si>
    <t>STF726, IDS05254+1011, BDS2779, ADS4113, BD+10 00800</t>
  </si>
  <si>
    <t>05h 30m 52s</t>
  </si>
  <si>
    <t>+10°15,2'</t>
  </si>
  <si>
    <t>WDS05317-0328</t>
  </si>
  <si>
    <t>FOX7, IDS05267-0332, ADS4130, BD-03 01125</t>
  </si>
  <si>
    <t>05h 31m 39s</t>
  </si>
  <si>
    <t>-03°27,1'</t>
  </si>
  <si>
    <t>WDS05321-0311</t>
  </si>
  <si>
    <t>RST4279, IDS05271-0315, BD-03 01128</t>
  </si>
  <si>
    <t>05h 32m 03s</t>
  </si>
  <si>
    <t>-03°09,8'</t>
  </si>
  <si>
    <t>WDS05327-0136</t>
  </si>
  <si>
    <t>BU1048, IDS05276-0140, BDS2804, ADS4141, BD-01 00935</t>
  </si>
  <si>
    <t>05h 32m 41s</t>
  </si>
  <si>
    <t>-01°35,5'</t>
  </si>
  <si>
    <t>WDS05331+0228</t>
  </si>
  <si>
    <t>AG96, IDS05279+0224, BDS2805, ADS4145, BD+02 00996</t>
  </si>
  <si>
    <t>05h 33m 05s</t>
  </si>
  <si>
    <t>+02°28,1'</t>
  </si>
  <si>
    <t>WDS05344+0525</t>
  </si>
  <si>
    <t>HDS738, BD+05 00957</t>
  </si>
  <si>
    <t>05h 34m 24s</t>
  </si>
  <si>
    <t>+05°25,1'</t>
  </si>
  <si>
    <t>WDS05345-0429</t>
  </si>
  <si>
    <t>BU13, IDS05296-0433, BDS2823, ADS4172, BD-04 01171</t>
  </si>
  <si>
    <t>05h 34m 32s</t>
  </si>
  <si>
    <t>-04°29,2'</t>
  </si>
  <si>
    <t>WDS05349+0006</t>
  </si>
  <si>
    <t>RST5217, IDS05298+0002, BD+00 01123</t>
  </si>
  <si>
    <t>05h 34m 55s</t>
  </si>
  <si>
    <t>+00°06,0'</t>
  </si>
  <si>
    <t>WDS05352+1014</t>
  </si>
  <si>
    <t>STT111, IDS05297+1011, BDS2825, ADS4181, BD+10 00818</t>
  </si>
  <si>
    <t>05h 35m 13s</t>
  </si>
  <si>
    <t>+10°14,4'</t>
  </si>
  <si>
    <t>WDS05353-0516</t>
  </si>
  <si>
    <t>KOH100</t>
  </si>
  <si>
    <t>05h 35m 18s</t>
  </si>
  <si>
    <t>-05°16,2'</t>
  </si>
  <si>
    <t>WDS05353-0523</t>
  </si>
  <si>
    <t>05h 35m 16s</t>
  </si>
  <si>
    <t>-05°23,2'</t>
  </si>
  <si>
    <t>STF748, IDS05304-0527, BDS2837, ADS4186</t>
  </si>
  <si>
    <t>-05°23,1'</t>
  </si>
  <si>
    <t>SMN5, ADS4186</t>
  </si>
  <si>
    <t>05h 35m 17s</t>
  </si>
  <si>
    <t>WDS05354-0450</t>
  </si>
  <si>
    <t>DA4, IDS05304-0454, BDS2841, ADS4187, BD-04 01185</t>
  </si>
  <si>
    <t>05h 35m 23s</t>
  </si>
  <si>
    <t>-04°50,3'</t>
  </si>
  <si>
    <t>WDS05354-0839</t>
  </si>
  <si>
    <t>A489, IDS05307-0843, BDS2827, ADS4170, BD-08 01171</t>
  </si>
  <si>
    <t>05h 35m 27s</t>
  </si>
  <si>
    <t>-08°38,7'</t>
  </si>
  <si>
    <t>WDS05359-0538</t>
  </si>
  <si>
    <t>DA3, IDS05310-0542, BDS2850, ADS4202, BD-05 01330</t>
  </si>
  <si>
    <t>05h 35m 54s</t>
  </si>
  <si>
    <t>-05°37,7'</t>
  </si>
  <si>
    <t>WDS05361-0650</t>
  </si>
  <si>
    <t>BDG2, IDS05312-0654, BDS2851, ADS4205, BD-06 01248</t>
  </si>
  <si>
    <t>05h 36m 01s</t>
  </si>
  <si>
    <t>-06°50,2'</t>
  </si>
  <si>
    <t>WDS05366-0157</t>
  </si>
  <si>
    <t>A320, IDS05316-0201, BDS2852, ADS4211, BD-02 01312</t>
  </si>
  <si>
    <t>05h 36m 35s</t>
  </si>
  <si>
    <t>-01°57,2'</t>
  </si>
  <si>
    <t>WDS05376-0125</t>
  </si>
  <si>
    <t>BU89, IDS05325-0129, BDS2863, ADS4222, BD-01 00982</t>
  </si>
  <si>
    <t>05h 37m 35s</t>
  </si>
  <si>
    <t>-01°25,3'</t>
  </si>
  <si>
    <t>WDS05413-0728</t>
  </si>
  <si>
    <t>A493, IDS05364-0731, BDS2910, ADS4275, BD-07 01150</t>
  </si>
  <si>
    <t>05h 41m 17s</t>
  </si>
  <si>
    <t>-07°28,0'</t>
  </si>
  <si>
    <t>WDS05422+1336</t>
  </si>
  <si>
    <t>FOX142, IDS05365+1334, ADS4282, BD+13 00957</t>
  </si>
  <si>
    <t>05h 42m 11s</t>
  </si>
  <si>
    <t>+13°35,5'</t>
  </si>
  <si>
    <t>WDS05445-0745</t>
  </si>
  <si>
    <t>A497, IDS05397-0747, BDS2944, ADS4330, BD-07 01162</t>
  </si>
  <si>
    <t>05h 44m 33s</t>
  </si>
  <si>
    <t>-07°44,5'</t>
  </si>
  <si>
    <t>WDS05467+0005</t>
  </si>
  <si>
    <t>BU559, BDS2964, ADS4374, BD+00 01177</t>
  </si>
  <si>
    <t>05h 46m 45s</t>
  </si>
  <si>
    <t>+00°05,3'</t>
  </si>
  <si>
    <t>WDS05480+0627</t>
  </si>
  <si>
    <t>STF795, IDS05426+0625, BDS2976, ADS4390, BD+06 01027</t>
  </si>
  <si>
    <t>05h 48m 00s</t>
  </si>
  <si>
    <t>+06°27,2'</t>
  </si>
  <si>
    <t>WDS05483+0354</t>
  </si>
  <si>
    <t>J36, IDS05430+0352, ADS4395, BD+03 01041</t>
  </si>
  <si>
    <t>05h 48m 15s</t>
  </si>
  <si>
    <t>+03°53,9'</t>
  </si>
  <si>
    <t>WDS05496+2244</t>
  </si>
  <si>
    <t>LYO1, IDS05435+2242</t>
  </si>
  <si>
    <t>05h 49m 34s</t>
  </si>
  <si>
    <t>+22°44,0'</t>
  </si>
  <si>
    <t>WDS05500+0952</t>
  </si>
  <si>
    <t>HEI670, ADS4429, BD+09 00978</t>
  </si>
  <si>
    <t>05h 50m 03s</t>
  </si>
  <si>
    <t>+09°52,2'</t>
  </si>
  <si>
    <t>WDS05506-0126</t>
  </si>
  <si>
    <t>BU1188, IDS05456-0127, BDS3015, ADS4442, BD-01 01038</t>
  </si>
  <si>
    <t>05h 50m 38s</t>
  </si>
  <si>
    <t>-01°25,7'</t>
  </si>
  <si>
    <t>WDS05508-0116</t>
  </si>
  <si>
    <t>BAL312, IDS05457-0118, BD-01 01040</t>
  </si>
  <si>
    <t>05h 50m 48s</t>
  </si>
  <si>
    <t>-01°16,0'</t>
  </si>
  <si>
    <t>WDS05519+2037</t>
  </si>
  <si>
    <t>HU448, IDS05459+2035, BDS3016, ADS4454, BD+20 01141</t>
  </si>
  <si>
    <t>05h 51m 54s</t>
  </si>
  <si>
    <t>+20°37,1'</t>
  </si>
  <si>
    <t>WDS05535-0625</t>
  </si>
  <si>
    <t>A501, IDS05486-0626, BDS3034, ADS4485, BD-06 01343</t>
  </si>
  <si>
    <t>05h 53m 31s</t>
  </si>
  <si>
    <t>-06°24,8'</t>
  </si>
  <si>
    <t>WDS05538+0633</t>
  </si>
  <si>
    <t>A2714, IDS05485+0632, ADS4488, BD+06 01061</t>
  </si>
  <si>
    <t>05h 53m 51s</t>
  </si>
  <si>
    <t>+06°32,8'</t>
  </si>
  <si>
    <t>WDS05546+1530</t>
  </si>
  <si>
    <t>BU563, IDS05489+1529, BDS3036, ADS4495, BD+15 00976</t>
  </si>
  <si>
    <t>05h 54m 37s</t>
  </si>
  <si>
    <t>+15°30,4'</t>
  </si>
  <si>
    <t>05h 54m 55s</t>
  </si>
  <si>
    <t>WDS05549+1413</t>
  </si>
  <si>
    <t>HO20, IDS05492+1412, BDS3038, ADS4497, BD+14 01074</t>
  </si>
  <si>
    <t>+14°13,1'</t>
  </si>
  <si>
    <t>WDS05550-0701</t>
  </si>
  <si>
    <t>05h 54m 59s</t>
  </si>
  <si>
    <t>-07°00,6'</t>
  </si>
  <si>
    <t>J1915, IDS05502-0701</t>
  </si>
  <si>
    <t>WDS05564+1401</t>
  </si>
  <si>
    <t>TDS202</t>
  </si>
  <si>
    <t>05h 56m 26s</t>
  </si>
  <si>
    <t>+14°01,4'</t>
  </si>
  <si>
    <t>WDS05568+1822</t>
  </si>
  <si>
    <t>A2439, IDS05510+1821, ADS4529, BD+18 01026</t>
  </si>
  <si>
    <t>05h 56m 50s</t>
  </si>
  <si>
    <t>+18°22,2'</t>
  </si>
  <si>
    <t>WDS05569-0110</t>
  </si>
  <si>
    <t>A1047, IDS05518-0111, BDS13089, ADS4535, BD-01 01073</t>
  </si>
  <si>
    <t>05h 56m 52s</t>
  </si>
  <si>
    <t>-01°09,8'</t>
  </si>
  <si>
    <t>WDS05572+1750</t>
  </si>
  <si>
    <t>J955, IDS05514+1749, ADS4534</t>
  </si>
  <si>
    <t>05h 57m 15s</t>
  </si>
  <si>
    <t>+17°46,3'</t>
  </si>
  <si>
    <t>WDS05574+0002</t>
  </si>
  <si>
    <t>BU1190, IDS05523+0001, BDS3069, ADS4542, BD+00 01227</t>
  </si>
  <si>
    <t>05h 57m 25s</t>
  </si>
  <si>
    <t>+00°01,6'</t>
  </si>
  <si>
    <t>WDS05585+1024</t>
  </si>
  <si>
    <t>J1105, IDS05530+1023, ADS4554, BD+10 00952</t>
  </si>
  <si>
    <t>05h 58m 39s</t>
  </si>
  <si>
    <t>+10°25,5'</t>
  </si>
  <si>
    <t>WDS05590+1659</t>
  </si>
  <si>
    <t>J958, IDS05532+1658, ADS4561</t>
  </si>
  <si>
    <t>05h 59m 02s</t>
  </si>
  <si>
    <t>+16°57,5'</t>
  </si>
  <si>
    <t>WDS05595+1540</t>
  </si>
  <si>
    <t>J2735, IDS05538+1540</t>
  </si>
  <si>
    <t>05h 59m 43s</t>
  </si>
  <si>
    <t>+15°40,3'</t>
  </si>
  <si>
    <t>WDS05596+0745</t>
  </si>
  <si>
    <t>J253, IDS05542+0745, ADS4579</t>
  </si>
  <si>
    <t>05h 59m 41s</t>
  </si>
  <si>
    <t>+07°45,5'</t>
  </si>
  <si>
    <t>WDS05597+2228</t>
  </si>
  <si>
    <t>STT125, IDS05537+2228, BDS3083, ADS4577, BD+22 01130</t>
  </si>
  <si>
    <t>05h 59m 42s</t>
  </si>
  <si>
    <t>+22°28,2'</t>
  </si>
  <si>
    <t>WDS05599+1607</t>
  </si>
  <si>
    <t>J680, IDS05541+1607, ADS4584</t>
  </si>
  <si>
    <t>05h 59m 49s</t>
  </si>
  <si>
    <t>+16°06,6'</t>
  </si>
  <si>
    <t>WDS06003+0942</t>
  </si>
  <si>
    <t>J407, IDS05548+0942, ADS4585, BD+09 01043</t>
  </si>
  <si>
    <t>06h 00m 20s</t>
  </si>
  <si>
    <t>+09°42,1'</t>
  </si>
  <si>
    <t>WDS06013+1020</t>
  </si>
  <si>
    <t>J309, IDS05558+1020, ADS4598</t>
  </si>
  <si>
    <t>06h 01m 18s</t>
  </si>
  <si>
    <t>+10°22,4'</t>
  </si>
  <si>
    <t>WDS06022+1210</t>
  </si>
  <si>
    <t>J333, IDS05566+1209, ADS4614, BD+12 00992</t>
  </si>
  <si>
    <t>06h 02m 13s</t>
  </si>
  <si>
    <t>+12°09,6'</t>
  </si>
  <si>
    <t>WDS06025-0222</t>
  </si>
  <si>
    <t>STF836, IDS05575-0222, BDS3118, ADS4624, BD-02 01453</t>
  </si>
  <si>
    <t>06h 02m 31s</t>
  </si>
  <si>
    <t>-02°21,6'</t>
  </si>
  <si>
    <t>06h 02m 38s</t>
  </si>
  <si>
    <t>WDS06026-0028</t>
  </si>
  <si>
    <t>BAL678, IDS05575-0028, BD-00 01146</t>
  </si>
  <si>
    <t>-00°28,0'</t>
  </si>
  <si>
    <t>WDS06034+0811</t>
  </si>
  <si>
    <t>J51, IDS05579+0812, ADS4636, BD+08 01160</t>
  </si>
  <si>
    <t>06h 03m 23s</t>
  </si>
  <si>
    <t>+08°11,3'</t>
  </si>
  <si>
    <t>+10°14,8'</t>
  </si>
  <si>
    <t>WDS06041+1101</t>
  </si>
  <si>
    <t>J335, IDS05586+1101, ADS4647, BD+11 01012</t>
  </si>
  <si>
    <t>06h 04m 08s</t>
  </si>
  <si>
    <t>+11°00,9'</t>
  </si>
  <si>
    <t>WDS06049+1014</t>
  </si>
  <si>
    <t>J312, IDS05594+1014, ADS4657</t>
  </si>
  <si>
    <t>06h 04m 58s</t>
  </si>
  <si>
    <t>WDS06049+1054</t>
  </si>
  <si>
    <t>J311, IDS05594+1054, ADS4656, BD+10 00995</t>
  </si>
  <si>
    <t>06h 04m 57s</t>
  </si>
  <si>
    <t>+10°53,8'</t>
  </si>
  <si>
    <t>WDS06055+1336</t>
  </si>
  <si>
    <t>SLE832</t>
  </si>
  <si>
    <t>06h 05m 27s</t>
  </si>
  <si>
    <t>+13°36,2'</t>
  </si>
  <si>
    <t>WDS06059+1636</t>
  </si>
  <si>
    <t>A2513, IDS06001+1636, ADS4671, BD+16 00995</t>
  </si>
  <si>
    <t>06h 05m 52s</t>
  </si>
  <si>
    <t>+16°35,7'</t>
  </si>
  <si>
    <t>WDS06060+1229</t>
  </si>
  <si>
    <t>HO228, IDS06004+1229, BDS3141, ADS4675, BD+12 01013</t>
  </si>
  <si>
    <t>06h 06m 01s</t>
  </si>
  <si>
    <t>+12°28,7'</t>
  </si>
  <si>
    <t>WDS06061+0516</t>
  </si>
  <si>
    <t>J1368, IDS06008+0517, ADS4679, BD+05 01091</t>
  </si>
  <si>
    <t>06h 06m 06s</t>
  </si>
  <si>
    <t>+05°16,2'</t>
  </si>
  <si>
    <t>WDS06067+2006</t>
  </si>
  <si>
    <t>AG105, IDS06008+2007, BDS3144, ADS4686, BD+20 01259</t>
  </si>
  <si>
    <t>06h 06m 42s</t>
  </si>
  <si>
    <t>+20°06,3'</t>
  </si>
  <si>
    <t>WDS06073+1600</t>
  </si>
  <si>
    <t>HEI114, IDS06015+1601, BD+16 01005</t>
  </si>
  <si>
    <t>06h 07m 18s</t>
  </si>
  <si>
    <t>+16°01,2'</t>
  </si>
  <si>
    <t>WDS06074-0400</t>
  </si>
  <si>
    <t>STF850, IDS06024-0359, BDS3167, ADS4714, BD-03 01301</t>
  </si>
  <si>
    <t>06h 07m 22s</t>
  </si>
  <si>
    <t>-03°59,6'</t>
  </si>
  <si>
    <t>WDS06078+0020</t>
  </si>
  <si>
    <t>J338, IDS06027+0021, ADS4723, BD+00 01294</t>
  </si>
  <si>
    <t>06h 07m 53s</t>
  </si>
  <si>
    <t>+00°20,1'</t>
  </si>
  <si>
    <t>WDS06080+0744</t>
  </si>
  <si>
    <t>J255, IDS06026+0745, ADS4722</t>
  </si>
  <si>
    <t>06h 08m 03s</t>
  </si>
  <si>
    <t>+07°43,7'</t>
  </si>
  <si>
    <t>WDS06080+2118</t>
  </si>
  <si>
    <t>STT133, IDS06020+2119, BDS3159, ADS4716, BD+21 01125</t>
  </si>
  <si>
    <t>06h 08m 02s</t>
  </si>
  <si>
    <t>+21°17,7'</t>
  </si>
  <si>
    <t>WDS06084+0135</t>
  </si>
  <si>
    <t>A2664, IDS06032+0136, ADS4731, BD+01 01227</t>
  </si>
  <si>
    <t>06h 08m 23s</t>
  </si>
  <si>
    <t>+01°35,0'</t>
  </si>
  <si>
    <t>WDS06087+1724</t>
  </si>
  <si>
    <t>STF849, IDS06029+1725, BDS3172, ADS4730, BD+17 01139</t>
  </si>
  <si>
    <t>06h 08m 44s</t>
  </si>
  <si>
    <t>+17°24,1'</t>
  </si>
  <si>
    <t>WDS06096-0324</t>
  </si>
  <si>
    <t>A3020, IDS06046-0323, ADS4758, BD-03 01310</t>
  </si>
  <si>
    <t>06h 09m 36s</t>
  </si>
  <si>
    <t>-03°23,7'</t>
  </si>
  <si>
    <t>WDS06118+0228</t>
  </si>
  <si>
    <t>J52, IDS06065+0229, ADS4796, BD+02 01152</t>
  </si>
  <si>
    <t>06h 11m 46s</t>
  </si>
  <si>
    <t>+02°28,2'</t>
  </si>
  <si>
    <t>WDS06119+0706</t>
  </si>
  <si>
    <t>A2716, IDS06065+0707, ADS4795, BD+07 01177</t>
  </si>
  <si>
    <t>06h 11m 55s</t>
  </si>
  <si>
    <t>+07°05,5'</t>
  </si>
  <si>
    <t>WDS06120-0051</t>
  </si>
  <si>
    <t>BAL684, IDS06070-0049, BD-00 01209</t>
  </si>
  <si>
    <t>06h 12m 01s</t>
  </si>
  <si>
    <t>-00°50,6'</t>
  </si>
  <si>
    <t>06h 12m 16s</t>
  </si>
  <si>
    <t>WDS06123+0827</t>
  </si>
  <si>
    <t>A2808, IDS06068+0828, ADS4805, BD+08 01226</t>
  </si>
  <si>
    <t>+08°26,8'</t>
  </si>
  <si>
    <t>WDS06123+1001</t>
  </si>
  <si>
    <t>J2017, IDS06068+1002</t>
  </si>
  <si>
    <t>06h 12m 28s</t>
  </si>
  <si>
    <t>+10°02,1'</t>
  </si>
  <si>
    <t>WDS06130+1330</t>
  </si>
  <si>
    <t>J1928, IDS06073+1331</t>
  </si>
  <si>
    <t>06h 13m 00s</t>
  </si>
  <si>
    <t>+13°24,0'</t>
  </si>
  <si>
    <t>WDS06135+1015</t>
  </si>
  <si>
    <t>HO22, IDS06079+1016, BDS3230, ADS4823, BD+10 01054</t>
  </si>
  <si>
    <t>06h 13m 28s</t>
  </si>
  <si>
    <t>WDS06141+1858</t>
  </si>
  <si>
    <t>J19, IDS06082+1900, ADS4832, BD+19 01265</t>
  </si>
  <si>
    <t>06h 14m 08s</t>
  </si>
  <si>
    <t>+18°57,8'</t>
  </si>
  <si>
    <t>WDS06143+1430</t>
  </si>
  <si>
    <t>HO23, ADS4835, BD+14 01210</t>
  </si>
  <si>
    <t>06h 14m 15s</t>
  </si>
  <si>
    <t>+14°26,9'</t>
  </si>
  <si>
    <t>WDS06146+1725</t>
  </si>
  <si>
    <t>J683, IDS06088+1727, ADS4836, BD+17 01183</t>
  </si>
  <si>
    <t>06h 14m 36s</t>
  </si>
  <si>
    <t>+17°25,0'</t>
  </si>
  <si>
    <t>WDS06147+0039</t>
  </si>
  <si>
    <t>BAL994, IDS06096+0041</t>
  </si>
  <si>
    <t>06h 14m 46s</t>
  </si>
  <si>
    <t>+00°38,8'</t>
  </si>
  <si>
    <t>WDS06148+0754</t>
  </si>
  <si>
    <t>J37, IDS06094+0756, ADS4844, BD+07 01201</t>
  </si>
  <si>
    <t>06h 14m 48s</t>
  </si>
  <si>
    <t>+07°54,2'</t>
  </si>
  <si>
    <t>WDS06151+1301</t>
  </si>
  <si>
    <t>GCB19, IDS06095+1303</t>
  </si>
  <si>
    <t>06h 15m 07s</t>
  </si>
  <si>
    <t>+13°00,6'</t>
  </si>
  <si>
    <t>WDS06153+1740</t>
  </si>
  <si>
    <t>TDS3669, ADS4869</t>
  </si>
  <si>
    <t>06h 15m 18s</t>
  </si>
  <si>
    <t>+17°39,6'</t>
  </si>
  <si>
    <t>WDS06155+0232</t>
  </si>
  <si>
    <t>BAL1687, IDS06103+0233, BD+02 01176</t>
  </si>
  <si>
    <t>06h 15m 33s</t>
  </si>
  <si>
    <t>+02°31,5'</t>
  </si>
  <si>
    <t>06h 15m 29s</t>
  </si>
  <si>
    <t>WDS06155+1931</t>
  </si>
  <si>
    <t>A2446, IDS06096+1933, ADS4854, BD+19 01276</t>
  </si>
  <si>
    <t>+19°31,3'</t>
  </si>
  <si>
    <t>WDS06156+0912</t>
  </si>
  <si>
    <t>HEI688, ADS4860, BD+09 01162</t>
  </si>
  <si>
    <t>06h 15m 35s</t>
  </si>
  <si>
    <t>+09°11,2'</t>
  </si>
  <si>
    <t>WDS06161-0253</t>
  </si>
  <si>
    <t>BU1019, IDS06111-0251, BDS3264, ADS4882, BD-02 01534</t>
  </si>
  <si>
    <t>06h 16m 08s</t>
  </si>
  <si>
    <t>-02°52,9'</t>
  </si>
  <si>
    <t>WDS06165+1901</t>
  </si>
  <si>
    <t>BU894, IDS06106+1903, BDS3258, ADS4881, BD+19 01285</t>
  </si>
  <si>
    <t>06h 16m 32s</t>
  </si>
  <si>
    <t>+19°00,7'</t>
  </si>
  <si>
    <t>WDS06171+0957</t>
  </si>
  <si>
    <t>J408, ADS4890</t>
  </si>
  <si>
    <t>06h 17m 09s</t>
  </si>
  <si>
    <t>+09°58,7'</t>
  </si>
  <si>
    <t>WDS06173+0506</t>
  </si>
  <si>
    <t>CAT1</t>
  </si>
  <si>
    <t>06h 17m 16s</t>
  </si>
  <si>
    <t>+05°06,0'</t>
  </si>
  <si>
    <t>WDS06181+0919</t>
  </si>
  <si>
    <t>HO24, IDS06126+0921, BDS3279, ADS4903, BD+09 01182</t>
  </si>
  <si>
    <t>06h 18m 06s</t>
  </si>
  <si>
    <t>+09°19,2'</t>
  </si>
  <si>
    <t>WDS06189+1347</t>
  </si>
  <si>
    <t>HO230, IDS06132+1349, BDS3290, ADS4919, BD+13 01194</t>
  </si>
  <si>
    <t>06h 18m 54s</t>
  </si>
  <si>
    <t>+13°46,6'</t>
  </si>
  <si>
    <t>WDS06201+1037</t>
  </si>
  <si>
    <t>J344, IDS06146+1040, ADS4946, BD+10 01093</t>
  </si>
  <si>
    <t>06h 20m 10s</t>
  </si>
  <si>
    <t>+10°37,0'</t>
  </si>
  <si>
    <t>WDS06203+1159</t>
  </si>
  <si>
    <t>J345, IDS06147+1202, ADS4948, BD+12 01115</t>
  </si>
  <si>
    <t>06h 20m 19s</t>
  </si>
  <si>
    <t>+11°58,6'</t>
  </si>
  <si>
    <t>WDS06207+0857</t>
  </si>
  <si>
    <t>TDS241, BD+09 01196</t>
  </si>
  <si>
    <t>06h 20m 39s</t>
  </si>
  <si>
    <t>+08°57,0'</t>
  </si>
  <si>
    <t>WDS06212+0652</t>
  </si>
  <si>
    <t>J2003, IDS06158+0655</t>
  </si>
  <si>
    <t>06h 21m 11s</t>
  </si>
  <si>
    <t>+06°52,0'</t>
  </si>
  <si>
    <t>WDS06222+1202</t>
  </si>
  <si>
    <t>J347, IDS06166+1205, ADS4986, BD+12 01122</t>
  </si>
  <si>
    <t>06h 22m 12s</t>
  </si>
  <si>
    <t>+12°02,3'</t>
  </si>
  <si>
    <t>WDS06232+1631</t>
  </si>
  <si>
    <t>HO233, IDS06174+1634, BDS3337, ADS4997, BD+16 01118</t>
  </si>
  <si>
    <t>06h 23m 09s</t>
  </si>
  <si>
    <t>+16°30,9'</t>
  </si>
  <si>
    <t>WDS06234+1432</t>
  </si>
  <si>
    <t>A2720, IDS06177+1435, ADS5004, BD+14 01267</t>
  </si>
  <si>
    <t>06h 23m 25s</t>
  </si>
  <si>
    <t>+14°31,7'</t>
  </si>
  <si>
    <t>WDS06244+1106</t>
  </si>
  <si>
    <t>BAZ5, IDS06188+1109</t>
  </si>
  <si>
    <t>06h 25m 27s</t>
  </si>
  <si>
    <t>+11°11,6'</t>
  </si>
  <si>
    <t>WDS06244+1128</t>
  </si>
  <si>
    <t>TDS248</t>
  </si>
  <si>
    <t>06h 24m 24s</t>
  </si>
  <si>
    <t>+11°27,7'</t>
  </si>
  <si>
    <t>WDS06249+1424</t>
  </si>
  <si>
    <t>A2722, IDS06192+1428, ADS5033, BD+14 01280</t>
  </si>
  <si>
    <t>06h 24m 56s</t>
  </si>
  <si>
    <t>+14°24,4'</t>
  </si>
  <si>
    <t>WDS ID</t>
  </si>
  <si>
    <t>Fisrt Min</t>
  </si>
  <si>
    <t>Second Min</t>
  </si>
  <si>
    <t>Third Min</t>
  </si>
  <si>
    <t>Third Ring</t>
  </si>
  <si>
    <t>Second Ring</t>
  </si>
  <si>
    <t>First Ring</t>
  </si>
  <si>
    <t>Clear</t>
  </si>
  <si>
    <t>0.33D</t>
  </si>
  <si>
    <t>Psi 2 Ori</t>
  </si>
  <si>
    <t>Elongated</t>
  </si>
</sst>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164" fontId="0" fillId="0" borderId="0" xfId="1" applyFont="1"/>
    <xf numFmtId="165" fontId="0" fillId="0" borderId="0" xfId="1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164" fontId="0" fillId="2" borderId="0" xfId="1" applyFont="1" applyFill="1"/>
    <xf numFmtId="165" fontId="0" fillId="2" borderId="0" xfId="1" applyNumberFormat="1" applyFont="1" applyFill="1"/>
    <xf numFmtId="0" fontId="0" fillId="0" borderId="0" xfId="0" applyFill="1"/>
    <xf numFmtId="0" fontId="0" fillId="0" borderId="0" xfId="0" applyFill="1" applyAlignment="1">
      <alignment horizontal="right"/>
    </xf>
    <xf numFmtId="164" fontId="0" fillId="0" borderId="0" xfId="1" applyFont="1" applyFill="1"/>
    <xf numFmtId="165" fontId="0" fillId="0" borderId="0" xfId="1" applyNumberFormat="1" applyFont="1" applyFill="1"/>
    <xf numFmtId="0" fontId="0" fillId="3" borderId="0" xfId="0" applyFill="1"/>
    <xf numFmtId="0" fontId="0" fillId="3" borderId="0" xfId="0" applyFill="1" applyAlignment="1">
      <alignment horizontal="right"/>
    </xf>
    <xf numFmtId="164" fontId="0" fillId="3" borderId="0" xfId="1" applyFont="1" applyFill="1"/>
    <xf numFmtId="165" fontId="0" fillId="3" borderId="0" xfId="1" applyNumberFormat="1" applyFont="1" applyFill="1"/>
    <xf numFmtId="0" fontId="0" fillId="4" borderId="0" xfId="0" applyFill="1"/>
    <xf numFmtId="0" fontId="0" fillId="4" borderId="0" xfId="0" applyFill="1" applyAlignment="1">
      <alignment horizontal="right"/>
    </xf>
    <xf numFmtId="164" fontId="0" fillId="4" borderId="0" xfId="1" applyFont="1" applyFill="1"/>
    <xf numFmtId="165" fontId="0" fillId="4" borderId="0" xfId="1" applyNumberFormat="1" applyFont="1" applyFill="1"/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2" fontId="0" fillId="8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9" fontId="0" fillId="7" borderId="0" xfId="2" applyFont="1" applyFill="1" applyAlignment="1">
      <alignment horizontal="center"/>
    </xf>
    <xf numFmtId="9" fontId="0" fillId="10" borderId="0" xfId="2" applyFont="1" applyFill="1" applyAlignment="1">
      <alignment horizontal="center"/>
    </xf>
    <xf numFmtId="0" fontId="2" fillId="0" borderId="0" xfId="0" applyFont="1"/>
    <xf numFmtId="0" fontId="0" fillId="7" borderId="0" xfId="0" applyFill="1"/>
    <xf numFmtId="0" fontId="0" fillId="7" borderId="0" xfId="0" applyFill="1" applyAlignment="1">
      <alignment horizontal="right"/>
    </xf>
    <xf numFmtId="164" fontId="0" fillId="7" borderId="0" xfId="1" applyFont="1" applyFill="1"/>
    <xf numFmtId="165" fontId="0" fillId="7" borderId="0" xfId="1" applyNumberFormat="1" applyFont="1" applyFill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164" fontId="0" fillId="7" borderId="1" xfId="1" applyFont="1" applyFill="1" applyBorder="1"/>
    <xf numFmtId="165" fontId="0" fillId="7" borderId="1" xfId="1" applyNumberFormat="1" applyFont="1" applyFill="1" applyBorder="1"/>
    <xf numFmtId="0" fontId="0" fillId="0" borderId="0" xfId="0" applyAlignment="1">
      <alignment horizont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2" fillId="7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9"/>
  <sheetViews>
    <sheetView tabSelected="1" workbookViewId="0">
      <selection activeCell="H152" sqref="H152"/>
    </sheetView>
  </sheetViews>
  <sheetFormatPr defaultColWidth="11.42578125" defaultRowHeight="15"/>
  <cols>
    <col min="1" max="1" width="16.140625" customWidth="1"/>
    <col min="2" max="2" width="58.140625" customWidth="1"/>
    <col min="3" max="3" width="12.28515625" style="3" customWidth="1"/>
    <col min="4" max="4" width="10" style="3" customWidth="1"/>
    <col min="5" max="5" width="8.85546875" style="1" customWidth="1"/>
    <col min="6" max="6" width="7" style="1" customWidth="1"/>
    <col min="7" max="7" width="8.140625" style="1" customWidth="1"/>
    <col min="8" max="8" width="5.5703125" style="2" customWidth="1"/>
  </cols>
  <sheetData>
    <row r="1" spans="1:11" s="4" customFormat="1">
      <c r="A1" s="4" t="s">
        <v>585</v>
      </c>
      <c r="B1" s="4" t="s">
        <v>0</v>
      </c>
      <c r="C1" s="4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6" t="s">
        <v>6</v>
      </c>
    </row>
    <row r="2" spans="1:11" hidden="1">
      <c r="A2" s="11" t="s">
        <v>23</v>
      </c>
      <c r="B2" s="11" t="s">
        <v>24</v>
      </c>
      <c r="C2" s="12" t="s">
        <v>25</v>
      </c>
      <c r="D2" s="12" t="s">
        <v>26</v>
      </c>
      <c r="E2" s="13">
        <v>3</v>
      </c>
      <c r="F2" s="13">
        <v>9.8000000000000007</v>
      </c>
      <c r="G2" s="13">
        <v>10.4</v>
      </c>
      <c r="H2" s="14">
        <v>100.03244387507868</v>
      </c>
      <c r="I2" s="11"/>
      <c r="J2" s="11"/>
      <c r="K2" s="11"/>
    </row>
    <row r="3" spans="1:11" hidden="1">
      <c r="A3" t="s">
        <v>454</v>
      </c>
      <c r="B3" t="s">
        <v>455</v>
      </c>
      <c r="C3" s="3" t="s">
        <v>456</v>
      </c>
      <c r="D3" s="3" t="s">
        <v>457</v>
      </c>
      <c r="E3" s="1">
        <v>1.8</v>
      </c>
      <c r="F3" s="1">
        <v>8.1999999999999993</v>
      </c>
      <c r="G3" s="1">
        <v>9.6</v>
      </c>
      <c r="H3" s="2">
        <v>100.07753254980551</v>
      </c>
    </row>
    <row r="4" spans="1:11" hidden="1">
      <c r="A4" t="s">
        <v>557</v>
      </c>
      <c r="B4" t="s">
        <v>558</v>
      </c>
      <c r="C4" s="3" t="s">
        <v>559</v>
      </c>
      <c r="D4" s="3" t="s">
        <v>560</v>
      </c>
      <c r="E4" s="1">
        <v>7.7</v>
      </c>
      <c r="F4" s="1">
        <v>9.4</v>
      </c>
      <c r="G4" s="1">
        <v>11.1</v>
      </c>
      <c r="H4" s="2">
        <v>101.58072003664718</v>
      </c>
    </row>
    <row r="5" spans="1:11" hidden="1">
      <c r="A5" t="s">
        <v>501</v>
      </c>
      <c r="B5" t="s">
        <v>502</v>
      </c>
      <c r="C5" s="3" t="s">
        <v>503</v>
      </c>
      <c r="D5" s="3" t="s">
        <v>504</v>
      </c>
      <c r="E5" s="1">
        <v>6.4</v>
      </c>
      <c r="F5" s="1">
        <v>10</v>
      </c>
      <c r="G5" s="1">
        <v>11</v>
      </c>
      <c r="H5" s="2">
        <v>102.11226936168978</v>
      </c>
    </row>
    <row r="6" spans="1:11" s="11" customFormat="1" hidden="1">
      <c r="A6" s="11" t="s">
        <v>350</v>
      </c>
      <c r="B6" s="11" t="s">
        <v>351</v>
      </c>
      <c r="C6" s="12" t="s">
        <v>352</v>
      </c>
      <c r="D6" s="12" t="s">
        <v>353</v>
      </c>
      <c r="E6" s="13">
        <v>6.3</v>
      </c>
      <c r="F6" s="13">
        <v>9.5</v>
      </c>
      <c r="G6" s="13">
        <v>11</v>
      </c>
      <c r="H6" s="14">
        <v>102.1851142338414</v>
      </c>
    </row>
    <row r="7" spans="1:11" hidden="1">
      <c r="A7" t="s">
        <v>318</v>
      </c>
      <c r="B7" t="s">
        <v>321</v>
      </c>
      <c r="C7" s="3" t="s">
        <v>319</v>
      </c>
      <c r="D7" s="3" t="s">
        <v>320</v>
      </c>
      <c r="E7" s="1">
        <v>7.5</v>
      </c>
      <c r="F7" s="1">
        <v>10</v>
      </c>
      <c r="G7" s="1">
        <v>11.1</v>
      </c>
      <c r="H7" s="2">
        <v>102.43127899168972</v>
      </c>
    </row>
    <row r="8" spans="1:11" hidden="1">
      <c r="A8" t="s">
        <v>426</v>
      </c>
      <c r="B8" t="s">
        <v>427</v>
      </c>
      <c r="C8" s="3" t="s">
        <v>428</v>
      </c>
      <c r="D8" s="3" t="s">
        <v>429</v>
      </c>
      <c r="E8" s="1">
        <v>2</v>
      </c>
      <c r="F8" s="1">
        <v>9.1</v>
      </c>
      <c r="G8" s="1">
        <v>10</v>
      </c>
      <c r="H8" s="2">
        <v>102.624704783723</v>
      </c>
    </row>
    <row r="9" spans="1:11" hidden="1">
      <c r="A9" t="s">
        <v>573</v>
      </c>
      <c r="B9" t="s">
        <v>574</v>
      </c>
      <c r="C9" s="3" t="s">
        <v>575</v>
      </c>
      <c r="D9" s="3" t="s">
        <v>576</v>
      </c>
      <c r="E9" s="1">
        <v>6.2</v>
      </c>
      <c r="F9" s="1">
        <v>10</v>
      </c>
      <c r="G9" s="1">
        <v>11</v>
      </c>
      <c r="H9" s="2">
        <v>102.74337940737045</v>
      </c>
    </row>
    <row r="10" spans="1:11" hidden="1">
      <c r="A10" t="s">
        <v>358</v>
      </c>
      <c r="B10" t="s">
        <v>359</v>
      </c>
      <c r="C10" s="3" t="s">
        <v>360</v>
      </c>
      <c r="D10" s="3" t="s">
        <v>361</v>
      </c>
      <c r="E10" s="1">
        <v>1.4</v>
      </c>
      <c r="F10" s="1">
        <v>7.9</v>
      </c>
      <c r="G10" s="1">
        <v>8.9</v>
      </c>
      <c r="H10" s="2">
        <v>102.88340420721519</v>
      </c>
    </row>
    <row r="11" spans="1:11" hidden="1">
      <c r="A11" t="s">
        <v>493</v>
      </c>
      <c r="B11" t="s">
        <v>494</v>
      </c>
      <c r="C11" s="3" t="s">
        <v>495</v>
      </c>
      <c r="D11" s="3" t="s">
        <v>496</v>
      </c>
      <c r="E11" s="1">
        <v>5.7</v>
      </c>
      <c r="F11" s="1">
        <v>8.5</v>
      </c>
      <c r="G11" s="1">
        <v>10.9</v>
      </c>
      <c r="H11" s="2">
        <v>103.18454660175249</v>
      </c>
    </row>
    <row r="12" spans="1:11" hidden="1">
      <c r="A12" t="s">
        <v>294</v>
      </c>
      <c r="B12" t="s">
        <v>295</v>
      </c>
      <c r="C12" s="3" t="s">
        <v>296</v>
      </c>
      <c r="D12" s="3" t="s">
        <v>297</v>
      </c>
      <c r="E12" s="1">
        <v>7.1</v>
      </c>
      <c r="F12" s="1">
        <v>9.1999999999999993</v>
      </c>
      <c r="G12" s="1">
        <v>11.1</v>
      </c>
      <c r="H12" s="2">
        <v>103.30446328185329</v>
      </c>
    </row>
    <row r="13" spans="1:11" hidden="1">
      <c r="A13" t="s">
        <v>75</v>
      </c>
      <c r="B13" t="s">
        <v>76</v>
      </c>
      <c r="C13" s="3" t="s">
        <v>77</v>
      </c>
      <c r="D13" s="3" t="s">
        <v>78</v>
      </c>
      <c r="E13" s="1">
        <v>1.4</v>
      </c>
      <c r="F13" s="1">
        <v>9.1999999999999993</v>
      </c>
      <c r="G13" s="1">
        <v>9.1999999999999993</v>
      </c>
      <c r="H13" s="2">
        <v>103.69670288071842</v>
      </c>
    </row>
    <row r="14" spans="1:11" hidden="1">
      <c r="A14" t="s">
        <v>27</v>
      </c>
      <c r="B14" t="s">
        <v>28</v>
      </c>
      <c r="C14" s="3" t="s">
        <v>29</v>
      </c>
      <c r="D14" s="3" t="s">
        <v>30</v>
      </c>
      <c r="E14" s="1">
        <v>1.7</v>
      </c>
      <c r="F14" s="1">
        <v>9.6</v>
      </c>
      <c r="G14" s="1">
        <v>9.6999999999999993</v>
      </c>
      <c r="H14" s="2">
        <v>103.78754203835436</v>
      </c>
    </row>
    <row r="15" spans="1:11" hidden="1">
      <c r="A15" s="11" t="s">
        <v>155</v>
      </c>
      <c r="B15" s="11" t="s">
        <v>156</v>
      </c>
      <c r="C15" s="12" t="s">
        <v>157</v>
      </c>
      <c r="D15" s="12" t="s">
        <v>158</v>
      </c>
      <c r="E15" s="13">
        <v>2.9</v>
      </c>
      <c r="F15" s="13">
        <v>9.8000000000000007</v>
      </c>
      <c r="G15" s="13">
        <v>10.5</v>
      </c>
      <c r="H15" s="14">
        <v>103.96589938952798</v>
      </c>
      <c r="I15" s="11"/>
      <c r="J15" s="11"/>
      <c r="K15" s="11"/>
    </row>
    <row r="16" spans="1:11" hidden="1">
      <c r="A16" t="s">
        <v>47</v>
      </c>
      <c r="B16" t="s">
        <v>48</v>
      </c>
      <c r="C16" s="3" t="s">
        <v>49</v>
      </c>
      <c r="D16" s="3" t="s">
        <v>50</v>
      </c>
      <c r="E16" s="1">
        <v>4.9000000000000004</v>
      </c>
      <c r="F16" s="1">
        <v>9.9</v>
      </c>
      <c r="G16" s="1">
        <v>10.9</v>
      </c>
      <c r="H16" s="2">
        <v>104.78006396209888</v>
      </c>
    </row>
    <row r="17" spans="1:11" hidden="1">
      <c r="A17" t="s">
        <v>7</v>
      </c>
      <c r="B17" t="s">
        <v>8</v>
      </c>
      <c r="C17" s="3" t="s">
        <v>9</v>
      </c>
      <c r="D17" s="3" t="s">
        <v>10</v>
      </c>
      <c r="E17" s="1">
        <v>2.1</v>
      </c>
      <c r="F17" s="1">
        <v>10</v>
      </c>
      <c r="G17" s="1">
        <v>10.1</v>
      </c>
      <c r="H17" s="2">
        <v>104.99161181512724</v>
      </c>
    </row>
    <row r="18" spans="1:11" hidden="1">
      <c r="A18" t="s">
        <v>334</v>
      </c>
      <c r="B18" t="s">
        <v>335</v>
      </c>
      <c r="C18" s="3" t="s">
        <v>336</v>
      </c>
      <c r="D18" s="3" t="s">
        <v>337</v>
      </c>
      <c r="E18" s="1">
        <v>5.4</v>
      </c>
      <c r="F18" s="1">
        <v>9.5</v>
      </c>
      <c r="G18" s="1">
        <v>11</v>
      </c>
      <c r="H18" s="2">
        <v>105.79005812992014</v>
      </c>
    </row>
    <row r="19" spans="1:11" hidden="1">
      <c r="A19" t="s">
        <v>529</v>
      </c>
      <c r="B19" t="s">
        <v>530</v>
      </c>
      <c r="C19" s="3" t="s">
        <v>531</v>
      </c>
      <c r="D19" s="3" t="s">
        <v>532</v>
      </c>
      <c r="E19" s="1">
        <v>5.2</v>
      </c>
      <c r="F19" s="1">
        <v>9.6</v>
      </c>
      <c r="G19" s="1">
        <v>11</v>
      </c>
      <c r="H19" s="2">
        <v>106.65773554414935</v>
      </c>
    </row>
    <row r="20" spans="1:11" hidden="1">
      <c r="A20" s="11" t="s">
        <v>151</v>
      </c>
      <c r="B20" s="11" t="s">
        <v>152</v>
      </c>
      <c r="C20" s="12" t="s">
        <v>153</v>
      </c>
      <c r="D20" s="12" t="s">
        <v>154</v>
      </c>
      <c r="E20" s="13">
        <v>3</v>
      </c>
      <c r="F20" s="13">
        <v>9</v>
      </c>
      <c r="G20" s="13">
        <v>10.6</v>
      </c>
      <c r="H20" s="14">
        <v>106.75713624598338</v>
      </c>
      <c r="I20" s="11"/>
      <c r="J20" s="11"/>
      <c r="K20" s="11"/>
    </row>
    <row r="21" spans="1:11" hidden="1">
      <c r="A21" s="11" t="s">
        <v>370</v>
      </c>
      <c r="B21" s="11" t="s">
        <v>371</v>
      </c>
      <c r="C21" s="12" t="s">
        <v>372</v>
      </c>
      <c r="D21" s="12" t="s">
        <v>373</v>
      </c>
      <c r="E21" s="13">
        <v>2.9</v>
      </c>
      <c r="F21" s="13">
        <v>9.5</v>
      </c>
      <c r="G21" s="13">
        <v>10.6</v>
      </c>
      <c r="H21" s="14">
        <v>106.80984370653265</v>
      </c>
      <c r="I21" s="11"/>
      <c r="J21" s="11"/>
      <c r="K21" s="11"/>
    </row>
    <row r="22" spans="1:11" hidden="1">
      <c r="A22" t="s">
        <v>489</v>
      </c>
      <c r="B22" t="s">
        <v>490</v>
      </c>
      <c r="C22" s="3" t="s">
        <v>491</v>
      </c>
      <c r="D22" s="3" t="s">
        <v>492</v>
      </c>
      <c r="E22" s="1">
        <v>1.4</v>
      </c>
      <c r="F22" s="1">
        <v>8.8000000000000007</v>
      </c>
      <c r="G22" s="1">
        <v>9.4</v>
      </c>
      <c r="H22" s="2">
        <v>107.85626354814116</v>
      </c>
    </row>
    <row r="23" spans="1:11" hidden="1">
      <c r="A23" t="s">
        <v>282</v>
      </c>
      <c r="B23" t="s">
        <v>283</v>
      </c>
      <c r="C23" s="3" t="s">
        <v>284</v>
      </c>
      <c r="D23" s="3" t="s">
        <v>285</v>
      </c>
      <c r="E23" s="1">
        <v>8.1</v>
      </c>
      <c r="F23" s="1">
        <v>9.1</v>
      </c>
      <c r="G23" s="1">
        <v>11.3</v>
      </c>
      <c r="H23" s="2">
        <v>107.92677712341654</v>
      </c>
    </row>
    <row r="24" spans="1:11" hidden="1">
      <c r="A24" t="s">
        <v>310</v>
      </c>
      <c r="B24" t="s">
        <v>311</v>
      </c>
      <c r="C24" s="3" t="s">
        <v>312</v>
      </c>
      <c r="D24" s="3" t="s">
        <v>313</v>
      </c>
      <c r="E24" s="1">
        <v>6.7</v>
      </c>
      <c r="F24" s="1">
        <v>8.1</v>
      </c>
      <c r="G24" s="1">
        <v>11.1</v>
      </c>
      <c r="H24" s="2">
        <v>108.09130776693937</v>
      </c>
    </row>
    <row r="25" spans="1:11" hidden="1">
      <c r="A25" t="s">
        <v>378</v>
      </c>
      <c r="B25" t="s">
        <v>379</v>
      </c>
      <c r="C25" s="3" t="s">
        <v>380</v>
      </c>
      <c r="D25" s="3" t="s">
        <v>381</v>
      </c>
      <c r="E25" s="1">
        <v>2</v>
      </c>
      <c r="F25" s="1">
        <v>8.6</v>
      </c>
      <c r="G25" s="1">
        <v>10.1</v>
      </c>
      <c r="H25" s="2">
        <v>108.70841797509732</v>
      </c>
    </row>
    <row r="26" spans="1:11" hidden="1">
      <c r="A26" t="s">
        <v>565</v>
      </c>
      <c r="B26" t="s">
        <v>566</v>
      </c>
      <c r="C26" s="3" t="s">
        <v>567</v>
      </c>
      <c r="D26" s="3" t="s">
        <v>568</v>
      </c>
      <c r="E26" s="1">
        <v>2.2999999999999998</v>
      </c>
      <c r="F26" s="1">
        <v>8.1999999999999993</v>
      </c>
      <c r="G26" s="1">
        <v>10.199999999999999</v>
      </c>
      <c r="H26" s="2">
        <v>108.72109421925018</v>
      </c>
    </row>
    <row r="27" spans="1:11" hidden="1">
      <c r="A27" t="s">
        <v>238</v>
      </c>
      <c r="B27" t="s">
        <v>239</v>
      </c>
      <c r="C27" s="3" t="s">
        <v>240</v>
      </c>
      <c r="D27" s="3" t="s">
        <v>241</v>
      </c>
      <c r="E27" s="1">
        <v>3.3</v>
      </c>
      <c r="F27" s="1">
        <v>8.1</v>
      </c>
      <c r="G27" s="1">
        <v>10.6</v>
      </c>
      <c r="H27" s="2">
        <v>109.34633712371441</v>
      </c>
    </row>
    <row r="28" spans="1:11" hidden="1">
      <c r="A28" t="s">
        <v>31</v>
      </c>
      <c r="B28" t="s">
        <v>32</v>
      </c>
      <c r="C28" s="3" t="s">
        <v>33</v>
      </c>
      <c r="D28" s="3" t="s">
        <v>34</v>
      </c>
      <c r="E28" s="1">
        <v>6.1</v>
      </c>
      <c r="F28" s="1">
        <v>9.8000000000000007</v>
      </c>
      <c r="G28" s="1">
        <v>11.2</v>
      </c>
      <c r="H28" s="2">
        <v>109.67510404352429</v>
      </c>
    </row>
    <row r="29" spans="1:11">
      <c r="A29" s="15" t="s">
        <v>183</v>
      </c>
      <c r="B29" s="15" t="s">
        <v>184</v>
      </c>
      <c r="C29" s="16" t="s">
        <v>185</v>
      </c>
      <c r="D29" s="16" t="s">
        <v>186</v>
      </c>
      <c r="E29" s="17">
        <v>1.2</v>
      </c>
      <c r="F29" s="17">
        <v>4.4000000000000004</v>
      </c>
      <c r="G29" s="17">
        <v>5.8</v>
      </c>
      <c r="H29" s="18">
        <v>110.30404305440655</v>
      </c>
    </row>
    <row r="30" spans="1:11" hidden="1">
      <c r="A30" t="s">
        <v>219</v>
      </c>
      <c r="B30" t="s">
        <v>220</v>
      </c>
      <c r="C30" s="3" t="s">
        <v>221</v>
      </c>
      <c r="D30" s="3" t="s">
        <v>222</v>
      </c>
      <c r="E30" s="1">
        <v>2.8</v>
      </c>
      <c r="F30" s="1">
        <v>5.7</v>
      </c>
      <c r="G30" s="1">
        <v>9.6999999999999993</v>
      </c>
      <c r="H30" s="2">
        <v>111.39298438343343</v>
      </c>
    </row>
    <row r="31" spans="1:11" hidden="1">
      <c r="A31" t="s">
        <v>59</v>
      </c>
      <c r="B31" t="s">
        <v>60</v>
      </c>
      <c r="C31" s="3" t="s">
        <v>61</v>
      </c>
      <c r="D31" s="3" t="s">
        <v>62</v>
      </c>
      <c r="E31" s="1">
        <v>3.5</v>
      </c>
      <c r="F31" s="1">
        <v>7</v>
      </c>
      <c r="G31" s="1">
        <v>10.4</v>
      </c>
      <c r="H31" s="2">
        <v>111.58916211827596</v>
      </c>
    </row>
    <row r="32" spans="1:11" hidden="1">
      <c r="A32" t="s">
        <v>545</v>
      </c>
      <c r="B32" t="s">
        <v>546</v>
      </c>
      <c r="C32" s="3" t="s">
        <v>547</v>
      </c>
      <c r="D32" s="3" t="s">
        <v>548</v>
      </c>
      <c r="E32" s="1">
        <v>4.2</v>
      </c>
      <c r="F32" s="1">
        <v>9.5</v>
      </c>
      <c r="G32" s="1">
        <v>11</v>
      </c>
      <c r="H32" s="2">
        <v>111.94892659124963</v>
      </c>
    </row>
    <row r="33" spans="1:8" hidden="1">
      <c r="A33" t="s">
        <v>395</v>
      </c>
      <c r="B33" t="s">
        <v>396</v>
      </c>
      <c r="C33" s="3" t="s">
        <v>397</v>
      </c>
      <c r="D33" s="3" t="s">
        <v>222</v>
      </c>
      <c r="E33" s="1">
        <v>4.2</v>
      </c>
      <c r="F33" s="1">
        <v>9.3000000000000007</v>
      </c>
      <c r="G33" s="1">
        <v>11</v>
      </c>
      <c r="H33" s="2">
        <v>111.95250165395271</v>
      </c>
    </row>
    <row r="34" spans="1:8" hidden="1">
      <c r="A34" t="s">
        <v>258</v>
      </c>
      <c r="B34" t="s">
        <v>259</v>
      </c>
      <c r="C34" s="3" t="s">
        <v>260</v>
      </c>
      <c r="D34" s="3" t="s">
        <v>261</v>
      </c>
      <c r="E34" s="1">
        <v>3.1</v>
      </c>
      <c r="F34" s="1">
        <v>9.3000000000000007</v>
      </c>
      <c r="G34" s="1">
        <v>10.8</v>
      </c>
      <c r="H34" s="2">
        <v>112.16631874852943</v>
      </c>
    </row>
    <row r="35" spans="1:8" hidden="1">
      <c r="A35" t="s">
        <v>203</v>
      </c>
      <c r="B35" t="s">
        <v>204</v>
      </c>
      <c r="C35" s="3" t="s">
        <v>205</v>
      </c>
      <c r="D35" s="3" t="s">
        <v>206</v>
      </c>
      <c r="E35" s="1">
        <v>5.4</v>
      </c>
      <c r="F35" s="1">
        <v>9.6999999999999993</v>
      </c>
      <c r="G35" s="1">
        <v>11.2</v>
      </c>
      <c r="H35" s="2">
        <v>112.61631065924146</v>
      </c>
    </row>
    <row r="36" spans="1:8" hidden="1">
      <c r="A36" t="s">
        <v>410</v>
      </c>
      <c r="B36" t="s">
        <v>411</v>
      </c>
      <c r="C36" s="3" t="s">
        <v>412</v>
      </c>
      <c r="D36" s="3" t="s">
        <v>413</v>
      </c>
      <c r="E36" s="1">
        <v>2.4</v>
      </c>
      <c r="F36" s="1">
        <v>7.7</v>
      </c>
      <c r="G36" s="1">
        <v>10.199999999999999</v>
      </c>
      <c r="H36" s="2">
        <v>112.79544356819153</v>
      </c>
    </row>
    <row r="37" spans="1:8" hidden="1">
      <c r="A37" t="s">
        <v>541</v>
      </c>
      <c r="B37" t="s">
        <v>542</v>
      </c>
      <c r="C37" s="3" t="s">
        <v>543</v>
      </c>
      <c r="D37" s="3" t="s">
        <v>544</v>
      </c>
      <c r="E37" s="1">
        <v>1.7</v>
      </c>
      <c r="F37" s="1">
        <v>8.4</v>
      </c>
      <c r="G37" s="1">
        <v>9.9</v>
      </c>
      <c r="H37" s="2">
        <v>113.18002274534196</v>
      </c>
    </row>
    <row r="38" spans="1:8" hidden="1">
      <c r="A38" t="s">
        <v>71</v>
      </c>
      <c r="B38" t="s">
        <v>72</v>
      </c>
      <c r="C38" s="3" t="s">
        <v>73</v>
      </c>
      <c r="D38" s="3" t="s">
        <v>74</v>
      </c>
      <c r="E38" s="1">
        <v>9.1</v>
      </c>
      <c r="F38" s="1">
        <v>8.6999999999999993</v>
      </c>
      <c r="G38" s="1">
        <v>11.5</v>
      </c>
      <c r="H38" s="2">
        <v>113.82745176075987</v>
      </c>
    </row>
    <row r="39" spans="1:8" s="11" customFormat="1" hidden="1">
      <c r="A39" s="11" t="s">
        <v>227</v>
      </c>
      <c r="B39" s="11" t="s">
        <v>230</v>
      </c>
      <c r="C39" s="12" t="s">
        <v>228</v>
      </c>
      <c r="D39" s="12" t="s">
        <v>231</v>
      </c>
      <c r="E39" s="13">
        <v>6.2</v>
      </c>
      <c r="F39" s="13">
        <v>7.5</v>
      </c>
      <c r="G39" s="13">
        <v>11.1</v>
      </c>
      <c r="H39" s="14">
        <v>114.32929215471408</v>
      </c>
    </row>
    <row r="40" spans="1:8" hidden="1">
      <c r="A40" t="s">
        <v>326</v>
      </c>
      <c r="B40" t="s">
        <v>327</v>
      </c>
      <c r="C40" s="3" t="s">
        <v>328</v>
      </c>
      <c r="D40" s="3" t="s">
        <v>329</v>
      </c>
      <c r="E40" s="1">
        <v>2.2999999999999998</v>
      </c>
      <c r="F40" s="1">
        <v>9.3000000000000007</v>
      </c>
      <c r="G40" s="1">
        <v>10.6</v>
      </c>
      <c r="H40" s="2">
        <v>115.99882316248461</v>
      </c>
    </row>
    <row r="41" spans="1:8" hidden="1">
      <c r="A41" t="s">
        <v>163</v>
      </c>
      <c r="B41" t="s">
        <v>164</v>
      </c>
      <c r="C41" s="3" t="s">
        <v>165</v>
      </c>
      <c r="D41" s="3" t="s">
        <v>166</v>
      </c>
      <c r="E41" s="1">
        <v>11.5</v>
      </c>
      <c r="F41" s="1">
        <v>9.9</v>
      </c>
      <c r="G41" s="1">
        <v>11.7</v>
      </c>
      <c r="H41" s="2">
        <v>116.44771571831814</v>
      </c>
    </row>
    <row r="42" spans="1:8" hidden="1">
      <c r="A42" t="s">
        <v>274</v>
      </c>
      <c r="B42" t="s">
        <v>275</v>
      </c>
      <c r="C42" s="3" t="s">
        <v>276</v>
      </c>
      <c r="D42" s="3" t="s">
        <v>277</v>
      </c>
      <c r="E42" s="1">
        <v>1</v>
      </c>
      <c r="F42" s="1">
        <v>6</v>
      </c>
      <c r="G42" s="1">
        <v>6</v>
      </c>
      <c r="H42" s="2">
        <v>116.52150441718706</v>
      </c>
    </row>
    <row r="43" spans="1:8" hidden="1">
      <c r="A43" t="s">
        <v>227</v>
      </c>
      <c r="B43" t="s">
        <v>230</v>
      </c>
      <c r="C43" s="3" t="s">
        <v>233</v>
      </c>
      <c r="D43" s="3" t="s">
        <v>229</v>
      </c>
      <c r="E43" s="1">
        <v>12</v>
      </c>
      <c r="F43" s="1">
        <v>6.4</v>
      </c>
      <c r="G43" s="1">
        <v>11.5</v>
      </c>
      <c r="H43" s="2">
        <v>117.21103971339463</v>
      </c>
    </row>
    <row r="44" spans="1:8" hidden="1">
      <c r="A44" t="s">
        <v>131</v>
      </c>
      <c r="B44" t="s">
        <v>132</v>
      </c>
      <c r="C44" s="3" t="s">
        <v>133</v>
      </c>
      <c r="D44" s="3" t="s">
        <v>134</v>
      </c>
      <c r="E44" s="1">
        <v>1.6</v>
      </c>
      <c r="F44" s="1">
        <v>9.8000000000000007</v>
      </c>
      <c r="G44" s="1">
        <v>10.1</v>
      </c>
      <c r="H44" s="2">
        <v>118.36213020062823</v>
      </c>
    </row>
    <row r="45" spans="1:8" hidden="1">
      <c r="A45" t="s">
        <v>278</v>
      </c>
      <c r="B45" t="s">
        <v>279</v>
      </c>
      <c r="C45" s="3" t="s">
        <v>280</v>
      </c>
      <c r="D45" s="3" t="s">
        <v>281</v>
      </c>
      <c r="E45" s="1">
        <v>1.5</v>
      </c>
      <c r="F45" s="1">
        <v>7.8</v>
      </c>
      <c r="G45" s="1">
        <v>9.6</v>
      </c>
      <c r="H45" s="2">
        <v>118.55631203579316</v>
      </c>
    </row>
    <row r="46" spans="1:8" hidden="1">
      <c r="A46" t="s">
        <v>391</v>
      </c>
      <c r="B46" t="s">
        <v>392</v>
      </c>
      <c r="C46" s="3" t="s">
        <v>393</v>
      </c>
      <c r="D46" s="3" t="s">
        <v>394</v>
      </c>
      <c r="E46" s="1">
        <v>1.3</v>
      </c>
      <c r="F46" s="1">
        <v>8.4</v>
      </c>
      <c r="G46" s="1">
        <v>9.5</v>
      </c>
      <c r="H46" s="2">
        <v>119.36654396712999</v>
      </c>
    </row>
    <row r="47" spans="1:8" hidden="1">
      <c r="A47" t="s">
        <v>402</v>
      </c>
      <c r="B47" t="s">
        <v>403</v>
      </c>
      <c r="C47" s="3" t="s">
        <v>404</v>
      </c>
      <c r="D47" s="3" t="s">
        <v>405</v>
      </c>
      <c r="E47" s="1">
        <v>11.1</v>
      </c>
      <c r="F47" s="1">
        <v>10</v>
      </c>
      <c r="G47" s="1">
        <v>11.8</v>
      </c>
      <c r="H47" s="2">
        <v>120.57642023530032</v>
      </c>
    </row>
    <row r="48" spans="1:8" hidden="1">
      <c r="A48" t="s">
        <v>430</v>
      </c>
      <c r="B48" t="s">
        <v>431</v>
      </c>
      <c r="C48" s="3" t="s">
        <v>432</v>
      </c>
      <c r="D48" s="3" t="s">
        <v>433</v>
      </c>
      <c r="E48" s="1">
        <v>5.9</v>
      </c>
      <c r="F48" s="1">
        <v>9.6999999999999993</v>
      </c>
      <c r="G48" s="1">
        <v>11.5</v>
      </c>
      <c r="H48" s="2">
        <v>121.44090558554645</v>
      </c>
    </row>
    <row r="49" spans="1:11" hidden="1">
      <c r="A49" t="s">
        <v>187</v>
      </c>
      <c r="B49" t="s">
        <v>188</v>
      </c>
      <c r="C49" s="3" t="s">
        <v>189</v>
      </c>
      <c r="D49" s="3" t="s">
        <v>190</v>
      </c>
      <c r="E49" s="1">
        <v>1.1000000000000001</v>
      </c>
      <c r="F49" s="1">
        <v>7.9</v>
      </c>
      <c r="G49" s="1">
        <v>8.6</v>
      </c>
      <c r="H49" s="2">
        <v>121.68820893913983</v>
      </c>
    </row>
    <row r="50" spans="1:11" hidden="1">
      <c r="A50" t="s">
        <v>207</v>
      </c>
      <c r="B50" t="s">
        <v>208</v>
      </c>
      <c r="C50" s="3" t="s">
        <v>209</v>
      </c>
      <c r="D50" s="3" t="s">
        <v>210</v>
      </c>
      <c r="E50" s="1">
        <v>7.8</v>
      </c>
      <c r="F50" s="1">
        <v>8.3000000000000007</v>
      </c>
      <c r="G50" s="1">
        <v>11.6</v>
      </c>
      <c r="H50" s="2">
        <v>123.19354521351968</v>
      </c>
    </row>
    <row r="51" spans="1:11" hidden="1">
      <c r="A51" t="s">
        <v>79</v>
      </c>
      <c r="B51" t="s">
        <v>80</v>
      </c>
      <c r="C51" s="3" t="s">
        <v>81</v>
      </c>
      <c r="D51" s="3" t="s">
        <v>82</v>
      </c>
      <c r="E51" s="1">
        <v>5</v>
      </c>
      <c r="F51" s="1">
        <v>9.1</v>
      </c>
      <c r="G51" s="1">
        <v>11.4</v>
      </c>
      <c r="H51" s="2">
        <v>124.24466191137452</v>
      </c>
    </row>
    <row r="52" spans="1:11" hidden="1">
      <c r="A52" t="s">
        <v>262</v>
      </c>
      <c r="B52" t="s">
        <v>263</v>
      </c>
      <c r="C52" s="3" t="s">
        <v>264</v>
      </c>
      <c r="D52" s="3" t="s">
        <v>265</v>
      </c>
      <c r="E52" s="1">
        <v>5.9</v>
      </c>
      <c r="F52" s="1">
        <v>8.8000000000000007</v>
      </c>
      <c r="G52" s="1">
        <v>11.5</v>
      </c>
      <c r="H52" s="2">
        <v>124.6773410574759</v>
      </c>
    </row>
    <row r="53" spans="1:11" hidden="1">
      <c r="A53" t="s">
        <v>470</v>
      </c>
      <c r="B53" t="s">
        <v>471</v>
      </c>
      <c r="C53" s="3" t="s">
        <v>472</v>
      </c>
      <c r="D53" s="3" t="s">
        <v>473</v>
      </c>
      <c r="E53" s="1">
        <v>1.5</v>
      </c>
      <c r="F53" s="1">
        <v>9.9</v>
      </c>
      <c r="G53" s="1">
        <v>10.199999999999999</v>
      </c>
      <c r="H53" s="2">
        <v>125.5920041471812</v>
      </c>
    </row>
    <row r="54" spans="1:11" hidden="1">
      <c r="A54" t="s">
        <v>497</v>
      </c>
      <c r="B54" t="s">
        <v>498</v>
      </c>
      <c r="C54" s="3" t="s">
        <v>499</v>
      </c>
      <c r="D54" s="3" t="s">
        <v>500</v>
      </c>
      <c r="E54" s="1">
        <v>3.2</v>
      </c>
      <c r="F54" s="1">
        <v>9.6</v>
      </c>
      <c r="G54" s="1">
        <v>11.2</v>
      </c>
      <c r="H54" s="2">
        <v>125.75992630629551</v>
      </c>
    </row>
    <row r="55" spans="1:11" hidden="1">
      <c r="A55" t="s">
        <v>366</v>
      </c>
      <c r="B55" t="s">
        <v>367</v>
      </c>
      <c r="C55" s="3" t="s">
        <v>368</v>
      </c>
      <c r="D55" s="3" t="s">
        <v>369</v>
      </c>
      <c r="E55" s="1">
        <v>1.8</v>
      </c>
      <c r="F55" s="1">
        <v>8.6999999999999993</v>
      </c>
      <c r="G55" s="1">
        <v>10.4</v>
      </c>
      <c r="H55" s="2">
        <v>126.29461915455917</v>
      </c>
    </row>
    <row r="56" spans="1:11" hidden="1">
      <c r="A56" s="11" t="s">
        <v>481</v>
      </c>
      <c r="B56" s="11" t="s">
        <v>482</v>
      </c>
      <c r="C56" s="12" t="s">
        <v>483</v>
      </c>
      <c r="D56" s="12" t="s">
        <v>484</v>
      </c>
      <c r="E56" s="13">
        <v>3</v>
      </c>
      <c r="F56" s="13">
        <v>9.6</v>
      </c>
      <c r="G56" s="13">
        <v>11.2</v>
      </c>
      <c r="H56" s="14">
        <v>127.75219851518537</v>
      </c>
      <c r="I56" s="11"/>
      <c r="J56" s="11"/>
      <c r="K56" s="11"/>
    </row>
    <row r="57" spans="1:11" hidden="1">
      <c r="A57" s="11" t="s">
        <v>215</v>
      </c>
      <c r="B57" s="11" t="s">
        <v>216</v>
      </c>
      <c r="C57" s="12" t="s">
        <v>217</v>
      </c>
      <c r="D57" s="12" t="s">
        <v>218</v>
      </c>
      <c r="E57" s="13">
        <v>2.9</v>
      </c>
      <c r="F57" s="13">
        <v>9.6999999999999993</v>
      </c>
      <c r="G57" s="13">
        <v>11.2</v>
      </c>
      <c r="H57" s="14">
        <v>128.54696078684162</v>
      </c>
      <c r="I57" s="11"/>
      <c r="J57" s="11"/>
      <c r="K57" s="11"/>
    </row>
    <row r="58" spans="1:11" hidden="1">
      <c r="A58" t="s">
        <v>55</v>
      </c>
      <c r="B58" t="s">
        <v>56</v>
      </c>
      <c r="C58" s="3" t="s">
        <v>57</v>
      </c>
      <c r="D58" s="3" t="s">
        <v>58</v>
      </c>
      <c r="E58" s="1">
        <v>0.9</v>
      </c>
      <c r="F58" s="1">
        <v>5.8</v>
      </c>
      <c r="G58" s="1">
        <v>6.7</v>
      </c>
      <c r="H58" s="2">
        <v>129.41039330607595</v>
      </c>
    </row>
    <row r="59" spans="1:11" hidden="1">
      <c r="A59" t="s">
        <v>533</v>
      </c>
      <c r="B59" t="s">
        <v>534</v>
      </c>
      <c r="C59" s="3" t="s">
        <v>535</v>
      </c>
      <c r="D59" s="3" t="s">
        <v>536</v>
      </c>
      <c r="E59" s="1">
        <v>0.9</v>
      </c>
      <c r="F59" s="1">
        <v>5.8</v>
      </c>
      <c r="H59" s="2">
        <v>129.41039330607595</v>
      </c>
    </row>
    <row r="60" spans="1:11" hidden="1">
      <c r="A60" t="s">
        <v>127</v>
      </c>
      <c r="B60" t="s">
        <v>128</v>
      </c>
      <c r="C60" s="3" t="s">
        <v>129</v>
      </c>
      <c r="D60" s="3" t="s">
        <v>130</v>
      </c>
      <c r="E60" s="1">
        <v>3.4</v>
      </c>
      <c r="F60" s="1">
        <v>7.8</v>
      </c>
      <c r="G60" s="1">
        <v>11</v>
      </c>
      <c r="H60" s="2">
        <v>129.69707863824766</v>
      </c>
    </row>
    <row r="61" spans="1:11" hidden="1">
      <c r="A61" t="s">
        <v>462</v>
      </c>
      <c r="B61" t="s">
        <v>463</v>
      </c>
      <c r="C61" s="3" t="s">
        <v>464</v>
      </c>
      <c r="D61" s="3" t="s">
        <v>465</v>
      </c>
      <c r="E61" s="1">
        <v>2.8</v>
      </c>
      <c r="F61" s="1">
        <v>9.6</v>
      </c>
      <c r="G61" s="1">
        <v>11.2</v>
      </c>
      <c r="H61" s="2">
        <v>130.10547869263206</v>
      </c>
    </row>
    <row r="62" spans="1:11" hidden="1">
      <c r="A62" t="s">
        <v>167</v>
      </c>
      <c r="B62" t="s">
        <v>168</v>
      </c>
      <c r="C62" s="3" t="s">
        <v>169</v>
      </c>
      <c r="D62" s="3" t="s">
        <v>170</v>
      </c>
      <c r="E62" s="1">
        <v>5.7</v>
      </c>
      <c r="F62" s="1">
        <v>6.7</v>
      </c>
      <c r="G62" s="1">
        <v>11.2</v>
      </c>
      <c r="H62" s="2">
        <v>130.15733730219122</v>
      </c>
    </row>
    <row r="63" spans="1:11" hidden="1">
      <c r="A63" t="s">
        <v>509</v>
      </c>
      <c r="B63" t="s">
        <v>510</v>
      </c>
      <c r="C63" s="3" t="s">
        <v>511</v>
      </c>
      <c r="D63" s="3" t="s">
        <v>512</v>
      </c>
      <c r="E63" s="1">
        <v>3.1</v>
      </c>
      <c r="F63" s="1">
        <v>9.6999999999999993</v>
      </c>
      <c r="G63" s="1">
        <v>11.3</v>
      </c>
      <c r="H63" s="2">
        <v>130.41156867614743</v>
      </c>
    </row>
    <row r="64" spans="1:11" hidden="1">
      <c r="A64" t="s">
        <v>159</v>
      </c>
      <c r="B64" t="s">
        <v>160</v>
      </c>
      <c r="C64" s="3" t="s">
        <v>161</v>
      </c>
      <c r="D64" s="3" t="s">
        <v>162</v>
      </c>
      <c r="E64" s="1">
        <v>7.6</v>
      </c>
      <c r="F64" s="1">
        <v>8.6999999999999993</v>
      </c>
      <c r="G64" s="1">
        <v>11.8</v>
      </c>
      <c r="H64" s="2">
        <v>130.4365413670873</v>
      </c>
    </row>
    <row r="65" spans="1:8" s="36" customFormat="1">
      <c r="A65" s="36" t="s">
        <v>478</v>
      </c>
      <c r="B65" s="36" t="s">
        <v>479</v>
      </c>
      <c r="C65" s="37" t="s">
        <v>480</v>
      </c>
      <c r="D65" s="37" t="s">
        <v>390</v>
      </c>
      <c r="E65" s="38">
        <v>1</v>
      </c>
      <c r="F65" s="38">
        <v>8.5</v>
      </c>
      <c r="G65" s="38">
        <v>8.6</v>
      </c>
      <c r="H65" s="39">
        <v>130.79566607083061</v>
      </c>
    </row>
    <row r="66" spans="1:8" hidden="1">
      <c r="A66" t="s">
        <v>35</v>
      </c>
      <c r="B66" t="s">
        <v>36</v>
      </c>
      <c r="C66" s="3" t="s">
        <v>37</v>
      </c>
      <c r="D66" s="3" t="s">
        <v>38</v>
      </c>
      <c r="E66" s="1">
        <v>1.1000000000000001</v>
      </c>
      <c r="F66" s="1">
        <v>9.1</v>
      </c>
      <c r="G66" s="1">
        <v>9.5</v>
      </c>
      <c r="H66" s="2">
        <v>131.27030149337082</v>
      </c>
    </row>
    <row r="67" spans="1:8" hidden="1">
      <c r="A67" t="s">
        <v>386</v>
      </c>
      <c r="B67" t="s">
        <v>387</v>
      </c>
      <c r="C67" s="3" t="s">
        <v>388</v>
      </c>
      <c r="D67" s="3" t="s">
        <v>389</v>
      </c>
      <c r="E67" s="1">
        <v>1.5</v>
      </c>
      <c r="F67" s="1">
        <v>9.6999999999999993</v>
      </c>
      <c r="G67" s="1">
        <v>10.4</v>
      </c>
      <c r="H67" s="2">
        <v>131.65247223010559</v>
      </c>
    </row>
    <row r="68" spans="1:8" hidden="1">
      <c r="A68" t="s">
        <v>298</v>
      </c>
      <c r="B68" t="s">
        <v>299</v>
      </c>
      <c r="C68" s="3" t="s">
        <v>300</v>
      </c>
      <c r="D68" s="3" t="s">
        <v>301</v>
      </c>
      <c r="E68" s="1">
        <v>2.5</v>
      </c>
      <c r="F68" s="1">
        <v>9.3000000000000007</v>
      </c>
      <c r="G68" s="1">
        <v>11.1</v>
      </c>
      <c r="H68" s="2">
        <v>132.21774016348178</v>
      </c>
    </row>
    <row r="69" spans="1:8" hidden="1">
      <c r="A69" t="s">
        <v>414</v>
      </c>
      <c r="B69" t="s">
        <v>415</v>
      </c>
      <c r="C69" s="3" t="s">
        <v>416</v>
      </c>
      <c r="D69" s="3" t="s">
        <v>417</v>
      </c>
      <c r="E69" s="1">
        <v>6.9</v>
      </c>
      <c r="F69" s="1">
        <v>9.9</v>
      </c>
      <c r="G69" s="1">
        <v>11.9</v>
      </c>
      <c r="H69" s="2">
        <v>132.81391548019093</v>
      </c>
    </row>
    <row r="70" spans="1:8" hidden="1">
      <c r="A70" t="s">
        <v>227</v>
      </c>
      <c r="B70" t="s">
        <v>232</v>
      </c>
      <c r="C70" s="3" t="s">
        <v>228</v>
      </c>
      <c r="D70" s="3" t="s">
        <v>231</v>
      </c>
      <c r="E70" s="1">
        <v>1</v>
      </c>
      <c r="F70" s="1">
        <v>7.5</v>
      </c>
      <c r="G70" s="1">
        <v>8.5</v>
      </c>
      <c r="H70" s="2">
        <v>134.38165013945959</v>
      </c>
    </row>
    <row r="71" spans="1:8" hidden="1">
      <c r="A71" t="s">
        <v>246</v>
      </c>
      <c r="B71" t="s">
        <v>247</v>
      </c>
      <c r="C71" s="3" t="s">
        <v>248</v>
      </c>
      <c r="D71" s="3" t="s">
        <v>249</v>
      </c>
      <c r="E71" s="1">
        <v>3.5</v>
      </c>
      <c r="F71" s="1">
        <v>10</v>
      </c>
      <c r="G71" s="1">
        <v>11.5</v>
      </c>
      <c r="H71" s="2">
        <v>134.58272117135976</v>
      </c>
    </row>
    <row r="72" spans="1:8" hidden="1">
      <c r="A72" t="s">
        <v>474</v>
      </c>
      <c r="B72" t="s">
        <v>475</v>
      </c>
      <c r="C72" s="3" t="s">
        <v>476</v>
      </c>
      <c r="D72" s="3" t="s">
        <v>477</v>
      </c>
      <c r="E72" s="1">
        <v>5</v>
      </c>
      <c r="F72" s="1">
        <v>9.5</v>
      </c>
      <c r="G72" s="1">
        <v>11.7</v>
      </c>
      <c r="H72" s="2">
        <v>134.67141496910165</v>
      </c>
    </row>
    <row r="73" spans="1:8" hidden="1">
      <c r="A73" t="s">
        <v>63</v>
      </c>
      <c r="B73" t="s">
        <v>64</v>
      </c>
      <c r="C73" s="3" t="s">
        <v>65</v>
      </c>
      <c r="D73" s="3" t="s">
        <v>66</v>
      </c>
      <c r="E73" s="1">
        <v>3.6</v>
      </c>
      <c r="F73" s="1">
        <v>9.5</v>
      </c>
      <c r="G73" s="1">
        <v>11.5</v>
      </c>
      <c r="H73" s="2">
        <v>135.00907657237809</v>
      </c>
    </row>
    <row r="74" spans="1:8" hidden="1">
      <c r="A74" t="s">
        <v>383</v>
      </c>
      <c r="B74" t="s">
        <v>384</v>
      </c>
      <c r="C74" s="3" t="s">
        <v>382</v>
      </c>
      <c r="D74" s="3" t="s">
        <v>385</v>
      </c>
      <c r="E74" s="1">
        <v>4.8</v>
      </c>
      <c r="F74" s="1">
        <v>9.5</v>
      </c>
      <c r="G74" s="1">
        <v>11.7</v>
      </c>
      <c r="H74" s="2">
        <v>135.98385723237433</v>
      </c>
    </row>
    <row r="75" spans="1:8" hidden="1">
      <c r="A75" t="s">
        <v>434</v>
      </c>
      <c r="B75" t="s">
        <v>435</v>
      </c>
      <c r="C75" s="3" t="s">
        <v>436</v>
      </c>
      <c r="D75" s="3" t="s">
        <v>437</v>
      </c>
      <c r="E75" s="1">
        <v>7.4</v>
      </c>
      <c r="F75" s="1">
        <v>9.3000000000000007</v>
      </c>
      <c r="G75" s="1">
        <v>12</v>
      </c>
      <c r="H75" s="2">
        <v>137.06252163130969</v>
      </c>
    </row>
    <row r="76" spans="1:8" hidden="1">
      <c r="A76" t="s">
        <v>227</v>
      </c>
      <c r="B76" t="s">
        <v>230</v>
      </c>
      <c r="C76" s="3" t="s">
        <v>228</v>
      </c>
      <c r="D76" s="3" t="s">
        <v>229</v>
      </c>
      <c r="E76" s="1">
        <v>4.5999999999999996</v>
      </c>
      <c r="F76" s="1">
        <v>6.6</v>
      </c>
      <c r="G76" s="1">
        <v>11.1</v>
      </c>
      <c r="H76" s="2">
        <v>137.62637967220732</v>
      </c>
    </row>
    <row r="77" spans="1:8" hidden="1">
      <c r="A77" t="s">
        <v>87</v>
      </c>
      <c r="B77" t="s">
        <v>88</v>
      </c>
      <c r="C77" s="3" t="s">
        <v>89</v>
      </c>
      <c r="D77" s="3" t="s">
        <v>90</v>
      </c>
      <c r="E77" s="1">
        <v>1</v>
      </c>
      <c r="F77" s="1">
        <v>8.5</v>
      </c>
      <c r="G77" s="1">
        <v>9.3000000000000007</v>
      </c>
      <c r="H77" s="2">
        <v>138.01366978616394</v>
      </c>
    </row>
    <row r="78" spans="1:8" hidden="1">
      <c r="A78" t="s">
        <v>91</v>
      </c>
      <c r="B78" t="s">
        <v>92</v>
      </c>
      <c r="C78" s="3" t="s">
        <v>93</v>
      </c>
      <c r="D78" s="3" t="s">
        <v>94</v>
      </c>
      <c r="E78" s="1">
        <v>1</v>
      </c>
      <c r="F78" s="1">
        <v>9.1999999999999993</v>
      </c>
      <c r="G78" s="1">
        <v>9.4</v>
      </c>
      <c r="H78" s="2">
        <v>138.64933552755974</v>
      </c>
    </row>
    <row r="79" spans="1:8" hidden="1">
      <c r="A79" t="s">
        <v>398</v>
      </c>
      <c r="B79" t="s">
        <v>399</v>
      </c>
      <c r="C79" s="3" t="s">
        <v>400</v>
      </c>
      <c r="D79" s="3" t="s">
        <v>401</v>
      </c>
      <c r="E79" s="1">
        <v>4.5</v>
      </c>
      <c r="F79" s="1">
        <v>9.3000000000000007</v>
      </c>
      <c r="G79" s="1">
        <v>11.7</v>
      </c>
      <c r="H79" s="2">
        <v>138.7604658662315</v>
      </c>
    </row>
    <row r="80" spans="1:8" hidden="1">
      <c r="A80" t="s">
        <v>537</v>
      </c>
      <c r="B80" t="s">
        <v>538</v>
      </c>
      <c r="C80" s="3" t="s">
        <v>539</v>
      </c>
      <c r="D80" s="3" t="s">
        <v>540</v>
      </c>
      <c r="E80" s="1">
        <v>3.5</v>
      </c>
      <c r="F80" s="1">
        <v>8.1</v>
      </c>
      <c r="G80" s="1">
        <v>11.3</v>
      </c>
      <c r="H80" s="2">
        <v>138.84074434669461</v>
      </c>
    </row>
    <row r="81" spans="1:11" hidden="1">
      <c r="A81" t="s">
        <v>171</v>
      </c>
      <c r="B81" t="s">
        <v>172</v>
      </c>
      <c r="C81" s="3" t="s">
        <v>173</v>
      </c>
      <c r="D81" s="3" t="s">
        <v>174</v>
      </c>
      <c r="E81" s="1">
        <v>1.3</v>
      </c>
      <c r="F81" s="1">
        <v>9.9</v>
      </c>
      <c r="G81" s="1">
        <v>10.3</v>
      </c>
      <c r="H81" s="2">
        <v>139.03521064807458</v>
      </c>
    </row>
    <row r="82" spans="1:11" hidden="1">
      <c r="A82" t="s">
        <v>175</v>
      </c>
      <c r="B82" t="s">
        <v>176</v>
      </c>
      <c r="C82" s="3" t="s">
        <v>177</v>
      </c>
      <c r="D82" s="3" t="s">
        <v>178</v>
      </c>
      <c r="E82" s="1">
        <v>2.2999999999999998</v>
      </c>
      <c r="F82" s="1">
        <v>9.4</v>
      </c>
      <c r="G82" s="1">
        <v>11.2</v>
      </c>
      <c r="H82" s="2">
        <v>139.68762472660171</v>
      </c>
      <c r="K82" s="35"/>
    </row>
    <row r="83" spans="1:11" hidden="1">
      <c r="A83" t="s">
        <v>302</v>
      </c>
      <c r="B83" t="s">
        <v>303</v>
      </c>
      <c r="C83" s="3" t="s">
        <v>304</v>
      </c>
      <c r="D83" s="3" t="s">
        <v>305</v>
      </c>
      <c r="E83" s="1">
        <v>3</v>
      </c>
      <c r="F83" s="1">
        <v>9.6999999999999993</v>
      </c>
      <c r="G83" s="1">
        <v>11.5</v>
      </c>
      <c r="H83" s="2">
        <v>139.73692821712143</v>
      </c>
    </row>
    <row r="84" spans="1:11" hidden="1">
      <c r="A84" t="s">
        <v>11</v>
      </c>
      <c r="B84" t="s">
        <v>12</v>
      </c>
      <c r="C84" s="3" t="s">
        <v>13</v>
      </c>
      <c r="D84" s="3" t="s">
        <v>14</v>
      </c>
      <c r="E84" s="1">
        <v>1.4</v>
      </c>
      <c r="F84" s="1">
        <v>9.6999999999999993</v>
      </c>
      <c r="G84" s="1">
        <v>10.5</v>
      </c>
      <c r="H84" s="2">
        <v>140.10937019323734</v>
      </c>
    </row>
    <row r="85" spans="1:11" s="11" customFormat="1">
      <c r="A85" s="15" t="s">
        <v>315</v>
      </c>
      <c r="B85" s="15" t="s">
        <v>316</v>
      </c>
      <c r="C85" s="16" t="s">
        <v>314</v>
      </c>
      <c r="D85" s="16" t="s">
        <v>317</v>
      </c>
      <c r="E85" s="17">
        <v>7.9</v>
      </c>
      <c r="F85" s="17">
        <v>6.8</v>
      </c>
      <c r="G85" s="17">
        <v>11.8</v>
      </c>
      <c r="H85" s="18">
        <v>143.87105907210488</v>
      </c>
    </row>
    <row r="86" spans="1:11" s="11" customFormat="1" hidden="1">
      <c r="A86" s="11" t="s">
        <v>135</v>
      </c>
      <c r="B86" s="11" t="s">
        <v>136</v>
      </c>
      <c r="C86" s="12" t="s">
        <v>137</v>
      </c>
      <c r="D86" s="12" t="s">
        <v>138</v>
      </c>
      <c r="E86" s="13">
        <v>2.8</v>
      </c>
      <c r="F86" s="13">
        <v>9.8000000000000007</v>
      </c>
      <c r="G86" s="13">
        <v>11.6</v>
      </c>
      <c r="H86" s="14">
        <v>145.99083591798643</v>
      </c>
    </row>
    <row r="87" spans="1:11" s="11" customFormat="1" hidden="1">
      <c r="A87" s="11" t="s">
        <v>362</v>
      </c>
      <c r="B87" s="11" t="s">
        <v>363</v>
      </c>
      <c r="C87" s="12" t="s">
        <v>364</v>
      </c>
      <c r="D87" s="12" t="s">
        <v>365</v>
      </c>
      <c r="E87" s="13">
        <v>3.1</v>
      </c>
      <c r="F87" s="13">
        <v>9.9</v>
      </c>
      <c r="G87" s="13">
        <v>11.7</v>
      </c>
      <c r="H87" s="14">
        <v>146.38272562914372</v>
      </c>
    </row>
    <row r="88" spans="1:11" s="11" customFormat="1" hidden="1">
      <c r="A88" s="11" t="s">
        <v>514</v>
      </c>
      <c r="B88" s="11" t="s">
        <v>515</v>
      </c>
      <c r="C88" s="12" t="s">
        <v>513</v>
      </c>
      <c r="D88" s="12" t="s">
        <v>516</v>
      </c>
      <c r="E88" s="13">
        <v>2.9</v>
      </c>
      <c r="F88" s="13">
        <v>9</v>
      </c>
      <c r="G88" s="13">
        <v>11.5</v>
      </c>
      <c r="H88" s="14">
        <v>146.42747029252598</v>
      </c>
    </row>
    <row r="89" spans="1:11" s="11" customFormat="1" hidden="1">
      <c r="A89" s="11" t="s">
        <v>266</v>
      </c>
      <c r="B89" s="11" t="s">
        <v>267</v>
      </c>
      <c r="C89" s="12" t="s">
        <v>268</v>
      </c>
      <c r="D89" s="12" t="s">
        <v>269</v>
      </c>
      <c r="E89" s="13">
        <v>2.1</v>
      </c>
      <c r="F89" s="13">
        <v>8.1999999999999993</v>
      </c>
      <c r="G89" s="13">
        <v>10.9</v>
      </c>
      <c r="H89" s="14">
        <v>146.91534563216902</v>
      </c>
    </row>
    <row r="90" spans="1:11" s="11" customFormat="1" hidden="1">
      <c r="A90" s="11" t="s">
        <v>191</v>
      </c>
      <c r="B90" s="11" t="s">
        <v>192</v>
      </c>
      <c r="C90" s="12" t="s">
        <v>193</v>
      </c>
      <c r="D90" s="12" t="s">
        <v>194</v>
      </c>
      <c r="E90" s="13">
        <v>2.2000000000000002</v>
      </c>
      <c r="F90" s="13">
        <v>9.9</v>
      </c>
      <c r="G90" s="13">
        <v>11.4</v>
      </c>
      <c r="H90" s="14">
        <v>146.94161624555781</v>
      </c>
    </row>
    <row r="91" spans="1:11" s="11" customFormat="1">
      <c r="A91" s="19" t="s">
        <v>286</v>
      </c>
      <c r="B91" s="19" t="s">
        <v>287</v>
      </c>
      <c r="C91" s="20" t="s">
        <v>288</v>
      </c>
      <c r="D91" s="20" t="s">
        <v>289</v>
      </c>
      <c r="E91" s="21">
        <v>1.1000000000000001</v>
      </c>
      <c r="F91" s="21">
        <v>6</v>
      </c>
      <c r="G91" s="21">
        <v>8.4</v>
      </c>
      <c r="H91" s="22">
        <v>146.99112081329613</v>
      </c>
      <c r="I91" s="19"/>
      <c r="J91" s="19"/>
      <c r="K91" s="19"/>
    </row>
    <row r="92" spans="1:11" s="15" customFormat="1" ht="14.25" customHeight="1">
      <c r="A92" s="15" t="s">
        <v>211</v>
      </c>
      <c r="B92" s="15" t="s">
        <v>212</v>
      </c>
      <c r="C92" s="16" t="s">
        <v>213</v>
      </c>
      <c r="D92" s="16" t="s">
        <v>214</v>
      </c>
      <c r="E92" s="17">
        <v>1</v>
      </c>
      <c r="F92" s="17">
        <v>7.6</v>
      </c>
      <c r="G92" s="17">
        <v>9.1999999999999993</v>
      </c>
      <c r="H92" s="18">
        <v>147.02655471865609</v>
      </c>
    </row>
    <row r="93" spans="1:11" s="11" customFormat="1">
      <c r="A93" s="19" t="s">
        <v>525</v>
      </c>
      <c r="B93" s="19" t="s">
        <v>526</v>
      </c>
      <c r="C93" s="20" t="s">
        <v>527</v>
      </c>
      <c r="D93" s="20" t="s">
        <v>528</v>
      </c>
      <c r="E93" s="21">
        <v>5.0999999999999996</v>
      </c>
      <c r="F93" s="21">
        <v>7.3</v>
      </c>
      <c r="G93" s="21">
        <v>11.6</v>
      </c>
      <c r="H93" s="22">
        <v>147.16386093034154</v>
      </c>
      <c r="I93" s="19"/>
      <c r="J93" s="19"/>
      <c r="K93" s="19"/>
    </row>
    <row r="94" spans="1:11" s="11" customFormat="1" hidden="1">
      <c r="A94" s="7" t="s">
        <v>553</v>
      </c>
      <c r="B94" s="7" t="s">
        <v>554</v>
      </c>
      <c r="C94" s="8" t="s">
        <v>555</v>
      </c>
      <c r="D94" s="8" t="s">
        <v>556</v>
      </c>
      <c r="E94" s="9">
        <v>2.1</v>
      </c>
      <c r="F94" s="9">
        <v>9.5</v>
      </c>
      <c r="G94" s="9">
        <v>11.3</v>
      </c>
      <c r="H94" s="10">
        <v>148.00835933438529</v>
      </c>
    </row>
    <row r="95" spans="1:11" s="11" customFormat="1" hidden="1">
      <c r="A95" s="7" t="s">
        <v>346</v>
      </c>
      <c r="B95" s="7" t="s">
        <v>347</v>
      </c>
      <c r="C95" s="8" t="s">
        <v>348</v>
      </c>
      <c r="D95" s="8" t="s">
        <v>349</v>
      </c>
      <c r="E95" s="9">
        <v>5</v>
      </c>
      <c r="F95" s="9">
        <v>9.3000000000000007</v>
      </c>
      <c r="G95" s="9">
        <v>12</v>
      </c>
      <c r="H95" s="10">
        <v>148.88623431736849</v>
      </c>
    </row>
    <row r="96" spans="1:11" s="11" customFormat="1" hidden="1">
      <c r="A96" s="7" t="s">
        <v>374</v>
      </c>
      <c r="B96" s="7" t="s">
        <v>375</v>
      </c>
      <c r="C96" s="8" t="s">
        <v>376</v>
      </c>
      <c r="D96" s="8" t="s">
        <v>377</v>
      </c>
      <c r="E96" s="9">
        <v>2.2999999999999998</v>
      </c>
      <c r="F96" s="9">
        <v>9.8000000000000007</v>
      </c>
      <c r="G96" s="9">
        <v>11.5</v>
      </c>
      <c r="H96" s="10">
        <v>149.84166998658634</v>
      </c>
    </row>
    <row r="97" spans="1:11" s="11" customFormat="1">
      <c r="A97" s="19" t="s">
        <v>438</v>
      </c>
      <c r="B97" s="19" t="s">
        <v>439</v>
      </c>
      <c r="C97" s="20" t="s">
        <v>440</v>
      </c>
      <c r="D97" s="20" t="s">
        <v>441</v>
      </c>
      <c r="E97" s="21">
        <v>3.3</v>
      </c>
      <c r="F97" s="21">
        <v>7.3</v>
      </c>
      <c r="G97" s="21">
        <v>11.2</v>
      </c>
      <c r="H97" s="22">
        <v>149.99949723018105</v>
      </c>
      <c r="I97" s="19"/>
      <c r="J97" s="19"/>
      <c r="K97" s="19"/>
    </row>
    <row r="98" spans="1:11" s="40" customFormat="1">
      <c r="A98" s="40" t="s">
        <v>242</v>
      </c>
      <c r="B98" s="40" t="s">
        <v>243</v>
      </c>
      <c r="C98" s="41" t="s">
        <v>244</v>
      </c>
      <c r="D98" s="41" t="s">
        <v>245</v>
      </c>
      <c r="E98" s="42">
        <v>0.9</v>
      </c>
      <c r="F98" s="42">
        <v>7.3</v>
      </c>
      <c r="G98" s="42">
        <v>8.5</v>
      </c>
      <c r="H98" s="43">
        <v>150.3555611118027</v>
      </c>
    </row>
    <row r="99" spans="1:11" s="11" customFormat="1" hidden="1">
      <c r="A99" s="11" t="s">
        <v>418</v>
      </c>
      <c r="B99" s="11" t="s">
        <v>419</v>
      </c>
      <c r="C99" s="12" t="s">
        <v>420</v>
      </c>
      <c r="D99" s="12" t="s">
        <v>421</v>
      </c>
      <c r="E99" s="13">
        <v>1.2</v>
      </c>
      <c r="F99" s="13">
        <v>9.5</v>
      </c>
      <c r="G99" s="13">
        <v>10.4</v>
      </c>
      <c r="H99" s="14">
        <v>150.4762827968637</v>
      </c>
    </row>
    <row r="100" spans="1:11" s="11" customFormat="1" hidden="1">
      <c r="A100" s="11" t="s">
        <v>354</v>
      </c>
      <c r="B100" s="11" t="s">
        <v>355</v>
      </c>
      <c r="C100" s="12" t="s">
        <v>356</v>
      </c>
      <c r="D100" s="12" t="s">
        <v>357</v>
      </c>
      <c r="E100" s="13">
        <v>4.2</v>
      </c>
      <c r="F100" s="13">
        <v>10</v>
      </c>
      <c r="G100" s="13">
        <v>12</v>
      </c>
      <c r="H100" s="14">
        <v>150.62907016218327</v>
      </c>
    </row>
    <row r="101" spans="1:11" s="15" customFormat="1">
      <c r="A101" s="15" t="s">
        <v>179</v>
      </c>
      <c r="B101" s="15" t="s">
        <v>180</v>
      </c>
      <c r="C101" s="16" t="s">
        <v>181</v>
      </c>
      <c r="D101" s="16" t="s">
        <v>182</v>
      </c>
      <c r="E101" s="17">
        <v>1</v>
      </c>
      <c r="F101" s="17">
        <v>9.1999999999999993</v>
      </c>
      <c r="G101" s="17">
        <v>9.9</v>
      </c>
      <c r="H101" s="18">
        <v>153.1014453226349</v>
      </c>
    </row>
    <row r="102" spans="1:11" s="15" customFormat="1">
      <c r="A102" s="15" t="s">
        <v>446</v>
      </c>
      <c r="B102" s="15" t="s">
        <v>447</v>
      </c>
      <c r="C102" s="16" t="s">
        <v>448</v>
      </c>
      <c r="D102" s="16" t="s">
        <v>449</v>
      </c>
      <c r="E102" s="17">
        <v>0.9</v>
      </c>
      <c r="F102" s="17">
        <v>9.1999999999999993</v>
      </c>
      <c r="G102" s="17">
        <v>9.5</v>
      </c>
      <c r="H102" s="18">
        <v>153.34826410368703</v>
      </c>
    </row>
    <row r="103" spans="1:11" s="36" customFormat="1">
      <c r="A103" s="36" t="s">
        <v>99</v>
      </c>
      <c r="B103" s="36" t="s">
        <v>100</v>
      </c>
      <c r="C103" s="37" t="s">
        <v>101</v>
      </c>
      <c r="D103" s="37" t="s">
        <v>102</v>
      </c>
      <c r="E103" s="38">
        <v>1.9</v>
      </c>
      <c r="F103" s="38">
        <v>8.8000000000000007</v>
      </c>
      <c r="G103" s="38">
        <v>11.1</v>
      </c>
      <c r="H103" s="39">
        <v>153.7218013971877</v>
      </c>
    </row>
    <row r="104" spans="1:11" s="19" customFormat="1">
      <c r="A104" s="19" t="s">
        <v>338</v>
      </c>
      <c r="B104" s="19" t="s">
        <v>339</v>
      </c>
      <c r="C104" s="20" t="s">
        <v>340</v>
      </c>
      <c r="D104" s="20" t="s">
        <v>341</v>
      </c>
      <c r="E104" s="21">
        <v>1.4</v>
      </c>
      <c r="F104" s="21">
        <v>6.9</v>
      </c>
      <c r="G104" s="21">
        <v>9.8000000000000007</v>
      </c>
      <c r="H104" s="22">
        <v>156.3896622065173</v>
      </c>
    </row>
    <row r="105" spans="1:11" s="11" customFormat="1" hidden="1">
      <c r="A105" s="11" t="s">
        <v>485</v>
      </c>
      <c r="B105" s="11" t="s">
        <v>486</v>
      </c>
      <c r="C105" s="12" t="s">
        <v>487</v>
      </c>
      <c r="D105" s="12" t="s">
        <v>488</v>
      </c>
      <c r="E105" s="13">
        <v>3.1</v>
      </c>
      <c r="F105" s="13">
        <v>8</v>
      </c>
      <c r="G105" s="13">
        <v>11.5</v>
      </c>
      <c r="H105" s="14">
        <v>157.09463603910942</v>
      </c>
    </row>
    <row r="106" spans="1:11" s="11" customFormat="1" hidden="1">
      <c r="A106" s="11" t="s">
        <v>139</v>
      </c>
      <c r="B106" s="11" t="s">
        <v>140</v>
      </c>
      <c r="C106" s="12" t="s">
        <v>141</v>
      </c>
      <c r="D106" s="12" t="s">
        <v>142</v>
      </c>
      <c r="E106" s="13">
        <v>0.8</v>
      </c>
      <c r="F106" s="13">
        <v>8.1999999999999993</v>
      </c>
      <c r="G106" s="13">
        <v>8.4</v>
      </c>
      <c r="H106" s="14">
        <v>157.6792990259955</v>
      </c>
    </row>
    <row r="107" spans="1:11" s="11" customFormat="1" hidden="1">
      <c r="A107" s="11" t="s">
        <v>561</v>
      </c>
      <c r="B107" s="11" t="s">
        <v>562</v>
      </c>
      <c r="C107" s="12" t="s">
        <v>563</v>
      </c>
      <c r="D107" s="12" t="s">
        <v>564</v>
      </c>
      <c r="E107" s="13">
        <v>1.9</v>
      </c>
      <c r="F107" s="13">
        <v>8.3000000000000007</v>
      </c>
      <c r="G107" s="13">
        <v>11</v>
      </c>
      <c r="H107" s="14">
        <v>157.74370957123094</v>
      </c>
    </row>
    <row r="108" spans="1:11" s="11" customFormat="1" hidden="1">
      <c r="A108" s="11" t="s">
        <v>270</v>
      </c>
      <c r="B108" s="11" t="s">
        <v>271</v>
      </c>
      <c r="C108" s="12" t="s">
        <v>272</v>
      </c>
      <c r="D108" s="12" t="s">
        <v>273</v>
      </c>
      <c r="E108" s="13">
        <v>2.2999999999999998</v>
      </c>
      <c r="F108" s="13">
        <v>9</v>
      </c>
      <c r="G108" s="13">
        <v>11.5</v>
      </c>
      <c r="H108" s="14">
        <v>158.52874869906958</v>
      </c>
    </row>
    <row r="109" spans="1:11" s="11" customFormat="1" hidden="1">
      <c r="A109" s="11" t="s">
        <v>43</v>
      </c>
      <c r="B109" s="11" t="s">
        <v>44</v>
      </c>
      <c r="C109" s="12" t="s">
        <v>45</v>
      </c>
      <c r="D109" s="12" t="s">
        <v>46</v>
      </c>
      <c r="E109" s="13">
        <v>1.6</v>
      </c>
      <c r="F109" s="13">
        <v>9.3000000000000007</v>
      </c>
      <c r="G109" s="13">
        <v>11.1</v>
      </c>
      <c r="H109" s="14">
        <v>158.72897341684504</v>
      </c>
    </row>
    <row r="110" spans="1:11" s="36" customFormat="1">
      <c r="A110" s="36" t="s">
        <v>39</v>
      </c>
      <c r="B110" s="36" t="s">
        <v>40</v>
      </c>
      <c r="C110" s="37" t="s">
        <v>41</v>
      </c>
      <c r="D110" s="37" t="s">
        <v>42</v>
      </c>
      <c r="E110" s="38">
        <v>0.9</v>
      </c>
      <c r="F110" s="38">
        <v>9.6</v>
      </c>
      <c r="G110" s="38">
        <v>9.6999999999999993</v>
      </c>
      <c r="H110" s="39">
        <v>158.89957822897313</v>
      </c>
    </row>
    <row r="111" spans="1:11" s="11" customFormat="1" hidden="1">
      <c r="A111" s="11" t="s">
        <v>549</v>
      </c>
      <c r="B111" s="11" t="s">
        <v>550</v>
      </c>
      <c r="C111" s="12" t="s">
        <v>551</v>
      </c>
      <c r="D111" s="12" t="s">
        <v>552</v>
      </c>
      <c r="E111" s="13">
        <v>1.2</v>
      </c>
      <c r="F111" s="13">
        <v>9.4</v>
      </c>
      <c r="G111" s="13">
        <v>10.6</v>
      </c>
      <c r="H111" s="14">
        <v>159.31901885868567</v>
      </c>
    </row>
    <row r="112" spans="1:11" s="11" customFormat="1" hidden="1">
      <c r="A112" s="11" t="s">
        <v>467</v>
      </c>
      <c r="B112" s="11" t="s">
        <v>468</v>
      </c>
      <c r="C112" s="12" t="s">
        <v>466</v>
      </c>
      <c r="D112" s="12" t="s">
        <v>469</v>
      </c>
      <c r="E112" s="13">
        <v>1.5</v>
      </c>
      <c r="F112" s="13">
        <v>9.6</v>
      </c>
      <c r="G112" s="13">
        <v>11.1</v>
      </c>
      <c r="H112" s="14">
        <v>159.89350681944168</v>
      </c>
    </row>
    <row r="113" spans="1:11" s="11" customFormat="1" hidden="1">
      <c r="A113" s="11" t="s">
        <v>250</v>
      </c>
      <c r="B113" s="11" t="s">
        <v>251</v>
      </c>
      <c r="C113" s="12" t="s">
        <v>252</v>
      </c>
      <c r="D113" s="12" t="s">
        <v>253</v>
      </c>
      <c r="E113" s="13">
        <v>1.1000000000000001</v>
      </c>
      <c r="F113" s="13">
        <v>10</v>
      </c>
      <c r="G113" s="13">
        <v>10.5</v>
      </c>
      <c r="H113" s="14">
        <v>160.07427771444662</v>
      </c>
    </row>
    <row r="114" spans="1:11" s="36" customFormat="1">
      <c r="A114" s="36" t="s">
        <v>115</v>
      </c>
      <c r="B114" s="36" t="s">
        <v>116</v>
      </c>
      <c r="C114" s="37" t="s">
        <v>117</v>
      </c>
      <c r="D114" s="37" t="s">
        <v>118</v>
      </c>
      <c r="E114" s="38">
        <v>1.1000000000000001</v>
      </c>
      <c r="F114" s="38">
        <v>9.8000000000000007</v>
      </c>
      <c r="G114" s="38">
        <v>10.5</v>
      </c>
      <c r="H114" s="39">
        <v>160.71791794631142</v>
      </c>
      <c r="K114" s="47"/>
    </row>
    <row r="115" spans="1:11" s="11" customFormat="1" hidden="1">
      <c r="A115" s="7" t="s">
        <v>19</v>
      </c>
      <c r="B115" s="7" t="s">
        <v>20</v>
      </c>
      <c r="C115" s="8" t="s">
        <v>21</v>
      </c>
      <c r="D115" s="8" t="s">
        <v>22</v>
      </c>
      <c r="E115" s="9">
        <v>2.1</v>
      </c>
      <c r="F115" s="9">
        <v>8.8000000000000007</v>
      </c>
      <c r="G115" s="9">
        <v>11.4</v>
      </c>
      <c r="H115" s="10">
        <v>162.30915858572675</v>
      </c>
    </row>
    <row r="116" spans="1:11" s="11" customFormat="1" hidden="1">
      <c r="A116" s="7" t="s">
        <v>450</v>
      </c>
      <c r="B116" s="7" t="s">
        <v>451</v>
      </c>
      <c r="C116" s="8" t="s">
        <v>452</v>
      </c>
      <c r="D116" s="8" t="s">
        <v>453</v>
      </c>
      <c r="E116" s="9">
        <v>0.9</v>
      </c>
      <c r="F116" s="9">
        <v>9</v>
      </c>
      <c r="G116" s="9">
        <v>9.8000000000000007</v>
      </c>
      <c r="H116" s="10">
        <v>163.59458446223621</v>
      </c>
    </row>
    <row r="117" spans="1:11" s="11" customFormat="1" hidden="1">
      <c r="A117" s="7" t="s">
        <v>15</v>
      </c>
      <c r="B117" s="7" t="s">
        <v>16</v>
      </c>
      <c r="C117" s="8" t="s">
        <v>17</v>
      </c>
      <c r="D117" s="8" t="s">
        <v>18</v>
      </c>
      <c r="E117" s="9">
        <v>1.2</v>
      </c>
      <c r="F117" s="9">
        <v>7.8</v>
      </c>
      <c r="G117" s="9">
        <v>10.1</v>
      </c>
      <c r="H117" s="10">
        <v>165.06894049489159</v>
      </c>
    </row>
    <row r="118" spans="1:11" s="19" customFormat="1">
      <c r="A118" s="19" t="s">
        <v>199</v>
      </c>
      <c r="B118" s="19" t="s">
        <v>200</v>
      </c>
      <c r="C118" s="20" t="s">
        <v>201</v>
      </c>
      <c r="D118" s="20" t="s">
        <v>202</v>
      </c>
      <c r="E118" s="21">
        <v>2</v>
      </c>
      <c r="F118" s="21">
        <v>5.3</v>
      </c>
      <c r="G118" s="21">
        <v>9.8000000000000007</v>
      </c>
      <c r="H118" s="22">
        <v>165.83827964179301</v>
      </c>
    </row>
    <row r="119" spans="1:11" s="19" customFormat="1">
      <c r="A119" s="19" t="s">
        <v>234</v>
      </c>
      <c r="B119" s="19" t="s">
        <v>235</v>
      </c>
      <c r="C119" s="20" t="s">
        <v>236</v>
      </c>
      <c r="D119" s="20" t="s">
        <v>237</v>
      </c>
      <c r="E119" s="21">
        <v>1.1000000000000001</v>
      </c>
      <c r="F119" s="21">
        <v>4.5999999999999996</v>
      </c>
      <c r="G119" s="21">
        <v>7.5</v>
      </c>
      <c r="H119" s="22">
        <v>165.86090171523077</v>
      </c>
    </row>
    <row r="120" spans="1:11" s="11" customFormat="1" hidden="1">
      <c r="A120" s="7" t="s">
        <v>569</v>
      </c>
      <c r="B120" s="7" t="s">
        <v>570</v>
      </c>
      <c r="C120" s="8" t="s">
        <v>571</v>
      </c>
      <c r="D120" s="8" t="s">
        <v>572</v>
      </c>
      <c r="E120" s="9">
        <v>1.2</v>
      </c>
      <c r="F120" s="9">
        <v>9.3000000000000007</v>
      </c>
      <c r="G120" s="9">
        <v>10.8</v>
      </c>
      <c r="H120" s="10">
        <v>169.54713572332048</v>
      </c>
    </row>
    <row r="121" spans="1:11" s="11" customFormat="1" hidden="1">
      <c r="A121" s="7" t="s">
        <v>342</v>
      </c>
      <c r="B121" s="7" t="s">
        <v>343</v>
      </c>
      <c r="C121" s="8" t="s">
        <v>344</v>
      </c>
      <c r="D121" s="8" t="s">
        <v>345</v>
      </c>
      <c r="E121" s="9">
        <v>1.7</v>
      </c>
      <c r="F121" s="9">
        <v>9.9</v>
      </c>
      <c r="G121" s="9">
        <v>11.6</v>
      </c>
      <c r="H121" s="10">
        <v>170.85934618639556</v>
      </c>
    </row>
    <row r="122" spans="1:11" s="19" customFormat="1">
      <c r="A122" s="19" t="s">
        <v>83</v>
      </c>
      <c r="B122" s="19" t="s">
        <v>84</v>
      </c>
      <c r="C122" s="20" t="s">
        <v>85</v>
      </c>
      <c r="D122" s="20" t="s">
        <v>86</v>
      </c>
      <c r="E122" s="21">
        <v>0.7</v>
      </c>
      <c r="F122" s="21">
        <v>6.8</v>
      </c>
      <c r="G122" s="21">
        <v>7</v>
      </c>
      <c r="H122" s="22">
        <v>173.38073475558119</v>
      </c>
      <c r="I122" s="19" t="s">
        <v>595</v>
      </c>
    </row>
    <row r="123" spans="1:11" hidden="1">
      <c r="A123" t="s">
        <v>442</v>
      </c>
      <c r="B123" t="s">
        <v>443</v>
      </c>
      <c r="C123" s="3" t="s">
        <v>444</v>
      </c>
      <c r="D123" s="3" t="s">
        <v>445</v>
      </c>
      <c r="E123" s="1">
        <v>0.8</v>
      </c>
      <c r="F123" s="1">
        <v>9.1999999999999993</v>
      </c>
      <c r="G123" s="1">
        <v>9.6999999999999993</v>
      </c>
      <c r="H123" s="2">
        <v>174.52781826063472</v>
      </c>
    </row>
    <row r="124" spans="1:11" hidden="1">
      <c r="A124" t="s">
        <v>111</v>
      </c>
      <c r="B124" t="s">
        <v>112</v>
      </c>
      <c r="C124" s="3" t="s">
        <v>113</v>
      </c>
      <c r="D124" s="3" t="s">
        <v>114</v>
      </c>
      <c r="E124" s="1">
        <v>9.1999999999999993</v>
      </c>
      <c r="F124" s="1">
        <v>9.1</v>
      </c>
      <c r="H124" s="2">
        <v>175.19279901034503</v>
      </c>
    </row>
    <row r="125" spans="1:11" hidden="1">
      <c r="A125" t="s">
        <v>505</v>
      </c>
      <c r="B125" t="s">
        <v>506</v>
      </c>
      <c r="C125" s="3" t="s">
        <v>507</v>
      </c>
      <c r="D125" s="3" t="s">
        <v>508</v>
      </c>
      <c r="E125" s="1">
        <v>1.7</v>
      </c>
      <c r="F125" s="1">
        <v>9.9</v>
      </c>
      <c r="G125" s="1">
        <v>11.7</v>
      </c>
      <c r="H125" s="2">
        <v>175.76161520255138</v>
      </c>
    </row>
    <row r="126" spans="1:11" hidden="1">
      <c r="A126" t="s">
        <v>581</v>
      </c>
      <c r="B126" t="s">
        <v>582</v>
      </c>
      <c r="C126" s="3" t="s">
        <v>583</v>
      </c>
      <c r="D126" s="3" t="s">
        <v>584</v>
      </c>
      <c r="E126" s="1">
        <v>1</v>
      </c>
      <c r="F126" s="1">
        <v>9.1999999999999993</v>
      </c>
      <c r="G126" s="1">
        <v>10.5</v>
      </c>
      <c r="H126" s="2">
        <v>176.91233674838546</v>
      </c>
    </row>
    <row r="127" spans="1:11" hidden="1">
      <c r="A127" t="s">
        <v>577</v>
      </c>
      <c r="B127" t="s">
        <v>578</v>
      </c>
      <c r="C127" s="3" t="s">
        <v>579</v>
      </c>
      <c r="D127" s="3" t="s">
        <v>580</v>
      </c>
      <c r="E127" s="1">
        <v>2</v>
      </c>
      <c r="F127" s="1">
        <v>9.4</v>
      </c>
      <c r="G127" s="1">
        <v>11.8</v>
      </c>
      <c r="H127" s="2">
        <v>176.99836806592029</v>
      </c>
    </row>
    <row r="128" spans="1:11" hidden="1">
      <c r="A128" t="s">
        <v>254</v>
      </c>
      <c r="B128" t="s">
        <v>255</v>
      </c>
      <c r="C128" s="3" t="s">
        <v>256</v>
      </c>
      <c r="D128" s="3" t="s">
        <v>257</v>
      </c>
      <c r="E128" s="1">
        <v>0.8</v>
      </c>
      <c r="F128" s="1">
        <v>7.3</v>
      </c>
      <c r="G128" s="1">
        <v>8.9</v>
      </c>
      <c r="H128" s="2">
        <v>177.08103049785328</v>
      </c>
    </row>
    <row r="129" spans="1:8" hidden="1">
      <c r="A129" t="s">
        <v>458</v>
      </c>
      <c r="B129" t="s">
        <v>459</v>
      </c>
      <c r="C129" s="3" t="s">
        <v>460</v>
      </c>
      <c r="D129" s="3" t="s">
        <v>461</v>
      </c>
      <c r="E129" s="1">
        <v>1.4</v>
      </c>
      <c r="F129" s="1">
        <v>8.4</v>
      </c>
      <c r="G129" s="1">
        <v>10.9</v>
      </c>
      <c r="H129" s="2">
        <v>177.50729704493241</v>
      </c>
    </row>
    <row r="130" spans="1:8" hidden="1">
      <c r="A130" t="s">
        <v>521</v>
      </c>
      <c r="B130" t="s">
        <v>522</v>
      </c>
      <c r="C130" s="3" t="s">
        <v>523</v>
      </c>
      <c r="D130" s="3" t="s">
        <v>524</v>
      </c>
      <c r="E130" s="1">
        <v>0.9</v>
      </c>
      <c r="F130" s="1">
        <v>7.9</v>
      </c>
      <c r="G130" s="1">
        <v>9.6999999999999993</v>
      </c>
      <c r="H130" s="2">
        <v>178.25356985119572</v>
      </c>
    </row>
    <row r="131" spans="1:8" s="11" customFormat="1" hidden="1">
      <c r="A131" s="11" t="s">
        <v>51</v>
      </c>
      <c r="B131" s="11" t="s">
        <v>52</v>
      </c>
      <c r="C131" s="12" t="s">
        <v>53</v>
      </c>
      <c r="D131" s="12" t="s">
        <v>54</v>
      </c>
      <c r="E131" s="13">
        <v>1.6</v>
      </c>
      <c r="F131" s="13">
        <v>8.6999999999999993</v>
      </c>
      <c r="G131" s="13">
        <v>11.3</v>
      </c>
      <c r="H131" s="14">
        <v>180.33670089854903</v>
      </c>
    </row>
    <row r="132" spans="1:8" hidden="1">
      <c r="A132" t="s">
        <v>103</v>
      </c>
      <c r="B132" t="s">
        <v>104</v>
      </c>
      <c r="C132" s="3" t="s">
        <v>105</v>
      </c>
      <c r="D132" s="3" t="s">
        <v>106</v>
      </c>
      <c r="E132" s="1">
        <v>0.8</v>
      </c>
      <c r="F132" s="1">
        <v>8.6</v>
      </c>
      <c r="G132" s="1">
        <v>9.6999999999999993</v>
      </c>
      <c r="H132" s="2">
        <v>180.64258635150011</v>
      </c>
    </row>
    <row r="133" spans="1:8" hidden="1">
      <c r="A133" t="s">
        <v>406</v>
      </c>
      <c r="B133" t="s">
        <v>407</v>
      </c>
      <c r="C133" s="3" t="s">
        <v>408</v>
      </c>
      <c r="D133" s="3" t="s">
        <v>409</v>
      </c>
      <c r="E133" s="1">
        <v>1.2</v>
      </c>
      <c r="F133" s="1">
        <v>9.4</v>
      </c>
      <c r="G133" s="1">
        <v>11.1</v>
      </c>
      <c r="H133" s="2">
        <v>182.65840170101606</v>
      </c>
    </row>
    <row r="134" spans="1:8" hidden="1">
      <c r="A134" t="s">
        <v>290</v>
      </c>
      <c r="B134" t="s">
        <v>291</v>
      </c>
      <c r="C134" s="3" t="s">
        <v>292</v>
      </c>
      <c r="D134" s="3" t="s">
        <v>293</v>
      </c>
      <c r="E134" s="1">
        <v>0.9</v>
      </c>
      <c r="F134" s="1">
        <v>8.1</v>
      </c>
      <c r="G134" s="1">
        <v>9.9</v>
      </c>
      <c r="H134" s="2">
        <v>183.55122085367245</v>
      </c>
    </row>
    <row r="135" spans="1:8" hidden="1">
      <c r="A135" t="s">
        <v>306</v>
      </c>
      <c r="B135" t="s">
        <v>307</v>
      </c>
      <c r="C135" s="3" t="s">
        <v>308</v>
      </c>
      <c r="D135" s="3" t="s">
        <v>309</v>
      </c>
      <c r="E135" s="1">
        <v>0.7</v>
      </c>
      <c r="F135" s="1">
        <v>9.1</v>
      </c>
      <c r="G135" s="1">
        <v>9.3000000000000007</v>
      </c>
      <c r="H135" s="2">
        <v>183.59027161309271</v>
      </c>
    </row>
    <row r="136" spans="1:8" hidden="1">
      <c r="A136" t="s">
        <v>195</v>
      </c>
      <c r="B136" t="s">
        <v>196</v>
      </c>
      <c r="C136" s="3" t="s">
        <v>197</v>
      </c>
      <c r="D136" s="3" t="s">
        <v>198</v>
      </c>
      <c r="E136" s="1">
        <v>1.1000000000000001</v>
      </c>
      <c r="F136" s="1">
        <v>9.8000000000000007</v>
      </c>
      <c r="G136" s="1">
        <v>11.2</v>
      </c>
      <c r="H136" s="2">
        <v>190.27614585261765</v>
      </c>
    </row>
    <row r="137" spans="1:8" hidden="1">
      <c r="A137" t="s">
        <v>123</v>
      </c>
      <c r="B137" t="s">
        <v>124</v>
      </c>
      <c r="C137" s="3" t="s">
        <v>125</v>
      </c>
      <c r="D137" s="3" t="s">
        <v>126</v>
      </c>
      <c r="E137" s="1">
        <v>1.5</v>
      </c>
      <c r="F137" s="1">
        <v>9.5</v>
      </c>
      <c r="G137" s="1">
        <v>11.7</v>
      </c>
      <c r="H137" s="2">
        <v>191.893448973733</v>
      </c>
    </row>
    <row r="138" spans="1:8" hidden="1">
      <c r="A138" t="s">
        <v>517</v>
      </c>
      <c r="B138" t="s">
        <v>518</v>
      </c>
      <c r="C138" s="3" t="s">
        <v>519</v>
      </c>
      <c r="D138" s="3" t="s">
        <v>520</v>
      </c>
      <c r="E138" s="1">
        <v>0.8</v>
      </c>
      <c r="F138" s="1">
        <v>10</v>
      </c>
      <c r="G138" s="1">
        <v>10.5</v>
      </c>
      <c r="H138" s="2">
        <v>197.33168744216903</v>
      </c>
    </row>
    <row r="139" spans="1:8" hidden="1">
      <c r="A139" t="s">
        <v>143</v>
      </c>
      <c r="B139" t="s">
        <v>144</v>
      </c>
      <c r="C139" s="3" t="s">
        <v>145</v>
      </c>
      <c r="D139" s="3" t="s">
        <v>146</v>
      </c>
      <c r="E139" s="1">
        <v>0.7</v>
      </c>
      <c r="F139" s="1">
        <v>9.8000000000000007</v>
      </c>
      <c r="G139" s="1">
        <v>9.9</v>
      </c>
      <c r="H139" s="2">
        <v>199.3159316001331</v>
      </c>
    </row>
    <row r="140" spans="1:8" hidden="1">
      <c r="A140" t="s">
        <v>322</v>
      </c>
      <c r="B140" t="s">
        <v>323</v>
      </c>
      <c r="C140" s="3" t="s">
        <v>324</v>
      </c>
      <c r="D140" s="3" t="s">
        <v>325</v>
      </c>
      <c r="E140" s="1">
        <v>1.3</v>
      </c>
      <c r="F140" s="1">
        <v>9.6999999999999993</v>
      </c>
      <c r="G140" s="1">
        <v>11.7</v>
      </c>
      <c r="H140" s="2">
        <v>201.27269232408426</v>
      </c>
    </row>
    <row r="141" spans="1:8" hidden="1">
      <c r="A141" t="s">
        <v>422</v>
      </c>
      <c r="B141" t="s">
        <v>423</v>
      </c>
      <c r="C141" s="3" t="s">
        <v>424</v>
      </c>
      <c r="D141" s="3" t="s">
        <v>425</v>
      </c>
      <c r="E141" s="1">
        <v>1.3</v>
      </c>
      <c r="F141" s="1">
        <v>9.8000000000000007</v>
      </c>
      <c r="G141" s="1">
        <v>11.8</v>
      </c>
      <c r="H141" s="2">
        <v>204.95278522037481</v>
      </c>
    </row>
    <row r="142" spans="1:8" hidden="1">
      <c r="A142" t="s">
        <v>119</v>
      </c>
      <c r="B142" t="s">
        <v>120</v>
      </c>
      <c r="C142" s="3" t="s">
        <v>121</v>
      </c>
      <c r="D142" s="3" t="s">
        <v>122</v>
      </c>
      <c r="E142" s="1">
        <v>0.6</v>
      </c>
      <c r="F142" s="1">
        <v>8.1</v>
      </c>
      <c r="G142" s="1">
        <v>8.4</v>
      </c>
      <c r="H142" s="2">
        <v>204.98662189705144</v>
      </c>
    </row>
    <row r="143" spans="1:8" hidden="1">
      <c r="A143" t="s">
        <v>107</v>
      </c>
      <c r="B143" t="s">
        <v>108</v>
      </c>
      <c r="C143" s="3" t="s">
        <v>109</v>
      </c>
      <c r="D143" s="3" t="s">
        <v>110</v>
      </c>
      <c r="E143" s="1">
        <v>1.6</v>
      </c>
      <c r="F143" s="1">
        <v>8</v>
      </c>
      <c r="G143" s="1">
        <v>11.4</v>
      </c>
      <c r="H143" s="2">
        <v>205.88722418126662</v>
      </c>
    </row>
    <row r="144" spans="1:8" hidden="1">
      <c r="A144" t="s">
        <v>223</v>
      </c>
      <c r="B144" t="s">
        <v>224</v>
      </c>
      <c r="C144" s="3" t="s">
        <v>225</v>
      </c>
      <c r="D144" s="3" t="s">
        <v>226</v>
      </c>
      <c r="E144" s="1">
        <v>0.9</v>
      </c>
      <c r="F144" s="1">
        <v>9.1</v>
      </c>
      <c r="G144" s="1">
        <v>10.8</v>
      </c>
      <c r="H144" s="2">
        <v>207.40085329816696</v>
      </c>
    </row>
    <row r="145" spans="1:8" hidden="1">
      <c r="A145" t="s">
        <v>147</v>
      </c>
      <c r="B145" t="s">
        <v>148</v>
      </c>
      <c r="C145" s="3" t="s">
        <v>149</v>
      </c>
      <c r="D145" s="3" t="s">
        <v>150</v>
      </c>
      <c r="E145" s="1">
        <v>0.6</v>
      </c>
      <c r="F145" s="1">
        <v>8.4</v>
      </c>
      <c r="G145" s="1">
        <v>8.9</v>
      </c>
      <c r="H145" s="2">
        <v>207.74083232989628</v>
      </c>
    </row>
    <row r="146" spans="1:8" hidden="1">
      <c r="A146" t="s">
        <v>95</v>
      </c>
      <c r="B146" t="s">
        <v>96</v>
      </c>
      <c r="C146" s="3" t="s">
        <v>97</v>
      </c>
      <c r="D146" s="3" t="s">
        <v>98</v>
      </c>
      <c r="E146" s="1">
        <v>0.6</v>
      </c>
      <c r="F146" s="1">
        <v>8.8000000000000007</v>
      </c>
      <c r="G146" s="1">
        <v>8.3000000000000007</v>
      </c>
      <c r="H146" s="2">
        <v>209.14058031369024</v>
      </c>
    </row>
    <row r="147" spans="1:8" hidden="1">
      <c r="A147" t="s">
        <v>67</v>
      </c>
      <c r="B147" t="s">
        <v>68</v>
      </c>
      <c r="C147" s="3" t="s">
        <v>69</v>
      </c>
      <c r="D147" s="3" t="s">
        <v>70</v>
      </c>
      <c r="E147" s="1">
        <v>0.6</v>
      </c>
      <c r="F147" s="1">
        <v>8.3000000000000007</v>
      </c>
      <c r="G147" s="1">
        <v>9</v>
      </c>
      <c r="H147" s="2">
        <v>210.03762293726652</v>
      </c>
    </row>
    <row r="148" spans="1:8" hidden="1">
      <c r="A148" t="s">
        <v>330</v>
      </c>
      <c r="B148" t="s">
        <v>331</v>
      </c>
      <c r="C148" s="3" t="s">
        <v>332</v>
      </c>
      <c r="D148" s="3" t="s">
        <v>333</v>
      </c>
      <c r="E148" s="1">
        <v>0.8</v>
      </c>
      <c r="F148" s="1">
        <v>8</v>
      </c>
      <c r="G148" s="1">
        <v>10</v>
      </c>
      <c r="H148" s="2">
        <v>210.1898810896673</v>
      </c>
    </row>
    <row r="149" spans="1:8" s="15" customFormat="1">
      <c r="B149" s="15" t="s">
        <v>594</v>
      </c>
      <c r="C149" s="16"/>
      <c r="D149" s="16"/>
      <c r="E149" s="17"/>
      <c r="F149" s="17"/>
      <c r="G149" s="17"/>
      <c r="H149" s="18"/>
    </row>
  </sheetData>
  <sortState ref="A2:K148">
    <sortCondition ref="H2:H148"/>
  </sortState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N15"/>
  <sheetViews>
    <sheetView workbookViewId="0">
      <selection activeCell="Q15" sqref="Q15"/>
    </sheetView>
  </sheetViews>
  <sheetFormatPr defaultRowHeight="15"/>
  <cols>
    <col min="6" max="7" width="0" hidden="1" customWidth="1"/>
    <col min="10" max="13" width="0" hidden="1" customWidth="1"/>
  </cols>
  <sheetData>
    <row r="2" spans="1:14">
      <c r="B2" s="45" t="s">
        <v>586</v>
      </c>
      <c r="C2" s="45"/>
      <c r="D2" s="46" t="s">
        <v>591</v>
      </c>
      <c r="E2" s="46"/>
      <c r="F2" s="44" t="s">
        <v>587</v>
      </c>
      <c r="G2" s="44"/>
      <c r="H2" s="46" t="s">
        <v>590</v>
      </c>
      <c r="I2" s="46"/>
      <c r="J2" s="44" t="s">
        <v>588</v>
      </c>
      <c r="K2" s="44"/>
      <c r="L2" s="44" t="s">
        <v>589</v>
      </c>
      <c r="M2" s="44"/>
    </row>
    <row r="3" spans="1:14">
      <c r="B3" s="29" t="s">
        <v>592</v>
      </c>
      <c r="C3" s="30" t="s">
        <v>593</v>
      </c>
      <c r="D3" s="29" t="s">
        <v>592</v>
      </c>
      <c r="E3" s="30" t="s">
        <v>593</v>
      </c>
      <c r="F3" s="4"/>
      <c r="G3" s="4"/>
      <c r="H3" s="29" t="s">
        <v>592</v>
      </c>
      <c r="I3" s="30" t="s">
        <v>593</v>
      </c>
      <c r="J3" s="4"/>
      <c r="K3" s="4"/>
      <c r="L3" s="4"/>
      <c r="M3" s="4"/>
    </row>
    <row r="4" spans="1:14">
      <c r="B4" s="26">
        <f>1.22*550*0.206</f>
        <v>138.226</v>
      </c>
      <c r="C4" s="28">
        <f>(1.11*550*0.206) * (1-(0.33*0.33))</f>
        <v>112.06740929999999</v>
      </c>
      <c r="D4" s="26">
        <f>1.63*550*0.206</f>
        <v>184.67899999999997</v>
      </c>
      <c r="E4" s="28">
        <f>1.61*550*0.206</f>
        <v>182.41299999999998</v>
      </c>
      <c r="F4" s="23">
        <f>2.23*550*0.206</f>
        <v>252.65899999999999</v>
      </c>
      <c r="G4" s="23">
        <f>2.42*550*0.206</f>
        <v>274.18599999999998</v>
      </c>
      <c r="H4" s="26">
        <f>2.68*550*0.206</f>
        <v>303.64400000000001</v>
      </c>
      <c r="I4" s="28">
        <f>2.73*550*0.206</f>
        <v>309.30899999999997</v>
      </c>
      <c r="J4" s="23">
        <f>3.24*550*0.206</f>
        <v>367.09200000000004</v>
      </c>
      <c r="K4" s="23">
        <f>3.1*550*0.206</f>
        <v>351.22999999999996</v>
      </c>
      <c r="L4" s="23">
        <f>3.7*550*0.206</f>
        <v>419.21</v>
      </c>
      <c r="M4" s="23">
        <f>3.64*550*0.206</f>
        <v>412.41199999999998</v>
      </c>
    </row>
    <row r="5" spans="1:14">
      <c r="A5">
        <v>100</v>
      </c>
      <c r="B5" s="24">
        <f>B4/A5</f>
        <v>1.38226</v>
      </c>
      <c r="C5" s="24">
        <f>C4/A5</f>
        <v>1.1206740929999999</v>
      </c>
      <c r="D5" s="24">
        <f>D4/A5</f>
        <v>1.8467899999999997</v>
      </c>
      <c r="E5" s="24">
        <f>E4/A5</f>
        <v>1.8241299999999998</v>
      </c>
      <c r="F5" s="23"/>
      <c r="G5" s="23"/>
      <c r="H5" s="24">
        <f>H4/A5</f>
        <v>3.0364400000000002</v>
      </c>
      <c r="I5" s="24">
        <f>I4/A5</f>
        <v>3.0930899999999997</v>
      </c>
    </row>
    <row r="6" spans="1:14">
      <c r="A6">
        <f>A5+10</f>
        <v>110</v>
      </c>
      <c r="B6" s="24">
        <f>B4/A6</f>
        <v>1.2565999999999999</v>
      </c>
      <c r="C6" s="31">
        <f>C4/A6</f>
        <v>1.0187946299999999</v>
      </c>
      <c r="D6" s="24">
        <f>D4/A6</f>
        <v>1.6788999999999998</v>
      </c>
      <c r="E6" s="24">
        <f>E4/A6</f>
        <v>1.6582999999999999</v>
      </c>
      <c r="H6" s="24">
        <f>H4/A6</f>
        <v>2.7604000000000002</v>
      </c>
      <c r="I6" s="24">
        <f>I4/A6</f>
        <v>2.8118999999999996</v>
      </c>
    </row>
    <row r="7" spans="1:14">
      <c r="A7">
        <f t="shared" ref="A7:A10" si="0">A6+10</f>
        <v>120</v>
      </c>
      <c r="B7" s="24">
        <f>B4/A7</f>
        <v>1.1518833333333334</v>
      </c>
      <c r="C7" s="31">
        <f>C4/A7</f>
        <v>0.9338950775</v>
      </c>
      <c r="D7" s="24">
        <f>D4/A7</f>
        <v>1.5389916666666665</v>
      </c>
      <c r="E7" s="24">
        <f>E4/A7</f>
        <v>1.5201083333333332</v>
      </c>
      <c r="H7" s="24">
        <f>H4/A7</f>
        <v>2.5303666666666667</v>
      </c>
      <c r="I7" s="24">
        <f>I4/A7</f>
        <v>2.5775749999999999</v>
      </c>
    </row>
    <row r="8" spans="1:14">
      <c r="A8">
        <f t="shared" si="0"/>
        <v>130</v>
      </c>
      <c r="B8" s="25">
        <f>B4/A8</f>
        <v>1.063276923076923</v>
      </c>
      <c r="C8" s="31">
        <f>C4/A8</f>
        <v>0.86205699461538454</v>
      </c>
      <c r="D8" s="24">
        <f>D4/A8</f>
        <v>1.420607692307692</v>
      </c>
      <c r="E8" s="24">
        <f>E4/A8</f>
        <v>1.4031769230769229</v>
      </c>
      <c r="H8" s="24">
        <f>H4/A8</f>
        <v>2.335723076923077</v>
      </c>
      <c r="I8" s="24">
        <f>I4/A8</f>
        <v>2.3792999999999997</v>
      </c>
    </row>
    <row r="9" spans="1:14">
      <c r="A9">
        <f t="shared" si="0"/>
        <v>140</v>
      </c>
      <c r="B9" s="25">
        <f>B4/A9</f>
        <v>0.98732857142857144</v>
      </c>
      <c r="C9" s="31">
        <f>C4/A9</f>
        <v>0.80048149499999999</v>
      </c>
      <c r="D9" s="24">
        <f>D4/A9</f>
        <v>1.3191357142857141</v>
      </c>
      <c r="E9" s="24">
        <f>E4/A9</f>
        <v>1.3029499999999998</v>
      </c>
      <c r="H9" s="24">
        <f>H4/A9</f>
        <v>2.1688857142857145</v>
      </c>
      <c r="I9" s="24">
        <f>I4/A9</f>
        <v>2.2093499999999997</v>
      </c>
    </row>
    <row r="10" spans="1:14">
      <c r="A10">
        <f t="shared" si="0"/>
        <v>150</v>
      </c>
      <c r="B10" s="25">
        <f>B4/A10</f>
        <v>0.9215066666666667</v>
      </c>
      <c r="C10" s="31">
        <f>C4/A10</f>
        <v>0.74711606199999991</v>
      </c>
      <c r="D10" s="24">
        <f>D4/A10</f>
        <v>1.2311933333333331</v>
      </c>
      <c r="E10" s="24">
        <f>E4/A10</f>
        <v>1.2160866666666665</v>
      </c>
      <c r="H10" s="24">
        <f>H4/A10</f>
        <v>2.0242933333333335</v>
      </c>
      <c r="I10" s="24">
        <f>I4/A10</f>
        <v>2.0620599999999998</v>
      </c>
    </row>
    <row r="11" spans="1:14">
      <c r="A11">
        <f>A10+30</f>
        <v>180</v>
      </c>
      <c r="B11" s="25">
        <f>B4/A11</f>
        <v>0.76792222222222217</v>
      </c>
      <c r="C11" s="31">
        <f>C4/A11</f>
        <v>0.6225967183333333</v>
      </c>
      <c r="D11" s="27">
        <f>D4/A11</f>
        <v>1.0259944444444442</v>
      </c>
      <c r="E11" s="24">
        <f>E4/A11</f>
        <v>1.0134055555555554</v>
      </c>
      <c r="H11" s="24">
        <f>H4/A11</f>
        <v>1.6869111111111112</v>
      </c>
      <c r="I11" s="24">
        <f>I4/A11</f>
        <v>1.7183833333333332</v>
      </c>
    </row>
    <row r="12" spans="1:14">
      <c r="A12">
        <f>A11+20</f>
        <v>200</v>
      </c>
      <c r="B12" s="25">
        <f>B4/A12</f>
        <v>0.69113000000000002</v>
      </c>
      <c r="C12" s="31">
        <f>C4/A12</f>
        <v>0.56033704649999994</v>
      </c>
      <c r="D12" s="25">
        <f>D4/A12</f>
        <v>0.92339499999999985</v>
      </c>
      <c r="E12" s="27">
        <f>E4/A12</f>
        <v>0.9120649999999999</v>
      </c>
      <c r="H12" s="24">
        <f>H4/A12</f>
        <v>1.5182200000000001</v>
      </c>
      <c r="I12" s="24">
        <f>I4/A12</f>
        <v>1.5465449999999998</v>
      </c>
      <c r="N12" s="33">
        <f>1-A11/A12</f>
        <v>9.9999999999999978E-2</v>
      </c>
    </row>
    <row r="13" spans="1:14">
      <c r="A13">
        <f>A12+50</f>
        <v>250</v>
      </c>
      <c r="B13" s="25">
        <f>B4/A13</f>
        <v>0.55290399999999995</v>
      </c>
      <c r="C13" s="31">
        <f>C4/A13</f>
        <v>0.44826963719999996</v>
      </c>
      <c r="D13" s="25">
        <f>D4/A13</f>
        <v>0.73871599999999993</v>
      </c>
      <c r="E13" s="31">
        <f>E4/A13</f>
        <v>0.72965199999999997</v>
      </c>
      <c r="H13" s="24">
        <f>H4/A13</f>
        <v>1.2145760000000001</v>
      </c>
      <c r="I13" s="24">
        <f>I4/A13</f>
        <v>1.2372359999999998</v>
      </c>
    </row>
    <row r="14" spans="1:14">
      <c r="A14">
        <f>A13+50</f>
        <v>300</v>
      </c>
      <c r="B14" s="25">
        <f>B4/A14</f>
        <v>0.46075333333333335</v>
      </c>
      <c r="C14" s="31">
        <f>C4/A14</f>
        <v>0.37355803099999996</v>
      </c>
      <c r="D14" s="25">
        <f>D4/A14</f>
        <v>0.61559666666666657</v>
      </c>
      <c r="E14" s="31">
        <f>E4/A14</f>
        <v>0.60804333333333327</v>
      </c>
      <c r="H14" s="32">
        <f>H4/A14</f>
        <v>1.0121466666666667</v>
      </c>
      <c r="I14" s="24">
        <f>I4/A14</f>
        <v>1.0310299999999999</v>
      </c>
    </row>
    <row r="15" spans="1:14">
      <c r="A15">
        <f>A14+50</f>
        <v>350</v>
      </c>
      <c r="B15" s="25">
        <f>B4/A15</f>
        <v>0.39493142857142854</v>
      </c>
      <c r="C15" s="31">
        <f>C4/A15</f>
        <v>0.32019259799999999</v>
      </c>
      <c r="D15" s="25">
        <f>D4/A15</f>
        <v>0.52765428571428563</v>
      </c>
      <c r="E15" s="31">
        <f>E4/A15</f>
        <v>0.52117999999999998</v>
      </c>
      <c r="H15" s="25">
        <f>H4/A15</f>
        <v>0.86755428571428572</v>
      </c>
      <c r="I15" s="32">
        <f>I4/A15</f>
        <v>0.88373999999999986</v>
      </c>
      <c r="N15" s="34">
        <f>1-A14/A15</f>
        <v>0.1428571428571429</v>
      </c>
    </row>
  </sheetData>
  <mergeCells count="6"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Orion</vt:lpstr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Wilfried Knapp</dc:creator>
  <cp:lastModifiedBy>MYHOMEPC</cp:lastModifiedBy>
  <dcterms:created xsi:type="dcterms:W3CDTF">2013-01-13T17:12:31Z</dcterms:created>
  <dcterms:modified xsi:type="dcterms:W3CDTF">2013-01-29T15:46:51Z</dcterms:modified>
</cp:coreProperties>
</file>