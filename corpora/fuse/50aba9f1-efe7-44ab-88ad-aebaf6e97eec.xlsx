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harts/chart17.xml" ContentType="application/vnd.openxmlformats-officedocument.drawingml.chart+xml"/>
  <Override PartName="/xl/drawings/drawing19.xml" ContentType="application/vnd.openxmlformats-officedocument.drawingml.chartshapes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drawings/drawing21.xml" ContentType="application/vnd.openxmlformats-officedocument.drawingml.chartshapes+xml"/>
  <Override PartName="/xl/charts/chart20.xml" ContentType="application/vnd.openxmlformats-officedocument.drawingml.chart+xml"/>
  <Override PartName="/xl/drawings/drawing22.xml" ContentType="application/vnd.openxmlformats-officedocument.drawingml.chartshapes+xml"/>
  <Override PartName="/xl/charts/chart21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2268" windowWidth="9672" windowHeight="5952" firstSheet="1" activeTab="4"/>
  </bookViews>
  <sheets>
    <sheet name="Port Region Graphs-weekly" sheetId="4" r:id="rId1"/>
    <sheet name="Weekly Data" sheetId="1" r:id="rId2"/>
    <sheet name="Weekly Averages" sheetId="7" r:id="rId3"/>
    <sheet name="Weekly Changes" sheetId="8" r:id="rId4"/>
    <sheet name="New Table 3" sheetId="6" r:id="rId5"/>
    <sheet name="Port Region Graphs-4 week avg." sheetId="3" r:id="rId6"/>
    <sheet name="Sheet1" sheetId="9" r:id="rId7"/>
  </sheets>
  <definedNames>
    <definedName name="_Fill" hidden="1">'Weekly Averages'!$U$451:$V$452</definedName>
    <definedName name="_xlnm.Print_Titles" localSheetId="1">'Weekly Data'!$7:$7</definedName>
    <definedName name="RRDEL">#REF!</definedName>
  </definedNames>
  <calcPr calcId="145621" fullCalcOnLoad="1"/>
</workbook>
</file>

<file path=xl/calcChain.xml><?xml version="1.0" encoding="utf-8"?>
<calcChain xmlns="http://schemas.openxmlformats.org/spreadsheetml/2006/main">
  <c r="H9" i="6" l="1"/>
  <c r="H7" i="6"/>
  <c r="H6" i="6"/>
  <c r="F9" i="6"/>
  <c r="E9" i="6"/>
  <c r="F7" i="6"/>
  <c r="E7" i="6"/>
  <c r="D9" i="6"/>
  <c r="D7" i="6"/>
  <c r="D6" i="6"/>
  <c r="C9" i="6"/>
  <c r="C7" i="6"/>
  <c r="C6" i="6"/>
  <c r="B9" i="6"/>
  <c r="B7" i="6"/>
  <c r="B6" i="6"/>
  <c r="O6" i="8"/>
  <c r="O5" i="8"/>
  <c r="O4" i="8"/>
  <c r="M6" i="8"/>
  <c r="M5" i="8"/>
  <c r="M4" i="8"/>
  <c r="I6" i="8"/>
  <c r="H6" i="8"/>
  <c r="H5" i="8"/>
  <c r="H4" i="8"/>
  <c r="F6" i="8"/>
  <c r="F5" i="8"/>
  <c r="F4" i="8"/>
  <c r="E6" i="8"/>
  <c r="E5" i="8"/>
  <c r="E4" i="8"/>
  <c r="D6" i="8"/>
  <c r="D5" i="8"/>
  <c r="D4" i="8"/>
  <c r="S1046" i="7"/>
  <c r="T1046" i="7"/>
  <c r="U1046" i="7"/>
  <c r="V1046" i="7"/>
  <c r="W1046" i="7"/>
  <c r="X1046" i="7"/>
  <c r="Y1046" i="7"/>
  <c r="B1046" i="7"/>
  <c r="C1046" i="7"/>
  <c r="E1046" i="7"/>
  <c r="H1046" i="7"/>
  <c r="J1046" i="7"/>
  <c r="K1046" i="7"/>
  <c r="L1046" i="7"/>
  <c r="M1046" i="7"/>
  <c r="N1046" i="7"/>
  <c r="O1046" i="7"/>
  <c r="P1046" i="7"/>
  <c r="H1045" i="1"/>
  <c r="E6" i="6"/>
  <c r="I1044" i="1"/>
  <c r="H1044" i="1"/>
  <c r="F1044" i="7"/>
  <c r="A1069" i="1"/>
  <c r="A1070" i="1"/>
  <c r="A1071" i="1"/>
  <c r="A1072" i="1"/>
  <c r="A1073" i="1"/>
  <c r="A1074" i="1"/>
  <c r="A1075" i="1"/>
  <c r="B12" i="6"/>
  <c r="B11" i="6"/>
  <c r="I1043" i="1"/>
  <c r="H1043" i="1"/>
  <c r="C8" i="6"/>
  <c r="C10" i="6" s="1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K1062" i="1"/>
  <c r="K1063" i="1"/>
  <c r="K1064" i="1"/>
  <c r="K1065" i="1"/>
  <c r="K1066" i="1"/>
  <c r="K1067" i="1"/>
  <c r="K1068" i="1"/>
  <c r="A1062" i="1"/>
  <c r="A1063" i="1"/>
  <c r="A1064" i="1"/>
  <c r="A1065" i="1"/>
  <c r="A1066" i="1"/>
  <c r="A1067" i="1"/>
  <c r="A1068" i="1"/>
  <c r="I1042" i="1"/>
  <c r="H1042" i="1"/>
  <c r="I1041" i="1"/>
  <c r="H1041" i="1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S1040" i="7"/>
  <c r="T1040" i="7"/>
  <c r="U1040" i="7"/>
  <c r="V1040" i="7"/>
  <c r="W1040" i="7"/>
  <c r="X1040" i="7"/>
  <c r="Y1040" i="7"/>
  <c r="S1041" i="7"/>
  <c r="T1041" i="7"/>
  <c r="U1041" i="7"/>
  <c r="V1041" i="7"/>
  <c r="W1041" i="7"/>
  <c r="X1041" i="7"/>
  <c r="Y1041" i="7"/>
  <c r="S1042" i="7"/>
  <c r="T1042" i="7"/>
  <c r="U1042" i="7"/>
  <c r="V1042" i="7"/>
  <c r="W1042" i="7"/>
  <c r="X1042" i="7"/>
  <c r="Y1042" i="7"/>
  <c r="S1043" i="7"/>
  <c r="T1043" i="7"/>
  <c r="U1043" i="7"/>
  <c r="V1043" i="7"/>
  <c r="W1043" i="7"/>
  <c r="X1043" i="7"/>
  <c r="Y1043" i="7"/>
  <c r="S1044" i="7"/>
  <c r="T1044" i="7"/>
  <c r="U1044" i="7"/>
  <c r="V1044" i="7"/>
  <c r="W1044" i="7"/>
  <c r="X1044" i="7"/>
  <c r="Y1044" i="7"/>
  <c r="S1045" i="7"/>
  <c r="T1045" i="7"/>
  <c r="U1045" i="7"/>
  <c r="V1045" i="7"/>
  <c r="W1045" i="7"/>
  <c r="X1045" i="7"/>
  <c r="Y1045" i="7"/>
  <c r="B1040" i="7"/>
  <c r="C1040" i="7"/>
  <c r="E1040" i="7"/>
  <c r="F1040" i="7"/>
  <c r="H1040" i="7"/>
  <c r="J1040" i="7"/>
  <c r="K1040" i="7"/>
  <c r="L1040" i="7"/>
  <c r="M1040" i="7"/>
  <c r="N1040" i="7"/>
  <c r="O1040" i="7"/>
  <c r="P1040" i="7"/>
  <c r="B1041" i="7"/>
  <c r="C1041" i="7"/>
  <c r="E1041" i="7"/>
  <c r="F1041" i="7"/>
  <c r="H1041" i="7"/>
  <c r="J1041" i="7"/>
  <c r="K1041" i="7"/>
  <c r="L1041" i="7"/>
  <c r="M1041" i="7"/>
  <c r="N1041" i="7"/>
  <c r="O1041" i="7"/>
  <c r="P1041" i="7"/>
  <c r="B1042" i="7"/>
  <c r="C1042" i="7"/>
  <c r="E1042" i="7"/>
  <c r="F1042" i="7"/>
  <c r="H1042" i="7"/>
  <c r="J1042" i="7"/>
  <c r="K1042" i="7"/>
  <c r="L1042" i="7"/>
  <c r="M1042" i="7"/>
  <c r="N1042" i="7"/>
  <c r="O1042" i="7"/>
  <c r="P1042" i="7"/>
  <c r="B1043" i="7"/>
  <c r="C1043" i="7"/>
  <c r="E1043" i="7"/>
  <c r="F1043" i="7"/>
  <c r="H1043" i="7"/>
  <c r="J1043" i="7"/>
  <c r="K1043" i="7"/>
  <c r="L1043" i="7"/>
  <c r="M1043" i="7"/>
  <c r="N1043" i="7"/>
  <c r="O1043" i="7"/>
  <c r="P1043" i="7"/>
  <c r="B1044" i="7"/>
  <c r="C1044" i="7"/>
  <c r="E1044" i="7"/>
  <c r="H1044" i="7"/>
  <c r="J1044" i="7"/>
  <c r="K1044" i="7"/>
  <c r="L1044" i="7"/>
  <c r="M1044" i="7"/>
  <c r="N1044" i="7"/>
  <c r="O1044" i="7"/>
  <c r="P1044" i="7"/>
  <c r="B1045" i="7"/>
  <c r="C1045" i="7"/>
  <c r="N6" i="8" s="1"/>
  <c r="C12" i="6" s="1"/>
  <c r="E1045" i="7"/>
  <c r="Q6" i="8"/>
  <c r="D12" i="6"/>
  <c r="H1045" i="7"/>
  <c r="J1045" i="7"/>
  <c r="K1045" i="7"/>
  <c r="L1045" i="7"/>
  <c r="M1045" i="7"/>
  <c r="N1045" i="7"/>
  <c r="O1045" i="7"/>
  <c r="P1045" i="7"/>
  <c r="I1040" i="1"/>
  <c r="H1040" i="1"/>
  <c r="S1037" i="7"/>
  <c r="T1037" i="7"/>
  <c r="U1037" i="7"/>
  <c r="V1037" i="7"/>
  <c r="W1037" i="7"/>
  <c r="X1037" i="7"/>
  <c r="Y1037" i="7"/>
  <c r="S1038" i="7"/>
  <c r="T1038" i="7"/>
  <c r="U1038" i="7"/>
  <c r="V1038" i="7"/>
  <c r="W1038" i="7"/>
  <c r="X1038" i="7"/>
  <c r="Y1038" i="7"/>
  <c r="S1039" i="7"/>
  <c r="T1039" i="7"/>
  <c r="U1039" i="7"/>
  <c r="V1039" i="7"/>
  <c r="W1039" i="7"/>
  <c r="X1039" i="7"/>
  <c r="Y1039" i="7"/>
  <c r="B1037" i="7"/>
  <c r="C1037" i="7"/>
  <c r="E1037" i="7"/>
  <c r="F1037" i="7"/>
  <c r="G1037" i="7"/>
  <c r="H1037" i="7"/>
  <c r="J1037" i="7"/>
  <c r="K1037" i="7"/>
  <c r="L1037" i="7"/>
  <c r="M1037" i="7"/>
  <c r="N1037" i="7"/>
  <c r="O1037" i="7"/>
  <c r="P1037" i="7"/>
  <c r="B1038" i="7"/>
  <c r="C1038" i="7"/>
  <c r="E1038" i="7"/>
  <c r="F1038" i="7"/>
  <c r="G1038" i="7"/>
  <c r="H1038" i="7"/>
  <c r="J1038" i="7"/>
  <c r="K1038" i="7"/>
  <c r="L1038" i="7"/>
  <c r="M1038" i="7"/>
  <c r="N1038" i="7"/>
  <c r="O1038" i="7"/>
  <c r="P1038" i="7"/>
  <c r="B1039" i="7"/>
  <c r="C1039" i="7"/>
  <c r="E1039" i="7"/>
  <c r="F1039" i="7"/>
  <c r="H1039" i="7"/>
  <c r="J1039" i="7"/>
  <c r="K1039" i="7"/>
  <c r="L1039" i="7"/>
  <c r="M1039" i="7"/>
  <c r="N1039" i="7"/>
  <c r="O1039" i="7"/>
  <c r="P1039" i="7"/>
  <c r="H1039" i="1"/>
  <c r="H1038" i="1"/>
  <c r="I1037" i="1"/>
  <c r="I1038" i="1"/>
  <c r="I1039" i="1"/>
  <c r="H1037" i="1"/>
  <c r="S1036" i="7"/>
  <c r="T1036" i="7"/>
  <c r="U1036" i="7"/>
  <c r="V1036" i="7"/>
  <c r="W1036" i="7"/>
  <c r="X1036" i="7"/>
  <c r="Y1036" i="7"/>
  <c r="B1036" i="7"/>
  <c r="C1036" i="7"/>
  <c r="E1036" i="7"/>
  <c r="F1036" i="7"/>
  <c r="G1036" i="7"/>
  <c r="H1036" i="7"/>
  <c r="J1036" i="7"/>
  <c r="K1036" i="7"/>
  <c r="L1036" i="7"/>
  <c r="M1036" i="7"/>
  <c r="N1036" i="7"/>
  <c r="O1036" i="7"/>
  <c r="P1036" i="7"/>
  <c r="I1036" i="1"/>
  <c r="H1036" i="1"/>
  <c r="S1035" i="7"/>
  <c r="T1035" i="7"/>
  <c r="U1035" i="7"/>
  <c r="V1035" i="7"/>
  <c r="W1035" i="7"/>
  <c r="X1035" i="7"/>
  <c r="Y1035" i="7"/>
  <c r="B1035" i="7"/>
  <c r="C1035" i="7"/>
  <c r="E1035" i="7"/>
  <c r="F1035" i="7"/>
  <c r="H1035" i="7"/>
  <c r="J1035" i="7"/>
  <c r="K1035" i="7"/>
  <c r="L1035" i="7"/>
  <c r="M1035" i="7"/>
  <c r="N1035" i="7"/>
  <c r="O1035" i="7"/>
  <c r="P1035" i="7"/>
  <c r="H1035" i="1"/>
  <c r="I1035" i="1"/>
  <c r="S1034" i="7"/>
  <c r="T1034" i="7"/>
  <c r="U1034" i="7"/>
  <c r="V1034" i="7"/>
  <c r="W1034" i="7"/>
  <c r="X1034" i="7"/>
  <c r="Y1034" i="7"/>
  <c r="B1034" i="7"/>
  <c r="C1034" i="7"/>
  <c r="E1034" i="7"/>
  <c r="F1034" i="7"/>
  <c r="H1034" i="7"/>
  <c r="J1034" i="7"/>
  <c r="K1034" i="7"/>
  <c r="L1034" i="7"/>
  <c r="M1034" i="7"/>
  <c r="N1034" i="7"/>
  <c r="O1034" i="7"/>
  <c r="P1034" i="7"/>
  <c r="I1034" i="1"/>
  <c r="H1034" i="1"/>
  <c r="S1033" i="7"/>
  <c r="T1033" i="7"/>
  <c r="U1033" i="7"/>
  <c r="V1033" i="7"/>
  <c r="W1033" i="7"/>
  <c r="X1033" i="7"/>
  <c r="Y1033" i="7"/>
  <c r="B1033" i="7"/>
  <c r="C1033" i="7"/>
  <c r="E1033" i="7"/>
  <c r="F1033" i="7"/>
  <c r="H1033" i="7"/>
  <c r="J1033" i="7"/>
  <c r="K1033" i="7"/>
  <c r="L1033" i="7"/>
  <c r="M1033" i="7"/>
  <c r="N1033" i="7"/>
  <c r="O1033" i="7"/>
  <c r="P1033" i="7"/>
  <c r="I1033" i="1"/>
  <c r="H1033" i="1"/>
  <c r="D10" i="8"/>
  <c r="D12" i="8"/>
  <c r="S1032" i="7"/>
  <c r="T1032" i="7"/>
  <c r="U1032" i="7"/>
  <c r="V1032" i="7"/>
  <c r="W1032" i="7"/>
  <c r="X1032" i="7"/>
  <c r="Y1032" i="7"/>
  <c r="B1032" i="7"/>
  <c r="C1032" i="7"/>
  <c r="E1032" i="7"/>
  <c r="F1032" i="7"/>
  <c r="G1032" i="7"/>
  <c r="H1032" i="7"/>
  <c r="J1032" i="7"/>
  <c r="K1032" i="7"/>
  <c r="L1032" i="7"/>
  <c r="M1032" i="7"/>
  <c r="N1032" i="7"/>
  <c r="O1032" i="7"/>
  <c r="P1032" i="7"/>
  <c r="I1032" i="1"/>
  <c r="H1032" i="1"/>
  <c r="S1031" i="7"/>
  <c r="T1031" i="7"/>
  <c r="U1031" i="7"/>
  <c r="V1031" i="7"/>
  <c r="W1031" i="7"/>
  <c r="X1031" i="7"/>
  <c r="Y1031" i="7"/>
  <c r="B1031" i="7"/>
  <c r="C1031" i="7"/>
  <c r="E1031" i="7"/>
  <c r="F1031" i="7"/>
  <c r="H1031" i="7"/>
  <c r="J1031" i="7"/>
  <c r="K1031" i="7"/>
  <c r="L1031" i="7"/>
  <c r="M1031" i="7"/>
  <c r="N1031" i="7"/>
  <c r="O1031" i="7"/>
  <c r="P1031" i="7"/>
  <c r="I1031" i="1"/>
  <c r="H1031" i="1"/>
  <c r="J11" i="8"/>
  <c r="I11" i="8"/>
  <c r="H11" i="8"/>
  <c r="H10" i="8"/>
  <c r="H12" i="8"/>
  <c r="F11" i="8"/>
  <c r="F10" i="8"/>
  <c r="F12" i="8"/>
  <c r="E11" i="8"/>
  <c r="E10" i="8"/>
  <c r="E12" i="8"/>
  <c r="D11" i="8"/>
  <c r="S1030" i="7"/>
  <c r="T1030" i="7"/>
  <c r="U1030" i="7"/>
  <c r="V1030" i="7"/>
  <c r="W1030" i="7"/>
  <c r="X1030" i="7"/>
  <c r="Y1030" i="7"/>
  <c r="B1030" i="7"/>
  <c r="C1030" i="7"/>
  <c r="E1030" i="7"/>
  <c r="F1030" i="7"/>
  <c r="H1030" i="7"/>
  <c r="H11" i="6"/>
  <c r="J1030" i="7"/>
  <c r="K1030" i="7"/>
  <c r="L1030" i="7"/>
  <c r="M1030" i="7"/>
  <c r="N1030" i="7"/>
  <c r="O1030" i="7"/>
  <c r="P1030" i="7"/>
  <c r="H1030" i="1"/>
  <c r="I1030" i="1"/>
  <c r="S1029" i="7"/>
  <c r="T1029" i="7"/>
  <c r="U1029" i="7"/>
  <c r="V1029" i="7"/>
  <c r="W1029" i="7"/>
  <c r="X1029" i="7"/>
  <c r="Y1029" i="7"/>
  <c r="B1029" i="7"/>
  <c r="C1029" i="7"/>
  <c r="E1029" i="7"/>
  <c r="F1029" i="7"/>
  <c r="H1029" i="7"/>
  <c r="J1029" i="7"/>
  <c r="K1029" i="7"/>
  <c r="L1029" i="7"/>
  <c r="M1029" i="7"/>
  <c r="N1029" i="7"/>
  <c r="O1029" i="7"/>
  <c r="P1029" i="7"/>
  <c r="H1029" i="1"/>
  <c r="I1029" i="1"/>
  <c r="B8" i="6"/>
  <c r="B10" i="6"/>
  <c r="S1028" i="7"/>
  <c r="T1028" i="7"/>
  <c r="U1028" i="7"/>
  <c r="V1028" i="7"/>
  <c r="W1028" i="7"/>
  <c r="X1028" i="7"/>
  <c r="Y1028" i="7"/>
  <c r="B1028" i="7"/>
  <c r="C1028" i="7"/>
  <c r="E1028" i="7"/>
  <c r="F1028" i="7"/>
  <c r="H1028" i="7"/>
  <c r="H12" i="6"/>
  <c r="J1028" i="7"/>
  <c r="K1028" i="7"/>
  <c r="L1028" i="7"/>
  <c r="M1028" i="7"/>
  <c r="N1028" i="7"/>
  <c r="O1028" i="7"/>
  <c r="P1028" i="7"/>
  <c r="I1028" i="1"/>
  <c r="H1028" i="1"/>
  <c r="S1027" i="7"/>
  <c r="T1027" i="7"/>
  <c r="U1027" i="7"/>
  <c r="V1027" i="7"/>
  <c r="W1027" i="7"/>
  <c r="X1027" i="7"/>
  <c r="Y1027" i="7"/>
  <c r="B1027" i="7"/>
  <c r="C1027" i="7"/>
  <c r="E1027" i="7"/>
  <c r="F1027" i="7"/>
  <c r="H1027" i="7"/>
  <c r="J1027" i="7"/>
  <c r="K1027" i="7"/>
  <c r="L1027" i="7"/>
  <c r="M1027" i="7"/>
  <c r="N1027" i="7"/>
  <c r="O1027" i="7"/>
  <c r="P1027" i="7"/>
  <c r="I1027" i="1"/>
  <c r="H1027" i="1"/>
  <c r="S1026" i="7"/>
  <c r="T1026" i="7"/>
  <c r="U1026" i="7"/>
  <c r="V1026" i="7"/>
  <c r="W1026" i="7"/>
  <c r="X1026" i="7"/>
  <c r="Y1026" i="7"/>
  <c r="B1026" i="7"/>
  <c r="C1026" i="7"/>
  <c r="E1026" i="7"/>
  <c r="F1026" i="7"/>
  <c r="H1026" i="7"/>
  <c r="J1026" i="7"/>
  <c r="K1026" i="7"/>
  <c r="L1026" i="7"/>
  <c r="M1026" i="7"/>
  <c r="N1026" i="7"/>
  <c r="O1026" i="7"/>
  <c r="P1026" i="7"/>
  <c r="I1026" i="1"/>
  <c r="H1026" i="1"/>
  <c r="S1025" i="7"/>
  <c r="T1025" i="7"/>
  <c r="U1025" i="7"/>
  <c r="V1025" i="7"/>
  <c r="W1025" i="7"/>
  <c r="X1025" i="7"/>
  <c r="Y1025" i="7"/>
  <c r="B1025" i="7"/>
  <c r="C1025" i="7"/>
  <c r="E1025" i="7"/>
  <c r="F1025" i="7"/>
  <c r="H1025" i="7"/>
  <c r="J1025" i="7"/>
  <c r="K1025" i="7"/>
  <c r="L1025" i="7"/>
  <c r="M1025" i="7"/>
  <c r="N1025" i="7"/>
  <c r="O1025" i="7"/>
  <c r="P1025" i="7"/>
  <c r="I1025" i="1"/>
  <c r="H1025" i="1"/>
  <c r="S1024" i="7"/>
  <c r="T1024" i="7"/>
  <c r="U1024" i="7"/>
  <c r="V1024" i="7"/>
  <c r="W1024" i="7"/>
  <c r="X1024" i="7"/>
  <c r="Y1024" i="7"/>
  <c r="B1024" i="7"/>
  <c r="C1024" i="7"/>
  <c r="E1024" i="7"/>
  <c r="F1024" i="7"/>
  <c r="H1024" i="7"/>
  <c r="J1024" i="7"/>
  <c r="K1024" i="7"/>
  <c r="L1024" i="7"/>
  <c r="M1024" i="7"/>
  <c r="N1024" i="7"/>
  <c r="O1024" i="7"/>
  <c r="P1024" i="7"/>
  <c r="I1024" i="1"/>
  <c r="H1024" i="1"/>
  <c r="S1023" i="7"/>
  <c r="T1023" i="7"/>
  <c r="U1023" i="7"/>
  <c r="V1023" i="7"/>
  <c r="W1023" i="7"/>
  <c r="X1023" i="7"/>
  <c r="Y1023" i="7"/>
  <c r="B1023" i="7"/>
  <c r="C1023" i="7"/>
  <c r="E1023" i="7"/>
  <c r="F1023" i="7"/>
  <c r="H1023" i="7"/>
  <c r="J1023" i="7"/>
  <c r="K1023" i="7"/>
  <c r="L1023" i="7"/>
  <c r="M1023" i="7"/>
  <c r="N1023" i="7"/>
  <c r="O1023" i="7"/>
  <c r="P1023" i="7"/>
  <c r="I1023" i="1"/>
  <c r="H1023" i="1"/>
  <c r="B1022" i="7"/>
  <c r="C1022" i="7"/>
  <c r="E1022" i="7"/>
  <c r="F1022" i="7"/>
  <c r="H1022" i="7"/>
  <c r="J1022" i="7"/>
  <c r="K1022" i="7"/>
  <c r="L1022" i="7"/>
  <c r="M1022" i="7"/>
  <c r="P1022" i="7"/>
  <c r="H1022" i="1"/>
  <c r="B1021" i="7"/>
  <c r="C1021" i="7"/>
  <c r="E1021" i="7"/>
  <c r="H1021" i="7"/>
  <c r="J1021" i="7"/>
  <c r="K1021" i="7"/>
  <c r="L1021" i="7"/>
  <c r="M1021" i="7"/>
  <c r="P1021" i="7"/>
  <c r="H1021" i="1"/>
  <c r="I1021" i="1"/>
  <c r="G1021" i="7"/>
  <c r="B1020" i="7"/>
  <c r="C1020" i="7"/>
  <c r="E1020" i="7"/>
  <c r="H1020" i="7"/>
  <c r="J1020" i="7"/>
  <c r="K1020" i="7"/>
  <c r="L1020" i="7"/>
  <c r="M1020" i="7"/>
  <c r="P1020" i="7"/>
  <c r="H1020" i="1"/>
  <c r="B1019" i="7"/>
  <c r="C1019" i="7"/>
  <c r="E1019" i="7"/>
  <c r="H1019" i="7"/>
  <c r="J1019" i="7"/>
  <c r="K1019" i="7"/>
  <c r="L1019" i="7"/>
  <c r="M1019" i="7"/>
  <c r="P1019" i="7"/>
  <c r="H1019" i="1"/>
  <c r="I1019" i="1"/>
  <c r="B1018" i="7"/>
  <c r="C1018" i="7"/>
  <c r="E1018" i="7"/>
  <c r="H1018" i="7"/>
  <c r="J1018" i="7"/>
  <c r="K1018" i="7"/>
  <c r="L1018" i="7"/>
  <c r="M1018" i="7"/>
  <c r="P1018" i="7"/>
  <c r="H1018" i="1"/>
  <c r="B1017" i="7"/>
  <c r="C1017" i="7"/>
  <c r="E1017" i="7"/>
  <c r="H1017" i="7"/>
  <c r="J1017" i="7"/>
  <c r="K1017" i="7"/>
  <c r="L1017" i="7"/>
  <c r="M1017" i="7"/>
  <c r="P1017" i="7"/>
  <c r="I1017" i="1"/>
  <c r="H1017" i="1"/>
  <c r="F1020" i="7"/>
  <c r="B1016" i="7"/>
  <c r="C1016" i="7"/>
  <c r="E1016" i="7"/>
  <c r="H1016" i="7"/>
  <c r="J1016" i="7"/>
  <c r="K1016" i="7"/>
  <c r="L1016" i="7"/>
  <c r="M1016" i="7"/>
  <c r="P1016" i="7"/>
  <c r="H1016" i="1"/>
  <c r="H1015" i="1"/>
  <c r="I1015" i="1"/>
  <c r="B1015" i="7"/>
  <c r="C1015" i="7"/>
  <c r="E1015" i="7"/>
  <c r="H1015" i="7"/>
  <c r="J1015" i="7"/>
  <c r="K1015" i="7"/>
  <c r="L1015" i="7"/>
  <c r="M1015" i="7"/>
  <c r="P1015" i="7"/>
  <c r="B1014" i="7"/>
  <c r="C1014" i="7"/>
  <c r="E1014" i="7"/>
  <c r="H1014" i="7"/>
  <c r="J1014" i="7"/>
  <c r="K1014" i="7"/>
  <c r="L1014" i="7"/>
  <c r="M1014" i="7"/>
  <c r="P1014" i="7"/>
  <c r="H1014" i="1"/>
  <c r="F1014" i="7"/>
  <c r="B1013" i="7"/>
  <c r="C1013" i="7"/>
  <c r="E1013" i="7"/>
  <c r="H1013" i="7"/>
  <c r="J1013" i="7"/>
  <c r="K1013" i="7"/>
  <c r="L1013" i="7"/>
  <c r="M1013" i="7"/>
  <c r="P1013" i="7"/>
  <c r="H1013" i="1"/>
  <c r="I1013" i="1"/>
  <c r="B1012" i="7"/>
  <c r="C1012" i="7"/>
  <c r="E1012" i="7"/>
  <c r="H1012" i="7"/>
  <c r="J1012" i="7"/>
  <c r="K1012" i="7"/>
  <c r="L1012" i="7"/>
  <c r="M1012" i="7"/>
  <c r="P1012" i="7"/>
  <c r="H1012" i="1"/>
  <c r="B1011" i="7"/>
  <c r="C1011" i="7"/>
  <c r="E1011" i="7"/>
  <c r="H1011" i="7"/>
  <c r="J1011" i="7"/>
  <c r="K1011" i="7"/>
  <c r="L1011" i="7"/>
  <c r="M1011" i="7"/>
  <c r="P1011" i="7"/>
  <c r="H1011" i="1"/>
  <c r="I1011" i="1"/>
  <c r="B1010" i="7"/>
  <c r="C1010" i="7"/>
  <c r="E1010" i="7"/>
  <c r="H1010" i="7"/>
  <c r="J1010" i="7"/>
  <c r="K1010" i="7"/>
  <c r="L1010" i="7"/>
  <c r="M1010" i="7"/>
  <c r="P101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H1010" i="1"/>
  <c r="B1009" i="7"/>
  <c r="C1009" i="7"/>
  <c r="E1009" i="7"/>
  <c r="H1009" i="7"/>
  <c r="J1009" i="7"/>
  <c r="K1009" i="7"/>
  <c r="L1009" i="7"/>
  <c r="M1009" i="7"/>
  <c r="P1009" i="7"/>
  <c r="H1009" i="1"/>
  <c r="I1009" i="1"/>
  <c r="B1008" i="7"/>
  <c r="C1008" i="7"/>
  <c r="E1008" i="7"/>
  <c r="H1008" i="7"/>
  <c r="J1008" i="7"/>
  <c r="K1008" i="7"/>
  <c r="L1008" i="7"/>
  <c r="M1008" i="7"/>
  <c r="P1008" i="7"/>
  <c r="H1008" i="1"/>
  <c r="I1008" i="1"/>
  <c r="B1007" i="7"/>
  <c r="C1007" i="7"/>
  <c r="E1007" i="7"/>
  <c r="H1007" i="7"/>
  <c r="J1007" i="7"/>
  <c r="K1007" i="7"/>
  <c r="L1007" i="7"/>
  <c r="M1007" i="7"/>
  <c r="P1007" i="7"/>
  <c r="H1007" i="1"/>
  <c r="I1007" i="1"/>
  <c r="B1006" i="7"/>
  <c r="C1006" i="7"/>
  <c r="E1006" i="7"/>
  <c r="H1006" i="7"/>
  <c r="J1006" i="7"/>
  <c r="K1006" i="7"/>
  <c r="L1006" i="7"/>
  <c r="M1006" i="7"/>
  <c r="P1006" i="7"/>
  <c r="H1006" i="1"/>
  <c r="B1005" i="7"/>
  <c r="C1005" i="7"/>
  <c r="E1005" i="7"/>
  <c r="H1005" i="7"/>
  <c r="J1005" i="7"/>
  <c r="K1005" i="7"/>
  <c r="L1005" i="7"/>
  <c r="M1005" i="7"/>
  <c r="P1005" i="7"/>
  <c r="H1005" i="1"/>
  <c r="I1005" i="1"/>
  <c r="B1004" i="7"/>
  <c r="C1004" i="7"/>
  <c r="E1004" i="7"/>
  <c r="H1004" i="7"/>
  <c r="J1004" i="7"/>
  <c r="K1004" i="7"/>
  <c r="L1004" i="7"/>
  <c r="M1004" i="7"/>
  <c r="P1004" i="7"/>
  <c r="H1004" i="1"/>
  <c r="K1051" i="1"/>
  <c r="K1052" i="1"/>
  <c r="K1053" i="1"/>
  <c r="K1054" i="1"/>
  <c r="K1055" i="1"/>
  <c r="K1056" i="1"/>
  <c r="K1057" i="1"/>
  <c r="K1058" i="1"/>
  <c r="K1059" i="1"/>
  <c r="K1060" i="1"/>
  <c r="K1061" i="1"/>
  <c r="B1003" i="7"/>
  <c r="C1003" i="7"/>
  <c r="E1003" i="7"/>
  <c r="H1003" i="7"/>
  <c r="J1003" i="7"/>
  <c r="K1003" i="7"/>
  <c r="L1003" i="7"/>
  <c r="M1003" i="7"/>
  <c r="P1003" i="7"/>
  <c r="H1003" i="1"/>
  <c r="I1003" i="1"/>
  <c r="B1002" i="7"/>
  <c r="C1002" i="7"/>
  <c r="E1002" i="7"/>
  <c r="H1002" i="7"/>
  <c r="J1002" i="7"/>
  <c r="K1002" i="7"/>
  <c r="L1002" i="7"/>
  <c r="M1002" i="7"/>
  <c r="P1002" i="7"/>
  <c r="H1002" i="1"/>
  <c r="H8" i="6"/>
  <c r="H10" i="6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B1001" i="7"/>
  <c r="C1001" i="7"/>
  <c r="E1001" i="7"/>
  <c r="H1001" i="7"/>
  <c r="J1001" i="7"/>
  <c r="K1001" i="7"/>
  <c r="L1001" i="7"/>
  <c r="M1001" i="7"/>
  <c r="P1001" i="7"/>
  <c r="H1001" i="1"/>
  <c r="H1000" i="1"/>
  <c r="I1000" i="1"/>
  <c r="B1000" i="7"/>
  <c r="C1000" i="7"/>
  <c r="E1000" i="7"/>
  <c r="H1000" i="7"/>
  <c r="J1000" i="7"/>
  <c r="K1000" i="7"/>
  <c r="L1000" i="7"/>
  <c r="M1000" i="7"/>
  <c r="P1000" i="7"/>
  <c r="B999" i="7"/>
  <c r="C999" i="7"/>
  <c r="E999" i="7"/>
  <c r="H999" i="7"/>
  <c r="J999" i="7"/>
  <c r="K999" i="7"/>
  <c r="L999" i="7"/>
  <c r="M999" i="7"/>
  <c r="P999" i="7"/>
  <c r="H999" i="1"/>
  <c r="I999" i="1"/>
  <c r="D13" i="6"/>
  <c r="C13" i="6"/>
  <c r="B13" i="6"/>
  <c r="D14" i="6"/>
  <c r="C14" i="6"/>
  <c r="B14" i="6"/>
  <c r="D8" i="6"/>
  <c r="D10" i="6"/>
  <c r="B998" i="7"/>
  <c r="C998" i="7"/>
  <c r="E998" i="7"/>
  <c r="H998" i="7"/>
  <c r="J998" i="7"/>
  <c r="K998" i="7"/>
  <c r="L998" i="7"/>
  <c r="M998" i="7"/>
  <c r="P998" i="7"/>
  <c r="H998" i="1"/>
  <c r="J997" i="7"/>
  <c r="K997" i="7"/>
  <c r="L997" i="7"/>
  <c r="M997" i="7"/>
  <c r="P997" i="7"/>
  <c r="C997" i="7"/>
  <c r="E997" i="7"/>
  <c r="H997" i="7"/>
  <c r="B997" i="7"/>
  <c r="H997" i="1"/>
  <c r="I997" i="1"/>
  <c r="B996" i="7"/>
  <c r="C996" i="7"/>
  <c r="E996" i="7"/>
  <c r="H996" i="7"/>
  <c r="J996" i="7"/>
  <c r="K996" i="7"/>
  <c r="L996" i="7"/>
  <c r="M996" i="7"/>
  <c r="P996" i="7"/>
  <c r="H996" i="1"/>
  <c r="H989" i="7"/>
  <c r="H990" i="7"/>
  <c r="H991" i="7"/>
  <c r="H992" i="7"/>
  <c r="H993" i="7"/>
  <c r="H994" i="7"/>
  <c r="H995" i="7"/>
  <c r="B995" i="7"/>
  <c r="C995" i="7"/>
  <c r="E995" i="7"/>
  <c r="J995" i="7"/>
  <c r="K995" i="7"/>
  <c r="L995" i="7"/>
  <c r="M995" i="7"/>
  <c r="P995" i="7"/>
  <c r="H995" i="1"/>
  <c r="B994" i="7"/>
  <c r="C994" i="7"/>
  <c r="E994" i="7"/>
  <c r="J994" i="7"/>
  <c r="K994" i="7"/>
  <c r="L994" i="7"/>
  <c r="M994" i="7"/>
  <c r="P994" i="7"/>
  <c r="H994" i="1"/>
  <c r="B993" i="7"/>
  <c r="C993" i="7"/>
  <c r="E993" i="7"/>
  <c r="J993" i="7"/>
  <c r="K993" i="7"/>
  <c r="L993" i="7"/>
  <c r="M993" i="7"/>
  <c r="P993" i="7"/>
  <c r="H993" i="1"/>
  <c r="H992" i="1"/>
  <c r="I992" i="1"/>
  <c r="J992" i="7"/>
  <c r="K992" i="7"/>
  <c r="L992" i="7"/>
  <c r="M992" i="7"/>
  <c r="P992" i="7"/>
  <c r="B992" i="7"/>
  <c r="C992" i="7"/>
  <c r="E992" i="7"/>
  <c r="H991" i="1"/>
  <c r="B991" i="7"/>
  <c r="C991" i="7"/>
  <c r="E991" i="7"/>
  <c r="J991" i="7"/>
  <c r="K991" i="7"/>
  <c r="L991" i="7"/>
  <c r="M991" i="7"/>
  <c r="P991" i="7"/>
  <c r="H990" i="1"/>
  <c r="F993" i="7"/>
  <c r="H989" i="1"/>
  <c r="H988" i="1"/>
  <c r="H987" i="1"/>
  <c r="H986" i="1"/>
  <c r="I986" i="1"/>
  <c r="H985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990" i="7"/>
  <c r="H778" i="7"/>
  <c r="H779" i="7"/>
  <c r="Y831" i="7"/>
  <c r="H780" i="7"/>
  <c r="Y832" i="7"/>
  <c r="H781" i="7"/>
  <c r="Y833" i="7"/>
  <c r="H782" i="7"/>
  <c r="H783" i="7"/>
  <c r="H784" i="7"/>
  <c r="H785" i="7"/>
  <c r="Y837" i="7"/>
  <c r="H786" i="7"/>
  <c r="H787" i="7"/>
  <c r="Y839" i="7"/>
  <c r="H788" i="7"/>
  <c r="Y840" i="7"/>
  <c r="H789" i="7"/>
  <c r="H790" i="7"/>
  <c r="Y842" i="7"/>
  <c r="H791" i="7"/>
  <c r="H792" i="7"/>
  <c r="Y844" i="7"/>
  <c r="H793" i="7"/>
  <c r="Y845" i="7"/>
  <c r="H794" i="7"/>
  <c r="Y846" i="7"/>
  <c r="H795" i="7"/>
  <c r="Y847" i="7"/>
  <c r="H796" i="7"/>
  <c r="Y848" i="7"/>
  <c r="H797" i="7"/>
  <c r="Y849" i="7"/>
  <c r="H798" i="7"/>
  <c r="Y850" i="7"/>
  <c r="H799" i="7"/>
  <c r="H800" i="7"/>
  <c r="Y852" i="7"/>
  <c r="H801" i="7"/>
  <c r="Y853" i="7"/>
  <c r="H802" i="7"/>
  <c r="H803" i="7"/>
  <c r="Y1012" i="7"/>
  <c r="H804" i="7"/>
  <c r="H805" i="7"/>
  <c r="Y857" i="7"/>
  <c r="H806" i="7"/>
  <c r="H807" i="7"/>
  <c r="Y859" i="7"/>
  <c r="H808" i="7"/>
  <c r="Y860" i="7"/>
  <c r="H809" i="7"/>
  <c r="Y861" i="7"/>
  <c r="H810" i="7"/>
  <c r="H811" i="7"/>
  <c r="H812" i="7"/>
  <c r="Y864" i="7"/>
  <c r="H813" i="7"/>
  <c r="H814" i="7"/>
  <c r="H815" i="7"/>
  <c r="Y867" i="7"/>
  <c r="H816" i="7"/>
  <c r="H817" i="7"/>
  <c r="Y973" i="7"/>
  <c r="H818" i="7"/>
  <c r="Y870" i="7"/>
  <c r="H819" i="7"/>
  <c r="Y871" i="7"/>
  <c r="H820" i="7"/>
  <c r="Y872" i="7"/>
  <c r="H821" i="7"/>
  <c r="Y925" i="7"/>
  <c r="H822" i="7"/>
  <c r="H823" i="7"/>
  <c r="H824" i="7"/>
  <c r="Y876" i="7"/>
  <c r="H825" i="7"/>
  <c r="H826" i="7"/>
  <c r="Y878" i="7"/>
  <c r="H827" i="7"/>
  <c r="Y879" i="7"/>
  <c r="H828" i="7"/>
  <c r="H829" i="7"/>
  <c r="H830" i="7"/>
  <c r="H831" i="7"/>
  <c r="Y883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Y948" i="7"/>
  <c r="H845" i="7"/>
  <c r="H846" i="7"/>
  <c r="H847" i="7"/>
  <c r="H848" i="7"/>
  <c r="H849" i="7"/>
  <c r="H850" i="7"/>
  <c r="H851" i="7"/>
  <c r="H852" i="7"/>
  <c r="H853" i="7"/>
  <c r="H854" i="7"/>
  <c r="H855" i="7"/>
  <c r="Y907" i="7"/>
  <c r="H856" i="7"/>
  <c r="H857" i="7"/>
  <c r="H858" i="7"/>
  <c r="H859" i="7"/>
  <c r="H860" i="7"/>
  <c r="Y964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Y981" i="7"/>
  <c r="H878" i="7"/>
  <c r="H879" i="7"/>
  <c r="Y931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Y996" i="7"/>
  <c r="H893" i="7"/>
  <c r="H894" i="7"/>
  <c r="Y946" i="7"/>
  <c r="H895" i="7"/>
  <c r="Y947" i="7"/>
  <c r="H896" i="7"/>
  <c r="H897" i="7"/>
  <c r="H898" i="7"/>
  <c r="H899" i="7"/>
  <c r="H900" i="7"/>
  <c r="H901" i="7"/>
  <c r="H902" i="7"/>
  <c r="Y954" i="7"/>
  <c r="H903" i="7"/>
  <c r="Y955" i="7"/>
  <c r="H904" i="7"/>
  <c r="H905" i="7"/>
  <c r="H906" i="7"/>
  <c r="H907" i="7"/>
  <c r="H908" i="7"/>
  <c r="H909" i="7"/>
  <c r="H910" i="7"/>
  <c r="H911" i="7"/>
  <c r="Y963" i="7"/>
  <c r="H912" i="7"/>
  <c r="H913" i="7"/>
  <c r="H914" i="7"/>
  <c r="H915" i="7"/>
  <c r="H916" i="7"/>
  <c r="Y968" i="7"/>
  <c r="H917" i="7"/>
  <c r="H918" i="7"/>
  <c r="H919" i="7"/>
  <c r="Y971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Y985" i="7"/>
  <c r="H934" i="7"/>
  <c r="H935" i="7"/>
  <c r="H936" i="7"/>
  <c r="H937" i="7"/>
  <c r="H938" i="7"/>
  <c r="H939" i="7"/>
  <c r="H940" i="7"/>
  <c r="Y992" i="7"/>
  <c r="H941" i="7"/>
  <c r="H942" i="7"/>
  <c r="H943" i="7"/>
  <c r="H944" i="7"/>
  <c r="H945" i="7"/>
  <c r="H946" i="7"/>
  <c r="H947" i="7"/>
  <c r="H948" i="7"/>
  <c r="H949" i="7"/>
  <c r="Y1001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Y1016" i="7"/>
  <c r="H965" i="7"/>
  <c r="Y1017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777" i="7"/>
  <c r="Y829" i="7"/>
  <c r="B990" i="7"/>
  <c r="C990" i="7"/>
  <c r="E990" i="7"/>
  <c r="J990" i="7"/>
  <c r="K990" i="7"/>
  <c r="L990" i="7"/>
  <c r="M990" i="7"/>
  <c r="B988" i="7"/>
  <c r="C988" i="7"/>
  <c r="E988" i="7"/>
  <c r="B989" i="7"/>
  <c r="C989" i="7"/>
  <c r="E989" i="7"/>
  <c r="J988" i="7"/>
  <c r="K988" i="7"/>
  <c r="L988" i="7"/>
  <c r="M988" i="7"/>
  <c r="J989" i="7"/>
  <c r="K989" i="7"/>
  <c r="L989" i="7"/>
  <c r="M989" i="7"/>
  <c r="H984" i="1"/>
  <c r="I984" i="1"/>
  <c r="B984" i="7"/>
  <c r="C984" i="7"/>
  <c r="D984" i="7"/>
  <c r="E984" i="7"/>
  <c r="J984" i="7"/>
  <c r="K984" i="7"/>
  <c r="L984" i="7"/>
  <c r="M984" i="7"/>
  <c r="B985" i="7"/>
  <c r="C985" i="7"/>
  <c r="D985" i="7"/>
  <c r="E985" i="7"/>
  <c r="J985" i="7"/>
  <c r="K985" i="7"/>
  <c r="L985" i="7"/>
  <c r="M985" i="7"/>
  <c r="B986" i="7"/>
  <c r="C986" i="7"/>
  <c r="E986" i="7"/>
  <c r="J986" i="7"/>
  <c r="K986" i="7"/>
  <c r="L986" i="7"/>
  <c r="M986" i="7"/>
  <c r="B987" i="7"/>
  <c r="C987" i="7"/>
  <c r="E987" i="7"/>
  <c r="J987" i="7"/>
  <c r="K987" i="7"/>
  <c r="L987" i="7"/>
  <c r="M987" i="7"/>
  <c r="H983" i="1"/>
  <c r="I983" i="1"/>
  <c r="B983" i="7"/>
  <c r="C983" i="7"/>
  <c r="D983" i="7"/>
  <c r="E983" i="7"/>
  <c r="J983" i="7"/>
  <c r="K983" i="7"/>
  <c r="L983" i="7"/>
  <c r="M983" i="7"/>
  <c r="B982" i="7"/>
  <c r="C982" i="7"/>
  <c r="D982" i="7"/>
  <c r="E982" i="7"/>
  <c r="H982" i="1"/>
  <c r="I982" i="1"/>
  <c r="J982" i="7"/>
  <c r="K982" i="7"/>
  <c r="L982" i="7"/>
  <c r="M982" i="7"/>
  <c r="H981" i="1"/>
  <c r="H980" i="1"/>
  <c r="B980" i="7"/>
  <c r="C980" i="7"/>
  <c r="D980" i="7"/>
  <c r="E980" i="7"/>
  <c r="J980" i="7"/>
  <c r="K980" i="7"/>
  <c r="L980" i="7"/>
  <c r="M980" i="7"/>
  <c r="B981" i="7"/>
  <c r="C981" i="7"/>
  <c r="D981" i="7"/>
  <c r="E981" i="7"/>
  <c r="J981" i="7"/>
  <c r="K981" i="7"/>
  <c r="L981" i="7"/>
  <c r="M981" i="7"/>
  <c r="H979" i="1"/>
  <c r="B979" i="7"/>
  <c r="C979" i="7"/>
  <c r="D979" i="7"/>
  <c r="E979" i="7"/>
  <c r="J979" i="7"/>
  <c r="K979" i="7"/>
  <c r="L979" i="7"/>
  <c r="M979" i="7"/>
  <c r="H978" i="1"/>
  <c r="I978" i="1"/>
  <c r="B978" i="7"/>
  <c r="C978" i="7"/>
  <c r="D978" i="7"/>
  <c r="E978" i="7"/>
  <c r="J978" i="7"/>
  <c r="K978" i="7"/>
  <c r="L978" i="7"/>
  <c r="M978" i="7"/>
  <c r="H977" i="1"/>
  <c r="B976" i="7"/>
  <c r="C976" i="7"/>
  <c r="D976" i="7"/>
  <c r="E976" i="7"/>
  <c r="J976" i="7"/>
  <c r="K976" i="7"/>
  <c r="L976" i="7"/>
  <c r="M976" i="7"/>
  <c r="B977" i="7"/>
  <c r="C977" i="7"/>
  <c r="D977" i="7"/>
  <c r="E977" i="7"/>
  <c r="J977" i="7"/>
  <c r="K977" i="7"/>
  <c r="L977" i="7"/>
  <c r="M977" i="7"/>
  <c r="H976" i="1"/>
  <c r="I976" i="1"/>
  <c r="B975" i="7"/>
  <c r="C975" i="7"/>
  <c r="D975" i="7"/>
  <c r="E975" i="7"/>
  <c r="J975" i="7"/>
  <c r="K975" i="7"/>
  <c r="L975" i="7"/>
  <c r="M975" i="7"/>
  <c r="H975" i="1"/>
  <c r="B974" i="7"/>
  <c r="C974" i="7"/>
  <c r="D974" i="7"/>
  <c r="E974" i="7"/>
  <c r="J974" i="7"/>
  <c r="K974" i="7"/>
  <c r="L974" i="7"/>
  <c r="M974" i="7"/>
  <c r="H974" i="1"/>
  <c r="I974" i="1"/>
  <c r="B973" i="7"/>
  <c r="C973" i="7"/>
  <c r="D973" i="7"/>
  <c r="E973" i="7"/>
  <c r="J973" i="7"/>
  <c r="K973" i="7"/>
  <c r="L973" i="7"/>
  <c r="M973" i="7"/>
  <c r="H973" i="1"/>
  <c r="B972" i="7"/>
  <c r="C972" i="7"/>
  <c r="D972" i="7"/>
  <c r="E972" i="7"/>
  <c r="J972" i="7"/>
  <c r="K972" i="7"/>
  <c r="L972" i="7"/>
  <c r="M972" i="7"/>
  <c r="H972" i="1"/>
  <c r="I972" i="1"/>
  <c r="B971" i="7"/>
  <c r="C971" i="7"/>
  <c r="D971" i="7"/>
  <c r="E971" i="7"/>
  <c r="J971" i="7"/>
  <c r="K971" i="7"/>
  <c r="L971" i="7"/>
  <c r="M971" i="7"/>
  <c r="H971" i="1"/>
  <c r="B970" i="7"/>
  <c r="C970" i="7"/>
  <c r="D970" i="7"/>
  <c r="E970" i="7"/>
  <c r="J970" i="7"/>
  <c r="K970" i="7"/>
  <c r="L970" i="7"/>
  <c r="M970" i="7"/>
  <c r="H970" i="1"/>
  <c r="B969" i="7"/>
  <c r="C969" i="7"/>
  <c r="D969" i="7"/>
  <c r="E969" i="7"/>
  <c r="J969" i="7"/>
  <c r="K969" i="7"/>
  <c r="L969" i="7"/>
  <c r="M969" i="7"/>
  <c r="H969" i="1"/>
  <c r="B968" i="7"/>
  <c r="C968" i="7"/>
  <c r="D968" i="7"/>
  <c r="E968" i="7"/>
  <c r="J968" i="7"/>
  <c r="K968" i="7"/>
  <c r="L968" i="7"/>
  <c r="M968" i="7"/>
  <c r="H968" i="1"/>
  <c r="B967" i="7"/>
  <c r="C967" i="7"/>
  <c r="D967" i="7"/>
  <c r="E967" i="7"/>
  <c r="J967" i="7"/>
  <c r="K967" i="7"/>
  <c r="L967" i="7"/>
  <c r="M967" i="7"/>
  <c r="H967" i="1"/>
  <c r="I967" i="1"/>
  <c r="B966" i="7"/>
  <c r="C966" i="7"/>
  <c r="D966" i="7"/>
  <c r="E966" i="7"/>
  <c r="J966" i="7"/>
  <c r="K966" i="7"/>
  <c r="L966" i="7"/>
  <c r="M966" i="7"/>
  <c r="H966" i="1"/>
  <c r="I966" i="1"/>
  <c r="B965" i="7"/>
  <c r="C965" i="7"/>
  <c r="D965" i="7"/>
  <c r="E965" i="7"/>
  <c r="J965" i="7"/>
  <c r="K965" i="7"/>
  <c r="L965" i="7"/>
  <c r="M965" i="7"/>
  <c r="H965" i="1"/>
  <c r="I965" i="1"/>
  <c r="B964" i="7"/>
  <c r="C964" i="7"/>
  <c r="D964" i="7"/>
  <c r="E964" i="7"/>
  <c r="J964" i="7"/>
  <c r="K964" i="7"/>
  <c r="L964" i="7"/>
  <c r="M964" i="7"/>
  <c r="H964" i="1"/>
  <c r="B963" i="7"/>
  <c r="C963" i="7"/>
  <c r="D963" i="7"/>
  <c r="E963" i="7"/>
  <c r="J963" i="7"/>
  <c r="K963" i="7"/>
  <c r="L963" i="7"/>
  <c r="M963" i="7"/>
  <c r="H963" i="1"/>
  <c r="I963" i="1"/>
  <c r="B962" i="7"/>
  <c r="C962" i="7"/>
  <c r="D962" i="7"/>
  <c r="E962" i="7"/>
  <c r="J962" i="7"/>
  <c r="K962" i="7"/>
  <c r="L962" i="7"/>
  <c r="M962" i="7"/>
  <c r="H962" i="1"/>
  <c r="B961" i="7"/>
  <c r="C961" i="7"/>
  <c r="D961" i="7"/>
  <c r="E961" i="7"/>
  <c r="J961" i="7"/>
  <c r="K961" i="7"/>
  <c r="L961" i="7"/>
  <c r="M961" i="7"/>
  <c r="H961" i="1"/>
  <c r="F964" i="7"/>
  <c r="B960" i="7"/>
  <c r="C960" i="7"/>
  <c r="D960" i="7"/>
  <c r="E960" i="7"/>
  <c r="J960" i="7"/>
  <c r="K960" i="7"/>
  <c r="L960" i="7"/>
  <c r="M960" i="7"/>
  <c r="H960" i="1"/>
  <c r="B959" i="7"/>
  <c r="C959" i="7"/>
  <c r="D959" i="7"/>
  <c r="E959" i="7"/>
  <c r="J959" i="7"/>
  <c r="K959" i="7"/>
  <c r="L959" i="7"/>
  <c r="M959" i="7"/>
  <c r="H959" i="1"/>
  <c r="H958" i="1"/>
  <c r="B957" i="7"/>
  <c r="C957" i="7"/>
  <c r="D957" i="7"/>
  <c r="E957" i="7"/>
  <c r="J957" i="7"/>
  <c r="K957" i="7"/>
  <c r="L957" i="7"/>
  <c r="M957" i="7"/>
  <c r="B958" i="7"/>
  <c r="C958" i="7"/>
  <c r="D958" i="7"/>
  <c r="E958" i="7"/>
  <c r="J958" i="7"/>
  <c r="K958" i="7"/>
  <c r="L958" i="7"/>
  <c r="M958" i="7"/>
  <c r="H957" i="1"/>
  <c r="H956" i="1"/>
  <c r="H955" i="1"/>
  <c r="H954" i="1"/>
  <c r="H953" i="1"/>
  <c r="B956" i="7"/>
  <c r="C956" i="7"/>
  <c r="D956" i="7"/>
  <c r="E956" i="7"/>
  <c r="J956" i="7"/>
  <c r="K956" i="7"/>
  <c r="L956" i="7"/>
  <c r="M956" i="7"/>
  <c r="H952" i="1"/>
  <c r="I952" i="1"/>
  <c r="B952" i="7"/>
  <c r="C952" i="7"/>
  <c r="D952" i="7"/>
  <c r="E952" i="7"/>
  <c r="J952" i="7"/>
  <c r="K952" i="7"/>
  <c r="L952" i="7"/>
  <c r="M952" i="7"/>
  <c r="B953" i="7"/>
  <c r="C953" i="7"/>
  <c r="D953" i="7"/>
  <c r="E953" i="7"/>
  <c r="J953" i="7"/>
  <c r="K953" i="7"/>
  <c r="L953" i="7"/>
  <c r="M953" i="7"/>
  <c r="B954" i="7"/>
  <c r="C954" i="7"/>
  <c r="D954" i="7"/>
  <c r="E954" i="7"/>
  <c r="J954" i="7"/>
  <c r="K954" i="7"/>
  <c r="L954" i="7"/>
  <c r="M954" i="7"/>
  <c r="B955" i="7"/>
  <c r="C955" i="7"/>
  <c r="D955" i="7"/>
  <c r="E955" i="7"/>
  <c r="J955" i="7"/>
  <c r="K955" i="7"/>
  <c r="L955" i="7"/>
  <c r="M955" i="7"/>
  <c r="B951" i="7"/>
  <c r="C951" i="7"/>
  <c r="D951" i="7"/>
  <c r="E951" i="7"/>
  <c r="J951" i="7"/>
  <c r="K951" i="7"/>
  <c r="L951" i="7"/>
  <c r="M951" i="7"/>
  <c r="H951" i="1"/>
  <c r="B950" i="7"/>
  <c r="C950" i="7"/>
  <c r="D950" i="7"/>
  <c r="E950" i="7"/>
  <c r="J950" i="7"/>
  <c r="K950" i="7"/>
  <c r="L950" i="7"/>
  <c r="M950" i="7"/>
  <c r="H950" i="1"/>
  <c r="I950" i="1"/>
  <c r="B949" i="7"/>
  <c r="C949" i="7"/>
  <c r="D949" i="7"/>
  <c r="E949" i="7"/>
  <c r="J949" i="7"/>
  <c r="K949" i="7"/>
  <c r="L949" i="7"/>
  <c r="M949" i="7"/>
  <c r="H949" i="1"/>
  <c r="B948" i="7"/>
  <c r="C948" i="7"/>
  <c r="D948" i="7"/>
  <c r="E948" i="7"/>
  <c r="J948" i="7"/>
  <c r="K948" i="7"/>
  <c r="L948" i="7"/>
  <c r="M948" i="7"/>
  <c r="H948" i="1"/>
  <c r="H947" i="1"/>
  <c r="B947" i="7"/>
  <c r="C947" i="7"/>
  <c r="D947" i="7"/>
  <c r="E947" i="7"/>
  <c r="J947" i="7"/>
  <c r="K947" i="7"/>
  <c r="L947" i="7"/>
  <c r="M947" i="7"/>
  <c r="H946" i="1"/>
  <c r="I946" i="1"/>
  <c r="B945" i="7"/>
  <c r="C945" i="7"/>
  <c r="D945" i="7"/>
  <c r="E945" i="7"/>
  <c r="J945" i="7"/>
  <c r="K945" i="7"/>
  <c r="L945" i="7"/>
  <c r="M945" i="7"/>
  <c r="B946" i="7"/>
  <c r="C946" i="7"/>
  <c r="D946" i="7"/>
  <c r="E946" i="7"/>
  <c r="J946" i="7"/>
  <c r="K946" i="7"/>
  <c r="L946" i="7"/>
  <c r="M946" i="7"/>
  <c r="B944" i="7"/>
  <c r="C944" i="7"/>
  <c r="D944" i="7"/>
  <c r="E944" i="7"/>
  <c r="J944" i="7"/>
  <c r="K944" i="7"/>
  <c r="L944" i="7"/>
  <c r="M944" i="7"/>
  <c r="H945" i="1"/>
  <c r="I945" i="1"/>
  <c r="H944" i="1"/>
  <c r="B943" i="7"/>
  <c r="C943" i="7"/>
  <c r="D943" i="7"/>
  <c r="E943" i="7"/>
  <c r="J943" i="7"/>
  <c r="K943" i="7"/>
  <c r="L943" i="7"/>
  <c r="M943" i="7"/>
  <c r="H943" i="1"/>
  <c r="I943" i="1"/>
  <c r="B942" i="7"/>
  <c r="C942" i="7"/>
  <c r="D942" i="7"/>
  <c r="E942" i="7"/>
  <c r="J942" i="7"/>
  <c r="K942" i="7"/>
  <c r="L942" i="7"/>
  <c r="M942" i="7"/>
  <c r="H942" i="1"/>
  <c r="B941" i="7"/>
  <c r="C941" i="7"/>
  <c r="D941" i="7"/>
  <c r="E941" i="7"/>
  <c r="J941" i="7"/>
  <c r="K941" i="7"/>
  <c r="L941" i="7"/>
  <c r="M941" i="7"/>
  <c r="H941" i="1"/>
  <c r="I941" i="1"/>
  <c r="B940" i="7"/>
  <c r="C940" i="7"/>
  <c r="D940" i="7"/>
  <c r="E940" i="7"/>
  <c r="J940" i="7"/>
  <c r="K940" i="7"/>
  <c r="L940" i="7"/>
  <c r="M940" i="7"/>
  <c r="H940" i="1"/>
  <c r="B939" i="7"/>
  <c r="C939" i="7"/>
  <c r="T991" i="7"/>
  <c r="D939" i="7"/>
  <c r="E939" i="7"/>
  <c r="J939" i="7"/>
  <c r="K939" i="7"/>
  <c r="L939" i="7"/>
  <c r="M939" i="7"/>
  <c r="H939" i="1"/>
  <c r="B938" i="7"/>
  <c r="C938" i="7"/>
  <c r="D938" i="7"/>
  <c r="E938" i="7"/>
  <c r="J938" i="7"/>
  <c r="K938" i="7"/>
  <c r="L938" i="7"/>
  <c r="M938" i="7"/>
  <c r="H938" i="1"/>
  <c r="F938" i="7"/>
  <c r="B937" i="7"/>
  <c r="C937" i="7"/>
  <c r="D937" i="7"/>
  <c r="E937" i="7"/>
  <c r="J937" i="7"/>
  <c r="K937" i="7"/>
  <c r="L937" i="7"/>
  <c r="M937" i="7"/>
  <c r="H937" i="1"/>
  <c r="B936" i="7"/>
  <c r="C936" i="7"/>
  <c r="D936" i="7"/>
  <c r="E936" i="7"/>
  <c r="J936" i="7"/>
  <c r="K936" i="7"/>
  <c r="L936" i="7"/>
  <c r="M936" i="7"/>
  <c r="H936" i="1"/>
  <c r="B935" i="7"/>
  <c r="C935" i="7"/>
  <c r="D935" i="7"/>
  <c r="E935" i="7"/>
  <c r="J935" i="7"/>
  <c r="K935" i="7"/>
  <c r="L935" i="7"/>
  <c r="M935" i="7"/>
  <c r="H935" i="1"/>
  <c r="I935" i="1"/>
  <c r="B934" i="7"/>
  <c r="C934" i="7"/>
  <c r="D934" i="7"/>
  <c r="E934" i="7"/>
  <c r="J934" i="7"/>
  <c r="K934" i="7"/>
  <c r="L934" i="7"/>
  <c r="M934" i="7"/>
  <c r="H934" i="1"/>
  <c r="B933" i="7"/>
  <c r="C933" i="7"/>
  <c r="D933" i="7"/>
  <c r="U985" i="7"/>
  <c r="E933" i="7"/>
  <c r="V985" i="7"/>
  <c r="J933" i="7"/>
  <c r="K933" i="7"/>
  <c r="L933" i="7"/>
  <c r="M933" i="7"/>
  <c r="H933" i="1"/>
  <c r="B932" i="7"/>
  <c r="C932" i="7"/>
  <c r="D932" i="7"/>
  <c r="U984" i="7"/>
  <c r="E932" i="7"/>
  <c r="J932" i="7"/>
  <c r="K932" i="7"/>
  <c r="L932" i="7"/>
  <c r="M932" i="7"/>
  <c r="H932" i="1"/>
  <c r="I932" i="1"/>
  <c r="B931" i="7"/>
  <c r="C931" i="7"/>
  <c r="D931" i="7"/>
  <c r="E931" i="7"/>
  <c r="J931" i="7"/>
  <c r="K931" i="7"/>
  <c r="L931" i="7"/>
  <c r="M931" i="7"/>
  <c r="H931" i="1"/>
  <c r="I931" i="1"/>
  <c r="B930" i="7"/>
  <c r="C930" i="7"/>
  <c r="D930" i="7"/>
  <c r="E930" i="7"/>
  <c r="J930" i="7"/>
  <c r="K930" i="7"/>
  <c r="L930" i="7"/>
  <c r="M930" i="7"/>
  <c r="H930" i="1"/>
  <c r="B929" i="7"/>
  <c r="C929" i="7"/>
  <c r="D929" i="7"/>
  <c r="E929" i="7"/>
  <c r="J929" i="7"/>
  <c r="K929" i="7"/>
  <c r="L929" i="7"/>
  <c r="M929" i="7"/>
  <c r="H929" i="1"/>
  <c r="B928" i="7"/>
  <c r="C928" i="7"/>
  <c r="D928" i="7"/>
  <c r="E928" i="7"/>
  <c r="J928" i="7"/>
  <c r="K928" i="7"/>
  <c r="L928" i="7"/>
  <c r="M928" i="7"/>
  <c r="H928" i="1"/>
  <c r="I928" i="1"/>
  <c r="B927" i="7"/>
  <c r="C927" i="7"/>
  <c r="D927" i="7"/>
  <c r="E927" i="7"/>
  <c r="J927" i="7"/>
  <c r="K927" i="7"/>
  <c r="L927" i="7"/>
  <c r="M927" i="7"/>
  <c r="H927" i="1"/>
  <c r="I927" i="1"/>
  <c r="B926" i="7"/>
  <c r="C926" i="7"/>
  <c r="D926" i="7"/>
  <c r="E926" i="7"/>
  <c r="J926" i="7"/>
  <c r="K926" i="7"/>
  <c r="L926" i="7"/>
  <c r="M926" i="7"/>
  <c r="H926" i="1"/>
  <c r="I926" i="1"/>
  <c r="H925" i="1"/>
  <c r="I925" i="1"/>
  <c r="G928" i="7"/>
  <c r="H924" i="1"/>
  <c r="I924" i="1"/>
  <c r="B924" i="7"/>
  <c r="C924" i="7"/>
  <c r="D924" i="7"/>
  <c r="E924" i="7"/>
  <c r="J924" i="7"/>
  <c r="K924" i="7"/>
  <c r="L924" i="7"/>
  <c r="M924" i="7"/>
  <c r="B925" i="7"/>
  <c r="C925" i="7"/>
  <c r="D925" i="7"/>
  <c r="E925" i="7"/>
  <c r="J925" i="7"/>
  <c r="K925" i="7"/>
  <c r="L925" i="7"/>
  <c r="M925" i="7"/>
  <c r="H923" i="1"/>
  <c r="J923" i="7"/>
  <c r="K923" i="7"/>
  <c r="L923" i="7"/>
  <c r="M923" i="7"/>
  <c r="B922" i="7"/>
  <c r="C922" i="7"/>
  <c r="D922" i="7"/>
  <c r="E922" i="7"/>
  <c r="B923" i="7"/>
  <c r="C923" i="7"/>
  <c r="D923" i="7"/>
  <c r="E923" i="7"/>
  <c r="H922" i="1"/>
  <c r="I922" i="1"/>
  <c r="B921" i="7"/>
  <c r="C921" i="7"/>
  <c r="D921" i="7"/>
  <c r="E921" i="7"/>
  <c r="H921" i="1"/>
  <c r="I921" i="1"/>
  <c r="J921" i="7"/>
  <c r="K921" i="7"/>
  <c r="L921" i="7"/>
  <c r="M921" i="7"/>
  <c r="J922" i="7"/>
  <c r="K922" i="7"/>
  <c r="L922" i="7"/>
  <c r="M922" i="7"/>
  <c r="J920" i="7"/>
  <c r="K920" i="7"/>
  <c r="L920" i="7"/>
  <c r="M920" i="7"/>
  <c r="B920" i="7"/>
  <c r="C920" i="7"/>
  <c r="D920" i="7"/>
  <c r="E920" i="7"/>
  <c r="H920" i="1"/>
  <c r="H919" i="1"/>
  <c r="B919" i="7"/>
  <c r="C919" i="7"/>
  <c r="D919" i="7"/>
  <c r="E919" i="7"/>
  <c r="J919" i="7"/>
  <c r="K919" i="7"/>
  <c r="L919" i="7"/>
  <c r="M919" i="7"/>
  <c r="H918" i="1"/>
  <c r="I918" i="1"/>
  <c r="B918" i="7"/>
  <c r="C918" i="7"/>
  <c r="D918" i="7"/>
  <c r="E918" i="7"/>
  <c r="J918" i="7"/>
  <c r="K918" i="7"/>
  <c r="L918" i="7"/>
  <c r="M918" i="7"/>
  <c r="B917" i="7"/>
  <c r="C917" i="7"/>
  <c r="D917" i="7"/>
  <c r="E917" i="7"/>
  <c r="J917" i="7"/>
  <c r="K917" i="7"/>
  <c r="L917" i="7"/>
  <c r="M917" i="7"/>
  <c r="H917" i="1"/>
  <c r="I917" i="1"/>
  <c r="B916" i="7"/>
  <c r="C916" i="7"/>
  <c r="D916" i="7"/>
  <c r="E916" i="7"/>
  <c r="H916" i="1"/>
  <c r="B915" i="7"/>
  <c r="C915" i="7"/>
  <c r="D915" i="7"/>
  <c r="E915" i="7"/>
  <c r="H915" i="1"/>
  <c r="I915" i="1"/>
  <c r="B914" i="7"/>
  <c r="C914" i="7"/>
  <c r="D914" i="7"/>
  <c r="E914" i="7"/>
  <c r="H914" i="1"/>
  <c r="I914" i="1"/>
  <c r="B913" i="7"/>
  <c r="C913" i="7"/>
  <c r="D913" i="7"/>
  <c r="E913" i="7"/>
  <c r="H913" i="1"/>
  <c r="B912" i="7"/>
  <c r="C912" i="7"/>
  <c r="D912" i="7"/>
  <c r="E912" i="7"/>
  <c r="V964" i="7"/>
  <c r="H912" i="1"/>
  <c r="B911" i="7"/>
  <c r="C911" i="7"/>
  <c r="D911" i="7"/>
  <c r="E911" i="7"/>
  <c r="H911" i="1"/>
  <c r="I911" i="1"/>
  <c r="H910" i="1"/>
  <c r="I910" i="1"/>
  <c r="B910" i="7"/>
  <c r="C910" i="7"/>
  <c r="D910" i="7"/>
  <c r="E910" i="7"/>
  <c r="B909" i="7"/>
  <c r="C909" i="7"/>
  <c r="D909" i="7"/>
  <c r="E909" i="7"/>
  <c r="H909" i="1"/>
  <c r="B908" i="7"/>
  <c r="C908" i="7"/>
  <c r="D908" i="7"/>
  <c r="E908" i="7"/>
  <c r="H908" i="1"/>
  <c r="I908" i="1"/>
  <c r="B907" i="7"/>
  <c r="C907" i="7"/>
  <c r="D907" i="7"/>
  <c r="E907" i="7"/>
  <c r="H907" i="1"/>
  <c r="B906" i="7"/>
  <c r="C906" i="7"/>
  <c r="D906" i="7"/>
  <c r="E906" i="7"/>
  <c r="H906" i="1"/>
  <c r="I906" i="1"/>
  <c r="B905" i="7"/>
  <c r="C905" i="7"/>
  <c r="D905" i="7"/>
  <c r="E905" i="7"/>
  <c r="H905" i="1"/>
  <c r="B904" i="7"/>
  <c r="C904" i="7"/>
  <c r="D904" i="7"/>
  <c r="E904" i="7"/>
  <c r="H904" i="1"/>
  <c r="B903" i="7"/>
  <c r="C903" i="7"/>
  <c r="D903" i="7"/>
  <c r="E903" i="7"/>
  <c r="H903" i="1"/>
  <c r="I903" i="1"/>
  <c r="B902" i="7"/>
  <c r="C902" i="7"/>
  <c r="D902" i="7"/>
  <c r="E902" i="7"/>
  <c r="H902" i="1"/>
  <c r="B901" i="7"/>
  <c r="C901" i="7"/>
  <c r="D901" i="7"/>
  <c r="E901" i="7"/>
  <c r="H901" i="1"/>
  <c r="I901" i="1"/>
  <c r="B900" i="7"/>
  <c r="C900" i="7"/>
  <c r="D900" i="7"/>
  <c r="E900" i="7"/>
  <c r="H900" i="1"/>
  <c r="I900" i="1"/>
  <c r="B899" i="7"/>
  <c r="C899" i="7"/>
  <c r="D899" i="7"/>
  <c r="E899" i="7"/>
  <c r="H899" i="1"/>
  <c r="I899" i="1"/>
  <c r="B898" i="7"/>
  <c r="C898" i="7"/>
  <c r="D898" i="7"/>
  <c r="E898" i="7"/>
  <c r="H898" i="1"/>
  <c r="B897" i="7"/>
  <c r="C897" i="7"/>
  <c r="D897" i="7"/>
  <c r="E897" i="7"/>
  <c r="H897" i="1"/>
  <c r="B896" i="7"/>
  <c r="C896" i="7"/>
  <c r="D896" i="7"/>
  <c r="E896" i="7"/>
  <c r="H896" i="1"/>
  <c r="I896" i="1"/>
  <c r="E895" i="7"/>
  <c r="D895" i="7"/>
  <c r="C895" i="7"/>
  <c r="B895" i="7"/>
  <c r="H895" i="1"/>
  <c r="E894" i="7"/>
  <c r="V998" i="7"/>
  <c r="D894" i="7"/>
  <c r="C894" i="7"/>
  <c r="B894" i="7"/>
  <c r="H894" i="1"/>
  <c r="I894" i="1"/>
  <c r="B893" i="7"/>
  <c r="C893" i="7"/>
  <c r="T997" i="7"/>
  <c r="D893" i="7"/>
  <c r="E893" i="7"/>
  <c r="H893" i="1"/>
  <c r="I893" i="1"/>
  <c r="B892" i="7"/>
  <c r="C892" i="7"/>
  <c r="D892" i="7"/>
  <c r="E892" i="7"/>
  <c r="V996" i="7"/>
  <c r="H892" i="1"/>
  <c r="B891" i="7"/>
  <c r="C891" i="7"/>
  <c r="D891" i="7"/>
  <c r="E891" i="7"/>
  <c r="H891" i="1"/>
  <c r="I891" i="1"/>
  <c r="E890" i="7"/>
  <c r="D890" i="7"/>
  <c r="C890" i="7"/>
  <c r="B890" i="7"/>
  <c r="H890" i="1"/>
  <c r="I890" i="1"/>
  <c r="M916" i="7"/>
  <c r="L916" i="7"/>
  <c r="K916" i="7"/>
  <c r="J916" i="7"/>
  <c r="M915" i="7"/>
  <c r="L915" i="7"/>
  <c r="K915" i="7"/>
  <c r="J915" i="7"/>
  <c r="M914" i="7"/>
  <c r="L914" i="7"/>
  <c r="K914" i="7"/>
  <c r="J914" i="7"/>
  <c r="M913" i="7"/>
  <c r="L913" i="7"/>
  <c r="K913" i="7"/>
  <c r="J913" i="7"/>
  <c r="M912" i="7"/>
  <c r="L912" i="7"/>
  <c r="K912" i="7"/>
  <c r="J912" i="7"/>
  <c r="M911" i="7"/>
  <c r="L911" i="7"/>
  <c r="K911" i="7"/>
  <c r="J911" i="7"/>
  <c r="M910" i="7"/>
  <c r="L910" i="7"/>
  <c r="K910" i="7"/>
  <c r="J910" i="7"/>
  <c r="M909" i="7"/>
  <c r="L909" i="7"/>
  <c r="K909" i="7"/>
  <c r="J909" i="7"/>
  <c r="M908" i="7"/>
  <c r="L908" i="7"/>
  <c r="K908" i="7"/>
  <c r="J908" i="7"/>
  <c r="M907" i="7"/>
  <c r="L907" i="7"/>
  <c r="K907" i="7"/>
  <c r="J907" i="7"/>
  <c r="M906" i="7"/>
  <c r="L906" i="7"/>
  <c r="K906" i="7"/>
  <c r="J906" i="7"/>
  <c r="M905" i="7"/>
  <c r="L905" i="7"/>
  <c r="K905" i="7"/>
  <c r="J905" i="7"/>
  <c r="M904" i="7"/>
  <c r="L904" i="7"/>
  <c r="K904" i="7"/>
  <c r="J904" i="7"/>
  <c r="M903" i="7"/>
  <c r="L903" i="7"/>
  <c r="K903" i="7"/>
  <c r="J903" i="7"/>
  <c r="M902" i="7"/>
  <c r="L902" i="7"/>
  <c r="K902" i="7"/>
  <c r="J902" i="7"/>
  <c r="M901" i="7"/>
  <c r="L901" i="7"/>
  <c r="K901" i="7"/>
  <c r="J901" i="7"/>
  <c r="M900" i="7"/>
  <c r="L900" i="7"/>
  <c r="K900" i="7"/>
  <c r="J900" i="7"/>
  <c r="M899" i="7"/>
  <c r="L899" i="7"/>
  <c r="K899" i="7"/>
  <c r="J899" i="7"/>
  <c r="M898" i="7"/>
  <c r="L898" i="7"/>
  <c r="K898" i="7"/>
  <c r="J898" i="7"/>
  <c r="M897" i="7"/>
  <c r="L897" i="7"/>
  <c r="K897" i="7"/>
  <c r="J897" i="7"/>
  <c r="M896" i="7"/>
  <c r="L896" i="7"/>
  <c r="K896" i="7"/>
  <c r="J896" i="7"/>
  <c r="M895" i="7"/>
  <c r="L895" i="7"/>
  <c r="K895" i="7"/>
  <c r="J895" i="7"/>
  <c r="M894" i="7"/>
  <c r="L894" i="7"/>
  <c r="K894" i="7"/>
  <c r="J894" i="7"/>
  <c r="E889" i="7"/>
  <c r="D889" i="7"/>
  <c r="C889" i="7"/>
  <c r="B889" i="7"/>
  <c r="H889" i="1"/>
  <c r="E888" i="7"/>
  <c r="D888" i="7"/>
  <c r="C888" i="7"/>
  <c r="B888" i="7"/>
  <c r="H888" i="1"/>
  <c r="E887" i="7"/>
  <c r="D887" i="7"/>
  <c r="C887" i="7"/>
  <c r="B887" i="7"/>
  <c r="H887" i="1"/>
  <c r="E886" i="7"/>
  <c r="D886" i="7"/>
  <c r="C886" i="7"/>
  <c r="T990" i="7"/>
  <c r="B886" i="7"/>
  <c r="H886" i="1"/>
  <c r="I886" i="1"/>
  <c r="E885" i="7"/>
  <c r="D885" i="7"/>
  <c r="C885" i="7"/>
  <c r="B885" i="7"/>
  <c r="H885" i="1"/>
  <c r="I885" i="1"/>
  <c r="E884" i="7"/>
  <c r="D884" i="7"/>
  <c r="C884" i="7"/>
  <c r="B884" i="7"/>
  <c r="H884" i="1"/>
  <c r="I884" i="1"/>
  <c r="E883" i="7"/>
  <c r="D883" i="7"/>
  <c r="C883" i="7"/>
  <c r="B883" i="7"/>
  <c r="H883" i="1"/>
  <c r="E882" i="7"/>
  <c r="D882" i="7"/>
  <c r="C882" i="7"/>
  <c r="B882" i="7"/>
  <c r="H882" i="1"/>
  <c r="I882" i="1"/>
  <c r="E881" i="7"/>
  <c r="D881" i="7"/>
  <c r="C881" i="7"/>
  <c r="B881" i="7"/>
  <c r="H881" i="1"/>
  <c r="I881" i="1"/>
  <c r="E880" i="7"/>
  <c r="D880" i="7"/>
  <c r="C880" i="7"/>
  <c r="B880" i="7"/>
  <c r="H880" i="1"/>
  <c r="E879" i="7"/>
  <c r="D879" i="7"/>
  <c r="C879" i="7"/>
  <c r="B879" i="7"/>
  <c r="H879" i="1"/>
  <c r="I879" i="1"/>
  <c r="E878" i="7"/>
  <c r="D878" i="7"/>
  <c r="C878" i="7"/>
  <c r="B878" i="7"/>
  <c r="H878" i="1"/>
  <c r="I878" i="1"/>
  <c r="E877" i="7"/>
  <c r="D877" i="7"/>
  <c r="C877" i="7"/>
  <c r="B877" i="7"/>
  <c r="H877" i="1"/>
  <c r="E876" i="7"/>
  <c r="D876" i="7"/>
  <c r="C876" i="7"/>
  <c r="B876" i="7"/>
  <c r="H876" i="1"/>
  <c r="E875" i="7"/>
  <c r="D875" i="7"/>
  <c r="C875" i="7"/>
  <c r="B875" i="7"/>
  <c r="H875" i="1"/>
  <c r="I875" i="1"/>
  <c r="E874" i="7"/>
  <c r="D874" i="7"/>
  <c r="C874" i="7"/>
  <c r="B874" i="7"/>
  <c r="H874" i="1"/>
  <c r="I874" i="1"/>
  <c r="E873" i="7"/>
  <c r="D873" i="7"/>
  <c r="C873" i="7"/>
  <c r="B873" i="7"/>
  <c r="H873" i="1"/>
  <c r="H872" i="1"/>
  <c r="E872" i="7"/>
  <c r="D872" i="7"/>
  <c r="C872" i="7"/>
  <c r="B872" i="7"/>
  <c r="D871" i="7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E871" i="7"/>
  <c r="C871" i="7"/>
  <c r="B871" i="7"/>
  <c r="H871" i="1"/>
  <c r="E870" i="7"/>
  <c r="D870" i="7"/>
  <c r="C870" i="7"/>
  <c r="B870" i="7"/>
  <c r="H870" i="1"/>
  <c r="I870" i="1"/>
  <c r="E869" i="7"/>
  <c r="D869" i="7"/>
  <c r="C869" i="7"/>
  <c r="B869" i="7"/>
  <c r="H869" i="1"/>
  <c r="I869" i="1"/>
  <c r="E868" i="7"/>
  <c r="D868" i="7"/>
  <c r="C868" i="7"/>
  <c r="B868" i="7"/>
  <c r="H868" i="1"/>
  <c r="I868" i="1"/>
  <c r="E867" i="7"/>
  <c r="D867" i="7"/>
  <c r="C867" i="7"/>
  <c r="B867" i="7"/>
  <c r="H867" i="1"/>
  <c r="E866" i="7"/>
  <c r="D866" i="7"/>
  <c r="C866" i="7"/>
  <c r="B866" i="7"/>
  <c r="H866" i="1"/>
  <c r="I866" i="1"/>
  <c r="H865" i="1"/>
  <c r="I865" i="1"/>
  <c r="E865" i="7"/>
  <c r="D865" i="7"/>
  <c r="C865" i="7"/>
  <c r="B865" i="7"/>
  <c r="H864" i="1"/>
  <c r="H863" i="1"/>
  <c r="I863" i="1"/>
  <c r="H862" i="1"/>
  <c r="H861" i="1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H860" i="1"/>
  <c r="E864" i="7"/>
  <c r="D864" i="7"/>
  <c r="C864" i="7"/>
  <c r="B864" i="7"/>
  <c r="E863" i="7"/>
  <c r="D863" i="7"/>
  <c r="C863" i="7"/>
  <c r="B863" i="7"/>
  <c r="E862" i="7"/>
  <c r="D862" i="7"/>
  <c r="C862" i="7"/>
  <c r="B862" i="7"/>
  <c r="E861" i="7"/>
  <c r="D861" i="7"/>
  <c r="C861" i="7"/>
  <c r="B861" i="7"/>
  <c r="E860" i="7"/>
  <c r="D860" i="7"/>
  <c r="U912" i="7"/>
  <c r="C860" i="7"/>
  <c r="B860" i="7"/>
  <c r="E859" i="7"/>
  <c r="D859" i="7"/>
  <c r="C859" i="7"/>
  <c r="B859" i="7"/>
  <c r="H859" i="1"/>
  <c r="H858" i="1"/>
  <c r="E858" i="7"/>
  <c r="D858" i="7"/>
  <c r="C858" i="7"/>
  <c r="B858" i="7"/>
  <c r="E857" i="7"/>
  <c r="D857" i="7"/>
  <c r="C857" i="7"/>
  <c r="B857" i="7"/>
  <c r="H857" i="1"/>
  <c r="I857" i="1"/>
  <c r="H856" i="1"/>
  <c r="I856" i="1"/>
  <c r="H855" i="1"/>
  <c r="H854" i="1"/>
  <c r="E856" i="7"/>
  <c r="D856" i="7"/>
  <c r="C856" i="7"/>
  <c r="B856" i="7"/>
  <c r="E855" i="7"/>
  <c r="D855" i="7"/>
  <c r="C855" i="7"/>
  <c r="B855" i="7"/>
  <c r="H853" i="1"/>
  <c r="I853" i="1"/>
  <c r="E854" i="7"/>
  <c r="D854" i="7"/>
  <c r="C854" i="7"/>
  <c r="B854" i="7"/>
  <c r="E853" i="7"/>
  <c r="D853" i="7"/>
  <c r="C853" i="7"/>
  <c r="B853" i="7"/>
  <c r="E852" i="7"/>
  <c r="D852" i="7"/>
  <c r="C852" i="7"/>
  <c r="B852" i="7"/>
  <c r="H852" i="1"/>
  <c r="H851" i="1"/>
  <c r="E851" i="7"/>
  <c r="D851" i="7"/>
  <c r="C851" i="7"/>
  <c r="B851" i="7"/>
  <c r="J851" i="7"/>
  <c r="K851" i="7"/>
  <c r="L851" i="7"/>
  <c r="M851" i="7"/>
  <c r="J852" i="7"/>
  <c r="K852" i="7"/>
  <c r="L852" i="7"/>
  <c r="M852" i="7"/>
  <c r="J853" i="7"/>
  <c r="K853" i="7"/>
  <c r="L853" i="7"/>
  <c r="M853" i="7"/>
  <c r="J854" i="7"/>
  <c r="K854" i="7"/>
  <c r="L854" i="7"/>
  <c r="M854" i="7"/>
  <c r="J855" i="7"/>
  <c r="K855" i="7"/>
  <c r="L855" i="7"/>
  <c r="M855" i="7"/>
  <c r="J856" i="7"/>
  <c r="K856" i="7"/>
  <c r="L856" i="7"/>
  <c r="M856" i="7"/>
  <c r="J857" i="7"/>
  <c r="K857" i="7"/>
  <c r="L857" i="7"/>
  <c r="M857" i="7"/>
  <c r="J858" i="7"/>
  <c r="K858" i="7"/>
  <c r="L858" i="7"/>
  <c r="M858" i="7"/>
  <c r="J859" i="7"/>
  <c r="K859" i="7"/>
  <c r="L859" i="7"/>
  <c r="M859" i="7"/>
  <c r="J860" i="7"/>
  <c r="K860" i="7"/>
  <c r="L860" i="7"/>
  <c r="M860" i="7"/>
  <c r="J861" i="7"/>
  <c r="K861" i="7"/>
  <c r="L861" i="7"/>
  <c r="M861" i="7"/>
  <c r="J862" i="7"/>
  <c r="K862" i="7"/>
  <c r="L862" i="7"/>
  <c r="M862" i="7"/>
  <c r="J863" i="7"/>
  <c r="K863" i="7"/>
  <c r="L863" i="7"/>
  <c r="M863" i="7"/>
  <c r="J864" i="7"/>
  <c r="K864" i="7"/>
  <c r="L864" i="7"/>
  <c r="M864" i="7"/>
  <c r="J865" i="7"/>
  <c r="K865" i="7"/>
  <c r="L865" i="7"/>
  <c r="M865" i="7"/>
  <c r="J866" i="7"/>
  <c r="K866" i="7"/>
  <c r="L866" i="7"/>
  <c r="M866" i="7"/>
  <c r="J867" i="7"/>
  <c r="K867" i="7"/>
  <c r="L867" i="7"/>
  <c r="M867" i="7"/>
  <c r="J868" i="7"/>
  <c r="K868" i="7"/>
  <c r="L868" i="7"/>
  <c r="M868" i="7"/>
  <c r="J869" i="7"/>
  <c r="K869" i="7"/>
  <c r="L869" i="7"/>
  <c r="M869" i="7"/>
  <c r="J870" i="7"/>
  <c r="K870" i="7"/>
  <c r="L870" i="7"/>
  <c r="M870" i="7"/>
  <c r="J871" i="7"/>
  <c r="K871" i="7"/>
  <c r="L871" i="7"/>
  <c r="M871" i="7"/>
  <c r="J872" i="7"/>
  <c r="K872" i="7"/>
  <c r="L872" i="7"/>
  <c r="M872" i="7"/>
  <c r="J873" i="7"/>
  <c r="K873" i="7"/>
  <c r="L873" i="7"/>
  <c r="M873" i="7"/>
  <c r="J874" i="7"/>
  <c r="K874" i="7"/>
  <c r="L874" i="7"/>
  <c r="M874" i="7"/>
  <c r="J875" i="7"/>
  <c r="K875" i="7"/>
  <c r="L875" i="7"/>
  <c r="M875" i="7"/>
  <c r="J876" i="7"/>
  <c r="K876" i="7"/>
  <c r="L876" i="7"/>
  <c r="M876" i="7"/>
  <c r="J877" i="7"/>
  <c r="K877" i="7"/>
  <c r="L877" i="7"/>
  <c r="M877" i="7"/>
  <c r="J878" i="7"/>
  <c r="K878" i="7"/>
  <c r="L878" i="7"/>
  <c r="M878" i="7"/>
  <c r="J879" i="7"/>
  <c r="K879" i="7"/>
  <c r="L879" i="7"/>
  <c r="M879" i="7"/>
  <c r="J880" i="7"/>
  <c r="K880" i="7"/>
  <c r="L880" i="7"/>
  <c r="M880" i="7"/>
  <c r="J881" i="7"/>
  <c r="K881" i="7"/>
  <c r="L881" i="7"/>
  <c r="M881" i="7"/>
  <c r="J882" i="7"/>
  <c r="K882" i="7"/>
  <c r="L882" i="7"/>
  <c r="M882" i="7"/>
  <c r="J883" i="7"/>
  <c r="K883" i="7"/>
  <c r="L883" i="7"/>
  <c r="M883" i="7"/>
  <c r="J884" i="7"/>
  <c r="K884" i="7"/>
  <c r="L884" i="7"/>
  <c r="M884" i="7"/>
  <c r="J885" i="7"/>
  <c r="K885" i="7"/>
  <c r="L885" i="7"/>
  <c r="M885" i="7"/>
  <c r="J886" i="7"/>
  <c r="K886" i="7"/>
  <c r="L886" i="7"/>
  <c r="M886" i="7"/>
  <c r="J887" i="7"/>
  <c r="K887" i="7"/>
  <c r="L887" i="7"/>
  <c r="M887" i="7"/>
  <c r="J888" i="7"/>
  <c r="K888" i="7"/>
  <c r="L888" i="7"/>
  <c r="M888" i="7"/>
  <c r="J889" i="7"/>
  <c r="K889" i="7"/>
  <c r="L889" i="7"/>
  <c r="M889" i="7"/>
  <c r="J890" i="7"/>
  <c r="K890" i="7"/>
  <c r="L890" i="7"/>
  <c r="M890" i="7"/>
  <c r="J891" i="7"/>
  <c r="K891" i="7"/>
  <c r="L891" i="7"/>
  <c r="M891" i="7"/>
  <c r="J892" i="7"/>
  <c r="K892" i="7"/>
  <c r="L892" i="7"/>
  <c r="M892" i="7"/>
  <c r="J893" i="7"/>
  <c r="K893" i="7"/>
  <c r="L893" i="7"/>
  <c r="M893" i="7"/>
  <c r="M850" i="7"/>
  <c r="L850" i="7"/>
  <c r="K850" i="7"/>
  <c r="J850" i="7"/>
  <c r="E850" i="7"/>
  <c r="D850" i="7"/>
  <c r="C850" i="7"/>
  <c r="B850" i="7"/>
  <c r="H850" i="1"/>
  <c r="H849" i="1"/>
  <c r="H848" i="1"/>
  <c r="H847" i="1"/>
  <c r="H846" i="1"/>
  <c r="I846" i="1"/>
  <c r="M849" i="7"/>
  <c r="L849" i="7"/>
  <c r="K849" i="7"/>
  <c r="J849" i="7"/>
  <c r="E849" i="7"/>
  <c r="D849" i="7"/>
  <c r="C849" i="7"/>
  <c r="B849" i="7"/>
  <c r="M848" i="7"/>
  <c r="L848" i="7"/>
  <c r="K848" i="7"/>
  <c r="J848" i="7"/>
  <c r="E848" i="7"/>
  <c r="D848" i="7"/>
  <c r="C848" i="7"/>
  <c r="B848" i="7"/>
  <c r="M847" i="7"/>
  <c r="L847" i="7"/>
  <c r="K847" i="7"/>
  <c r="J847" i="7"/>
  <c r="E847" i="7"/>
  <c r="D847" i="7"/>
  <c r="C847" i="7"/>
  <c r="B847" i="7"/>
  <c r="M846" i="7"/>
  <c r="L846" i="7"/>
  <c r="K846" i="7"/>
  <c r="J846" i="7"/>
  <c r="E846" i="7"/>
  <c r="D846" i="7"/>
  <c r="C846" i="7"/>
  <c r="B846" i="7"/>
  <c r="M845" i="7"/>
  <c r="L845" i="7"/>
  <c r="K845" i="7"/>
  <c r="J845" i="7"/>
  <c r="E845" i="7"/>
  <c r="D845" i="7"/>
  <c r="C845" i="7"/>
  <c r="B845" i="7"/>
  <c r="H845" i="1"/>
  <c r="E81" i="1"/>
  <c r="M844" i="7"/>
  <c r="L844" i="7"/>
  <c r="K844" i="7"/>
  <c r="J844" i="7"/>
  <c r="E844" i="7"/>
  <c r="D844" i="7"/>
  <c r="C844" i="7"/>
  <c r="B844" i="7"/>
  <c r="H844" i="1"/>
  <c r="I844" i="1"/>
  <c r="H843" i="1"/>
  <c r="H842" i="1"/>
  <c r="H841" i="1"/>
  <c r="I841" i="1"/>
  <c r="H840" i="1"/>
  <c r="H839" i="1"/>
  <c r="H838" i="1"/>
  <c r="H837" i="1"/>
  <c r="I837" i="1"/>
  <c r="M843" i="7"/>
  <c r="L843" i="7"/>
  <c r="K843" i="7"/>
  <c r="J843" i="7"/>
  <c r="E843" i="7"/>
  <c r="D843" i="7"/>
  <c r="C843" i="7"/>
  <c r="B843" i="7"/>
  <c r="M842" i="7"/>
  <c r="L842" i="7"/>
  <c r="K842" i="7"/>
  <c r="J842" i="7"/>
  <c r="E842" i="7"/>
  <c r="D842" i="7"/>
  <c r="C842" i="7"/>
  <c r="B842" i="7"/>
  <c r="M841" i="7"/>
  <c r="L841" i="7"/>
  <c r="K841" i="7"/>
  <c r="J841" i="7"/>
  <c r="E841" i="7"/>
  <c r="D841" i="7"/>
  <c r="C841" i="7"/>
  <c r="B841" i="7"/>
  <c r="M840" i="7"/>
  <c r="L840" i="7"/>
  <c r="K840" i="7"/>
  <c r="J840" i="7"/>
  <c r="E840" i="7"/>
  <c r="D840" i="7"/>
  <c r="C840" i="7"/>
  <c r="B840" i="7"/>
  <c r="M839" i="7"/>
  <c r="L839" i="7"/>
  <c r="K839" i="7"/>
  <c r="J839" i="7"/>
  <c r="E839" i="7"/>
  <c r="D839" i="7"/>
  <c r="C839" i="7"/>
  <c r="B839" i="7"/>
  <c r="M838" i="7"/>
  <c r="L838" i="7"/>
  <c r="K838" i="7"/>
  <c r="J838" i="7"/>
  <c r="E838" i="7"/>
  <c r="D838" i="7"/>
  <c r="C838" i="7"/>
  <c r="B838" i="7"/>
  <c r="M837" i="7"/>
  <c r="L837" i="7"/>
  <c r="K837" i="7"/>
  <c r="J837" i="7"/>
  <c r="E837" i="7"/>
  <c r="D837" i="7"/>
  <c r="C837" i="7"/>
  <c r="B837" i="7"/>
  <c r="M836" i="7"/>
  <c r="L836" i="7"/>
  <c r="K836" i="7"/>
  <c r="J836" i="7"/>
  <c r="E836" i="7"/>
  <c r="D836" i="7"/>
  <c r="C836" i="7"/>
  <c r="B836" i="7"/>
  <c r="M835" i="7"/>
  <c r="L835" i="7"/>
  <c r="K835" i="7"/>
  <c r="J835" i="7"/>
  <c r="E835" i="7"/>
  <c r="D835" i="7"/>
  <c r="C835" i="7"/>
  <c r="B835" i="7"/>
  <c r="M834" i="7"/>
  <c r="L834" i="7"/>
  <c r="K834" i="7"/>
  <c r="J834" i="7"/>
  <c r="E834" i="7"/>
  <c r="D834" i="7"/>
  <c r="C834" i="7"/>
  <c r="B834" i="7"/>
  <c r="M833" i="7"/>
  <c r="L833" i="7"/>
  <c r="K833" i="7"/>
  <c r="J833" i="7"/>
  <c r="E833" i="7"/>
  <c r="D833" i="7"/>
  <c r="C833" i="7"/>
  <c r="B833" i="7"/>
  <c r="M832" i="7"/>
  <c r="L832" i="7"/>
  <c r="K832" i="7"/>
  <c r="J832" i="7"/>
  <c r="E832" i="7"/>
  <c r="D832" i="7"/>
  <c r="C832" i="7"/>
  <c r="B832" i="7"/>
  <c r="M831" i="7"/>
  <c r="L831" i="7"/>
  <c r="K831" i="7"/>
  <c r="J831" i="7"/>
  <c r="E831" i="7"/>
  <c r="D831" i="7"/>
  <c r="C831" i="7"/>
  <c r="B831" i="7"/>
  <c r="M830" i="7"/>
  <c r="L830" i="7"/>
  <c r="K830" i="7"/>
  <c r="J830" i="7"/>
  <c r="E830" i="7"/>
  <c r="D830" i="7"/>
  <c r="C830" i="7"/>
  <c r="B830" i="7"/>
  <c r="M829" i="7"/>
  <c r="L829" i="7"/>
  <c r="K829" i="7"/>
  <c r="J829" i="7"/>
  <c r="E829" i="7"/>
  <c r="D829" i="7"/>
  <c r="C829" i="7"/>
  <c r="B829" i="7"/>
  <c r="M828" i="7"/>
  <c r="L828" i="7"/>
  <c r="K828" i="7"/>
  <c r="J828" i="7"/>
  <c r="E828" i="7"/>
  <c r="D828" i="7"/>
  <c r="C828" i="7"/>
  <c r="B828" i="7"/>
  <c r="M827" i="7"/>
  <c r="L827" i="7"/>
  <c r="K827" i="7"/>
  <c r="J827" i="7"/>
  <c r="E827" i="7"/>
  <c r="D827" i="7"/>
  <c r="C827" i="7"/>
  <c r="B827" i="7"/>
  <c r="M826" i="7"/>
  <c r="L826" i="7"/>
  <c r="K826" i="7"/>
  <c r="J826" i="7"/>
  <c r="E826" i="7"/>
  <c r="D826" i="7"/>
  <c r="C826" i="7"/>
  <c r="B826" i="7"/>
  <c r="M825" i="7"/>
  <c r="L825" i="7"/>
  <c r="K825" i="7"/>
  <c r="J825" i="7"/>
  <c r="E825" i="7"/>
  <c r="D825" i="7"/>
  <c r="C825" i="7"/>
  <c r="B825" i="7"/>
  <c r="M824" i="7"/>
  <c r="L824" i="7"/>
  <c r="K824" i="7"/>
  <c r="J824" i="7"/>
  <c r="E824" i="7"/>
  <c r="D824" i="7"/>
  <c r="C824" i="7"/>
  <c r="B824" i="7"/>
  <c r="M823" i="7"/>
  <c r="L823" i="7"/>
  <c r="K823" i="7"/>
  <c r="J823" i="7"/>
  <c r="E823" i="7"/>
  <c r="D823" i="7"/>
  <c r="C823" i="7"/>
  <c r="B823" i="7"/>
  <c r="M822" i="7"/>
  <c r="L822" i="7"/>
  <c r="K822" i="7"/>
  <c r="J822" i="7"/>
  <c r="E822" i="7"/>
  <c r="D822" i="7"/>
  <c r="C822" i="7"/>
  <c r="B822" i="7"/>
  <c r="M821" i="7"/>
  <c r="L821" i="7"/>
  <c r="K821" i="7"/>
  <c r="J821" i="7"/>
  <c r="E821" i="7"/>
  <c r="D821" i="7"/>
  <c r="C821" i="7"/>
  <c r="B821" i="7"/>
  <c r="M820" i="7"/>
  <c r="L820" i="7"/>
  <c r="K820" i="7"/>
  <c r="J820" i="7"/>
  <c r="E820" i="7"/>
  <c r="D820" i="7"/>
  <c r="C820" i="7"/>
  <c r="B820" i="7"/>
  <c r="M819" i="7"/>
  <c r="L819" i="7"/>
  <c r="K819" i="7"/>
  <c r="J819" i="7"/>
  <c r="E819" i="7"/>
  <c r="D819" i="7"/>
  <c r="C819" i="7"/>
  <c r="B819" i="7"/>
  <c r="M818" i="7"/>
  <c r="L818" i="7"/>
  <c r="K818" i="7"/>
  <c r="J818" i="7"/>
  <c r="E818" i="7"/>
  <c r="D818" i="7"/>
  <c r="C818" i="7"/>
  <c r="B818" i="7"/>
  <c r="M817" i="7"/>
  <c r="L817" i="7"/>
  <c r="K817" i="7"/>
  <c r="J817" i="7"/>
  <c r="E817" i="7"/>
  <c r="D817" i="7"/>
  <c r="C817" i="7"/>
  <c r="B817" i="7"/>
  <c r="M816" i="7"/>
  <c r="L816" i="7"/>
  <c r="K816" i="7"/>
  <c r="J816" i="7"/>
  <c r="E816" i="7"/>
  <c r="D816" i="7"/>
  <c r="C816" i="7"/>
  <c r="B816" i="7"/>
  <c r="M815" i="7"/>
  <c r="L815" i="7"/>
  <c r="K815" i="7"/>
  <c r="J815" i="7"/>
  <c r="E815" i="7"/>
  <c r="D815" i="7"/>
  <c r="C815" i="7"/>
  <c r="B815" i="7"/>
  <c r="M814" i="7"/>
  <c r="L814" i="7"/>
  <c r="K814" i="7"/>
  <c r="J814" i="7"/>
  <c r="E814" i="7"/>
  <c r="D814" i="7"/>
  <c r="C814" i="7"/>
  <c r="B814" i="7"/>
  <c r="M813" i="7"/>
  <c r="L813" i="7"/>
  <c r="K813" i="7"/>
  <c r="J813" i="7"/>
  <c r="E813" i="7"/>
  <c r="D813" i="7"/>
  <c r="C813" i="7"/>
  <c r="B813" i="7"/>
  <c r="M812" i="7"/>
  <c r="L812" i="7"/>
  <c r="K812" i="7"/>
  <c r="J812" i="7"/>
  <c r="E812" i="7"/>
  <c r="D812" i="7"/>
  <c r="C812" i="7"/>
  <c r="B812" i="7"/>
  <c r="M811" i="7"/>
  <c r="L811" i="7"/>
  <c r="K811" i="7"/>
  <c r="J811" i="7"/>
  <c r="E811" i="7"/>
  <c r="D811" i="7"/>
  <c r="C811" i="7"/>
  <c r="B811" i="7"/>
  <c r="M810" i="7"/>
  <c r="L810" i="7"/>
  <c r="K810" i="7"/>
  <c r="J810" i="7"/>
  <c r="E810" i="7"/>
  <c r="D810" i="7"/>
  <c r="C810" i="7"/>
  <c r="B810" i="7"/>
  <c r="M809" i="7"/>
  <c r="L809" i="7"/>
  <c r="K809" i="7"/>
  <c r="J809" i="7"/>
  <c r="E809" i="7"/>
  <c r="D809" i="7"/>
  <c r="C809" i="7"/>
  <c r="B809" i="7"/>
  <c r="M808" i="7"/>
  <c r="L808" i="7"/>
  <c r="K808" i="7"/>
  <c r="J808" i="7"/>
  <c r="E808" i="7"/>
  <c r="D808" i="7"/>
  <c r="C808" i="7"/>
  <c r="B808" i="7"/>
  <c r="M807" i="7"/>
  <c r="L807" i="7"/>
  <c r="K807" i="7"/>
  <c r="J807" i="7"/>
  <c r="E807" i="7"/>
  <c r="D807" i="7"/>
  <c r="C807" i="7"/>
  <c r="B807" i="7"/>
  <c r="M806" i="7"/>
  <c r="L806" i="7"/>
  <c r="K806" i="7"/>
  <c r="J806" i="7"/>
  <c r="E806" i="7"/>
  <c r="D806" i="7"/>
  <c r="C806" i="7"/>
  <c r="B806" i="7"/>
  <c r="M805" i="7"/>
  <c r="L805" i="7"/>
  <c r="K805" i="7"/>
  <c r="J805" i="7"/>
  <c r="E805" i="7"/>
  <c r="D805" i="7"/>
  <c r="C805" i="7"/>
  <c r="B805" i="7"/>
  <c r="M804" i="7"/>
  <c r="L804" i="7"/>
  <c r="K804" i="7"/>
  <c r="J804" i="7"/>
  <c r="E804" i="7"/>
  <c r="D804" i="7"/>
  <c r="C804" i="7"/>
  <c r="B804" i="7"/>
  <c r="M803" i="7"/>
  <c r="L803" i="7"/>
  <c r="K803" i="7"/>
  <c r="J803" i="7"/>
  <c r="E803" i="7"/>
  <c r="D803" i="7"/>
  <c r="C803" i="7"/>
  <c r="B803" i="7"/>
  <c r="M802" i="7"/>
  <c r="L802" i="7"/>
  <c r="K802" i="7"/>
  <c r="J802" i="7"/>
  <c r="E802" i="7"/>
  <c r="D802" i="7"/>
  <c r="C802" i="7"/>
  <c r="B802" i="7"/>
  <c r="M801" i="7"/>
  <c r="L801" i="7"/>
  <c r="K801" i="7"/>
  <c r="J801" i="7"/>
  <c r="E801" i="7"/>
  <c r="D801" i="7"/>
  <c r="C801" i="7"/>
  <c r="B801" i="7"/>
  <c r="M800" i="7"/>
  <c r="L800" i="7"/>
  <c r="K800" i="7"/>
  <c r="J800" i="7"/>
  <c r="E800" i="7"/>
  <c r="D800" i="7"/>
  <c r="C800" i="7"/>
  <c r="B800" i="7"/>
  <c r="M799" i="7"/>
  <c r="L799" i="7"/>
  <c r="K799" i="7"/>
  <c r="J799" i="7"/>
  <c r="E799" i="7"/>
  <c r="D799" i="7"/>
  <c r="C799" i="7"/>
  <c r="B799" i="7"/>
  <c r="M798" i="7"/>
  <c r="L798" i="7"/>
  <c r="K798" i="7"/>
  <c r="J798" i="7"/>
  <c r="E798" i="7"/>
  <c r="D798" i="7"/>
  <c r="C798" i="7"/>
  <c r="B798" i="7"/>
  <c r="M797" i="7"/>
  <c r="L797" i="7"/>
  <c r="K797" i="7"/>
  <c r="J797" i="7"/>
  <c r="E797" i="7"/>
  <c r="D797" i="7"/>
  <c r="C797" i="7"/>
  <c r="B797" i="7"/>
  <c r="M796" i="7"/>
  <c r="L796" i="7"/>
  <c r="K796" i="7"/>
  <c r="J796" i="7"/>
  <c r="E796" i="7"/>
  <c r="D796" i="7"/>
  <c r="C796" i="7"/>
  <c r="B796" i="7"/>
  <c r="M795" i="7"/>
  <c r="L795" i="7"/>
  <c r="K795" i="7"/>
  <c r="J795" i="7"/>
  <c r="E795" i="7"/>
  <c r="D795" i="7"/>
  <c r="C795" i="7"/>
  <c r="B795" i="7"/>
  <c r="M794" i="7"/>
  <c r="L794" i="7"/>
  <c r="K794" i="7"/>
  <c r="J794" i="7"/>
  <c r="E794" i="7"/>
  <c r="D794" i="7"/>
  <c r="C794" i="7"/>
  <c r="B794" i="7"/>
  <c r="M793" i="7"/>
  <c r="L793" i="7"/>
  <c r="K793" i="7"/>
  <c r="J793" i="7"/>
  <c r="E793" i="7"/>
  <c r="D793" i="7"/>
  <c r="C793" i="7"/>
  <c r="B793" i="7"/>
  <c r="M792" i="7"/>
  <c r="L792" i="7"/>
  <c r="K792" i="7"/>
  <c r="J792" i="7"/>
  <c r="E792" i="7"/>
  <c r="D792" i="7"/>
  <c r="C792" i="7"/>
  <c r="B792" i="7"/>
  <c r="M791" i="7"/>
  <c r="L791" i="7"/>
  <c r="K791" i="7"/>
  <c r="J791" i="7"/>
  <c r="E791" i="7"/>
  <c r="D791" i="7"/>
  <c r="C791" i="7"/>
  <c r="B791" i="7"/>
  <c r="M790" i="7"/>
  <c r="L790" i="7"/>
  <c r="K790" i="7"/>
  <c r="J790" i="7"/>
  <c r="E790" i="7"/>
  <c r="D790" i="7"/>
  <c r="C790" i="7"/>
  <c r="B790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M789" i="7"/>
  <c r="L789" i="7"/>
  <c r="K789" i="7"/>
  <c r="J789" i="7"/>
  <c r="E789" i="7"/>
  <c r="D789" i="7"/>
  <c r="C789" i="7"/>
  <c r="B789" i="7"/>
  <c r="M788" i="7"/>
  <c r="L788" i="7"/>
  <c r="K788" i="7"/>
  <c r="J788" i="7"/>
  <c r="E788" i="7"/>
  <c r="D788" i="7"/>
  <c r="C788" i="7"/>
  <c r="B788" i="7"/>
  <c r="M787" i="7"/>
  <c r="L787" i="7"/>
  <c r="K787" i="7"/>
  <c r="J787" i="7"/>
  <c r="E787" i="7"/>
  <c r="D787" i="7"/>
  <c r="C787" i="7"/>
  <c r="B787" i="7"/>
  <c r="M786" i="7"/>
  <c r="L786" i="7"/>
  <c r="K786" i="7"/>
  <c r="J786" i="7"/>
  <c r="E786" i="7"/>
  <c r="D786" i="7"/>
  <c r="C786" i="7"/>
  <c r="B786" i="7"/>
  <c r="M785" i="7"/>
  <c r="L785" i="7"/>
  <c r="K785" i="7"/>
  <c r="J785" i="7"/>
  <c r="E785" i="7"/>
  <c r="D785" i="7"/>
  <c r="C785" i="7"/>
  <c r="B785" i="7"/>
  <c r="M784" i="7"/>
  <c r="L784" i="7"/>
  <c r="K784" i="7"/>
  <c r="J784" i="7"/>
  <c r="E784" i="7"/>
  <c r="D784" i="7"/>
  <c r="C784" i="7"/>
  <c r="B784" i="7"/>
  <c r="M783" i="7"/>
  <c r="L783" i="7"/>
  <c r="K783" i="7"/>
  <c r="J783" i="7"/>
  <c r="E783" i="7"/>
  <c r="D783" i="7"/>
  <c r="C783" i="7"/>
  <c r="B783" i="7"/>
  <c r="M782" i="7"/>
  <c r="L782" i="7"/>
  <c r="K782" i="7"/>
  <c r="J782" i="7"/>
  <c r="E782" i="7"/>
  <c r="D782" i="7"/>
  <c r="C782" i="7"/>
  <c r="B782" i="7"/>
  <c r="M781" i="7"/>
  <c r="L781" i="7"/>
  <c r="K781" i="7"/>
  <c r="J781" i="7"/>
  <c r="E781" i="7"/>
  <c r="D781" i="7"/>
  <c r="C781" i="7"/>
  <c r="B781" i="7"/>
  <c r="M780" i="7"/>
  <c r="L780" i="7"/>
  <c r="K780" i="7"/>
  <c r="J780" i="7"/>
  <c r="E780" i="7"/>
  <c r="D780" i="7"/>
  <c r="C780" i="7"/>
  <c r="B780" i="7"/>
  <c r="M779" i="7"/>
  <c r="L779" i="7"/>
  <c r="K779" i="7"/>
  <c r="J779" i="7"/>
  <c r="E779" i="7"/>
  <c r="D779" i="7"/>
  <c r="C779" i="7"/>
  <c r="B779" i="7"/>
  <c r="M778" i="7"/>
  <c r="L778" i="7"/>
  <c r="K778" i="7"/>
  <c r="J778" i="7"/>
  <c r="E778" i="7"/>
  <c r="D778" i="7"/>
  <c r="C778" i="7"/>
  <c r="B778" i="7"/>
  <c r="M777" i="7"/>
  <c r="L777" i="7"/>
  <c r="K777" i="7"/>
  <c r="J777" i="7"/>
  <c r="E777" i="7"/>
  <c r="D777" i="7"/>
  <c r="C777" i="7"/>
  <c r="B777" i="7"/>
  <c r="M776" i="7"/>
  <c r="L776" i="7"/>
  <c r="K776" i="7"/>
  <c r="J776" i="7"/>
  <c r="E776" i="7"/>
  <c r="D776" i="7"/>
  <c r="C776" i="7"/>
  <c r="B776" i="7"/>
  <c r="M775" i="7"/>
  <c r="L775" i="7"/>
  <c r="K775" i="7"/>
  <c r="J775" i="7"/>
  <c r="E775" i="7"/>
  <c r="D775" i="7"/>
  <c r="C775" i="7"/>
  <c r="B775" i="7"/>
  <c r="M774" i="7"/>
  <c r="L774" i="7"/>
  <c r="K774" i="7"/>
  <c r="J774" i="7"/>
  <c r="E774" i="7"/>
  <c r="D774" i="7"/>
  <c r="C774" i="7"/>
  <c r="B774" i="7"/>
  <c r="M773" i="7"/>
  <c r="L773" i="7"/>
  <c r="K773" i="7"/>
  <c r="J773" i="7"/>
  <c r="E773" i="7"/>
  <c r="D773" i="7"/>
  <c r="C773" i="7"/>
  <c r="B773" i="7"/>
  <c r="M772" i="7"/>
  <c r="L772" i="7"/>
  <c r="K772" i="7"/>
  <c r="J772" i="7"/>
  <c r="E772" i="7"/>
  <c r="D772" i="7"/>
  <c r="C772" i="7"/>
  <c r="B772" i="7"/>
  <c r="M771" i="7"/>
  <c r="L771" i="7"/>
  <c r="K771" i="7"/>
  <c r="J771" i="7"/>
  <c r="E771" i="7"/>
  <c r="D771" i="7"/>
  <c r="C771" i="7"/>
  <c r="B771" i="7"/>
  <c r="M770" i="7"/>
  <c r="L770" i="7"/>
  <c r="K770" i="7"/>
  <c r="J770" i="7"/>
  <c r="E770" i="7"/>
  <c r="D770" i="7"/>
  <c r="C770" i="7"/>
  <c r="B770" i="7"/>
  <c r="M769" i="7"/>
  <c r="L769" i="7"/>
  <c r="K769" i="7"/>
  <c r="J769" i="7"/>
  <c r="E769" i="7"/>
  <c r="D769" i="7"/>
  <c r="C769" i="7"/>
  <c r="B769" i="7"/>
  <c r="M768" i="7"/>
  <c r="L768" i="7"/>
  <c r="K768" i="7"/>
  <c r="J768" i="7"/>
  <c r="E768" i="7"/>
  <c r="D768" i="7"/>
  <c r="C768" i="7"/>
  <c r="T977" i="7"/>
  <c r="B768" i="7"/>
  <c r="M767" i="7"/>
  <c r="L767" i="7"/>
  <c r="K767" i="7"/>
  <c r="J767" i="7"/>
  <c r="E767" i="7"/>
  <c r="D767" i="7"/>
  <c r="C767" i="7"/>
  <c r="B767" i="7"/>
  <c r="M766" i="7"/>
  <c r="L766" i="7"/>
  <c r="K766" i="7"/>
  <c r="J766" i="7"/>
  <c r="E766" i="7"/>
  <c r="D766" i="7"/>
  <c r="C766" i="7"/>
  <c r="B766" i="7"/>
  <c r="M765" i="7"/>
  <c r="L765" i="7"/>
  <c r="K765" i="7"/>
  <c r="J765" i="7"/>
  <c r="E765" i="7"/>
  <c r="D765" i="7"/>
  <c r="C765" i="7"/>
  <c r="B765" i="7"/>
  <c r="M764" i="7"/>
  <c r="L764" i="7"/>
  <c r="K764" i="7"/>
  <c r="J764" i="7"/>
  <c r="E764" i="7"/>
  <c r="D764" i="7"/>
  <c r="C764" i="7"/>
  <c r="B764" i="7"/>
  <c r="M763" i="7"/>
  <c r="L763" i="7"/>
  <c r="K763" i="7"/>
  <c r="J763" i="7"/>
  <c r="E763" i="7"/>
  <c r="D763" i="7"/>
  <c r="C763" i="7"/>
  <c r="B763" i="7"/>
  <c r="M762" i="7"/>
  <c r="L762" i="7"/>
  <c r="K762" i="7"/>
  <c r="J762" i="7"/>
  <c r="E762" i="7"/>
  <c r="D762" i="7"/>
  <c r="U971" i="7"/>
  <c r="C762" i="7"/>
  <c r="B762" i="7"/>
  <c r="M761" i="7"/>
  <c r="L761" i="7"/>
  <c r="K761" i="7"/>
  <c r="J761" i="7"/>
  <c r="E761" i="7"/>
  <c r="D761" i="7"/>
  <c r="C761" i="7"/>
  <c r="B761" i="7"/>
  <c r="M760" i="7"/>
  <c r="L760" i="7"/>
  <c r="K760" i="7"/>
  <c r="J760" i="7"/>
  <c r="E760" i="7"/>
  <c r="D760" i="7"/>
  <c r="C760" i="7"/>
  <c r="B760" i="7"/>
  <c r="M759" i="7"/>
  <c r="L759" i="7"/>
  <c r="K759" i="7"/>
  <c r="J759" i="7"/>
  <c r="E759" i="7"/>
  <c r="D759" i="7"/>
  <c r="C759" i="7"/>
  <c r="B759" i="7"/>
  <c r="M758" i="7"/>
  <c r="L758" i="7"/>
  <c r="K758" i="7"/>
  <c r="J758" i="7"/>
  <c r="E758" i="7"/>
  <c r="D758" i="7"/>
  <c r="C758" i="7"/>
  <c r="B758" i="7"/>
  <c r="M757" i="7"/>
  <c r="L757" i="7"/>
  <c r="K757" i="7"/>
  <c r="J757" i="7"/>
  <c r="E757" i="7"/>
  <c r="D757" i="7"/>
  <c r="C757" i="7"/>
  <c r="B757" i="7"/>
  <c r="M756" i="7"/>
  <c r="L756" i="7"/>
  <c r="K756" i="7"/>
  <c r="J756" i="7"/>
  <c r="E756" i="7"/>
  <c r="D756" i="7"/>
  <c r="C756" i="7"/>
  <c r="B756" i="7"/>
  <c r="M755" i="7"/>
  <c r="L755" i="7"/>
  <c r="K755" i="7"/>
  <c r="J755" i="7"/>
  <c r="E755" i="7"/>
  <c r="D755" i="7"/>
  <c r="C755" i="7"/>
  <c r="B755" i="7"/>
  <c r="M754" i="7"/>
  <c r="L754" i="7"/>
  <c r="K754" i="7"/>
  <c r="J754" i="7"/>
  <c r="E754" i="7"/>
  <c r="D754" i="7"/>
  <c r="C754" i="7"/>
  <c r="B754" i="7"/>
  <c r="M753" i="7"/>
  <c r="L753" i="7"/>
  <c r="K753" i="7"/>
  <c r="J753" i="7"/>
  <c r="E753" i="7"/>
  <c r="D753" i="7"/>
  <c r="C753" i="7"/>
  <c r="B753" i="7"/>
  <c r="M752" i="7"/>
  <c r="L752" i="7"/>
  <c r="K752" i="7"/>
  <c r="J752" i="7"/>
  <c r="E752" i="7"/>
  <c r="D752" i="7"/>
  <c r="C752" i="7"/>
  <c r="T961" i="7"/>
  <c r="B752" i="7"/>
  <c r="M751" i="7"/>
  <c r="L751" i="7"/>
  <c r="K751" i="7"/>
  <c r="J751" i="7"/>
  <c r="E751" i="7"/>
  <c r="D751" i="7"/>
  <c r="C751" i="7"/>
  <c r="B751" i="7"/>
  <c r="M750" i="7"/>
  <c r="L750" i="7"/>
  <c r="K750" i="7"/>
  <c r="J750" i="7"/>
  <c r="E750" i="7"/>
  <c r="D750" i="7"/>
  <c r="C750" i="7"/>
  <c r="B750" i="7"/>
  <c r="M749" i="7"/>
  <c r="L749" i="7"/>
  <c r="K749" i="7"/>
  <c r="J749" i="7"/>
  <c r="E749" i="7"/>
  <c r="D749" i="7"/>
  <c r="C749" i="7"/>
  <c r="B749" i="7"/>
  <c r="M748" i="7"/>
  <c r="L748" i="7"/>
  <c r="K748" i="7"/>
  <c r="J748" i="7"/>
  <c r="E748" i="7"/>
  <c r="D748" i="7"/>
  <c r="C748" i="7"/>
  <c r="B748" i="7"/>
  <c r="M747" i="7"/>
  <c r="L747" i="7"/>
  <c r="K747" i="7"/>
  <c r="J747" i="7"/>
  <c r="E747" i="7"/>
  <c r="D747" i="7"/>
  <c r="C747" i="7"/>
  <c r="B747" i="7"/>
  <c r="M746" i="7"/>
  <c r="L746" i="7"/>
  <c r="K746" i="7"/>
  <c r="J746" i="7"/>
  <c r="E746" i="7"/>
  <c r="D746" i="7"/>
  <c r="C746" i="7"/>
  <c r="B746" i="7"/>
  <c r="M745" i="7"/>
  <c r="L745" i="7"/>
  <c r="K745" i="7"/>
  <c r="J745" i="7"/>
  <c r="E745" i="7"/>
  <c r="D745" i="7"/>
  <c r="C745" i="7"/>
  <c r="B745" i="7"/>
  <c r="M744" i="7"/>
  <c r="L744" i="7"/>
  <c r="K744" i="7"/>
  <c r="J744" i="7"/>
  <c r="E744" i="7"/>
  <c r="D744" i="7"/>
  <c r="C744" i="7"/>
  <c r="B744" i="7"/>
  <c r="S953" i="7"/>
  <c r="M743" i="7"/>
  <c r="L743" i="7"/>
  <c r="K743" i="7"/>
  <c r="J743" i="7"/>
  <c r="E743" i="7"/>
  <c r="D743" i="7"/>
  <c r="C743" i="7"/>
  <c r="T952" i="7"/>
  <c r="B743" i="7"/>
  <c r="M742" i="7"/>
  <c r="L742" i="7"/>
  <c r="K742" i="7"/>
  <c r="J742" i="7"/>
  <c r="E742" i="7"/>
  <c r="D742" i="7"/>
  <c r="C742" i="7"/>
  <c r="B742" i="7"/>
  <c r="M741" i="7"/>
  <c r="L741" i="7"/>
  <c r="K741" i="7"/>
  <c r="J741" i="7"/>
  <c r="E741" i="7"/>
  <c r="D741" i="7"/>
  <c r="C741" i="7"/>
  <c r="B741" i="7"/>
  <c r="M740" i="7"/>
  <c r="L740" i="7"/>
  <c r="K740" i="7"/>
  <c r="J740" i="7"/>
  <c r="E740" i="7"/>
  <c r="D740" i="7"/>
  <c r="C740" i="7"/>
  <c r="B740" i="7"/>
  <c r="M739" i="7"/>
  <c r="L739" i="7"/>
  <c r="K739" i="7"/>
  <c r="J739" i="7"/>
  <c r="E739" i="7"/>
  <c r="D739" i="7"/>
  <c r="C739" i="7"/>
  <c r="B739" i="7"/>
  <c r="M738" i="7"/>
  <c r="L738" i="7"/>
  <c r="K738" i="7"/>
  <c r="J738" i="7"/>
  <c r="E738" i="7"/>
  <c r="D738" i="7"/>
  <c r="C738" i="7"/>
  <c r="B738" i="7"/>
  <c r="M737" i="7"/>
  <c r="L737" i="7"/>
  <c r="K737" i="7"/>
  <c r="J737" i="7"/>
  <c r="E737" i="7"/>
  <c r="D737" i="7"/>
  <c r="C737" i="7"/>
  <c r="B737" i="7"/>
  <c r="M736" i="7"/>
  <c r="L736" i="7"/>
  <c r="K736" i="7"/>
  <c r="J736" i="7"/>
  <c r="E736" i="7"/>
  <c r="D736" i="7"/>
  <c r="C736" i="7"/>
  <c r="B736" i="7"/>
  <c r="M735" i="7"/>
  <c r="L735" i="7"/>
  <c r="K735" i="7"/>
  <c r="J735" i="7"/>
  <c r="E735" i="7"/>
  <c r="D735" i="7"/>
  <c r="C735" i="7"/>
  <c r="B735" i="7"/>
  <c r="M734" i="7"/>
  <c r="L734" i="7"/>
  <c r="K734" i="7"/>
  <c r="J734" i="7"/>
  <c r="E734" i="7"/>
  <c r="V943" i="7"/>
  <c r="D734" i="7"/>
  <c r="C734" i="7"/>
  <c r="B734" i="7"/>
  <c r="M733" i="7"/>
  <c r="L733" i="7"/>
  <c r="K733" i="7"/>
  <c r="J733" i="7"/>
  <c r="E733" i="7"/>
  <c r="D733" i="7"/>
  <c r="C733" i="7"/>
  <c r="B733" i="7"/>
  <c r="M732" i="7"/>
  <c r="L732" i="7"/>
  <c r="K732" i="7"/>
  <c r="J732" i="7"/>
  <c r="E732" i="7"/>
  <c r="D732" i="7"/>
  <c r="C732" i="7"/>
  <c r="T836" i="7"/>
  <c r="B732" i="7"/>
  <c r="M731" i="7"/>
  <c r="L731" i="7"/>
  <c r="K731" i="7"/>
  <c r="J731" i="7"/>
  <c r="E731" i="7"/>
  <c r="D731" i="7"/>
  <c r="C731" i="7"/>
  <c r="B731" i="7"/>
  <c r="S835" i="7"/>
  <c r="M730" i="7"/>
  <c r="L730" i="7"/>
  <c r="K730" i="7"/>
  <c r="J730" i="7"/>
  <c r="E730" i="7"/>
  <c r="D730" i="7"/>
  <c r="C730" i="7"/>
  <c r="B730" i="7"/>
  <c r="M729" i="7"/>
  <c r="L729" i="7"/>
  <c r="K729" i="7"/>
  <c r="J729" i="7"/>
  <c r="E729" i="7"/>
  <c r="D729" i="7"/>
  <c r="C729" i="7"/>
  <c r="T885" i="7"/>
  <c r="B729" i="7"/>
  <c r="M728" i="7"/>
  <c r="L728" i="7"/>
  <c r="K728" i="7"/>
  <c r="J728" i="7"/>
  <c r="E728" i="7"/>
  <c r="D728" i="7"/>
  <c r="C728" i="7"/>
  <c r="B728" i="7"/>
  <c r="M727" i="7"/>
  <c r="L727" i="7"/>
  <c r="K727" i="7"/>
  <c r="J727" i="7"/>
  <c r="E727" i="7"/>
  <c r="D727" i="7"/>
  <c r="C727" i="7"/>
  <c r="B727" i="7"/>
  <c r="M726" i="7"/>
  <c r="L726" i="7"/>
  <c r="K726" i="7"/>
  <c r="J726" i="7"/>
  <c r="E726" i="7"/>
  <c r="D726" i="7"/>
  <c r="C726" i="7"/>
  <c r="T882" i="7"/>
  <c r="B726" i="7"/>
  <c r="M725" i="7"/>
  <c r="L725" i="7"/>
  <c r="K725" i="7"/>
  <c r="J725" i="7"/>
  <c r="E725" i="7"/>
  <c r="D725" i="7"/>
  <c r="C725" i="7"/>
  <c r="B725" i="7"/>
  <c r="M724" i="7"/>
  <c r="L724" i="7"/>
  <c r="K724" i="7"/>
  <c r="J724" i="7"/>
  <c r="E724" i="7"/>
  <c r="D724" i="7"/>
  <c r="C724" i="7"/>
  <c r="B724" i="7"/>
  <c r="M723" i="7"/>
  <c r="L723" i="7"/>
  <c r="K723" i="7"/>
  <c r="J723" i="7"/>
  <c r="E723" i="7"/>
  <c r="D723" i="7"/>
  <c r="C723" i="7"/>
  <c r="B723" i="7"/>
  <c r="S775" i="7"/>
  <c r="M722" i="7"/>
  <c r="L722" i="7"/>
  <c r="K722" i="7"/>
  <c r="J722" i="7"/>
  <c r="E722" i="7"/>
  <c r="D722" i="7"/>
  <c r="C722" i="7"/>
  <c r="B722" i="7"/>
  <c r="M721" i="7"/>
  <c r="L721" i="7"/>
  <c r="K721" i="7"/>
  <c r="J721" i="7"/>
  <c r="E721" i="7"/>
  <c r="D721" i="7"/>
  <c r="C721" i="7"/>
  <c r="B721" i="7"/>
  <c r="M720" i="7"/>
  <c r="L720" i="7"/>
  <c r="K720" i="7"/>
  <c r="J720" i="7"/>
  <c r="E720" i="7"/>
  <c r="D720" i="7"/>
  <c r="C720" i="7"/>
  <c r="B720" i="7"/>
  <c r="M719" i="7"/>
  <c r="L719" i="7"/>
  <c r="K719" i="7"/>
  <c r="J719" i="7"/>
  <c r="E719" i="7"/>
  <c r="D719" i="7"/>
  <c r="C719" i="7"/>
  <c r="B719" i="7"/>
  <c r="M718" i="7"/>
  <c r="L718" i="7"/>
  <c r="K718" i="7"/>
  <c r="J718" i="7"/>
  <c r="E718" i="7"/>
  <c r="D718" i="7"/>
  <c r="C718" i="7"/>
  <c r="B718" i="7"/>
  <c r="M717" i="7"/>
  <c r="L717" i="7"/>
  <c r="K717" i="7"/>
  <c r="J717" i="7"/>
  <c r="E717" i="7"/>
  <c r="D717" i="7"/>
  <c r="C717" i="7"/>
  <c r="B717" i="7"/>
  <c r="M716" i="7"/>
  <c r="L716" i="7"/>
  <c r="K716" i="7"/>
  <c r="J716" i="7"/>
  <c r="E716" i="7"/>
  <c r="D716" i="7"/>
  <c r="C716" i="7"/>
  <c r="B716" i="7"/>
  <c r="M715" i="7"/>
  <c r="L715" i="7"/>
  <c r="K715" i="7"/>
  <c r="J715" i="7"/>
  <c r="E715" i="7"/>
  <c r="D715" i="7"/>
  <c r="C715" i="7"/>
  <c r="B715" i="7"/>
  <c r="S924" i="7"/>
  <c r="M714" i="7"/>
  <c r="L714" i="7"/>
  <c r="K714" i="7"/>
  <c r="J714" i="7"/>
  <c r="E714" i="7"/>
  <c r="D714" i="7"/>
  <c r="C714" i="7"/>
  <c r="B714" i="7"/>
  <c r="M713" i="7"/>
  <c r="L713" i="7"/>
  <c r="K713" i="7"/>
  <c r="J713" i="7"/>
  <c r="E713" i="7"/>
  <c r="D713" i="7"/>
  <c r="C713" i="7"/>
  <c r="B713" i="7"/>
  <c r="M712" i="7"/>
  <c r="L712" i="7"/>
  <c r="K712" i="7"/>
  <c r="J712" i="7"/>
  <c r="E712" i="7"/>
  <c r="D712" i="7"/>
  <c r="C712" i="7"/>
  <c r="B712" i="7"/>
  <c r="M711" i="7"/>
  <c r="L711" i="7"/>
  <c r="K711" i="7"/>
  <c r="J711" i="7"/>
  <c r="E711" i="7"/>
  <c r="D711" i="7"/>
  <c r="C711" i="7"/>
  <c r="B711" i="7"/>
  <c r="S763" i="7"/>
  <c r="M710" i="7"/>
  <c r="L710" i="7"/>
  <c r="K710" i="7"/>
  <c r="J710" i="7"/>
  <c r="E710" i="7"/>
  <c r="D710" i="7"/>
  <c r="C710" i="7"/>
  <c r="B710" i="7"/>
  <c r="M709" i="7"/>
  <c r="L709" i="7"/>
  <c r="K709" i="7"/>
  <c r="J709" i="7"/>
  <c r="E709" i="7"/>
  <c r="D709" i="7"/>
  <c r="C709" i="7"/>
  <c r="B709" i="7"/>
  <c r="M708" i="7"/>
  <c r="L708" i="7"/>
  <c r="K708" i="7"/>
  <c r="J708" i="7"/>
  <c r="E708" i="7"/>
  <c r="D708" i="7"/>
  <c r="C708" i="7"/>
  <c r="B708" i="7"/>
  <c r="M707" i="7"/>
  <c r="L707" i="7"/>
  <c r="K707" i="7"/>
  <c r="J707" i="7"/>
  <c r="E707" i="7"/>
  <c r="D707" i="7"/>
  <c r="C707" i="7"/>
  <c r="B707" i="7"/>
  <c r="S759" i="7"/>
  <c r="M706" i="7"/>
  <c r="L706" i="7"/>
  <c r="K706" i="7"/>
  <c r="J706" i="7"/>
  <c r="E706" i="7"/>
  <c r="D706" i="7"/>
  <c r="C706" i="7"/>
  <c r="B706" i="7"/>
  <c r="M705" i="7"/>
  <c r="L705" i="7"/>
  <c r="K705" i="7"/>
  <c r="J705" i="7"/>
  <c r="E705" i="7"/>
  <c r="D705" i="7"/>
  <c r="C705" i="7"/>
  <c r="B705" i="7"/>
  <c r="M704" i="7"/>
  <c r="L704" i="7"/>
  <c r="K704" i="7"/>
  <c r="J704" i="7"/>
  <c r="E704" i="7"/>
  <c r="D704" i="7"/>
  <c r="C704" i="7"/>
  <c r="B704" i="7"/>
  <c r="M703" i="7"/>
  <c r="L703" i="7"/>
  <c r="K703" i="7"/>
  <c r="J703" i="7"/>
  <c r="E703" i="7"/>
  <c r="D703" i="7"/>
  <c r="C703" i="7"/>
  <c r="B703" i="7"/>
  <c r="M702" i="7"/>
  <c r="L702" i="7"/>
  <c r="K702" i="7"/>
  <c r="J702" i="7"/>
  <c r="E702" i="7"/>
  <c r="D702" i="7"/>
  <c r="C702" i="7"/>
  <c r="B702" i="7"/>
  <c r="M701" i="7"/>
  <c r="L701" i="7"/>
  <c r="K701" i="7"/>
  <c r="J701" i="7"/>
  <c r="E701" i="7"/>
  <c r="D701" i="7"/>
  <c r="C701" i="7"/>
  <c r="B701" i="7"/>
  <c r="M700" i="7"/>
  <c r="L700" i="7"/>
  <c r="K700" i="7"/>
  <c r="J700" i="7"/>
  <c r="E700" i="7"/>
  <c r="D700" i="7"/>
  <c r="C700" i="7"/>
  <c r="B700" i="7"/>
  <c r="M699" i="7"/>
  <c r="L699" i="7"/>
  <c r="K699" i="7"/>
  <c r="J699" i="7"/>
  <c r="E699" i="7"/>
  <c r="D699" i="7"/>
  <c r="C699" i="7"/>
  <c r="B699" i="7"/>
  <c r="M698" i="7"/>
  <c r="L698" i="7"/>
  <c r="K698" i="7"/>
  <c r="J698" i="7"/>
  <c r="E698" i="7"/>
  <c r="D698" i="7"/>
  <c r="C698" i="7"/>
  <c r="B698" i="7"/>
  <c r="M697" i="7"/>
  <c r="L697" i="7"/>
  <c r="K697" i="7"/>
  <c r="J697" i="7"/>
  <c r="E697" i="7"/>
  <c r="D697" i="7"/>
  <c r="C697" i="7"/>
  <c r="B697" i="7"/>
  <c r="M696" i="7"/>
  <c r="L696" i="7"/>
  <c r="K696" i="7"/>
  <c r="J696" i="7"/>
  <c r="E696" i="7"/>
  <c r="D696" i="7"/>
  <c r="C696" i="7"/>
  <c r="B696" i="7"/>
  <c r="M695" i="7"/>
  <c r="L695" i="7"/>
  <c r="K695" i="7"/>
  <c r="J695" i="7"/>
  <c r="E695" i="7"/>
  <c r="D695" i="7"/>
  <c r="C695" i="7"/>
  <c r="B695" i="7"/>
  <c r="M694" i="7"/>
  <c r="L694" i="7"/>
  <c r="K694" i="7"/>
  <c r="J694" i="7"/>
  <c r="E694" i="7"/>
  <c r="D694" i="7"/>
  <c r="C694" i="7"/>
  <c r="B694" i="7"/>
  <c r="M693" i="7"/>
  <c r="L693" i="7"/>
  <c r="K693" i="7"/>
  <c r="J693" i="7"/>
  <c r="E693" i="7"/>
  <c r="D693" i="7"/>
  <c r="C693" i="7"/>
  <c r="B693" i="7"/>
  <c r="M692" i="7"/>
  <c r="L692" i="7"/>
  <c r="K692" i="7"/>
  <c r="J692" i="7"/>
  <c r="E692" i="7"/>
  <c r="D692" i="7"/>
  <c r="C692" i="7"/>
  <c r="B692" i="7"/>
  <c r="M691" i="7"/>
  <c r="L691" i="7"/>
  <c r="K691" i="7"/>
  <c r="J691" i="7"/>
  <c r="E691" i="7"/>
  <c r="D691" i="7"/>
  <c r="C691" i="7"/>
  <c r="B691" i="7"/>
  <c r="M690" i="7"/>
  <c r="L690" i="7"/>
  <c r="K690" i="7"/>
  <c r="J690" i="7"/>
  <c r="E690" i="7"/>
  <c r="D690" i="7"/>
  <c r="C690" i="7"/>
  <c r="B690" i="7"/>
  <c r="M689" i="7"/>
  <c r="L689" i="7"/>
  <c r="K689" i="7"/>
  <c r="J689" i="7"/>
  <c r="E689" i="7"/>
  <c r="D689" i="7"/>
  <c r="C689" i="7"/>
  <c r="B689" i="7"/>
  <c r="M688" i="7"/>
  <c r="L688" i="7"/>
  <c r="K688" i="7"/>
  <c r="J688" i="7"/>
  <c r="E688" i="7"/>
  <c r="D688" i="7"/>
  <c r="C688" i="7"/>
  <c r="B688" i="7"/>
  <c r="M687" i="7"/>
  <c r="L687" i="7"/>
  <c r="K687" i="7"/>
  <c r="J687" i="7"/>
  <c r="E687" i="7"/>
  <c r="D687" i="7"/>
  <c r="C687" i="7"/>
  <c r="B687" i="7"/>
  <c r="M686" i="7"/>
  <c r="L686" i="7"/>
  <c r="K686" i="7"/>
  <c r="J686" i="7"/>
  <c r="E686" i="7"/>
  <c r="D686" i="7"/>
  <c r="C686" i="7"/>
  <c r="B686" i="7"/>
  <c r="M685" i="7"/>
  <c r="L685" i="7"/>
  <c r="K685" i="7"/>
  <c r="J685" i="7"/>
  <c r="E685" i="7"/>
  <c r="D685" i="7"/>
  <c r="C685" i="7"/>
  <c r="B685" i="7"/>
  <c r="M684" i="7"/>
  <c r="L684" i="7"/>
  <c r="K684" i="7"/>
  <c r="E684" i="7"/>
  <c r="D684" i="7"/>
  <c r="C684" i="7"/>
  <c r="B684" i="7"/>
  <c r="M683" i="7"/>
  <c r="L683" i="7"/>
  <c r="K683" i="7"/>
  <c r="E683" i="7"/>
  <c r="D683" i="7"/>
  <c r="C683" i="7"/>
  <c r="B683" i="7"/>
  <c r="M682" i="7"/>
  <c r="L682" i="7"/>
  <c r="K682" i="7"/>
  <c r="E682" i="7"/>
  <c r="D682" i="7"/>
  <c r="C682" i="7"/>
  <c r="B682" i="7"/>
  <c r="M681" i="7"/>
  <c r="L681" i="7"/>
  <c r="K681" i="7"/>
  <c r="E681" i="7"/>
  <c r="V733" i="7"/>
  <c r="D681" i="7"/>
  <c r="C681" i="7"/>
  <c r="B681" i="7"/>
  <c r="M680" i="7"/>
  <c r="L680" i="7"/>
  <c r="K680" i="7"/>
  <c r="E680" i="7"/>
  <c r="D680" i="7"/>
  <c r="C680" i="7"/>
  <c r="B680" i="7"/>
  <c r="M679" i="7"/>
  <c r="L679" i="7"/>
  <c r="K679" i="7"/>
  <c r="E679" i="7"/>
  <c r="D679" i="7"/>
  <c r="C679" i="7"/>
  <c r="B679" i="7"/>
  <c r="M678" i="7"/>
  <c r="L678" i="7"/>
  <c r="K678" i="7"/>
  <c r="E678" i="7"/>
  <c r="D678" i="7"/>
  <c r="C678" i="7"/>
  <c r="B678" i="7"/>
  <c r="S730" i="7"/>
  <c r="M677" i="7"/>
  <c r="L677" i="7"/>
  <c r="K677" i="7"/>
  <c r="E677" i="7"/>
  <c r="D677" i="7"/>
  <c r="C677" i="7"/>
  <c r="B677" i="7"/>
  <c r="S729" i="7"/>
  <c r="M676" i="7"/>
  <c r="L676" i="7"/>
  <c r="K676" i="7"/>
  <c r="E676" i="7"/>
  <c r="D676" i="7"/>
  <c r="C676" i="7"/>
  <c r="B676" i="7"/>
  <c r="M675" i="7"/>
  <c r="L675" i="7"/>
  <c r="K675" i="7"/>
  <c r="E675" i="7"/>
  <c r="D675" i="7"/>
  <c r="C675" i="7"/>
  <c r="B675" i="7"/>
  <c r="M674" i="7"/>
  <c r="L674" i="7"/>
  <c r="K674" i="7"/>
  <c r="E674" i="7"/>
  <c r="D674" i="7"/>
  <c r="C674" i="7"/>
  <c r="B674" i="7"/>
  <c r="M673" i="7"/>
  <c r="L673" i="7"/>
  <c r="K673" i="7"/>
  <c r="E673" i="7"/>
  <c r="D673" i="7"/>
  <c r="C673" i="7"/>
  <c r="B673" i="7"/>
  <c r="M672" i="7"/>
  <c r="L672" i="7"/>
  <c r="K672" i="7"/>
  <c r="E672" i="7"/>
  <c r="D672" i="7"/>
  <c r="U828" i="7"/>
  <c r="C672" i="7"/>
  <c r="B672" i="7"/>
  <c r="M671" i="7"/>
  <c r="L671" i="7"/>
  <c r="K671" i="7"/>
  <c r="E671" i="7"/>
  <c r="D671" i="7"/>
  <c r="C671" i="7"/>
  <c r="B671" i="7"/>
  <c r="M670" i="7"/>
  <c r="L670" i="7"/>
  <c r="K670" i="7"/>
  <c r="E670" i="7"/>
  <c r="D670" i="7"/>
  <c r="C670" i="7"/>
  <c r="B670" i="7"/>
  <c r="M669" i="7"/>
  <c r="L669" i="7"/>
  <c r="K669" i="7"/>
  <c r="E669" i="7"/>
  <c r="D669" i="7"/>
  <c r="C669" i="7"/>
  <c r="B669" i="7"/>
  <c r="M668" i="7"/>
  <c r="L668" i="7"/>
  <c r="K668" i="7"/>
  <c r="E668" i="7"/>
  <c r="D668" i="7"/>
  <c r="C668" i="7"/>
  <c r="B668" i="7"/>
  <c r="M667" i="7"/>
  <c r="L667" i="7"/>
  <c r="K667" i="7"/>
  <c r="E667" i="7"/>
  <c r="D667" i="7"/>
  <c r="C667" i="7"/>
  <c r="B667" i="7"/>
  <c r="M666" i="7"/>
  <c r="L666" i="7"/>
  <c r="K666" i="7"/>
  <c r="E666" i="7"/>
  <c r="D666" i="7"/>
  <c r="C666" i="7"/>
  <c r="B666" i="7"/>
  <c r="M665" i="7"/>
  <c r="L665" i="7"/>
  <c r="K665" i="7"/>
  <c r="E665" i="7"/>
  <c r="D665" i="7"/>
  <c r="C665" i="7"/>
  <c r="B665" i="7"/>
  <c r="M664" i="7"/>
  <c r="L664" i="7"/>
  <c r="K664" i="7"/>
  <c r="E664" i="7"/>
  <c r="D664" i="7"/>
  <c r="C664" i="7"/>
  <c r="B664" i="7"/>
  <c r="M663" i="7"/>
  <c r="L663" i="7"/>
  <c r="K663" i="7"/>
  <c r="E663" i="7"/>
  <c r="D663" i="7"/>
  <c r="C663" i="7"/>
  <c r="B663" i="7"/>
  <c r="M662" i="7"/>
  <c r="L662" i="7"/>
  <c r="K662" i="7"/>
  <c r="E662" i="7"/>
  <c r="D662" i="7"/>
  <c r="U714" i="7"/>
  <c r="C662" i="7"/>
  <c r="B662" i="7"/>
  <c r="M661" i="7"/>
  <c r="L661" i="7"/>
  <c r="K661" i="7"/>
  <c r="E661" i="7"/>
  <c r="D661" i="7"/>
  <c r="C661" i="7"/>
  <c r="B661" i="7"/>
  <c r="M660" i="7"/>
  <c r="L660" i="7"/>
  <c r="K660" i="7"/>
  <c r="E660" i="7"/>
  <c r="D660" i="7"/>
  <c r="C660" i="7"/>
  <c r="B660" i="7"/>
  <c r="M659" i="7"/>
  <c r="L659" i="7"/>
  <c r="K659" i="7"/>
  <c r="E659" i="7"/>
  <c r="D659" i="7"/>
  <c r="C659" i="7"/>
  <c r="B659" i="7"/>
  <c r="M658" i="7"/>
  <c r="L658" i="7"/>
  <c r="K658" i="7"/>
  <c r="E658" i="7"/>
  <c r="D658" i="7"/>
  <c r="C658" i="7"/>
  <c r="B658" i="7"/>
  <c r="M657" i="7"/>
  <c r="L657" i="7"/>
  <c r="K657" i="7"/>
  <c r="E657" i="7"/>
  <c r="D657" i="7"/>
  <c r="C657" i="7"/>
  <c r="B657" i="7"/>
  <c r="M656" i="7"/>
  <c r="L656" i="7"/>
  <c r="K656" i="7"/>
  <c r="E656" i="7"/>
  <c r="D656" i="7"/>
  <c r="C656" i="7"/>
  <c r="B656" i="7"/>
  <c r="M655" i="7"/>
  <c r="L655" i="7"/>
  <c r="K655" i="7"/>
  <c r="E655" i="7"/>
  <c r="D655" i="7"/>
  <c r="C655" i="7"/>
  <c r="T864" i="7"/>
  <c r="B655" i="7"/>
  <c r="S707" i="7"/>
  <c r="M654" i="7"/>
  <c r="L654" i="7"/>
  <c r="K654" i="7"/>
  <c r="E654" i="7"/>
  <c r="D654" i="7"/>
  <c r="U706" i="7"/>
  <c r="C654" i="7"/>
  <c r="B654" i="7"/>
  <c r="M653" i="7"/>
  <c r="L653" i="7"/>
  <c r="K653" i="7"/>
  <c r="E653" i="7"/>
  <c r="D653" i="7"/>
  <c r="C653" i="7"/>
  <c r="B653" i="7"/>
  <c r="M652" i="7"/>
  <c r="L652" i="7"/>
  <c r="K652" i="7"/>
  <c r="E652" i="7"/>
  <c r="D652" i="7"/>
  <c r="C652" i="7"/>
  <c r="B652" i="7"/>
  <c r="M651" i="7"/>
  <c r="L651" i="7"/>
  <c r="K651" i="7"/>
  <c r="E651" i="7"/>
  <c r="D651" i="7"/>
  <c r="C651" i="7"/>
  <c r="B651" i="7"/>
  <c r="M650" i="7"/>
  <c r="L650" i="7"/>
  <c r="K650" i="7"/>
  <c r="E650" i="7"/>
  <c r="D650" i="7"/>
  <c r="C650" i="7"/>
  <c r="B650" i="7"/>
  <c r="M649" i="7"/>
  <c r="L649" i="7"/>
  <c r="K649" i="7"/>
  <c r="E649" i="7"/>
  <c r="D649" i="7"/>
  <c r="C649" i="7"/>
  <c r="B649" i="7"/>
  <c r="M648" i="7"/>
  <c r="L648" i="7"/>
  <c r="K648" i="7"/>
  <c r="E648" i="7"/>
  <c r="V804" i="7"/>
  <c r="D648" i="7"/>
  <c r="U857" i="7"/>
  <c r="C648" i="7"/>
  <c r="B648" i="7"/>
  <c r="M647" i="7"/>
  <c r="L647" i="7"/>
  <c r="K647" i="7"/>
  <c r="E647" i="7"/>
  <c r="V751" i="7"/>
  <c r="D647" i="7"/>
  <c r="U803" i="7"/>
  <c r="C647" i="7"/>
  <c r="T803" i="7"/>
  <c r="B647" i="7"/>
  <c r="M646" i="7"/>
  <c r="L646" i="7"/>
  <c r="K646" i="7"/>
  <c r="E646" i="7"/>
  <c r="D646" i="7"/>
  <c r="C646" i="7"/>
  <c r="B646" i="7"/>
  <c r="S750" i="7"/>
  <c r="M645" i="7"/>
  <c r="L645" i="7"/>
  <c r="K645" i="7"/>
  <c r="E645" i="7"/>
  <c r="D645" i="7"/>
  <c r="C645" i="7"/>
  <c r="B645" i="7"/>
  <c r="M644" i="7"/>
  <c r="L644" i="7"/>
  <c r="K644" i="7"/>
  <c r="E644" i="7"/>
  <c r="D644" i="7"/>
  <c r="C644" i="7"/>
  <c r="B644" i="7"/>
  <c r="M643" i="7"/>
  <c r="L643" i="7"/>
  <c r="K643" i="7"/>
  <c r="E643" i="7"/>
  <c r="D643" i="7"/>
  <c r="C643" i="7"/>
  <c r="B643" i="7"/>
  <c r="M642" i="7"/>
  <c r="L642" i="7"/>
  <c r="K642" i="7"/>
  <c r="E642" i="7"/>
  <c r="D642" i="7"/>
  <c r="C642" i="7"/>
  <c r="B642" i="7"/>
  <c r="M641" i="7"/>
  <c r="L641" i="7"/>
  <c r="K641" i="7"/>
  <c r="E641" i="7"/>
  <c r="V745" i="7"/>
  <c r="D641" i="7"/>
  <c r="C641" i="7"/>
  <c r="B641" i="7"/>
  <c r="M640" i="7"/>
  <c r="L640" i="7"/>
  <c r="K640" i="7"/>
  <c r="E640" i="7"/>
  <c r="D640" i="7"/>
  <c r="C640" i="7"/>
  <c r="B640" i="7"/>
  <c r="M639" i="7"/>
  <c r="L639" i="7"/>
  <c r="K639" i="7"/>
  <c r="E639" i="7"/>
  <c r="D639" i="7"/>
  <c r="C639" i="7"/>
  <c r="B639" i="7"/>
  <c r="M638" i="7"/>
  <c r="L638" i="7"/>
  <c r="K638" i="7"/>
  <c r="E638" i="7"/>
  <c r="D638" i="7"/>
  <c r="C638" i="7"/>
  <c r="B638" i="7"/>
  <c r="S690" i="7"/>
  <c r="M637" i="7"/>
  <c r="L637" i="7"/>
  <c r="K637" i="7"/>
  <c r="E637" i="7"/>
  <c r="D637" i="7"/>
  <c r="C637" i="7"/>
  <c r="B637" i="7"/>
  <c r="M636" i="7"/>
  <c r="L636" i="7"/>
  <c r="K636" i="7"/>
  <c r="E636" i="7"/>
  <c r="D636" i="7"/>
  <c r="C636" i="7"/>
  <c r="B636" i="7"/>
  <c r="M635" i="7"/>
  <c r="L635" i="7"/>
  <c r="K635" i="7"/>
  <c r="E635" i="7"/>
  <c r="D635" i="7"/>
  <c r="C635" i="7"/>
  <c r="B635" i="7"/>
  <c r="M634" i="7"/>
  <c r="K634" i="7"/>
  <c r="E634" i="7"/>
  <c r="D634" i="7"/>
  <c r="C634" i="7"/>
  <c r="B634" i="7"/>
  <c r="M633" i="7"/>
  <c r="K633" i="7"/>
  <c r="E633" i="7"/>
  <c r="D633" i="7"/>
  <c r="C633" i="7"/>
  <c r="T842" i="7"/>
  <c r="B633" i="7"/>
  <c r="M632" i="7"/>
  <c r="K632" i="7"/>
  <c r="E632" i="7"/>
  <c r="D632" i="7"/>
  <c r="C632" i="7"/>
  <c r="B632" i="7"/>
  <c r="M631" i="7"/>
  <c r="K631" i="7"/>
  <c r="E631" i="7"/>
  <c r="D631" i="7"/>
  <c r="C631" i="7"/>
  <c r="B631" i="7"/>
  <c r="M630" i="7"/>
  <c r="K630" i="7"/>
  <c r="E630" i="7"/>
  <c r="V682" i="7"/>
  <c r="D630" i="7"/>
  <c r="C630" i="7"/>
  <c r="B630" i="7"/>
  <c r="M629" i="7"/>
  <c r="K629" i="7"/>
  <c r="E629" i="7"/>
  <c r="D629" i="7"/>
  <c r="C629" i="7"/>
  <c r="B629" i="7"/>
  <c r="M628" i="7"/>
  <c r="K628" i="7"/>
  <c r="E628" i="7"/>
  <c r="D628" i="7"/>
  <c r="C628" i="7"/>
  <c r="B628" i="7"/>
  <c r="M627" i="7"/>
  <c r="K627" i="7"/>
  <c r="E627" i="7"/>
  <c r="D627" i="7"/>
  <c r="C627" i="7"/>
  <c r="B627" i="7"/>
  <c r="M626" i="7"/>
  <c r="K626" i="7"/>
  <c r="E626" i="7"/>
  <c r="V730" i="7"/>
  <c r="D626" i="7"/>
  <c r="C626" i="7"/>
  <c r="B626" i="7"/>
  <c r="M625" i="7"/>
  <c r="K625" i="7"/>
  <c r="E625" i="7"/>
  <c r="D625" i="7"/>
  <c r="C625" i="7"/>
  <c r="T834" i="7"/>
  <c r="B625" i="7"/>
  <c r="M624" i="7"/>
  <c r="K624" i="7"/>
  <c r="E624" i="7"/>
  <c r="V833" i="7"/>
  <c r="D624" i="7"/>
  <c r="C624" i="7"/>
  <c r="B624" i="7"/>
  <c r="M623" i="7"/>
  <c r="K623" i="7"/>
  <c r="E623" i="7"/>
  <c r="D623" i="7"/>
  <c r="C623" i="7"/>
  <c r="B623" i="7"/>
  <c r="M622" i="7"/>
  <c r="K622" i="7"/>
  <c r="E622" i="7"/>
  <c r="V831" i="7"/>
  <c r="D622" i="7"/>
  <c r="C622" i="7"/>
  <c r="B622" i="7"/>
  <c r="M621" i="7"/>
  <c r="K621" i="7"/>
  <c r="E621" i="7"/>
  <c r="V830" i="7"/>
  <c r="D621" i="7"/>
  <c r="C621" i="7"/>
  <c r="T830" i="7"/>
  <c r="B621" i="7"/>
  <c r="M620" i="7"/>
  <c r="K620" i="7"/>
  <c r="E620" i="7"/>
  <c r="D620" i="7"/>
  <c r="C620" i="7"/>
  <c r="B620" i="7"/>
  <c r="M619" i="7"/>
  <c r="K619" i="7"/>
  <c r="E619" i="7"/>
  <c r="D619" i="7"/>
  <c r="C619" i="7"/>
  <c r="B619" i="7"/>
  <c r="M618" i="7"/>
  <c r="K618" i="7"/>
  <c r="E618" i="7"/>
  <c r="D618" i="7"/>
  <c r="C618" i="7"/>
  <c r="B618" i="7"/>
  <c r="M617" i="7"/>
  <c r="K617" i="7"/>
  <c r="E617" i="7"/>
  <c r="D617" i="7"/>
  <c r="C617" i="7"/>
  <c r="T826" i="7"/>
  <c r="B617" i="7"/>
  <c r="M616" i="7"/>
  <c r="K616" i="7"/>
  <c r="E616" i="7"/>
  <c r="D616" i="7"/>
  <c r="C616" i="7"/>
  <c r="B616" i="7"/>
  <c r="M615" i="7"/>
  <c r="K615" i="7"/>
  <c r="E615" i="7"/>
  <c r="D615" i="7"/>
  <c r="C615" i="7"/>
  <c r="B615" i="7"/>
  <c r="M614" i="7"/>
  <c r="K614" i="7"/>
  <c r="E614" i="7"/>
  <c r="V718" i="7"/>
  <c r="D614" i="7"/>
  <c r="C614" i="7"/>
  <c r="B614" i="7"/>
  <c r="M613" i="7"/>
  <c r="K613" i="7"/>
  <c r="E613" i="7"/>
  <c r="D613" i="7"/>
  <c r="C613" i="7"/>
  <c r="B613" i="7"/>
  <c r="M612" i="7"/>
  <c r="K612" i="7"/>
  <c r="E612" i="7"/>
  <c r="D612" i="7"/>
  <c r="C612" i="7"/>
  <c r="B612" i="7"/>
  <c r="M611" i="7"/>
  <c r="K611" i="7"/>
  <c r="E611" i="7"/>
  <c r="D611" i="7"/>
  <c r="C611" i="7"/>
  <c r="B611" i="7"/>
  <c r="M610" i="7"/>
  <c r="K610" i="7"/>
  <c r="E610" i="7"/>
  <c r="V766" i="7"/>
  <c r="D610" i="7"/>
  <c r="C610" i="7"/>
  <c r="B610" i="7"/>
  <c r="M609" i="7"/>
  <c r="K609" i="7"/>
  <c r="E609" i="7"/>
  <c r="D609" i="7"/>
  <c r="C609" i="7"/>
  <c r="T661" i="7"/>
  <c r="B609" i="7"/>
  <c r="M608" i="7"/>
  <c r="K608" i="7"/>
  <c r="E608" i="7"/>
  <c r="D608" i="7"/>
  <c r="C608" i="7"/>
  <c r="B608" i="7"/>
  <c r="M607" i="7"/>
  <c r="K607" i="7"/>
  <c r="E607" i="7"/>
  <c r="D607" i="7"/>
  <c r="C607" i="7"/>
  <c r="B607" i="7"/>
  <c r="M606" i="7"/>
  <c r="K606" i="7"/>
  <c r="E606" i="7"/>
  <c r="V762" i="7"/>
  <c r="D606" i="7"/>
  <c r="C606" i="7"/>
  <c r="B606" i="7"/>
  <c r="M605" i="7"/>
  <c r="K605" i="7"/>
  <c r="E605" i="7"/>
  <c r="D605" i="7"/>
  <c r="C605" i="7"/>
  <c r="B605" i="7"/>
  <c r="M604" i="7"/>
  <c r="K604" i="7"/>
  <c r="E604" i="7"/>
  <c r="D604" i="7"/>
  <c r="C604" i="7"/>
  <c r="B604" i="7"/>
  <c r="M603" i="7"/>
  <c r="K603" i="7"/>
  <c r="E603" i="7"/>
  <c r="D603" i="7"/>
  <c r="C603" i="7"/>
  <c r="B603" i="7"/>
  <c r="M602" i="7"/>
  <c r="K602" i="7"/>
  <c r="E602" i="7"/>
  <c r="D602" i="7"/>
  <c r="C602" i="7"/>
  <c r="B602" i="7"/>
  <c r="M601" i="7"/>
  <c r="K601" i="7"/>
  <c r="E601" i="7"/>
  <c r="D601" i="7"/>
  <c r="C601" i="7"/>
  <c r="B601" i="7"/>
  <c r="M600" i="7"/>
  <c r="K600" i="7"/>
  <c r="E600" i="7"/>
  <c r="D600" i="7"/>
  <c r="C600" i="7"/>
  <c r="B600" i="7"/>
  <c r="M599" i="7"/>
  <c r="K599" i="7"/>
  <c r="E599" i="7"/>
  <c r="D599" i="7"/>
  <c r="C599" i="7"/>
  <c r="B599" i="7"/>
  <c r="M598" i="7"/>
  <c r="K598" i="7"/>
  <c r="E598" i="7"/>
  <c r="V754" i="7"/>
  <c r="D598" i="7"/>
  <c r="C598" i="7"/>
  <c r="B598" i="7"/>
  <c r="M597" i="7"/>
  <c r="K597" i="7"/>
  <c r="E597" i="7"/>
  <c r="D597" i="7"/>
  <c r="C597" i="7"/>
  <c r="B597" i="7"/>
  <c r="M596" i="7"/>
  <c r="K596" i="7"/>
  <c r="E596" i="7"/>
  <c r="D596" i="7"/>
  <c r="C596" i="7"/>
  <c r="B596" i="7"/>
  <c r="M595" i="7"/>
  <c r="K595" i="7"/>
  <c r="E595" i="7"/>
  <c r="D595" i="7"/>
  <c r="C595" i="7"/>
  <c r="B595" i="7"/>
  <c r="M594" i="7"/>
  <c r="K594" i="7"/>
  <c r="E594" i="7"/>
  <c r="V646" i="7"/>
  <c r="D594" i="7"/>
  <c r="C594" i="7"/>
  <c r="B594" i="7"/>
  <c r="M593" i="7"/>
  <c r="K593" i="7"/>
  <c r="E593" i="7"/>
  <c r="D593" i="7"/>
  <c r="C593" i="7"/>
  <c r="B593" i="7"/>
  <c r="M592" i="7"/>
  <c r="K592" i="7"/>
  <c r="E592" i="7"/>
  <c r="D592" i="7"/>
  <c r="C592" i="7"/>
  <c r="B592" i="7"/>
  <c r="M591" i="7"/>
  <c r="K591" i="7"/>
  <c r="E591" i="7"/>
  <c r="D591" i="7"/>
  <c r="C591" i="7"/>
  <c r="B591" i="7"/>
  <c r="M590" i="7"/>
  <c r="K590" i="7"/>
  <c r="E590" i="7"/>
  <c r="V746" i="7"/>
  <c r="D590" i="7"/>
  <c r="C590" i="7"/>
  <c r="B590" i="7"/>
  <c r="M589" i="7"/>
  <c r="K589" i="7"/>
  <c r="E589" i="7"/>
  <c r="D589" i="7"/>
  <c r="C589" i="7"/>
  <c r="B589" i="7"/>
  <c r="M588" i="7"/>
  <c r="K588" i="7"/>
  <c r="E588" i="7"/>
  <c r="D588" i="7"/>
  <c r="C588" i="7"/>
  <c r="B588" i="7"/>
  <c r="M587" i="7"/>
  <c r="K587" i="7"/>
  <c r="E587" i="7"/>
  <c r="D587" i="7"/>
  <c r="C587" i="7"/>
  <c r="B587" i="7"/>
  <c r="M586" i="7"/>
  <c r="K586" i="7"/>
  <c r="E586" i="7"/>
  <c r="D586" i="7"/>
  <c r="C586" i="7"/>
  <c r="B586" i="7"/>
  <c r="M585" i="7"/>
  <c r="K585" i="7"/>
  <c r="E585" i="7"/>
  <c r="D585" i="7"/>
  <c r="C585" i="7"/>
  <c r="B585" i="7"/>
  <c r="M584" i="7"/>
  <c r="K584" i="7"/>
  <c r="E584" i="7"/>
  <c r="D584" i="7"/>
  <c r="C584" i="7"/>
  <c r="B584" i="7"/>
  <c r="M583" i="7"/>
  <c r="K583" i="7"/>
  <c r="E583" i="7"/>
  <c r="D583" i="7"/>
  <c r="C583" i="7"/>
  <c r="B583" i="7"/>
  <c r="M582" i="7"/>
  <c r="K582" i="7"/>
  <c r="E582" i="7"/>
  <c r="D582" i="7"/>
  <c r="C582" i="7"/>
  <c r="B582" i="7"/>
  <c r="M581" i="7"/>
  <c r="K581" i="7"/>
  <c r="E581" i="7"/>
  <c r="D581" i="7"/>
  <c r="C581" i="7"/>
  <c r="B581" i="7"/>
  <c r="E580" i="7"/>
  <c r="D580" i="7"/>
  <c r="C580" i="7"/>
  <c r="B580" i="7"/>
  <c r="E579" i="7"/>
  <c r="V788" i="7"/>
  <c r="D579" i="7"/>
  <c r="C579" i="7"/>
  <c r="B579" i="7"/>
  <c r="E578" i="7"/>
  <c r="D578" i="7"/>
  <c r="C578" i="7"/>
  <c r="B578" i="7"/>
  <c r="E577" i="7"/>
  <c r="D577" i="7"/>
  <c r="C577" i="7"/>
  <c r="B577" i="7"/>
  <c r="E576" i="7"/>
  <c r="D576" i="7"/>
  <c r="C576" i="7"/>
  <c r="B576" i="7"/>
  <c r="E575" i="7"/>
  <c r="D575" i="7"/>
  <c r="C575" i="7"/>
  <c r="T784" i="7"/>
  <c r="B575" i="7"/>
  <c r="E574" i="7"/>
  <c r="D574" i="7"/>
  <c r="C574" i="7"/>
  <c r="B574" i="7"/>
  <c r="E573" i="7"/>
  <c r="D573" i="7"/>
  <c r="C573" i="7"/>
  <c r="B573" i="7"/>
  <c r="E572" i="7"/>
  <c r="D572" i="7"/>
  <c r="C572" i="7"/>
  <c r="B572" i="7"/>
  <c r="E571" i="7"/>
  <c r="D571" i="7"/>
  <c r="U780" i="7"/>
  <c r="C571" i="7"/>
  <c r="T780" i="7"/>
  <c r="B571" i="7"/>
  <c r="E570" i="7"/>
  <c r="D570" i="7"/>
  <c r="C570" i="7"/>
  <c r="B570" i="7"/>
  <c r="E569" i="7"/>
  <c r="D569" i="7"/>
  <c r="C569" i="7"/>
  <c r="T778" i="7"/>
  <c r="B569" i="7"/>
  <c r="E568" i="7"/>
  <c r="D568" i="7"/>
  <c r="C568" i="7"/>
  <c r="B568" i="7"/>
  <c r="E567" i="7"/>
  <c r="D567" i="7"/>
  <c r="C567" i="7"/>
  <c r="T776" i="7"/>
  <c r="B567" i="7"/>
  <c r="E566" i="7"/>
  <c r="D566" i="7"/>
  <c r="C566" i="7"/>
  <c r="B566" i="7"/>
  <c r="E565" i="7"/>
  <c r="D565" i="7"/>
  <c r="C565" i="7"/>
  <c r="B565" i="7"/>
  <c r="E564" i="7"/>
  <c r="D564" i="7"/>
  <c r="C564" i="7"/>
  <c r="B564" i="7"/>
  <c r="E563" i="7"/>
  <c r="D563" i="7"/>
  <c r="C563" i="7"/>
  <c r="B563" i="7"/>
  <c r="E562" i="7"/>
  <c r="D562" i="7"/>
  <c r="C562" i="7"/>
  <c r="B562" i="7"/>
  <c r="E561" i="7"/>
  <c r="D561" i="7"/>
  <c r="C561" i="7"/>
  <c r="B561" i="7"/>
  <c r="E560" i="7"/>
  <c r="D560" i="7"/>
  <c r="C560" i="7"/>
  <c r="B560" i="7"/>
  <c r="E559" i="7"/>
  <c r="D559" i="7"/>
  <c r="C559" i="7"/>
  <c r="T768" i="7"/>
  <c r="B559" i="7"/>
  <c r="E558" i="7"/>
  <c r="D558" i="7"/>
  <c r="C558" i="7"/>
  <c r="B558" i="7"/>
  <c r="E557" i="7"/>
  <c r="D557" i="7"/>
  <c r="C557" i="7"/>
  <c r="B557" i="7"/>
  <c r="E556" i="7"/>
  <c r="D556" i="7"/>
  <c r="C556" i="7"/>
  <c r="B556" i="7"/>
  <c r="E555" i="7"/>
  <c r="V711" i="7"/>
  <c r="D555" i="7"/>
  <c r="C555" i="7"/>
  <c r="B555" i="7"/>
  <c r="E554" i="7"/>
  <c r="D554" i="7"/>
  <c r="C554" i="7"/>
  <c r="B554" i="7"/>
  <c r="E553" i="7"/>
  <c r="D553" i="7"/>
  <c r="C553" i="7"/>
  <c r="T762" i="7"/>
  <c r="B553" i="7"/>
  <c r="E552" i="7"/>
  <c r="D552" i="7"/>
  <c r="C552" i="7"/>
  <c r="B552" i="7"/>
  <c r="E551" i="7"/>
  <c r="D551" i="7"/>
  <c r="C551" i="7"/>
  <c r="T760" i="7"/>
  <c r="B551" i="7"/>
  <c r="E550" i="7"/>
  <c r="D550" i="7"/>
  <c r="C550" i="7"/>
  <c r="B550" i="7"/>
  <c r="E549" i="7"/>
  <c r="D549" i="7"/>
  <c r="C549" i="7"/>
  <c r="B549" i="7"/>
  <c r="E548" i="7"/>
  <c r="D548" i="7"/>
  <c r="C548" i="7"/>
  <c r="B548" i="7"/>
  <c r="E547" i="7"/>
  <c r="D547" i="7"/>
  <c r="C547" i="7"/>
  <c r="B547" i="7"/>
  <c r="E546" i="7"/>
  <c r="D546" i="7"/>
  <c r="C546" i="7"/>
  <c r="B546" i="7"/>
  <c r="E545" i="7"/>
  <c r="D545" i="7"/>
  <c r="U754" i="7"/>
  <c r="C545" i="7"/>
  <c r="T754" i="7"/>
  <c r="B545" i="7"/>
  <c r="E544" i="7"/>
  <c r="D544" i="7"/>
  <c r="C544" i="7"/>
  <c r="B544" i="7"/>
  <c r="E543" i="7"/>
  <c r="D543" i="7"/>
  <c r="C543" i="7"/>
  <c r="B543" i="7"/>
  <c r="S699" i="7"/>
  <c r="E542" i="7"/>
  <c r="D542" i="7"/>
  <c r="C542" i="7"/>
  <c r="B542" i="7"/>
  <c r="E541" i="7"/>
  <c r="D541" i="7"/>
  <c r="C541" i="7"/>
  <c r="B541" i="7"/>
  <c r="E540" i="7"/>
  <c r="D540" i="7"/>
  <c r="C540" i="7"/>
  <c r="B540" i="7"/>
  <c r="E539" i="7"/>
  <c r="D539" i="7"/>
  <c r="U748" i="7"/>
  <c r="C539" i="7"/>
  <c r="T643" i="7"/>
  <c r="B539" i="7"/>
  <c r="E538" i="7"/>
  <c r="D538" i="7"/>
  <c r="C538" i="7"/>
  <c r="B538" i="7"/>
  <c r="E537" i="7"/>
  <c r="D537" i="7"/>
  <c r="C537" i="7"/>
  <c r="B537" i="7"/>
  <c r="E536" i="7"/>
  <c r="D536" i="7"/>
  <c r="C536" i="7"/>
  <c r="B536" i="7"/>
  <c r="E535" i="7"/>
  <c r="D535" i="7"/>
  <c r="C535" i="7"/>
  <c r="T744" i="7"/>
  <c r="B535" i="7"/>
  <c r="E534" i="7"/>
  <c r="D534" i="7"/>
  <c r="C534" i="7"/>
  <c r="B534" i="7"/>
  <c r="E533" i="7"/>
  <c r="D533" i="7"/>
  <c r="C533" i="7"/>
  <c r="T585" i="7"/>
  <c r="B533" i="7"/>
  <c r="E532" i="7"/>
  <c r="D532" i="7"/>
  <c r="C532" i="7"/>
  <c r="B532" i="7"/>
  <c r="E531" i="7"/>
  <c r="D531" i="7"/>
  <c r="U687" i="7"/>
  <c r="C531" i="7"/>
  <c r="E530" i="7"/>
  <c r="D530" i="7"/>
  <c r="C530" i="7"/>
  <c r="E529" i="7"/>
  <c r="D529" i="7"/>
  <c r="C529" i="7"/>
  <c r="E528" i="7"/>
  <c r="V684" i="7"/>
  <c r="D528" i="7"/>
  <c r="U737" i="7"/>
  <c r="C528" i="7"/>
  <c r="E527" i="7"/>
  <c r="D527" i="7"/>
  <c r="C527" i="7"/>
  <c r="E526" i="7"/>
  <c r="D526" i="7"/>
  <c r="C526" i="7"/>
  <c r="E525" i="7"/>
  <c r="V681" i="7"/>
  <c r="D525" i="7"/>
  <c r="C525" i="7"/>
  <c r="E524" i="7"/>
  <c r="D524" i="7"/>
  <c r="C524" i="7"/>
  <c r="E523" i="7"/>
  <c r="D523" i="7"/>
  <c r="C523" i="7"/>
  <c r="E522" i="7"/>
  <c r="D522" i="7"/>
  <c r="C522" i="7"/>
  <c r="E521" i="7"/>
  <c r="D521" i="7"/>
  <c r="C521" i="7"/>
  <c r="E520" i="7"/>
  <c r="D520" i="7"/>
  <c r="C520" i="7"/>
  <c r="E519" i="7"/>
  <c r="D519" i="7"/>
  <c r="C519" i="7"/>
  <c r="E518" i="7"/>
  <c r="D518" i="7"/>
  <c r="C518" i="7"/>
  <c r="E517" i="7"/>
  <c r="D517" i="7"/>
  <c r="C517" i="7"/>
  <c r="E516" i="7"/>
  <c r="D516" i="7"/>
  <c r="C516" i="7"/>
  <c r="E515" i="7"/>
  <c r="D515" i="7"/>
  <c r="C515" i="7"/>
  <c r="E514" i="7"/>
  <c r="D514" i="7"/>
  <c r="C514" i="7"/>
  <c r="E513" i="7"/>
  <c r="D513" i="7"/>
  <c r="C513" i="7"/>
  <c r="E512" i="7"/>
  <c r="D512" i="7"/>
  <c r="C512" i="7"/>
  <c r="E511" i="7"/>
  <c r="D511" i="7"/>
  <c r="U720" i="7"/>
  <c r="C511" i="7"/>
  <c r="E510" i="7"/>
  <c r="D510" i="7"/>
  <c r="C510" i="7"/>
  <c r="E509" i="7"/>
  <c r="D509" i="7"/>
  <c r="C509" i="7"/>
  <c r="E508" i="7"/>
  <c r="D508" i="7"/>
  <c r="C508" i="7"/>
  <c r="E507" i="7"/>
  <c r="D507" i="7"/>
  <c r="C507" i="7"/>
  <c r="E506" i="7"/>
  <c r="D506" i="7"/>
  <c r="C506" i="7"/>
  <c r="E505" i="7"/>
  <c r="D505" i="7"/>
  <c r="C505" i="7"/>
  <c r="E504" i="7"/>
  <c r="D504" i="7"/>
  <c r="C504" i="7"/>
  <c r="E503" i="7"/>
  <c r="D503" i="7"/>
  <c r="C503" i="7"/>
  <c r="E502" i="7"/>
  <c r="D502" i="7"/>
  <c r="C502" i="7"/>
  <c r="E501" i="7"/>
  <c r="V657" i="7"/>
  <c r="D501" i="7"/>
  <c r="C501" i="7"/>
  <c r="E500" i="7"/>
  <c r="D500" i="7"/>
  <c r="C500" i="7"/>
  <c r="E499" i="7"/>
  <c r="D499" i="7"/>
  <c r="C499" i="7"/>
  <c r="T708" i="7"/>
  <c r="E498" i="7"/>
  <c r="D498" i="7"/>
  <c r="C498" i="7"/>
  <c r="E497" i="7"/>
  <c r="D497" i="7"/>
  <c r="C497" i="7"/>
  <c r="E496" i="7"/>
  <c r="D496" i="7"/>
  <c r="U705" i="7"/>
  <c r="C496" i="7"/>
  <c r="E495" i="7"/>
  <c r="D495" i="7"/>
  <c r="C495" i="7"/>
  <c r="E494" i="7"/>
  <c r="D494" i="7"/>
  <c r="C494" i="7"/>
  <c r="E493" i="7"/>
  <c r="V649" i="7"/>
  <c r="D493" i="7"/>
  <c r="C493" i="7"/>
  <c r="E492" i="7"/>
  <c r="D492" i="7"/>
  <c r="C492" i="7"/>
  <c r="E491" i="7"/>
  <c r="D491" i="7"/>
  <c r="C491" i="7"/>
  <c r="E490" i="7"/>
  <c r="D490" i="7"/>
  <c r="C490" i="7"/>
  <c r="E489" i="7"/>
  <c r="D489" i="7"/>
  <c r="C489" i="7"/>
  <c r="E488" i="7"/>
  <c r="D488" i="7"/>
  <c r="C488" i="7"/>
  <c r="E487" i="7"/>
  <c r="D487" i="7"/>
  <c r="C487" i="7"/>
  <c r="E486" i="7"/>
  <c r="D486" i="7"/>
  <c r="C486" i="7"/>
  <c r="T642" i="7"/>
  <c r="E485" i="7"/>
  <c r="V641" i="7"/>
  <c r="D485" i="7"/>
  <c r="C485" i="7"/>
  <c r="E484" i="7"/>
  <c r="D484" i="7"/>
  <c r="C484" i="7"/>
  <c r="E483" i="7"/>
  <c r="D483" i="7"/>
  <c r="C483" i="7"/>
  <c r="E482" i="7"/>
  <c r="D482" i="7"/>
  <c r="C482" i="7"/>
  <c r="E481" i="7"/>
  <c r="D481" i="7"/>
  <c r="C481" i="7"/>
  <c r="E480" i="7"/>
  <c r="D480" i="7"/>
  <c r="C480" i="7"/>
  <c r="E479" i="7"/>
  <c r="D479" i="7"/>
  <c r="C479" i="7"/>
  <c r="E478" i="7"/>
  <c r="D478" i="7"/>
  <c r="C478" i="7"/>
  <c r="E477" i="7"/>
  <c r="D477" i="7"/>
  <c r="C477" i="7"/>
  <c r="E476" i="7"/>
  <c r="D476" i="7"/>
  <c r="C476" i="7"/>
  <c r="E475" i="7"/>
  <c r="D475" i="7"/>
  <c r="C475" i="7"/>
  <c r="E474" i="7"/>
  <c r="D474" i="7"/>
  <c r="C474" i="7"/>
  <c r="E473" i="7"/>
  <c r="D473" i="7"/>
  <c r="C473" i="7"/>
  <c r="E472" i="7"/>
  <c r="D472" i="7"/>
  <c r="C472" i="7"/>
  <c r="E471" i="7"/>
  <c r="D471" i="7"/>
  <c r="C471" i="7"/>
  <c r="E470" i="7"/>
  <c r="D470" i="7"/>
  <c r="C470" i="7"/>
  <c r="E469" i="7"/>
  <c r="D469" i="7"/>
  <c r="C469" i="7"/>
  <c r="E468" i="7"/>
  <c r="D468" i="7"/>
  <c r="C468" i="7"/>
  <c r="E467" i="7"/>
  <c r="D467" i="7"/>
  <c r="C467" i="7"/>
  <c r="E466" i="7"/>
  <c r="D466" i="7"/>
  <c r="C466" i="7"/>
  <c r="E465" i="7"/>
  <c r="D465" i="7"/>
  <c r="C465" i="7"/>
  <c r="E464" i="7"/>
  <c r="D464" i="7"/>
  <c r="U673" i="7"/>
  <c r="C464" i="7"/>
  <c r="E463" i="7"/>
  <c r="D463" i="7"/>
  <c r="U672" i="7"/>
  <c r="C463" i="7"/>
  <c r="E462" i="7"/>
  <c r="D462" i="7"/>
  <c r="C462" i="7"/>
  <c r="E461" i="7"/>
  <c r="D461" i="7"/>
  <c r="C461" i="7"/>
  <c r="E460" i="7"/>
  <c r="D460" i="7"/>
  <c r="C460" i="7"/>
  <c r="E459" i="7"/>
  <c r="D459" i="7"/>
  <c r="C459" i="7"/>
  <c r="E458" i="7"/>
  <c r="D458" i="7"/>
  <c r="C458" i="7"/>
  <c r="E457" i="7"/>
  <c r="D457" i="7"/>
  <c r="C457" i="7"/>
  <c r="E456" i="7"/>
  <c r="D456" i="7"/>
  <c r="C456" i="7"/>
  <c r="E455" i="7"/>
  <c r="D455" i="7"/>
  <c r="U664" i="7"/>
  <c r="C455" i="7"/>
  <c r="E454" i="7"/>
  <c r="D454" i="7"/>
  <c r="C454" i="7"/>
  <c r="E453" i="7"/>
  <c r="D453" i="7"/>
  <c r="C453" i="7"/>
  <c r="E452" i="7"/>
  <c r="D452" i="7"/>
  <c r="C452" i="7"/>
  <c r="E451" i="7"/>
  <c r="D451" i="7"/>
  <c r="C451" i="7"/>
  <c r="E450" i="7"/>
  <c r="D450" i="7"/>
  <c r="C450" i="7"/>
  <c r="E449" i="7"/>
  <c r="D449" i="7"/>
  <c r="C449" i="7"/>
  <c r="E448" i="7"/>
  <c r="D448" i="7"/>
  <c r="C448" i="7"/>
  <c r="E447" i="7"/>
  <c r="D447" i="7"/>
  <c r="U656" i="7"/>
  <c r="C447" i="7"/>
  <c r="E446" i="7"/>
  <c r="D446" i="7"/>
  <c r="C446" i="7"/>
  <c r="T602" i="7"/>
  <c r="E445" i="7"/>
  <c r="V601" i="7"/>
  <c r="D445" i="7"/>
  <c r="C445" i="7"/>
  <c r="E444" i="7"/>
  <c r="D444" i="7"/>
  <c r="C444" i="7"/>
  <c r="E443" i="7"/>
  <c r="D443" i="7"/>
  <c r="C443" i="7"/>
  <c r="E442" i="7"/>
  <c r="D442" i="7"/>
  <c r="C442" i="7"/>
  <c r="E441" i="7"/>
  <c r="D441" i="7"/>
  <c r="C441" i="7"/>
  <c r="E440" i="7"/>
  <c r="D440" i="7"/>
  <c r="C440" i="7"/>
  <c r="E439" i="7"/>
  <c r="D439" i="7"/>
  <c r="C439" i="7"/>
  <c r="E438" i="7"/>
  <c r="D438" i="7"/>
  <c r="C438" i="7"/>
  <c r="E437" i="7"/>
  <c r="D437" i="7"/>
  <c r="C437" i="7"/>
  <c r="E436" i="7"/>
  <c r="D436" i="7"/>
  <c r="C436" i="7"/>
  <c r="E435" i="7"/>
  <c r="D435" i="7"/>
  <c r="C435" i="7"/>
  <c r="E434" i="7"/>
  <c r="D434" i="7"/>
  <c r="C434" i="7"/>
  <c r="E433" i="7"/>
  <c r="D433" i="7"/>
  <c r="C433" i="7"/>
  <c r="E432" i="7"/>
  <c r="D432" i="7"/>
  <c r="C432" i="7"/>
  <c r="E431" i="7"/>
  <c r="D431" i="7"/>
  <c r="C431" i="7"/>
  <c r="E430" i="7"/>
  <c r="D430" i="7"/>
  <c r="C430" i="7"/>
  <c r="E429" i="7"/>
  <c r="D429" i="7"/>
  <c r="C429" i="7"/>
  <c r="E428" i="7"/>
  <c r="D428" i="7"/>
  <c r="C428" i="7"/>
  <c r="E427" i="7"/>
  <c r="D427" i="7"/>
  <c r="C427" i="7"/>
  <c r="E426" i="7"/>
  <c r="C426" i="7"/>
  <c r="E425" i="7"/>
  <c r="C425" i="7"/>
  <c r="E424" i="7"/>
  <c r="C424" i="7"/>
  <c r="E423" i="7"/>
  <c r="C423" i="7"/>
  <c r="E422" i="7"/>
  <c r="C422" i="7"/>
  <c r="E421" i="7"/>
  <c r="C421" i="7"/>
  <c r="E420" i="7"/>
  <c r="C420" i="7"/>
  <c r="E419" i="7"/>
  <c r="C419" i="7"/>
  <c r="T627" i="7"/>
  <c r="E418" i="7"/>
  <c r="C418" i="7"/>
  <c r="E417" i="7"/>
  <c r="C417" i="7"/>
  <c r="E416" i="7"/>
  <c r="C416" i="7"/>
  <c r="E415" i="7"/>
  <c r="C415" i="7"/>
  <c r="T623" i="7"/>
  <c r="E414" i="7"/>
  <c r="C414" i="7"/>
  <c r="E413" i="7"/>
  <c r="C413" i="7"/>
  <c r="E412" i="7"/>
  <c r="C412" i="7"/>
  <c r="E411" i="7"/>
  <c r="C411" i="7"/>
  <c r="E410" i="7"/>
  <c r="C410" i="7"/>
  <c r="E409" i="7"/>
  <c r="C409" i="7"/>
  <c r="E408" i="7"/>
  <c r="C408" i="7"/>
  <c r="E407" i="7"/>
  <c r="C407" i="7"/>
  <c r="E406" i="7"/>
  <c r="C406" i="7"/>
  <c r="E405" i="7"/>
  <c r="C405" i="7"/>
  <c r="E404" i="7"/>
  <c r="C404" i="7"/>
  <c r="E403" i="7"/>
  <c r="C403" i="7"/>
  <c r="E402" i="7"/>
  <c r="C402" i="7"/>
  <c r="E401" i="7"/>
  <c r="C401" i="7"/>
  <c r="E400" i="7"/>
  <c r="C400" i="7"/>
  <c r="E399" i="7"/>
  <c r="C399" i="7"/>
  <c r="E398" i="7"/>
  <c r="C398" i="7"/>
  <c r="E397" i="7"/>
  <c r="C397" i="7"/>
  <c r="E396" i="7"/>
  <c r="C396" i="7"/>
  <c r="E395" i="7"/>
  <c r="C395" i="7"/>
  <c r="E394" i="7"/>
  <c r="C394" i="7"/>
  <c r="E393" i="7"/>
  <c r="C393" i="7"/>
  <c r="E392" i="7"/>
  <c r="C392" i="7"/>
  <c r="E391" i="7"/>
  <c r="C391" i="7"/>
  <c r="E390" i="7"/>
  <c r="C390" i="7"/>
  <c r="E389" i="7"/>
  <c r="C389" i="7"/>
  <c r="E388" i="7"/>
  <c r="C388" i="7"/>
  <c r="E387" i="7"/>
  <c r="C387" i="7"/>
  <c r="E386" i="7"/>
  <c r="C386" i="7"/>
  <c r="E385" i="7"/>
  <c r="C385" i="7"/>
  <c r="E384" i="7"/>
  <c r="C384" i="7"/>
  <c r="E383" i="7"/>
  <c r="C383" i="7"/>
  <c r="E382" i="7"/>
  <c r="C382" i="7"/>
  <c r="E381" i="7"/>
  <c r="C381" i="7"/>
  <c r="E380" i="7"/>
  <c r="C380" i="7"/>
  <c r="E379" i="7"/>
  <c r="C379" i="7"/>
  <c r="E378" i="7"/>
  <c r="C378" i="7"/>
  <c r="E377" i="7"/>
  <c r="C377" i="7"/>
  <c r="E376" i="7"/>
  <c r="C376" i="7"/>
  <c r="E375" i="7"/>
  <c r="C375" i="7"/>
  <c r="E374" i="7"/>
  <c r="C374" i="7"/>
  <c r="E373" i="7"/>
  <c r="C373" i="7"/>
  <c r="E372" i="7"/>
  <c r="C372" i="7"/>
  <c r="E371" i="7"/>
  <c r="C371" i="7"/>
  <c r="E370" i="7"/>
  <c r="C370" i="7"/>
  <c r="E369" i="7"/>
  <c r="C369" i="7"/>
  <c r="E368" i="7"/>
  <c r="C368" i="7"/>
  <c r="E367" i="7"/>
  <c r="C367" i="7"/>
  <c r="E366" i="7"/>
  <c r="C366" i="7"/>
  <c r="E365" i="7"/>
  <c r="C365" i="7"/>
  <c r="E364" i="7"/>
  <c r="C364" i="7"/>
  <c r="E363" i="7"/>
  <c r="C363" i="7"/>
  <c r="E362" i="7"/>
  <c r="C362" i="7"/>
  <c r="E361" i="7"/>
  <c r="C361" i="7"/>
  <c r="E360" i="7"/>
  <c r="C360" i="7"/>
  <c r="E359" i="7"/>
  <c r="C359" i="7"/>
  <c r="E358" i="7"/>
  <c r="C358" i="7"/>
  <c r="E357" i="7"/>
  <c r="C357" i="7"/>
  <c r="E356" i="7"/>
  <c r="C356" i="7"/>
  <c r="E355" i="7"/>
  <c r="C355" i="7"/>
  <c r="E354" i="7"/>
  <c r="C354" i="7"/>
  <c r="E353" i="7"/>
  <c r="C353" i="7"/>
  <c r="E352" i="7"/>
  <c r="C352" i="7"/>
  <c r="E351" i="7"/>
  <c r="C351" i="7"/>
  <c r="E350" i="7"/>
  <c r="C350" i="7"/>
  <c r="E349" i="7"/>
  <c r="C349" i="7"/>
  <c r="E348" i="7"/>
  <c r="C348" i="7"/>
  <c r="E347" i="7"/>
  <c r="C347" i="7"/>
  <c r="E346" i="7"/>
  <c r="C346" i="7"/>
  <c r="E345" i="7"/>
  <c r="C345" i="7"/>
  <c r="E344" i="7"/>
  <c r="C344" i="7"/>
  <c r="E343" i="7"/>
  <c r="C343" i="7"/>
  <c r="E342" i="7"/>
  <c r="C342" i="7"/>
  <c r="E341" i="7"/>
  <c r="C341" i="7"/>
  <c r="E340" i="7"/>
  <c r="C340" i="7"/>
  <c r="E339" i="7"/>
  <c r="C339" i="7"/>
  <c r="E338" i="7"/>
  <c r="C338" i="7"/>
  <c r="E337" i="7"/>
  <c r="C337" i="7"/>
  <c r="E336" i="7"/>
  <c r="C336" i="7"/>
  <c r="E335" i="7"/>
  <c r="C335" i="7"/>
  <c r="E334" i="7"/>
  <c r="C334" i="7"/>
  <c r="E333" i="7"/>
  <c r="C333" i="7"/>
  <c r="E332" i="7"/>
  <c r="C332" i="7"/>
  <c r="E331" i="7"/>
  <c r="C331" i="7"/>
  <c r="E330" i="7"/>
  <c r="C330" i="7"/>
  <c r="E329" i="7"/>
  <c r="C329" i="7"/>
  <c r="E328" i="7"/>
  <c r="C328" i="7"/>
  <c r="E327" i="7"/>
  <c r="C327" i="7"/>
  <c r="E326" i="7"/>
  <c r="C326" i="7"/>
  <c r="E325" i="7"/>
  <c r="C325" i="7"/>
  <c r="E324" i="7"/>
  <c r="C324" i="7"/>
  <c r="E323" i="7"/>
  <c r="C323" i="7"/>
  <c r="E322" i="7"/>
  <c r="C322" i="7"/>
  <c r="E321" i="7"/>
  <c r="C321" i="7"/>
  <c r="E320" i="7"/>
  <c r="C320" i="7"/>
  <c r="E319" i="7"/>
  <c r="C319" i="7"/>
  <c r="E318" i="7"/>
  <c r="C318" i="7"/>
  <c r="E317" i="7"/>
  <c r="C317" i="7"/>
  <c r="E316" i="7"/>
  <c r="C316" i="7"/>
  <c r="E315" i="7"/>
  <c r="C315" i="7"/>
  <c r="E314" i="7"/>
  <c r="C314" i="7"/>
  <c r="E313" i="7"/>
  <c r="C313" i="7"/>
  <c r="E312" i="7"/>
  <c r="C312" i="7"/>
  <c r="E311" i="7"/>
  <c r="C311" i="7"/>
  <c r="E310" i="7"/>
  <c r="C310" i="7"/>
  <c r="E309" i="7"/>
  <c r="C309" i="7"/>
  <c r="E308" i="7"/>
  <c r="C308" i="7"/>
  <c r="E307" i="7"/>
  <c r="C307" i="7"/>
  <c r="E306" i="7"/>
  <c r="C306" i="7"/>
  <c r="E305" i="7"/>
  <c r="C305" i="7"/>
  <c r="E304" i="7"/>
  <c r="C304" i="7"/>
  <c r="E303" i="7"/>
  <c r="C303" i="7"/>
  <c r="E302" i="7"/>
  <c r="C302" i="7"/>
  <c r="E301" i="7"/>
  <c r="C301" i="7"/>
  <c r="E300" i="7"/>
  <c r="C300" i="7"/>
  <c r="E299" i="7"/>
  <c r="C299" i="7"/>
  <c r="E298" i="7"/>
  <c r="C298" i="7"/>
  <c r="E297" i="7"/>
  <c r="C297" i="7"/>
  <c r="E296" i="7"/>
  <c r="C296" i="7"/>
  <c r="E295" i="7"/>
  <c r="C295" i="7"/>
  <c r="E294" i="7"/>
  <c r="C294" i="7"/>
  <c r="E293" i="7"/>
  <c r="C293" i="7"/>
  <c r="E292" i="7"/>
  <c r="C292" i="7"/>
  <c r="E291" i="7"/>
  <c r="C291" i="7"/>
  <c r="E290" i="7"/>
  <c r="C290" i="7"/>
  <c r="E289" i="7"/>
  <c r="C289" i="7"/>
  <c r="E288" i="7"/>
  <c r="C288" i="7"/>
  <c r="E287" i="7"/>
  <c r="C287" i="7"/>
  <c r="E286" i="7"/>
  <c r="C286" i="7"/>
  <c r="E285" i="7"/>
  <c r="C285" i="7"/>
  <c r="E284" i="7"/>
  <c r="C284" i="7"/>
  <c r="E283" i="7"/>
  <c r="C283" i="7"/>
  <c r="E282" i="7"/>
  <c r="C282" i="7"/>
  <c r="E281" i="7"/>
  <c r="C281" i="7"/>
  <c r="E280" i="7"/>
  <c r="C280" i="7"/>
  <c r="E279" i="7"/>
  <c r="C279" i="7"/>
  <c r="E278" i="7"/>
  <c r="C278" i="7"/>
  <c r="E277" i="7"/>
  <c r="C277" i="7"/>
  <c r="E276" i="7"/>
  <c r="C276" i="7"/>
  <c r="E275" i="7"/>
  <c r="C275" i="7"/>
  <c r="E274" i="7"/>
  <c r="C274" i="7"/>
  <c r="E273" i="7"/>
  <c r="C273" i="7"/>
  <c r="E272" i="7"/>
  <c r="C272" i="7"/>
  <c r="E271" i="7"/>
  <c r="C271" i="7"/>
  <c r="E270" i="7"/>
  <c r="C270" i="7"/>
  <c r="E269" i="7"/>
  <c r="C269" i="7"/>
  <c r="E268" i="7"/>
  <c r="C268" i="7"/>
  <c r="E267" i="7"/>
  <c r="C267" i="7"/>
  <c r="E266" i="7"/>
  <c r="C266" i="7"/>
  <c r="E265" i="7"/>
  <c r="C265" i="7"/>
  <c r="E264" i="7"/>
  <c r="C264" i="7"/>
  <c r="E263" i="7"/>
  <c r="C263" i="7"/>
  <c r="E262" i="7"/>
  <c r="C262" i="7"/>
  <c r="E261" i="7"/>
  <c r="C261" i="7"/>
  <c r="E260" i="7"/>
  <c r="C260" i="7"/>
  <c r="E259" i="7"/>
  <c r="C259" i="7"/>
  <c r="E258" i="7"/>
  <c r="C258" i="7"/>
  <c r="E257" i="7"/>
  <c r="C257" i="7"/>
  <c r="E256" i="7"/>
  <c r="C256" i="7"/>
  <c r="E255" i="7"/>
  <c r="C255" i="7"/>
  <c r="E254" i="7"/>
  <c r="C254" i="7"/>
  <c r="E253" i="7"/>
  <c r="C253" i="7"/>
  <c r="E252" i="7"/>
  <c r="C252" i="7"/>
  <c r="E251" i="7"/>
  <c r="C251" i="7"/>
  <c r="E250" i="7"/>
  <c r="C250" i="7"/>
  <c r="E249" i="7"/>
  <c r="C249" i="7"/>
  <c r="E248" i="7"/>
  <c r="C248" i="7"/>
  <c r="E247" i="7"/>
  <c r="C247" i="7"/>
  <c r="E246" i="7"/>
  <c r="C246" i="7"/>
  <c r="E245" i="7"/>
  <c r="C245" i="7"/>
  <c r="E244" i="7"/>
  <c r="C244" i="7"/>
  <c r="E243" i="7"/>
  <c r="C243" i="7"/>
  <c r="E242" i="7"/>
  <c r="C242" i="7"/>
  <c r="E241" i="7"/>
  <c r="C241" i="7"/>
  <c r="E240" i="7"/>
  <c r="C240" i="7"/>
  <c r="E239" i="7"/>
  <c r="C239" i="7"/>
  <c r="E238" i="7"/>
  <c r="C238" i="7"/>
  <c r="E237" i="7"/>
  <c r="C237" i="7"/>
  <c r="E236" i="7"/>
  <c r="C236" i="7"/>
  <c r="E235" i="7"/>
  <c r="C235" i="7"/>
  <c r="E234" i="7"/>
  <c r="C234" i="7"/>
  <c r="E233" i="7"/>
  <c r="C233" i="7"/>
  <c r="E232" i="7"/>
  <c r="C232" i="7"/>
  <c r="E231" i="7"/>
  <c r="C231" i="7"/>
  <c r="E230" i="7"/>
  <c r="C230" i="7"/>
  <c r="E229" i="7"/>
  <c r="C229" i="7"/>
  <c r="E228" i="7"/>
  <c r="C228" i="7"/>
  <c r="E227" i="7"/>
  <c r="C227" i="7"/>
  <c r="E226" i="7"/>
  <c r="C226" i="7"/>
  <c r="E225" i="7"/>
  <c r="C225" i="7"/>
  <c r="E224" i="7"/>
  <c r="C224" i="7"/>
  <c r="E223" i="7"/>
  <c r="C223" i="7"/>
  <c r="E222" i="7"/>
  <c r="C222" i="7"/>
  <c r="E221" i="7"/>
  <c r="C221" i="7"/>
  <c r="E220" i="7"/>
  <c r="C220" i="7"/>
  <c r="E219" i="7"/>
  <c r="C219" i="7"/>
  <c r="E218" i="7"/>
  <c r="C218" i="7"/>
  <c r="E217" i="7"/>
  <c r="C217" i="7"/>
  <c r="E216" i="7"/>
  <c r="C216" i="7"/>
  <c r="E215" i="7"/>
  <c r="C215" i="7"/>
  <c r="E214" i="7"/>
  <c r="C214" i="7"/>
  <c r="E213" i="7"/>
  <c r="C213" i="7"/>
  <c r="E212" i="7"/>
  <c r="C212" i="7"/>
  <c r="E211" i="7"/>
  <c r="C211" i="7"/>
  <c r="E210" i="7"/>
  <c r="C210" i="7"/>
  <c r="E209" i="7"/>
  <c r="C209" i="7"/>
  <c r="E208" i="7"/>
  <c r="C208" i="7"/>
  <c r="E207" i="7"/>
  <c r="C207" i="7"/>
  <c r="E206" i="7"/>
  <c r="C206" i="7"/>
  <c r="E205" i="7"/>
  <c r="C205" i="7"/>
  <c r="E204" i="7"/>
  <c r="C204" i="7"/>
  <c r="E203" i="7"/>
  <c r="C203" i="7"/>
  <c r="E202" i="7"/>
  <c r="C202" i="7"/>
  <c r="E201" i="7"/>
  <c r="C201" i="7"/>
  <c r="E200" i="7"/>
  <c r="C200" i="7"/>
  <c r="E199" i="7"/>
  <c r="C199" i="7"/>
  <c r="E198" i="7"/>
  <c r="C198" i="7"/>
  <c r="E197" i="7"/>
  <c r="C197" i="7"/>
  <c r="E196" i="7"/>
  <c r="C196" i="7"/>
  <c r="E195" i="7"/>
  <c r="C195" i="7"/>
  <c r="E194" i="7"/>
  <c r="C194" i="7"/>
  <c r="E193" i="7"/>
  <c r="C193" i="7"/>
  <c r="E192" i="7"/>
  <c r="C192" i="7"/>
  <c r="E191" i="7"/>
  <c r="C191" i="7"/>
  <c r="E190" i="7"/>
  <c r="C190" i="7"/>
  <c r="E189" i="7"/>
  <c r="C189" i="7"/>
  <c r="E188" i="7"/>
  <c r="C188" i="7"/>
  <c r="E187" i="7"/>
  <c r="C187" i="7"/>
  <c r="E186" i="7"/>
  <c r="C186" i="7"/>
  <c r="E185" i="7"/>
  <c r="C185" i="7"/>
  <c r="E184" i="7"/>
  <c r="C184" i="7"/>
  <c r="E183" i="7"/>
  <c r="C183" i="7"/>
  <c r="E182" i="7"/>
  <c r="C182" i="7"/>
  <c r="E181" i="7"/>
  <c r="C181" i="7"/>
  <c r="E180" i="7"/>
  <c r="C180" i="7"/>
  <c r="E179" i="7"/>
  <c r="C179" i="7"/>
  <c r="E178" i="7"/>
  <c r="C178" i="7"/>
  <c r="E177" i="7"/>
  <c r="C177" i="7"/>
  <c r="E176" i="7"/>
  <c r="C176" i="7"/>
  <c r="E175" i="7"/>
  <c r="C175" i="7"/>
  <c r="E174" i="7"/>
  <c r="C174" i="7"/>
  <c r="E173" i="7"/>
  <c r="C173" i="7"/>
  <c r="E172" i="7"/>
  <c r="C172" i="7"/>
  <c r="E171" i="7"/>
  <c r="C171" i="7"/>
  <c r="E170" i="7"/>
  <c r="C170" i="7"/>
  <c r="E169" i="7"/>
  <c r="C169" i="7"/>
  <c r="E168" i="7"/>
  <c r="C168" i="7"/>
  <c r="E167" i="7"/>
  <c r="C167" i="7"/>
  <c r="E166" i="7"/>
  <c r="C166" i="7"/>
  <c r="E165" i="7"/>
  <c r="C165" i="7"/>
  <c r="E164" i="7"/>
  <c r="C164" i="7"/>
  <c r="E163" i="7"/>
  <c r="C163" i="7"/>
  <c r="E162" i="7"/>
  <c r="C162" i="7"/>
  <c r="E161" i="7"/>
  <c r="C161" i="7"/>
  <c r="E160" i="7"/>
  <c r="C160" i="7"/>
  <c r="E159" i="7"/>
  <c r="C159" i="7"/>
  <c r="E158" i="7"/>
  <c r="C158" i="7"/>
  <c r="E157" i="7"/>
  <c r="C157" i="7"/>
  <c r="E156" i="7"/>
  <c r="C156" i="7"/>
  <c r="E155" i="7"/>
  <c r="C155" i="7"/>
  <c r="E154" i="7"/>
  <c r="C154" i="7"/>
  <c r="E153" i="7"/>
  <c r="C153" i="7"/>
  <c r="E152" i="7"/>
  <c r="C152" i="7"/>
  <c r="E151" i="7"/>
  <c r="C151" i="7"/>
  <c r="E150" i="7"/>
  <c r="C150" i="7"/>
  <c r="E149" i="7"/>
  <c r="C149" i="7"/>
  <c r="E148" i="7"/>
  <c r="C148" i="7"/>
  <c r="E147" i="7"/>
  <c r="C147" i="7"/>
  <c r="E146" i="7"/>
  <c r="C146" i="7"/>
  <c r="E145" i="7"/>
  <c r="C145" i="7"/>
  <c r="E144" i="7"/>
  <c r="C144" i="7"/>
  <c r="E143" i="7"/>
  <c r="C143" i="7"/>
  <c r="E142" i="7"/>
  <c r="C142" i="7"/>
  <c r="E141" i="7"/>
  <c r="C141" i="7"/>
  <c r="E140" i="7"/>
  <c r="C140" i="7"/>
  <c r="E139" i="7"/>
  <c r="C139" i="7"/>
  <c r="E138" i="7"/>
  <c r="C138" i="7"/>
  <c r="E137" i="7"/>
  <c r="C137" i="7"/>
  <c r="E136" i="7"/>
  <c r="C136" i="7"/>
  <c r="E135" i="7"/>
  <c r="C135" i="7"/>
  <c r="E134" i="7"/>
  <c r="C134" i="7"/>
  <c r="E133" i="7"/>
  <c r="C133" i="7"/>
  <c r="E132" i="7"/>
  <c r="C132" i="7"/>
  <c r="E131" i="7"/>
  <c r="C131" i="7"/>
  <c r="E130" i="7"/>
  <c r="C130" i="7"/>
  <c r="E129" i="7"/>
  <c r="C129" i="7"/>
  <c r="E128" i="7"/>
  <c r="C128" i="7"/>
  <c r="E127" i="7"/>
  <c r="C127" i="7"/>
  <c r="E126" i="7"/>
  <c r="C126" i="7"/>
  <c r="E125" i="7"/>
  <c r="C125" i="7"/>
  <c r="E124" i="7"/>
  <c r="C124" i="7"/>
  <c r="E123" i="7"/>
  <c r="C123" i="7"/>
  <c r="E122" i="7"/>
  <c r="C122" i="7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4" i="7"/>
  <c r="C114" i="7"/>
  <c r="E113" i="7"/>
  <c r="C113" i="7"/>
  <c r="E112" i="7"/>
  <c r="C112" i="7"/>
  <c r="E111" i="7"/>
  <c r="C111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2" i="7"/>
  <c r="C102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4" i="7"/>
  <c r="E83" i="7"/>
  <c r="E82" i="7"/>
  <c r="E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H836" i="1"/>
  <c r="H835" i="1"/>
  <c r="F838" i="7"/>
  <c r="H834" i="1"/>
  <c r="H833" i="1"/>
  <c r="I833" i="1"/>
  <c r="H832" i="1"/>
  <c r="H831" i="1"/>
  <c r="H830" i="1"/>
  <c r="H829" i="1"/>
  <c r="H828" i="1"/>
  <c r="I828" i="1"/>
  <c r="H827" i="1"/>
  <c r="H826" i="1"/>
  <c r="H825" i="1"/>
  <c r="F825" i="7"/>
  <c r="H824" i="1"/>
  <c r="H823" i="1"/>
  <c r="H822" i="1"/>
  <c r="H821" i="1"/>
  <c r="H820" i="1"/>
  <c r="N872" i="7"/>
  <c r="H819" i="1"/>
  <c r="N923" i="7"/>
  <c r="H818" i="1"/>
  <c r="I818" i="1"/>
  <c r="H817" i="1"/>
  <c r="I817" i="1"/>
  <c r="H816" i="1"/>
  <c r="I816" i="1"/>
  <c r="G818" i="7"/>
  <c r="H815" i="1"/>
  <c r="H814" i="1"/>
  <c r="H813" i="1"/>
  <c r="H812" i="1"/>
  <c r="H811" i="1"/>
  <c r="H810" i="1"/>
  <c r="I810" i="1"/>
  <c r="H809" i="1"/>
  <c r="H808" i="1"/>
  <c r="H807" i="1"/>
  <c r="H806" i="1"/>
  <c r="H805" i="1"/>
  <c r="H804" i="1"/>
  <c r="H803" i="1"/>
  <c r="I803" i="1"/>
  <c r="H802" i="1"/>
  <c r="I802" i="1"/>
  <c r="H801" i="1"/>
  <c r="H800" i="1"/>
  <c r="I800" i="1"/>
  <c r="H799" i="1"/>
  <c r="H798" i="1"/>
  <c r="H797" i="1"/>
  <c r="H796" i="1"/>
  <c r="H795" i="1"/>
  <c r="F798" i="7"/>
  <c r="H794" i="1"/>
  <c r="H79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H792" i="1"/>
  <c r="H791" i="1"/>
  <c r="I791" i="1"/>
  <c r="H790" i="1"/>
  <c r="H789" i="1"/>
  <c r="I789" i="1"/>
  <c r="O997" i="7"/>
  <c r="H788" i="1"/>
  <c r="H787" i="1"/>
  <c r="H786" i="1"/>
  <c r="H785" i="1"/>
  <c r="I785" i="1"/>
  <c r="H784" i="1"/>
  <c r="H783" i="1"/>
  <c r="I783" i="1"/>
  <c r="H782" i="1"/>
  <c r="F785" i="7"/>
  <c r="H781" i="1"/>
  <c r="H780" i="1"/>
  <c r="H779" i="1"/>
  <c r="F781" i="7"/>
  <c r="H778" i="1"/>
  <c r="I778" i="1"/>
  <c r="H777" i="1"/>
  <c r="N933" i="7"/>
  <c r="H776" i="1"/>
  <c r="I776" i="1"/>
  <c r="H775" i="1"/>
  <c r="I775" i="1"/>
  <c r="H774" i="1"/>
  <c r="H773" i="1"/>
  <c r="H772" i="1"/>
  <c r="F772" i="7"/>
  <c r="H771" i="1"/>
  <c r="H770" i="1"/>
  <c r="H769" i="1"/>
  <c r="N821" i="7"/>
  <c r="H768" i="1"/>
  <c r="H767" i="1"/>
  <c r="H766" i="1"/>
  <c r="H765" i="1"/>
  <c r="H764" i="1"/>
  <c r="F765" i="7"/>
  <c r="H763" i="1"/>
  <c r="H710" i="1"/>
  <c r="H762" i="1"/>
  <c r="N866" i="7"/>
  <c r="H761" i="1"/>
  <c r="H760" i="1"/>
  <c r="I760" i="1"/>
  <c r="H759" i="1"/>
  <c r="H758" i="1"/>
  <c r="H757" i="1"/>
  <c r="I757" i="1"/>
  <c r="H756" i="1"/>
  <c r="H755" i="1"/>
  <c r="H754" i="1"/>
  <c r="H753" i="1"/>
  <c r="H752" i="1"/>
  <c r="F755" i="7"/>
  <c r="H751" i="1"/>
  <c r="H750" i="1"/>
  <c r="H749" i="1"/>
  <c r="I749" i="1"/>
  <c r="H748" i="1"/>
  <c r="H747" i="1"/>
  <c r="H746" i="1"/>
  <c r="H745" i="1"/>
  <c r="I745" i="1"/>
  <c r="H744" i="1"/>
  <c r="H743" i="1"/>
  <c r="H742" i="1"/>
  <c r="I742" i="1"/>
  <c r="H741" i="1"/>
  <c r="H740" i="1"/>
  <c r="H739" i="1"/>
  <c r="H737" i="1"/>
  <c r="H738" i="1"/>
  <c r="N946" i="7"/>
  <c r="H736" i="1"/>
  <c r="H735" i="1"/>
  <c r="H734" i="1"/>
  <c r="I734" i="1"/>
  <c r="H733" i="1"/>
  <c r="H732" i="1"/>
  <c r="H731" i="1"/>
  <c r="H730" i="1"/>
  <c r="H729" i="1"/>
  <c r="H728" i="1"/>
  <c r="H727" i="1"/>
  <c r="H726" i="1"/>
  <c r="N778" i="7"/>
  <c r="H725" i="1"/>
  <c r="H724" i="1"/>
  <c r="H723" i="1"/>
  <c r="H722" i="1"/>
  <c r="I722" i="1"/>
  <c r="H721" i="1"/>
  <c r="H720" i="1"/>
  <c r="I720" i="1"/>
  <c r="H719" i="1"/>
  <c r="H718" i="1"/>
  <c r="N874" i="7"/>
  <c r="H717" i="1"/>
  <c r="H716" i="1"/>
  <c r="I716" i="1"/>
  <c r="H714" i="1"/>
  <c r="H715" i="1"/>
  <c r="H713" i="1"/>
  <c r="I713" i="1"/>
  <c r="H712" i="1"/>
  <c r="H711" i="1"/>
  <c r="H709" i="1"/>
  <c r="F709" i="7"/>
  <c r="H708" i="1"/>
  <c r="H707" i="1"/>
  <c r="I707" i="1"/>
  <c r="H706" i="1"/>
  <c r="I706" i="1"/>
  <c r="H705" i="1"/>
  <c r="I705" i="1"/>
  <c r="H704" i="1"/>
  <c r="H703" i="1"/>
  <c r="N807" i="7"/>
  <c r="H702" i="1"/>
  <c r="H701" i="1"/>
  <c r="N805" i="7"/>
  <c r="H700" i="1"/>
  <c r="H699" i="1"/>
  <c r="I699" i="1"/>
  <c r="H698" i="1"/>
  <c r="H697" i="1"/>
  <c r="H692" i="1"/>
  <c r="H693" i="1"/>
  <c r="H694" i="1"/>
  <c r="H695" i="1"/>
  <c r="N903" i="7"/>
  <c r="H696" i="1"/>
  <c r="H691" i="1"/>
  <c r="I691" i="1"/>
  <c r="H690" i="1"/>
  <c r="I690" i="1"/>
  <c r="H689" i="1"/>
  <c r="H688" i="1"/>
  <c r="H687" i="1"/>
  <c r="I687" i="1"/>
  <c r="H686" i="1"/>
  <c r="H685" i="1"/>
  <c r="H684" i="1"/>
  <c r="H683" i="1"/>
  <c r="I683" i="1"/>
  <c r="H682" i="1"/>
  <c r="I682" i="1"/>
  <c r="H681" i="1"/>
  <c r="H680" i="1"/>
  <c r="H679" i="1"/>
  <c r="F682" i="7"/>
  <c r="H678" i="1"/>
  <c r="H677" i="1"/>
  <c r="I677" i="1"/>
  <c r="H676" i="1"/>
  <c r="I676" i="1"/>
  <c r="H675" i="1"/>
  <c r="H674" i="1"/>
  <c r="H673" i="1"/>
  <c r="H672" i="1"/>
  <c r="H671" i="1"/>
  <c r="F672" i="7"/>
  <c r="H670" i="1"/>
  <c r="H669" i="1"/>
  <c r="H668" i="1"/>
  <c r="I668" i="1"/>
  <c r="H667" i="1"/>
  <c r="H666" i="1"/>
  <c r="H665" i="1"/>
  <c r="F667" i="7"/>
  <c r="H662" i="1"/>
  <c r="H663" i="1"/>
  <c r="H664" i="1"/>
  <c r="H610" i="1"/>
  <c r="H611" i="1"/>
  <c r="H612" i="1"/>
  <c r="H613" i="1"/>
  <c r="H558" i="1"/>
  <c r="I558" i="1"/>
  <c r="H559" i="1"/>
  <c r="H560" i="1"/>
  <c r="H561" i="1"/>
  <c r="I561" i="1"/>
  <c r="H506" i="1"/>
  <c r="H507" i="1"/>
  <c r="H508" i="1"/>
  <c r="H509" i="1"/>
  <c r="H454" i="1"/>
  <c r="H455" i="1"/>
  <c r="H456" i="1"/>
  <c r="F456" i="7"/>
  <c r="H457" i="1"/>
  <c r="H661" i="1"/>
  <c r="H581" i="1"/>
  <c r="H582" i="1"/>
  <c r="H583" i="1"/>
  <c r="I583" i="1"/>
  <c r="H584" i="1"/>
  <c r="F584" i="7"/>
  <c r="H585" i="1"/>
  <c r="H586" i="1"/>
  <c r="I586" i="1"/>
  <c r="H587" i="1"/>
  <c r="H588" i="1"/>
  <c r="H589" i="1"/>
  <c r="I589" i="1"/>
  <c r="H590" i="1"/>
  <c r="H591" i="1"/>
  <c r="H592" i="1"/>
  <c r="H593" i="1"/>
  <c r="H594" i="1"/>
  <c r="H595" i="1"/>
  <c r="H596" i="1"/>
  <c r="I596" i="1"/>
  <c r="H597" i="1"/>
  <c r="I597" i="1"/>
  <c r="H598" i="1"/>
  <c r="H599" i="1"/>
  <c r="H600" i="1"/>
  <c r="I600" i="1"/>
  <c r="H601" i="1"/>
  <c r="I601" i="1"/>
  <c r="H602" i="1"/>
  <c r="H603" i="1"/>
  <c r="H604" i="1"/>
  <c r="F606" i="7"/>
  <c r="H605" i="1"/>
  <c r="H606" i="1"/>
  <c r="H607" i="1"/>
  <c r="H608" i="1"/>
  <c r="H609" i="1"/>
  <c r="H633" i="1"/>
  <c r="I633" i="1"/>
  <c r="O685" i="7"/>
  <c r="H634" i="1"/>
  <c r="I634" i="1"/>
  <c r="H635" i="1"/>
  <c r="H636" i="1"/>
  <c r="H637" i="1"/>
  <c r="H638" i="1"/>
  <c r="H639" i="1"/>
  <c r="I639" i="1"/>
  <c r="H640" i="1"/>
  <c r="I640" i="1"/>
  <c r="H641" i="1"/>
  <c r="I641" i="1"/>
  <c r="H642" i="1"/>
  <c r="H643" i="1"/>
  <c r="H644" i="1"/>
  <c r="I644" i="1"/>
  <c r="H645" i="1"/>
  <c r="H646" i="1"/>
  <c r="H647" i="1"/>
  <c r="H648" i="1"/>
  <c r="H649" i="1"/>
  <c r="F651" i="7"/>
  <c r="H650" i="1"/>
  <c r="H651" i="1"/>
  <c r="I651" i="1"/>
  <c r="H652" i="1"/>
  <c r="H653" i="1"/>
  <c r="H654" i="1"/>
  <c r="H655" i="1"/>
  <c r="N811" i="7"/>
  <c r="H656" i="1"/>
  <c r="H657" i="1"/>
  <c r="N709" i="7"/>
  <c r="H658" i="1"/>
  <c r="H659" i="1"/>
  <c r="I659" i="1"/>
  <c r="H660" i="1"/>
  <c r="I660" i="1"/>
  <c r="H557" i="1"/>
  <c r="H505" i="1"/>
  <c r="H453" i="1"/>
  <c r="H556" i="1"/>
  <c r="I556" i="1"/>
  <c r="G559" i="7"/>
  <c r="H504" i="1"/>
  <c r="N712" i="7"/>
  <c r="H452" i="1"/>
  <c r="H555" i="1"/>
  <c r="I555" i="1"/>
  <c r="H503" i="1"/>
  <c r="H451" i="1"/>
  <c r="H554" i="1"/>
  <c r="I554" i="1"/>
  <c r="H502" i="1"/>
  <c r="H450" i="1"/>
  <c r="H553" i="1"/>
  <c r="I553" i="1"/>
  <c r="H501" i="1"/>
  <c r="H449" i="1"/>
  <c r="H552" i="1"/>
  <c r="I552" i="1"/>
  <c r="H500" i="1"/>
  <c r="F503" i="7"/>
  <c r="H448" i="1"/>
  <c r="H551" i="1"/>
  <c r="H499" i="1"/>
  <c r="H447" i="1"/>
  <c r="N655" i="7"/>
  <c r="H550" i="1"/>
  <c r="H498" i="1"/>
  <c r="H446" i="1"/>
  <c r="H549" i="1"/>
  <c r="H497" i="1"/>
  <c r="H445" i="1"/>
  <c r="H548" i="1"/>
  <c r="H496" i="1"/>
  <c r="N704" i="7"/>
  <c r="H444" i="1"/>
  <c r="H547" i="1"/>
  <c r="I547" i="1"/>
  <c r="H495" i="1"/>
  <c r="H443" i="1"/>
  <c r="F445" i="7"/>
  <c r="H529" i="1"/>
  <c r="H530" i="1"/>
  <c r="I530" i="1"/>
  <c r="H531" i="1"/>
  <c r="I531" i="1"/>
  <c r="H532" i="1"/>
  <c r="F533" i="7"/>
  <c r="H533" i="1"/>
  <c r="H534" i="1"/>
  <c r="H535" i="1"/>
  <c r="I535" i="1"/>
  <c r="H536" i="1"/>
  <c r="H537" i="1"/>
  <c r="H538" i="1"/>
  <c r="H539" i="1"/>
  <c r="H540" i="1"/>
  <c r="N696" i="7"/>
  <c r="H541" i="1"/>
  <c r="H542" i="1"/>
  <c r="I542" i="1"/>
  <c r="H543" i="1"/>
  <c r="I543" i="1"/>
  <c r="H544" i="1"/>
  <c r="H545" i="1"/>
  <c r="I545" i="1"/>
  <c r="H546" i="1"/>
  <c r="I546" i="1"/>
  <c r="H562" i="1"/>
  <c r="H563" i="1"/>
  <c r="I563" i="1"/>
  <c r="H564" i="1"/>
  <c r="I564" i="1"/>
  <c r="H565" i="1"/>
  <c r="H566" i="1"/>
  <c r="H567" i="1"/>
  <c r="H568" i="1"/>
  <c r="H569" i="1"/>
  <c r="I569" i="1"/>
  <c r="H570" i="1"/>
  <c r="H571" i="1"/>
  <c r="I571" i="1"/>
  <c r="H572" i="1"/>
  <c r="H573" i="1"/>
  <c r="I573" i="1"/>
  <c r="H574" i="1"/>
  <c r="H575" i="1"/>
  <c r="H576" i="1"/>
  <c r="H577" i="1"/>
  <c r="H578" i="1"/>
  <c r="F581" i="7"/>
  <c r="H579" i="1"/>
  <c r="H528" i="1"/>
  <c r="H580" i="1"/>
  <c r="H614" i="1"/>
  <c r="I614" i="1"/>
  <c r="H615" i="1"/>
  <c r="H616" i="1"/>
  <c r="I616" i="1"/>
  <c r="H617" i="1"/>
  <c r="H618" i="1"/>
  <c r="H619" i="1"/>
  <c r="H620" i="1"/>
  <c r="H621" i="1"/>
  <c r="I621" i="1"/>
  <c r="H622" i="1"/>
  <c r="H623" i="1"/>
  <c r="H624" i="1"/>
  <c r="N832" i="7"/>
  <c r="H625" i="1"/>
  <c r="H626" i="1"/>
  <c r="H627" i="1"/>
  <c r="H628" i="1"/>
  <c r="H629" i="1"/>
  <c r="H630" i="1"/>
  <c r="H631" i="1"/>
  <c r="H632" i="1"/>
  <c r="H8" i="1"/>
  <c r="F11" i="7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F27" i="7"/>
  <c r="H25" i="1"/>
  <c r="H26" i="1"/>
  <c r="H27" i="1"/>
  <c r="H28" i="1"/>
  <c r="H29" i="1"/>
  <c r="H30" i="1"/>
  <c r="H31" i="1"/>
  <c r="F32" i="7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F65" i="7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F78" i="7"/>
  <c r="H77" i="1"/>
  <c r="H78" i="1"/>
  <c r="H79" i="1"/>
  <c r="H80" i="1"/>
  <c r="C81" i="1"/>
  <c r="H81" i="1"/>
  <c r="H82" i="1"/>
  <c r="H83" i="1"/>
  <c r="H84" i="1"/>
  <c r="F86" i="7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F102" i="7"/>
  <c r="H101" i="1"/>
  <c r="H102" i="1"/>
  <c r="H103" i="1"/>
  <c r="H104" i="1"/>
  <c r="H105" i="1"/>
  <c r="H106" i="1"/>
  <c r="H107" i="1"/>
  <c r="H108" i="1"/>
  <c r="F108" i="7"/>
  <c r="H109" i="1"/>
  <c r="H110" i="1"/>
  <c r="H111" i="1"/>
  <c r="H112" i="1"/>
  <c r="H113" i="1"/>
  <c r="H114" i="1"/>
  <c r="H115" i="1"/>
  <c r="H116" i="1"/>
  <c r="H117" i="1"/>
  <c r="H118" i="1"/>
  <c r="H119" i="1"/>
  <c r="H120" i="1"/>
  <c r="F123" i="7"/>
  <c r="H121" i="1"/>
  <c r="H122" i="1"/>
  <c r="H123" i="1"/>
  <c r="H124" i="1"/>
  <c r="H125" i="1"/>
  <c r="H126" i="1"/>
  <c r="H127" i="1"/>
  <c r="H128" i="1"/>
  <c r="H129" i="1"/>
  <c r="H130" i="1"/>
  <c r="H131" i="1"/>
  <c r="H132" i="1"/>
  <c r="F133" i="7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F149" i="7"/>
  <c r="H149" i="1"/>
  <c r="H150" i="1"/>
  <c r="H151" i="1"/>
  <c r="H152" i="1"/>
  <c r="H153" i="1"/>
  <c r="H154" i="1"/>
  <c r="H155" i="1"/>
  <c r="H156" i="1"/>
  <c r="F156" i="7"/>
  <c r="H157" i="1"/>
  <c r="H158" i="1"/>
  <c r="H159" i="1"/>
  <c r="F161" i="7"/>
  <c r="H160" i="1"/>
  <c r="F163" i="7"/>
  <c r="H161" i="1"/>
  <c r="H162" i="1"/>
  <c r="H163" i="1"/>
  <c r="H164" i="1"/>
  <c r="F165" i="7"/>
  <c r="H165" i="1"/>
  <c r="H166" i="1"/>
  <c r="H167" i="1"/>
  <c r="H168" i="1"/>
  <c r="H169" i="1"/>
  <c r="H170" i="1"/>
  <c r="H171" i="1"/>
  <c r="H172" i="1"/>
  <c r="F172" i="7"/>
  <c r="H173" i="1"/>
  <c r="H174" i="1"/>
  <c r="H175" i="1"/>
  <c r="H176" i="1"/>
  <c r="F179" i="7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F201" i="7"/>
  <c r="H201" i="1"/>
  <c r="H202" i="1"/>
  <c r="H203" i="1"/>
  <c r="H204" i="1"/>
  <c r="F205" i="7"/>
  <c r="H205" i="1"/>
  <c r="H206" i="1"/>
  <c r="H207" i="1"/>
  <c r="F209" i="7"/>
  <c r="H208" i="1"/>
  <c r="H209" i="1"/>
  <c r="H210" i="1"/>
  <c r="H211" i="1"/>
  <c r="H212" i="1"/>
  <c r="F214" i="7"/>
  <c r="H213" i="1"/>
  <c r="H214" i="1"/>
  <c r="H215" i="1"/>
  <c r="H216" i="1"/>
  <c r="H217" i="1"/>
  <c r="H218" i="1"/>
  <c r="H219" i="1"/>
  <c r="H220" i="1"/>
  <c r="F223" i="7"/>
  <c r="H221" i="1"/>
  <c r="H222" i="1"/>
  <c r="H223" i="1"/>
  <c r="H224" i="1"/>
  <c r="H225" i="1"/>
  <c r="H226" i="1"/>
  <c r="H227" i="1"/>
  <c r="H228" i="1"/>
  <c r="F230" i="7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F245" i="7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F271" i="7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F287" i="7"/>
  <c r="H285" i="1"/>
  <c r="H286" i="1"/>
  <c r="H287" i="1"/>
  <c r="H288" i="1"/>
  <c r="F290" i="7"/>
  <c r="H289" i="1"/>
  <c r="H290" i="1"/>
  <c r="H291" i="1"/>
  <c r="H292" i="1"/>
  <c r="F293" i="7"/>
  <c r="H293" i="1"/>
  <c r="H294" i="1"/>
  <c r="H295" i="1"/>
  <c r="H296" i="1"/>
  <c r="H297" i="1"/>
  <c r="H298" i="1"/>
  <c r="H299" i="1"/>
  <c r="H300" i="1"/>
  <c r="F301" i="7"/>
  <c r="H301" i="1"/>
  <c r="H302" i="1"/>
  <c r="H303" i="1"/>
  <c r="H304" i="1"/>
  <c r="F306" i="7"/>
  <c r="H305" i="1"/>
  <c r="H306" i="1"/>
  <c r="H307" i="1"/>
  <c r="H308" i="1"/>
  <c r="F308" i="7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F324" i="7"/>
  <c r="H325" i="1"/>
  <c r="H326" i="1"/>
  <c r="H327" i="1"/>
  <c r="H328" i="1"/>
  <c r="F330" i="7"/>
  <c r="H329" i="1"/>
  <c r="H330" i="1"/>
  <c r="H331" i="1"/>
  <c r="H332" i="1"/>
  <c r="F332" i="7"/>
  <c r="H333" i="1"/>
  <c r="H334" i="1"/>
  <c r="H335" i="1"/>
  <c r="H336" i="1"/>
  <c r="H337" i="1"/>
  <c r="H338" i="1"/>
  <c r="H339" i="1"/>
  <c r="H340" i="1"/>
  <c r="F341" i="7"/>
  <c r="H341" i="1"/>
  <c r="H342" i="1"/>
  <c r="H343" i="1"/>
  <c r="H344" i="1"/>
  <c r="H345" i="1"/>
  <c r="H346" i="1"/>
  <c r="H347" i="1"/>
  <c r="H348" i="1"/>
  <c r="F350" i="7"/>
  <c r="H349" i="1"/>
  <c r="H350" i="1"/>
  <c r="H351" i="1"/>
  <c r="H352" i="1"/>
  <c r="H353" i="1"/>
  <c r="H354" i="1"/>
  <c r="H355" i="1"/>
  <c r="H356" i="1"/>
  <c r="F356" i="7"/>
  <c r="H357" i="1"/>
  <c r="H358" i="1"/>
  <c r="H359" i="1"/>
  <c r="H360" i="1"/>
  <c r="F363" i="7"/>
  <c r="H361" i="1"/>
  <c r="H362" i="1"/>
  <c r="H363" i="1"/>
  <c r="H364" i="1"/>
  <c r="H365" i="1"/>
  <c r="H366" i="1"/>
  <c r="H367" i="1"/>
  <c r="H368" i="1"/>
  <c r="F371" i="7"/>
  <c r="H369" i="1"/>
  <c r="H370" i="1"/>
  <c r="H371" i="1"/>
  <c r="H372" i="1"/>
  <c r="F372" i="7"/>
  <c r="H373" i="1"/>
  <c r="H374" i="1"/>
  <c r="H375" i="1"/>
  <c r="H376" i="1"/>
  <c r="F379" i="7"/>
  <c r="H377" i="1"/>
  <c r="H378" i="1"/>
  <c r="H379" i="1"/>
  <c r="H380" i="1"/>
  <c r="F381" i="7"/>
  <c r="H381" i="1"/>
  <c r="H382" i="1"/>
  <c r="H383" i="1"/>
  <c r="H384" i="1"/>
  <c r="H385" i="1"/>
  <c r="H386" i="1"/>
  <c r="H387" i="1"/>
  <c r="H388" i="1"/>
  <c r="F388" i="7"/>
  <c r="H389" i="1"/>
  <c r="H390" i="1"/>
  <c r="H391" i="1"/>
  <c r="H392" i="1"/>
  <c r="F395" i="7"/>
  <c r="H393" i="1"/>
  <c r="H394" i="1"/>
  <c r="H395" i="1"/>
  <c r="H396" i="1"/>
  <c r="H397" i="1"/>
  <c r="H398" i="1"/>
  <c r="H399" i="1"/>
  <c r="H400" i="1"/>
  <c r="F403" i="7"/>
  <c r="H401" i="1"/>
  <c r="H402" i="1"/>
  <c r="H403" i="1"/>
  <c r="H404" i="1"/>
  <c r="H405" i="1"/>
  <c r="H406" i="1"/>
  <c r="H407" i="1"/>
  <c r="H408" i="1"/>
  <c r="F411" i="7"/>
  <c r="H409" i="1"/>
  <c r="H410" i="1"/>
  <c r="H411" i="1"/>
  <c r="H412" i="1"/>
  <c r="H413" i="1"/>
  <c r="H414" i="1"/>
  <c r="H415" i="1"/>
  <c r="H416" i="1"/>
  <c r="H417" i="1"/>
  <c r="H418" i="1"/>
  <c r="H419" i="1"/>
  <c r="H420" i="1"/>
  <c r="F420" i="7"/>
  <c r="H421" i="1"/>
  <c r="H422" i="1"/>
  <c r="H423" i="1"/>
  <c r="H424" i="1"/>
  <c r="F427" i="7"/>
  <c r="H425" i="1"/>
  <c r="H426" i="1"/>
  <c r="H427" i="1"/>
  <c r="H428" i="1"/>
  <c r="F428" i="7"/>
  <c r="H429" i="1"/>
  <c r="F432" i="7"/>
  <c r="H430" i="1"/>
  <c r="H431" i="1"/>
  <c r="H432" i="1"/>
  <c r="H433" i="1"/>
  <c r="H434" i="1"/>
  <c r="H435" i="1"/>
  <c r="H436" i="1"/>
  <c r="F436" i="7"/>
  <c r="H437" i="1"/>
  <c r="H438" i="1"/>
  <c r="H439" i="1"/>
  <c r="H440" i="1"/>
  <c r="H441" i="1"/>
  <c r="H442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F490" i="7"/>
  <c r="H488" i="1"/>
  <c r="H489" i="1"/>
  <c r="H490" i="1"/>
  <c r="H491" i="1"/>
  <c r="H492" i="1"/>
  <c r="H493" i="1"/>
  <c r="N649" i="7"/>
  <c r="H494" i="1"/>
  <c r="H510" i="1"/>
  <c r="H511" i="1"/>
  <c r="H512" i="1"/>
  <c r="H513" i="1"/>
  <c r="H514" i="1"/>
  <c r="H515" i="1"/>
  <c r="H516" i="1"/>
  <c r="N724" i="7"/>
  <c r="H517" i="1"/>
  <c r="H518" i="1"/>
  <c r="H519" i="1"/>
  <c r="H520" i="1"/>
  <c r="H521" i="1"/>
  <c r="H522" i="1"/>
  <c r="H523" i="1"/>
  <c r="H524" i="1"/>
  <c r="H525" i="1"/>
  <c r="H526" i="1"/>
  <c r="H527" i="1"/>
  <c r="C82" i="7"/>
  <c r="F937" i="7"/>
  <c r="F902" i="7"/>
  <c r="F887" i="7"/>
  <c r="F928" i="7"/>
  <c r="F953" i="7"/>
  <c r="F866" i="7"/>
  <c r="F944" i="7"/>
  <c r="F943" i="7"/>
  <c r="F968" i="7"/>
  <c r="F892" i="7"/>
  <c r="F895" i="7"/>
  <c r="C84" i="7"/>
  <c r="F969" i="7"/>
  <c r="F858" i="7"/>
  <c r="F965" i="7"/>
  <c r="F985" i="7"/>
  <c r="F989" i="7"/>
  <c r="V688" i="7"/>
  <c r="S697" i="7"/>
  <c r="V988" i="7"/>
  <c r="S906" i="7"/>
  <c r="S959" i="7"/>
  <c r="T958" i="7"/>
  <c r="Y916" i="7"/>
  <c r="Y965" i="7"/>
  <c r="Y957" i="7"/>
  <c r="Y941" i="7"/>
  <c r="Y917" i="7"/>
  <c r="Y901" i="7"/>
  <c r="V782" i="7"/>
  <c r="Y886" i="7"/>
  <c r="Y854" i="7"/>
  <c r="Y890" i="7"/>
  <c r="Y909" i="7"/>
  <c r="Y877" i="7"/>
  <c r="Y897" i="7"/>
  <c r="Y889" i="7"/>
  <c r="Y953" i="7"/>
  <c r="S747" i="7"/>
  <c r="I839" i="1"/>
  <c r="I559" i="1"/>
  <c r="I715" i="1"/>
  <c r="F715" i="7"/>
  <c r="I840" i="1"/>
  <c r="I698" i="1"/>
  <c r="O854" i="7"/>
  <c r="I813" i="1"/>
  <c r="I829" i="1"/>
  <c r="I912" i="1"/>
  <c r="I670" i="1"/>
  <c r="I678" i="1"/>
  <c r="I847" i="1"/>
  <c r="T904" i="7"/>
  <c r="I711" i="1"/>
  <c r="Y952" i="7"/>
  <c r="Y900" i="7"/>
  <c r="V983" i="7"/>
  <c r="Y894" i="7"/>
  <c r="Y862" i="7"/>
  <c r="I970" i="1"/>
  <c r="I979" i="1"/>
  <c r="I980" i="1"/>
  <c r="Y880" i="7"/>
  <c r="Y932" i="7"/>
  <c r="Y830" i="7"/>
  <c r="I985" i="1"/>
  <c r="F979" i="7"/>
  <c r="Y976" i="7"/>
  <c r="Y983" i="7"/>
  <c r="I977" i="1"/>
  <c r="F980" i="7"/>
  <c r="V680" i="7"/>
  <c r="I815" i="1"/>
  <c r="I880" i="1"/>
  <c r="S748" i="7"/>
  <c r="S696" i="7"/>
  <c r="U760" i="7"/>
  <c r="I568" i="1"/>
  <c r="I725" i="1"/>
  <c r="U766" i="7"/>
  <c r="T889" i="7"/>
  <c r="T943" i="7"/>
  <c r="T944" i="7"/>
  <c r="F235" i="7"/>
  <c r="I642" i="1"/>
  <c r="I672" i="1"/>
  <c r="I684" i="1"/>
  <c r="I768" i="1"/>
  <c r="T648" i="7"/>
  <c r="I578" i="1"/>
  <c r="F656" i="7"/>
  <c r="I655" i="1"/>
  <c r="I557" i="1"/>
  <c r="I692" i="1"/>
  <c r="U704" i="7"/>
  <c r="I724" i="1"/>
  <c r="I782" i="1"/>
  <c r="I541" i="1"/>
  <c r="I832" i="1"/>
  <c r="V889" i="7"/>
  <c r="T887" i="7"/>
  <c r="Y865" i="7"/>
  <c r="Y969" i="7"/>
  <c r="Y905" i="7"/>
  <c r="I993" i="1"/>
  <c r="F360" i="7"/>
  <c r="I696" i="1"/>
  <c r="I761" i="1"/>
  <c r="I830" i="1"/>
  <c r="T888" i="7"/>
  <c r="T893" i="7"/>
  <c r="T791" i="7"/>
  <c r="S703" i="7"/>
  <c r="F446" i="7"/>
  <c r="F505" i="7"/>
  <c r="I658" i="1"/>
  <c r="I609" i="1"/>
  <c r="I584" i="1"/>
  <c r="F613" i="7"/>
  <c r="I680" i="1"/>
  <c r="I534" i="1"/>
  <c r="I763" i="1"/>
  <c r="S887" i="7"/>
  <c r="T894" i="7"/>
  <c r="T946" i="7"/>
  <c r="T843" i="7"/>
  <c r="I838" i="1"/>
  <c r="F841" i="7"/>
  <c r="F840" i="7"/>
  <c r="F307" i="7"/>
  <c r="F233" i="7"/>
  <c r="I807" i="1"/>
  <c r="N859" i="7"/>
  <c r="S793" i="7"/>
  <c r="U637" i="7"/>
  <c r="U798" i="7"/>
  <c r="U797" i="7"/>
  <c r="I647" i="1"/>
  <c r="I665" i="1"/>
  <c r="S800" i="7"/>
  <c r="S756" i="7"/>
  <c r="T675" i="7"/>
  <c r="S801" i="7"/>
  <c r="S723" i="7"/>
  <c r="S896" i="7"/>
  <c r="I618" i="1"/>
  <c r="I728" i="1"/>
  <c r="I821" i="1"/>
  <c r="V671" i="7"/>
  <c r="V723" i="7"/>
  <c r="I613" i="1"/>
  <c r="T854" i="7"/>
  <c r="C83" i="7"/>
  <c r="C81" i="7"/>
  <c r="I871" i="1"/>
  <c r="F871" i="7"/>
  <c r="F872" i="7"/>
  <c r="I717" i="1"/>
  <c r="O769" i="7"/>
  <c r="N912" i="7"/>
  <c r="T938" i="7"/>
  <c r="I762" i="1"/>
  <c r="I780" i="1"/>
  <c r="U830" i="7"/>
  <c r="I708" i="1"/>
  <c r="I750" i="1"/>
  <c r="I756" i="1"/>
  <c r="T682" i="7"/>
  <c r="U854" i="7"/>
  <c r="T908" i="7"/>
  <c r="I904" i="1"/>
  <c r="F904" i="7"/>
  <c r="I957" i="1"/>
  <c r="F960" i="7"/>
  <c r="F958" i="7"/>
  <c r="I710" i="1"/>
  <c r="S772" i="7"/>
  <c r="I551" i="1"/>
  <c r="G554" i="7"/>
  <c r="T727" i="7"/>
  <c r="U902" i="7"/>
  <c r="T986" i="7"/>
  <c r="V992" i="7"/>
  <c r="Y885" i="7"/>
  <c r="T996" i="7"/>
  <c r="Y920" i="7"/>
  <c r="S995" i="7"/>
  <c r="T993" i="7"/>
  <c r="F992" i="7"/>
  <c r="I989" i="1"/>
  <c r="I942" i="1"/>
  <c r="Y843" i="7"/>
  <c r="Y895" i="7"/>
  <c r="N993" i="7"/>
  <c r="T994" i="7"/>
  <c r="V995" i="7"/>
  <c r="Y856" i="7"/>
  <c r="I995" i="1"/>
  <c r="Y980" i="7"/>
  <c r="Y912" i="7"/>
  <c r="Y975" i="7"/>
  <c r="I990" i="1"/>
  <c r="F998" i="7"/>
  <c r="S771" i="7"/>
  <c r="U685" i="7"/>
  <c r="S754" i="7"/>
  <c r="F564" i="7"/>
  <c r="N661" i="7"/>
  <c r="N978" i="7"/>
  <c r="U642" i="7"/>
  <c r="U746" i="7"/>
  <c r="I570" i="1"/>
  <c r="F369" i="7"/>
  <c r="F33" i="7"/>
  <c r="F683" i="7"/>
  <c r="F713" i="7"/>
  <c r="N616" i="7"/>
  <c r="F281" i="7"/>
  <c r="N665" i="7"/>
  <c r="N717" i="7"/>
  <c r="V656" i="7"/>
  <c r="S820" i="7"/>
  <c r="N611" i="7"/>
  <c r="F406" i="7"/>
  <c r="I859" i="1"/>
  <c r="F859" i="7"/>
  <c r="F860" i="7"/>
  <c r="S764" i="7"/>
  <c r="N963" i="7"/>
  <c r="N985" i="7"/>
  <c r="I777" i="1"/>
  <c r="F778" i="7"/>
  <c r="I784" i="1"/>
  <c r="F529" i="7"/>
  <c r="N593" i="7"/>
  <c r="I702" i="1"/>
  <c r="I721" i="1"/>
  <c r="I741" i="1"/>
  <c r="I826" i="1"/>
  <c r="V769" i="7"/>
  <c r="N720" i="7"/>
  <c r="I617" i="1"/>
  <c r="N716" i="7"/>
  <c r="I664" i="1"/>
  <c r="I669" i="1"/>
  <c r="N862" i="7"/>
  <c r="F706" i="7"/>
  <c r="I754" i="1"/>
  <c r="N962" i="7"/>
  <c r="I662" i="1"/>
  <c r="N664" i="7"/>
  <c r="N741" i="7"/>
  <c r="I689" i="1"/>
  <c r="I529" i="1"/>
  <c r="F500" i="7"/>
  <c r="F501" i="7"/>
  <c r="I714" i="1"/>
  <c r="G716" i="7"/>
  <c r="N922" i="7"/>
  <c r="I755" i="1"/>
  <c r="U761" i="7"/>
  <c r="T845" i="7"/>
  <c r="T846" i="7"/>
  <c r="T950" i="7"/>
  <c r="T900" i="7"/>
  <c r="T953" i="7"/>
  <c r="T852" i="7"/>
  <c r="T909" i="7"/>
  <c r="T857" i="7"/>
  <c r="S868" i="7"/>
  <c r="I842" i="1"/>
  <c r="F842" i="7"/>
  <c r="I854" i="1"/>
  <c r="U961" i="7"/>
  <c r="I860" i="1"/>
  <c r="F409" i="7"/>
  <c r="I653" i="1"/>
  <c r="I746" i="1"/>
  <c r="O850" i="7"/>
  <c r="U771" i="7"/>
  <c r="U667" i="7"/>
  <c r="U719" i="7"/>
  <c r="V838" i="7"/>
  <c r="S987" i="7"/>
  <c r="S990" i="7"/>
  <c r="S886" i="7"/>
  <c r="S893" i="7"/>
  <c r="U957" i="7"/>
  <c r="U905" i="7"/>
  <c r="N594" i="7"/>
  <c r="F268" i="7"/>
  <c r="F60" i="7"/>
  <c r="F582" i="7"/>
  <c r="F662" i="7"/>
  <c r="I652" i="1"/>
  <c r="N860" i="7"/>
  <c r="N750" i="7"/>
  <c r="V624" i="7"/>
  <c r="F109" i="7"/>
  <c r="F101" i="7"/>
  <c r="I712" i="1"/>
  <c r="I769" i="1"/>
  <c r="I772" i="1"/>
  <c r="U663" i="7"/>
  <c r="I861" i="1"/>
  <c r="N619" i="7"/>
  <c r="I767" i="1"/>
  <c r="T634" i="7"/>
  <c r="N677" i="7"/>
  <c r="I625" i="1"/>
  <c r="N936" i="7"/>
  <c r="T712" i="7"/>
  <c r="U955" i="7"/>
  <c r="U850" i="7"/>
  <c r="U800" i="7"/>
  <c r="F725" i="7"/>
  <c r="S862" i="7"/>
  <c r="U721" i="7"/>
  <c r="T767" i="7"/>
  <c r="V764" i="7"/>
  <c r="U775" i="7"/>
  <c r="T1002" i="7"/>
  <c r="F816" i="7"/>
  <c r="V695" i="7"/>
  <c r="S734" i="7"/>
  <c r="I994" i="1"/>
  <c r="F997" i="7"/>
  <c r="U677" i="7"/>
  <c r="V756" i="7"/>
  <c r="I858" i="1"/>
  <c r="F861" i="7"/>
  <c r="T998" i="7"/>
  <c r="Y911" i="7"/>
  <c r="T1004" i="7"/>
  <c r="N1005" i="7"/>
  <c r="U1001" i="7"/>
  <c r="T1000" i="7"/>
  <c r="F1005" i="7"/>
  <c r="I1004" i="1"/>
  <c r="F1006" i="7"/>
  <c r="V1006" i="7"/>
  <c r="Y1006" i="7"/>
  <c r="Y998" i="7"/>
  <c r="Y915" i="7"/>
  <c r="Y967" i="7"/>
  <c r="F996" i="7"/>
  <c r="I996" i="1"/>
  <c r="N997" i="7"/>
  <c r="N1003" i="7"/>
  <c r="I951" i="1"/>
  <c r="Y1003" i="7"/>
  <c r="N998" i="7"/>
  <c r="I947" i="1"/>
  <c r="V1001" i="7"/>
  <c r="V1000" i="7"/>
  <c r="Y1004" i="7"/>
  <c r="F1004" i="7"/>
  <c r="V997" i="7"/>
  <c r="F995" i="7"/>
  <c r="V999" i="7"/>
  <c r="T1001" i="7"/>
  <c r="N880" i="7"/>
  <c r="F830" i="7"/>
  <c r="F831" i="7"/>
  <c r="U805" i="7"/>
  <c r="U909" i="7"/>
  <c r="T807" i="7"/>
  <c r="T964" i="7"/>
  <c r="S809" i="7"/>
  <c r="V829" i="7"/>
  <c r="U888" i="7"/>
  <c r="U762" i="7"/>
  <c r="U763" i="7"/>
  <c r="S817" i="7"/>
  <c r="S765" i="7"/>
  <c r="S923" i="7"/>
  <c r="S766" i="7"/>
  <c r="S871" i="7"/>
  <c r="S767" i="7"/>
  <c r="F222" i="7"/>
  <c r="F158" i="7"/>
  <c r="I694" i="1"/>
  <c r="F747" i="7"/>
  <c r="T860" i="7"/>
  <c r="V828" i="7"/>
  <c r="V880" i="7"/>
  <c r="V882" i="7"/>
  <c r="V825" i="7"/>
  <c r="T775" i="7"/>
  <c r="V724" i="7"/>
  <c r="V777" i="7"/>
  <c r="V726" i="7"/>
  <c r="S732" i="7"/>
  <c r="S784" i="7"/>
  <c r="T890" i="7"/>
  <c r="U999" i="7"/>
  <c r="T902" i="7"/>
  <c r="F162" i="7"/>
  <c r="F164" i="7"/>
  <c r="F46" i="7"/>
  <c r="N891" i="7"/>
  <c r="I787" i="1"/>
  <c r="N995" i="7"/>
  <c r="S769" i="7"/>
  <c r="F471" i="7"/>
  <c r="F419" i="7"/>
  <c r="F417" i="7"/>
  <c r="F322" i="7"/>
  <c r="F321" i="7"/>
  <c r="F237" i="7"/>
  <c r="F199" i="7"/>
  <c r="F587" i="7"/>
  <c r="I666" i="1"/>
  <c r="F733" i="7"/>
  <c r="N889" i="7"/>
  <c r="I733" i="1"/>
  <c r="N941" i="7"/>
  <c r="N792" i="7"/>
  <c r="I740" i="1"/>
  <c r="N812" i="7"/>
  <c r="T833" i="7"/>
  <c r="V834" i="7"/>
  <c r="V729" i="7"/>
  <c r="T793" i="7"/>
  <c r="U795" i="7"/>
  <c r="V884" i="7"/>
  <c r="V727" i="7"/>
  <c r="V749" i="7"/>
  <c r="V752" i="7"/>
  <c r="V755" i="7"/>
  <c r="F202" i="7"/>
  <c r="F187" i="7"/>
  <c r="N882" i="7"/>
  <c r="N793" i="7"/>
  <c r="N949" i="7"/>
  <c r="T714" i="7"/>
  <c r="S721" i="7"/>
  <c r="U892" i="7"/>
  <c r="U996" i="7"/>
  <c r="U945" i="7"/>
  <c r="U697" i="7"/>
  <c r="U802" i="7"/>
  <c r="U749" i="7"/>
  <c r="U718" i="7"/>
  <c r="U770" i="7"/>
  <c r="V771" i="7"/>
  <c r="T1006" i="7"/>
  <c r="U947" i="7"/>
  <c r="I674" i="1"/>
  <c r="S717" i="7"/>
  <c r="U653" i="7"/>
  <c r="F575" i="7"/>
  <c r="I646" i="1"/>
  <c r="N854" i="7"/>
  <c r="I603" i="1"/>
  <c r="N759" i="7"/>
  <c r="F603" i="7"/>
  <c r="F605" i="7"/>
  <c r="V761" i="7"/>
  <c r="V708" i="7"/>
  <c r="U801" i="7"/>
  <c r="V653" i="7"/>
  <c r="S760" i="7"/>
  <c r="S708" i="7"/>
  <c r="U657" i="7"/>
  <c r="U709" i="7"/>
  <c r="F552" i="7"/>
  <c r="N739" i="7"/>
  <c r="F691" i="7"/>
  <c r="F729" i="7"/>
  <c r="S713" i="7"/>
  <c r="U988" i="7"/>
  <c r="U884" i="7"/>
  <c r="U887" i="7"/>
  <c r="U991" i="7"/>
  <c r="N943" i="7"/>
  <c r="U827" i="7"/>
  <c r="O936" i="7"/>
  <c r="F126" i="7"/>
  <c r="F125" i="7"/>
  <c r="F100" i="7"/>
  <c r="F17" i="7"/>
  <c r="F18" i="7"/>
  <c r="I632" i="1"/>
  <c r="I624" i="1"/>
  <c r="F580" i="7"/>
  <c r="I579" i="1"/>
  <c r="N762" i="7"/>
  <c r="N703" i="7"/>
  <c r="F654" i="7"/>
  <c r="I645" i="1"/>
  <c r="F647" i="7"/>
  <c r="F648" i="7"/>
  <c r="N850" i="7"/>
  <c r="I798" i="1"/>
  <c r="I824" i="1"/>
  <c r="U733" i="7"/>
  <c r="U680" i="7"/>
  <c r="V689" i="7"/>
  <c r="F259" i="7"/>
  <c r="F258" i="7"/>
  <c r="F257" i="7"/>
  <c r="F194" i="7"/>
  <c r="I605" i="1"/>
  <c r="N787" i="7"/>
  <c r="I735" i="1"/>
  <c r="I748" i="1"/>
  <c r="U940" i="7"/>
  <c r="U998" i="7"/>
  <c r="N839" i="7"/>
  <c r="I727" i="1"/>
  <c r="F121" i="7"/>
  <c r="F122" i="7"/>
  <c r="I635" i="1"/>
  <c r="O687" i="7"/>
  <c r="G986" i="7"/>
  <c r="U946" i="7"/>
  <c r="N602" i="7"/>
  <c r="F389" i="7"/>
  <c r="F386" i="7"/>
  <c r="N586" i="7"/>
  <c r="F380" i="7"/>
  <c r="F364" i="7"/>
  <c r="F357" i="7"/>
  <c r="F339" i="7"/>
  <c r="F23" i="7"/>
  <c r="F24" i="7"/>
  <c r="F25" i="7"/>
  <c r="N735" i="7"/>
  <c r="I631" i="1"/>
  <c r="F674" i="7"/>
  <c r="F734" i="7"/>
  <c r="I773" i="1"/>
  <c r="N825" i="7"/>
  <c r="V685" i="7"/>
  <c r="V645" i="7"/>
  <c r="V697" i="7"/>
  <c r="S700" i="7"/>
  <c r="T805" i="7"/>
  <c r="T858" i="7"/>
  <c r="V824" i="7"/>
  <c r="U781" i="7"/>
  <c r="U729" i="7"/>
  <c r="T899" i="7"/>
  <c r="T847" i="7"/>
  <c r="T1005" i="7"/>
  <c r="T849" i="7"/>
  <c r="T901" i="7"/>
  <c r="S852" i="7"/>
  <c r="F412" i="7"/>
  <c r="F378" i="7"/>
  <c r="F232" i="7"/>
  <c r="F143" i="7"/>
  <c r="F51" i="7"/>
  <c r="F50" i="7"/>
  <c r="N670" i="7"/>
  <c r="F621" i="7"/>
  <c r="I591" i="1"/>
  <c r="I686" i="1"/>
  <c r="N842" i="7"/>
  <c r="N804" i="7"/>
  <c r="I753" i="1"/>
  <c r="F756" i="7"/>
  <c r="I805" i="1"/>
  <c r="T591" i="7"/>
  <c r="T595" i="7"/>
  <c r="U708" i="7"/>
  <c r="S803" i="7"/>
  <c r="U728" i="7"/>
  <c r="S920" i="7"/>
  <c r="V891" i="7"/>
  <c r="V787" i="7"/>
  <c r="V839" i="7"/>
  <c r="V945" i="7"/>
  <c r="V892" i="7"/>
  <c r="V840" i="7"/>
  <c r="U791" i="7"/>
  <c r="U843" i="7"/>
  <c r="U948" i="7"/>
  <c r="U949" i="7"/>
  <c r="U792" i="7"/>
  <c r="S796" i="7"/>
  <c r="S832" i="7"/>
  <c r="S936" i="7"/>
  <c r="F548" i="7"/>
  <c r="N756" i="7"/>
  <c r="N813" i="7"/>
  <c r="I650" i="1"/>
  <c r="N806" i="7"/>
  <c r="F823" i="7"/>
  <c r="U648" i="7"/>
  <c r="U752" i="7"/>
  <c r="S798" i="7"/>
  <c r="S755" i="7"/>
  <c r="F422" i="7"/>
  <c r="F203" i="7"/>
  <c r="I587" i="1"/>
  <c r="N795" i="7"/>
  <c r="I581" i="1"/>
  <c r="N867" i="7"/>
  <c r="N986" i="7"/>
  <c r="V632" i="7"/>
  <c r="V663" i="7"/>
  <c r="T686" i="7"/>
  <c r="I930" i="1"/>
  <c r="I937" i="1"/>
  <c r="F939" i="7"/>
  <c r="Y959" i="7"/>
  <c r="Y855" i="7"/>
  <c r="F263" i="7"/>
  <c r="N620" i="7"/>
  <c r="F571" i="7"/>
  <c r="F448" i="7"/>
  <c r="F451" i="7"/>
  <c r="I751" i="1"/>
  <c r="N966" i="7"/>
  <c r="N979" i="7"/>
  <c r="V694" i="7"/>
  <c r="V644" i="7"/>
  <c r="V596" i="7"/>
  <c r="U669" i="7"/>
  <c r="U773" i="7"/>
  <c r="S724" i="7"/>
  <c r="S733" i="7"/>
  <c r="S785" i="7"/>
  <c r="U734" i="7"/>
  <c r="U682" i="7"/>
  <c r="S753" i="7"/>
  <c r="S858" i="7"/>
  <c r="U755" i="7"/>
  <c r="U703" i="7"/>
  <c r="V705" i="7"/>
  <c r="U782" i="7"/>
  <c r="U730" i="7"/>
  <c r="V888" i="7"/>
  <c r="V731" i="7"/>
  <c r="S736" i="7"/>
  <c r="S791" i="7"/>
  <c r="T983" i="7"/>
  <c r="I851" i="1"/>
  <c r="F852" i="7"/>
  <c r="I864" i="1"/>
  <c r="F865" i="7"/>
  <c r="I975" i="1"/>
  <c r="F975" i="7"/>
  <c r="F976" i="7"/>
  <c r="F978" i="7"/>
  <c r="F977" i="7"/>
  <c r="Y866" i="7"/>
  <c r="Y918" i="7"/>
  <c r="Y970" i="7"/>
  <c r="F538" i="7"/>
  <c r="I752" i="1"/>
  <c r="I822" i="1"/>
  <c r="U756" i="7"/>
  <c r="S787" i="7"/>
  <c r="T742" i="7"/>
  <c r="S845" i="7"/>
  <c r="V864" i="7"/>
  <c r="V881" i="7"/>
  <c r="T896" i="7"/>
  <c r="I845" i="1"/>
  <c r="F848" i="7"/>
  <c r="U1006" i="7"/>
  <c r="U954" i="7"/>
  <c r="S915" i="7"/>
  <c r="F472" i="7"/>
  <c r="F693" i="7"/>
  <c r="N974" i="7"/>
  <c r="T586" i="7"/>
  <c r="U643" i="7"/>
  <c r="V700" i="7"/>
  <c r="T656" i="7"/>
  <c r="T688" i="7"/>
  <c r="V759" i="7"/>
  <c r="V851" i="7"/>
  <c r="I849" i="1"/>
  <c r="F849" i="7"/>
  <c r="F314" i="7"/>
  <c r="N781" i="7"/>
  <c r="N847" i="7"/>
  <c r="F837" i="7"/>
  <c r="I834" i="1"/>
  <c r="U735" i="7"/>
  <c r="U647" i="7"/>
  <c r="U804" i="7"/>
  <c r="U679" i="7"/>
  <c r="V890" i="7"/>
  <c r="V837" i="7"/>
  <c r="S777" i="7"/>
  <c r="S779" i="7"/>
  <c r="S883" i="7"/>
  <c r="S781" i="7"/>
  <c r="V947" i="7"/>
  <c r="U903" i="7"/>
  <c r="U851" i="7"/>
  <c r="F424" i="7"/>
  <c r="F320" i="7"/>
  <c r="N757" i="7"/>
  <c r="T669" i="7"/>
  <c r="T674" i="7"/>
  <c r="V699" i="7"/>
  <c r="V735" i="7"/>
  <c r="U750" i="7"/>
  <c r="U777" i="7"/>
  <c r="T728" i="7"/>
  <c r="S738" i="7"/>
  <c r="V860" i="7"/>
  <c r="S805" i="7"/>
  <c r="T960" i="7"/>
  <c r="T919" i="7"/>
  <c r="T910" i="7"/>
  <c r="Y978" i="7"/>
  <c r="U1003" i="7"/>
  <c r="U1007" i="7"/>
  <c r="V993" i="7"/>
  <c r="Y935" i="7"/>
  <c r="Y1008" i="7"/>
  <c r="Y993" i="7"/>
  <c r="U1009" i="7"/>
  <c r="T1008" i="7"/>
  <c r="I1006" i="1"/>
  <c r="G1006" i="7"/>
  <c r="G1009" i="7"/>
  <c r="F1008" i="7"/>
  <c r="F1007" i="7"/>
  <c r="I1002" i="1"/>
  <c r="G1005" i="7"/>
  <c r="F1002" i="7"/>
  <c r="T1007" i="7"/>
  <c r="I1001" i="1"/>
  <c r="G1004" i="7"/>
  <c r="N1008" i="7"/>
  <c r="N1007" i="7"/>
  <c r="Y997" i="7"/>
  <c r="U997" i="7"/>
  <c r="Y995" i="7"/>
  <c r="F1003" i="7"/>
  <c r="O943" i="7"/>
  <c r="O891" i="7"/>
  <c r="G555" i="7"/>
  <c r="G556" i="7"/>
  <c r="I594" i="1"/>
  <c r="O698" i="7"/>
  <c r="N698" i="7"/>
  <c r="N646" i="7"/>
  <c r="F597" i="7"/>
  <c r="F666" i="7"/>
  <c r="N819" i="7"/>
  <c r="T647" i="7"/>
  <c r="T752" i="7"/>
  <c r="T645" i="7"/>
  <c r="T697" i="7"/>
  <c r="T701" i="7"/>
  <c r="T753" i="7"/>
  <c r="T653" i="7"/>
  <c r="T691" i="7"/>
  <c r="N657" i="7"/>
  <c r="F635" i="7"/>
  <c r="N644" i="7"/>
  <c r="T725" i="7"/>
  <c r="O704" i="7"/>
  <c r="N652" i="7"/>
  <c r="V589" i="7"/>
  <c r="N851" i="7"/>
  <c r="V734" i="7"/>
  <c r="F758" i="7"/>
  <c r="F764" i="7"/>
  <c r="U652" i="7"/>
  <c r="I657" i="1"/>
  <c r="O709" i="7"/>
  <c r="T699" i="7"/>
  <c r="O852" i="7"/>
  <c r="V778" i="7"/>
  <c r="I718" i="1"/>
  <c r="V642" i="7"/>
  <c r="F671" i="7"/>
  <c r="F643" i="7"/>
  <c r="F636" i="7"/>
  <c r="F644" i="7"/>
  <c r="T713" i="7"/>
  <c r="V807" i="7"/>
  <c r="T723" i="7"/>
  <c r="N799" i="7"/>
  <c r="F702" i="7"/>
  <c r="F457" i="7"/>
  <c r="I540" i="1"/>
  <c r="F543" i="7"/>
  <c r="N605" i="7"/>
  <c r="F556" i="7"/>
  <c r="I719" i="1"/>
  <c r="G722" i="7"/>
  <c r="F722" i="7"/>
  <c r="W774" i="7"/>
  <c r="T599" i="7"/>
  <c r="T703" i="7"/>
  <c r="T756" i="7"/>
  <c r="T709" i="7"/>
  <c r="T789" i="7"/>
  <c r="N927" i="7"/>
  <c r="U700" i="7"/>
  <c r="N740" i="7"/>
  <c r="F757" i="7"/>
  <c r="T856" i="7"/>
  <c r="F759" i="7"/>
  <c r="T802" i="7"/>
  <c r="N904" i="7"/>
  <c r="F817" i="7"/>
  <c r="W869" i="7"/>
  <c r="F660" i="7"/>
  <c r="N797" i="7"/>
  <c r="N909" i="7"/>
  <c r="T731" i="7"/>
  <c r="F818" i="7"/>
  <c r="I536" i="1"/>
  <c r="N588" i="7"/>
  <c r="I549" i="1"/>
  <c r="O705" i="7"/>
  <c r="N653" i="7"/>
  <c r="I695" i="1"/>
  <c r="N747" i="7"/>
  <c r="F710" i="7"/>
  <c r="F711" i="7"/>
  <c r="I649" i="1"/>
  <c r="F652" i="7"/>
  <c r="I602" i="1"/>
  <c r="F604" i="7"/>
  <c r="W656" i="7"/>
  <c r="N758" i="7"/>
  <c r="I560" i="1"/>
  <c r="O768" i="7"/>
  <c r="N768" i="7"/>
  <c r="N890" i="7"/>
  <c r="F788" i="7"/>
  <c r="I825" i="1"/>
  <c r="N981" i="7"/>
  <c r="T587" i="7"/>
  <c r="V706" i="7"/>
  <c r="V654" i="7"/>
  <c r="T717" i="7"/>
  <c r="T733" i="7"/>
  <c r="V686" i="7"/>
  <c r="O802" i="7"/>
  <c r="N857" i="7"/>
  <c r="G999" i="7"/>
  <c r="N928" i="7"/>
  <c r="F553" i="7"/>
  <c r="W657" i="7"/>
  <c r="G557" i="7"/>
  <c r="T743" i="7"/>
  <c r="F719" i="7"/>
  <c r="N876" i="7"/>
  <c r="V698" i="7"/>
  <c r="G1008" i="7"/>
  <c r="F665" i="7"/>
  <c r="N690" i="7"/>
  <c r="N877" i="7"/>
  <c r="N852" i="7"/>
  <c r="O995" i="7"/>
  <c r="F522" i="7"/>
  <c r="F523" i="7"/>
  <c r="W679" i="7"/>
  <c r="F484" i="7"/>
  <c r="F476" i="7"/>
  <c r="F477" i="7"/>
  <c r="F475" i="7"/>
  <c r="F468" i="7"/>
  <c r="F470" i="7"/>
  <c r="F397" i="7"/>
  <c r="F396" i="7"/>
  <c r="W604" i="7"/>
  <c r="F277" i="7"/>
  <c r="F278" i="7"/>
  <c r="F276" i="7"/>
  <c r="F262" i="7"/>
  <c r="F260" i="7"/>
  <c r="F255" i="7"/>
  <c r="F254" i="7"/>
  <c r="F253" i="7"/>
  <c r="F142" i="7"/>
  <c r="F140" i="7"/>
  <c r="F117" i="7"/>
  <c r="F116" i="7"/>
  <c r="F94" i="7"/>
  <c r="F95" i="7"/>
  <c r="F93" i="7"/>
  <c r="N626" i="7"/>
  <c r="N722" i="7"/>
  <c r="F749" i="7"/>
  <c r="U724" i="7"/>
  <c r="N635" i="7"/>
  <c r="F362" i="7"/>
  <c r="F186" i="7"/>
  <c r="N684" i="7"/>
  <c r="N736" i="7"/>
  <c r="N603" i="7"/>
  <c r="F554" i="7"/>
  <c r="F649" i="7"/>
  <c r="I592" i="1"/>
  <c r="N800" i="7"/>
  <c r="F668" i="7"/>
  <c r="F549" i="7"/>
  <c r="N687" i="7"/>
  <c r="G954" i="7"/>
  <c r="N808" i="7"/>
  <c r="F480" i="7"/>
  <c r="N581" i="7"/>
  <c r="F408" i="7"/>
  <c r="F361" i="7"/>
  <c r="F272" i="7"/>
  <c r="F225" i="7"/>
  <c r="F217" i="7"/>
  <c r="F185" i="7"/>
  <c r="F73" i="7"/>
  <c r="F48" i="7"/>
  <c r="F634" i="7"/>
  <c r="F579" i="7"/>
  <c r="I796" i="1"/>
  <c r="N848" i="7"/>
  <c r="I836" i="1"/>
  <c r="G839" i="7"/>
  <c r="F839" i="7"/>
  <c r="T941" i="7"/>
  <c r="T956" i="7"/>
  <c r="U1000" i="7"/>
  <c r="I954" i="1"/>
  <c r="F957" i="7"/>
  <c r="Y988" i="7"/>
  <c r="Y936" i="7"/>
  <c r="Y904" i="7"/>
  <c r="Y956" i="7"/>
  <c r="I973" i="1"/>
  <c r="G975" i="7"/>
  <c r="F973" i="7"/>
  <c r="Y841" i="7"/>
  <c r="Y893" i="7"/>
  <c r="I1022" i="1"/>
  <c r="F298" i="7"/>
  <c r="F299" i="7"/>
  <c r="F551" i="7"/>
  <c r="I548" i="1"/>
  <c r="F502" i="7"/>
  <c r="U641" i="7"/>
  <c r="U645" i="7"/>
  <c r="U661" i="7"/>
  <c r="U713" i="7"/>
  <c r="U848" i="7"/>
  <c r="U691" i="7"/>
  <c r="V716" i="7"/>
  <c r="S740" i="7"/>
  <c r="S742" i="7"/>
  <c r="S744" i="7"/>
  <c r="S749" i="7"/>
  <c r="S752" i="7"/>
  <c r="S757" i="7"/>
  <c r="S810" i="7"/>
  <c r="S818" i="7"/>
  <c r="S773" i="7"/>
  <c r="S825" i="7"/>
  <c r="S774" i="7"/>
  <c r="S776" i="7"/>
  <c r="S788" i="7"/>
  <c r="S789" i="7"/>
  <c r="S849" i="7"/>
  <c r="S854" i="7"/>
  <c r="S808" i="7"/>
  <c r="Y938" i="7"/>
  <c r="F994" i="7"/>
  <c r="I991" i="1"/>
  <c r="G994" i="7"/>
  <c r="F1001" i="7"/>
  <c r="F999" i="7"/>
  <c r="I998" i="1"/>
  <c r="G1000" i="7"/>
  <c r="N599" i="7"/>
  <c r="F394" i="7"/>
  <c r="F370" i="7"/>
  <c r="F282" i="7"/>
  <c r="N676" i="7"/>
  <c r="F504" i="7"/>
  <c r="F658" i="7"/>
  <c r="N707" i="7"/>
  <c r="F561" i="7"/>
  <c r="I688" i="1"/>
  <c r="G689" i="7"/>
  <c r="F689" i="7"/>
  <c r="I811" i="1"/>
  <c r="O967" i="7"/>
  <c r="N863" i="7"/>
  <c r="V587" i="7"/>
  <c r="V655" i="7"/>
  <c r="V637" i="7"/>
  <c r="T652" i="7"/>
  <c r="T660" i="7"/>
  <c r="S704" i="7"/>
  <c r="V707" i="7"/>
  <c r="S712" i="7"/>
  <c r="S720" i="7"/>
  <c r="V835" i="7"/>
  <c r="T774" i="7"/>
  <c r="T829" i="7"/>
  <c r="T881" i="7"/>
  <c r="T886" i="7"/>
  <c r="T837" i="7"/>
  <c r="T785" i="7"/>
  <c r="T788" i="7"/>
  <c r="T841" i="7"/>
  <c r="T796" i="7"/>
  <c r="T848" i="7"/>
  <c r="T801" i="7"/>
  <c r="T855" i="7"/>
  <c r="T959" i="7"/>
  <c r="S965" i="7"/>
  <c r="G927" i="7"/>
  <c r="I953" i="1"/>
  <c r="F956" i="7"/>
  <c r="I961" i="1"/>
  <c r="Y1009" i="7"/>
  <c r="Y989" i="7"/>
  <c r="Y937" i="7"/>
  <c r="Y873" i="7"/>
  <c r="F987" i="7"/>
  <c r="F986" i="7"/>
  <c r="S685" i="7"/>
  <c r="U686" i="7"/>
  <c r="U717" i="7"/>
  <c r="G995" i="7"/>
  <c r="F718" i="7"/>
  <c r="O958" i="7"/>
  <c r="F692" i="7"/>
  <c r="F779" i="7"/>
  <c r="F679" i="7"/>
  <c r="U738" i="7"/>
  <c r="N802" i="7"/>
  <c r="T942" i="7"/>
  <c r="I940" i="1"/>
  <c r="G943" i="7"/>
  <c r="N992" i="7"/>
  <c r="I969" i="1"/>
  <c r="F972" i="7"/>
  <c r="N711" i="7"/>
  <c r="F506" i="7"/>
  <c r="N743" i="7"/>
  <c r="S901" i="7"/>
  <c r="I897" i="1"/>
  <c r="G899" i="7"/>
  <c r="F900" i="7"/>
  <c r="U966" i="7"/>
  <c r="F917" i="7"/>
  <c r="I956" i="1"/>
  <c r="F959" i="7"/>
  <c r="F1015" i="7"/>
  <c r="F694" i="7"/>
  <c r="N729" i="7"/>
  <c r="F716" i="7"/>
  <c r="F444" i="7"/>
  <c r="F447" i="7"/>
  <c r="F455" i="7"/>
  <c r="F847" i="7"/>
  <c r="I988" i="1"/>
  <c r="G991" i="7"/>
  <c r="F991" i="7"/>
  <c r="I1012" i="1"/>
  <c r="G1015" i="7"/>
  <c r="G543" i="7"/>
  <c r="F450" i="7"/>
  <c r="N809" i="7"/>
  <c r="F646" i="7"/>
  <c r="N814" i="7"/>
  <c r="F601" i="7"/>
  <c r="W810" i="7"/>
  <c r="N798" i="7"/>
  <c r="N738" i="7"/>
  <c r="N915" i="7"/>
  <c r="N1002" i="7"/>
  <c r="F827" i="7"/>
  <c r="N884" i="7"/>
  <c r="V594" i="7"/>
  <c r="V618" i="7"/>
  <c r="V634" i="7"/>
  <c r="V638" i="7"/>
  <c r="U649" i="7"/>
  <c r="U681" i="7"/>
  <c r="V690" i="7"/>
  <c r="V658" i="7"/>
  <c r="V666" i="7"/>
  <c r="T750" i="7"/>
  <c r="T797" i="7"/>
  <c r="U806" i="7"/>
  <c r="S768" i="7"/>
  <c r="F79" i="7"/>
  <c r="F71" i="7"/>
  <c r="F63" i="7"/>
  <c r="F47" i="7"/>
  <c r="F38" i="7"/>
  <c r="F14" i="7"/>
  <c r="N830" i="7"/>
  <c r="F616" i="7"/>
  <c r="F544" i="7"/>
  <c r="F532" i="7"/>
  <c r="N601" i="7"/>
  <c r="N609" i="7"/>
  <c r="U644" i="7"/>
  <c r="S735" i="7"/>
  <c r="U790" i="7"/>
  <c r="S929" i="7"/>
  <c r="S983" i="7"/>
  <c r="S827" i="7"/>
  <c r="S880" i="7"/>
  <c r="S830" i="7"/>
  <c r="S831" i="7"/>
  <c r="S833" i="7"/>
  <c r="S836" i="7"/>
  <c r="S837" i="7"/>
  <c r="S839" i="7"/>
  <c r="S840" i="7"/>
  <c r="S843" i="7"/>
  <c r="S844" i="7"/>
  <c r="S949" i="7"/>
  <c r="S898" i="7"/>
  <c r="S847" i="7"/>
  <c r="S900" i="7"/>
  <c r="S1007" i="7"/>
  <c r="S851" i="7"/>
  <c r="S904" i="7"/>
  <c r="S853" i="7"/>
  <c r="S855" i="7"/>
  <c r="S908" i="7"/>
  <c r="S911" i="7"/>
  <c r="S860" i="7"/>
  <c r="S861" i="7"/>
  <c r="S914" i="7"/>
  <c r="S864" i="7"/>
  <c r="S972" i="7"/>
  <c r="S870" i="7"/>
  <c r="S976" i="7"/>
  <c r="S977" i="7"/>
  <c r="S874" i="7"/>
  <c r="S885" i="7"/>
  <c r="S889" i="7"/>
  <c r="S994" i="7"/>
  <c r="S996" i="7"/>
  <c r="G840" i="7"/>
  <c r="V1007" i="7"/>
  <c r="T957" i="7"/>
  <c r="F855" i="7"/>
  <c r="V932" i="7"/>
  <c r="S934" i="7"/>
  <c r="V987" i="7"/>
  <c r="T989" i="7"/>
  <c r="V990" i="7"/>
  <c r="T940" i="7"/>
  <c r="V994" i="7"/>
  <c r="T955" i="7"/>
  <c r="V1009" i="7"/>
  <c r="F914" i="7"/>
  <c r="V585" i="7"/>
  <c r="V597" i="7"/>
  <c r="V609" i="7"/>
  <c r="V633" i="7"/>
  <c r="V661" i="7"/>
  <c r="V677" i="7"/>
  <c r="V693" i="7"/>
  <c r="T594" i="7"/>
  <c r="V725" i="7"/>
  <c r="U683" i="7"/>
  <c r="T582" i="7"/>
  <c r="T741" i="7"/>
  <c r="T692" i="7"/>
  <c r="T592" i="7"/>
  <c r="T761" i="7"/>
  <c r="T765" i="7"/>
  <c r="T610" i="7"/>
  <c r="T670" i="7"/>
  <c r="T622" i="7"/>
  <c r="T680" i="7"/>
  <c r="T635" i="7"/>
  <c r="V636" i="7"/>
  <c r="V652" i="7"/>
  <c r="T655" i="7"/>
  <c r="V660" i="7"/>
  <c r="V668" i="7"/>
  <c r="T671" i="7"/>
  <c r="T832" i="7"/>
  <c r="S694" i="7"/>
  <c r="U696" i="7"/>
  <c r="V713" i="7"/>
  <c r="U772" i="7"/>
  <c r="S778" i="7"/>
  <c r="V742" i="7"/>
  <c r="V747" i="7"/>
  <c r="V750" i="7"/>
  <c r="V753" i="7"/>
  <c r="V912" i="7"/>
  <c r="V758" i="7"/>
  <c r="V927" i="7"/>
  <c r="V823" i="7"/>
  <c r="V939" i="7"/>
  <c r="V785" i="7"/>
  <c r="T809" i="7"/>
  <c r="T810" i="7"/>
  <c r="T969" i="7"/>
  <c r="T865" i="7"/>
  <c r="T869" i="7"/>
  <c r="T818" i="7"/>
  <c r="T928" i="7"/>
  <c r="T877" i="7"/>
  <c r="T930" i="7"/>
  <c r="T948" i="7"/>
  <c r="T949" i="7"/>
  <c r="T853" i="7"/>
  <c r="T907" i="7"/>
  <c r="N1009" i="7"/>
  <c r="F810" i="7"/>
  <c r="F833" i="7"/>
  <c r="T617" i="7"/>
  <c r="U646" i="7"/>
  <c r="V607" i="7"/>
  <c r="U662" i="7"/>
  <c r="U670" i="7"/>
  <c r="T621" i="7"/>
  <c r="U678" i="7"/>
  <c r="U636" i="7"/>
  <c r="U698" i="7"/>
  <c r="U753" i="7"/>
  <c r="U757" i="7"/>
  <c r="U658" i="7"/>
  <c r="U765" i="7"/>
  <c r="U769" i="7"/>
  <c r="U722" i="7"/>
  <c r="U726" i="7"/>
  <c r="U676" i="7"/>
  <c r="U785" i="7"/>
  <c r="U789" i="7"/>
  <c r="S795" i="7"/>
  <c r="U639" i="7"/>
  <c r="S807" i="7"/>
  <c r="S811" i="7"/>
  <c r="S782" i="7"/>
  <c r="S790" i="7"/>
  <c r="S701" i="7"/>
  <c r="U807" i="7"/>
  <c r="S821" i="7"/>
  <c r="T770" i="7"/>
  <c r="S725" i="7"/>
  <c r="U919" i="7"/>
  <c r="U922" i="7"/>
  <c r="U819" i="7"/>
  <c r="U925" i="7"/>
  <c r="U829" i="7"/>
  <c r="U842" i="7"/>
  <c r="U900" i="7"/>
  <c r="U901" i="7"/>
  <c r="V991" i="7"/>
  <c r="G653" i="7"/>
  <c r="F923" i="7"/>
  <c r="I920" i="1"/>
  <c r="G1003" i="7"/>
  <c r="F56" i="7"/>
  <c r="F54" i="7"/>
  <c r="N775" i="7"/>
  <c r="I567" i="1"/>
  <c r="G570" i="7"/>
  <c r="I537" i="1"/>
  <c r="G537" i="7"/>
  <c r="F537" i="7"/>
  <c r="W636" i="7"/>
  <c r="S979" i="7"/>
  <c r="S927" i="7"/>
  <c r="S884" i="7"/>
  <c r="S938" i="7"/>
  <c r="S888" i="7"/>
  <c r="S940" i="7"/>
  <c r="S992" i="7"/>
  <c r="S943" i="7"/>
  <c r="S946" i="7"/>
  <c r="S894" i="7"/>
  <c r="S998" i="7"/>
  <c r="I862" i="1"/>
  <c r="G864" i="7"/>
  <c r="F862" i="7"/>
  <c r="W966" i="7"/>
  <c r="F873" i="7"/>
  <c r="F876" i="7"/>
  <c r="I873" i="1"/>
  <c r="I876" i="1"/>
  <c r="F877" i="7"/>
  <c r="F39" i="7"/>
  <c r="S872" i="7"/>
  <c r="F119" i="7"/>
  <c r="F231" i="7"/>
  <c r="N675" i="7"/>
  <c r="F40" i="7"/>
  <c r="F64" i="7"/>
  <c r="F157" i="7"/>
  <c r="S922" i="7"/>
  <c r="O739" i="7"/>
  <c r="F530" i="7"/>
  <c r="S856" i="7"/>
  <c r="S905" i="7"/>
  <c r="F429" i="7"/>
  <c r="F70" i="7"/>
  <c r="V672" i="7"/>
  <c r="G842" i="7"/>
  <c r="S1002" i="7"/>
  <c r="F854" i="7"/>
  <c r="N705" i="7"/>
  <c r="N633" i="7"/>
  <c r="F803" i="7"/>
  <c r="T905" i="7"/>
  <c r="V676" i="7"/>
  <c r="S746" i="7"/>
  <c r="G558" i="7"/>
  <c r="S956" i="7"/>
  <c r="N754" i="7"/>
  <c r="T759" i="7"/>
  <c r="N678" i="7"/>
  <c r="S913" i="7"/>
  <c r="G996" i="7"/>
  <c r="S1004" i="7"/>
  <c r="V608" i="7"/>
  <c r="F246" i="7"/>
  <c r="T618" i="7"/>
  <c r="T937" i="7"/>
  <c r="T792" i="7"/>
  <c r="T707" i="7"/>
  <c r="F578" i="7"/>
  <c r="F577" i="7"/>
  <c r="I575" i="1"/>
  <c r="S1020" i="7"/>
  <c r="S863" i="7"/>
  <c r="N693" i="7"/>
  <c r="S912" i="7"/>
  <c r="F284" i="7"/>
  <c r="F286" i="7"/>
  <c r="F239" i="7"/>
  <c r="F236" i="7"/>
  <c r="F111" i="7"/>
  <c r="F110" i="7"/>
  <c r="T644" i="7"/>
  <c r="T749" i="7"/>
  <c r="T757" i="7"/>
  <c r="T704" i="7"/>
  <c r="T600" i="7"/>
  <c r="T606" i="7"/>
  <c r="T716" i="7"/>
  <c r="T664" i="7"/>
  <c r="T614" i="7"/>
  <c r="T720" i="7"/>
  <c r="T773" i="7"/>
  <c r="T672" i="7"/>
  <c r="T724" i="7"/>
  <c r="T777" i="7"/>
  <c r="T676" i="7"/>
  <c r="T781" i="7"/>
  <c r="T630" i="7"/>
  <c r="V640" i="7"/>
  <c r="V692" i="7"/>
  <c r="T751" i="7"/>
  <c r="T651" i="7"/>
  <c r="T808" i="7"/>
  <c r="T659" i="7"/>
  <c r="T663" i="7"/>
  <c r="T715" i="7"/>
  <c r="V664" i="7"/>
  <c r="T783" i="7"/>
  <c r="T683" i="7"/>
  <c r="T840" i="7"/>
  <c r="U845" i="7"/>
  <c r="U740" i="7"/>
  <c r="T799" i="7"/>
  <c r="T695" i="7"/>
  <c r="S702" i="7"/>
  <c r="S806" i="7"/>
  <c r="T755" i="7"/>
  <c r="S814" i="7"/>
  <c r="S762" i="7"/>
  <c r="T763" i="7"/>
  <c r="S875" i="7"/>
  <c r="S770" i="7"/>
  <c r="S718" i="7"/>
  <c r="T771" i="7"/>
  <c r="T779" i="7"/>
  <c r="T884" i="7"/>
  <c r="U736" i="7"/>
  <c r="V741" i="7"/>
  <c r="V744" i="7"/>
  <c r="V748" i="7"/>
  <c r="V760" i="7"/>
  <c r="V765" i="7"/>
  <c r="V773" i="7"/>
  <c r="V827" i="7"/>
  <c r="V879" i="7"/>
  <c r="V776" i="7"/>
  <c r="V933" i="7"/>
  <c r="V936" i="7"/>
  <c r="V779" i="7"/>
  <c r="V883" i="7"/>
  <c r="V832" i="7"/>
  <c r="V780" i="7"/>
  <c r="V781" i="7"/>
  <c r="V887" i="7"/>
  <c r="V783" i="7"/>
  <c r="V940" i="7"/>
  <c r="V893" i="7"/>
  <c r="V946" i="7"/>
  <c r="V845" i="7"/>
  <c r="V794" i="7"/>
  <c r="V847" i="7"/>
  <c r="V796" i="7"/>
  <c r="V799" i="7"/>
  <c r="V905" i="7"/>
  <c r="V906" i="7"/>
  <c r="V908" i="7"/>
  <c r="V909" i="7"/>
  <c r="V806" i="7"/>
  <c r="W686" i="7"/>
  <c r="G666" i="7"/>
  <c r="S1005" i="7"/>
  <c r="S848" i="7"/>
  <c r="S952" i="7"/>
  <c r="S909" i="7"/>
  <c r="S857" i="7"/>
  <c r="S935" i="7"/>
  <c r="S989" i="7"/>
  <c r="S993" i="7"/>
  <c r="S941" i="7"/>
  <c r="S890" i="7"/>
  <c r="S942" i="7"/>
  <c r="S944" i="7"/>
  <c r="S892" i="7"/>
  <c r="S895" i="7"/>
  <c r="N954" i="7"/>
  <c r="I850" i="1"/>
  <c r="O902" i="7"/>
  <c r="N1006" i="7"/>
  <c r="N906" i="7"/>
  <c r="N958" i="7"/>
  <c r="F857" i="7"/>
  <c r="F856" i="7"/>
  <c r="S958" i="7"/>
  <c r="F624" i="7"/>
  <c r="O906" i="7"/>
  <c r="F864" i="7"/>
  <c r="F863" i="7"/>
  <c r="W915" i="7"/>
  <c r="F539" i="7"/>
  <c r="F492" i="7"/>
  <c r="F491" i="7"/>
  <c r="F486" i="7"/>
  <c r="F483" i="7"/>
  <c r="F405" i="7"/>
  <c r="F404" i="7"/>
  <c r="N977" i="7"/>
  <c r="S899" i="7"/>
  <c r="N612" i="7"/>
  <c r="F570" i="7"/>
  <c r="G841" i="7"/>
  <c r="V938" i="7"/>
  <c r="F915" i="7"/>
  <c r="F316" i="7"/>
  <c r="F292" i="7"/>
  <c r="F796" i="7"/>
  <c r="W1005" i="7"/>
  <c r="N897" i="7"/>
  <c r="F804" i="7"/>
  <c r="I801" i="1"/>
  <c r="G803" i="7"/>
  <c r="F802" i="7"/>
  <c r="F801" i="7"/>
  <c r="N957" i="7"/>
  <c r="F811" i="7"/>
  <c r="N964" i="7"/>
  <c r="I808" i="1"/>
  <c r="G808" i="7"/>
  <c r="I823" i="1"/>
  <c r="G824" i="7"/>
  <c r="F826" i="7"/>
  <c r="I831" i="1"/>
  <c r="F832" i="7"/>
  <c r="F834" i="7"/>
  <c r="V648" i="7"/>
  <c r="T581" i="7"/>
  <c r="T633" i="7"/>
  <c r="U638" i="7"/>
  <c r="U751" i="7"/>
  <c r="U651" i="7"/>
  <c r="S710" i="7"/>
  <c r="S714" i="7"/>
  <c r="S819" i="7"/>
  <c r="U767" i="7"/>
  <c r="U783" i="7"/>
  <c r="S693" i="7"/>
  <c r="S797" i="7"/>
  <c r="S745" i="7"/>
  <c r="T798" i="7"/>
  <c r="T746" i="7"/>
  <c r="U747" i="7"/>
  <c r="U799" i="7"/>
  <c r="S761" i="7"/>
  <c r="S813" i="7"/>
  <c r="U727" i="7"/>
  <c r="U779" i="7"/>
  <c r="S919" i="7"/>
  <c r="S971" i="7"/>
  <c r="S1008" i="7"/>
  <c r="S903" i="7"/>
  <c r="F853" i="7"/>
  <c r="N745" i="7"/>
  <c r="N639" i="7"/>
  <c r="S937" i="7"/>
  <c r="N980" i="7"/>
  <c r="I622" i="1"/>
  <c r="O726" i="7"/>
  <c r="F333" i="7"/>
  <c r="F874" i="7"/>
  <c r="F270" i="7"/>
  <c r="I793" i="1"/>
  <c r="O897" i="7"/>
  <c r="N861" i="7"/>
  <c r="F655" i="7"/>
  <c r="I606" i="1"/>
  <c r="O814" i="7"/>
  <c r="N710" i="7"/>
  <c r="F608" i="7"/>
  <c r="I590" i="1"/>
  <c r="O798" i="7"/>
  <c r="F592" i="7"/>
  <c r="W644" i="7"/>
  <c r="F593" i="7"/>
  <c r="I582" i="1"/>
  <c r="G584" i="7"/>
  <c r="N790" i="7"/>
  <c r="N686" i="7"/>
  <c r="I612" i="1"/>
  <c r="N820" i="7"/>
  <c r="I759" i="1"/>
  <c r="G762" i="7"/>
  <c r="N967" i="7"/>
  <c r="I766" i="1"/>
  <c r="O922" i="7"/>
  <c r="N818" i="7"/>
  <c r="N870" i="7"/>
  <c r="N878" i="7"/>
  <c r="N930" i="7"/>
  <c r="I781" i="1"/>
  <c r="O989" i="7"/>
  <c r="F784" i="7"/>
  <c r="N989" i="7"/>
  <c r="F783" i="7"/>
  <c r="F791" i="7"/>
  <c r="I788" i="1"/>
  <c r="F790" i="7"/>
  <c r="N996" i="7"/>
  <c r="I794" i="1"/>
  <c r="N950" i="7"/>
  <c r="N898" i="7"/>
  <c r="I809" i="1"/>
  <c r="O861" i="7"/>
  <c r="N913" i="7"/>
  <c r="T604" i="7"/>
  <c r="T612" i="7"/>
  <c r="V614" i="7"/>
  <c r="V584" i="7"/>
  <c r="V588" i="7"/>
  <c r="V592" i="7"/>
  <c r="V650" i="7"/>
  <c r="V702" i="7"/>
  <c r="V604" i="7"/>
  <c r="V610" i="7"/>
  <c r="V612" i="7"/>
  <c r="V678" i="7"/>
  <c r="T654" i="7"/>
  <c r="T658" i="7"/>
  <c r="T662" i="7"/>
  <c r="T766" i="7"/>
  <c r="T666" i="7"/>
  <c r="T722" i="7"/>
  <c r="T835" i="7"/>
  <c r="T730" i="7"/>
  <c r="V687" i="7"/>
  <c r="U694" i="7"/>
  <c r="V703" i="7"/>
  <c r="I550" i="1"/>
  <c r="N706" i="7"/>
  <c r="F947" i="7"/>
  <c r="F945" i="7"/>
  <c r="F946" i="7"/>
  <c r="I944" i="1"/>
  <c r="Y908" i="7"/>
  <c r="Y960" i="7"/>
  <c r="I987" i="1"/>
  <c r="F988" i="7"/>
  <c r="F990" i="7"/>
  <c r="F940" i="7"/>
  <c r="N990" i="7"/>
  <c r="I981" i="1"/>
  <c r="G982" i="7"/>
  <c r="F982" i="7"/>
  <c r="F981" i="7"/>
  <c r="F983" i="7"/>
  <c r="F984" i="7"/>
  <c r="Y899" i="7"/>
  <c r="Y951" i="7"/>
  <c r="Y891" i="7"/>
  <c r="Y943" i="7"/>
  <c r="Y875" i="7"/>
  <c r="Y927" i="7"/>
  <c r="Y940" i="7"/>
  <c r="Y888" i="7"/>
  <c r="Y836" i="7"/>
  <c r="I888" i="1"/>
  <c r="F888" i="7"/>
  <c r="F894" i="7"/>
  <c r="W998" i="7"/>
  <c r="F893" i="7"/>
  <c r="W945" i="7"/>
  <c r="I892" i="1"/>
  <c r="O944" i="7"/>
  <c r="I939" i="1"/>
  <c r="F942" i="7"/>
  <c r="Y994" i="7"/>
  <c r="Y898" i="7"/>
  <c r="Y950" i="7"/>
  <c r="Y882" i="7"/>
  <c r="Y934" i="7"/>
  <c r="Y874" i="7"/>
  <c r="Y926" i="7"/>
  <c r="Y972" i="7"/>
  <c r="Y868" i="7"/>
  <c r="Y887" i="7"/>
  <c r="Y835" i="7"/>
  <c r="I1020" i="1"/>
  <c r="G665" i="7"/>
  <c r="O932" i="7"/>
  <c r="N654" i="7"/>
  <c r="F334" i="7"/>
  <c r="F319" i="7"/>
  <c r="F310" i="7"/>
  <c r="F193" i="7"/>
  <c r="F192" i="7"/>
  <c r="F175" i="7"/>
  <c r="I663" i="1"/>
  <c r="F663" i="7"/>
  <c r="I770" i="1"/>
  <c r="O822" i="7"/>
  <c r="N926" i="7"/>
  <c r="V941" i="7"/>
  <c r="I905" i="1"/>
  <c r="F906" i="7"/>
  <c r="F905" i="7"/>
  <c r="S961" i="7"/>
  <c r="S964" i="7"/>
  <c r="F924" i="7"/>
  <c r="W976" i="7"/>
  <c r="S974" i="7"/>
  <c r="G713" i="7"/>
  <c r="F418" i="7"/>
  <c r="F410" i="7"/>
  <c r="F377" i="7"/>
  <c r="F288" i="7"/>
  <c r="F240" i="7"/>
  <c r="F234" i="7"/>
  <c r="F170" i="7"/>
  <c r="F151" i="7"/>
  <c r="F120" i="7"/>
  <c r="F627" i="7"/>
  <c r="F572" i="7"/>
  <c r="F453" i="7"/>
  <c r="N691" i="7"/>
  <c r="N970" i="7"/>
  <c r="N918" i="7"/>
  <c r="F954" i="7"/>
  <c r="F1019" i="7"/>
  <c r="I1016" i="1"/>
  <c r="T786" i="7"/>
  <c r="V911" i="7"/>
  <c r="U860" i="7"/>
  <c r="U861" i="7"/>
  <c r="T831" i="7"/>
  <c r="T851" i="7"/>
  <c r="T976" i="7"/>
  <c r="T883" i="7"/>
  <c r="T987" i="7"/>
  <c r="T891" i="7"/>
  <c r="T995" i="7"/>
  <c r="T934" i="7"/>
  <c r="I887" i="1"/>
  <c r="G887" i="7"/>
  <c r="F890" i="7"/>
  <c r="W994" i="7"/>
  <c r="G893" i="7"/>
  <c r="S955" i="7"/>
  <c r="U962" i="7"/>
  <c r="T963" i="7"/>
  <c r="S966" i="7"/>
  <c r="T769" i="7"/>
  <c r="V808" i="7"/>
  <c r="V913" i="7"/>
  <c r="V811" i="7"/>
  <c r="V812" i="7"/>
  <c r="V919" i="7"/>
  <c r="V921" i="7"/>
  <c r="V818" i="7"/>
  <c r="U844" i="7"/>
  <c r="U896" i="7"/>
  <c r="U899" i="7"/>
  <c r="U951" i="7"/>
  <c r="U911" i="7"/>
  <c r="U859" i="7"/>
  <c r="U879" i="7"/>
  <c r="U894" i="7"/>
  <c r="F1021" i="7"/>
  <c r="F1018" i="7"/>
  <c r="T838" i="7"/>
  <c r="F510" i="7"/>
  <c r="F482" i="7"/>
  <c r="N583" i="7"/>
  <c r="N622" i="7"/>
  <c r="N688" i="7"/>
  <c r="F535" i="7"/>
  <c r="I604" i="1"/>
  <c r="G605" i="7"/>
  <c r="N760" i="7"/>
  <c r="N893" i="7"/>
  <c r="T583" i="7"/>
  <c r="V581" i="7"/>
  <c r="V621" i="7"/>
  <c r="V629" i="7"/>
  <c r="F1009" i="7"/>
  <c r="F1016" i="7"/>
  <c r="I1018" i="1"/>
  <c r="U668" i="7"/>
  <c r="S687" i="7"/>
  <c r="T800" i="7"/>
  <c r="S823" i="7"/>
  <c r="U834" i="7"/>
  <c r="U786" i="7"/>
  <c r="S973" i="7"/>
  <c r="U974" i="7"/>
  <c r="U983" i="7"/>
  <c r="V984" i="7"/>
  <c r="I971" i="1"/>
  <c r="F974" i="7"/>
  <c r="F269" i="7"/>
  <c r="F261" i="7"/>
  <c r="F238" i="7"/>
  <c r="F55" i="7"/>
  <c r="F31" i="7"/>
  <c r="F680" i="7"/>
  <c r="W889" i="7"/>
  <c r="V931" i="7"/>
  <c r="I962" i="1"/>
  <c r="F963" i="7"/>
  <c r="Y913" i="7"/>
  <c r="Y933" i="7"/>
  <c r="Y881" i="7"/>
  <c r="O880" i="7"/>
  <c r="F684" i="7"/>
  <c r="N902" i="7"/>
  <c r="F808" i="7"/>
  <c r="V1008" i="7"/>
  <c r="Y1000" i="7"/>
  <c r="O691" i="7"/>
  <c r="F348" i="7"/>
  <c r="F92" i="7"/>
  <c r="F77" i="7"/>
  <c r="F69" i="7"/>
  <c r="F531" i="7"/>
  <c r="N656" i="7"/>
  <c r="U898" i="7"/>
  <c r="U952" i="7"/>
  <c r="I898" i="1"/>
  <c r="O1002" i="7"/>
  <c r="F899" i="7"/>
  <c r="F901" i="7"/>
  <c r="I929" i="1"/>
  <c r="G929" i="7"/>
  <c r="F929" i="7"/>
  <c r="I936" i="1"/>
  <c r="N988" i="7"/>
  <c r="S1001" i="7"/>
  <c r="U1004" i="7"/>
  <c r="F966" i="7"/>
  <c r="F967" i="7"/>
  <c r="F970" i="7"/>
  <c r="I1014" i="1"/>
  <c r="F1017" i="7"/>
  <c r="F430" i="7"/>
  <c r="F421" i="7"/>
  <c r="F390" i="7"/>
  <c r="F375" i="7"/>
  <c r="F224" i="7"/>
  <c r="F216" i="7"/>
  <c r="F200" i="7"/>
  <c r="N883" i="7"/>
  <c r="F751" i="7"/>
  <c r="F800" i="7"/>
  <c r="W956" i="7"/>
  <c r="F806" i="7"/>
  <c r="F819" i="7"/>
  <c r="F828" i="7"/>
  <c r="V611" i="7"/>
  <c r="V627" i="7"/>
  <c r="V876" i="7"/>
  <c r="V877" i="7"/>
  <c r="V878" i="7"/>
  <c r="U932" i="7"/>
  <c r="U935" i="7"/>
  <c r="U936" i="7"/>
  <c r="U937" i="7"/>
  <c r="U939" i="7"/>
  <c r="T895" i="7"/>
  <c r="T933" i="7"/>
  <c r="V934" i="7"/>
  <c r="U944" i="7"/>
  <c r="U953" i="7"/>
  <c r="U1008" i="7"/>
  <c r="S1009" i="7"/>
  <c r="U959" i="7"/>
  <c r="T962" i="7"/>
  <c r="S963" i="7"/>
  <c r="Y999" i="7"/>
  <c r="Y919" i="7"/>
  <c r="T608" i="7"/>
  <c r="T616" i="7"/>
  <c r="T624" i="7"/>
  <c r="U776" i="7"/>
  <c r="T637" i="7"/>
  <c r="T939" i="7"/>
  <c r="S962" i="7"/>
  <c r="Y949" i="7"/>
  <c r="V701" i="7"/>
  <c r="V709" i="7"/>
  <c r="V772" i="7"/>
  <c r="S705" i="7"/>
  <c r="V784" i="7"/>
  <c r="S841" i="7"/>
  <c r="S842" i="7"/>
  <c r="S741" i="7"/>
  <c r="S846" i="7"/>
  <c r="S902" i="7"/>
  <c r="S850" i="7"/>
  <c r="S799" i="7"/>
  <c r="S804" i="7"/>
  <c r="S910" i="7"/>
  <c r="S816" i="7"/>
  <c r="S925" i="7"/>
  <c r="S873" i="7"/>
  <c r="F891" i="7"/>
  <c r="F62" i="7"/>
  <c r="F53" i="7"/>
  <c r="F37" i="7"/>
  <c r="F30" i="7"/>
  <c r="V625" i="7"/>
  <c r="S692" i="7"/>
  <c r="S698" i="7"/>
  <c r="T668" i="7"/>
  <c r="V826" i="7"/>
  <c r="S728" i="7"/>
  <c r="T898" i="7"/>
  <c r="T903" i="7"/>
  <c r="T1020" i="7"/>
  <c r="Y929" i="7"/>
  <c r="Y923" i="7"/>
  <c r="Y1020" i="7"/>
  <c r="Y961" i="7"/>
  <c r="G801" i="7"/>
  <c r="O969" i="7"/>
  <c r="F304" i="7"/>
  <c r="F305" i="7"/>
  <c r="T597" i="7"/>
  <c r="T702" i="7"/>
  <c r="T613" i="7"/>
  <c r="T718" i="7"/>
  <c r="T815" i="7"/>
  <c r="T867" i="7"/>
  <c r="T819" i="7"/>
  <c r="T871" i="7"/>
  <c r="T979" i="7"/>
  <c r="T926" i="7"/>
  <c r="T874" i="7"/>
  <c r="S981" i="7"/>
  <c r="S876" i="7"/>
  <c r="I919" i="1"/>
  <c r="G922" i="7"/>
  <c r="F922" i="7"/>
  <c r="F920" i="7"/>
  <c r="F921" i="7"/>
  <c r="N971" i="7"/>
  <c r="Y966" i="7"/>
  <c r="Y914" i="7"/>
  <c r="O714" i="7"/>
  <c r="F335" i="7"/>
  <c r="T641" i="7"/>
  <c r="T636" i="7"/>
  <c r="T689" i="7"/>
  <c r="T584" i="7"/>
  <c r="U864" i="7"/>
  <c r="U969" i="7"/>
  <c r="U868" i="7"/>
  <c r="U920" i="7"/>
  <c r="U977" i="7"/>
  <c r="U924" i="7"/>
  <c r="F927" i="7"/>
  <c r="N976" i="7"/>
  <c r="V635" i="7"/>
  <c r="U867" i="7"/>
  <c r="N701" i="7"/>
  <c r="F670" i="7"/>
  <c r="N719" i="7"/>
  <c r="I667" i="1"/>
  <c r="G668" i="7"/>
  <c r="F669" i="7"/>
  <c r="N944" i="7"/>
  <c r="N892" i="7"/>
  <c r="I736" i="1"/>
  <c r="O892" i="7"/>
  <c r="N788" i="7"/>
  <c r="F736" i="7"/>
  <c r="N840" i="7"/>
  <c r="N796" i="7"/>
  <c r="I744" i="1"/>
  <c r="F746" i="7"/>
  <c r="N869" i="7"/>
  <c r="F766" i="7"/>
  <c r="F768" i="7"/>
  <c r="W872" i="7"/>
  <c r="N994" i="7"/>
  <c r="I786" i="1"/>
  <c r="G786" i="7"/>
  <c r="F786" i="7"/>
  <c r="F787" i="7"/>
  <c r="W943" i="7"/>
  <c r="F789" i="7"/>
  <c r="F815" i="7"/>
  <c r="F814" i="7"/>
  <c r="F813" i="7"/>
  <c r="I812" i="1"/>
  <c r="N916" i="7"/>
  <c r="V873" i="7"/>
  <c r="U938" i="7"/>
  <c r="U990" i="7"/>
  <c r="U942" i="7"/>
  <c r="U890" i="7"/>
  <c r="U994" i="7"/>
  <c r="U891" i="7"/>
  <c r="U995" i="7"/>
  <c r="U943" i="7"/>
  <c r="U992" i="7"/>
  <c r="T947" i="7"/>
  <c r="S951" i="7"/>
  <c r="S1003" i="7"/>
  <c r="U965" i="7"/>
  <c r="V970" i="7"/>
  <c r="O800" i="7"/>
  <c r="G847" i="7"/>
  <c r="O928" i="7"/>
  <c r="O874" i="7"/>
  <c r="S878" i="7"/>
  <c r="F313" i="7"/>
  <c r="V846" i="7"/>
  <c r="V903" i="7"/>
  <c r="V815" i="7"/>
  <c r="F753" i="7"/>
  <c r="S957" i="7"/>
  <c r="T822" i="7"/>
  <c r="N779" i="7"/>
  <c r="U987" i="7"/>
  <c r="F497" i="7"/>
  <c r="W653" i="7"/>
  <c r="N650" i="7"/>
  <c r="F489" i="7"/>
  <c r="F488" i="7"/>
  <c r="F481" i="7"/>
  <c r="N634" i="7"/>
  <c r="N582" i="7"/>
  <c r="F464" i="7"/>
  <c r="F465" i="7"/>
  <c r="F441" i="7"/>
  <c r="N595" i="7"/>
  <c r="F434" i="7"/>
  <c r="N587" i="7"/>
  <c r="F433" i="7"/>
  <c r="N631" i="7"/>
  <c r="F425" i="7"/>
  <c r="W633" i="7"/>
  <c r="F423" i="7"/>
  <c r="F426" i="7"/>
  <c r="N607" i="7"/>
  <c r="F401" i="7"/>
  <c r="F402" i="7"/>
  <c r="F383" i="7"/>
  <c r="F385" i="7"/>
  <c r="F353" i="7"/>
  <c r="F354" i="7"/>
  <c r="F144" i="7"/>
  <c r="F146" i="7"/>
  <c r="F135" i="7"/>
  <c r="F137" i="7"/>
  <c r="F52" i="7"/>
  <c r="F41" i="7"/>
  <c r="F43" i="7"/>
  <c r="F628" i="7"/>
  <c r="F629" i="7"/>
  <c r="I626" i="1"/>
  <c r="F622" i="7"/>
  <c r="N671" i="7"/>
  <c r="I572" i="1"/>
  <c r="O728" i="7"/>
  <c r="N624" i="7"/>
  <c r="N728" i="7"/>
  <c r="F573" i="7"/>
  <c r="N780" i="7"/>
  <c r="F518" i="7"/>
  <c r="F516" i="7"/>
  <c r="F519" i="7"/>
  <c r="F344" i="7"/>
  <c r="F345" i="7"/>
  <c r="F343" i="7"/>
  <c r="F326" i="7"/>
  <c r="F329" i="7"/>
  <c r="F328" i="7"/>
  <c r="F327" i="7"/>
  <c r="F295" i="7"/>
  <c r="F294" i="7"/>
  <c r="F297" i="7"/>
  <c r="T589" i="7"/>
  <c r="T694" i="7"/>
  <c r="V651" i="7"/>
  <c r="V599" i="7"/>
  <c r="V704" i="7"/>
  <c r="V615" i="7"/>
  <c r="V720" i="7"/>
  <c r="V667" i="7"/>
  <c r="V728" i="7"/>
  <c r="V675" i="7"/>
  <c r="T629" i="7"/>
  <c r="T681" i="7"/>
  <c r="V683" i="7"/>
  <c r="V736" i="7"/>
  <c r="V631" i="7"/>
  <c r="U640" i="7"/>
  <c r="U745" i="7"/>
  <c r="V797" i="7"/>
  <c r="V954" i="7"/>
  <c r="V849" i="7"/>
  <c r="V852" i="7"/>
  <c r="V800" i="7"/>
  <c r="T868" i="7"/>
  <c r="T973" i="7"/>
  <c r="T820" i="7"/>
  <c r="T924" i="7"/>
  <c r="T872" i="7"/>
  <c r="S879" i="7"/>
  <c r="S984" i="7"/>
  <c r="S931" i="7"/>
  <c r="V963" i="7"/>
  <c r="G642" i="7"/>
  <c r="O743" i="7"/>
  <c r="V659" i="7"/>
  <c r="V630" i="7"/>
  <c r="U914" i="7"/>
  <c r="U967" i="7"/>
  <c r="U918" i="7"/>
  <c r="U814" i="7"/>
  <c r="U866" i="7"/>
  <c r="V962" i="7"/>
  <c r="F312" i="7"/>
  <c r="V691" i="7"/>
  <c r="V859" i="7"/>
  <c r="V971" i="7"/>
  <c r="V814" i="7"/>
  <c r="V866" i="7"/>
  <c r="V918" i="7"/>
  <c r="V816" i="7"/>
  <c r="V920" i="7"/>
  <c r="V973" i="7"/>
  <c r="S948" i="7"/>
  <c r="S1000" i="7"/>
  <c r="T951" i="7"/>
  <c r="T1003" i="7"/>
  <c r="S954" i="7"/>
  <c r="S1006" i="7"/>
  <c r="V968" i="7"/>
  <c r="U978" i="7"/>
  <c r="V961" i="7"/>
  <c r="F776" i="7"/>
  <c r="N929" i="7"/>
  <c r="F775" i="7"/>
  <c r="W879" i="7"/>
  <c r="I792" i="1"/>
  <c r="F794" i="7"/>
  <c r="W846" i="7"/>
  <c r="N948" i="7"/>
  <c r="F792" i="7"/>
  <c r="N1000" i="7"/>
  <c r="N896" i="7"/>
  <c r="I827" i="1"/>
  <c r="N931" i="7"/>
  <c r="N983" i="7"/>
  <c r="N879" i="7"/>
  <c r="F829" i="7"/>
  <c r="V623" i="7"/>
  <c r="V922" i="7"/>
  <c r="V870" i="7"/>
  <c r="U934" i="7"/>
  <c r="U986" i="7"/>
  <c r="U882" i="7"/>
  <c r="S939" i="7"/>
  <c r="S991" i="7"/>
  <c r="V969" i="7"/>
  <c r="U809" i="7"/>
  <c r="U989" i="7"/>
  <c r="T916" i="7"/>
  <c r="V854" i="7"/>
  <c r="O984" i="7"/>
  <c r="N942" i="7"/>
  <c r="V858" i="7"/>
  <c r="T913" i="7"/>
  <c r="T970" i="7"/>
  <c r="U808" i="7"/>
  <c r="F547" i="7"/>
  <c r="N648" i="7"/>
  <c r="I544" i="1"/>
  <c r="G544" i="7"/>
  <c r="F545" i="7"/>
  <c r="F546" i="7"/>
  <c r="N596" i="7"/>
  <c r="I538" i="1"/>
  <c r="F540" i="7"/>
  <c r="F541" i="7"/>
  <c r="N694" i="7"/>
  <c r="N642" i="7"/>
  <c r="N590" i="7"/>
  <c r="I588" i="1"/>
  <c r="N640" i="7"/>
  <c r="F591" i="7"/>
  <c r="N692" i="7"/>
  <c r="F590" i="7"/>
  <c r="W642" i="7"/>
  <c r="N766" i="7"/>
  <c r="I610" i="1"/>
  <c r="O766" i="7"/>
  <c r="F612" i="7"/>
  <c r="F526" i="7"/>
  <c r="F527" i="7"/>
  <c r="V591" i="7"/>
  <c r="V696" i="7"/>
  <c r="V643" i="7"/>
  <c r="V791" i="7"/>
  <c r="V948" i="7"/>
  <c r="V955" i="7"/>
  <c r="V902" i="7"/>
  <c r="V958" i="7"/>
  <c r="V853" i="7"/>
  <c r="V960" i="7"/>
  <c r="V803" i="7"/>
  <c r="V855" i="7"/>
  <c r="N982" i="7"/>
  <c r="F931" i="7"/>
  <c r="F932" i="7"/>
  <c r="F930" i="7"/>
  <c r="Y922" i="7"/>
  <c r="Y974" i="7"/>
  <c r="U692" i="7"/>
  <c r="U915" i="7"/>
  <c r="U811" i="7"/>
  <c r="U865" i="7"/>
  <c r="U813" i="7"/>
  <c r="U869" i="7"/>
  <c r="U817" i="7"/>
  <c r="U923" i="7"/>
  <c r="U871" i="7"/>
  <c r="U976" i="7"/>
  <c r="U926" i="7"/>
  <c r="U822" i="7"/>
  <c r="U874" i="7"/>
  <c r="U980" i="7"/>
  <c r="U875" i="7"/>
  <c r="U927" i="7"/>
  <c r="I907" i="1"/>
  <c r="F908" i="7"/>
  <c r="F907" i="7"/>
  <c r="I913" i="1"/>
  <c r="G914" i="7"/>
  <c r="F916" i="7"/>
  <c r="N965" i="7"/>
  <c r="T974" i="7"/>
  <c r="T726" i="7"/>
  <c r="N628" i="7"/>
  <c r="W892" i="7"/>
  <c r="U815" i="7"/>
  <c r="F177" i="7"/>
  <c r="V861" i="7"/>
  <c r="V809" i="7"/>
  <c r="V966" i="7"/>
  <c r="V862" i="7"/>
  <c r="V914" i="7"/>
  <c r="V967" i="7"/>
  <c r="V810" i="7"/>
  <c r="V813" i="7"/>
  <c r="V917" i="7"/>
  <c r="U928" i="7"/>
  <c r="U981" i="7"/>
  <c r="S947" i="7"/>
  <c r="S999" i="7"/>
  <c r="V959" i="7"/>
  <c r="T861" i="7"/>
  <c r="F496" i="7"/>
  <c r="U913" i="7"/>
  <c r="T981" i="7"/>
  <c r="I835" i="1"/>
  <c r="N887" i="7"/>
  <c r="N991" i="7"/>
  <c r="N939" i="7"/>
  <c r="F835" i="7"/>
  <c r="F836" i="7"/>
  <c r="V981" i="7"/>
  <c r="V929" i="7"/>
  <c r="U933" i="7"/>
  <c r="U881" i="7"/>
  <c r="U993" i="7"/>
  <c r="U941" i="7"/>
  <c r="U889" i="7"/>
  <c r="T936" i="7"/>
  <c r="T988" i="7"/>
  <c r="S997" i="7"/>
  <c r="S945" i="7"/>
  <c r="U968" i="7"/>
  <c r="G667" i="7"/>
  <c r="G751" i="7"/>
  <c r="O980" i="7"/>
  <c r="G866" i="7"/>
  <c r="U917" i="7"/>
  <c r="S828" i="7"/>
  <c r="F812" i="7"/>
  <c r="W1021" i="7"/>
  <c r="U885" i="7"/>
  <c r="U880" i="7"/>
  <c r="U886" i="7"/>
  <c r="V805" i="7"/>
  <c r="V802" i="7"/>
  <c r="V986" i="7"/>
  <c r="T999" i="7"/>
  <c r="V974" i="7"/>
  <c r="F744" i="7"/>
  <c r="I765" i="1"/>
  <c r="O817" i="7"/>
  <c r="N771" i="7"/>
  <c r="V857" i="7"/>
  <c r="V928" i="7"/>
  <c r="V942" i="7"/>
  <c r="N744" i="7"/>
  <c r="S928" i="7"/>
  <c r="F83" i="7"/>
  <c r="F84" i="7"/>
  <c r="I628" i="1"/>
  <c r="N784" i="7"/>
  <c r="N732" i="7"/>
  <c r="N774" i="7"/>
  <c r="N618" i="7"/>
  <c r="I566" i="1"/>
  <c r="O774" i="7"/>
  <c r="I595" i="1"/>
  <c r="O751" i="7"/>
  <c r="N699" i="7"/>
  <c r="N647" i="7"/>
  <c r="F595" i="7"/>
  <c r="W699" i="7"/>
  <c r="N751" i="7"/>
  <c r="F598" i="7"/>
  <c r="T710" i="7"/>
  <c r="T657" i="7"/>
  <c r="T605" i="7"/>
  <c r="T811" i="7"/>
  <c r="T863" i="7"/>
  <c r="T918" i="7"/>
  <c r="T971" i="7"/>
  <c r="T814" i="7"/>
  <c r="T866" i="7"/>
  <c r="T922" i="7"/>
  <c r="T870" i="7"/>
  <c r="T978" i="7"/>
  <c r="T873" i="7"/>
  <c r="T927" i="7"/>
  <c r="T875" i="7"/>
  <c r="T823" i="7"/>
  <c r="T980" i="7"/>
  <c r="S826" i="7"/>
  <c r="S930" i="7"/>
  <c r="S982" i="7"/>
  <c r="Y982" i="7"/>
  <c r="Y930" i="7"/>
  <c r="Y906" i="7"/>
  <c r="Y958" i="7"/>
  <c r="T917" i="7"/>
  <c r="V798" i="7"/>
  <c r="T921" i="7"/>
  <c r="U818" i="7"/>
  <c r="U975" i="7"/>
  <c r="I916" i="1"/>
  <c r="G918" i="7"/>
  <c r="F918" i="7"/>
  <c r="W970" i="7"/>
  <c r="F919" i="7"/>
  <c r="V582" i="7"/>
  <c r="U872" i="7"/>
  <c r="U810" i="7"/>
  <c r="T812" i="7"/>
  <c r="U743" i="7"/>
  <c r="F495" i="7"/>
  <c r="V863" i="7"/>
  <c r="V915" i="7"/>
  <c r="V869" i="7"/>
  <c r="V817" i="7"/>
  <c r="U878" i="7"/>
  <c r="U930" i="7"/>
  <c r="V956" i="7"/>
  <c r="V965" i="7"/>
  <c r="F925" i="7"/>
  <c r="V907" i="7"/>
  <c r="V867" i="7"/>
  <c r="T734" i="7"/>
  <c r="T968" i="7"/>
  <c r="F678" i="7"/>
  <c r="I675" i="1"/>
  <c r="F676" i="7"/>
  <c r="F675" i="7"/>
  <c r="F677" i="7"/>
  <c r="W833" i="7"/>
  <c r="N831" i="7"/>
  <c r="I797" i="1"/>
  <c r="O953" i="7"/>
  <c r="F799" i="7"/>
  <c r="W1008" i="7"/>
  <c r="F797" i="7"/>
  <c r="N953" i="7"/>
  <c r="I819" i="1"/>
  <c r="G819" i="7"/>
  <c r="F821" i="7"/>
  <c r="F820" i="7"/>
  <c r="F822" i="7"/>
  <c r="F882" i="7"/>
  <c r="W934" i="7"/>
  <c r="F883" i="7"/>
  <c r="F881" i="7"/>
  <c r="N984" i="7"/>
  <c r="F880" i="7"/>
  <c r="V989" i="7"/>
  <c r="V937" i="7"/>
  <c r="N952" i="7"/>
  <c r="U873" i="7"/>
  <c r="G834" i="7"/>
  <c r="U1005" i="7"/>
  <c r="T876" i="7"/>
  <c r="V850" i="7"/>
  <c r="S824" i="7"/>
  <c r="F752" i="7"/>
  <c r="V801" i="7"/>
  <c r="V972" i="7"/>
  <c r="N856" i="7"/>
  <c r="N968" i="7"/>
  <c r="S985" i="7"/>
  <c r="U863" i="7"/>
  <c r="T649" i="7"/>
  <c r="U823" i="7"/>
  <c r="F738" i="7"/>
  <c r="U723" i="7"/>
  <c r="U883" i="7"/>
  <c r="V910" i="7"/>
  <c r="O839" i="7"/>
  <c r="N932" i="7"/>
  <c r="O835" i="7"/>
  <c r="E14" i="6"/>
  <c r="T673" i="7"/>
  <c r="S932" i="7"/>
  <c r="V856" i="7"/>
  <c r="T925" i="7"/>
  <c r="T821" i="7"/>
  <c r="F296" i="7"/>
  <c r="V865" i="7"/>
  <c r="N726" i="7"/>
  <c r="N674" i="7"/>
  <c r="F474" i="7"/>
  <c r="N627" i="7"/>
  <c r="N592" i="7"/>
  <c r="F387" i="7"/>
  <c r="F346" i="7"/>
  <c r="F347" i="7"/>
  <c r="F280" i="7"/>
  <c r="F283" i="7"/>
  <c r="F275" i="7"/>
  <c r="F274" i="7"/>
  <c r="F115" i="7"/>
  <c r="F114" i="7"/>
  <c r="F107" i="7"/>
  <c r="F104" i="7"/>
  <c r="F99" i="7"/>
  <c r="F98" i="7"/>
  <c r="F97" i="7"/>
  <c r="F91" i="7"/>
  <c r="F90" i="7"/>
  <c r="F89" i="7"/>
  <c r="F76" i="7"/>
  <c r="F68" i="7"/>
  <c r="F61" i="7"/>
  <c r="F58" i="7"/>
  <c r="F59" i="7"/>
  <c r="I627" i="1"/>
  <c r="N731" i="7"/>
  <c r="N679" i="7"/>
  <c r="I619" i="1"/>
  <c r="G619" i="7"/>
  <c r="I580" i="1"/>
  <c r="N632" i="7"/>
  <c r="F583" i="7"/>
  <c r="I565" i="1"/>
  <c r="O773" i="7"/>
  <c r="N669" i="7"/>
  <c r="N773" i="7"/>
  <c r="N721" i="7"/>
  <c r="F567" i="7"/>
  <c r="F568" i="7"/>
  <c r="W620" i="7"/>
  <c r="F565" i="7"/>
  <c r="F566" i="7"/>
  <c r="G597" i="7"/>
  <c r="F376" i="7"/>
  <c r="W584" i="7"/>
  <c r="F618" i="7"/>
  <c r="I615" i="1"/>
  <c r="G617" i="7"/>
  <c r="I539" i="1"/>
  <c r="N695" i="7"/>
  <c r="N643" i="7"/>
  <c r="F542" i="7"/>
  <c r="I611" i="1"/>
  <c r="O715" i="7"/>
  <c r="N663" i="7"/>
  <c r="N767" i="7"/>
  <c r="N746" i="7"/>
  <c r="N763" i="7"/>
  <c r="F714" i="7"/>
  <c r="F493" i="7"/>
  <c r="F485" i="7"/>
  <c r="F487" i="7"/>
  <c r="F479" i="7"/>
  <c r="W635" i="7"/>
  <c r="F462" i="7"/>
  <c r="F463" i="7"/>
  <c r="F439" i="7"/>
  <c r="W595" i="7"/>
  <c r="N645" i="7"/>
  <c r="F415" i="7"/>
  <c r="F416" i="7"/>
  <c r="F400" i="7"/>
  <c r="F384" i="7"/>
  <c r="F366" i="7"/>
  <c r="F367" i="7"/>
  <c r="F351" i="7"/>
  <c r="F208" i="7"/>
  <c r="F207" i="7"/>
  <c r="F190" i="7"/>
  <c r="F191" i="7"/>
  <c r="N833" i="7"/>
  <c r="N937" i="7"/>
  <c r="F731" i="7"/>
  <c r="I729" i="1"/>
  <c r="N917" i="7"/>
  <c r="N969" i="7"/>
  <c r="I820" i="1"/>
  <c r="N924" i="7"/>
  <c r="W660" i="7"/>
  <c r="F352" i="7"/>
  <c r="F391" i="7"/>
  <c r="O867" i="7"/>
  <c r="N752" i="7"/>
  <c r="I700" i="1"/>
  <c r="N925" i="7"/>
  <c r="N769" i="7"/>
  <c r="F720" i="7"/>
  <c r="W929" i="7"/>
  <c r="F717" i="7"/>
  <c r="I799" i="1"/>
  <c r="N955" i="7"/>
  <c r="N858" i="7"/>
  <c r="I806" i="1"/>
  <c r="N910" i="7"/>
  <c r="O916" i="7"/>
  <c r="F215" i="7"/>
  <c r="F461" i="7"/>
  <c r="N885" i="7"/>
  <c r="F382" i="7"/>
  <c r="I532" i="1"/>
  <c r="G532" i="7"/>
  <c r="F534" i="7"/>
  <c r="N600" i="7"/>
  <c r="F498" i="7"/>
  <c r="W707" i="7"/>
  <c r="F452" i="7"/>
  <c r="F449" i="7"/>
  <c r="W658" i="7"/>
  <c r="I673" i="1"/>
  <c r="O725" i="7"/>
  <c r="N777" i="7"/>
  <c r="F673" i="7"/>
  <c r="I681" i="1"/>
  <c r="G684" i="7"/>
  <c r="F690" i="7"/>
  <c r="N753" i="7"/>
  <c r="I701" i="1"/>
  <c r="O805" i="7"/>
  <c r="I709" i="1"/>
  <c r="O917" i="7"/>
  <c r="F712" i="7"/>
  <c r="I723" i="1"/>
  <c r="G724" i="7"/>
  <c r="N827" i="7"/>
  <c r="F723" i="7"/>
  <c r="N783" i="7"/>
  <c r="I731" i="1"/>
  <c r="N835" i="7"/>
  <c r="T615" i="7"/>
  <c r="O717" i="7"/>
  <c r="F337" i="7"/>
  <c r="F291" i="7"/>
  <c r="F134" i="7"/>
  <c r="F499" i="7"/>
  <c r="W603" i="7"/>
  <c r="I679" i="1"/>
  <c r="G679" i="7"/>
  <c r="F681" i="7"/>
  <c r="W837" i="7"/>
  <c r="I743" i="1"/>
  <c r="G743" i="7"/>
  <c r="N951" i="7"/>
  <c r="F745" i="7"/>
  <c r="T638" i="7"/>
  <c r="T596" i="7"/>
  <c r="U835" i="7"/>
  <c r="T982" i="7"/>
  <c r="F184" i="7"/>
  <c r="F67" i="7"/>
  <c r="I877" i="1"/>
  <c r="G880" i="7"/>
  <c r="F879" i="7"/>
  <c r="F878" i="7"/>
  <c r="F884" i="7"/>
  <c r="F885" i="7"/>
  <c r="Y851" i="7"/>
  <c r="Y903" i="7"/>
  <c r="F349" i="7"/>
  <c r="U731" i="7"/>
  <c r="S743" i="7"/>
  <c r="S751" i="7"/>
  <c r="S978" i="7"/>
  <c r="S926" i="7"/>
  <c r="U979" i="7"/>
  <c r="V930" i="7"/>
  <c r="I955" i="1"/>
  <c r="F955" i="7"/>
  <c r="O977" i="7"/>
  <c r="F285" i="7"/>
  <c r="F57" i="7"/>
  <c r="F642" i="7"/>
  <c r="S688" i="7"/>
  <c r="U921" i="7"/>
  <c r="I872" i="1"/>
  <c r="F875" i="7"/>
  <c r="I948" i="1"/>
  <c r="F948" i="7"/>
  <c r="Y884" i="7"/>
  <c r="Y942" i="7"/>
  <c r="Y838" i="7"/>
  <c r="F517" i="7"/>
  <c r="F494" i="7"/>
  <c r="F407" i="7"/>
  <c r="F336" i="7"/>
  <c r="F66" i="7"/>
  <c r="F49" i="7"/>
  <c r="F550" i="7"/>
  <c r="W602" i="7"/>
  <c r="F809" i="7"/>
  <c r="W913" i="7"/>
  <c r="T620" i="7"/>
  <c r="U684" i="7"/>
  <c r="S695" i="7"/>
  <c r="S877" i="7"/>
  <c r="U774" i="7"/>
  <c r="V775" i="7"/>
  <c r="T738" i="7"/>
  <c r="T790" i="7"/>
  <c r="T745" i="7"/>
  <c r="T804" i="7"/>
  <c r="T764" i="7"/>
  <c r="S822" i="7"/>
  <c r="U931" i="7"/>
  <c r="S882" i="7"/>
  <c r="S988" i="7"/>
  <c r="U970" i="7"/>
  <c r="T929" i="7"/>
  <c r="F889" i="7"/>
  <c r="I889" i="1"/>
  <c r="I958" i="1"/>
  <c r="F961" i="7"/>
  <c r="F148" i="7"/>
  <c r="F141" i="7"/>
  <c r="N748" i="7"/>
  <c r="N723" i="7"/>
  <c r="S719" i="7"/>
  <c r="V722" i="7"/>
  <c r="U758" i="7"/>
  <c r="U916" i="7"/>
  <c r="T817" i="7"/>
  <c r="U950" i="7"/>
  <c r="V1010" i="7"/>
  <c r="T972" i="7"/>
  <c r="T975" i="7"/>
  <c r="S1011" i="7"/>
  <c r="V1013" i="7"/>
  <c r="V1018" i="7"/>
  <c r="Y928" i="7"/>
  <c r="F473" i="7"/>
  <c r="F355" i="7"/>
  <c r="F279" i="7"/>
  <c r="F256" i="7"/>
  <c r="N873" i="7"/>
  <c r="U699" i="7"/>
  <c r="S711" i="7"/>
  <c r="U675" i="7"/>
  <c r="S686" i="7"/>
  <c r="U832" i="7"/>
  <c r="U870" i="7"/>
  <c r="U820" i="7"/>
  <c r="U895" i="7"/>
  <c r="U858" i="7"/>
  <c r="U862" i="7"/>
  <c r="F845" i="7"/>
  <c r="V1002" i="7"/>
  <c r="V900" i="7"/>
  <c r="V953" i="7"/>
  <c r="U972" i="7"/>
  <c r="I934" i="1"/>
  <c r="F934" i="7"/>
  <c r="S1012" i="7"/>
  <c r="U1018" i="7"/>
  <c r="V1019" i="7"/>
  <c r="Y1007" i="7"/>
  <c r="F124" i="7"/>
  <c r="N715" i="7"/>
  <c r="F685" i="7"/>
  <c r="F701" i="7"/>
  <c r="F724" i="7"/>
  <c r="V590" i="7"/>
  <c r="T603" i="7"/>
  <c r="T607" i="7"/>
  <c r="S737" i="7"/>
  <c r="T967" i="7"/>
  <c r="T915" i="7"/>
  <c r="I923" i="1"/>
  <c r="G926" i="7"/>
  <c r="F926" i="7"/>
  <c r="T1013" i="7"/>
  <c r="V1014" i="7"/>
  <c r="T1018" i="7"/>
  <c r="F289" i="7"/>
  <c r="F176" i="7"/>
  <c r="F150" i="7"/>
  <c r="F118" i="7"/>
  <c r="F96" i="7"/>
  <c r="F88" i="7"/>
  <c r="F12" i="7"/>
  <c r="F560" i="7"/>
  <c r="V602" i="7"/>
  <c r="T685" i="7"/>
  <c r="U695" i="7"/>
  <c r="T698" i="7"/>
  <c r="U650" i="7"/>
  <c r="V603" i="7"/>
  <c r="V732" i="7"/>
  <c r="U635" i="7"/>
  <c r="V712" i="7"/>
  <c r="V662" i="7"/>
  <c r="V616" i="7"/>
  <c r="T628" i="7"/>
  <c r="V793" i="7"/>
  <c r="T639" i="7"/>
  <c r="T748" i="7"/>
  <c r="S689" i="7"/>
  <c r="T690" i="7"/>
  <c r="U910" i="7"/>
  <c r="U836" i="7"/>
  <c r="U838" i="7"/>
  <c r="U853" i="7"/>
  <c r="U906" i="7"/>
  <c r="U855" i="7"/>
  <c r="T912" i="7"/>
  <c r="T965" i="7"/>
  <c r="S916" i="7"/>
  <c r="S867" i="7"/>
  <c r="U973" i="7"/>
  <c r="S975" i="7"/>
  <c r="Y1018" i="7"/>
  <c r="Y1002" i="7"/>
  <c r="Y986" i="7"/>
  <c r="Y962" i="7"/>
  <c r="Y990" i="7"/>
  <c r="T631" i="7"/>
  <c r="V670" i="7"/>
  <c r="T737" i="7"/>
  <c r="U739" i="7"/>
  <c r="S722" i="7"/>
  <c r="V619" i="7"/>
  <c r="T935" i="7"/>
  <c r="V935" i="7"/>
  <c r="V885" i="7"/>
  <c r="V886" i="7"/>
  <c r="V944" i="7"/>
  <c r="U963" i="7"/>
  <c r="S980" i="7"/>
  <c r="S1013" i="7"/>
  <c r="V1015" i="7"/>
  <c r="Y1021" i="7"/>
  <c r="Y1005" i="7"/>
  <c r="V620" i="7"/>
  <c r="T679" i="7"/>
  <c r="S726" i="7"/>
  <c r="U666" i="7"/>
  <c r="T700" i="7"/>
  <c r="U710" i="7"/>
  <c r="S716" i="7"/>
  <c r="S792" i="7"/>
  <c r="S794" i="7"/>
  <c r="U831" i="7"/>
  <c r="T954" i="7"/>
  <c r="V957" i="7"/>
  <c r="Y977" i="7"/>
  <c r="Y902" i="7"/>
  <c r="T711" i="7"/>
  <c r="V598" i="7"/>
  <c r="U701" i="7"/>
  <c r="V674" i="7"/>
  <c r="U849" i="7"/>
  <c r="V710" i="7"/>
  <c r="V836" i="7"/>
  <c r="V786" i="7"/>
  <c r="T794" i="7"/>
  <c r="T850" i="7"/>
  <c r="V1011" i="7"/>
  <c r="Y1019" i="7"/>
  <c r="Y1011" i="7"/>
  <c r="Y987" i="7"/>
  <c r="Y979" i="7"/>
  <c r="Y939" i="7"/>
  <c r="Y924" i="7"/>
  <c r="Y945" i="7"/>
  <c r="O735" i="7"/>
  <c r="O787" i="7"/>
  <c r="O759" i="7"/>
  <c r="O707" i="7"/>
  <c r="G603" i="7"/>
  <c r="O898" i="7"/>
  <c r="F251" i="7"/>
  <c r="F252" i="7"/>
  <c r="F250" i="7"/>
  <c r="F211" i="7"/>
  <c r="F212" i="7"/>
  <c r="F210" i="7"/>
  <c r="F213" i="7"/>
  <c r="G718" i="7"/>
  <c r="F241" i="7"/>
  <c r="F244" i="7"/>
  <c r="F242" i="7"/>
  <c r="F243" i="7"/>
  <c r="F220" i="7"/>
  <c r="F221" i="7"/>
  <c r="W710" i="7"/>
  <c r="O699" i="7"/>
  <c r="O855" i="7"/>
  <c r="G647" i="7"/>
  <c r="G757" i="7"/>
  <c r="O858" i="7"/>
  <c r="G756" i="7"/>
  <c r="F229" i="7"/>
  <c r="F226" i="7"/>
  <c r="W731" i="7"/>
  <c r="W627" i="7"/>
  <c r="G635" i="7"/>
  <c r="G634" i="7"/>
  <c r="O772" i="7"/>
  <c r="G591" i="7"/>
  <c r="G571" i="7"/>
  <c r="G754" i="7"/>
  <c r="G755" i="7"/>
  <c r="I608" i="1"/>
  <c r="O712" i="7"/>
  <c r="F611" i="7"/>
  <c r="N764" i="7"/>
  <c r="U707" i="7"/>
  <c r="U655" i="7"/>
  <c r="U812" i="7"/>
  <c r="U759" i="7"/>
  <c r="T880" i="7"/>
  <c r="T932" i="7"/>
  <c r="T985" i="7"/>
  <c r="T828" i="7"/>
  <c r="G753" i="7"/>
  <c r="G1001" i="7"/>
  <c r="G1002" i="7"/>
  <c r="S815" i="7"/>
  <c r="G1007" i="7"/>
  <c r="G542" i="7"/>
  <c r="T923" i="7"/>
  <c r="F204" i="7"/>
  <c r="F206" i="7"/>
  <c r="F198" i="7"/>
  <c r="F197" i="7"/>
  <c r="F195" i="7"/>
  <c r="F196" i="7"/>
  <c r="G932" i="7"/>
  <c r="O962" i="7"/>
  <c r="G715" i="7"/>
  <c r="G714" i="7"/>
  <c r="G980" i="7"/>
  <c r="G979" i="7"/>
  <c r="G978" i="7"/>
  <c r="G977" i="7"/>
  <c r="G670" i="7"/>
  <c r="O720" i="7"/>
  <c r="O876" i="7"/>
  <c r="O820" i="7"/>
  <c r="G692" i="7"/>
  <c r="F700" i="7"/>
  <c r="F698" i="7"/>
  <c r="F699" i="7"/>
  <c r="N749" i="7"/>
  <c r="N801" i="7"/>
  <c r="F697" i="7"/>
  <c r="N853" i="7"/>
  <c r="N905" i="7"/>
  <c r="O809" i="7"/>
  <c r="G708" i="7"/>
  <c r="W981" i="7"/>
  <c r="F688" i="7"/>
  <c r="W740" i="7"/>
  <c r="O729" i="7"/>
  <c r="G875" i="7"/>
  <c r="G874" i="7"/>
  <c r="O925" i="7"/>
  <c r="G876" i="7"/>
  <c r="I661" i="1"/>
  <c r="F661" i="7"/>
  <c r="W817" i="7"/>
  <c r="N713" i="7"/>
  <c r="N765" i="7"/>
  <c r="F664" i="7"/>
  <c r="S706" i="7"/>
  <c r="S758" i="7"/>
  <c r="U659" i="7"/>
  <c r="U816" i="7"/>
  <c r="U711" i="7"/>
  <c r="V819" i="7"/>
  <c r="V976" i="7"/>
  <c r="V871" i="7"/>
  <c r="V821" i="7"/>
  <c r="V925" i="7"/>
  <c r="V979" i="7"/>
  <c r="V822" i="7"/>
  <c r="V926" i="7"/>
  <c r="U982" i="7"/>
  <c r="U877" i="7"/>
  <c r="U825" i="7"/>
  <c r="T827" i="7"/>
  <c r="T984" i="7"/>
  <c r="T931" i="7"/>
  <c r="T879" i="7"/>
  <c r="S933" i="7"/>
  <c r="S829" i="7"/>
  <c r="S986" i="7"/>
  <c r="S881" i="7"/>
  <c r="I867" i="1"/>
  <c r="G868" i="7"/>
  <c r="F869" i="7"/>
  <c r="F868" i="7"/>
  <c r="N919" i="7"/>
  <c r="F870" i="7"/>
  <c r="G589" i="7"/>
  <c r="G985" i="7"/>
  <c r="O825" i="7"/>
  <c r="O877" i="7"/>
  <c r="U929" i="7"/>
  <c r="O881" i="7"/>
  <c r="F154" i="7"/>
  <c r="F155" i="7"/>
  <c r="F152" i="7"/>
  <c r="F153" i="7"/>
  <c r="F139" i="7"/>
  <c r="F138" i="7"/>
  <c r="F136" i="7"/>
  <c r="F129" i="7"/>
  <c r="F130" i="7"/>
  <c r="F131" i="7"/>
  <c r="F132" i="7"/>
  <c r="F21" i="7"/>
  <c r="F22" i="7"/>
  <c r="F16" i="7"/>
  <c r="F13" i="7"/>
  <c r="F633" i="7"/>
  <c r="N682" i="7"/>
  <c r="N734" i="7"/>
  <c r="N786" i="7"/>
  <c r="F630" i="7"/>
  <c r="N838" i="7"/>
  <c r="F632" i="7"/>
  <c r="I630" i="1"/>
  <c r="O786" i="7"/>
  <c r="I623" i="1"/>
  <c r="F625" i="7"/>
  <c r="F626" i="7"/>
  <c r="N727" i="7"/>
  <c r="N629" i="7"/>
  <c r="N681" i="7"/>
  <c r="I577" i="1"/>
  <c r="I562" i="1"/>
  <c r="F562" i="7"/>
  <c r="N614" i="7"/>
  <c r="F563" i="7"/>
  <c r="I638" i="1"/>
  <c r="O846" i="7"/>
  <c r="N846" i="7"/>
  <c r="N742" i="7"/>
  <c r="F641" i="7"/>
  <c r="N794" i="7"/>
  <c r="F610" i="7"/>
  <c r="N815" i="7"/>
  <c r="I607" i="1"/>
  <c r="F609" i="7"/>
  <c r="N659" i="7"/>
  <c r="F607" i="7"/>
  <c r="I599" i="1"/>
  <c r="N651" i="7"/>
  <c r="F602" i="7"/>
  <c r="F599" i="7"/>
  <c r="N697" i="7"/>
  <c r="I593" i="1"/>
  <c r="F596" i="7"/>
  <c r="F589" i="7"/>
  <c r="N638" i="7"/>
  <c r="F586" i="7"/>
  <c r="F460" i="7"/>
  <c r="N613" i="7"/>
  <c r="F458" i="7"/>
  <c r="F459" i="7"/>
  <c r="F774" i="7"/>
  <c r="N823" i="7"/>
  <c r="I771" i="1"/>
  <c r="G771" i="7"/>
  <c r="F773" i="7"/>
  <c r="N875" i="7"/>
  <c r="F771" i="7"/>
  <c r="O986" i="7"/>
  <c r="O993" i="7"/>
  <c r="O941" i="7"/>
  <c r="I804" i="1"/>
  <c r="N960" i="7"/>
  <c r="F807" i="7"/>
  <c r="N908" i="7"/>
  <c r="V715" i="7"/>
  <c r="V768" i="7"/>
  <c r="V613" i="7"/>
  <c r="V665" i="7"/>
  <c r="V770" i="7"/>
  <c r="V717" i="7"/>
  <c r="V774" i="7"/>
  <c r="V721" i="7"/>
  <c r="V617" i="7"/>
  <c r="V669" i="7"/>
  <c r="U725" i="7"/>
  <c r="U778" i="7"/>
  <c r="T729" i="7"/>
  <c r="T625" i="7"/>
  <c r="T677" i="7"/>
  <c r="T782" i="7"/>
  <c r="S838" i="7"/>
  <c r="S786" i="7"/>
  <c r="S891" i="7"/>
  <c r="T787" i="7"/>
  <c r="T735" i="7"/>
  <c r="T839" i="7"/>
  <c r="U788" i="7"/>
  <c r="U893" i="7"/>
  <c r="V737" i="7"/>
  <c r="V841" i="7"/>
  <c r="V789" i="7"/>
  <c r="V894" i="7"/>
  <c r="V790" i="7"/>
  <c r="V738" i="7"/>
  <c r="V895" i="7"/>
  <c r="V739" i="7"/>
  <c r="V896" i="7"/>
  <c r="V843" i="7"/>
  <c r="V740" i="7"/>
  <c r="V792" i="7"/>
  <c r="V844" i="7"/>
  <c r="V1004" i="7"/>
  <c r="V952" i="7"/>
  <c r="I909" i="1"/>
  <c r="F911" i="7"/>
  <c r="F909" i="7"/>
  <c r="F910" i="7"/>
  <c r="F912" i="7"/>
  <c r="N961" i="7"/>
  <c r="G945" i="7"/>
  <c r="F950" i="7"/>
  <c r="F952" i="7"/>
  <c r="W1004" i="7"/>
  <c r="F949" i="7"/>
  <c r="F951" i="7"/>
  <c r="I949" i="1"/>
  <c r="N1001" i="7"/>
  <c r="Y869" i="7"/>
  <c r="Y921" i="7"/>
  <c r="W781" i="7"/>
  <c r="W885" i="7"/>
  <c r="T646" i="7"/>
  <c r="T593" i="7"/>
  <c r="V897" i="7"/>
  <c r="V949" i="7"/>
  <c r="V951" i="7"/>
  <c r="V899" i="7"/>
  <c r="V1003" i="7"/>
  <c r="G872" i="7"/>
  <c r="G871" i="7"/>
  <c r="G752" i="7"/>
  <c r="G947" i="7"/>
  <c r="G950" i="7"/>
  <c r="G547" i="7"/>
  <c r="N817" i="7"/>
  <c r="F160" i="7"/>
  <c r="F159" i="7"/>
  <c r="O873" i="7"/>
  <c r="O821" i="7"/>
  <c r="G763" i="7"/>
  <c r="G783" i="7"/>
  <c r="O988" i="7"/>
  <c r="O832" i="7"/>
  <c r="I685" i="1"/>
  <c r="F687" i="7"/>
  <c r="N737" i="7"/>
  <c r="F686" i="7"/>
  <c r="I697" i="1"/>
  <c r="N662" i="7"/>
  <c r="F509" i="7"/>
  <c r="F508" i="7"/>
  <c r="F507" i="7"/>
  <c r="N610" i="7"/>
  <c r="N714" i="7"/>
  <c r="T824" i="7"/>
  <c r="T667" i="7"/>
  <c r="V924" i="7"/>
  <c r="V977" i="7"/>
  <c r="V820" i="7"/>
  <c r="V872" i="7"/>
  <c r="U876" i="7"/>
  <c r="U824" i="7"/>
  <c r="I843" i="1"/>
  <c r="N895" i="7"/>
  <c r="N947" i="7"/>
  <c r="F844" i="7"/>
  <c r="N999" i="7"/>
  <c r="F843" i="7"/>
  <c r="V950" i="7"/>
  <c r="V898" i="7"/>
  <c r="V901" i="7"/>
  <c r="V1005" i="7"/>
  <c r="W712" i="7"/>
  <c r="G561" i="7"/>
  <c r="G652" i="7"/>
  <c r="F867" i="7"/>
  <c r="U826" i="7"/>
  <c r="O857" i="7"/>
  <c r="N660" i="7"/>
  <c r="G717" i="7"/>
  <c r="T920" i="7"/>
  <c r="F846" i="7"/>
  <c r="F167" i="7"/>
  <c r="F168" i="7"/>
  <c r="F166" i="7"/>
  <c r="F169" i="7"/>
  <c r="G881" i="7"/>
  <c r="G882" i="7"/>
  <c r="I704" i="1"/>
  <c r="F707" i="7"/>
  <c r="O824" i="7"/>
  <c r="I726" i="1"/>
  <c r="O934" i="7"/>
  <c r="N934" i="7"/>
  <c r="F748" i="7"/>
  <c r="F750" i="7"/>
  <c r="I747" i="1"/>
  <c r="O903" i="7"/>
  <c r="F763" i="7"/>
  <c r="F762" i="7"/>
  <c r="N864" i="7"/>
  <c r="N871" i="7"/>
  <c r="F770" i="7"/>
  <c r="W979" i="7"/>
  <c r="F769" i="7"/>
  <c r="N975" i="7"/>
  <c r="V595" i="7"/>
  <c r="V647" i="7"/>
  <c r="T705" i="7"/>
  <c r="T758" i="7"/>
  <c r="T601" i="7"/>
  <c r="S731" i="7"/>
  <c r="S783" i="7"/>
  <c r="U837" i="7"/>
  <c r="U732" i="7"/>
  <c r="U784" i="7"/>
  <c r="U689" i="7"/>
  <c r="U793" i="7"/>
  <c r="U741" i="7"/>
  <c r="U846" i="7"/>
  <c r="F851" i="7"/>
  <c r="I848" i="1"/>
  <c r="N900" i="7"/>
  <c r="F850" i="7"/>
  <c r="N1004" i="7"/>
  <c r="U960" i="7"/>
  <c r="G992" i="7"/>
  <c r="G993" i="7"/>
  <c r="G720" i="7"/>
  <c r="G719" i="7"/>
  <c r="O910" i="7"/>
  <c r="G636" i="7"/>
  <c r="N636" i="7"/>
  <c r="F431" i="7"/>
  <c r="F413" i="7"/>
  <c r="F414" i="7"/>
  <c r="F399" i="7"/>
  <c r="N604" i="7"/>
  <c r="F398" i="7"/>
  <c r="W606" i="7"/>
  <c r="F267" i="7"/>
  <c r="F266" i="7"/>
  <c r="F227" i="7"/>
  <c r="F228" i="7"/>
  <c r="F218" i="7"/>
  <c r="F219" i="7"/>
  <c r="F188" i="7"/>
  <c r="F189" i="7"/>
  <c r="F181" i="7"/>
  <c r="F182" i="7"/>
  <c r="F180" i="7"/>
  <c r="F183" i="7"/>
  <c r="F15" i="7"/>
  <c r="F631" i="7"/>
  <c r="I629" i="1"/>
  <c r="N785" i="7"/>
  <c r="N837" i="7"/>
  <c r="N733" i="7"/>
  <c r="F619" i="7"/>
  <c r="N668" i="7"/>
  <c r="N772" i="7"/>
  <c r="I576" i="1"/>
  <c r="N680" i="7"/>
  <c r="N621" i="7"/>
  <c r="N725" i="7"/>
  <c r="N673" i="7"/>
  <c r="I637" i="1"/>
  <c r="N845" i="7"/>
  <c r="N689" i="7"/>
  <c r="F640" i="7"/>
  <c r="I598" i="1"/>
  <c r="O754" i="7"/>
  <c r="F600" i="7"/>
  <c r="I585" i="1"/>
  <c r="F585" i="7"/>
  <c r="W637" i="7"/>
  <c r="F588" i="7"/>
  <c r="N637" i="7"/>
  <c r="N782" i="7"/>
  <c r="I730" i="1"/>
  <c r="F732" i="7"/>
  <c r="W941" i="7"/>
  <c r="N886" i="7"/>
  <c r="F730" i="7"/>
  <c r="N834" i="7"/>
  <c r="N938" i="7"/>
  <c r="I738" i="1"/>
  <c r="F741" i="7"/>
  <c r="N803" i="7"/>
  <c r="N855" i="7"/>
  <c r="F754" i="7"/>
  <c r="N959" i="7"/>
  <c r="N907" i="7"/>
  <c r="I758" i="1"/>
  <c r="N914" i="7"/>
  <c r="F760" i="7"/>
  <c r="F761" i="7"/>
  <c r="N810" i="7"/>
  <c r="I764" i="1"/>
  <c r="G764" i="7"/>
  <c r="N972" i="7"/>
  <c r="F767" i="7"/>
  <c r="W819" i="7"/>
  <c r="N920" i="7"/>
  <c r="N868" i="7"/>
  <c r="N816" i="7"/>
  <c r="F782" i="7"/>
  <c r="N987" i="7"/>
  <c r="I779" i="1"/>
  <c r="G781" i="7"/>
  <c r="F780" i="7"/>
  <c r="N935" i="7"/>
  <c r="G770" i="7"/>
  <c r="O933" i="7"/>
  <c r="G778" i="7"/>
  <c r="G784" i="7"/>
  <c r="G785" i="7"/>
  <c r="G681" i="7"/>
  <c r="O744" i="7"/>
  <c r="O692" i="7"/>
  <c r="F437" i="7"/>
  <c r="F438" i="7"/>
  <c r="F435" i="7"/>
  <c r="N591" i="7"/>
  <c r="F311" i="7"/>
  <c r="F309" i="7"/>
  <c r="F302" i="7"/>
  <c r="F303" i="7"/>
  <c r="F300" i="7"/>
  <c r="F248" i="7"/>
  <c r="F249" i="7"/>
  <c r="F247" i="7"/>
  <c r="F145" i="7"/>
  <c r="N702" i="7"/>
  <c r="F653" i="7"/>
  <c r="I636" i="1"/>
  <c r="F637" i="7"/>
  <c r="N844" i="7"/>
  <c r="F639" i="7"/>
  <c r="F638" i="7"/>
  <c r="G691" i="7"/>
  <c r="O740" i="7"/>
  <c r="N841" i="7"/>
  <c r="F739" i="7"/>
  <c r="F740" i="7"/>
  <c r="I737" i="1"/>
  <c r="N945" i="7"/>
  <c r="F737" i="7"/>
  <c r="N789" i="7"/>
  <c r="N973" i="7"/>
  <c r="N921" i="7"/>
  <c r="U1002" i="7"/>
  <c r="U897" i="7"/>
  <c r="U956" i="7"/>
  <c r="U852" i="7"/>
  <c r="U856" i="7"/>
  <c r="U908" i="7"/>
  <c r="T911" i="7"/>
  <c r="T859" i="7"/>
  <c r="T862" i="7"/>
  <c r="T914" i="7"/>
  <c r="T966" i="7"/>
  <c r="S865" i="7"/>
  <c r="S917" i="7"/>
  <c r="S969" i="7"/>
  <c r="S918" i="7"/>
  <c r="S970" i="7"/>
  <c r="S866" i="7"/>
  <c r="S921" i="7"/>
  <c r="S869" i="7"/>
  <c r="O963" i="7"/>
  <c r="G861" i="7"/>
  <c r="F528" i="7"/>
  <c r="N683" i="7"/>
  <c r="F520" i="7"/>
  <c r="W624" i="7"/>
  <c r="N623" i="7"/>
  <c r="N667" i="7"/>
  <c r="N615" i="7"/>
  <c r="F512" i="7"/>
  <c r="W616" i="7"/>
  <c r="F513" i="7"/>
  <c r="F514" i="7"/>
  <c r="F511" i="7"/>
  <c r="F467" i="7"/>
  <c r="F466" i="7"/>
  <c r="N598" i="7"/>
  <c r="F443" i="7"/>
  <c r="F442" i="7"/>
  <c r="F342" i="7"/>
  <c r="F340" i="7"/>
  <c r="F325" i="7"/>
  <c r="F323" i="7"/>
  <c r="F317" i="7"/>
  <c r="F318" i="7"/>
  <c r="F265" i="7"/>
  <c r="F264" i="7"/>
  <c r="F174" i="7"/>
  <c r="F173" i="7"/>
  <c r="F171" i="7"/>
  <c r="F112" i="7"/>
  <c r="F113" i="7"/>
  <c r="F105" i="7"/>
  <c r="F106" i="7"/>
  <c r="F103" i="7"/>
  <c r="F80" i="7"/>
  <c r="F82" i="7"/>
  <c r="F74" i="7"/>
  <c r="F75" i="7"/>
  <c r="F72" i="7"/>
  <c r="F44" i="7"/>
  <c r="F45" i="7"/>
  <c r="F42" i="7"/>
  <c r="F35" i="7"/>
  <c r="F34" i="7"/>
  <c r="F29" i="7"/>
  <c r="F28" i="7"/>
  <c r="F26" i="7"/>
  <c r="F19" i="7"/>
  <c r="F20" i="7"/>
  <c r="N672" i="7"/>
  <c r="N828" i="7"/>
  <c r="F623" i="7"/>
  <c r="N776" i="7"/>
  <c r="I620" i="1"/>
  <c r="F614" i="7"/>
  <c r="F617" i="7"/>
  <c r="N770" i="7"/>
  <c r="F615" i="7"/>
  <c r="N666" i="7"/>
  <c r="N822" i="7"/>
  <c r="N718" i="7"/>
  <c r="I574" i="1"/>
  <c r="N730" i="7"/>
  <c r="F574" i="7"/>
  <c r="F576" i="7"/>
  <c r="N585" i="7"/>
  <c r="I533" i="1"/>
  <c r="F536" i="7"/>
  <c r="O710" i="7"/>
  <c r="O762" i="7"/>
  <c r="F559" i="7"/>
  <c r="F558" i="7"/>
  <c r="W610" i="7"/>
  <c r="N608" i="7"/>
  <c r="F557" i="7"/>
  <c r="W609" i="7"/>
  <c r="F659" i="7"/>
  <c r="N865" i="7"/>
  <c r="N761" i="7"/>
  <c r="O701" i="7"/>
  <c r="I643" i="1"/>
  <c r="F645" i="7"/>
  <c r="I693" i="1"/>
  <c r="N901" i="7"/>
  <c r="N849" i="7"/>
  <c r="F695" i="7"/>
  <c r="F696" i="7"/>
  <c r="I703" i="1"/>
  <c r="F705" i="7"/>
  <c r="F703" i="7"/>
  <c r="N755" i="7"/>
  <c r="N911" i="7"/>
  <c r="F704" i="7"/>
  <c r="F727" i="7"/>
  <c r="N829" i="7"/>
  <c r="F726" i="7"/>
  <c r="N881" i="7"/>
  <c r="F728" i="7"/>
  <c r="N836" i="7"/>
  <c r="N940" i="7"/>
  <c r="I732" i="1"/>
  <c r="N888" i="7"/>
  <c r="F735" i="7"/>
  <c r="F742" i="7"/>
  <c r="N843" i="7"/>
  <c r="N791" i="7"/>
  <c r="I739" i="1"/>
  <c r="I774" i="1"/>
  <c r="O982" i="7"/>
  <c r="N826" i="7"/>
  <c r="F777" i="7"/>
  <c r="U690" i="7"/>
  <c r="U794" i="7"/>
  <c r="U742" i="7"/>
  <c r="U847" i="7"/>
  <c r="V743" i="7"/>
  <c r="V848" i="7"/>
  <c r="V795" i="7"/>
  <c r="G859" i="7"/>
  <c r="G860" i="7"/>
  <c r="O884" i="7"/>
  <c r="F331" i="7"/>
  <c r="F128" i="7"/>
  <c r="F127" i="7"/>
  <c r="F81" i="7"/>
  <c r="F569" i="7"/>
  <c r="N606" i="7"/>
  <c r="F555" i="7"/>
  <c r="N658" i="7"/>
  <c r="N708" i="7"/>
  <c r="I656" i="1"/>
  <c r="N824" i="7"/>
  <c r="F721" i="7"/>
  <c r="T892" i="7"/>
  <c r="V923" i="7"/>
  <c r="V975" i="7"/>
  <c r="V978" i="7"/>
  <c r="V874" i="7"/>
  <c r="V875" i="7"/>
  <c r="V980" i="7"/>
  <c r="V982" i="7"/>
  <c r="G953" i="7"/>
  <c r="G997" i="7"/>
  <c r="W1020" i="7"/>
  <c r="N589" i="7"/>
  <c r="N641" i="7"/>
  <c r="N700" i="7"/>
  <c r="F650" i="7"/>
  <c r="I648" i="1"/>
  <c r="O804" i="7"/>
  <c r="I814" i="1"/>
  <c r="O1022" i="7"/>
  <c r="N1022" i="7"/>
  <c r="V586" i="7"/>
  <c r="V639" i="7"/>
  <c r="T598" i="7"/>
  <c r="V868" i="7"/>
  <c r="V763" i="7"/>
  <c r="U839" i="7"/>
  <c r="U787" i="7"/>
  <c r="U841" i="7"/>
  <c r="N1011" i="7"/>
  <c r="I855" i="1"/>
  <c r="F898" i="7"/>
  <c r="F896" i="7"/>
  <c r="F897" i="7"/>
  <c r="I895" i="1"/>
  <c r="G921" i="7"/>
  <c r="G920" i="7"/>
  <c r="I933" i="1"/>
  <c r="F935" i="7"/>
  <c r="F936" i="7"/>
  <c r="W988" i="7"/>
  <c r="F933" i="7"/>
  <c r="Y944" i="7"/>
  <c r="Y892" i="7"/>
  <c r="Y858" i="7"/>
  <c r="Y910" i="7"/>
  <c r="Y834" i="7"/>
  <c r="Y991" i="7"/>
  <c r="F478" i="7"/>
  <c r="F393" i="7"/>
  <c r="F87" i="7"/>
  <c r="F657" i="7"/>
  <c r="I654" i="1"/>
  <c r="G654" i="7"/>
  <c r="N685" i="7"/>
  <c r="I671" i="1"/>
  <c r="V626" i="7"/>
  <c r="V679" i="7"/>
  <c r="T588" i="7"/>
  <c r="T693" i="7"/>
  <c r="T640" i="7"/>
  <c r="T626" i="7"/>
  <c r="T632" i="7"/>
  <c r="T736" i="7"/>
  <c r="T684" i="7"/>
  <c r="T687" i="7"/>
  <c r="I852" i="1"/>
  <c r="O1008" i="7"/>
  <c r="N956" i="7"/>
  <c r="U907" i="7"/>
  <c r="F524" i="7"/>
  <c r="N625" i="7"/>
  <c r="N617" i="7"/>
  <c r="N597" i="7"/>
  <c r="F392" i="7"/>
  <c r="W600" i="7"/>
  <c r="F368" i="7"/>
  <c r="F359" i="7"/>
  <c r="F358" i="7"/>
  <c r="F620" i="7"/>
  <c r="N630" i="7"/>
  <c r="I790" i="1"/>
  <c r="G791" i="7"/>
  <c r="N894" i="7"/>
  <c r="F793" i="7"/>
  <c r="I795" i="1"/>
  <c r="O1003" i="7"/>
  <c r="N899" i="7"/>
  <c r="U712" i="7"/>
  <c r="U764" i="7"/>
  <c r="U660" i="7"/>
  <c r="U716" i="7"/>
  <c r="U821" i="7"/>
  <c r="U768" i="7"/>
  <c r="V673" i="7"/>
  <c r="T1017" i="7"/>
  <c r="F515" i="7"/>
  <c r="F469" i="7"/>
  <c r="F338" i="7"/>
  <c r="F743" i="7"/>
  <c r="T732" i="7"/>
  <c r="T897" i="7"/>
  <c r="U904" i="7"/>
  <c r="U958" i="7"/>
  <c r="F521" i="7"/>
  <c r="N584" i="7"/>
  <c r="O686" i="7"/>
  <c r="T650" i="7"/>
  <c r="S802" i="7"/>
  <c r="S907" i="7"/>
  <c r="S812" i="7"/>
  <c r="I902" i="1"/>
  <c r="G902" i="7"/>
  <c r="F903" i="7"/>
  <c r="O1014" i="7"/>
  <c r="F708" i="7"/>
  <c r="W760" i="7"/>
  <c r="V583" i="7"/>
  <c r="V719" i="7"/>
  <c r="T721" i="7"/>
  <c r="T825" i="7"/>
  <c r="T878" i="7"/>
  <c r="T739" i="7"/>
  <c r="T740" i="7"/>
  <c r="U840" i="7"/>
  <c r="T844" i="7"/>
  <c r="S897" i="7"/>
  <c r="F941" i="7"/>
  <c r="I938" i="1"/>
  <c r="F440" i="7"/>
  <c r="F374" i="7"/>
  <c r="F373" i="7"/>
  <c r="W581" i="7"/>
  <c r="F178" i="7"/>
  <c r="T772" i="7"/>
  <c r="U744" i="7"/>
  <c r="U796" i="7"/>
  <c r="S859" i="7"/>
  <c r="S967" i="7"/>
  <c r="F525" i="7"/>
  <c r="F273" i="7"/>
  <c r="F85" i="7"/>
  <c r="F36" i="7"/>
  <c r="F795" i="7"/>
  <c r="V605" i="7"/>
  <c r="T611" i="7"/>
  <c r="V600" i="7"/>
  <c r="U654" i="7"/>
  <c r="S709" i="7"/>
  <c r="U671" i="7"/>
  <c r="U693" i="7"/>
  <c r="S950" i="7"/>
  <c r="F913" i="7"/>
  <c r="U1010" i="7"/>
  <c r="N1013" i="7"/>
  <c r="F962" i="7"/>
  <c r="W1014" i="7"/>
  <c r="U1014" i="7"/>
  <c r="F365" i="7"/>
  <c r="F315" i="7"/>
  <c r="F147" i="7"/>
  <c r="F454" i="7"/>
  <c r="F594" i="7"/>
  <c r="F805" i="7"/>
  <c r="V593" i="7"/>
  <c r="T590" i="7"/>
  <c r="V622" i="7"/>
  <c r="T665" i="7"/>
  <c r="T945" i="7"/>
  <c r="O1021" i="7"/>
  <c r="V628" i="7"/>
  <c r="U665" i="7"/>
  <c r="T696" i="7"/>
  <c r="S739" i="7"/>
  <c r="U833" i="7"/>
  <c r="I883" i="1"/>
  <c r="F886" i="7"/>
  <c r="F971" i="7"/>
  <c r="S1022" i="7"/>
  <c r="I1010" i="1"/>
  <c r="F1011" i="7"/>
  <c r="F1013" i="7"/>
  <c r="F1010" i="7"/>
  <c r="N1014" i="7"/>
  <c r="F824" i="7"/>
  <c r="V606" i="7"/>
  <c r="U702" i="7"/>
  <c r="U715" i="7"/>
  <c r="U674" i="7"/>
  <c r="T678" i="7"/>
  <c r="U688" i="7"/>
  <c r="T719" i="7"/>
  <c r="T795" i="7"/>
  <c r="T747" i="7"/>
  <c r="T806" i="7"/>
  <c r="T813" i="7"/>
  <c r="V842" i="7"/>
  <c r="T992" i="7"/>
  <c r="I960" i="1"/>
  <c r="N1012" i="7"/>
  <c r="U1013" i="7"/>
  <c r="N1017" i="7"/>
  <c r="S1017" i="7"/>
  <c r="Y1015" i="7"/>
  <c r="T609" i="7"/>
  <c r="S780" i="7"/>
  <c r="S727" i="7"/>
  <c r="V757" i="7"/>
  <c r="V714" i="7"/>
  <c r="T706" i="7"/>
  <c r="S715" i="7"/>
  <c r="V767" i="7"/>
  <c r="V904" i="7"/>
  <c r="U964" i="7"/>
  <c r="Y863" i="7"/>
  <c r="T619" i="7"/>
  <c r="S691" i="7"/>
  <c r="S834" i="7"/>
  <c r="T816" i="7"/>
  <c r="T906" i="7"/>
  <c r="S960" i="7"/>
  <c r="V916" i="7"/>
  <c r="T1011" i="7"/>
  <c r="N1016" i="7"/>
  <c r="I964" i="1"/>
  <c r="S1016" i="7"/>
  <c r="U1017" i="7"/>
  <c r="S1021" i="7"/>
  <c r="T1022" i="7"/>
  <c r="Y896" i="7"/>
  <c r="N1021" i="7"/>
  <c r="S968" i="7"/>
  <c r="T1010" i="7"/>
  <c r="T1009" i="7"/>
  <c r="T1014" i="7"/>
  <c r="U1015" i="7"/>
  <c r="V1016" i="7"/>
  <c r="O1019" i="7"/>
  <c r="Y1022" i="7"/>
  <c r="Y1014" i="7"/>
  <c r="Y984" i="7"/>
  <c r="S1010" i="7"/>
  <c r="S1014" i="7"/>
  <c r="U1016" i="7"/>
  <c r="N1020" i="7"/>
  <c r="I968" i="1"/>
  <c r="U1021" i="7"/>
  <c r="V1022" i="7"/>
  <c r="O1010" i="7"/>
  <c r="U1011" i="7"/>
  <c r="O1015" i="7"/>
  <c r="T1021" i="7"/>
  <c r="U1022" i="7"/>
  <c r="N1010" i="7"/>
  <c r="N1018" i="7"/>
  <c r="S1018" i="7"/>
  <c r="U1019" i="7"/>
  <c r="Y1013" i="7"/>
  <c r="F1012" i="7"/>
  <c r="I959" i="1"/>
  <c r="G959" i="7"/>
  <c r="V1012" i="7"/>
  <c r="T1015" i="7"/>
  <c r="T1019" i="7"/>
  <c r="V1020" i="7"/>
  <c r="U1012" i="7"/>
  <c r="N1015" i="7"/>
  <c r="S1015" i="7"/>
  <c r="N1019" i="7"/>
  <c r="S1019" i="7"/>
  <c r="U1020" i="7"/>
  <c r="F1000" i="7"/>
  <c r="T1012" i="7"/>
  <c r="T1016" i="7"/>
  <c r="V1017" i="7"/>
  <c r="V1021" i="7"/>
  <c r="Y1010" i="7"/>
  <c r="O716" i="7"/>
  <c r="O923" i="7"/>
  <c r="W762" i="7"/>
  <c r="O732" i="7"/>
  <c r="O909" i="7"/>
  <c r="G604" i="7"/>
  <c r="G549" i="7"/>
  <c r="G548" i="7"/>
  <c r="W601" i="7"/>
  <c r="W985" i="7"/>
  <c r="O731" i="7"/>
  <c r="W598" i="7"/>
  <c r="G690" i="7"/>
  <c r="G721" i="7"/>
  <c r="O964" i="7"/>
  <c r="G545" i="7"/>
  <c r="O757" i="7"/>
  <c r="G572" i="7"/>
  <c r="O950" i="7"/>
  <c r="G957" i="7"/>
  <c r="W764" i="7"/>
  <c r="W924" i="7"/>
  <c r="G813" i="7"/>
  <c r="W1018" i="7"/>
  <c r="G942" i="7"/>
  <c r="G551" i="7"/>
  <c r="G660" i="7"/>
  <c r="W977" i="7"/>
  <c r="W975" i="7"/>
  <c r="W992" i="7"/>
  <c r="O845" i="7"/>
  <c r="G711" i="7"/>
  <c r="W940" i="7"/>
  <c r="G901" i="7"/>
  <c r="W986" i="7"/>
  <c r="W588" i="7"/>
  <c r="W720" i="7"/>
  <c r="G916" i="7"/>
  <c r="W927" i="7"/>
  <c r="O913" i="7"/>
  <c r="G590" i="7"/>
  <c r="O871" i="7"/>
  <c r="W605" i="7"/>
  <c r="O811" i="7"/>
  <c r="G937" i="7"/>
  <c r="G560" i="7"/>
  <c r="W586" i="7"/>
  <c r="O865" i="7"/>
  <c r="W900" i="7"/>
  <c r="W592" i="7"/>
  <c r="G900" i="7"/>
  <c r="O848" i="7"/>
  <c r="O992" i="7"/>
  <c r="W997" i="7"/>
  <c r="G998" i="7"/>
  <c r="G811" i="7"/>
  <c r="O753" i="7"/>
  <c r="W853" i="7"/>
  <c r="W769" i="7"/>
  <c r="W1012" i="7"/>
  <c r="O996" i="7"/>
  <c r="W596" i="7"/>
  <c r="W753" i="7"/>
  <c r="W993" i="7"/>
  <c r="O999" i="7"/>
  <c r="W632" i="7"/>
  <c r="G546" i="7"/>
  <c r="G915" i="7"/>
  <c r="X967" i="7"/>
  <c r="O1013" i="7"/>
  <c r="O779" i="7"/>
  <c r="W685" i="7"/>
  <c r="W920" i="7"/>
  <c r="W725" i="7"/>
  <c r="W630" i="7"/>
  <c r="W967" i="7"/>
  <c r="O748" i="7"/>
  <c r="O696" i="7"/>
  <c r="G826" i="7"/>
  <c r="W629" i="7"/>
  <c r="W835" i="7"/>
  <c r="O968" i="7"/>
  <c r="G821" i="7"/>
  <c r="W645" i="7"/>
  <c r="W639" i="7"/>
  <c r="W899" i="7"/>
  <c r="W722" i="7"/>
  <c r="W972" i="7"/>
  <c r="G769" i="7"/>
  <c r="W640" i="7"/>
  <c r="G822" i="7"/>
  <c r="W1016" i="7"/>
  <c r="G562" i="7"/>
  <c r="G820" i="7"/>
  <c r="W923" i="7"/>
  <c r="G744" i="7"/>
  <c r="O924" i="7"/>
  <c r="W597" i="7"/>
  <c r="W894" i="7"/>
  <c r="W631" i="7"/>
  <c r="W1019" i="7"/>
  <c r="W1011" i="7"/>
  <c r="W728" i="7"/>
  <c r="O926" i="7"/>
  <c r="W1010" i="7"/>
  <c r="O750" i="7"/>
  <c r="G976" i="7"/>
  <c r="G1020" i="7"/>
  <c r="O1009" i="7"/>
  <c r="O957" i="7"/>
  <c r="G832" i="7"/>
  <c r="G833" i="7"/>
  <c r="G831" i="7"/>
  <c r="W906" i="7"/>
  <c r="G908" i="7"/>
  <c r="W703" i="7"/>
  <c r="O949" i="7"/>
  <c r="W591" i="7"/>
  <c r="W638" i="7"/>
  <c r="G906" i="7"/>
  <c r="W583" i="7"/>
  <c r="W695" i="7"/>
  <c r="W932" i="7"/>
  <c r="G888" i="7"/>
  <c r="O738" i="7"/>
  <c r="G825" i="7"/>
  <c r="G863" i="7"/>
  <c r="O1017" i="7"/>
  <c r="W930" i="7"/>
  <c r="O741" i="7"/>
  <c r="W618" i="7"/>
  <c r="W875" i="7"/>
  <c r="W739" i="7"/>
  <c r="O840" i="7"/>
  <c r="W1003" i="7"/>
  <c r="W963" i="7"/>
  <c r="W818" i="7"/>
  <c r="G618" i="7"/>
  <c r="G867" i="7"/>
  <c r="O1005" i="7"/>
  <c r="G802" i="7"/>
  <c r="G812" i="7"/>
  <c r="G892" i="7"/>
  <c r="W901" i="7"/>
  <c r="W887" i="7"/>
  <c r="O976" i="7"/>
  <c r="G1017" i="7"/>
  <c r="G1014" i="7"/>
  <c r="G1016" i="7"/>
  <c r="G984" i="7"/>
  <c r="G894" i="7"/>
  <c r="X998" i="7"/>
  <c r="G1019" i="7"/>
  <c r="G1018" i="7"/>
  <c r="G989" i="7"/>
  <c r="G990" i="7"/>
  <c r="G987" i="7"/>
  <c r="G683" i="7"/>
  <c r="O721" i="7"/>
  <c r="O803" i="7"/>
  <c r="G539" i="7"/>
  <c r="W585" i="7"/>
  <c r="G865" i="7"/>
  <c r="X694" i="7"/>
  <c r="G540" i="7"/>
  <c r="W748" i="7"/>
  <c r="G616" i="7"/>
  <c r="X772" i="7"/>
  <c r="W649" i="7"/>
  <c r="O974" i="7"/>
  <c r="O1018" i="7"/>
  <c r="G946" i="7"/>
  <c r="W964" i="7"/>
  <c r="O889" i="7"/>
  <c r="G725" i="7"/>
  <c r="W856" i="7"/>
  <c r="G592" i="7"/>
  <c r="G606" i="7"/>
  <c r="W1013" i="7"/>
  <c r="G682" i="7"/>
  <c r="G809" i="7"/>
  <c r="O780" i="7"/>
  <c r="W650" i="7"/>
  <c r="O834" i="7"/>
  <c r="G988" i="7"/>
  <c r="G981" i="7"/>
  <c r="G552" i="7"/>
  <c r="G553" i="7"/>
  <c r="G550" i="7"/>
  <c r="G931" i="7"/>
  <c r="W626" i="7"/>
  <c r="W690" i="7"/>
  <c r="W694" i="7"/>
  <c r="W965" i="7"/>
  <c r="W619" i="7"/>
  <c r="W611" i="7"/>
  <c r="W848" i="7"/>
  <c r="W744" i="7"/>
  <c r="G983" i="7"/>
  <c r="O829" i="7"/>
  <c r="W888" i="7"/>
  <c r="O818" i="7"/>
  <c r="G810" i="7"/>
  <c r="G736" i="7"/>
  <c r="G944" i="7"/>
  <c r="O777" i="7"/>
  <c r="O795" i="7"/>
  <c r="O870" i="7"/>
  <c r="O693" i="7"/>
  <c r="G538" i="7"/>
  <c r="W608" i="7"/>
  <c r="W708" i="7"/>
  <c r="W1022" i="7"/>
  <c r="W681" i="7"/>
  <c r="G1022" i="7"/>
  <c r="G974" i="7"/>
  <c r="G972" i="7"/>
  <c r="O978" i="7"/>
  <c r="W587" i="7"/>
  <c r="W958" i="7"/>
  <c r="W687" i="7"/>
  <c r="W666" i="7"/>
  <c r="W982" i="7"/>
  <c r="W968" i="7"/>
  <c r="G573" i="7"/>
  <c r="G582" i="7"/>
  <c r="W1009" i="7"/>
  <c r="O863" i="7"/>
  <c r="O915" i="7"/>
  <c r="W673" i="7"/>
  <c r="W860" i="7"/>
  <c r="G862" i="7"/>
  <c r="W925" i="7"/>
  <c r="W852" i="7"/>
  <c r="G930" i="7"/>
  <c r="G615" i="7"/>
  <c r="W701" i="7"/>
  <c r="G973" i="7"/>
  <c r="G923" i="7"/>
  <c r="X975" i="7"/>
  <c r="G925" i="7"/>
  <c r="W697" i="7"/>
  <c r="G629" i="7"/>
  <c r="G669" i="7"/>
  <c r="W877" i="7"/>
  <c r="O806" i="7"/>
  <c r="G730" i="7"/>
  <c r="W882" i="7"/>
  <c r="G924" i="7"/>
  <c r="W876" i="7"/>
  <c r="W1017" i="7"/>
  <c r="W623" i="7"/>
  <c r="W777" i="7"/>
  <c r="G907" i="7"/>
  <c r="W891" i="7"/>
  <c r="W718" i="7"/>
  <c r="G709" i="7"/>
  <c r="O942" i="7"/>
  <c r="W960" i="7"/>
  <c r="G580" i="7"/>
  <c r="W870" i="7"/>
  <c r="W750" i="7"/>
  <c r="G563" i="7"/>
  <c r="W643" i="7"/>
  <c r="G581" i="7"/>
  <c r="G956" i="7"/>
  <c r="O1007" i="7"/>
  <c r="G958" i="7"/>
  <c r="G955" i="7"/>
  <c r="O872" i="7"/>
  <c r="G823" i="7"/>
  <c r="G677" i="7"/>
  <c r="G678" i="7"/>
  <c r="O722" i="7"/>
  <c r="G569" i="7"/>
  <c r="G628" i="7"/>
  <c r="W674" i="7"/>
  <c r="W726" i="7"/>
  <c r="W590" i="7"/>
  <c r="G873" i="7"/>
  <c r="X925" i="7"/>
  <c r="X688" i="7"/>
  <c r="W704" i="7"/>
  <c r="W996" i="7"/>
  <c r="O939" i="7"/>
  <c r="G838" i="7"/>
  <c r="O887" i="7"/>
  <c r="G835" i="7"/>
  <c r="X939" i="7"/>
  <c r="G614" i="7"/>
  <c r="X718" i="7"/>
  <c r="O1000" i="7"/>
  <c r="G919" i="7"/>
  <c r="G917" i="7"/>
  <c r="W733" i="7"/>
  <c r="W794" i="7"/>
  <c r="W599" i="7"/>
  <c r="G726" i="7"/>
  <c r="W792" i="7"/>
  <c r="W594" i="7"/>
  <c r="W793" i="7"/>
  <c r="G612" i="7"/>
  <c r="X821" i="7"/>
  <c r="G746" i="7"/>
  <c r="W928" i="7"/>
  <c r="G613" i="7"/>
  <c r="X769" i="7"/>
  <c r="O736" i="7"/>
  <c r="G889" i="7"/>
  <c r="G891" i="7"/>
  <c r="X995" i="7"/>
  <c r="G890" i="7"/>
  <c r="G702" i="7"/>
  <c r="G701" i="7"/>
  <c r="G789" i="7"/>
  <c r="W655" i="7"/>
  <c r="W746" i="7"/>
  <c r="G680" i="7"/>
  <c r="G794" i="7"/>
  <c r="O948" i="7"/>
  <c r="O896" i="7"/>
  <c r="W1001" i="7"/>
  <c r="G780" i="7"/>
  <c r="O931" i="7"/>
  <c r="W742" i="7"/>
  <c r="O937" i="7"/>
  <c r="O885" i="7"/>
  <c r="O983" i="7"/>
  <c r="G830" i="7"/>
  <c r="G828" i="7"/>
  <c r="G829" i="7"/>
  <c r="X933" i="7"/>
  <c r="G827" i="7"/>
  <c r="G627" i="7"/>
  <c r="W607" i="7"/>
  <c r="W593" i="7"/>
  <c r="W903" i="7"/>
  <c r="O796" i="7"/>
  <c r="W905" i="7"/>
  <c r="W766" i="7"/>
  <c r="O833" i="7"/>
  <c r="O788" i="7"/>
  <c r="W696" i="7"/>
  <c r="W953" i="7"/>
  <c r="O783" i="7"/>
  <c r="G583" i="7"/>
  <c r="X687" i="7"/>
  <c r="G567" i="7"/>
  <c r="G568" i="7"/>
  <c r="G566" i="7"/>
  <c r="W688" i="7"/>
  <c r="W589" i="7"/>
  <c r="G745" i="7"/>
  <c r="W984" i="7"/>
  <c r="W827" i="7"/>
  <c r="W995" i="7"/>
  <c r="W942" i="7"/>
  <c r="W890" i="7"/>
  <c r="W838" i="7"/>
  <c r="O771" i="7"/>
  <c r="O719" i="7"/>
  <c r="W987" i="7"/>
  <c r="G723" i="7"/>
  <c r="G676" i="7"/>
  <c r="G675" i="7"/>
  <c r="G799" i="7"/>
  <c r="G800" i="7"/>
  <c r="O890" i="7"/>
  <c r="G787" i="7"/>
  <c r="O994" i="7"/>
  <c r="G788" i="7"/>
  <c r="X997" i="7"/>
  <c r="G712" i="7"/>
  <c r="G710" i="7"/>
  <c r="O813" i="7"/>
  <c r="O761" i="7"/>
  <c r="G948" i="7"/>
  <c r="O746" i="7"/>
  <c r="O694" i="7"/>
  <c r="G960" i="7"/>
  <c r="W625" i="7"/>
  <c r="O819" i="7"/>
  <c r="O956" i="7"/>
  <c r="O975" i="7"/>
  <c r="W880" i="7"/>
  <c r="O838" i="7"/>
  <c r="W931" i="7"/>
  <c r="W962" i="7"/>
  <c r="O781" i="7"/>
  <c r="W751" i="7"/>
  <c r="G541" i="7"/>
  <c r="X686" i="7"/>
  <c r="O767" i="7"/>
  <c r="G877" i="7"/>
  <c r="G878" i="7"/>
  <c r="G879" i="7"/>
  <c r="O981" i="7"/>
  <c r="O929" i="7"/>
  <c r="G837" i="7"/>
  <c r="X889" i="7"/>
  <c r="G768" i="7"/>
  <c r="O921" i="7"/>
  <c r="O973" i="7"/>
  <c r="O965" i="7"/>
  <c r="G913" i="7"/>
  <c r="X965" i="7"/>
  <c r="O991" i="7"/>
  <c r="G836" i="7"/>
  <c r="X875" i="7"/>
  <c r="G935" i="7"/>
  <c r="G936" i="7"/>
  <c r="G934" i="7"/>
  <c r="O985" i="7"/>
  <c r="O849" i="7"/>
  <c r="G696" i="7"/>
  <c r="O797" i="7"/>
  <c r="O745" i="7"/>
  <c r="G695" i="7"/>
  <c r="W612" i="7"/>
  <c r="W664" i="7"/>
  <c r="W717" i="7"/>
  <c r="W693" i="7"/>
  <c r="W797" i="7"/>
  <c r="W745" i="7"/>
  <c r="O1016" i="7"/>
  <c r="G967" i="7"/>
  <c r="G965" i="7"/>
  <c r="G966" i="7"/>
  <c r="W854" i="7"/>
  <c r="W789" i="7"/>
  <c r="O810" i="7"/>
  <c r="G758" i="7"/>
  <c r="G759" i="7"/>
  <c r="O914" i="7"/>
  <c r="O966" i="7"/>
  <c r="G760" i="7"/>
  <c r="O862" i="7"/>
  <c r="G761" i="7"/>
  <c r="W671" i="7"/>
  <c r="W828" i="7"/>
  <c r="W1006" i="7"/>
  <c r="W902" i="7"/>
  <c r="W954" i="7"/>
  <c r="W867" i="7"/>
  <c r="W815" i="7"/>
  <c r="W983" i="7"/>
  <c r="W826" i="7"/>
  <c r="W646" i="7"/>
  <c r="W698" i="7"/>
  <c r="W709" i="7"/>
  <c r="W761" i="7"/>
  <c r="W759" i="7"/>
  <c r="W863" i="7"/>
  <c r="G700" i="7"/>
  <c r="O801" i="7"/>
  <c r="O749" i="7"/>
  <c r="O905" i="7"/>
  <c r="G698" i="7"/>
  <c r="G699" i="7"/>
  <c r="O853" i="7"/>
  <c r="G697" i="7"/>
  <c r="W1002" i="7"/>
  <c r="G641" i="7"/>
  <c r="X693" i="7"/>
  <c r="O690" i="7"/>
  <c r="O742" i="7"/>
  <c r="G694" i="7"/>
  <c r="X746" i="7"/>
  <c r="O901" i="7"/>
  <c r="W893" i="7"/>
  <c r="W949" i="7"/>
  <c r="W754" i="7"/>
  <c r="W702" i="7"/>
  <c r="W944" i="7"/>
  <c r="W787" i="7"/>
  <c r="G574" i="7"/>
  <c r="O730" i="7"/>
  <c r="G575" i="7"/>
  <c r="G576" i="7"/>
  <c r="G577" i="7"/>
  <c r="X733" i="7"/>
  <c r="G622" i="7"/>
  <c r="G621" i="7"/>
  <c r="G623" i="7"/>
  <c r="O724" i="7"/>
  <c r="O828" i="7"/>
  <c r="O841" i="7"/>
  <c r="G739" i="7"/>
  <c r="O789" i="7"/>
  <c r="G740" i="7"/>
  <c r="O945" i="7"/>
  <c r="O893" i="7"/>
  <c r="G737" i="7"/>
  <c r="G738" i="7"/>
  <c r="W691" i="7"/>
  <c r="W743" i="7"/>
  <c r="W989" i="7"/>
  <c r="W884" i="7"/>
  <c r="W832" i="7"/>
  <c r="W939" i="7"/>
  <c r="W782" i="7"/>
  <c r="G588" i="7"/>
  <c r="G585" i="7"/>
  <c r="G586" i="7"/>
  <c r="G587" i="7"/>
  <c r="W844" i="7"/>
  <c r="O1004" i="7"/>
  <c r="O900" i="7"/>
  <c r="O952" i="7"/>
  <c r="G850" i="7"/>
  <c r="G851" i="7"/>
  <c r="G849" i="7"/>
  <c r="W802" i="7"/>
  <c r="G707" i="7"/>
  <c r="O808" i="7"/>
  <c r="O756" i="7"/>
  <c r="O912" i="7"/>
  <c r="W668" i="7"/>
  <c r="O895" i="7"/>
  <c r="G845" i="7"/>
  <c r="G843" i="7"/>
  <c r="G844" i="7"/>
  <c r="G846" i="7"/>
  <c r="W715" i="7"/>
  <c r="O860" i="7"/>
  <c r="W723" i="7"/>
  <c r="X892" i="7"/>
  <c r="G848" i="7"/>
  <c r="G964" i="7"/>
  <c r="G804" i="7"/>
  <c r="O856" i="7"/>
  <c r="G805" i="7"/>
  <c r="O960" i="7"/>
  <c r="G807" i="7"/>
  <c r="X911" i="7"/>
  <c r="G806" i="7"/>
  <c r="O908" i="7"/>
  <c r="O815" i="7"/>
  <c r="G607" i="7"/>
  <c r="G609" i="7"/>
  <c r="G608" i="7"/>
  <c r="O763" i="7"/>
  <c r="O711" i="7"/>
  <c r="G610" i="7"/>
  <c r="X766" i="7"/>
  <c r="W615" i="7"/>
  <c r="W786" i="7"/>
  <c r="W682" i="7"/>
  <c r="W734" i="7"/>
  <c r="O713" i="7"/>
  <c r="G662" i="7"/>
  <c r="G664" i="7"/>
  <c r="X873" i="7"/>
  <c r="G663" i="7"/>
  <c r="O765" i="7"/>
  <c r="O869" i="7"/>
  <c r="G661" i="7"/>
  <c r="W980" i="7"/>
  <c r="G933" i="7"/>
  <c r="W946" i="7"/>
  <c r="X945" i="7"/>
  <c r="W841" i="7"/>
  <c r="W955" i="7"/>
  <c r="W1007" i="7"/>
  <c r="G659" i="7"/>
  <c r="O708" i="7"/>
  <c r="G658" i="7"/>
  <c r="O760" i="7"/>
  <c r="O843" i="7"/>
  <c r="G742" i="7"/>
  <c r="O791" i="7"/>
  <c r="O1020" i="7"/>
  <c r="G971" i="7"/>
  <c r="G970" i="7"/>
  <c r="W665" i="7"/>
  <c r="W613" i="7"/>
  <c r="G772" i="7"/>
  <c r="X928" i="7"/>
  <c r="W659" i="7"/>
  <c r="W816" i="7"/>
  <c r="O847" i="7"/>
  <c r="O899" i="7"/>
  <c r="G796" i="7"/>
  <c r="G795" i="7"/>
  <c r="G797" i="7"/>
  <c r="G798" i="7"/>
  <c r="O951" i="7"/>
  <c r="G656" i="7"/>
  <c r="O758" i="7"/>
  <c r="O706" i="7"/>
  <c r="G657" i="7"/>
  <c r="X709" i="7"/>
  <c r="G644" i="7"/>
  <c r="G646" i="7"/>
  <c r="X698" i="7"/>
  <c r="O747" i="7"/>
  <c r="G643" i="7"/>
  <c r="G645" i="7"/>
  <c r="O695" i="7"/>
  <c r="O689" i="7"/>
  <c r="O793" i="7"/>
  <c r="G640" i="7"/>
  <c r="O864" i="7"/>
  <c r="G969" i="7"/>
  <c r="W700" i="7"/>
  <c r="W648" i="7"/>
  <c r="W805" i="7"/>
  <c r="W684" i="7"/>
  <c r="W736" i="7"/>
  <c r="W788" i="7"/>
  <c r="W737" i="7"/>
  <c r="W922" i="7"/>
  <c r="W974" i="7"/>
  <c r="O794" i="7"/>
  <c r="O946" i="7"/>
  <c r="O998" i="7"/>
  <c r="O894" i="7"/>
  <c r="G792" i="7"/>
  <c r="G793" i="7"/>
  <c r="G790" i="7"/>
  <c r="O842" i="7"/>
  <c r="W829" i="7"/>
  <c r="W881" i="7"/>
  <c r="W933" i="7"/>
  <c r="W831" i="7"/>
  <c r="W779" i="7"/>
  <c r="W883" i="7"/>
  <c r="W747" i="7"/>
  <c r="W851" i="7"/>
  <c r="W622" i="7"/>
  <c r="W936" i="7"/>
  <c r="G782" i="7"/>
  <c r="O883" i="7"/>
  <c r="O831" i="7"/>
  <c r="O816" i="7"/>
  <c r="G767" i="7"/>
  <c r="X923" i="7"/>
  <c r="O972" i="7"/>
  <c r="G766" i="7"/>
  <c r="G765" i="7"/>
  <c r="O868" i="7"/>
  <c r="O920" i="7"/>
  <c r="W806" i="7"/>
  <c r="W910" i="7"/>
  <c r="W652" i="7"/>
  <c r="W670" i="7"/>
  <c r="W873" i="7"/>
  <c r="W821" i="7"/>
  <c r="W800" i="7"/>
  <c r="W957" i="7"/>
  <c r="W978" i="7"/>
  <c r="W647" i="7"/>
  <c r="X719" i="7"/>
  <c r="W823" i="7"/>
  <c r="W651" i="7"/>
  <c r="X980" i="7"/>
  <c r="W749" i="7"/>
  <c r="W801" i="7"/>
  <c r="W783" i="7"/>
  <c r="W772" i="7"/>
  <c r="W803" i="7"/>
  <c r="W907" i="7"/>
  <c r="W672" i="7"/>
  <c r="W724" i="7"/>
  <c r="O775" i="7"/>
  <c r="O723" i="7"/>
  <c r="G674" i="7"/>
  <c r="G673" i="7"/>
  <c r="O827" i="7"/>
  <c r="W667" i="7"/>
  <c r="W719" i="7"/>
  <c r="W771" i="7"/>
  <c r="W705" i="7"/>
  <c r="W862" i="7"/>
  <c r="O812" i="7"/>
  <c r="W768" i="7"/>
  <c r="W716" i="7"/>
  <c r="W908" i="7"/>
  <c r="W824" i="7"/>
  <c r="G1013" i="7"/>
  <c r="G1012" i="7"/>
  <c r="G1010" i="7"/>
  <c r="W780" i="7"/>
  <c r="W937" i="7"/>
  <c r="W628" i="7"/>
  <c r="W680" i="7"/>
  <c r="W785" i="7"/>
  <c r="W732" i="7"/>
  <c r="W896" i="7"/>
  <c r="O737" i="7"/>
  <c r="G686" i="7"/>
  <c r="X738" i="7"/>
  <c r="G688" i="7"/>
  <c r="X740" i="7"/>
  <c r="G687" i="7"/>
  <c r="X739" i="7"/>
  <c r="G685" i="7"/>
  <c r="G968" i="7"/>
  <c r="G909" i="7"/>
  <c r="G912" i="7"/>
  <c r="X964" i="7"/>
  <c r="O961" i="7"/>
  <c r="O970" i="7"/>
  <c r="G815" i="7"/>
  <c r="X867" i="7"/>
  <c r="G814" i="7"/>
  <c r="O866" i="7"/>
  <c r="G817" i="7"/>
  <c r="X869" i="7"/>
  <c r="G816" i="7"/>
  <c r="X920" i="7"/>
  <c r="O918" i="7"/>
  <c r="O879" i="7"/>
  <c r="X874" i="7"/>
  <c r="W752" i="7"/>
  <c r="G898" i="7"/>
  <c r="G896" i="7"/>
  <c r="G897" i="7"/>
  <c r="O947" i="7"/>
  <c r="F14" i="6"/>
  <c r="G895" i="7"/>
  <c r="W935" i="7"/>
  <c r="W778" i="7"/>
  <c r="W830" i="7"/>
  <c r="O851" i="7"/>
  <c r="O955" i="7"/>
  <c r="G749" i="7"/>
  <c r="G750" i="7"/>
  <c r="O799" i="7"/>
  <c r="G747" i="7"/>
  <c r="G748" i="7"/>
  <c r="W661" i="7"/>
  <c r="W850" i="7"/>
  <c r="G911" i="7"/>
  <c r="W1015" i="7"/>
  <c r="G853" i="7"/>
  <c r="G855" i="7"/>
  <c r="G854" i="7"/>
  <c r="O904" i="7"/>
  <c r="W948" i="7"/>
  <c r="W1000" i="7"/>
  <c r="G1011" i="7"/>
  <c r="O1012" i="7"/>
  <c r="G963" i="7"/>
  <c r="G885" i="7"/>
  <c r="O987" i="7"/>
  <c r="G884" i="7"/>
  <c r="G883" i="7"/>
  <c r="G886" i="7"/>
  <c r="O935" i="7"/>
  <c r="G910" i="7"/>
  <c r="W634" i="7"/>
  <c r="W582" i="7"/>
  <c r="W950" i="7"/>
  <c r="W773" i="7"/>
  <c r="W621" i="7"/>
  <c r="O940" i="7"/>
  <c r="O836" i="7"/>
  <c r="G734" i="7"/>
  <c r="G735" i="7"/>
  <c r="O784" i="7"/>
  <c r="O888" i="7"/>
  <c r="W808" i="7"/>
  <c r="W756" i="7"/>
  <c r="W727" i="7"/>
  <c r="W675" i="7"/>
  <c r="W843" i="7"/>
  <c r="W791" i="7"/>
  <c r="W689" i="7"/>
  <c r="W836" i="7"/>
  <c r="W784" i="7"/>
  <c r="G601" i="7"/>
  <c r="G599" i="7"/>
  <c r="G598" i="7"/>
  <c r="G600" i="7"/>
  <c r="X704" i="7"/>
  <c r="G630" i="7"/>
  <c r="O785" i="7"/>
  <c r="O733" i="7"/>
  <c r="G632" i="7"/>
  <c r="G631" i="7"/>
  <c r="X840" i="7"/>
  <c r="O837" i="7"/>
  <c r="G655" i="7"/>
  <c r="X707" i="7"/>
  <c r="W926" i="7"/>
  <c r="W822" i="7"/>
  <c r="W874" i="7"/>
  <c r="W770" i="7"/>
  <c r="W790" i="7"/>
  <c r="W738" i="7"/>
  <c r="W714" i="7"/>
  <c r="W741" i="7"/>
  <c r="W758" i="7"/>
  <c r="W654" i="7"/>
  <c r="W706" i="7"/>
  <c r="W662" i="7"/>
  <c r="W614" i="7"/>
  <c r="W730" i="7"/>
  <c r="W678" i="7"/>
  <c r="W973" i="7"/>
  <c r="W921" i="7"/>
  <c r="G671" i="7"/>
  <c r="G693" i="7"/>
  <c r="W842" i="7"/>
  <c r="W663" i="7"/>
  <c r="W767" i="7"/>
  <c r="W855" i="7"/>
  <c r="W676" i="7"/>
  <c r="W959" i="7"/>
  <c r="W811" i="7"/>
  <c r="W812" i="7"/>
  <c r="W969" i="7"/>
  <c r="W916" i="7"/>
  <c r="W864" i="7"/>
  <c r="O875" i="7"/>
  <c r="O979" i="7"/>
  <c r="O823" i="7"/>
  <c r="O927" i="7"/>
  <c r="G774" i="7"/>
  <c r="X983" i="7"/>
  <c r="G773" i="7"/>
  <c r="G602" i="7"/>
  <c r="X706" i="7"/>
  <c r="O703" i="7"/>
  <c r="O727" i="7"/>
  <c r="G626" i="7"/>
  <c r="G624" i="7"/>
  <c r="G625" i="7"/>
  <c r="X979" i="7"/>
  <c r="X927" i="7"/>
  <c r="W776" i="7"/>
  <c r="O1011" i="7"/>
  <c r="G961" i="7"/>
  <c r="G962" i="7"/>
  <c r="G905" i="7"/>
  <c r="G904" i="7"/>
  <c r="O1006" i="7"/>
  <c r="G903" i="7"/>
  <c r="O954" i="7"/>
  <c r="W952" i="7"/>
  <c r="W795" i="7"/>
  <c r="X972" i="7"/>
  <c r="W755" i="7"/>
  <c r="W807" i="7"/>
  <c r="W912" i="7"/>
  <c r="G741" i="7"/>
  <c r="O790" i="7"/>
  <c r="W866" i="7"/>
  <c r="W814" i="7"/>
  <c r="W918" i="7"/>
  <c r="X814" i="7"/>
  <c r="F13" i="6"/>
  <c r="W641" i="7"/>
  <c r="W798" i="7"/>
  <c r="O734" i="7"/>
  <c r="G633" i="7"/>
  <c r="W857" i="7"/>
  <c r="W909" i="7"/>
  <c r="W809" i="7"/>
  <c r="W861" i="7"/>
  <c r="W757" i="7"/>
  <c r="W914" i="7"/>
  <c r="W669" i="7"/>
  <c r="W721" i="7"/>
  <c r="W859" i="7"/>
  <c r="W911" i="7"/>
  <c r="W845" i="7"/>
  <c r="O752" i="7"/>
  <c r="G651" i="7"/>
  <c r="O700" i="7"/>
  <c r="G649" i="7"/>
  <c r="G650" i="7"/>
  <c r="G706" i="7"/>
  <c r="G705" i="7"/>
  <c r="O755" i="7"/>
  <c r="O911" i="7"/>
  <c r="O807" i="7"/>
  <c r="O859" i="7"/>
  <c r="G704" i="7"/>
  <c r="G703" i="7"/>
  <c r="X912" i="7"/>
  <c r="G596" i="7"/>
  <c r="G595" i="7"/>
  <c r="G593" i="7"/>
  <c r="O697" i="7"/>
  <c r="G594" i="7"/>
  <c r="G672" i="7"/>
  <c r="W765" i="7"/>
  <c r="W713" i="7"/>
  <c r="W938" i="7"/>
  <c r="W990" i="7"/>
  <c r="W847" i="7"/>
  <c r="G941" i="7"/>
  <c r="G940" i="7"/>
  <c r="G938" i="7"/>
  <c r="G939" i="7"/>
  <c r="O990" i="7"/>
  <c r="G857" i="7"/>
  <c r="O959" i="7"/>
  <c r="O907" i="7"/>
  <c r="G856" i="7"/>
  <c r="G858" i="7"/>
  <c r="O826" i="7"/>
  <c r="O930" i="7"/>
  <c r="O878" i="7"/>
  <c r="G777" i="7"/>
  <c r="G776" i="7"/>
  <c r="G775" i="7"/>
  <c r="X984" i="7"/>
  <c r="W711" i="7"/>
  <c r="W763" i="7"/>
  <c r="W868" i="7"/>
  <c r="G536" i="7"/>
  <c r="G535" i="7"/>
  <c r="G533" i="7"/>
  <c r="G534" i="7"/>
  <c r="O688" i="7"/>
  <c r="G639" i="7"/>
  <c r="O844" i="7"/>
  <c r="G637" i="7"/>
  <c r="O792" i="7"/>
  <c r="G638" i="7"/>
  <c r="G779" i="7"/>
  <c r="W834" i="7"/>
  <c r="W886" i="7"/>
  <c r="W991" i="7"/>
  <c r="W865" i="7"/>
  <c r="W813" i="7"/>
  <c r="W917" i="7"/>
  <c r="G731" i="7"/>
  <c r="G732" i="7"/>
  <c r="X888" i="7"/>
  <c r="O886" i="7"/>
  <c r="O938" i="7"/>
  <c r="O782" i="7"/>
  <c r="G733" i="7"/>
  <c r="W692" i="7"/>
  <c r="W796" i="7"/>
  <c r="W849" i="7"/>
  <c r="G578" i="7"/>
  <c r="G579" i="7"/>
  <c r="W735" i="7"/>
  <c r="W683" i="7"/>
  <c r="W840" i="7"/>
  <c r="X771" i="7"/>
  <c r="G729" i="7"/>
  <c r="G727" i="7"/>
  <c r="O882" i="7"/>
  <c r="O778" i="7"/>
  <c r="O830" i="7"/>
  <c r="G728" i="7"/>
  <c r="W799" i="7"/>
  <c r="W898" i="7"/>
  <c r="W878" i="7"/>
  <c r="W839" i="7"/>
  <c r="W971" i="7"/>
  <c r="W919" i="7"/>
  <c r="W947" i="7"/>
  <c r="W999" i="7"/>
  <c r="W895" i="7"/>
  <c r="O702" i="7"/>
  <c r="W871" i="7"/>
  <c r="G952" i="7"/>
  <c r="O1001" i="7"/>
  <c r="G949" i="7"/>
  <c r="G951" i="7"/>
  <c r="X1003" i="7"/>
  <c r="W961" i="7"/>
  <c r="W825" i="7"/>
  <c r="G565" i="7"/>
  <c r="X774" i="7"/>
  <c r="G564" i="7"/>
  <c r="O770" i="7"/>
  <c r="O718" i="7"/>
  <c r="W729" i="7"/>
  <c r="W677" i="7"/>
  <c r="W775" i="7"/>
  <c r="W858" i="7"/>
  <c r="G870" i="7"/>
  <c r="O971" i="7"/>
  <c r="O919" i="7"/>
  <c r="G869" i="7"/>
  <c r="X926" i="7"/>
  <c r="X978" i="7"/>
  <c r="G852" i="7"/>
  <c r="W904" i="7"/>
  <c r="W951" i="7"/>
  <c r="G620" i="7"/>
  <c r="O776" i="7"/>
  <c r="G611" i="7"/>
  <c r="O764" i="7"/>
  <c r="G648" i="7"/>
  <c r="W820" i="7"/>
  <c r="W897" i="7"/>
  <c r="W617" i="7"/>
  <c r="W804" i="7"/>
  <c r="X690" i="7"/>
  <c r="X836" i="7"/>
  <c r="X717" i="7"/>
  <c r="X1020" i="7"/>
  <c r="X777" i="7"/>
  <c r="X822" i="7"/>
  <c r="X782" i="7"/>
  <c r="X723" i="7"/>
  <c r="X696" i="7"/>
  <c r="X798" i="7"/>
  <c r="X705" i="7"/>
  <c r="X781" i="7"/>
  <c r="X770" i="7"/>
  <c r="X728" i="7"/>
  <c r="X1015" i="7"/>
  <c r="X905" i="7"/>
  <c r="X934" i="7"/>
  <c r="X720" i="7"/>
  <c r="X685" i="7"/>
  <c r="X780" i="7"/>
  <c r="X711" i="7"/>
  <c r="X1002" i="7"/>
  <c r="X968" i="7"/>
  <c r="X994" i="7"/>
  <c r="X966" i="7"/>
  <c r="X708" i="7"/>
  <c r="X1019" i="7"/>
  <c r="X767" i="7"/>
  <c r="X695" i="7"/>
  <c r="X792" i="7"/>
  <c r="X996" i="7"/>
  <c r="X872" i="7"/>
  <c r="X838" i="7"/>
  <c r="X775" i="7"/>
  <c r="X823" i="7"/>
  <c r="X779" i="7"/>
  <c r="X783" i="7"/>
  <c r="X914" i="7"/>
  <c r="X692" i="7"/>
  <c r="X731" i="7"/>
  <c r="X722" i="7"/>
  <c r="X729" i="7"/>
  <c r="X1018" i="7"/>
  <c r="X1009" i="7"/>
  <c r="X848" i="7"/>
  <c r="X904" i="7"/>
  <c r="X761" i="7"/>
  <c r="X785" i="7"/>
  <c r="X913" i="7"/>
  <c r="X970" i="7"/>
  <c r="X816" i="7"/>
  <c r="X856" i="7"/>
  <c r="X863" i="7"/>
  <c r="X727" i="7"/>
  <c r="X1017" i="7"/>
  <c r="X988" i="7"/>
  <c r="X804" i="7"/>
  <c r="X743" i="7"/>
  <c r="X962" i="7"/>
  <c r="X947" i="7"/>
  <c r="X999" i="7"/>
  <c r="X924" i="7"/>
  <c r="X993" i="7"/>
  <c r="X1021" i="7"/>
  <c r="X760" i="7"/>
  <c r="X809" i="7"/>
  <c r="X795" i="7"/>
  <c r="X991" i="7"/>
  <c r="X756" i="7"/>
  <c r="X725" i="7"/>
  <c r="X714" i="7"/>
  <c r="X843" i="7"/>
  <c r="X732" i="7"/>
  <c r="X916" i="7"/>
  <c r="X736" i="7"/>
  <c r="X963" i="7"/>
  <c r="X726" i="7"/>
  <c r="X985" i="7"/>
  <c r="X857" i="7"/>
  <c r="X977" i="7"/>
  <c r="X907" i="7"/>
  <c r="X897" i="7"/>
  <c r="X921" i="7"/>
  <c r="X910" i="7"/>
  <c r="X992" i="7"/>
  <c r="X745" i="7"/>
  <c r="X885" i="7"/>
  <c r="X1001" i="7"/>
  <c r="X828" i="7"/>
  <c r="X880" i="7"/>
  <c r="X703" i="7"/>
  <c r="X833" i="7"/>
  <c r="X903" i="7"/>
  <c r="X835" i="7"/>
  <c r="X700" i="7"/>
  <c r="X784" i="7"/>
  <c r="X941" i="7"/>
  <c r="X831" i="7"/>
  <c r="X883" i="7"/>
  <c r="X960" i="7"/>
  <c r="X908" i="7"/>
  <c r="X701" i="7"/>
  <c r="X753" i="7"/>
  <c r="X832" i="7"/>
  <c r="X793" i="7"/>
  <c r="X937" i="7"/>
  <c r="X989" i="7"/>
  <c r="X906" i="7"/>
  <c r="X1010" i="7"/>
  <c r="X958" i="7"/>
  <c r="X800" i="7"/>
  <c r="X852" i="7"/>
  <c r="X805" i="7"/>
  <c r="X744" i="7"/>
  <c r="X870" i="7"/>
  <c r="X818" i="7"/>
  <c r="X830" i="7"/>
  <c r="X850" i="7"/>
  <c r="X824" i="7"/>
  <c r="X981" i="7"/>
  <c r="X876" i="7"/>
  <c r="X699" i="7"/>
  <c r="X788" i="7"/>
  <c r="X895" i="7"/>
  <c r="X759" i="7"/>
  <c r="X841" i="7"/>
  <c r="X893" i="7"/>
  <c r="X789" i="7"/>
  <c r="X752" i="7"/>
  <c r="X810" i="7"/>
  <c r="X748" i="7"/>
  <c r="X1007" i="7"/>
  <c r="X955" i="7"/>
  <c r="X787" i="7"/>
  <c r="X839" i="7"/>
  <c r="X891" i="7"/>
  <c r="X944" i="7"/>
  <c r="X849" i="7"/>
  <c r="X712" i="7"/>
  <c r="X764" i="7"/>
  <c r="X786" i="7"/>
  <c r="X943" i="7"/>
  <c r="X890" i="7"/>
  <c r="X866" i="7"/>
  <c r="X918" i="7"/>
  <c r="X899" i="7"/>
  <c r="X847" i="7"/>
  <c r="X951" i="7"/>
  <c r="X929" i="7"/>
  <c r="X877" i="7"/>
  <c r="X825" i="7"/>
  <c r="X932" i="7"/>
  <c r="X801" i="7"/>
  <c r="X853" i="7"/>
  <c r="X837" i="7"/>
  <c r="X1016" i="7"/>
  <c r="X691" i="7"/>
  <c r="X959" i="7"/>
  <c r="X757" i="7"/>
  <c r="X861" i="7"/>
  <c r="X919" i="7"/>
  <c r="X1014" i="7"/>
  <c r="X935" i="7"/>
  <c r="X949" i="7"/>
  <c r="X973" i="7"/>
  <c r="X842" i="7"/>
  <c r="X894" i="7"/>
  <c r="X946" i="7"/>
  <c r="X721" i="7"/>
  <c r="X791" i="7"/>
  <c r="X747" i="7"/>
  <c r="X987" i="7"/>
  <c r="X827" i="7"/>
  <c r="X879" i="7"/>
  <c r="X931" i="7"/>
  <c r="X799" i="7"/>
  <c r="X851" i="7"/>
  <c r="X749" i="7"/>
  <c r="X735" i="7"/>
  <c r="X887" i="7"/>
  <c r="X901" i="7"/>
  <c r="X953" i="7"/>
  <c r="X807" i="7"/>
  <c r="X865" i="7"/>
  <c r="X917" i="7"/>
  <c r="X813" i="7"/>
  <c r="X741" i="7"/>
  <c r="X689" i="7"/>
  <c r="X829" i="7"/>
  <c r="X881" i="7"/>
  <c r="X802" i="7"/>
  <c r="X854" i="7"/>
  <c r="X961" i="7"/>
  <c r="X713" i="7"/>
  <c r="X765" i="7"/>
  <c r="X803" i="7"/>
  <c r="X751" i="7"/>
  <c r="X855" i="7"/>
  <c r="X986" i="7"/>
  <c r="X1004" i="7"/>
  <c r="X982" i="7"/>
  <c r="X957" i="7"/>
  <c r="X846" i="7"/>
  <c r="X794" i="7"/>
  <c r="X902" i="7"/>
  <c r="X940" i="7"/>
  <c r="X750" i="7"/>
  <c r="X864" i="7"/>
  <c r="X812" i="7"/>
  <c r="X969" i="7"/>
  <c r="X922" i="7"/>
  <c r="X974" i="7"/>
  <c r="X976" i="7"/>
  <c r="X990" i="7"/>
  <c r="X724" i="7"/>
  <c r="X776" i="7"/>
  <c r="X778" i="7"/>
  <c r="X758" i="7"/>
  <c r="X971" i="7"/>
  <c r="X1013" i="7"/>
  <c r="X742" i="7"/>
  <c r="X734" i="7"/>
  <c r="X936" i="7"/>
  <c r="X948" i="7"/>
  <c r="X1000" i="7"/>
  <c r="X797" i="7"/>
  <c r="X737" i="7"/>
  <c r="X886" i="7"/>
  <c r="X834" i="7"/>
  <c r="X845" i="7"/>
  <c r="X862" i="7"/>
  <c r="X697" i="7"/>
  <c r="X715" i="7"/>
  <c r="X858" i="7"/>
  <c r="X952" i="7"/>
  <c r="X900" i="7"/>
  <c r="X898" i="7"/>
  <c r="X773" i="7"/>
  <c r="X1012" i="7"/>
  <c r="X954" i="7"/>
  <c r="X763" i="7"/>
  <c r="X815" i="7"/>
  <c r="X819" i="7"/>
  <c r="X871" i="7"/>
  <c r="X909" i="7"/>
  <c r="X956" i="7"/>
  <c r="X1008" i="7"/>
  <c r="X860" i="7"/>
  <c r="X826" i="7"/>
  <c r="X878" i="7"/>
  <c r="X930" i="7"/>
  <c r="X938" i="7"/>
  <c r="X1022" i="7"/>
  <c r="X755" i="7"/>
  <c r="X702" i="7"/>
  <c r="X754" i="7"/>
  <c r="X884" i="7"/>
  <c r="X730" i="7"/>
  <c r="X1011" i="7"/>
  <c r="X950" i="7"/>
  <c r="X868" i="7"/>
  <c r="X808" i="7"/>
  <c r="X942" i="7"/>
  <c r="X817" i="7"/>
  <c r="X882" i="7"/>
  <c r="X844" i="7"/>
  <c r="X1005" i="7"/>
  <c r="X796" i="7"/>
  <c r="X710" i="7"/>
  <c r="X762" i="7"/>
  <c r="X806" i="7"/>
  <c r="X716" i="7"/>
  <c r="X820" i="7"/>
  <c r="X768" i="7"/>
  <c r="X859" i="7"/>
  <c r="X896" i="7"/>
  <c r="X790" i="7"/>
  <c r="X811" i="7"/>
  <c r="X915" i="7"/>
  <c r="X1006" i="7"/>
  <c r="G1023" i="7"/>
  <c r="G1024" i="7"/>
  <c r="G1026" i="7"/>
  <c r="G1025" i="7"/>
  <c r="G1027" i="7"/>
  <c r="G1028" i="7"/>
  <c r="G1029" i="7"/>
  <c r="G1030" i="7"/>
  <c r="I10" i="8"/>
  <c r="I12" i="8"/>
  <c r="G1031" i="7"/>
  <c r="G1033" i="7"/>
  <c r="J10" i="8"/>
  <c r="J12" i="8"/>
  <c r="G1034" i="7"/>
  <c r="G1035" i="7"/>
  <c r="G1039" i="7"/>
  <c r="G1040" i="7"/>
  <c r="G1041" i="7"/>
  <c r="G1042" i="7"/>
  <c r="G1044" i="7"/>
  <c r="G1043" i="7"/>
  <c r="E8" i="6"/>
  <c r="E10" i="6"/>
  <c r="Q4" i="8"/>
  <c r="Q5" i="8"/>
  <c r="D11" i="6"/>
  <c r="I1045" i="1"/>
  <c r="G1045" i="7" s="1"/>
  <c r="E13" i="6"/>
  <c r="I4" i="8"/>
  <c r="F1045" i="7"/>
  <c r="F1046" i="7"/>
  <c r="I5" i="8"/>
  <c r="R4" i="8"/>
  <c r="R6" i="8"/>
  <c r="E12" i="6"/>
  <c r="R5" i="8"/>
  <c r="E11" i="6"/>
  <c r="J5" i="8"/>
  <c r="F8" i="6"/>
  <c r="F10" i="6" s="1"/>
  <c r="J6" i="8"/>
  <c r="J4" i="8"/>
  <c r="G1046" i="7"/>
  <c r="S4" i="8" l="1"/>
  <c r="S5" i="8"/>
  <c r="F11" i="6" s="1"/>
  <c r="S6" i="8"/>
  <c r="F12" i="6" s="1"/>
  <c r="F6" i="6"/>
  <c r="N4" i="8"/>
  <c r="N5" i="8"/>
  <c r="C11" i="6" s="1"/>
</calcChain>
</file>

<file path=xl/sharedStrings.xml><?xml version="1.0" encoding="utf-8"?>
<sst xmlns="http://schemas.openxmlformats.org/spreadsheetml/2006/main" count="761" uniqueCount="80">
  <si>
    <t>Rail Deliveries to Port</t>
  </si>
  <si>
    <t>Mississippi</t>
  </si>
  <si>
    <t>Atlantic &amp;</t>
  </si>
  <si>
    <t>S Atlantic</t>
  </si>
  <si>
    <t>Texas</t>
  </si>
  <si>
    <t>Pacific</t>
  </si>
  <si>
    <t>E Gulf</t>
  </si>
  <si>
    <t>Total</t>
  </si>
  <si>
    <t>DATE</t>
  </si>
  <si>
    <t>N Atlantic</t>
  </si>
  <si>
    <t>East Gulf</t>
  </si>
  <si>
    <t xml:space="preserve"> </t>
  </si>
  <si>
    <t>Texas Gulf</t>
  </si>
  <si>
    <t>Northwest</t>
  </si>
  <si>
    <t>Gulf</t>
  </si>
  <si>
    <t>Week ending</t>
  </si>
  <si>
    <t>Source:  Transportation &amp; Marketing Programs/AMS/USDA</t>
  </si>
  <si>
    <t>Mexico</t>
  </si>
  <si>
    <t>Cross Border</t>
  </si>
  <si>
    <t xml:space="preserve">  Cross-Border</t>
  </si>
  <si>
    <t>Cross</t>
  </si>
  <si>
    <t>Cross-Border</t>
  </si>
  <si>
    <r>
      <t>9/7/2005</t>
    </r>
    <r>
      <rPr>
        <vertAlign val="superscript"/>
        <sz val="10"/>
        <color indexed="8"/>
        <rFont val="Arial"/>
        <family val="2"/>
      </rPr>
      <t>p</t>
    </r>
  </si>
  <si>
    <r>
      <t>8/31/2005</t>
    </r>
    <r>
      <rPr>
        <vertAlign val="superscript"/>
        <sz val="10"/>
        <color indexed="8"/>
        <rFont val="Arial"/>
        <family val="2"/>
      </rPr>
      <t>r</t>
    </r>
  </si>
  <si>
    <t>PNW</t>
  </si>
  <si>
    <t>with new</t>
  </si>
  <si>
    <t>data</t>
  </si>
  <si>
    <t>With new data</t>
  </si>
  <si>
    <t>% chg from prior week</t>
  </si>
  <si>
    <t>% chg from prior year</t>
  </si>
  <si>
    <t>% chg from 4-yr avg.</t>
  </si>
  <si>
    <t>MS</t>
  </si>
  <si>
    <t>TX</t>
  </si>
  <si>
    <t>East coast</t>
  </si>
  <si>
    <t>n/a</t>
  </si>
  <si>
    <t>River (new)</t>
  </si>
  <si>
    <t>Group this figure if use preliminary data</t>
  </si>
  <si>
    <r>
      <t>Rail Deliveries to Port (carloads)</t>
    </r>
    <r>
      <rPr>
        <b/>
        <vertAlign val="superscript"/>
        <sz val="11"/>
        <color indexed="8"/>
        <rFont val="Times New Roman"/>
        <family val="1"/>
      </rPr>
      <t>1</t>
    </r>
  </si>
  <si>
    <t>Rail to port--Changes in 4-week averages</t>
  </si>
  <si>
    <t>Rail to port--Week to Week Changes</t>
  </si>
  <si>
    <t>Prior 4-year Averages (carloads) (week to week)</t>
  </si>
  <si>
    <t>Prior 4-year Averages (carloads) (of 4 week running average)</t>
  </si>
  <si>
    <t>Change</t>
  </si>
  <si>
    <t>3-yr avg (when red)</t>
  </si>
  <si>
    <t>4-yr avg</t>
  </si>
  <si>
    <r>
      <t xml:space="preserve">1 </t>
    </r>
    <r>
      <rPr>
        <sz val="8"/>
        <color indexed="8"/>
        <rFont val="Times New Roman"/>
        <family val="1"/>
      </rPr>
      <t>Data is incomplete as it is voluntarily provided</t>
    </r>
  </si>
  <si>
    <t xml:space="preserve"> Gulf </t>
  </si>
  <si>
    <r>
      <t>Last 4 weeks as % of 4-year avg.</t>
    </r>
    <r>
      <rPr>
        <vertAlign val="superscript"/>
        <sz val="10"/>
        <color indexed="8"/>
        <rFont val="Times New Roman"/>
        <family val="1"/>
      </rPr>
      <t>2</t>
    </r>
  </si>
  <si>
    <t xml:space="preserve">Week </t>
  </si>
  <si>
    <t>Number</t>
  </si>
  <si>
    <t>River*</t>
  </si>
  <si>
    <t>Total*</t>
  </si>
  <si>
    <t>New Table 3_Rrport,  * Miss. River deliveries data incomplete prior to 2004</t>
  </si>
  <si>
    <t xml:space="preserve">  * Miss. River deliveries data incomplete prior to 2004</t>
  </si>
  <si>
    <t xml:space="preserve">Total 2011 </t>
  </si>
  <si>
    <r>
      <t>2012 YTD</t>
    </r>
    <r>
      <rPr>
        <vertAlign val="superscript"/>
        <sz val="9"/>
        <color indexed="8"/>
        <rFont val="Times New Roman"/>
        <family val="1"/>
      </rPr>
      <t>r</t>
    </r>
  </si>
  <si>
    <r>
      <t>Mexico</t>
    </r>
    <r>
      <rPr>
        <b/>
        <vertAlign val="superscript"/>
        <sz val="9"/>
        <color indexed="8"/>
        <rFont val="Times New Roman"/>
        <family val="1"/>
      </rPr>
      <t>3</t>
    </r>
  </si>
  <si>
    <t>2012 YTD</t>
  </si>
  <si>
    <t>Last 4wks % 4 yr</t>
  </si>
  <si>
    <t>% change YTD</t>
  </si>
  <si>
    <t xml:space="preserve">Exports </t>
  </si>
  <si>
    <t>Mexico -2</t>
  </si>
  <si>
    <t>Mexico-2</t>
  </si>
  <si>
    <t>Cross-Border-2</t>
  </si>
  <si>
    <r>
      <t>2013 YTD</t>
    </r>
    <r>
      <rPr>
        <vertAlign val="superscript"/>
        <sz val="9"/>
        <color indexed="8"/>
        <rFont val="Times New Roman"/>
        <family val="1"/>
      </rPr>
      <t>r</t>
    </r>
  </si>
  <si>
    <t>2013 YTD as % of 2012 YTD</t>
  </si>
  <si>
    <r>
      <t>Last 4 weeks as % of 2012</t>
    </r>
    <r>
      <rPr>
        <vertAlign val="superscript"/>
        <sz val="10"/>
        <color indexed="8"/>
        <rFont val="Times New Roman"/>
        <family val="1"/>
      </rPr>
      <t>2</t>
    </r>
  </si>
  <si>
    <t xml:space="preserve">Total 2012 </t>
  </si>
  <si>
    <t>2013 YTD</t>
  </si>
  <si>
    <t>Last 4wks % 2012</t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</si>
  <si>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Cross- border weekly data is aproximately 15 percent below the Association of American Railroads reported weekly carloads received by Mexican railroads </t>
    </r>
  </si>
  <si>
    <t>to reflect switching between KCSM and FerroMex.</t>
  </si>
  <si>
    <t xml:space="preserve">   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</si>
  <si>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Compared with same 4-weeks in 2012 and prior 4-year average.   </t>
    </r>
  </si>
  <si>
    <t>YTD = year-to-date; p = preliminary data; r = revised data; n/a = not available</t>
  </si>
  <si>
    <t>3rd Quarter 2013</t>
  </si>
  <si>
    <t>3rd Quarter 2012</t>
  </si>
  <si>
    <t>Table 3</t>
  </si>
  <si>
    <r>
      <t>11/27/2013</t>
    </r>
    <r>
      <rPr>
        <vertAlign val="superscript"/>
        <sz val="9"/>
        <color indexed="8"/>
        <rFont val="Times New Roman"/>
        <family val="1"/>
      </rPr>
      <t>p</t>
    </r>
  </si>
  <si>
    <r>
      <t>11/20/2013</t>
    </r>
    <r>
      <rPr>
        <vertAlign val="superscript"/>
        <sz val="9"/>
        <color indexed="8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</si>
</sst>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mmm\-yy_)"/>
    <numFmt numFmtId="166" formatCode="0_)"/>
    <numFmt numFmtId="167" formatCode="_(* #,##0_______);_(* \(#,##0\);_(* &quot;-&quot;_);_(@_)"/>
    <numFmt numFmtId="168" formatCode="0.0%"/>
    <numFmt numFmtId="169" formatCode="_(* #,##0_);_(* \(#,##0\);_(* &quot;-&quot;??_);_(@_)"/>
    <numFmt numFmtId="170" formatCode="#,##0;[Red]#,##0"/>
    <numFmt numFmtId="171" formatCode="mm/dd/yy;@"/>
    <numFmt numFmtId="172" formatCode="mm/dd/yy"/>
    <numFmt numFmtId="173" formatCode="0_);\(0\)"/>
  </numFmts>
  <fonts count="58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i/>
      <sz val="10"/>
      <color indexed="8"/>
      <name val="Arial"/>
      <family val="2"/>
    </font>
    <font>
      <i/>
      <sz val="10"/>
      <name val="Arial"/>
      <family val="2"/>
    </font>
    <font>
      <b/>
      <sz val="9"/>
      <name val="Times New Roman"/>
      <family val="1"/>
    </font>
    <font>
      <vertAlign val="superscript"/>
      <sz val="9"/>
      <color indexed="8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8"/>
      <name val="Times New Roman"/>
      <family val="1"/>
    </font>
    <font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vertAlign val="superscript"/>
      <sz val="8"/>
      <color indexed="8"/>
      <name val="Times New Roman"/>
      <family val="1"/>
    </font>
    <font>
      <vertAlign val="superscript"/>
      <sz val="8"/>
      <name val="Times New Roman"/>
      <family val="1"/>
    </font>
    <font>
      <vertAlign val="superscript"/>
      <sz val="10"/>
      <color indexed="8"/>
      <name val="Times New Roman"/>
      <family val="1"/>
    </font>
    <font>
      <i/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9"/>
      <color indexed="8"/>
      <name val="Times New Roman"/>
      <family val="1"/>
    </font>
    <font>
      <i/>
      <sz val="9"/>
      <color indexed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name val="Georgia"/>
      <family val="1"/>
    </font>
    <font>
      <sz val="1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4">
    <xf numFmtId="0" fontId="0" fillId="0" borderId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2" fillId="0" borderId="0" applyFont="0" applyFill="0" applyBorder="0" applyAlignment="0" applyProtection="0"/>
    <xf numFmtId="3" fontId="38" fillId="3" borderId="0"/>
    <xf numFmtId="3" fontId="43" fillId="3" borderId="0"/>
    <xf numFmtId="3" fontId="1" fillId="3" borderId="0"/>
    <xf numFmtId="3" fontId="44" fillId="3" borderId="0"/>
    <xf numFmtId="3" fontId="45" fillId="3" borderId="0"/>
    <xf numFmtId="3" fontId="46" fillId="3" borderId="0"/>
    <xf numFmtId="3" fontId="52" fillId="3" borderId="0"/>
    <xf numFmtId="5" fontId="38" fillId="3" borderId="0"/>
    <xf numFmtId="5" fontId="43" fillId="3" borderId="0"/>
    <xf numFmtId="5" fontId="1" fillId="3" borderId="0"/>
    <xf numFmtId="5" fontId="44" fillId="3" borderId="0"/>
    <xf numFmtId="5" fontId="45" fillId="3" borderId="0"/>
    <xf numFmtId="5" fontId="46" fillId="3" borderId="0"/>
    <xf numFmtId="5" fontId="52" fillId="3" borderId="0"/>
    <xf numFmtId="0" fontId="38" fillId="3" borderId="0"/>
    <xf numFmtId="0" fontId="43" fillId="3" borderId="0"/>
    <xf numFmtId="0" fontId="1" fillId="3" borderId="0"/>
    <xf numFmtId="0" fontId="44" fillId="3" borderId="0"/>
    <xf numFmtId="0" fontId="45" fillId="3" borderId="0"/>
    <xf numFmtId="0" fontId="46" fillId="3" borderId="0"/>
    <xf numFmtId="0" fontId="52" fillId="3" borderId="0"/>
    <xf numFmtId="2" fontId="38" fillId="3" borderId="0"/>
    <xf numFmtId="2" fontId="43" fillId="3" borderId="0"/>
    <xf numFmtId="2" fontId="1" fillId="3" borderId="0"/>
    <xf numFmtId="2" fontId="44" fillId="3" borderId="0"/>
    <xf numFmtId="2" fontId="45" fillId="3" borderId="0"/>
    <xf numFmtId="2" fontId="46" fillId="3" borderId="0"/>
    <xf numFmtId="2" fontId="52" fillId="3" borderId="0"/>
    <xf numFmtId="0" fontId="39" fillId="3" borderId="0"/>
    <xf numFmtId="0" fontId="29" fillId="3" borderId="0"/>
    <xf numFmtId="0" fontId="40" fillId="2" borderId="0"/>
    <xf numFmtId="0" fontId="40" fillId="2" borderId="0"/>
    <xf numFmtId="0" fontId="53" fillId="2" borderId="0"/>
    <xf numFmtId="0" fontId="52" fillId="0" borderId="0"/>
    <xf numFmtId="0" fontId="38" fillId="0" borderId="0"/>
    <xf numFmtId="0" fontId="40" fillId="2" borderId="0"/>
    <xf numFmtId="0" fontId="43" fillId="0" borderId="0"/>
    <xf numFmtId="0" fontId="40" fillId="2" borderId="0"/>
    <xf numFmtId="0" fontId="1" fillId="0" borderId="0"/>
    <xf numFmtId="0" fontId="40" fillId="2" borderId="0"/>
    <xf numFmtId="0" fontId="44" fillId="0" borderId="0"/>
    <xf numFmtId="0" fontId="40" fillId="2" borderId="0"/>
    <xf numFmtId="0" fontId="45" fillId="0" borderId="0"/>
    <xf numFmtId="0" fontId="1" fillId="0" borderId="0"/>
    <xf numFmtId="0" fontId="46" fillId="0" borderId="0"/>
    <xf numFmtId="0" fontId="40" fillId="2" borderId="0"/>
    <xf numFmtId="0" fontId="40" fillId="2" borderId="0"/>
    <xf numFmtId="0" fontId="40" fillId="2" borderId="0"/>
    <xf numFmtId="9" fontId="2" fillId="0" borderId="0" applyFont="0" applyFill="0" applyBorder="0" applyAlignment="0" applyProtection="0"/>
    <xf numFmtId="0" fontId="38" fillId="3" borderId="1"/>
    <xf numFmtId="0" fontId="43" fillId="3" borderId="1"/>
    <xf numFmtId="0" fontId="1" fillId="3" borderId="1"/>
    <xf numFmtId="0" fontId="44" fillId="3" borderId="1"/>
    <xf numFmtId="0" fontId="45" fillId="3" borderId="1"/>
    <xf numFmtId="0" fontId="46" fillId="3" borderId="1"/>
    <xf numFmtId="0" fontId="52" fillId="3" borderId="1"/>
  </cellStyleXfs>
  <cellXfs count="256">
    <xf numFmtId="0" fontId="0" fillId="0" borderId="0" xfId="0"/>
    <xf numFmtId="164" fontId="3" fillId="0" borderId="0" xfId="0" applyNumberFormat="1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0" fontId="5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Continuous"/>
    </xf>
    <xf numFmtId="0" fontId="4" fillId="0" borderId="0" xfId="0" applyFont="1" applyProtection="1"/>
    <xf numFmtId="165" fontId="6" fillId="0" borderId="0" xfId="0" applyNumberFormat="1" applyFont="1" applyAlignment="1" applyProtection="1">
      <alignment horizontal="centerContinuous"/>
    </xf>
    <xf numFmtId="0" fontId="6" fillId="0" borderId="0" xfId="0" applyFont="1" applyAlignment="1" applyProtection="1">
      <alignment horizontal="centerContinuous"/>
    </xf>
    <xf numFmtId="0" fontId="6" fillId="0" borderId="0" xfId="0" applyFont="1" applyProtection="1"/>
    <xf numFmtId="165" fontId="5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164" fontId="6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37" fontId="7" fillId="0" borderId="0" xfId="0" applyNumberFormat="1" applyFont="1" applyAlignment="1" applyProtection="1">
      <alignment horizontal="center"/>
    </xf>
    <xf numFmtId="37" fontId="6" fillId="0" borderId="2" xfId="0" applyNumberFormat="1" applyFont="1" applyBorder="1" applyAlignment="1" applyProtection="1">
      <alignment horizontal="center"/>
    </xf>
    <xf numFmtId="165" fontId="7" fillId="0" borderId="0" xfId="0" applyNumberFormat="1" applyFont="1" applyAlignment="1" applyProtection="1">
      <alignment horizontal="left"/>
    </xf>
    <xf numFmtId="166" fontId="6" fillId="0" borderId="0" xfId="0" applyNumberFormat="1" applyFont="1" applyProtection="1"/>
    <xf numFmtId="37" fontId="6" fillId="0" borderId="0" xfId="0" applyNumberFormat="1" applyFont="1" applyAlignment="1" applyProtection="1">
      <alignment horizontal="center" vertical="center"/>
    </xf>
    <xf numFmtId="0" fontId="8" fillId="4" borderId="0" xfId="0" applyFont="1" applyFill="1" applyProtection="1"/>
    <xf numFmtId="0" fontId="11" fillId="4" borderId="3" xfId="0" applyFont="1" applyFill="1" applyBorder="1" applyProtection="1"/>
    <xf numFmtId="0" fontId="12" fillId="4" borderId="0" xfId="0" applyFont="1" applyFill="1" applyBorder="1"/>
    <xf numFmtId="0" fontId="12" fillId="4" borderId="0" xfId="0" applyFont="1" applyFill="1"/>
    <xf numFmtId="164" fontId="11" fillId="4" borderId="0" xfId="0" applyNumberFormat="1" applyFont="1" applyFill="1" applyAlignment="1" applyProtection="1">
      <alignment horizontal="left"/>
    </xf>
    <xf numFmtId="37" fontId="1" fillId="0" borderId="0" xfId="0" applyNumberFormat="1" applyFont="1" applyAlignment="1" applyProtection="1">
      <alignment horizontal="center"/>
    </xf>
    <xf numFmtId="0" fontId="11" fillId="4" borderId="0" xfId="0" applyFont="1" applyFill="1" applyAlignment="1" applyProtection="1">
      <alignment horizontal="left"/>
    </xf>
    <xf numFmtId="41" fontId="12" fillId="4" borderId="0" xfId="0" applyNumberFormat="1" applyFont="1" applyFill="1" applyBorder="1"/>
    <xf numFmtId="167" fontId="11" fillId="4" borderId="0" xfId="0" applyNumberFormat="1" applyFont="1" applyFill="1" applyAlignment="1" applyProtection="1">
      <alignment horizontal="right"/>
    </xf>
    <xf numFmtId="37" fontId="1" fillId="0" borderId="0" xfId="0" applyNumberFormat="1" applyFont="1" applyAlignment="1">
      <alignment horizontal="center"/>
    </xf>
    <xf numFmtId="37" fontId="13" fillId="0" borderId="0" xfId="0" applyNumberFormat="1" applyFont="1" applyAlignment="1" applyProtection="1">
      <alignment horizontal="center"/>
    </xf>
    <xf numFmtId="37" fontId="14" fillId="0" borderId="0" xfId="0" applyNumberFormat="1" applyFont="1" applyAlignment="1">
      <alignment horizontal="center"/>
    </xf>
    <xf numFmtId="37" fontId="8" fillId="4" borderId="0" xfId="0" applyNumberFormat="1" applyFont="1" applyFill="1" applyProtection="1"/>
    <xf numFmtId="164" fontId="19" fillId="0" borderId="0" xfId="0" applyNumberFormat="1" applyFont="1" applyAlignment="1" applyProtection="1">
      <alignment horizontal="left"/>
    </xf>
    <xf numFmtId="0" fontId="17" fillId="4" borderId="0" xfId="0" applyFont="1" applyFill="1" applyBorder="1"/>
    <xf numFmtId="0" fontId="12" fillId="4" borderId="3" xfId="0" applyFont="1" applyFill="1" applyBorder="1"/>
    <xf numFmtId="167" fontId="11" fillId="4" borderId="0" xfId="0" applyNumberFormat="1" applyFont="1" applyFill="1" applyBorder="1" applyAlignment="1" applyProtection="1">
      <alignment horizontal="right"/>
    </xf>
    <xf numFmtId="37" fontId="2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56" applyNumberFormat="1" applyFont="1"/>
    <xf numFmtId="0" fontId="18" fillId="0" borderId="0" xfId="0" applyFont="1" applyProtection="1"/>
    <xf numFmtId="0" fontId="0" fillId="4" borderId="0" xfId="0" applyFill="1"/>
    <xf numFmtId="14" fontId="1" fillId="0" borderId="0" xfId="0" applyNumberFormat="1" applyFont="1" applyAlignment="1">
      <alignment horizontal="left"/>
    </xf>
    <xf numFmtId="168" fontId="6" fillId="0" borderId="0" xfId="56" applyNumberFormat="1" applyFont="1" applyProtection="1"/>
    <xf numFmtId="0" fontId="6" fillId="0" borderId="0" xfId="0" applyFont="1" applyBorder="1" applyAlignment="1" applyProtection="1">
      <alignment horizontal="center"/>
    </xf>
    <xf numFmtId="37" fontId="6" fillId="0" borderId="0" xfId="0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3" fontId="1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 applyBorder="1" applyAlignment="1" applyProtection="1">
      <alignment horizontal="centerContinuous"/>
    </xf>
    <xf numFmtId="37" fontId="6" fillId="0" borderId="4" xfId="0" applyNumberFormat="1" applyFont="1" applyBorder="1" applyAlignment="1" applyProtection="1">
      <alignment horizontal="center"/>
    </xf>
    <xf numFmtId="0" fontId="24" fillId="4" borderId="0" xfId="0" applyFont="1" applyFill="1"/>
    <xf numFmtId="0" fontId="25" fillId="5" borderId="0" xfId="0" applyFont="1" applyFill="1" applyAlignment="1" applyProtection="1">
      <alignment horizontal="center"/>
    </xf>
    <xf numFmtId="0" fontId="26" fillId="5" borderId="0" xfId="0" applyFont="1" applyFill="1" applyBorder="1" applyAlignment="1" applyProtection="1">
      <alignment horizontal="center"/>
    </xf>
    <xf numFmtId="37" fontId="26" fillId="5" borderId="0" xfId="0" applyNumberFormat="1" applyFont="1" applyFill="1" applyBorder="1" applyAlignment="1" applyProtection="1">
      <alignment horizontal="center"/>
    </xf>
    <xf numFmtId="37" fontId="26" fillId="5" borderId="2" xfId="0" applyNumberFormat="1" applyFont="1" applyFill="1" applyBorder="1" applyAlignment="1" applyProtection="1">
      <alignment horizontal="center"/>
    </xf>
    <xf numFmtId="0" fontId="27" fillId="5" borderId="0" xfId="0" applyFont="1" applyFill="1" applyAlignment="1" applyProtection="1">
      <alignment horizontal="center"/>
    </xf>
    <xf numFmtId="0" fontId="28" fillId="5" borderId="0" xfId="0" applyFont="1" applyFill="1" applyAlignment="1" applyProtection="1">
      <alignment horizontal="center"/>
    </xf>
    <xf numFmtId="37" fontId="7" fillId="5" borderId="0" xfId="0" applyNumberFormat="1" applyFont="1" applyFill="1" applyAlignment="1" applyProtection="1">
      <alignment horizontal="center"/>
    </xf>
    <xf numFmtId="0" fontId="24" fillId="6" borderId="0" xfId="0" applyFont="1" applyFill="1"/>
    <xf numFmtId="0" fontId="29" fillId="6" borderId="0" xfId="0" applyFont="1" applyFill="1"/>
    <xf numFmtId="3" fontId="1" fillId="3" borderId="5" xfId="0" applyNumberFormat="1" applyFont="1" applyFill="1" applyBorder="1" applyAlignment="1">
      <alignment horizontal="center"/>
    </xf>
    <xf numFmtId="37" fontId="1" fillId="0" borderId="0" xfId="0" applyNumberFormat="1" applyFont="1" applyFill="1" applyAlignment="1">
      <alignment horizontal="center"/>
    </xf>
    <xf numFmtId="0" fontId="29" fillId="0" borderId="0" xfId="0" applyFont="1" applyFill="1"/>
    <xf numFmtId="168" fontId="6" fillId="0" borderId="0" xfId="56" applyNumberFormat="1" applyFont="1" applyAlignment="1" applyProtection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  <xf numFmtId="0" fontId="29" fillId="4" borderId="0" xfId="0" applyFont="1" applyFill="1"/>
    <xf numFmtId="0" fontId="0" fillId="7" borderId="0" xfId="0" applyFill="1"/>
    <xf numFmtId="0" fontId="22" fillId="4" borderId="3" xfId="0" applyFont="1" applyFill="1" applyBorder="1" applyProtection="1"/>
    <xf numFmtId="0" fontId="31" fillId="4" borderId="3" xfId="0" applyFont="1" applyFill="1" applyBorder="1" applyProtection="1"/>
    <xf numFmtId="0" fontId="33" fillId="4" borderId="0" xfId="0" applyFont="1" applyFill="1" applyProtection="1"/>
    <xf numFmtId="0" fontId="11" fillId="5" borderId="0" xfId="0" applyFont="1" applyFill="1" applyProtection="1"/>
    <xf numFmtId="0" fontId="15" fillId="5" borderId="0" xfId="0" applyFont="1" applyFill="1" applyBorder="1"/>
    <xf numFmtId="37" fontId="10" fillId="5" borderId="0" xfId="0" applyNumberFormat="1" applyFont="1" applyFill="1" applyAlignment="1" applyProtection="1">
      <alignment horizontal="center"/>
    </xf>
    <xf numFmtId="0" fontId="10" fillId="5" borderId="0" xfId="0" applyFont="1" applyFill="1" applyAlignment="1" applyProtection="1">
      <alignment horizontal="center"/>
    </xf>
    <xf numFmtId="0" fontId="10" fillId="5" borderId="3" xfId="0" applyFont="1" applyFill="1" applyBorder="1" applyProtection="1"/>
    <xf numFmtId="0" fontId="10" fillId="5" borderId="3" xfId="0" applyFont="1" applyFill="1" applyBorder="1" applyAlignment="1" applyProtection="1">
      <alignment horizontal="center"/>
    </xf>
    <xf numFmtId="37" fontId="10" fillId="5" borderId="3" xfId="0" applyNumberFormat="1" applyFont="1" applyFill="1" applyBorder="1" applyAlignment="1" applyProtection="1">
      <alignment horizontal="center"/>
    </xf>
    <xf numFmtId="0" fontId="15" fillId="5" borderId="3" xfId="0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 applyAlignment="1" applyProtection="1">
      <alignment horizontal="center"/>
    </xf>
    <xf numFmtId="37" fontId="6" fillId="0" borderId="4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Continuous"/>
    </xf>
    <xf numFmtId="1" fontId="1" fillId="0" borderId="0" xfId="56" applyNumberFormat="1" applyFont="1"/>
    <xf numFmtId="0" fontId="1" fillId="0" borderId="4" xfId="0" applyFont="1" applyBorder="1"/>
    <xf numFmtId="164" fontId="23" fillId="4" borderId="0" xfId="0" applyNumberFormat="1" applyFont="1" applyFill="1" applyBorder="1" applyAlignment="1" applyProtection="1">
      <alignment horizontal="left"/>
    </xf>
    <xf numFmtId="167" fontId="11" fillId="4" borderId="0" xfId="0" applyNumberFormat="1" applyFont="1" applyFill="1" applyAlignment="1" applyProtection="1">
      <alignment horizontal="center"/>
    </xf>
    <xf numFmtId="0" fontId="15" fillId="5" borderId="0" xfId="0" applyFont="1" applyFill="1" applyBorder="1" applyAlignment="1">
      <alignment horizontal="center"/>
    </xf>
    <xf numFmtId="37" fontId="7" fillId="0" borderId="0" xfId="0" applyNumberFormat="1" applyFont="1" applyFill="1" applyAlignment="1" applyProtection="1">
      <alignment horizontal="center"/>
    </xf>
    <xf numFmtId="0" fontId="17" fillId="4" borderId="0" xfId="0" applyFont="1" applyFill="1" applyAlignment="1"/>
    <xf numFmtId="3" fontId="1" fillId="0" borderId="0" xfId="0" applyNumberFormat="1" applyFont="1" applyFill="1" applyAlignment="1">
      <alignment horizontal="center"/>
    </xf>
    <xf numFmtId="0" fontId="27" fillId="0" borderId="0" xfId="0" applyFont="1" applyFill="1"/>
    <xf numFmtId="169" fontId="26" fillId="0" borderId="0" xfId="1" applyNumberFormat="1" applyFont="1" applyAlignment="1" applyProtection="1">
      <alignment horizontal="center"/>
    </xf>
    <xf numFmtId="37" fontId="36" fillId="0" borderId="0" xfId="0" applyNumberFormat="1" applyFont="1" applyAlignment="1" applyProtection="1">
      <alignment horizontal="center"/>
    </xf>
    <xf numFmtId="0" fontId="28" fillId="0" borderId="0" xfId="0" applyFont="1" applyAlignment="1">
      <alignment horizontal="right"/>
    </xf>
    <xf numFmtId="0" fontId="1" fillId="7" borderId="0" xfId="0" applyFont="1" applyFill="1"/>
    <xf numFmtId="3" fontId="1" fillId="0" borderId="5" xfId="0" applyNumberFormat="1" applyFont="1" applyFill="1" applyBorder="1" applyAlignment="1">
      <alignment horizontal="center"/>
    </xf>
    <xf numFmtId="0" fontId="1" fillId="0" borderId="0" xfId="0" applyFont="1" applyFill="1"/>
    <xf numFmtId="3" fontId="1" fillId="0" borderId="0" xfId="0" applyNumberFormat="1" applyFont="1"/>
    <xf numFmtId="37" fontId="37" fillId="0" borderId="0" xfId="0" applyNumberFormat="1" applyFont="1" applyAlignment="1" applyProtection="1">
      <alignment horizontal="center"/>
    </xf>
    <xf numFmtId="0" fontId="11" fillId="4" borderId="6" xfId="0" applyFont="1" applyFill="1" applyBorder="1" applyAlignment="1" applyProtection="1">
      <alignment horizontal="left"/>
    </xf>
    <xf numFmtId="0" fontId="0" fillId="9" borderId="0" xfId="0" applyFill="1"/>
    <xf numFmtId="3" fontId="1" fillId="0" borderId="0" xfId="42" applyNumberFormat="1" applyFont="1" applyAlignment="1">
      <alignment horizontal="center"/>
    </xf>
    <xf numFmtId="164" fontId="6" fillId="0" borderId="0" xfId="0" quotePrefix="1" applyNumberFormat="1" applyFont="1" applyAlignment="1" applyProtection="1">
      <alignment horizontal="left"/>
    </xf>
    <xf numFmtId="169" fontId="1" fillId="0" borderId="0" xfId="1" applyNumberFormat="1" applyFont="1" applyFill="1" applyAlignment="1" applyProtection="1">
      <alignment horizontal="center"/>
    </xf>
    <xf numFmtId="169" fontId="6" fillId="0" borderId="0" xfId="1" applyNumberFormat="1" applyFont="1" applyFill="1" applyAlignment="1" applyProtection="1">
      <alignment horizontal="center"/>
    </xf>
    <xf numFmtId="170" fontId="1" fillId="0" borderId="0" xfId="0" applyNumberFormat="1" applyFont="1" applyAlignment="1">
      <alignment horizontal="center"/>
    </xf>
    <xf numFmtId="3" fontId="1" fillId="0" borderId="0" xfId="1" applyNumberFormat="1" applyFont="1" applyFill="1" applyAlignment="1" applyProtection="1">
      <alignment horizontal="center"/>
    </xf>
    <xf numFmtId="37" fontId="1" fillId="0" borderId="0" xfId="1" applyNumberFormat="1" applyFont="1" applyFill="1" applyAlignment="1" applyProtection="1">
      <alignment horizontal="center"/>
    </xf>
    <xf numFmtId="37" fontId="41" fillId="0" borderId="0" xfId="0" applyNumberFormat="1" applyFont="1" applyAlignment="1" applyProtection="1">
      <alignment horizontal="center"/>
    </xf>
    <xf numFmtId="3" fontId="42" fillId="5" borderId="0" xfId="1" applyNumberFormat="1" applyFont="1" applyFill="1" applyAlignment="1">
      <alignment horizontal="center"/>
    </xf>
    <xf numFmtId="3" fontId="42" fillId="5" borderId="0" xfId="0" applyNumberFormat="1" applyFont="1" applyFill="1" applyAlignment="1">
      <alignment horizontal="center"/>
    </xf>
    <xf numFmtId="3" fontId="42" fillId="9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  <xf numFmtId="0" fontId="42" fillId="5" borderId="0" xfId="0" applyFont="1" applyFill="1" applyAlignment="1" applyProtection="1">
      <alignment horizontal="center"/>
    </xf>
    <xf numFmtId="37" fontId="42" fillId="5" borderId="0" xfId="0" applyNumberFormat="1" applyFont="1" applyFill="1" applyAlignment="1" applyProtection="1">
      <alignment horizontal="center"/>
    </xf>
    <xf numFmtId="37" fontId="41" fillId="5" borderId="0" xfId="0" applyNumberFormat="1" applyFont="1" applyFill="1" applyAlignment="1" applyProtection="1">
      <alignment horizontal="center"/>
    </xf>
    <xf numFmtId="169" fontId="1" fillId="10" borderId="0" xfId="1" applyNumberFormat="1" applyFont="1" applyFill="1" applyAlignment="1" applyProtection="1">
      <alignment horizontal="center"/>
    </xf>
    <xf numFmtId="37" fontId="7" fillId="10" borderId="0" xfId="0" applyNumberFormat="1" applyFont="1" applyFill="1" applyAlignment="1" applyProtection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3" borderId="5" xfId="0" applyFont="1" applyFill="1" applyBorder="1"/>
    <xf numFmtId="0" fontId="42" fillId="3" borderId="7" xfId="0" applyFont="1" applyFill="1" applyBorder="1"/>
    <xf numFmtId="170" fontId="1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 vertical="center"/>
    </xf>
    <xf numFmtId="0" fontId="54" fillId="0" borderId="5" xfId="0" applyFont="1" applyFill="1" applyBorder="1" applyAlignment="1">
      <alignment horizontal="center"/>
    </xf>
    <xf numFmtId="0" fontId="54" fillId="0" borderId="5" xfId="0" applyFont="1" applyFill="1" applyBorder="1"/>
    <xf numFmtId="0" fontId="55" fillId="0" borderId="0" xfId="0" applyFont="1" applyFill="1"/>
    <xf numFmtId="0" fontId="54" fillId="0" borderId="7" xfId="0" applyFont="1" applyFill="1" applyBorder="1" applyAlignment="1">
      <alignment horizontal="center"/>
    </xf>
    <xf numFmtId="0" fontId="56" fillId="0" borderId="7" xfId="0" applyFont="1" applyFill="1" applyBorder="1" applyAlignment="1">
      <alignment horizontal="center"/>
    </xf>
    <xf numFmtId="0" fontId="54" fillId="0" borderId="7" xfId="0" applyFont="1" applyFill="1" applyBorder="1"/>
    <xf numFmtId="16" fontId="0" fillId="0" borderId="0" xfId="0" applyNumberFormat="1"/>
    <xf numFmtId="171" fontId="0" fillId="0" borderId="0" xfId="0" applyNumberFormat="1"/>
    <xf numFmtId="0" fontId="40" fillId="0" borderId="0" xfId="0" quotePrefix="1" applyFont="1" applyAlignment="1">
      <alignment horizontal="center"/>
    </xf>
    <xf numFmtId="14" fontId="0" fillId="0" borderId="0" xfId="0" applyNumberFormat="1"/>
    <xf numFmtId="0" fontId="1" fillId="0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71" fontId="1" fillId="3" borderId="5" xfId="0" applyNumberFormat="1" applyFont="1" applyFill="1" applyBorder="1"/>
    <xf numFmtId="0" fontId="1" fillId="3" borderId="8" xfId="0" applyFont="1" applyFill="1" applyBorder="1" applyAlignment="1">
      <alignment horizontal="center"/>
    </xf>
    <xf numFmtId="14" fontId="1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0" fontId="1" fillId="10" borderId="0" xfId="0" applyFont="1" applyFill="1"/>
    <xf numFmtId="0" fontId="40" fillId="10" borderId="0" xfId="0" applyFont="1" applyFill="1"/>
    <xf numFmtId="0" fontId="0" fillId="10" borderId="0" xfId="0" applyFill="1"/>
    <xf numFmtId="0" fontId="40" fillId="0" borderId="0" xfId="0" applyFont="1"/>
    <xf numFmtId="171" fontId="40" fillId="3" borderId="5" xfId="0" applyNumberFormat="1" applyFont="1" applyFill="1" applyBorder="1"/>
    <xf numFmtId="0" fontId="40" fillId="0" borderId="5" xfId="0" applyFont="1" applyFill="1" applyBorder="1" applyAlignment="1">
      <alignment horizontal="center"/>
    </xf>
    <xf numFmtId="0" fontId="40" fillId="3" borderId="5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/>
    </xf>
    <xf numFmtId="0" fontId="40" fillId="0" borderId="5" xfId="46" applyFont="1" applyFill="1" applyBorder="1" applyAlignment="1">
      <alignment horizontal="center"/>
    </xf>
    <xf numFmtId="0" fontId="40" fillId="3" borderId="5" xfId="46" applyFont="1" applyFill="1" applyBorder="1" applyAlignment="1">
      <alignment horizontal="center"/>
    </xf>
    <xf numFmtId="0" fontId="40" fillId="3" borderId="8" xfId="46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1" fontId="42" fillId="3" borderId="5" xfId="0" applyNumberFormat="1" applyFont="1" applyFill="1" applyBorder="1"/>
    <xf numFmtId="0" fontId="42" fillId="0" borderId="5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8" xfId="0" applyFont="1" applyFill="1" applyBorder="1" applyAlignment="1">
      <alignment horizontal="center"/>
    </xf>
    <xf numFmtId="0" fontId="42" fillId="0" borderId="0" xfId="0" applyFont="1"/>
    <xf numFmtId="0" fontId="1" fillId="3" borderId="5" xfId="48" applyFont="1" applyFill="1" applyBorder="1" applyAlignment="1">
      <alignment horizontal="center"/>
    </xf>
    <xf numFmtId="0" fontId="1" fillId="0" borderId="5" xfId="48" applyFont="1" applyFill="1" applyBorder="1" applyAlignment="1">
      <alignment horizontal="center"/>
    </xf>
    <xf numFmtId="0" fontId="1" fillId="3" borderId="8" xfId="48" applyFont="1" applyFill="1" applyBorder="1" applyAlignment="1">
      <alignment horizontal="center"/>
    </xf>
    <xf numFmtId="0" fontId="40" fillId="0" borderId="5" xfId="48" applyFont="1" applyFill="1" applyBorder="1" applyAlignment="1">
      <alignment horizontal="center"/>
    </xf>
    <xf numFmtId="0" fontId="40" fillId="3" borderId="5" xfId="48" applyFont="1" applyFill="1" applyBorder="1" applyAlignment="1">
      <alignment horizontal="center"/>
    </xf>
    <xf numFmtId="0" fontId="40" fillId="3" borderId="8" xfId="48" applyFont="1" applyFill="1" applyBorder="1" applyAlignment="1">
      <alignment horizontal="center"/>
    </xf>
    <xf numFmtId="3" fontId="11" fillId="4" borderId="0" xfId="0" applyNumberFormat="1" applyFont="1" applyFill="1" applyAlignment="1" applyProtection="1">
      <alignment horizontal="center"/>
    </xf>
    <xf numFmtId="171" fontId="1" fillId="3" borderId="5" xfId="50" applyNumberFormat="1" applyFont="1" applyFill="1" applyBorder="1"/>
    <xf numFmtId="0" fontId="1" fillId="3" borderId="5" xfId="50" applyFont="1" applyFill="1" applyBorder="1" applyAlignment="1">
      <alignment horizontal="center"/>
    </xf>
    <xf numFmtId="0" fontId="1" fillId="0" borderId="5" xfId="50" applyFont="1" applyFill="1" applyBorder="1" applyAlignment="1">
      <alignment horizontal="center"/>
    </xf>
    <xf numFmtId="0" fontId="1" fillId="3" borderId="8" xfId="50" applyFont="1" applyFill="1" applyBorder="1" applyAlignment="1">
      <alignment horizontal="center"/>
    </xf>
    <xf numFmtId="1" fontId="1" fillId="0" borderId="0" xfId="56" applyNumberFormat="1" applyFont="1" applyFill="1"/>
    <xf numFmtId="14" fontId="0" fillId="0" borderId="0" xfId="0" applyNumberFormat="1" applyFill="1"/>
    <xf numFmtId="3" fontId="11" fillId="11" borderId="0" xfId="0" applyNumberFormat="1" applyFont="1" applyFill="1" applyAlignment="1" applyProtection="1">
      <alignment horizontal="center"/>
    </xf>
    <xf numFmtId="3" fontId="1" fillId="0" borderId="0" xfId="1" applyNumberFormat="1" applyFont="1" applyFill="1" applyAlignment="1">
      <alignment horizontal="center"/>
    </xf>
    <xf numFmtId="167" fontId="11" fillId="11" borderId="0" xfId="0" applyNumberFormat="1" applyFont="1" applyFill="1" applyAlignment="1" applyProtection="1">
      <alignment horizontal="right"/>
    </xf>
    <xf numFmtId="14" fontId="1" fillId="0" borderId="0" xfId="0" applyNumberFormat="1" applyFont="1" applyFill="1"/>
    <xf numFmtId="171" fontId="1" fillId="3" borderId="5" xfId="52" applyNumberFormat="1" applyFont="1" applyFill="1" applyBorder="1"/>
    <xf numFmtId="0" fontId="1" fillId="3" borderId="5" xfId="52" applyFont="1" applyFill="1" applyBorder="1" applyAlignment="1">
      <alignment horizontal="center"/>
    </xf>
    <xf numFmtId="0" fontId="1" fillId="0" borderId="5" xfId="52" applyFont="1" applyFill="1" applyBorder="1" applyAlignment="1">
      <alignment horizontal="center"/>
    </xf>
    <xf numFmtId="0" fontId="1" fillId="3" borderId="8" xfId="52" applyFont="1" applyFill="1" applyBorder="1" applyAlignment="1">
      <alignment horizontal="center"/>
    </xf>
    <xf numFmtId="170" fontId="1" fillId="0" borderId="0" xfId="1" applyNumberFormat="1" applyFont="1" applyAlignment="1">
      <alignment horizontal="center"/>
    </xf>
    <xf numFmtId="170" fontId="1" fillId="0" borderId="0" xfId="1" applyNumberFormat="1" applyFont="1" applyFill="1" applyAlignment="1">
      <alignment horizontal="center"/>
    </xf>
    <xf numFmtId="170" fontId="1" fillId="0" borderId="0" xfId="3" applyNumberFormat="1" applyFont="1" applyAlignment="1">
      <alignment horizontal="center"/>
    </xf>
    <xf numFmtId="37" fontId="1" fillId="0" borderId="0" xfId="3" applyNumberFormat="1" applyFont="1" applyAlignment="1">
      <alignment horizontal="center" vertical="center"/>
    </xf>
    <xf numFmtId="37" fontId="1" fillId="0" borderId="0" xfId="3" applyNumberFormat="1" applyFont="1" applyFill="1" applyAlignment="1">
      <alignment horizontal="center" vertical="center"/>
    </xf>
    <xf numFmtId="1" fontId="1" fillId="0" borderId="0" xfId="56" applyNumberFormat="1" applyFont="1" applyAlignment="1">
      <alignment horizontal="center"/>
    </xf>
    <xf numFmtId="0" fontId="3" fillId="0" borderId="0" xfId="0" applyFont="1" applyFill="1" applyAlignment="1" applyProtection="1">
      <alignment horizontal="center"/>
    </xf>
    <xf numFmtId="37" fontId="3" fillId="0" borderId="4" xfId="0" applyNumberFormat="1" applyFont="1" applyFill="1" applyBorder="1" applyAlignment="1" applyProtection="1">
      <alignment horizontal="center"/>
    </xf>
    <xf numFmtId="0" fontId="3" fillId="9" borderId="0" xfId="0" applyFont="1" applyFill="1" applyAlignment="1" applyProtection="1">
      <alignment horizontal="center"/>
    </xf>
    <xf numFmtId="37" fontId="3" fillId="9" borderId="0" xfId="0" applyNumberFormat="1" applyFont="1" applyFill="1" applyAlignment="1" applyProtection="1">
      <alignment horizontal="center"/>
    </xf>
    <xf numFmtId="37" fontId="3" fillId="0" borderId="0" xfId="0" applyNumberFormat="1" applyFont="1" applyFill="1" applyBorder="1" applyAlignment="1" applyProtection="1">
      <alignment horizontal="center"/>
    </xf>
    <xf numFmtId="0" fontId="15" fillId="5" borderId="9" xfId="0" applyFont="1" applyFill="1" applyBorder="1"/>
    <xf numFmtId="0" fontId="12" fillId="4" borderId="10" xfId="0" applyFont="1" applyFill="1" applyBorder="1"/>
    <xf numFmtId="3" fontId="11" fillId="11" borderId="11" xfId="0" applyNumberFormat="1" applyFont="1" applyFill="1" applyBorder="1" applyAlignment="1" applyProtection="1">
      <alignment horizontal="center"/>
    </xf>
    <xf numFmtId="167" fontId="11" fillId="11" borderId="11" xfId="0" applyNumberFormat="1" applyFont="1" applyFill="1" applyBorder="1" applyAlignment="1" applyProtection="1">
      <alignment horizontal="right"/>
    </xf>
    <xf numFmtId="167" fontId="11" fillId="4" borderId="11" xfId="0" applyNumberFormat="1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</xf>
    <xf numFmtId="0" fontId="15" fillId="5" borderId="12" xfId="0" applyFont="1" applyFill="1" applyBorder="1" applyAlignment="1">
      <alignment horizontal="center"/>
    </xf>
    <xf numFmtId="3" fontId="11" fillId="11" borderId="0" xfId="0" applyNumberFormat="1" applyFont="1" applyFill="1" applyBorder="1" applyAlignment="1" applyProtection="1">
      <alignment horizontal="center"/>
    </xf>
    <xf numFmtId="0" fontId="0" fillId="0" borderId="6" xfId="0" applyBorder="1"/>
    <xf numFmtId="37" fontId="57" fillId="0" borderId="0" xfId="0" applyNumberFormat="1" applyFont="1" applyFill="1" applyAlignment="1" applyProtection="1">
      <alignment horizontal="center"/>
    </xf>
    <xf numFmtId="37" fontId="57" fillId="0" borderId="0" xfId="0" applyNumberFormat="1" applyFont="1" applyAlignment="1" applyProtection="1">
      <alignment horizontal="center"/>
    </xf>
    <xf numFmtId="169" fontId="54" fillId="0" borderId="0" xfId="1" applyNumberFormat="1" applyFont="1" applyFill="1" applyAlignment="1" applyProtection="1">
      <alignment horizontal="center"/>
    </xf>
    <xf numFmtId="170" fontId="11" fillId="4" borderId="0" xfId="0" applyNumberFormat="1" applyFont="1" applyFill="1" applyBorder="1" applyAlignment="1" applyProtection="1">
      <alignment horizontal="center"/>
    </xf>
    <xf numFmtId="0" fontId="0" fillId="11" borderId="0" xfId="0" applyFill="1"/>
    <xf numFmtId="2" fontId="0" fillId="11" borderId="0" xfId="0" applyNumberFormat="1" applyFill="1"/>
    <xf numFmtId="3" fontId="54" fillId="9" borderId="0" xfId="0" applyNumberFormat="1" applyFont="1" applyFill="1" applyAlignment="1">
      <alignment horizontal="center"/>
    </xf>
    <xf numFmtId="37" fontId="48" fillId="0" borderId="0" xfId="0" applyNumberFormat="1" applyFont="1" applyFill="1" applyProtection="1"/>
    <xf numFmtId="169" fontId="49" fillId="0" borderId="0" xfId="1" applyNumberFormat="1" applyFont="1"/>
    <xf numFmtId="0" fontId="12" fillId="5" borderId="13" xfId="0" applyFont="1" applyFill="1" applyBorder="1"/>
    <xf numFmtId="0" fontId="10" fillId="5" borderId="14" xfId="0" applyFont="1" applyFill="1" applyBorder="1" applyProtection="1"/>
    <xf numFmtId="3" fontId="11" fillId="4" borderId="6" xfId="0" applyNumberFormat="1" applyFont="1" applyFill="1" applyBorder="1" applyAlignment="1" applyProtection="1">
      <alignment horizontal="center"/>
    </xf>
    <xf numFmtId="3" fontId="11" fillId="4" borderId="15" xfId="0" applyNumberFormat="1" applyFont="1" applyFill="1" applyBorder="1" applyAlignment="1" applyProtection="1">
      <alignment horizontal="center"/>
    </xf>
    <xf numFmtId="1" fontId="50" fillId="11" borderId="0" xfId="0" applyNumberFormat="1" applyFont="1" applyFill="1"/>
    <xf numFmtId="0" fontId="50" fillId="0" borderId="0" xfId="0" applyFont="1"/>
    <xf numFmtId="0" fontId="50" fillId="0" borderId="0" xfId="0" applyFont="1" applyAlignment="1">
      <alignment horizontal="center"/>
    </xf>
    <xf numFmtId="172" fontId="51" fillId="7" borderId="0" xfId="0" applyNumberFormat="1" applyFont="1" applyFill="1"/>
    <xf numFmtId="172" fontId="51" fillId="0" borderId="0" xfId="0" applyNumberFormat="1" applyFont="1"/>
    <xf numFmtId="172" fontId="51" fillId="8" borderId="0" xfId="0" applyNumberFormat="1" applyFont="1" applyFill="1"/>
    <xf numFmtId="172" fontId="51" fillId="7" borderId="0" xfId="0" applyNumberFormat="1" applyFont="1" applyFill="1" applyBorder="1"/>
    <xf numFmtId="172" fontId="51" fillId="10" borderId="0" xfId="0" applyNumberFormat="1" applyFont="1" applyFill="1"/>
    <xf numFmtId="172" fontId="51" fillId="0" borderId="0" xfId="0" applyNumberFormat="1" applyFont="1" applyFill="1" applyBorder="1"/>
    <xf numFmtId="3" fontId="54" fillId="10" borderId="0" xfId="0" applyNumberFormat="1" applyFont="1" applyFill="1" applyAlignment="1">
      <alignment horizontal="center"/>
    </xf>
    <xf numFmtId="170" fontId="54" fillId="10" borderId="0" xfId="0" applyNumberFormat="1" applyFont="1" applyFill="1" applyAlignment="1">
      <alignment horizontal="center"/>
    </xf>
    <xf numFmtId="3" fontId="11" fillId="0" borderId="0" xfId="0" applyNumberFormat="1" applyFont="1" applyFill="1" applyBorder="1" applyAlignment="1" applyProtection="1">
      <alignment horizontal="center"/>
    </xf>
    <xf numFmtId="37" fontId="1" fillId="0" borderId="0" xfId="3" applyNumberFormat="1" applyFont="1" applyAlignment="1">
      <alignment horizontal="center"/>
    </xf>
    <xf numFmtId="170" fontId="1" fillId="0" borderId="0" xfId="3" applyNumberFormat="1" applyFont="1" applyFill="1" applyAlignment="1">
      <alignment horizontal="center"/>
    </xf>
    <xf numFmtId="37" fontId="1" fillId="0" borderId="0" xfId="3" applyNumberFormat="1" applyFont="1" applyFill="1" applyAlignment="1">
      <alignment horizontal="center"/>
    </xf>
    <xf numFmtId="164" fontId="11" fillId="4" borderId="16" xfId="0" applyNumberFormat="1" applyFont="1" applyFill="1" applyBorder="1" applyAlignment="1" applyProtection="1">
      <alignment horizontal="left"/>
    </xf>
    <xf numFmtId="170" fontId="49" fillId="0" borderId="0" xfId="1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1" fillId="10" borderId="0" xfId="0" applyFont="1" applyFill="1" applyAlignment="1">
      <alignment horizontal="center"/>
    </xf>
    <xf numFmtId="0" fontId="30" fillId="11" borderId="0" xfId="0" applyFont="1" applyFill="1" applyAlignment="1"/>
    <xf numFmtId="37" fontId="8" fillId="11" borderId="0" xfId="0" applyNumberFormat="1" applyFont="1" applyFill="1" applyProtection="1"/>
    <xf numFmtId="0" fontId="8" fillId="11" borderId="0" xfId="0" applyFont="1" applyFill="1" applyProtection="1"/>
    <xf numFmtId="0" fontId="17" fillId="11" borderId="0" xfId="0" applyFont="1" applyFill="1" applyBorder="1"/>
    <xf numFmtId="164" fontId="6" fillId="10" borderId="0" xfId="0" applyNumberFormat="1" applyFont="1" applyFill="1" applyAlignment="1" applyProtection="1">
      <alignment horizontal="left"/>
    </xf>
    <xf numFmtId="0" fontId="1" fillId="0" borderId="0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 vertical="justify"/>
    </xf>
    <xf numFmtId="37" fontId="1" fillId="0" borderId="0" xfId="1" applyNumberFormat="1" applyFont="1" applyFill="1" applyBorder="1" applyAlignment="1">
      <alignment horizontal="center" vertical="justify"/>
    </xf>
    <xf numFmtId="170" fontId="1" fillId="0" borderId="0" xfId="1" applyNumberFormat="1" applyFont="1" applyFill="1" applyBorder="1" applyAlignment="1">
      <alignment horizontal="center"/>
    </xf>
    <xf numFmtId="170" fontId="1" fillId="0" borderId="0" xfId="1" applyNumberFormat="1" applyFont="1" applyFill="1" applyBorder="1" applyAlignment="1">
      <alignment horizontal="center" vertical="justify"/>
    </xf>
    <xf numFmtId="38" fontId="1" fillId="0" borderId="0" xfId="1" applyNumberFormat="1" applyFont="1" applyFill="1" applyBorder="1" applyAlignment="1">
      <alignment horizontal="center"/>
    </xf>
    <xf numFmtId="37" fontId="1" fillId="0" borderId="0" xfId="1" applyNumberFormat="1" applyFont="1" applyFill="1" applyAlignment="1">
      <alignment horizontal="center"/>
    </xf>
    <xf numFmtId="38" fontId="1" fillId="0" borderId="0" xfId="1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Fill="1" applyAlignment="1">
      <alignment horizontal="center"/>
    </xf>
    <xf numFmtId="38" fontId="1" fillId="0" borderId="0" xfId="1" applyNumberFormat="1" applyFont="1" applyFill="1" applyAlignment="1">
      <alignment horizontal="center"/>
    </xf>
    <xf numFmtId="0" fontId="1" fillId="0" borderId="0" xfId="41" applyFont="1" applyFill="1" applyBorder="1" applyAlignment="1">
      <alignment horizontal="center"/>
    </xf>
    <xf numFmtId="3" fontId="11" fillId="11" borderId="6" xfId="0" applyNumberFormat="1" applyFont="1" applyFill="1" applyBorder="1" applyAlignment="1" applyProtection="1">
      <alignment horizontal="center"/>
    </xf>
    <xf numFmtId="164" fontId="11" fillId="11" borderId="16" xfId="0" applyNumberFormat="1" applyFont="1" applyFill="1" applyBorder="1" applyAlignment="1" applyProtection="1">
      <alignment horizontal="left"/>
    </xf>
    <xf numFmtId="0" fontId="18" fillId="0" borderId="4" xfId="0" applyFont="1" applyBorder="1" applyAlignment="1" applyProtection="1">
      <alignment horizontal="center"/>
    </xf>
    <xf numFmtId="0" fontId="1" fillId="0" borderId="4" xfId="0" applyFont="1" applyBorder="1" applyAlignment="1">
      <alignment horizontal="center"/>
    </xf>
  </cellXfs>
  <cellStyles count="64">
    <cellStyle name="Comma" xfId="1" builtinId="3"/>
    <cellStyle name="Comma 2" xfId="2"/>
    <cellStyle name="Comma 3" xfId="3"/>
    <cellStyle name="Comma 4" xfId="4"/>
    <cellStyle name="Comma 5" xfId="5"/>
    <cellStyle name="Comma 6" xfId="6"/>
    <cellStyle name="Comma 7" xfId="7"/>
    <cellStyle name="Comma0" xfId="8"/>
    <cellStyle name="Comma0 2" xfId="9"/>
    <cellStyle name="Comma0 3" xfId="10"/>
    <cellStyle name="Comma0 4" xfId="11"/>
    <cellStyle name="Comma0 5" xfId="12"/>
    <cellStyle name="Comma0 6" xfId="13"/>
    <cellStyle name="Comma0 7" xfId="14"/>
    <cellStyle name="Currency0" xfId="15"/>
    <cellStyle name="Currency0 2" xfId="16"/>
    <cellStyle name="Currency0 3" xfId="17"/>
    <cellStyle name="Currency0 4" xfId="18"/>
    <cellStyle name="Currency0 5" xfId="19"/>
    <cellStyle name="Currency0 6" xfId="20"/>
    <cellStyle name="Currency0 7" xfId="21"/>
    <cellStyle name="Date" xfId="22"/>
    <cellStyle name="Date 2" xfId="23"/>
    <cellStyle name="Date 3" xfId="24"/>
    <cellStyle name="Date 4" xfId="25"/>
    <cellStyle name="Date 5" xfId="26"/>
    <cellStyle name="Date 6" xfId="27"/>
    <cellStyle name="Date 7" xfId="28"/>
    <cellStyle name="Fixed" xfId="29"/>
    <cellStyle name="Fixed 2" xfId="30"/>
    <cellStyle name="Fixed 3" xfId="31"/>
    <cellStyle name="Fixed 4" xfId="32"/>
    <cellStyle name="Fixed 5" xfId="33"/>
    <cellStyle name="Fixed 6" xfId="34"/>
    <cellStyle name="Fixed 7" xfId="35"/>
    <cellStyle name="Heading 1 2" xfId="36"/>
    <cellStyle name="Heading 2 2" xfId="37"/>
    <cellStyle name="Normal" xfId="0" builtinId="0"/>
    <cellStyle name="Normal 10" xfId="38"/>
    <cellStyle name="Normal 11" xfId="39"/>
    <cellStyle name="Normal 12" xfId="40"/>
    <cellStyle name="Normal 13" xfId="41"/>
    <cellStyle name="Normal 2" xfId="42"/>
    <cellStyle name="Normal 2 2" xfId="43"/>
    <cellStyle name="Normal 3" xfId="44"/>
    <cellStyle name="Normal 3 2" xfId="45"/>
    <cellStyle name="Normal 4" xfId="46"/>
    <cellStyle name="Normal 4 2" xfId="47"/>
    <cellStyle name="Normal 5" xfId="48"/>
    <cellStyle name="Normal 5 2" xfId="49"/>
    <cellStyle name="Normal 6" xfId="50"/>
    <cellStyle name="Normal 6 2" xfId="51"/>
    <cellStyle name="Normal 7" xfId="52"/>
    <cellStyle name="Normal 7 2" xfId="53"/>
    <cellStyle name="Normal 8" xfId="54"/>
    <cellStyle name="Normal 9" xfId="55"/>
    <cellStyle name="Percent" xfId="56" builtinId="5"/>
    <cellStyle name="Total 2" xfId="57"/>
    <cellStyle name="Total 3" xfId="58"/>
    <cellStyle name="Total 4" xfId="59"/>
    <cellStyle name="Total 5" xfId="60"/>
    <cellStyle name="Total 6" xfId="61"/>
    <cellStyle name="Total 7" xfId="62"/>
    <cellStyle name="Total 8" xfId="6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D3B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3355198108798047"/>
          <c:y val="4.304930633670791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2505842591594"/>
          <c:y val="0.16149130912207402"/>
          <c:w val="0.80883355699634052"/>
          <c:h val="0.4608916304234532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Averages'!$L$894:$L$945</c:f>
              <c:numCache>
                <c:formatCode>#,##0_);\(#,##0\)</c:formatCode>
                <c:ptCount val="52"/>
                <c:pt idx="0">
                  <c:v>780</c:v>
                </c:pt>
                <c:pt idx="1">
                  <c:v>489.25</c:v>
                </c:pt>
                <c:pt idx="2">
                  <c:v>740.5</c:v>
                </c:pt>
                <c:pt idx="3">
                  <c:v>665.25</c:v>
                </c:pt>
                <c:pt idx="4">
                  <c:v>565</c:v>
                </c:pt>
                <c:pt idx="5">
                  <c:v>905.75</c:v>
                </c:pt>
                <c:pt idx="6">
                  <c:v>582.5</c:v>
                </c:pt>
                <c:pt idx="7">
                  <c:v>1004.5</c:v>
                </c:pt>
                <c:pt idx="8">
                  <c:v>909.5</c:v>
                </c:pt>
                <c:pt idx="9">
                  <c:v>974.5</c:v>
                </c:pt>
                <c:pt idx="10">
                  <c:v>682.25</c:v>
                </c:pt>
                <c:pt idx="11">
                  <c:v>938.75</c:v>
                </c:pt>
                <c:pt idx="12">
                  <c:v>703.5</c:v>
                </c:pt>
                <c:pt idx="13">
                  <c:v>843.75</c:v>
                </c:pt>
                <c:pt idx="14">
                  <c:v>907.25</c:v>
                </c:pt>
                <c:pt idx="15">
                  <c:v>1036.25</c:v>
                </c:pt>
                <c:pt idx="16">
                  <c:v>871.75</c:v>
                </c:pt>
                <c:pt idx="17">
                  <c:v>734</c:v>
                </c:pt>
                <c:pt idx="18">
                  <c:v>1049.75</c:v>
                </c:pt>
                <c:pt idx="19">
                  <c:v>969</c:v>
                </c:pt>
                <c:pt idx="20">
                  <c:v>902.25</c:v>
                </c:pt>
                <c:pt idx="21">
                  <c:v>857.5</c:v>
                </c:pt>
                <c:pt idx="22">
                  <c:v>519.25</c:v>
                </c:pt>
                <c:pt idx="23">
                  <c:v>827.25</c:v>
                </c:pt>
                <c:pt idx="24">
                  <c:v>691.25</c:v>
                </c:pt>
                <c:pt idx="25">
                  <c:v>728</c:v>
                </c:pt>
                <c:pt idx="26">
                  <c:v>675.25</c:v>
                </c:pt>
                <c:pt idx="27">
                  <c:v>650.5</c:v>
                </c:pt>
                <c:pt idx="28">
                  <c:v>590.75</c:v>
                </c:pt>
                <c:pt idx="29">
                  <c:v>719.5</c:v>
                </c:pt>
                <c:pt idx="30">
                  <c:v>688.25</c:v>
                </c:pt>
                <c:pt idx="31">
                  <c:v>688.75</c:v>
                </c:pt>
                <c:pt idx="32">
                  <c:v>634.75</c:v>
                </c:pt>
                <c:pt idx="33">
                  <c:v>690</c:v>
                </c:pt>
                <c:pt idx="34">
                  <c:v>542</c:v>
                </c:pt>
                <c:pt idx="35">
                  <c:v>497.5</c:v>
                </c:pt>
                <c:pt idx="36">
                  <c:v>709.25</c:v>
                </c:pt>
                <c:pt idx="37">
                  <c:v>867.25</c:v>
                </c:pt>
                <c:pt idx="38">
                  <c:v>717.25</c:v>
                </c:pt>
                <c:pt idx="39">
                  <c:v>529</c:v>
                </c:pt>
                <c:pt idx="40">
                  <c:v>861</c:v>
                </c:pt>
                <c:pt idx="41">
                  <c:v>688.25</c:v>
                </c:pt>
                <c:pt idx="42">
                  <c:v>1068.5</c:v>
                </c:pt>
                <c:pt idx="43">
                  <c:v>1114.75</c:v>
                </c:pt>
                <c:pt idx="44">
                  <c:v>839.25</c:v>
                </c:pt>
                <c:pt idx="45">
                  <c:v>741.75</c:v>
                </c:pt>
                <c:pt idx="46">
                  <c:v>886.25</c:v>
                </c:pt>
                <c:pt idx="47">
                  <c:v>704</c:v>
                </c:pt>
                <c:pt idx="48">
                  <c:v>820.75</c:v>
                </c:pt>
                <c:pt idx="49">
                  <c:v>429</c:v>
                </c:pt>
                <c:pt idx="50">
                  <c:v>763.25</c:v>
                </c:pt>
                <c:pt idx="51">
                  <c:v>389.75</c:v>
                </c:pt>
              </c:numCache>
            </c:numRef>
          </c:val>
          <c:smooth val="0"/>
        </c:ser>
        <c:ser>
          <c:idx val="1"/>
          <c:order val="1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Averages'!$U$894:$U$945</c:f>
              <c:numCache>
                <c:formatCode>#,##0</c:formatCode>
                <c:ptCount val="52"/>
                <c:pt idx="0">
                  <c:v>669.625</c:v>
                </c:pt>
                <c:pt idx="1">
                  <c:v>630.8125</c:v>
                </c:pt>
                <c:pt idx="2">
                  <c:v>577</c:v>
                </c:pt>
                <c:pt idx="3">
                  <c:v>654.125</c:v>
                </c:pt>
                <c:pt idx="4">
                  <c:v>599.8125</c:v>
                </c:pt>
                <c:pt idx="5">
                  <c:v>669.0625</c:v>
                </c:pt>
                <c:pt idx="6">
                  <c:v>726.9375</c:v>
                </c:pt>
                <c:pt idx="7">
                  <c:v>737.6875</c:v>
                </c:pt>
                <c:pt idx="8">
                  <c:v>812.5625</c:v>
                </c:pt>
                <c:pt idx="9">
                  <c:v>898</c:v>
                </c:pt>
                <c:pt idx="10">
                  <c:v>838.4375</c:v>
                </c:pt>
                <c:pt idx="11">
                  <c:v>887.1875</c:v>
                </c:pt>
                <c:pt idx="12">
                  <c:v>834.125</c:v>
                </c:pt>
                <c:pt idx="13">
                  <c:v>794</c:v>
                </c:pt>
                <c:pt idx="14">
                  <c:v>846.125</c:v>
                </c:pt>
                <c:pt idx="15">
                  <c:v>845.5</c:v>
                </c:pt>
                <c:pt idx="16">
                  <c:v>904.4375</c:v>
                </c:pt>
                <c:pt idx="17">
                  <c:v>870</c:v>
                </c:pt>
                <c:pt idx="18">
                  <c:v>923.8125</c:v>
                </c:pt>
                <c:pt idx="19">
                  <c:v>898.9375</c:v>
                </c:pt>
                <c:pt idx="20">
                  <c:v>914.25</c:v>
                </c:pt>
                <c:pt idx="21">
                  <c:v>932.6875</c:v>
                </c:pt>
                <c:pt idx="22">
                  <c:v>874.0625</c:v>
                </c:pt>
                <c:pt idx="23">
                  <c:v>799.875</c:v>
                </c:pt>
                <c:pt idx="24">
                  <c:v>768.875</c:v>
                </c:pt>
                <c:pt idx="25">
                  <c:v>713.3125</c:v>
                </c:pt>
                <c:pt idx="26">
                  <c:v>667.6875</c:v>
                </c:pt>
                <c:pt idx="27">
                  <c:v>725.8125</c:v>
                </c:pt>
                <c:pt idx="28">
                  <c:v>643.625</c:v>
                </c:pt>
                <c:pt idx="29">
                  <c:v>682.6875</c:v>
                </c:pt>
                <c:pt idx="30">
                  <c:v>681.875</c:v>
                </c:pt>
                <c:pt idx="31">
                  <c:v>663.5625</c:v>
                </c:pt>
                <c:pt idx="32">
                  <c:v>699</c:v>
                </c:pt>
                <c:pt idx="33">
                  <c:v>659.75</c:v>
                </c:pt>
                <c:pt idx="34">
                  <c:v>638.25</c:v>
                </c:pt>
                <c:pt idx="35">
                  <c:v>598.375</c:v>
                </c:pt>
                <c:pt idx="36">
                  <c:v>563.9375</c:v>
                </c:pt>
                <c:pt idx="37">
                  <c:v>627.375</c:v>
                </c:pt>
                <c:pt idx="38">
                  <c:v>697.25</c:v>
                </c:pt>
                <c:pt idx="39">
                  <c:v>724.25</c:v>
                </c:pt>
                <c:pt idx="40">
                  <c:v>743.5625</c:v>
                </c:pt>
                <c:pt idx="41">
                  <c:v>722.625</c:v>
                </c:pt>
                <c:pt idx="42">
                  <c:v>777.25</c:v>
                </c:pt>
                <c:pt idx="43">
                  <c:v>879.1875</c:v>
                </c:pt>
                <c:pt idx="44">
                  <c:v>955.875</c:v>
                </c:pt>
                <c:pt idx="45">
                  <c:v>945.9375</c:v>
                </c:pt>
                <c:pt idx="46">
                  <c:v>916.125</c:v>
                </c:pt>
                <c:pt idx="47">
                  <c:v>827.125</c:v>
                </c:pt>
                <c:pt idx="48">
                  <c:v>809.5625</c:v>
                </c:pt>
                <c:pt idx="49">
                  <c:v>740.9375</c:v>
                </c:pt>
                <c:pt idx="50">
                  <c:v>684.25</c:v>
                </c:pt>
                <c:pt idx="51">
                  <c:v>618.5625</c:v>
                </c:pt>
              </c:numCache>
            </c:numRef>
          </c:val>
          <c:smooth val="0"/>
        </c:ser>
        <c:ser>
          <c:idx val="4"/>
          <c:order val="2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Data'!$F$842:$F$893</c:f>
              <c:numCache>
                <c:formatCode>#,##0</c:formatCode>
                <c:ptCount val="52"/>
                <c:pt idx="0">
                  <c:v>829</c:v>
                </c:pt>
                <c:pt idx="1">
                  <c:v>535</c:v>
                </c:pt>
                <c:pt idx="2">
                  <c:v>688</c:v>
                </c:pt>
                <c:pt idx="3">
                  <c:v>442</c:v>
                </c:pt>
                <c:pt idx="4">
                  <c:v>672</c:v>
                </c:pt>
                <c:pt idx="5">
                  <c:v>949</c:v>
                </c:pt>
                <c:pt idx="6">
                  <c:v>962</c:v>
                </c:pt>
                <c:pt idx="7">
                  <c:v>1172</c:v>
                </c:pt>
                <c:pt idx="8">
                  <c:v>1150</c:v>
                </c:pt>
                <c:pt idx="9">
                  <c:v>1160</c:v>
                </c:pt>
                <c:pt idx="10">
                  <c:v>1165</c:v>
                </c:pt>
                <c:pt idx="11">
                  <c:v>1117</c:v>
                </c:pt>
                <c:pt idx="12">
                  <c:v>552</c:v>
                </c:pt>
                <c:pt idx="13">
                  <c:v>865</c:v>
                </c:pt>
                <c:pt idx="14">
                  <c:v>1305</c:v>
                </c:pt>
                <c:pt idx="15">
                  <c:v>1248</c:v>
                </c:pt>
                <c:pt idx="16">
                  <c:v>891</c:v>
                </c:pt>
                <c:pt idx="17">
                  <c:v>884</c:v>
                </c:pt>
                <c:pt idx="18">
                  <c:v>1036</c:v>
                </c:pt>
                <c:pt idx="19">
                  <c:v>1129</c:v>
                </c:pt>
                <c:pt idx="20">
                  <c:v>979</c:v>
                </c:pt>
                <c:pt idx="21">
                  <c:v>616</c:v>
                </c:pt>
                <c:pt idx="22">
                  <c:v>930</c:v>
                </c:pt>
                <c:pt idx="23" formatCode="#,##0;[Red]#,##0">
                  <c:v>984</c:v>
                </c:pt>
                <c:pt idx="24">
                  <c:v>1041</c:v>
                </c:pt>
                <c:pt idx="25">
                  <c:v>809</c:v>
                </c:pt>
                <c:pt idx="26">
                  <c:v>394</c:v>
                </c:pt>
                <c:pt idx="27">
                  <c:v>1406</c:v>
                </c:pt>
                <c:pt idx="28">
                  <c:v>209</c:v>
                </c:pt>
                <c:pt idx="29">
                  <c:v>1532</c:v>
                </c:pt>
                <c:pt idx="30">
                  <c:v>421</c:v>
                </c:pt>
                <c:pt idx="31">
                  <c:v>1001</c:v>
                </c:pt>
                <c:pt idx="32">
                  <c:v>586</c:v>
                </c:pt>
                <c:pt idx="33">
                  <c:v>725</c:v>
                </c:pt>
                <c:pt idx="34">
                  <c:v>565</c:v>
                </c:pt>
                <c:pt idx="35">
                  <c:v>544</c:v>
                </c:pt>
                <c:pt idx="36">
                  <c:v>964</c:v>
                </c:pt>
                <c:pt idx="37">
                  <c:v>522</c:v>
                </c:pt>
                <c:pt idx="38">
                  <c:v>828</c:v>
                </c:pt>
                <c:pt idx="39">
                  <c:v>464</c:v>
                </c:pt>
                <c:pt idx="40">
                  <c:v>501</c:v>
                </c:pt>
                <c:pt idx="41">
                  <c:v>678</c:v>
                </c:pt>
                <c:pt idx="42">
                  <c:v>1091</c:v>
                </c:pt>
                <c:pt idx="43">
                  <c:v>615</c:v>
                </c:pt>
                <c:pt idx="44">
                  <c:v>782</c:v>
                </c:pt>
                <c:pt idx="45">
                  <c:v>562</c:v>
                </c:pt>
                <c:pt idx="46">
                  <c:v>1104</c:v>
                </c:pt>
                <c:pt idx="47">
                  <c:v>629</c:v>
                </c:pt>
                <c:pt idx="48">
                  <c:v>809</c:v>
                </c:pt>
                <c:pt idx="49">
                  <c:v>500</c:v>
                </c:pt>
                <c:pt idx="50">
                  <c:v>678</c:v>
                </c:pt>
                <c:pt idx="51">
                  <c:v>574</c:v>
                </c:pt>
              </c:numCache>
            </c:numRef>
          </c:val>
          <c:smooth val="0"/>
        </c:ser>
        <c:ser>
          <c:idx val="2"/>
          <c:order val="3"/>
          <c:tx>
            <c:v>2011</c:v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val>
            <c:numRef>
              <c:f>'Weekly Data'!$F$894:$F$943</c:f>
              <c:numCache>
                <c:formatCode>#,##0</c:formatCode>
                <c:ptCount val="50"/>
                <c:pt idx="0">
                  <c:v>468</c:v>
                </c:pt>
                <c:pt idx="1">
                  <c:v>450</c:v>
                </c:pt>
                <c:pt idx="2">
                  <c:v>599</c:v>
                </c:pt>
                <c:pt idx="3">
                  <c:v>460</c:v>
                </c:pt>
                <c:pt idx="4">
                  <c:v>755</c:v>
                </c:pt>
                <c:pt idx="5">
                  <c:v>1023</c:v>
                </c:pt>
                <c:pt idx="6">
                  <c:v>285</c:v>
                </c:pt>
                <c:pt idx="7">
                  <c:v>558</c:v>
                </c:pt>
                <c:pt idx="8">
                  <c:v>374</c:v>
                </c:pt>
                <c:pt idx="9">
                  <c:v>969</c:v>
                </c:pt>
                <c:pt idx="10">
                  <c:v>671</c:v>
                </c:pt>
                <c:pt idx="11">
                  <c:v>881</c:v>
                </c:pt>
                <c:pt idx="12">
                  <c:v>1318</c:v>
                </c:pt>
                <c:pt idx="13">
                  <c:v>1557</c:v>
                </c:pt>
                <c:pt idx="14">
                  <c:v>1116</c:v>
                </c:pt>
                <c:pt idx="15">
                  <c:v>1390</c:v>
                </c:pt>
                <c:pt idx="16">
                  <c:v>1188</c:v>
                </c:pt>
                <c:pt idx="17">
                  <c:v>1090</c:v>
                </c:pt>
                <c:pt idx="18">
                  <c:v>1095</c:v>
                </c:pt>
                <c:pt idx="19">
                  <c:v>1152</c:v>
                </c:pt>
                <c:pt idx="20" formatCode="#,##0_);\(#,##0\)">
                  <c:v>1338</c:v>
                </c:pt>
                <c:pt idx="21">
                  <c:v>1427</c:v>
                </c:pt>
                <c:pt idx="22">
                  <c:v>1117</c:v>
                </c:pt>
                <c:pt idx="23">
                  <c:v>322</c:v>
                </c:pt>
                <c:pt idx="24">
                  <c:v>1016</c:v>
                </c:pt>
                <c:pt idx="25">
                  <c:v>664</c:v>
                </c:pt>
                <c:pt idx="26">
                  <c:v>1467</c:v>
                </c:pt>
                <c:pt idx="27">
                  <c:v>988</c:v>
                </c:pt>
                <c:pt idx="28">
                  <c:v>1381</c:v>
                </c:pt>
                <c:pt idx="29">
                  <c:v>901</c:v>
                </c:pt>
                <c:pt idx="30">
                  <c:v>833</c:v>
                </c:pt>
                <c:pt idx="31">
                  <c:v>1161</c:v>
                </c:pt>
                <c:pt idx="32">
                  <c:v>798</c:v>
                </c:pt>
                <c:pt idx="33">
                  <c:v>651</c:v>
                </c:pt>
                <c:pt idx="34">
                  <c:v>601</c:v>
                </c:pt>
                <c:pt idx="35">
                  <c:v>624</c:v>
                </c:pt>
                <c:pt idx="36">
                  <c:v>1270</c:v>
                </c:pt>
                <c:pt idx="37">
                  <c:v>748</c:v>
                </c:pt>
                <c:pt idx="38">
                  <c:v>662</c:v>
                </c:pt>
                <c:pt idx="39">
                  <c:v>512</c:v>
                </c:pt>
                <c:pt idx="40">
                  <c:v>615</c:v>
                </c:pt>
                <c:pt idx="41">
                  <c:v>1553</c:v>
                </c:pt>
                <c:pt idx="42">
                  <c:v>1898</c:v>
                </c:pt>
                <c:pt idx="43">
                  <c:v>1221</c:v>
                </c:pt>
                <c:pt idx="44">
                  <c:v>1031</c:v>
                </c:pt>
                <c:pt idx="45">
                  <c:v>1298</c:v>
                </c:pt>
                <c:pt idx="46">
                  <c:v>862</c:v>
                </c:pt>
                <c:pt idx="47">
                  <c:v>768</c:v>
                </c:pt>
                <c:pt idx="48">
                  <c:v>778</c:v>
                </c:pt>
                <c:pt idx="49">
                  <c:v>1197</c:v>
                </c:pt>
              </c:numCache>
            </c:numRef>
          </c:val>
          <c:smooth val="0"/>
        </c:ser>
        <c:ser>
          <c:idx val="3"/>
          <c:order val="4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Data'!$F$946:$F$997</c:f>
              <c:numCache>
                <c:formatCode>#,##0</c:formatCode>
                <c:ptCount val="52"/>
                <c:pt idx="0">
                  <c:v>793</c:v>
                </c:pt>
                <c:pt idx="1">
                  <c:v>918</c:v>
                </c:pt>
                <c:pt idx="2">
                  <c:v>951</c:v>
                </c:pt>
                <c:pt idx="3">
                  <c:v>1480</c:v>
                </c:pt>
                <c:pt idx="4">
                  <c:v>603</c:v>
                </c:pt>
                <c:pt idx="5">
                  <c:v>1184</c:v>
                </c:pt>
                <c:pt idx="6">
                  <c:v>930</c:v>
                </c:pt>
                <c:pt idx="7">
                  <c:v>1504</c:v>
                </c:pt>
                <c:pt idx="8">
                  <c:v>1317</c:v>
                </c:pt>
                <c:pt idx="9">
                  <c:v>1164</c:v>
                </c:pt>
                <c:pt idx="10">
                  <c:v>1403</c:v>
                </c:pt>
                <c:pt idx="11">
                  <c:v>1197</c:v>
                </c:pt>
                <c:pt idx="12">
                  <c:v>1494</c:v>
                </c:pt>
                <c:pt idx="13">
                  <c:v>2194</c:v>
                </c:pt>
                <c:pt idx="14">
                  <c:v>1021</c:v>
                </c:pt>
                <c:pt idx="15">
                  <c:v>1577</c:v>
                </c:pt>
                <c:pt idx="16">
                  <c:v>1039</c:v>
                </c:pt>
                <c:pt idx="17">
                  <c:v>1761</c:v>
                </c:pt>
                <c:pt idx="18">
                  <c:v>1376</c:v>
                </c:pt>
                <c:pt idx="19">
                  <c:v>1160</c:v>
                </c:pt>
                <c:pt idx="20">
                  <c:v>1070</c:v>
                </c:pt>
                <c:pt idx="21">
                  <c:v>1246</c:v>
                </c:pt>
                <c:pt idx="22">
                  <c:v>1073</c:v>
                </c:pt>
                <c:pt idx="23" formatCode="#,##0;[Red]#,##0">
                  <c:v>1021</c:v>
                </c:pt>
                <c:pt idx="24" formatCode="#,##0;[Red]#,##0">
                  <c:v>641</c:v>
                </c:pt>
                <c:pt idx="25" formatCode="#,##0;[Red]#,##0">
                  <c:v>762</c:v>
                </c:pt>
                <c:pt idx="26" formatCode="#,##0;[Red]#,##0">
                  <c:v>713</c:v>
                </c:pt>
                <c:pt idx="27" formatCode="#,##0;[Red]#,##0">
                  <c:v>650</c:v>
                </c:pt>
                <c:pt idx="28" formatCode="#,##0;[Red]#,##0">
                  <c:v>1200</c:v>
                </c:pt>
                <c:pt idx="29" formatCode="#,##0;[Red]#,##0">
                  <c:v>662</c:v>
                </c:pt>
                <c:pt idx="30" formatCode="#,##0;[Red]#,##0">
                  <c:v>952</c:v>
                </c:pt>
                <c:pt idx="31" formatCode="#,##0;[Red]#,##0">
                  <c:v>492</c:v>
                </c:pt>
                <c:pt idx="32" formatCode="#,##0;[Red]#,##0">
                  <c:v>662</c:v>
                </c:pt>
                <c:pt idx="33" formatCode="#,##0;[Red]#,##0">
                  <c:v>558</c:v>
                </c:pt>
                <c:pt idx="34" formatCode="#,##0;[Red]#,##0">
                  <c:v>560</c:v>
                </c:pt>
                <c:pt idx="35" formatCode="#,##0;[Red]#,##0">
                  <c:v>277</c:v>
                </c:pt>
                <c:pt idx="36" formatCode="#,##0;[Red]#,##0">
                  <c:v>818</c:v>
                </c:pt>
                <c:pt idx="37" formatCode="#,##0;[Red]#,##0">
                  <c:v>660</c:v>
                </c:pt>
                <c:pt idx="38" formatCode="#,##0;[Red]#,##0">
                  <c:v>374</c:v>
                </c:pt>
                <c:pt idx="39" formatCode="#,##0;[Red]#,##0">
                  <c:v>677</c:v>
                </c:pt>
                <c:pt idx="40" formatCode="#,##0;[Red]#,##0">
                  <c:v>432</c:v>
                </c:pt>
                <c:pt idx="41" formatCode="#,##0;[Red]#,##0">
                  <c:v>102</c:v>
                </c:pt>
                <c:pt idx="42" formatCode="#,##0_);\(#,##0\)">
                  <c:v>93</c:v>
                </c:pt>
                <c:pt idx="43" formatCode="#,##0_);\(#,##0\)">
                  <c:v>319</c:v>
                </c:pt>
                <c:pt idx="44" formatCode="#,##0_);\(#,##0\)">
                  <c:v>180</c:v>
                </c:pt>
                <c:pt idx="45" formatCode="#,##0;[Red]#,##0">
                  <c:v>0</c:v>
                </c:pt>
                <c:pt idx="46" formatCode="#,##0;[Red]#,##0">
                  <c:v>0</c:v>
                </c:pt>
                <c:pt idx="47" formatCode="#,##0;[Red]#,##0">
                  <c:v>0</c:v>
                </c:pt>
                <c:pt idx="48" formatCode="#,##0;[Red]#,##0">
                  <c:v>0</c:v>
                </c:pt>
                <c:pt idx="49" formatCode="#,##0;[Red]#,##0">
                  <c:v>0</c:v>
                </c:pt>
                <c:pt idx="50" formatCode="#,##0;[Red]#,##0">
                  <c:v>0</c:v>
                </c:pt>
                <c:pt idx="51" formatCode="#,##0;[Red]#,##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32288"/>
        <c:axId val="160734208"/>
      </c:lineChart>
      <c:dateAx>
        <c:axId val="160732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38294143026642"/>
              <c:y val="0.7723251111468210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073420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60734208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07322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971474670118291"/>
          <c:y val="0.889181932615566"/>
          <c:w val="0.84549131701003133"/>
          <c:h val="8.98273876479726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8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5447171718432184"/>
          <c:y val="1.8050723310748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1420096867"/>
          <c:y val="0.12033732245563172"/>
          <c:w val="0.81455539902560103"/>
          <c:h val="0.5439514064184976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Averages'!$M$842:$M$893</c:f>
              <c:numCache>
                <c:formatCode>#,##0_);\(#,##0\)</c:formatCode>
                <c:ptCount val="52"/>
                <c:pt idx="0">
                  <c:v>3958.75</c:v>
                </c:pt>
                <c:pt idx="1">
                  <c:v>4229.25</c:v>
                </c:pt>
                <c:pt idx="2">
                  <c:v>4716</c:v>
                </c:pt>
                <c:pt idx="3">
                  <c:v>4361.5</c:v>
                </c:pt>
                <c:pt idx="4">
                  <c:v>4366.25</c:v>
                </c:pt>
                <c:pt idx="5">
                  <c:v>4680</c:v>
                </c:pt>
                <c:pt idx="6">
                  <c:v>3965</c:v>
                </c:pt>
                <c:pt idx="7">
                  <c:v>4757</c:v>
                </c:pt>
                <c:pt idx="8">
                  <c:v>4753.75</c:v>
                </c:pt>
                <c:pt idx="9">
                  <c:v>4741.5</c:v>
                </c:pt>
                <c:pt idx="10">
                  <c:v>4485.5</c:v>
                </c:pt>
                <c:pt idx="11">
                  <c:v>5071.75</c:v>
                </c:pt>
                <c:pt idx="12">
                  <c:v>4503</c:v>
                </c:pt>
                <c:pt idx="13">
                  <c:v>4382.75</c:v>
                </c:pt>
                <c:pt idx="14">
                  <c:v>4731.5</c:v>
                </c:pt>
                <c:pt idx="15">
                  <c:v>4438.5</c:v>
                </c:pt>
                <c:pt idx="16">
                  <c:v>4362.75</c:v>
                </c:pt>
                <c:pt idx="17">
                  <c:v>4244.25</c:v>
                </c:pt>
                <c:pt idx="18">
                  <c:v>3722.5</c:v>
                </c:pt>
                <c:pt idx="19">
                  <c:v>3976.25</c:v>
                </c:pt>
                <c:pt idx="20">
                  <c:v>3990.25</c:v>
                </c:pt>
                <c:pt idx="21">
                  <c:v>3621.5</c:v>
                </c:pt>
                <c:pt idx="22">
                  <c:v>3531.5</c:v>
                </c:pt>
                <c:pt idx="23">
                  <c:v>3546.5</c:v>
                </c:pt>
                <c:pt idx="24">
                  <c:v>4197.75</c:v>
                </c:pt>
                <c:pt idx="25">
                  <c:v>3350.25</c:v>
                </c:pt>
                <c:pt idx="26">
                  <c:v>3712</c:v>
                </c:pt>
                <c:pt idx="27">
                  <c:v>3717.25</c:v>
                </c:pt>
                <c:pt idx="28">
                  <c:v>3843.75</c:v>
                </c:pt>
                <c:pt idx="29">
                  <c:v>4099.75</c:v>
                </c:pt>
                <c:pt idx="30">
                  <c:v>3521.5</c:v>
                </c:pt>
                <c:pt idx="31">
                  <c:v>3891</c:v>
                </c:pt>
                <c:pt idx="32">
                  <c:v>3651</c:v>
                </c:pt>
                <c:pt idx="33">
                  <c:v>3656.25</c:v>
                </c:pt>
                <c:pt idx="34">
                  <c:v>3434.75</c:v>
                </c:pt>
                <c:pt idx="35">
                  <c:v>3489.75</c:v>
                </c:pt>
                <c:pt idx="36">
                  <c:v>3851</c:v>
                </c:pt>
                <c:pt idx="37">
                  <c:v>3437.5</c:v>
                </c:pt>
                <c:pt idx="38">
                  <c:v>3751.5</c:v>
                </c:pt>
                <c:pt idx="39">
                  <c:v>4485</c:v>
                </c:pt>
                <c:pt idx="40">
                  <c:v>5673.25</c:v>
                </c:pt>
                <c:pt idx="41">
                  <c:v>5191.25</c:v>
                </c:pt>
                <c:pt idx="42">
                  <c:v>5230.5</c:v>
                </c:pt>
                <c:pt idx="43">
                  <c:v>4919.75</c:v>
                </c:pt>
                <c:pt idx="44">
                  <c:v>4005.5</c:v>
                </c:pt>
                <c:pt idx="45">
                  <c:v>4841.75</c:v>
                </c:pt>
                <c:pt idx="46">
                  <c:v>3884.25</c:v>
                </c:pt>
                <c:pt idx="47">
                  <c:v>4448.75</c:v>
                </c:pt>
                <c:pt idx="48">
                  <c:v>4943.5</c:v>
                </c:pt>
                <c:pt idx="49">
                  <c:v>4108.25</c:v>
                </c:pt>
                <c:pt idx="50">
                  <c:v>3548</c:v>
                </c:pt>
                <c:pt idx="51">
                  <c:v>3311.5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Data'!$G$842:$G$893</c:f>
              <c:numCache>
                <c:formatCode>#,##0</c:formatCode>
                <c:ptCount val="52"/>
                <c:pt idx="0">
                  <c:v>2772</c:v>
                </c:pt>
                <c:pt idx="1">
                  <c:v>2661</c:v>
                </c:pt>
                <c:pt idx="2">
                  <c:v>3748</c:v>
                </c:pt>
                <c:pt idx="3">
                  <c:v>3975</c:v>
                </c:pt>
                <c:pt idx="4">
                  <c:v>2627</c:v>
                </c:pt>
                <c:pt idx="5">
                  <c:v>3481</c:v>
                </c:pt>
                <c:pt idx="6">
                  <c:v>3387</c:v>
                </c:pt>
                <c:pt idx="7">
                  <c:v>3665</c:v>
                </c:pt>
                <c:pt idx="8">
                  <c:v>3721</c:v>
                </c:pt>
                <c:pt idx="9">
                  <c:v>4125</c:v>
                </c:pt>
                <c:pt idx="10">
                  <c:v>3230</c:v>
                </c:pt>
                <c:pt idx="11">
                  <c:v>4147</c:v>
                </c:pt>
                <c:pt idx="12">
                  <c:v>2804</c:v>
                </c:pt>
                <c:pt idx="13">
                  <c:v>3724</c:v>
                </c:pt>
                <c:pt idx="14">
                  <c:v>3263</c:v>
                </c:pt>
                <c:pt idx="15">
                  <c:v>3429</c:v>
                </c:pt>
                <c:pt idx="16">
                  <c:v>2908</c:v>
                </c:pt>
                <c:pt idx="17">
                  <c:v>3697</c:v>
                </c:pt>
                <c:pt idx="18">
                  <c:v>2727</c:v>
                </c:pt>
                <c:pt idx="19">
                  <c:v>3521</c:v>
                </c:pt>
                <c:pt idx="20">
                  <c:v>3216</c:v>
                </c:pt>
                <c:pt idx="21">
                  <c:v>3154</c:v>
                </c:pt>
                <c:pt idx="22">
                  <c:v>3147</c:v>
                </c:pt>
                <c:pt idx="23" formatCode="#,##0;[Red]#,##0">
                  <c:v>2528</c:v>
                </c:pt>
                <c:pt idx="24">
                  <c:v>2614</c:v>
                </c:pt>
                <c:pt idx="25">
                  <c:v>3031</c:v>
                </c:pt>
                <c:pt idx="26">
                  <c:v>2541</c:v>
                </c:pt>
                <c:pt idx="27">
                  <c:v>3875</c:v>
                </c:pt>
                <c:pt idx="28">
                  <c:v>4315</c:v>
                </c:pt>
                <c:pt idx="29">
                  <c:v>4041</c:v>
                </c:pt>
                <c:pt idx="30">
                  <c:v>3245</c:v>
                </c:pt>
                <c:pt idx="31">
                  <c:v>3587</c:v>
                </c:pt>
                <c:pt idx="32">
                  <c:v>2891</c:v>
                </c:pt>
                <c:pt idx="33">
                  <c:v>3677</c:v>
                </c:pt>
                <c:pt idx="34">
                  <c:v>2664</c:v>
                </c:pt>
                <c:pt idx="35">
                  <c:v>2823</c:v>
                </c:pt>
                <c:pt idx="36">
                  <c:v>1305</c:v>
                </c:pt>
                <c:pt idx="37">
                  <c:v>1155</c:v>
                </c:pt>
                <c:pt idx="38">
                  <c:v>2082</c:v>
                </c:pt>
                <c:pt idx="39">
                  <c:v>2746</c:v>
                </c:pt>
                <c:pt idx="40">
                  <c:v>5633</c:v>
                </c:pt>
                <c:pt idx="41">
                  <c:v>4667</c:v>
                </c:pt>
                <c:pt idx="42">
                  <c:v>4566</c:v>
                </c:pt>
                <c:pt idx="43">
                  <c:v>4794</c:v>
                </c:pt>
                <c:pt idx="44">
                  <c:v>4574</c:v>
                </c:pt>
                <c:pt idx="45">
                  <c:v>4821</c:v>
                </c:pt>
                <c:pt idx="46">
                  <c:v>3196</c:v>
                </c:pt>
                <c:pt idx="47">
                  <c:v>3663</c:v>
                </c:pt>
                <c:pt idx="48">
                  <c:v>4788</c:v>
                </c:pt>
                <c:pt idx="49">
                  <c:v>3894</c:v>
                </c:pt>
                <c:pt idx="50">
                  <c:v>3872</c:v>
                </c:pt>
                <c:pt idx="51">
                  <c:v>3179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Data'!$G$894:$G$943</c:f>
              <c:numCache>
                <c:formatCode>#,##0</c:formatCode>
                <c:ptCount val="50"/>
                <c:pt idx="0">
                  <c:v>3421</c:v>
                </c:pt>
                <c:pt idx="1">
                  <c:v>3575</c:v>
                </c:pt>
                <c:pt idx="2">
                  <c:v>3739</c:v>
                </c:pt>
                <c:pt idx="3">
                  <c:v>4716</c:v>
                </c:pt>
                <c:pt idx="4">
                  <c:v>4575</c:v>
                </c:pt>
                <c:pt idx="5">
                  <c:v>3628</c:v>
                </c:pt>
                <c:pt idx="6">
                  <c:v>4110</c:v>
                </c:pt>
                <c:pt idx="7">
                  <c:v>4176</c:v>
                </c:pt>
                <c:pt idx="8">
                  <c:v>3054</c:v>
                </c:pt>
                <c:pt idx="9">
                  <c:v>3614</c:v>
                </c:pt>
                <c:pt idx="10">
                  <c:v>3840</c:v>
                </c:pt>
                <c:pt idx="11">
                  <c:v>4731</c:v>
                </c:pt>
                <c:pt idx="12">
                  <c:v>4923</c:v>
                </c:pt>
                <c:pt idx="13">
                  <c:v>3868</c:v>
                </c:pt>
                <c:pt idx="14">
                  <c:v>3990</c:v>
                </c:pt>
                <c:pt idx="15">
                  <c:v>4116</c:v>
                </c:pt>
                <c:pt idx="16">
                  <c:v>3936</c:v>
                </c:pt>
                <c:pt idx="17">
                  <c:v>3219</c:v>
                </c:pt>
                <c:pt idx="18">
                  <c:v>3979</c:v>
                </c:pt>
                <c:pt idx="19">
                  <c:v>3797</c:v>
                </c:pt>
                <c:pt idx="20" formatCode="#,##0_);\(#,##0\)">
                  <c:v>4341</c:v>
                </c:pt>
                <c:pt idx="21">
                  <c:v>3225</c:v>
                </c:pt>
                <c:pt idx="22">
                  <c:v>3684</c:v>
                </c:pt>
                <c:pt idx="23">
                  <c:v>3251</c:v>
                </c:pt>
                <c:pt idx="24">
                  <c:v>3771</c:v>
                </c:pt>
                <c:pt idx="25">
                  <c:v>3221</c:v>
                </c:pt>
                <c:pt idx="26">
                  <c:v>2316</c:v>
                </c:pt>
                <c:pt idx="27">
                  <c:v>3756</c:v>
                </c:pt>
                <c:pt idx="28">
                  <c:v>3653</c:v>
                </c:pt>
                <c:pt idx="29">
                  <c:v>3562</c:v>
                </c:pt>
                <c:pt idx="30">
                  <c:v>3932</c:v>
                </c:pt>
                <c:pt idx="31">
                  <c:v>2281</c:v>
                </c:pt>
                <c:pt idx="32">
                  <c:v>2068</c:v>
                </c:pt>
                <c:pt idx="33">
                  <c:v>3092</c:v>
                </c:pt>
                <c:pt idx="34">
                  <c:v>3056</c:v>
                </c:pt>
                <c:pt idx="35">
                  <c:v>2777</c:v>
                </c:pt>
                <c:pt idx="36">
                  <c:v>1986</c:v>
                </c:pt>
                <c:pt idx="37">
                  <c:v>2399</c:v>
                </c:pt>
                <c:pt idx="38">
                  <c:v>1707</c:v>
                </c:pt>
                <c:pt idx="39">
                  <c:v>2136</c:v>
                </c:pt>
                <c:pt idx="40">
                  <c:v>3997</c:v>
                </c:pt>
                <c:pt idx="41">
                  <c:v>4277</c:v>
                </c:pt>
                <c:pt idx="42">
                  <c:v>4247</c:v>
                </c:pt>
                <c:pt idx="43">
                  <c:v>4027</c:v>
                </c:pt>
                <c:pt idx="44">
                  <c:v>4041</c:v>
                </c:pt>
                <c:pt idx="45">
                  <c:v>3623</c:v>
                </c:pt>
                <c:pt idx="46">
                  <c:v>3507</c:v>
                </c:pt>
                <c:pt idx="47">
                  <c:v>3991</c:v>
                </c:pt>
                <c:pt idx="48">
                  <c:v>4152</c:v>
                </c:pt>
                <c:pt idx="49">
                  <c:v>6272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12416"/>
        <c:axId val="160818688"/>
      </c:lineChart>
      <c:dateAx>
        <c:axId val="160812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872048283980349"/>
              <c:y val="0.8005197460782518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081868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608186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</a:t>
                </a:r>
              </a:p>
            </c:rich>
          </c:tx>
          <c:layout>
            <c:manualLayout>
              <c:xMode val="edge"/>
              <c:yMode val="edge"/>
              <c:x val="1.0162388576229872E-2"/>
              <c:y val="0.270758408105963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081241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4970342455212116"/>
          <c:y val="0.89819263871085886"/>
          <c:w val="0.65786798441003114"/>
          <c:h val="8.092168711469205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1806355581391251"/>
          <c:y val="3.57638813153895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04469084221616"/>
          <c:y val="0.17823850647701298"/>
          <c:w val="0.82285413106323169"/>
          <c:h val="0.47242206235012046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Averages'!$M$894:$M$945</c:f>
              <c:numCache>
                <c:formatCode>#,##0_);\(#,##0\)</c:formatCode>
                <c:ptCount val="52"/>
                <c:pt idx="0">
                  <c:v>3656.5</c:v>
                </c:pt>
                <c:pt idx="1">
                  <c:v>3917.5</c:v>
                </c:pt>
                <c:pt idx="2">
                  <c:v>4516.25</c:v>
                </c:pt>
                <c:pt idx="3">
                  <c:v>4274.75</c:v>
                </c:pt>
                <c:pt idx="4">
                  <c:v>4066</c:v>
                </c:pt>
                <c:pt idx="5">
                  <c:v>4396.5</c:v>
                </c:pt>
                <c:pt idx="6">
                  <c:v>3834.25</c:v>
                </c:pt>
                <c:pt idx="7">
                  <c:v>4606</c:v>
                </c:pt>
                <c:pt idx="8">
                  <c:v>4617.75</c:v>
                </c:pt>
                <c:pt idx="9">
                  <c:v>4505.75</c:v>
                </c:pt>
                <c:pt idx="10">
                  <c:v>4177.5</c:v>
                </c:pt>
                <c:pt idx="11">
                  <c:v>5109.5</c:v>
                </c:pt>
                <c:pt idx="12">
                  <c:v>4171.5</c:v>
                </c:pt>
                <c:pt idx="13">
                  <c:v>4421.5</c:v>
                </c:pt>
                <c:pt idx="14">
                  <c:v>4502</c:v>
                </c:pt>
                <c:pt idx="15">
                  <c:v>4302.25</c:v>
                </c:pt>
                <c:pt idx="16">
                  <c:v>4211.5</c:v>
                </c:pt>
                <c:pt idx="17">
                  <c:v>4365</c:v>
                </c:pt>
                <c:pt idx="18">
                  <c:v>3395.25</c:v>
                </c:pt>
                <c:pt idx="19">
                  <c:v>3752</c:v>
                </c:pt>
                <c:pt idx="20">
                  <c:v>3713.5</c:v>
                </c:pt>
                <c:pt idx="21">
                  <c:v>3422.5</c:v>
                </c:pt>
                <c:pt idx="22">
                  <c:v>3449.75</c:v>
                </c:pt>
                <c:pt idx="23">
                  <c:v>3108</c:v>
                </c:pt>
                <c:pt idx="24">
                  <c:v>3796</c:v>
                </c:pt>
                <c:pt idx="25">
                  <c:v>3403</c:v>
                </c:pt>
                <c:pt idx="26">
                  <c:v>3197.25</c:v>
                </c:pt>
                <c:pt idx="27">
                  <c:v>3743.75</c:v>
                </c:pt>
                <c:pt idx="28">
                  <c:v>4009</c:v>
                </c:pt>
                <c:pt idx="29">
                  <c:v>3959.25</c:v>
                </c:pt>
                <c:pt idx="30">
                  <c:v>3315.25</c:v>
                </c:pt>
                <c:pt idx="31">
                  <c:v>3788.75</c:v>
                </c:pt>
                <c:pt idx="32">
                  <c:v>3452.5</c:v>
                </c:pt>
                <c:pt idx="33">
                  <c:v>3505.25</c:v>
                </c:pt>
                <c:pt idx="34">
                  <c:v>3154.75</c:v>
                </c:pt>
                <c:pt idx="35">
                  <c:v>3347.25</c:v>
                </c:pt>
                <c:pt idx="36">
                  <c:v>3215.5</c:v>
                </c:pt>
                <c:pt idx="37">
                  <c:v>2824</c:v>
                </c:pt>
                <c:pt idx="38">
                  <c:v>3371.25</c:v>
                </c:pt>
                <c:pt idx="39">
                  <c:v>3928</c:v>
                </c:pt>
                <c:pt idx="40">
                  <c:v>5779.5</c:v>
                </c:pt>
                <c:pt idx="41">
                  <c:v>5187</c:v>
                </c:pt>
                <c:pt idx="42">
                  <c:v>5050</c:v>
                </c:pt>
                <c:pt idx="43">
                  <c:v>5172.75</c:v>
                </c:pt>
                <c:pt idx="44">
                  <c:v>4203</c:v>
                </c:pt>
                <c:pt idx="45">
                  <c:v>4683</c:v>
                </c:pt>
                <c:pt idx="46">
                  <c:v>3972.5</c:v>
                </c:pt>
                <c:pt idx="47">
                  <c:v>4256.5</c:v>
                </c:pt>
                <c:pt idx="48">
                  <c:v>4953.75</c:v>
                </c:pt>
                <c:pt idx="49">
                  <c:v>3911.5</c:v>
                </c:pt>
                <c:pt idx="50">
                  <c:v>3641.25</c:v>
                </c:pt>
                <c:pt idx="51">
                  <c:v>3021.25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Averages'!$V$894:$V$945</c:f>
              <c:numCache>
                <c:formatCode>#,##0</c:formatCode>
                <c:ptCount val="52"/>
                <c:pt idx="0">
                  <c:v>3636.125</c:v>
                </c:pt>
                <c:pt idx="1">
                  <c:v>3620.4375</c:v>
                </c:pt>
                <c:pt idx="2">
                  <c:v>3729.1875</c:v>
                </c:pt>
                <c:pt idx="3">
                  <c:v>4057.875</c:v>
                </c:pt>
                <c:pt idx="4">
                  <c:v>4248.1875</c:v>
                </c:pt>
                <c:pt idx="5">
                  <c:v>4245.6875</c:v>
                </c:pt>
                <c:pt idx="6">
                  <c:v>4263.625</c:v>
                </c:pt>
                <c:pt idx="7">
                  <c:v>4227.8125</c:v>
                </c:pt>
                <c:pt idx="8">
                  <c:v>4363.5625</c:v>
                </c:pt>
                <c:pt idx="9">
                  <c:v>4461.5625</c:v>
                </c:pt>
                <c:pt idx="10">
                  <c:v>4401.5625</c:v>
                </c:pt>
                <c:pt idx="11">
                  <c:v>4534.125</c:v>
                </c:pt>
                <c:pt idx="12">
                  <c:v>4466.75</c:v>
                </c:pt>
                <c:pt idx="13">
                  <c:v>4462.875</c:v>
                </c:pt>
                <c:pt idx="14">
                  <c:v>4570.625</c:v>
                </c:pt>
                <c:pt idx="15">
                  <c:v>4430.6875</c:v>
                </c:pt>
                <c:pt idx="16">
                  <c:v>4397.0625</c:v>
                </c:pt>
                <c:pt idx="17">
                  <c:v>4338.9375</c:v>
                </c:pt>
                <c:pt idx="18">
                  <c:v>4141.4375</c:v>
                </c:pt>
                <c:pt idx="19">
                  <c:v>3974.6875</c:v>
                </c:pt>
                <c:pt idx="20">
                  <c:v>3842.4375</c:v>
                </c:pt>
                <c:pt idx="21">
                  <c:v>3654.5625</c:v>
                </c:pt>
                <c:pt idx="22">
                  <c:v>3558.0625</c:v>
                </c:pt>
                <c:pt idx="23">
                  <c:v>3464.1875</c:v>
                </c:pt>
                <c:pt idx="24">
                  <c:v>3419.4375</c:v>
                </c:pt>
                <c:pt idx="25">
                  <c:v>3478.125</c:v>
                </c:pt>
                <c:pt idx="26">
                  <c:v>3398</c:v>
                </c:pt>
                <c:pt idx="27">
                  <c:v>3569.875</c:v>
                </c:pt>
                <c:pt idx="28">
                  <c:v>3670.3125</c:v>
                </c:pt>
                <c:pt idx="29">
                  <c:v>3691.1875</c:v>
                </c:pt>
                <c:pt idx="30">
                  <c:v>3714.875</c:v>
                </c:pt>
                <c:pt idx="31">
                  <c:v>3672.125</c:v>
                </c:pt>
                <c:pt idx="32">
                  <c:v>3421.75</c:v>
                </c:pt>
                <c:pt idx="33">
                  <c:v>3476.8125</c:v>
                </c:pt>
                <c:pt idx="34">
                  <c:v>3525.5</c:v>
                </c:pt>
                <c:pt idx="35">
                  <c:v>3474.3125</c:v>
                </c:pt>
                <c:pt idx="36">
                  <c:v>3457.5625</c:v>
                </c:pt>
                <c:pt idx="37">
                  <c:v>3202</c:v>
                </c:pt>
                <c:pt idx="38">
                  <c:v>3114.9375</c:v>
                </c:pt>
                <c:pt idx="39">
                  <c:v>3179.375</c:v>
                </c:pt>
                <c:pt idx="40">
                  <c:v>3780.5625</c:v>
                </c:pt>
                <c:pt idx="41">
                  <c:v>4406.3125</c:v>
                </c:pt>
                <c:pt idx="42">
                  <c:v>4832.8125</c:v>
                </c:pt>
                <c:pt idx="43">
                  <c:v>5237.875</c:v>
                </c:pt>
                <c:pt idx="44">
                  <c:v>4991.125</c:v>
                </c:pt>
                <c:pt idx="45">
                  <c:v>4736.625</c:v>
                </c:pt>
                <c:pt idx="46">
                  <c:v>4617.375</c:v>
                </c:pt>
                <c:pt idx="47">
                  <c:v>4377.75</c:v>
                </c:pt>
                <c:pt idx="48">
                  <c:v>4371.875</c:v>
                </c:pt>
                <c:pt idx="49">
                  <c:v>4322.8125</c:v>
                </c:pt>
                <c:pt idx="50">
                  <c:v>4237.5</c:v>
                </c:pt>
                <c:pt idx="51">
                  <c:v>3895.5</c:v>
                </c:pt>
              </c:numCache>
            </c:numRef>
          </c:val>
          <c:smooth val="0"/>
        </c:ser>
        <c:ser>
          <c:idx val="3"/>
          <c:order val="2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Data'!$G$842:$G$893</c:f>
              <c:numCache>
                <c:formatCode>#,##0</c:formatCode>
                <c:ptCount val="52"/>
                <c:pt idx="0">
                  <c:v>2772</c:v>
                </c:pt>
                <c:pt idx="1">
                  <c:v>2661</c:v>
                </c:pt>
                <c:pt idx="2">
                  <c:v>3748</c:v>
                </c:pt>
                <c:pt idx="3">
                  <c:v>3975</c:v>
                </c:pt>
                <c:pt idx="4">
                  <c:v>2627</c:v>
                </c:pt>
                <c:pt idx="5">
                  <c:v>3481</c:v>
                </c:pt>
                <c:pt idx="6">
                  <c:v>3387</c:v>
                </c:pt>
                <c:pt idx="7">
                  <c:v>3665</c:v>
                </c:pt>
                <c:pt idx="8">
                  <c:v>3721</c:v>
                </c:pt>
                <c:pt idx="9">
                  <c:v>4125</c:v>
                </c:pt>
                <c:pt idx="10">
                  <c:v>3230</c:v>
                </c:pt>
                <c:pt idx="11">
                  <c:v>4147</c:v>
                </c:pt>
                <c:pt idx="12">
                  <c:v>2804</c:v>
                </c:pt>
                <c:pt idx="13">
                  <c:v>3724</c:v>
                </c:pt>
                <c:pt idx="14">
                  <c:v>3263</c:v>
                </c:pt>
                <c:pt idx="15">
                  <c:v>3429</c:v>
                </c:pt>
                <c:pt idx="16">
                  <c:v>2908</c:v>
                </c:pt>
                <c:pt idx="17">
                  <c:v>3697</c:v>
                </c:pt>
                <c:pt idx="18">
                  <c:v>2727</c:v>
                </c:pt>
                <c:pt idx="19">
                  <c:v>3521</c:v>
                </c:pt>
                <c:pt idx="20">
                  <c:v>3216</c:v>
                </c:pt>
                <c:pt idx="21">
                  <c:v>3154</c:v>
                </c:pt>
                <c:pt idx="22">
                  <c:v>3147</c:v>
                </c:pt>
                <c:pt idx="23" formatCode="#,##0;[Red]#,##0">
                  <c:v>2528</c:v>
                </c:pt>
                <c:pt idx="24">
                  <c:v>2614</c:v>
                </c:pt>
                <c:pt idx="25">
                  <c:v>3031</c:v>
                </c:pt>
                <c:pt idx="26">
                  <c:v>2541</c:v>
                </c:pt>
                <c:pt idx="27">
                  <c:v>3875</c:v>
                </c:pt>
                <c:pt idx="28">
                  <c:v>4315</c:v>
                </c:pt>
                <c:pt idx="29">
                  <c:v>4041</c:v>
                </c:pt>
                <c:pt idx="30">
                  <c:v>3245</c:v>
                </c:pt>
                <c:pt idx="31">
                  <c:v>3587</c:v>
                </c:pt>
                <c:pt idx="32">
                  <c:v>2891</c:v>
                </c:pt>
                <c:pt idx="33">
                  <c:v>3677</c:v>
                </c:pt>
                <c:pt idx="34">
                  <c:v>2664</c:v>
                </c:pt>
                <c:pt idx="35">
                  <c:v>2823</c:v>
                </c:pt>
                <c:pt idx="36">
                  <c:v>1305</c:v>
                </c:pt>
                <c:pt idx="37">
                  <c:v>1155</c:v>
                </c:pt>
                <c:pt idx="38">
                  <c:v>2082</c:v>
                </c:pt>
                <c:pt idx="39">
                  <c:v>2746</c:v>
                </c:pt>
                <c:pt idx="40">
                  <c:v>5633</c:v>
                </c:pt>
                <c:pt idx="41">
                  <c:v>4667</c:v>
                </c:pt>
                <c:pt idx="42">
                  <c:v>4566</c:v>
                </c:pt>
                <c:pt idx="43">
                  <c:v>4794</c:v>
                </c:pt>
                <c:pt idx="44">
                  <c:v>4574</c:v>
                </c:pt>
                <c:pt idx="45">
                  <c:v>4821</c:v>
                </c:pt>
                <c:pt idx="46">
                  <c:v>3196</c:v>
                </c:pt>
                <c:pt idx="47">
                  <c:v>3663</c:v>
                </c:pt>
                <c:pt idx="48">
                  <c:v>4788</c:v>
                </c:pt>
                <c:pt idx="49">
                  <c:v>3894</c:v>
                </c:pt>
                <c:pt idx="50">
                  <c:v>3872</c:v>
                </c:pt>
                <c:pt idx="51">
                  <c:v>3179</c:v>
                </c:pt>
              </c:numCache>
            </c:numRef>
          </c:val>
          <c:smooth val="0"/>
        </c:ser>
        <c:ser>
          <c:idx val="2"/>
          <c:order val="3"/>
          <c:tx>
            <c:v>2011</c:v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val>
            <c:numRef>
              <c:f>'Weekly Data'!$G$894:$G$943</c:f>
              <c:numCache>
                <c:formatCode>#,##0</c:formatCode>
                <c:ptCount val="50"/>
                <c:pt idx="0">
                  <c:v>3421</c:v>
                </c:pt>
                <c:pt idx="1">
                  <c:v>3575</c:v>
                </c:pt>
                <c:pt idx="2">
                  <c:v>3739</c:v>
                </c:pt>
                <c:pt idx="3">
                  <c:v>4716</c:v>
                </c:pt>
                <c:pt idx="4">
                  <c:v>4575</c:v>
                </c:pt>
                <c:pt idx="5">
                  <c:v>3628</c:v>
                </c:pt>
                <c:pt idx="6">
                  <c:v>4110</c:v>
                </c:pt>
                <c:pt idx="7">
                  <c:v>4176</c:v>
                </c:pt>
                <c:pt idx="8">
                  <c:v>3054</c:v>
                </c:pt>
                <c:pt idx="9">
                  <c:v>3614</c:v>
                </c:pt>
                <c:pt idx="10">
                  <c:v>3840</c:v>
                </c:pt>
                <c:pt idx="11">
                  <c:v>4731</c:v>
                </c:pt>
                <c:pt idx="12">
                  <c:v>4923</c:v>
                </c:pt>
                <c:pt idx="13">
                  <c:v>3868</c:v>
                </c:pt>
                <c:pt idx="14">
                  <c:v>3990</c:v>
                </c:pt>
                <c:pt idx="15">
                  <c:v>4116</c:v>
                </c:pt>
                <c:pt idx="16">
                  <c:v>3936</c:v>
                </c:pt>
                <c:pt idx="17">
                  <c:v>3219</c:v>
                </c:pt>
                <c:pt idx="18">
                  <c:v>3979</c:v>
                </c:pt>
                <c:pt idx="19">
                  <c:v>3797</c:v>
                </c:pt>
                <c:pt idx="20" formatCode="#,##0_);\(#,##0\)">
                  <c:v>4341</c:v>
                </c:pt>
                <c:pt idx="21">
                  <c:v>3225</c:v>
                </c:pt>
                <c:pt idx="22">
                  <c:v>3684</c:v>
                </c:pt>
                <c:pt idx="23">
                  <c:v>3251</c:v>
                </c:pt>
                <c:pt idx="24">
                  <c:v>3771</c:v>
                </c:pt>
                <c:pt idx="25">
                  <c:v>3221</c:v>
                </c:pt>
                <c:pt idx="26">
                  <c:v>2316</c:v>
                </c:pt>
                <c:pt idx="27">
                  <c:v>3756</c:v>
                </c:pt>
                <c:pt idx="28">
                  <c:v>3653</c:v>
                </c:pt>
                <c:pt idx="29">
                  <c:v>3562</c:v>
                </c:pt>
                <c:pt idx="30">
                  <c:v>3932</c:v>
                </c:pt>
                <c:pt idx="31">
                  <c:v>2281</c:v>
                </c:pt>
                <c:pt idx="32">
                  <c:v>2068</c:v>
                </c:pt>
                <c:pt idx="33">
                  <c:v>3092</c:v>
                </c:pt>
                <c:pt idx="34">
                  <c:v>3056</c:v>
                </c:pt>
                <c:pt idx="35">
                  <c:v>2777</c:v>
                </c:pt>
                <c:pt idx="36">
                  <c:v>1986</c:v>
                </c:pt>
                <c:pt idx="37">
                  <c:v>2399</c:v>
                </c:pt>
                <c:pt idx="38">
                  <c:v>1707</c:v>
                </c:pt>
                <c:pt idx="39">
                  <c:v>2136</c:v>
                </c:pt>
                <c:pt idx="40">
                  <c:v>3997</c:v>
                </c:pt>
                <c:pt idx="41">
                  <c:v>4277</c:v>
                </c:pt>
                <c:pt idx="42">
                  <c:v>4247</c:v>
                </c:pt>
                <c:pt idx="43">
                  <c:v>4027</c:v>
                </c:pt>
                <c:pt idx="44">
                  <c:v>4041</c:v>
                </c:pt>
                <c:pt idx="45">
                  <c:v>3623</c:v>
                </c:pt>
                <c:pt idx="46">
                  <c:v>3507</c:v>
                </c:pt>
                <c:pt idx="47">
                  <c:v>3991</c:v>
                </c:pt>
                <c:pt idx="48">
                  <c:v>4152</c:v>
                </c:pt>
                <c:pt idx="49">
                  <c:v>6272</c:v>
                </c:pt>
              </c:numCache>
            </c:numRef>
          </c:val>
          <c:smooth val="0"/>
        </c:ser>
        <c:ser>
          <c:idx val="4"/>
          <c:order val="4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62816"/>
        <c:axId val="164581376"/>
      </c:lineChart>
      <c:dateAx>
        <c:axId val="16456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72268315456"/>
              <c:y val="0.7985607927817887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458137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6458137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45628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545993411897336"/>
          <c:y val="0.89114954813473801"/>
          <c:w val="0.83103784635980904"/>
          <c:h val="0.1088504518652619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6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278955515175987"/>
          <c:y val="3.59486314210723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72479081140499"/>
          <c:y val="0.15864716571062101"/>
          <c:w val="0.82591093117408965"/>
          <c:h val="0.4599779866226406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Averages'!$N$894:$N$945</c:f>
              <c:numCache>
                <c:formatCode>#,##0_);\(#,##0\)</c:formatCode>
                <c:ptCount val="52"/>
                <c:pt idx="0">
                  <c:v>910</c:v>
                </c:pt>
                <c:pt idx="1">
                  <c:v>969</c:v>
                </c:pt>
                <c:pt idx="2">
                  <c:v>843.25</c:v>
                </c:pt>
                <c:pt idx="3">
                  <c:v>1038.5</c:v>
                </c:pt>
                <c:pt idx="4">
                  <c:v>832.75</c:v>
                </c:pt>
                <c:pt idx="5">
                  <c:v>837.25</c:v>
                </c:pt>
                <c:pt idx="6">
                  <c:v>736.5</c:v>
                </c:pt>
                <c:pt idx="7">
                  <c:v>867.5</c:v>
                </c:pt>
                <c:pt idx="8">
                  <c:v>884.25</c:v>
                </c:pt>
                <c:pt idx="9">
                  <c:v>791.75</c:v>
                </c:pt>
                <c:pt idx="10">
                  <c:v>705.25</c:v>
                </c:pt>
                <c:pt idx="11">
                  <c:v>815.25</c:v>
                </c:pt>
                <c:pt idx="12">
                  <c:v>605.25</c:v>
                </c:pt>
                <c:pt idx="13">
                  <c:v>563</c:v>
                </c:pt>
                <c:pt idx="14">
                  <c:v>508.5</c:v>
                </c:pt>
                <c:pt idx="15">
                  <c:v>404.75</c:v>
                </c:pt>
                <c:pt idx="16">
                  <c:v>390.5</c:v>
                </c:pt>
                <c:pt idx="17">
                  <c:v>540.25</c:v>
                </c:pt>
                <c:pt idx="18">
                  <c:v>342.75</c:v>
                </c:pt>
                <c:pt idx="19">
                  <c:v>255.25</c:v>
                </c:pt>
                <c:pt idx="20">
                  <c:v>280.75</c:v>
                </c:pt>
                <c:pt idx="21">
                  <c:v>243</c:v>
                </c:pt>
                <c:pt idx="22">
                  <c:v>267.25</c:v>
                </c:pt>
                <c:pt idx="23">
                  <c:v>225.75</c:v>
                </c:pt>
                <c:pt idx="24">
                  <c:v>223</c:v>
                </c:pt>
                <c:pt idx="25">
                  <c:v>289</c:v>
                </c:pt>
                <c:pt idx="26">
                  <c:v>274</c:v>
                </c:pt>
                <c:pt idx="27">
                  <c:v>409.25</c:v>
                </c:pt>
                <c:pt idx="28">
                  <c:v>332.25</c:v>
                </c:pt>
                <c:pt idx="29">
                  <c:v>94.5</c:v>
                </c:pt>
                <c:pt idx="30">
                  <c:v>221.5</c:v>
                </c:pt>
                <c:pt idx="31">
                  <c:v>205.5</c:v>
                </c:pt>
                <c:pt idx="32">
                  <c:v>222</c:v>
                </c:pt>
                <c:pt idx="33">
                  <c:v>393.5</c:v>
                </c:pt>
                <c:pt idx="34">
                  <c:v>291.25</c:v>
                </c:pt>
                <c:pt idx="35">
                  <c:v>413</c:v>
                </c:pt>
                <c:pt idx="36">
                  <c:v>335.5</c:v>
                </c:pt>
                <c:pt idx="37">
                  <c:v>521.5</c:v>
                </c:pt>
                <c:pt idx="38">
                  <c:v>620</c:v>
                </c:pt>
                <c:pt idx="39">
                  <c:v>659</c:v>
                </c:pt>
                <c:pt idx="40">
                  <c:v>863.75</c:v>
                </c:pt>
                <c:pt idx="41">
                  <c:v>978.25</c:v>
                </c:pt>
                <c:pt idx="42">
                  <c:v>911.25</c:v>
                </c:pt>
                <c:pt idx="43">
                  <c:v>1008.25</c:v>
                </c:pt>
                <c:pt idx="44">
                  <c:v>980.5</c:v>
                </c:pt>
                <c:pt idx="45">
                  <c:v>1327</c:v>
                </c:pt>
                <c:pt idx="46">
                  <c:v>1108.25</c:v>
                </c:pt>
                <c:pt idx="47">
                  <c:v>953.25</c:v>
                </c:pt>
                <c:pt idx="48">
                  <c:v>1007.25</c:v>
                </c:pt>
                <c:pt idx="49">
                  <c:v>720.25</c:v>
                </c:pt>
                <c:pt idx="50">
                  <c:v>934.5</c:v>
                </c:pt>
                <c:pt idx="51">
                  <c:v>569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Averages'!$W$894:$W$945</c:f>
              <c:numCache>
                <c:formatCode>#,##0_);\(#,##0\)</c:formatCode>
                <c:ptCount val="52"/>
                <c:pt idx="0">
                  <c:v>734.25</c:v>
                </c:pt>
                <c:pt idx="1">
                  <c:v>826</c:v>
                </c:pt>
                <c:pt idx="2">
                  <c:v>823.625</c:v>
                </c:pt>
                <c:pt idx="3">
                  <c:v>920.875</c:v>
                </c:pt>
                <c:pt idx="4">
                  <c:v>961.6875</c:v>
                </c:pt>
                <c:pt idx="5">
                  <c:v>869.625</c:v>
                </c:pt>
                <c:pt idx="6">
                  <c:v>875.375</c:v>
                </c:pt>
                <c:pt idx="7">
                  <c:v>841.8125</c:v>
                </c:pt>
                <c:pt idx="8">
                  <c:v>823.6875</c:v>
                </c:pt>
                <c:pt idx="9">
                  <c:v>840.8125</c:v>
                </c:pt>
                <c:pt idx="10">
                  <c:v>813.125</c:v>
                </c:pt>
                <c:pt idx="11">
                  <c:v>805.1875</c:v>
                </c:pt>
                <c:pt idx="12">
                  <c:v>728.625</c:v>
                </c:pt>
                <c:pt idx="13">
                  <c:v>663.5</c:v>
                </c:pt>
                <c:pt idx="14">
                  <c:v>617.6875</c:v>
                </c:pt>
                <c:pt idx="15">
                  <c:v>522.5</c:v>
                </c:pt>
                <c:pt idx="16">
                  <c:v>470.8125</c:v>
                </c:pt>
                <c:pt idx="17">
                  <c:v>474.5625</c:v>
                </c:pt>
                <c:pt idx="18">
                  <c:v>428.5625</c:v>
                </c:pt>
                <c:pt idx="19">
                  <c:v>390.75</c:v>
                </c:pt>
                <c:pt idx="20">
                  <c:v>360.5</c:v>
                </c:pt>
                <c:pt idx="21">
                  <c:v>291.3125</c:v>
                </c:pt>
                <c:pt idx="22">
                  <c:v>257.8125</c:v>
                </c:pt>
                <c:pt idx="23">
                  <c:v>251.875</c:v>
                </c:pt>
                <c:pt idx="24">
                  <c:v>236.3125</c:v>
                </c:pt>
                <c:pt idx="25">
                  <c:v>244.6875</c:v>
                </c:pt>
                <c:pt idx="26">
                  <c:v>262.6875</c:v>
                </c:pt>
                <c:pt idx="27">
                  <c:v>300.4375</c:v>
                </c:pt>
                <c:pt idx="28">
                  <c:v>322.75</c:v>
                </c:pt>
                <c:pt idx="29">
                  <c:v>282.125</c:v>
                </c:pt>
                <c:pt idx="30">
                  <c:v>251.3125</c:v>
                </c:pt>
                <c:pt idx="31">
                  <c:v>202.3125</c:v>
                </c:pt>
                <c:pt idx="32">
                  <c:v>185.1875</c:v>
                </c:pt>
                <c:pt idx="33">
                  <c:v>209.6875</c:v>
                </c:pt>
                <c:pt idx="34">
                  <c:v>275.875</c:v>
                </c:pt>
                <c:pt idx="35">
                  <c:v>319.6875</c:v>
                </c:pt>
                <c:pt idx="36">
                  <c:v>349.5625</c:v>
                </c:pt>
                <c:pt idx="37">
                  <c:v>389.25</c:v>
                </c:pt>
                <c:pt idx="38">
                  <c:v>426.75</c:v>
                </c:pt>
                <c:pt idx="39">
                  <c:v>510.5625</c:v>
                </c:pt>
                <c:pt idx="40">
                  <c:v>639.5</c:v>
                </c:pt>
                <c:pt idx="41">
                  <c:v>776.125</c:v>
                </c:pt>
                <c:pt idx="42">
                  <c:v>859.5</c:v>
                </c:pt>
                <c:pt idx="43">
                  <c:v>938.5</c:v>
                </c:pt>
                <c:pt idx="44">
                  <c:v>941.1875</c:v>
                </c:pt>
                <c:pt idx="45">
                  <c:v>1018.6875</c:v>
                </c:pt>
                <c:pt idx="46">
                  <c:v>1101.25</c:v>
                </c:pt>
                <c:pt idx="47">
                  <c:v>1069.9375</c:v>
                </c:pt>
                <c:pt idx="48">
                  <c:v>1119.3125</c:v>
                </c:pt>
                <c:pt idx="49">
                  <c:v>1027.375</c:v>
                </c:pt>
                <c:pt idx="50">
                  <c:v>911.625</c:v>
                </c:pt>
                <c:pt idx="51">
                  <c:v>838.8125</c:v>
                </c:pt>
              </c:numCache>
            </c:numRef>
          </c:val>
          <c:smooth val="0"/>
        </c:ser>
        <c:ser>
          <c:idx val="3"/>
          <c:order val="2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Data'!$H$842:$H$893</c:f>
              <c:numCache>
                <c:formatCode>#,##0</c:formatCode>
                <c:ptCount val="52"/>
                <c:pt idx="0">
                  <c:v>999</c:v>
                </c:pt>
                <c:pt idx="1">
                  <c:v>1718</c:v>
                </c:pt>
                <c:pt idx="2">
                  <c:v>1139</c:v>
                </c:pt>
                <c:pt idx="3">
                  <c:v>1113</c:v>
                </c:pt>
                <c:pt idx="4">
                  <c:v>1246</c:v>
                </c:pt>
                <c:pt idx="5">
                  <c:v>1062</c:v>
                </c:pt>
                <c:pt idx="6">
                  <c:v>979</c:v>
                </c:pt>
                <c:pt idx="7">
                  <c:v>1034</c:v>
                </c:pt>
                <c:pt idx="8">
                  <c:v>1336</c:v>
                </c:pt>
                <c:pt idx="9">
                  <c:v>930</c:v>
                </c:pt>
                <c:pt idx="10">
                  <c:v>757</c:v>
                </c:pt>
                <c:pt idx="11">
                  <c:v>1104</c:v>
                </c:pt>
                <c:pt idx="12">
                  <c:v>507</c:v>
                </c:pt>
                <c:pt idx="13">
                  <c:v>626</c:v>
                </c:pt>
                <c:pt idx="14">
                  <c:v>444</c:v>
                </c:pt>
                <c:pt idx="15">
                  <c:v>454</c:v>
                </c:pt>
                <c:pt idx="16">
                  <c:v>270</c:v>
                </c:pt>
                <c:pt idx="17">
                  <c:v>291</c:v>
                </c:pt>
                <c:pt idx="18">
                  <c:v>410</c:v>
                </c:pt>
                <c:pt idx="19">
                  <c:v>127</c:v>
                </c:pt>
                <c:pt idx="20">
                  <c:v>136</c:v>
                </c:pt>
                <c:pt idx="21">
                  <c:v>252</c:v>
                </c:pt>
                <c:pt idx="22">
                  <c:v>136</c:v>
                </c:pt>
                <c:pt idx="23" formatCode="#,##0;[Red]#,##0">
                  <c:v>103</c:v>
                </c:pt>
                <c:pt idx="24" formatCode="#,##0;[Red]#,##0">
                  <c:v>39</c:v>
                </c:pt>
                <c:pt idx="25">
                  <c:v>185</c:v>
                </c:pt>
                <c:pt idx="26">
                  <c:v>93</c:v>
                </c:pt>
                <c:pt idx="27">
                  <c:v>194</c:v>
                </c:pt>
                <c:pt idx="28">
                  <c:v>193</c:v>
                </c:pt>
                <c:pt idx="29">
                  <c:v>60</c:v>
                </c:pt>
                <c:pt idx="30">
                  <c:v>99</c:v>
                </c:pt>
                <c:pt idx="31">
                  <c:v>65</c:v>
                </c:pt>
                <c:pt idx="32">
                  <c:v>177</c:v>
                </c:pt>
                <c:pt idx="33">
                  <c:v>170</c:v>
                </c:pt>
                <c:pt idx="34">
                  <c:v>137</c:v>
                </c:pt>
                <c:pt idx="35">
                  <c:v>254</c:v>
                </c:pt>
                <c:pt idx="36">
                  <c:v>174</c:v>
                </c:pt>
                <c:pt idx="37">
                  <c:v>409</c:v>
                </c:pt>
                <c:pt idx="38">
                  <c:v>823</c:v>
                </c:pt>
                <c:pt idx="39">
                  <c:v>736</c:v>
                </c:pt>
                <c:pt idx="40">
                  <c:v>926</c:v>
                </c:pt>
                <c:pt idx="41">
                  <c:v>1121</c:v>
                </c:pt>
                <c:pt idx="42">
                  <c:v>1093</c:v>
                </c:pt>
                <c:pt idx="43">
                  <c:v>1133</c:v>
                </c:pt>
                <c:pt idx="44">
                  <c:v>947</c:v>
                </c:pt>
                <c:pt idx="45">
                  <c:v>1427</c:v>
                </c:pt>
                <c:pt idx="46">
                  <c:v>1393</c:v>
                </c:pt>
                <c:pt idx="47">
                  <c:v>873</c:v>
                </c:pt>
                <c:pt idx="48">
                  <c:v>876</c:v>
                </c:pt>
                <c:pt idx="49">
                  <c:v>596</c:v>
                </c:pt>
                <c:pt idx="50">
                  <c:v>978</c:v>
                </c:pt>
                <c:pt idx="51">
                  <c:v>436</c:v>
                </c:pt>
              </c:numCache>
            </c:numRef>
          </c:val>
          <c:smooth val="0"/>
        </c:ser>
        <c:ser>
          <c:idx val="2"/>
          <c:order val="3"/>
          <c:tx>
            <c:v>2011</c:v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Data'!$H$894:$H$943</c:f>
              <c:numCache>
                <c:formatCode>#,##0</c:formatCode>
                <c:ptCount val="50"/>
                <c:pt idx="0">
                  <c:v>761</c:v>
                </c:pt>
                <c:pt idx="1">
                  <c:v>841</c:v>
                </c:pt>
                <c:pt idx="2">
                  <c:v>1007</c:v>
                </c:pt>
                <c:pt idx="3">
                  <c:v>792</c:v>
                </c:pt>
                <c:pt idx="4">
                  <c:v>608</c:v>
                </c:pt>
                <c:pt idx="5">
                  <c:v>795</c:v>
                </c:pt>
                <c:pt idx="6">
                  <c:v>496</c:v>
                </c:pt>
                <c:pt idx="7">
                  <c:v>810</c:v>
                </c:pt>
                <c:pt idx="8">
                  <c:v>822</c:v>
                </c:pt>
                <c:pt idx="9">
                  <c:v>748</c:v>
                </c:pt>
                <c:pt idx="10">
                  <c:v>635</c:v>
                </c:pt>
                <c:pt idx="11">
                  <c:v>837</c:v>
                </c:pt>
                <c:pt idx="12">
                  <c:v>727</c:v>
                </c:pt>
                <c:pt idx="13">
                  <c:v>600</c:v>
                </c:pt>
                <c:pt idx="14">
                  <c:v>539</c:v>
                </c:pt>
                <c:pt idx="15">
                  <c:v>564</c:v>
                </c:pt>
                <c:pt idx="16">
                  <c:v>626</c:v>
                </c:pt>
                <c:pt idx="17">
                  <c:v>391</c:v>
                </c:pt>
                <c:pt idx="18">
                  <c:v>629</c:v>
                </c:pt>
                <c:pt idx="19">
                  <c:v>410</c:v>
                </c:pt>
                <c:pt idx="20">
                  <c:v>433</c:v>
                </c:pt>
                <c:pt idx="21">
                  <c:v>169</c:v>
                </c:pt>
                <c:pt idx="22">
                  <c:v>82</c:v>
                </c:pt>
                <c:pt idx="23">
                  <c:v>274</c:v>
                </c:pt>
                <c:pt idx="24">
                  <c:v>401</c:v>
                </c:pt>
                <c:pt idx="25">
                  <c:v>198</c:v>
                </c:pt>
                <c:pt idx="26">
                  <c:v>182</c:v>
                </c:pt>
                <c:pt idx="27">
                  <c:v>283</c:v>
                </c:pt>
                <c:pt idx="28">
                  <c:v>177</c:v>
                </c:pt>
                <c:pt idx="29">
                  <c:v>255</c:v>
                </c:pt>
                <c:pt idx="30">
                  <c:v>195</c:v>
                </c:pt>
                <c:pt idx="31">
                  <c:v>332</c:v>
                </c:pt>
                <c:pt idx="32">
                  <c:v>168</c:v>
                </c:pt>
                <c:pt idx="33">
                  <c:v>95</c:v>
                </c:pt>
                <c:pt idx="34">
                  <c:v>0</c:v>
                </c:pt>
                <c:pt idx="35">
                  <c:v>34</c:v>
                </c:pt>
                <c:pt idx="36">
                  <c:v>32</c:v>
                </c:pt>
                <c:pt idx="37">
                  <c:v>82</c:v>
                </c:pt>
                <c:pt idx="38">
                  <c:v>194</c:v>
                </c:pt>
                <c:pt idx="39">
                  <c:v>170</c:v>
                </c:pt>
                <c:pt idx="40">
                  <c:v>213</c:v>
                </c:pt>
                <c:pt idx="41">
                  <c:v>420</c:v>
                </c:pt>
                <c:pt idx="42">
                  <c:v>719</c:v>
                </c:pt>
                <c:pt idx="43">
                  <c:v>548</c:v>
                </c:pt>
                <c:pt idx="44">
                  <c:v>857</c:v>
                </c:pt>
                <c:pt idx="45">
                  <c:v>732</c:v>
                </c:pt>
                <c:pt idx="46">
                  <c:v>693</c:v>
                </c:pt>
                <c:pt idx="47">
                  <c:v>394</c:v>
                </c:pt>
                <c:pt idx="48">
                  <c:v>589</c:v>
                </c:pt>
                <c:pt idx="49">
                  <c:v>578</c:v>
                </c:pt>
              </c:numCache>
            </c:numRef>
          </c:val>
          <c:smooth val="0"/>
        </c:ser>
        <c:ser>
          <c:idx val="4"/>
          <c:order val="4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47040"/>
        <c:axId val="101848960"/>
      </c:lineChart>
      <c:dateAx>
        <c:axId val="101847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5143235300716"/>
              <c:y val="0.813623056733292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84896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1848960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8470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152208538035308"/>
          <c:y val="0.90497750281214839"/>
          <c:w val="0.82105457971599705"/>
          <c:h val="9.502249718785149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8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7396599934812071"/>
          <c:y val="3.0281344142327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2"/>
          <c:order val="0"/>
          <c:tx>
            <c:v>4-yr avg(weekly)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Averages'!$J$842:$J$893</c:f>
              <c:numCache>
                <c:formatCode>#,##0_);\(#,##0\)</c:formatCode>
                <c:ptCount val="52"/>
                <c:pt idx="0">
                  <c:v>1424.5</c:v>
                </c:pt>
                <c:pt idx="1">
                  <c:v>1814</c:v>
                </c:pt>
                <c:pt idx="2">
                  <c:v>1753.5</c:v>
                </c:pt>
                <c:pt idx="3">
                  <c:v>1571.5</c:v>
                </c:pt>
                <c:pt idx="4">
                  <c:v>1615</c:v>
                </c:pt>
                <c:pt idx="5">
                  <c:v>1697</c:v>
                </c:pt>
                <c:pt idx="6">
                  <c:v>1693</c:v>
                </c:pt>
                <c:pt idx="7">
                  <c:v>1353</c:v>
                </c:pt>
                <c:pt idx="8">
                  <c:v>1820.5</c:v>
                </c:pt>
                <c:pt idx="9">
                  <c:v>1528.25</c:v>
                </c:pt>
                <c:pt idx="10">
                  <c:v>1207.75</c:v>
                </c:pt>
                <c:pt idx="11">
                  <c:v>843.25</c:v>
                </c:pt>
                <c:pt idx="12">
                  <c:v>1006.5</c:v>
                </c:pt>
                <c:pt idx="13">
                  <c:v>848.25</c:v>
                </c:pt>
                <c:pt idx="14">
                  <c:v>900.75</c:v>
                </c:pt>
                <c:pt idx="15">
                  <c:v>762.25</c:v>
                </c:pt>
                <c:pt idx="16">
                  <c:v>650.25</c:v>
                </c:pt>
                <c:pt idx="17">
                  <c:v>564.75</c:v>
                </c:pt>
                <c:pt idx="18">
                  <c:v>636.75</c:v>
                </c:pt>
                <c:pt idx="19">
                  <c:v>501.75</c:v>
                </c:pt>
                <c:pt idx="20">
                  <c:v>592.75</c:v>
                </c:pt>
                <c:pt idx="21">
                  <c:v>593.5</c:v>
                </c:pt>
                <c:pt idx="22">
                  <c:v>386.75</c:v>
                </c:pt>
                <c:pt idx="23">
                  <c:v>454.5</c:v>
                </c:pt>
                <c:pt idx="24">
                  <c:v>634.25</c:v>
                </c:pt>
                <c:pt idx="25">
                  <c:v>773.25</c:v>
                </c:pt>
                <c:pt idx="26">
                  <c:v>786.5</c:v>
                </c:pt>
                <c:pt idx="27">
                  <c:v>939.25</c:v>
                </c:pt>
                <c:pt idx="28">
                  <c:v>1123.5</c:v>
                </c:pt>
                <c:pt idx="29">
                  <c:v>888</c:v>
                </c:pt>
                <c:pt idx="30">
                  <c:v>1036.75</c:v>
                </c:pt>
                <c:pt idx="31">
                  <c:v>1043</c:v>
                </c:pt>
                <c:pt idx="32">
                  <c:v>1064.5</c:v>
                </c:pt>
                <c:pt idx="33">
                  <c:v>1254</c:v>
                </c:pt>
                <c:pt idx="34">
                  <c:v>1159</c:v>
                </c:pt>
                <c:pt idx="35">
                  <c:v>1254</c:v>
                </c:pt>
                <c:pt idx="36">
                  <c:v>1355.25</c:v>
                </c:pt>
                <c:pt idx="37">
                  <c:v>1403</c:v>
                </c:pt>
                <c:pt idx="38">
                  <c:v>1738.25</c:v>
                </c:pt>
                <c:pt idx="39">
                  <c:v>2075.5</c:v>
                </c:pt>
                <c:pt idx="40">
                  <c:v>2510.5</c:v>
                </c:pt>
                <c:pt idx="41">
                  <c:v>2162.75</c:v>
                </c:pt>
                <c:pt idx="42">
                  <c:v>2217.25</c:v>
                </c:pt>
                <c:pt idx="43">
                  <c:v>1818</c:v>
                </c:pt>
                <c:pt idx="44">
                  <c:v>1914.25</c:v>
                </c:pt>
                <c:pt idx="45">
                  <c:v>1483.5</c:v>
                </c:pt>
                <c:pt idx="46">
                  <c:v>1668.5</c:v>
                </c:pt>
                <c:pt idx="47">
                  <c:v>1689.25</c:v>
                </c:pt>
                <c:pt idx="48">
                  <c:v>1483</c:v>
                </c:pt>
                <c:pt idx="49">
                  <c:v>1213.5</c:v>
                </c:pt>
                <c:pt idx="50">
                  <c:v>1150.75</c:v>
                </c:pt>
                <c:pt idx="51">
                  <c:v>851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Data'!$D$842:$D$893</c:f>
              <c:numCache>
                <c:formatCode>#,##0</c:formatCode>
                <c:ptCount val="52"/>
                <c:pt idx="0">
                  <c:v>490</c:v>
                </c:pt>
                <c:pt idx="1">
                  <c:v>278</c:v>
                </c:pt>
                <c:pt idx="2">
                  <c:v>570</c:v>
                </c:pt>
                <c:pt idx="3">
                  <c:v>716</c:v>
                </c:pt>
                <c:pt idx="4">
                  <c:v>589</c:v>
                </c:pt>
                <c:pt idx="5">
                  <c:v>783</c:v>
                </c:pt>
                <c:pt idx="6">
                  <c:v>367</c:v>
                </c:pt>
                <c:pt idx="7">
                  <c:v>230</c:v>
                </c:pt>
                <c:pt idx="8">
                  <c:v>504</c:v>
                </c:pt>
                <c:pt idx="9">
                  <c:v>555</c:v>
                </c:pt>
                <c:pt idx="10">
                  <c:v>226</c:v>
                </c:pt>
                <c:pt idx="11">
                  <c:v>594</c:v>
                </c:pt>
                <c:pt idx="12">
                  <c:v>84</c:v>
                </c:pt>
                <c:pt idx="13">
                  <c:v>200</c:v>
                </c:pt>
                <c:pt idx="14">
                  <c:v>222</c:v>
                </c:pt>
                <c:pt idx="15">
                  <c:v>100</c:v>
                </c:pt>
                <c:pt idx="16">
                  <c:v>198</c:v>
                </c:pt>
                <c:pt idx="17">
                  <c:v>107</c:v>
                </c:pt>
                <c:pt idx="18">
                  <c:v>108</c:v>
                </c:pt>
                <c:pt idx="19">
                  <c:v>198</c:v>
                </c:pt>
                <c:pt idx="20">
                  <c:v>201</c:v>
                </c:pt>
                <c:pt idx="21">
                  <c:v>208</c:v>
                </c:pt>
                <c:pt idx="22">
                  <c:v>0</c:v>
                </c:pt>
                <c:pt idx="23" formatCode="#,##0;[Red]#,##0">
                  <c:v>430</c:v>
                </c:pt>
                <c:pt idx="24">
                  <c:v>158</c:v>
                </c:pt>
                <c:pt idx="25">
                  <c:v>214</c:v>
                </c:pt>
                <c:pt idx="26">
                  <c:v>5</c:v>
                </c:pt>
                <c:pt idx="27">
                  <c:v>105</c:v>
                </c:pt>
                <c:pt idx="28">
                  <c:v>231</c:v>
                </c:pt>
                <c:pt idx="29">
                  <c:v>442</c:v>
                </c:pt>
                <c:pt idx="30">
                  <c:v>101</c:v>
                </c:pt>
                <c:pt idx="31">
                  <c:v>262</c:v>
                </c:pt>
                <c:pt idx="32">
                  <c:v>393</c:v>
                </c:pt>
                <c:pt idx="33">
                  <c:v>494</c:v>
                </c:pt>
                <c:pt idx="34">
                  <c:v>372</c:v>
                </c:pt>
                <c:pt idx="35">
                  <c:v>757</c:v>
                </c:pt>
                <c:pt idx="36">
                  <c:v>884</c:v>
                </c:pt>
                <c:pt idx="37">
                  <c:v>1288</c:v>
                </c:pt>
                <c:pt idx="38">
                  <c:v>849</c:v>
                </c:pt>
                <c:pt idx="39">
                  <c:v>1458</c:v>
                </c:pt>
                <c:pt idx="40">
                  <c:v>1548</c:v>
                </c:pt>
                <c:pt idx="41">
                  <c:v>2094</c:v>
                </c:pt>
                <c:pt idx="42">
                  <c:v>1583</c:v>
                </c:pt>
                <c:pt idx="43">
                  <c:v>1904</c:v>
                </c:pt>
                <c:pt idx="44">
                  <c:v>1776</c:v>
                </c:pt>
                <c:pt idx="45">
                  <c:v>1644</c:v>
                </c:pt>
                <c:pt idx="46">
                  <c:v>1123</c:v>
                </c:pt>
                <c:pt idx="47">
                  <c:v>1316</c:v>
                </c:pt>
                <c:pt idx="48">
                  <c:v>1735</c:v>
                </c:pt>
                <c:pt idx="49">
                  <c:v>1075</c:v>
                </c:pt>
                <c:pt idx="50">
                  <c:v>1110</c:v>
                </c:pt>
                <c:pt idx="51">
                  <c:v>1092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Data'!$D$894:$D$943</c:f>
              <c:numCache>
                <c:formatCode>#,##0</c:formatCode>
                <c:ptCount val="50"/>
                <c:pt idx="0">
                  <c:v>1100</c:v>
                </c:pt>
                <c:pt idx="1">
                  <c:v>853</c:v>
                </c:pt>
                <c:pt idx="2">
                  <c:v>1403</c:v>
                </c:pt>
                <c:pt idx="3">
                  <c:v>1200</c:v>
                </c:pt>
                <c:pt idx="4">
                  <c:v>940</c:v>
                </c:pt>
                <c:pt idx="5">
                  <c:v>728</c:v>
                </c:pt>
                <c:pt idx="6">
                  <c:v>1208</c:v>
                </c:pt>
                <c:pt idx="7">
                  <c:v>1036</c:v>
                </c:pt>
                <c:pt idx="8">
                  <c:v>1147</c:v>
                </c:pt>
                <c:pt idx="9" formatCode="General">
                  <c:v>1113</c:v>
                </c:pt>
                <c:pt idx="10">
                  <c:v>1111</c:v>
                </c:pt>
                <c:pt idx="11">
                  <c:v>1706</c:v>
                </c:pt>
                <c:pt idx="12">
                  <c:v>1282</c:v>
                </c:pt>
                <c:pt idx="13">
                  <c:v>1104</c:v>
                </c:pt>
                <c:pt idx="14">
                  <c:v>703</c:v>
                </c:pt>
                <c:pt idx="15">
                  <c:v>228</c:v>
                </c:pt>
                <c:pt idx="16">
                  <c:v>482</c:v>
                </c:pt>
                <c:pt idx="17">
                  <c:v>404</c:v>
                </c:pt>
                <c:pt idx="18">
                  <c:v>778</c:v>
                </c:pt>
                <c:pt idx="19">
                  <c:v>537</c:v>
                </c:pt>
                <c:pt idx="20" formatCode="General">
                  <c:v>554</c:v>
                </c:pt>
                <c:pt idx="21">
                  <c:v>435</c:v>
                </c:pt>
                <c:pt idx="22">
                  <c:v>373</c:v>
                </c:pt>
                <c:pt idx="23">
                  <c:v>156</c:v>
                </c:pt>
                <c:pt idx="24">
                  <c:v>231</c:v>
                </c:pt>
                <c:pt idx="25">
                  <c:v>218</c:v>
                </c:pt>
                <c:pt idx="26">
                  <c:v>209</c:v>
                </c:pt>
                <c:pt idx="27">
                  <c:v>167</c:v>
                </c:pt>
                <c:pt idx="28">
                  <c:v>3</c:v>
                </c:pt>
                <c:pt idx="29">
                  <c:v>111</c:v>
                </c:pt>
                <c:pt idx="30">
                  <c:v>206</c:v>
                </c:pt>
                <c:pt idx="31">
                  <c:v>0</c:v>
                </c:pt>
                <c:pt idx="32">
                  <c:v>128</c:v>
                </c:pt>
                <c:pt idx="33">
                  <c:v>108</c:v>
                </c:pt>
                <c:pt idx="34">
                  <c:v>1</c:v>
                </c:pt>
                <c:pt idx="35">
                  <c:v>120</c:v>
                </c:pt>
                <c:pt idx="36">
                  <c:v>110</c:v>
                </c:pt>
                <c:pt idx="37">
                  <c:v>149</c:v>
                </c:pt>
                <c:pt idx="38">
                  <c:v>617</c:v>
                </c:pt>
                <c:pt idx="39">
                  <c:v>479</c:v>
                </c:pt>
                <c:pt idx="40">
                  <c:v>279</c:v>
                </c:pt>
                <c:pt idx="41">
                  <c:v>791</c:v>
                </c:pt>
                <c:pt idx="42">
                  <c:v>891</c:v>
                </c:pt>
                <c:pt idx="43">
                  <c:v>533</c:v>
                </c:pt>
                <c:pt idx="44">
                  <c:v>532</c:v>
                </c:pt>
                <c:pt idx="45">
                  <c:v>76</c:v>
                </c:pt>
                <c:pt idx="46">
                  <c:v>405</c:v>
                </c:pt>
                <c:pt idx="47">
                  <c:v>125</c:v>
                </c:pt>
                <c:pt idx="48">
                  <c:v>111</c:v>
                </c:pt>
                <c:pt idx="49">
                  <c:v>117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Data'!$D$946:$D$997</c:f>
              <c:numCache>
                <c:formatCode>#,##0</c:formatCode>
                <c:ptCount val="52"/>
                <c:pt idx="0">
                  <c:v>25</c:v>
                </c:pt>
                <c:pt idx="1">
                  <c:v>148</c:v>
                </c:pt>
                <c:pt idx="2">
                  <c:v>0</c:v>
                </c:pt>
                <c:pt idx="3">
                  <c:v>25</c:v>
                </c:pt>
                <c:pt idx="4">
                  <c:v>449</c:v>
                </c:pt>
                <c:pt idx="5">
                  <c:v>144</c:v>
                </c:pt>
                <c:pt idx="6">
                  <c:v>630</c:v>
                </c:pt>
                <c:pt idx="7">
                  <c:v>567</c:v>
                </c:pt>
                <c:pt idx="8">
                  <c:v>433</c:v>
                </c:pt>
                <c:pt idx="9">
                  <c:v>359</c:v>
                </c:pt>
                <c:pt idx="10">
                  <c:v>328</c:v>
                </c:pt>
                <c:pt idx="11">
                  <c:v>68</c:v>
                </c:pt>
                <c:pt idx="12">
                  <c:v>6</c:v>
                </c:pt>
                <c:pt idx="13">
                  <c:v>235</c:v>
                </c:pt>
                <c:pt idx="14">
                  <c:v>71</c:v>
                </c:pt>
                <c:pt idx="15">
                  <c:v>0</c:v>
                </c:pt>
                <c:pt idx="16">
                  <c:v>52</c:v>
                </c:pt>
                <c:pt idx="17">
                  <c:v>25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19</c:v>
                </c:pt>
                <c:pt idx="22" formatCode="General">
                  <c:v>215</c:v>
                </c:pt>
                <c:pt idx="23" formatCode="General">
                  <c:v>110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110</c:v>
                </c:pt>
                <c:pt idx="27" formatCode="General">
                  <c:v>0</c:v>
                </c:pt>
                <c:pt idx="28" formatCode="General">
                  <c:v>504</c:v>
                </c:pt>
                <c:pt idx="29" formatCode="General">
                  <c:v>280</c:v>
                </c:pt>
                <c:pt idx="30" formatCode="#,##0_);\(#,##0\)">
                  <c:v>393</c:v>
                </c:pt>
                <c:pt idx="31" formatCode="#,##0_);\(#,##0\)">
                  <c:v>791</c:v>
                </c:pt>
                <c:pt idx="32" formatCode="#,##0_);\(#,##0\)">
                  <c:v>257</c:v>
                </c:pt>
                <c:pt idx="33" formatCode="#,##0_);\(#,##0\)">
                  <c:v>629</c:v>
                </c:pt>
                <c:pt idx="34" formatCode="#,##0_);\(#,##0\)">
                  <c:v>1</c:v>
                </c:pt>
                <c:pt idx="35" formatCode="#,##0_);\(#,##0\)">
                  <c:v>74</c:v>
                </c:pt>
                <c:pt idx="36" formatCode="#,##0_);\(#,##0\)">
                  <c:v>50</c:v>
                </c:pt>
                <c:pt idx="37" formatCode="#,##0_);\(#,##0\)">
                  <c:v>333</c:v>
                </c:pt>
                <c:pt idx="38" formatCode="#,##0_);\(#,##0\)">
                  <c:v>506</c:v>
                </c:pt>
                <c:pt idx="39" formatCode="#,##0_);\(#,##0\)">
                  <c:v>1218</c:v>
                </c:pt>
                <c:pt idx="40" formatCode="#,##0_);\(#,##0\)">
                  <c:v>1439</c:v>
                </c:pt>
                <c:pt idx="41" formatCode="#,##0_);\(#,##0\)">
                  <c:v>1905</c:v>
                </c:pt>
                <c:pt idx="42" formatCode="#,##0_);\(#,##0\)">
                  <c:v>631</c:v>
                </c:pt>
                <c:pt idx="43" formatCode="#,##0_);\(#,##0\)">
                  <c:v>539</c:v>
                </c:pt>
                <c:pt idx="44" formatCode="#,##0_);\(#,##0\)">
                  <c:v>694</c:v>
                </c:pt>
                <c:pt idx="45" formatCode="#,##0_);\(#,##0\)">
                  <c:v>641</c:v>
                </c:pt>
                <c:pt idx="46" formatCode="#,##0_);\(#,##0\)">
                  <c:v>1127</c:v>
                </c:pt>
                <c:pt idx="47" formatCode="#,##0_);\(#,##0\)">
                  <c:v>1311</c:v>
                </c:pt>
                <c:pt idx="48" formatCode="#,##0_);\(#,##0\)">
                  <c:v>1365</c:v>
                </c:pt>
                <c:pt idx="49" formatCode="#,##0_);\(#,##0\)">
                  <c:v>1027</c:v>
                </c:pt>
                <c:pt idx="50" formatCode="#,##0_);\(#,##0\)">
                  <c:v>1448</c:v>
                </c:pt>
                <c:pt idx="51" formatCode="#,##0_);\(#,##0\)">
                  <c:v>1402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710272"/>
        <c:axId val="164712448"/>
      </c:lineChart>
      <c:dateAx>
        <c:axId val="164710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4712448"/>
        <c:crosses val="autoZero"/>
        <c:auto val="1"/>
        <c:lblOffset val="100"/>
        <c:baseTimeUnit val="days"/>
        <c:minorUnit val="7"/>
        <c:minorTimeUnit val="days"/>
      </c:dateAx>
      <c:valAx>
        <c:axId val="164712448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471027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800683615528453"/>
          <c:y val="0.89051109990561517"/>
          <c:w val="0.68381044893898069"/>
          <c:h val="0.1094889000943847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Averages'!$K$842:$K$893</c:f>
              <c:numCache>
                <c:formatCode>#,##0_);\(#,##0\)</c:formatCode>
                <c:ptCount val="52"/>
                <c:pt idx="0">
                  <c:v>1986.25</c:v>
                </c:pt>
                <c:pt idx="1">
                  <c:v>1618.25</c:v>
                </c:pt>
                <c:pt idx="2">
                  <c:v>1831</c:v>
                </c:pt>
                <c:pt idx="3">
                  <c:v>1905.75</c:v>
                </c:pt>
                <c:pt idx="4">
                  <c:v>1812.75</c:v>
                </c:pt>
                <c:pt idx="5">
                  <c:v>2153.5</c:v>
                </c:pt>
                <c:pt idx="6">
                  <c:v>2052.25</c:v>
                </c:pt>
                <c:pt idx="7">
                  <c:v>1690.75</c:v>
                </c:pt>
                <c:pt idx="8">
                  <c:v>2007.75</c:v>
                </c:pt>
                <c:pt idx="9">
                  <c:v>1960.5</c:v>
                </c:pt>
                <c:pt idx="10">
                  <c:v>1886</c:v>
                </c:pt>
                <c:pt idx="11">
                  <c:v>1614.25</c:v>
                </c:pt>
                <c:pt idx="12">
                  <c:v>1802.5</c:v>
                </c:pt>
                <c:pt idx="13">
                  <c:v>1608</c:v>
                </c:pt>
                <c:pt idx="14">
                  <c:v>1756.25</c:v>
                </c:pt>
                <c:pt idx="15">
                  <c:v>1502</c:v>
                </c:pt>
                <c:pt idx="16">
                  <c:v>1659</c:v>
                </c:pt>
                <c:pt idx="17">
                  <c:v>1690</c:v>
                </c:pt>
                <c:pt idx="18">
                  <c:v>1192.5</c:v>
                </c:pt>
                <c:pt idx="19">
                  <c:v>1327.75</c:v>
                </c:pt>
                <c:pt idx="20">
                  <c:v>1145.75</c:v>
                </c:pt>
                <c:pt idx="21">
                  <c:v>1455</c:v>
                </c:pt>
                <c:pt idx="22">
                  <c:v>1963.75</c:v>
                </c:pt>
                <c:pt idx="23">
                  <c:v>1320.75</c:v>
                </c:pt>
                <c:pt idx="24">
                  <c:v>1712</c:v>
                </c:pt>
                <c:pt idx="25">
                  <c:v>1413.75</c:v>
                </c:pt>
                <c:pt idx="26">
                  <c:v>1996.5</c:v>
                </c:pt>
                <c:pt idx="27">
                  <c:v>1738</c:v>
                </c:pt>
                <c:pt idx="28">
                  <c:v>1619.25</c:v>
                </c:pt>
                <c:pt idx="29">
                  <c:v>1782.5</c:v>
                </c:pt>
                <c:pt idx="30">
                  <c:v>1822.5</c:v>
                </c:pt>
                <c:pt idx="31">
                  <c:v>2276</c:v>
                </c:pt>
                <c:pt idx="32">
                  <c:v>2240.25</c:v>
                </c:pt>
                <c:pt idx="33">
                  <c:v>2029.5</c:v>
                </c:pt>
                <c:pt idx="34">
                  <c:v>1940.25</c:v>
                </c:pt>
                <c:pt idx="35">
                  <c:v>2163.5</c:v>
                </c:pt>
                <c:pt idx="36">
                  <c:v>1934</c:v>
                </c:pt>
                <c:pt idx="37">
                  <c:v>2305.75</c:v>
                </c:pt>
                <c:pt idx="38">
                  <c:v>1762.5</c:v>
                </c:pt>
                <c:pt idx="39">
                  <c:v>2142</c:v>
                </c:pt>
                <c:pt idx="40">
                  <c:v>1932.5</c:v>
                </c:pt>
                <c:pt idx="41">
                  <c:v>1752.25</c:v>
                </c:pt>
                <c:pt idx="42">
                  <c:v>2045.25</c:v>
                </c:pt>
                <c:pt idx="43">
                  <c:v>2155</c:v>
                </c:pt>
                <c:pt idx="44">
                  <c:v>2253</c:v>
                </c:pt>
                <c:pt idx="45">
                  <c:v>2172.5</c:v>
                </c:pt>
                <c:pt idx="46">
                  <c:v>2129.75</c:v>
                </c:pt>
                <c:pt idx="47">
                  <c:v>1672.5</c:v>
                </c:pt>
                <c:pt idx="48">
                  <c:v>1606.75</c:v>
                </c:pt>
                <c:pt idx="49">
                  <c:v>1637.25</c:v>
                </c:pt>
                <c:pt idx="50">
                  <c:v>1306.25</c:v>
                </c:pt>
                <c:pt idx="51">
                  <c:v>1603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Data'!$E$842:$E$893</c:f>
              <c:numCache>
                <c:formatCode>#,##0</c:formatCode>
                <c:ptCount val="52"/>
                <c:pt idx="0">
                  <c:v>1429</c:v>
                </c:pt>
                <c:pt idx="1">
                  <c:v>1088</c:v>
                </c:pt>
                <c:pt idx="2">
                  <c:v>1138</c:v>
                </c:pt>
                <c:pt idx="3">
                  <c:v>1807</c:v>
                </c:pt>
                <c:pt idx="4">
                  <c:v>2122</c:v>
                </c:pt>
                <c:pt idx="5">
                  <c:v>2143</c:v>
                </c:pt>
                <c:pt idx="6">
                  <c:v>1656</c:v>
                </c:pt>
                <c:pt idx="7">
                  <c:v>1419</c:v>
                </c:pt>
                <c:pt idx="8">
                  <c:v>1090</c:v>
                </c:pt>
                <c:pt idx="9">
                  <c:v>2221</c:v>
                </c:pt>
                <c:pt idx="10">
                  <c:v>1580</c:v>
                </c:pt>
                <c:pt idx="11">
                  <c:v>1169</c:v>
                </c:pt>
                <c:pt idx="12">
                  <c:v>1822</c:v>
                </c:pt>
                <c:pt idx="13">
                  <c:v>1616</c:v>
                </c:pt>
                <c:pt idx="14">
                  <c:v>928</c:v>
                </c:pt>
                <c:pt idx="15">
                  <c:v>1148</c:v>
                </c:pt>
                <c:pt idx="16">
                  <c:v>1033</c:v>
                </c:pt>
                <c:pt idx="17">
                  <c:v>1190</c:v>
                </c:pt>
                <c:pt idx="18">
                  <c:v>962</c:v>
                </c:pt>
                <c:pt idx="19">
                  <c:v>1055</c:v>
                </c:pt>
                <c:pt idx="20">
                  <c:v>784</c:v>
                </c:pt>
                <c:pt idx="21">
                  <c:v>715</c:v>
                </c:pt>
                <c:pt idx="22">
                  <c:v>1031</c:v>
                </c:pt>
                <c:pt idx="23" formatCode="#,##0;[Red]#,##0">
                  <c:v>856</c:v>
                </c:pt>
                <c:pt idx="24">
                  <c:v>1061</c:v>
                </c:pt>
                <c:pt idx="25">
                  <c:v>1018</c:v>
                </c:pt>
                <c:pt idx="26">
                  <c:v>1445</c:v>
                </c:pt>
                <c:pt idx="27">
                  <c:v>1401</c:v>
                </c:pt>
                <c:pt idx="28">
                  <c:v>1049</c:v>
                </c:pt>
                <c:pt idx="29">
                  <c:v>1761</c:v>
                </c:pt>
                <c:pt idx="30">
                  <c:v>1299</c:v>
                </c:pt>
                <c:pt idx="31">
                  <c:v>1428</c:v>
                </c:pt>
                <c:pt idx="32">
                  <c:v>1610</c:v>
                </c:pt>
                <c:pt idx="33">
                  <c:v>1540</c:v>
                </c:pt>
                <c:pt idx="34">
                  <c:v>1925</c:v>
                </c:pt>
                <c:pt idx="35">
                  <c:v>2500</c:v>
                </c:pt>
                <c:pt idx="36">
                  <c:v>2773</c:v>
                </c:pt>
                <c:pt idx="37">
                  <c:v>1768</c:v>
                </c:pt>
                <c:pt idx="38">
                  <c:v>1929</c:v>
                </c:pt>
                <c:pt idx="39">
                  <c:v>1793</c:v>
                </c:pt>
                <c:pt idx="40">
                  <c:v>2413</c:v>
                </c:pt>
                <c:pt idx="41">
                  <c:v>2261</c:v>
                </c:pt>
                <c:pt idx="42">
                  <c:v>1949</c:v>
                </c:pt>
                <c:pt idx="43">
                  <c:v>1902</c:v>
                </c:pt>
                <c:pt idx="44">
                  <c:v>2528</c:v>
                </c:pt>
                <c:pt idx="45">
                  <c:v>2604</c:v>
                </c:pt>
                <c:pt idx="46">
                  <c:v>2421</c:v>
                </c:pt>
                <c:pt idx="47">
                  <c:v>1808</c:v>
                </c:pt>
                <c:pt idx="48">
                  <c:v>1637</c:v>
                </c:pt>
                <c:pt idx="49">
                  <c:v>1911</c:v>
                </c:pt>
                <c:pt idx="50">
                  <c:v>2130</c:v>
                </c:pt>
                <c:pt idx="51">
                  <c:v>1626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Data'!$E$894:$E$943</c:f>
              <c:numCache>
                <c:formatCode>#,##0</c:formatCode>
                <c:ptCount val="50"/>
                <c:pt idx="0">
                  <c:v>1678</c:v>
                </c:pt>
                <c:pt idx="1">
                  <c:v>2191</c:v>
                </c:pt>
                <c:pt idx="2">
                  <c:v>2604</c:v>
                </c:pt>
                <c:pt idx="3">
                  <c:v>1847</c:v>
                </c:pt>
                <c:pt idx="4">
                  <c:v>2303</c:v>
                </c:pt>
                <c:pt idx="5">
                  <c:v>1986</c:v>
                </c:pt>
                <c:pt idx="6">
                  <c:v>2484</c:v>
                </c:pt>
                <c:pt idx="7">
                  <c:v>2054</c:v>
                </c:pt>
                <c:pt idx="8">
                  <c:v>2086</c:v>
                </c:pt>
                <c:pt idx="9" formatCode="General">
                  <c:v>2866</c:v>
                </c:pt>
                <c:pt idx="10">
                  <c:v>2276</c:v>
                </c:pt>
                <c:pt idx="11">
                  <c:v>2367</c:v>
                </c:pt>
                <c:pt idx="12">
                  <c:v>2407</c:v>
                </c:pt>
                <c:pt idx="13">
                  <c:v>2965</c:v>
                </c:pt>
                <c:pt idx="14">
                  <c:v>2654</c:v>
                </c:pt>
                <c:pt idx="15">
                  <c:v>2213</c:v>
                </c:pt>
                <c:pt idx="16">
                  <c:v>2492</c:v>
                </c:pt>
                <c:pt idx="17">
                  <c:v>2508</c:v>
                </c:pt>
                <c:pt idx="18">
                  <c:v>2099</c:v>
                </c:pt>
                <c:pt idx="19">
                  <c:v>1596</c:v>
                </c:pt>
                <c:pt idx="20" formatCode="#,##0_);\(#,##0\)">
                  <c:v>1854</c:v>
                </c:pt>
                <c:pt idx="21">
                  <c:v>2323</c:v>
                </c:pt>
                <c:pt idx="22">
                  <c:v>1636</c:v>
                </c:pt>
                <c:pt idx="23">
                  <c:v>1198</c:v>
                </c:pt>
                <c:pt idx="24">
                  <c:v>1284</c:v>
                </c:pt>
                <c:pt idx="25">
                  <c:v>958</c:v>
                </c:pt>
                <c:pt idx="26">
                  <c:v>1054</c:v>
                </c:pt>
                <c:pt idx="27">
                  <c:v>1298</c:v>
                </c:pt>
                <c:pt idx="28">
                  <c:v>627</c:v>
                </c:pt>
                <c:pt idx="29">
                  <c:v>653</c:v>
                </c:pt>
                <c:pt idx="30">
                  <c:v>1172</c:v>
                </c:pt>
                <c:pt idx="31">
                  <c:v>771</c:v>
                </c:pt>
                <c:pt idx="32">
                  <c:v>1491</c:v>
                </c:pt>
                <c:pt idx="33">
                  <c:v>897</c:v>
                </c:pt>
                <c:pt idx="34">
                  <c:v>700</c:v>
                </c:pt>
                <c:pt idx="35">
                  <c:v>839</c:v>
                </c:pt>
                <c:pt idx="36">
                  <c:v>1654</c:v>
                </c:pt>
                <c:pt idx="37">
                  <c:v>1421</c:v>
                </c:pt>
                <c:pt idx="38">
                  <c:v>1508</c:v>
                </c:pt>
                <c:pt idx="39">
                  <c:v>978</c:v>
                </c:pt>
                <c:pt idx="40">
                  <c:v>1060</c:v>
                </c:pt>
                <c:pt idx="41">
                  <c:v>567</c:v>
                </c:pt>
                <c:pt idx="42">
                  <c:v>459</c:v>
                </c:pt>
                <c:pt idx="43">
                  <c:v>121</c:v>
                </c:pt>
                <c:pt idx="44">
                  <c:v>302</c:v>
                </c:pt>
                <c:pt idx="45">
                  <c:v>644</c:v>
                </c:pt>
                <c:pt idx="46">
                  <c:v>1091</c:v>
                </c:pt>
                <c:pt idx="47">
                  <c:v>992</c:v>
                </c:pt>
                <c:pt idx="48">
                  <c:v>634</c:v>
                </c:pt>
                <c:pt idx="49">
                  <c:v>790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Data'!$E$946:$E$997</c:f>
              <c:numCache>
                <c:formatCode>#,##0</c:formatCode>
                <c:ptCount val="52"/>
                <c:pt idx="0">
                  <c:v>995</c:v>
                </c:pt>
                <c:pt idx="1">
                  <c:v>616</c:v>
                </c:pt>
                <c:pt idx="2">
                  <c:v>697</c:v>
                </c:pt>
                <c:pt idx="3">
                  <c:v>755</c:v>
                </c:pt>
                <c:pt idx="4">
                  <c:v>800</c:v>
                </c:pt>
                <c:pt idx="5">
                  <c:v>706</c:v>
                </c:pt>
                <c:pt idx="6">
                  <c:v>662</c:v>
                </c:pt>
                <c:pt idx="7">
                  <c:v>251</c:v>
                </c:pt>
                <c:pt idx="8">
                  <c:v>575</c:v>
                </c:pt>
                <c:pt idx="9">
                  <c:v>848</c:v>
                </c:pt>
                <c:pt idx="10">
                  <c:v>687</c:v>
                </c:pt>
                <c:pt idx="11">
                  <c:v>668</c:v>
                </c:pt>
                <c:pt idx="12">
                  <c:v>980</c:v>
                </c:pt>
                <c:pt idx="13">
                  <c:v>580</c:v>
                </c:pt>
                <c:pt idx="14">
                  <c:v>542</c:v>
                </c:pt>
                <c:pt idx="15">
                  <c:v>864</c:v>
                </c:pt>
                <c:pt idx="16">
                  <c:v>535</c:v>
                </c:pt>
                <c:pt idx="17">
                  <c:v>641</c:v>
                </c:pt>
                <c:pt idx="18">
                  <c:v>82</c:v>
                </c:pt>
                <c:pt idx="19">
                  <c:v>409</c:v>
                </c:pt>
                <c:pt idx="20">
                  <c:v>1015</c:v>
                </c:pt>
                <c:pt idx="21">
                  <c:v>1684</c:v>
                </c:pt>
                <c:pt idx="22" formatCode="General">
                  <c:v>1562</c:v>
                </c:pt>
                <c:pt idx="23" formatCode="General">
                  <c:v>921</c:v>
                </c:pt>
                <c:pt idx="24" formatCode="General">
                  <c:v>792</c:v>
                </c:pt>
                <c:pt idx="25" formatCode="General">
                  <c:v>1147</c:v>
                </c:pt>
                <c:pt idx="26" formatCode="#,##0;[Red]#,##0">
                  <c:v>587</c:v>
                </c:pt>
                <c:pt idx="27" formatCode="#,##0;[Red]#,##0">
                  <c:v>661</c:v>
                </c:pt>
                <c:pt idx="28" formatCode="#,##0;[Red]#,##0">
                  <c:v>445</c:v>
                </c:pt>
                <c:pt idx="29" formatCode="#,##0;[Red]#,##0">
                  <c:v>979</c:v>
                </c:pt>
                <c:pt idx="30" formatCode="#,##0;[Red]#,##0">
                  <c:v>367</c:v>
                </c:pt>
                <c:pt idx="31" formatCode="#,##0;[Red]#,##0">
                  <c:v>770</c:v>
                </c:pt>
                <c:pt idx="32" formatCode="#,##0;[Red]#,##0">
                  <c:v>660</c:v>
                </c:pt>
                <c:pt idx="33" formatCode="#,##0;[Red]#,##0">
                  <c:v>578</c:v>
                </c:pt>
                <c:pt idx="34" formatCode="#,##0;[Red]#,##0">
                  <c:v>1072</c:v>
                </c:pt>
                <c:pt idx="35" formatCode="#,##0;[Red]#,##0">
                  <c:v>796</c:v>
                </c:pt>
                <c:pt idx="36" formatCode="#,##0;[Red]#,##0">
                  <c:v>1330</c:v>
                </c:pt>
                <c:pt idx="37" formatCode="#,##0;[Red]#,##0">
                  <c:v>1328</c:v>
                </c:pt>
                <c:pt idx="38" formatCode="#,##0;[Red]#,##0">
                  <c:v>1521</c:v>
                </c:pt>
                <c:pt idx="39" formatCode="#,##0;[Red]#,##0">
                  <c:v>958</c:v>
                </c:pt>
                <c:pt idx="40" formatCode="#,##0;[Red]#,##0">
                  <c:v>740</c:v>
                </c:pt>
                <c:pt idx="41" formatCode="#,##0;[Red]#,##0">
                  <c:v>737</c:v>
                </c:pt>
                <c:pt idx="42" formatCode="#,##0_);\(#,##0\)">
                  <c:v>638</c:v>
                </c:pt>
                <c:pt idx="43" formatCode="#,##0_);\(#,##0\)">
                  <c:v>920</c:v>
                </c:pt>
                <c:pt idx="44" formatCode="#,##0_);\(#,##0\)">
                  <c:v>761</c:v>
                </c:pt>
                <c:pt idx="45" formatCode="0_);\(0\)">
                  <c:v>572</c:v>
                </c:pt>
                <c:pt idx="46" formatCode="0_);\(0\)">
                  <c:v>569</c:v>
                </c:pt>
                <c:pt idx="47" formatCode="0_);\(0\)">
                  <c:v>842</c:v>
                </c:pt>
                <c:pt idx="48" formatCode="0_);\(0\)">
                  <c:v>928</c:v>
                </c:pt>
                <c:pt idx="49" formatCode="0_);\(0\)">
                  <c:v>620</c:v>
                </c:pt>
                <c:pt idx="50" formatCode="0_);\(0\)">
                  <c:v>877</c:v>
                </c:pt>
                <c:pt idx="51" formatCode="0_);\(0\)">
                  <c:v>510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749696"/>
        <c:axId val="164751616"/>
      </c:lineChart>
      <c:dateAx>
        <c:axId val="164749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8327273983096610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475161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64751616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474969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630058237669786"/>
          <c:y val="0.90149725602481501"/>
          <c:w val="0.72697866680806311"/>
          <c:h val="8.274246819626018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5810902549866607"/>
          <c:y val="3.62305902238410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82018817415264"/>
          <c:y val="0.1170918253862335"/>
          <c:w val="0.77520473521056865"/>
          <c:h val="0.59120893786581752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Averages'!$L$842:$L$893</c:f>
              <c:numCache>
                <c:formatCode>#,##0_);\(#,##0\)</c:formatCode>
                <c:ptCount val="52"/>
                <c:pt idx="0">
                  <c:v>634.25</c:v>
                </c:pt>
                <c:pt idx="1">
                  <c:v>602.5</c:v>
                </c:pt>
                <c:pt idx="2">
                  <c:v>749.5</c:v>
                </c:pt>
                <c:pt idx="3">
                  <c:v>634.25</c:v>
                </c:pt>
                <c:pt idx="4">
                  <c:v>484.75</c:v>
                </c:pt>
                <c:pt idx="5">
                  <c:v>878.75</c:v>
                </c:pt>
                <c:pt idx="6">
                  <c:v>503.5</c:v>
                </c:pt>
                <c:pt idx="7">
                  <c:v>1030.5</c:v>
                </c:pt>
                <c:pt idx="8">
                  <c:v>902</c:v>
                </c:pt>
                <c:pt idx="9">
                  <c:v>941.75</c:v>
                </c:pt>
                <c:pt idx="10">
                  <c:v>701.75</c:v>
                </c:pt>
                <c:pt idx="11">
                  <c:v>876</c:v>
                </c:pt>
                <c:pt idx="12">
                  <c:v>946.5</c:v>
                </c:pt>
                <c:pt idx="13">
                  <c:v>894.75</c:v>
                </c:pt>
                <c:pt idx="14">
                  <c:v>760.25</c:v>
                </c:pt>
                <c:pt idx="15">
                  <c:v>973</c:v>
                </c:pt>
                <c:pt idx="16">
                  <c:v>1116.5</c:v>
                </c:pt>
                <c:pt idx="17">
                  <c:v>714.75</c:v>
                </c:pt>
                <c:pt idx="18">
                  <c:v>1025.5</c:v>
                </c:pt>
                <c:pt idx="19">
                  <c:v>908.25</c:v>
                </c:pt>
                <c:pt idx="20">
                  <c:v>933.5</c:v>
                </c:pt>
                <c:pt idx="21">
                  <c:v>914.25</c:v>
                </c:pt>
                <c:pt idx="22">
                  <c:v>455</c:v>
                </c:pt>
                <c:pt idx="23">
                  <c:v>716.5</c:v>
                </c:pt>
                <c:pt idx="24">
                  <c:v>593.5</c:v>
                </c:pt>
                <c:pt idx="25">
                  <c:v>642.75</c:v>
                </c:pt>
                <c:pt idx="26">
                  <c:v>869.5</c:v>
                </c:pt>
                <c:pt idx="27">
                  <c:v>467</c:v>
                </c:pt>
                <c:pt idx="28">
                  <c:v>700</c:v>
                </c:pt>
                <c:pt idx="29">
                  <c:v>421</c:v>
                </c:pt>
                <c:pt idx="30">
                  <c:v>705.5</c:v>
                </c:pt>
                <c:pt idx="31">
                  <c:v>630.75</c:v>
                </c:pt>
                <c:pt idx="32">
                  <c:v>785.5</c:v>
                </c:pt>
                <c:pt idx="33">
                  <c:v>664.75</c:v>
                </c:pt>
                <c:pt idx="34">
                  <c:v>682</c:v>
                </c:pt>
                <c:pt idx="35">
                  <c:v>626.25</c:v>
                </c:pt>
                <c:pt idx="36">
                  <c:v>765.25</c:v>
                </c:pt>
                <c:pt idx="37">
                  <c:v>1007</c:v>
                </c:pt>
                <c:pt idx="38">
                  <c:v>893</c:v>
                </c:pt>
                <c:pt idx="39">
                  <c:v>731</c:v>
                </c:pt>
                <c:pt idx="40">
                  <c:v>1053</c:v>
                </c:pt>
                <c:pt idx="41">
                  <c:v>645.75</c:v>
                </c:pt>
                <c:pt idx="42">
                  <c:v>979.5</c:v>
                </c:pt>
                <c:pt idx="43">
                  <c:v>1199</c:v>
                </c:pt>
                <c:pt idx="44">
                  <c:v>839.25</c:v>
                </c:pt>
                <c:pt idx="45">
                  <c:v>727.25</c:v>
                </c:pt>
                <c:pt idx="46">
                  <c:v>732.25</c:v>
                </c:pt>
                <c:pt idx="47">
                  <c:v>796</c:v>
                </c:pt>
                <c:pt idx="48">
                  <c:v>938.75</c:v>
                </c:pt>
                <c:pt idx="49">
                  <c:v>518.5</c:v>
                </c:pt>
                <c:pt idx="50">
                  <c:v>779.5</c:v>
                </c:pt>
                <c:pt idx="51">
                  <c:v>357.5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Data'!$J$842:$J$893</c:f>
              <c:numCache>
                <c:formatCode>#,##0</c:formatCode>
                <c:ptCount val="52"/>
                <c:pt idx="0">
                  <c:v>1346.4380603787686</c:v>
                </c:pt>
                <c:pt idx="1">
                  <c:v>2038.9540536641664</c:v>
                </c:pt>
                <c:pt idx="2">
                  <c:v>1205.6808568955569</c:v>
                </c:pt>
                <c:pt idx="3">
                  <c:v>2065.4914166185808</c:v>
                </c:pt>
                <c:pt idx="4">
                  <c:v>1293.2541546451243</c:v>
                </c:pt>
                <c:pt idx="5">
                  <c:v>1653.2777120600115</c:v>
                </c:pt>
                <c:pt idx="6">
                  <c:v>1939.8812319676863</c:v>
                </c:pt>
                <c:pt idx="7">
                  <c:v>1249.9097951529141</c:v>
                </c:pt>
                <c:pt idx="8">
                  <c:v>1892.1139786497404</c:v>
                </c:pt>
                <c:pt idx="9">
                  <c:v>2154.8338718984423</c:v>
                </c:pt>
                <c:pt idx="10">
                  <c:v>2375.9785631852283</c:v>
                </c:pt>
                <c:pt idx="11">
                  <c:v>2100.8745672244663</c:v>
                </c:pt>
                <c:pt idx="12">
                  <c:v>2475.9359636468557</c:v>
                </c:pt>
                <c:pt idx="13">
                  <c:v>2030.1082660126949</c:v>
                </c:pt>
                <c:pt idx="14">
                  <c:v>1954.0344922100405</c:v>
                </c:pt>
                <c:pt idx="15">
                  <c:v>2096.4516733987307</c:v>
                </c:pt>
                <c:pt idx="16">
                  <c:v>2782.0002163877671</c:v>
                </c:pt>
                <c:pt idx="17">
                  <c:v>2059.2993652625505</c:v>
                </c:pt>
                <c:pt idx="18">
                  <c:v>2029.2236872475478</c:v>
                </c:pt>
                <c:pt idx="19">
                  <c:v>2061.0685227928452</c:v>
                </c:pt>
                <c:pt idx="20">
                  <c:v>2295.481895556838</c:v>
                </c:pt>
                <c:pt idx="21">
                  <c:v>2083.1829919215238</c:v>
                </c:pt>
                <c:pt idx="22">
                  <c:v>2410.4771350259666</c:v>
                </c:pt>
                <c:pt idx="23" formatCode="#,##0;[Red]#,##0">
                  <c:v>2163.6796595499136</c:v>
                </c:pt>
                <c:pt idx="24" formatCode="#,##0;[Red]#,##0">
                  <c:v>1720.5056982111946</c:v>
                </c:pt>
                <c:pt idx="25" formatCode="#,##0;[Red]#,##0">
                  <c:v>2306.9814195037507</c:v>
                </c:pt>
                <c:pt idx="26" formatCode="#,##0;[Red]#,##0">
                  <c:v>1330.4064627813041</c:v>
                </c:pt>
                <c:pt idx="27" formatCode="#,##0;[Red]#,##0">
                  <c:v>1233.1027986151182</c:v>
                </c:pt>
                <c:pt idx="28" formatCode="#,##0;[Red]#,##0">
                  <c:v>1350.7517743796886</c:v>
                </c:pt>
                <c:pt idx="29" formatCode="#,##0;[Red]#,##0">
                  <c:v>1638.2398730525103</c:v>
                </c:pt>
                <c:pt idx="30" formatCode="#,##0;[Red]#,##0">
                  <c:v>2374.209405654934</c:v>
                </c:pt>
                <c:pt idx="31" formatCode="#,##0;[Red]#,##0">
                  <c:v>1095.1085112521639</c:v>
                </c:pt>
                <c:pt idx="32" formatCode="#,##0;[Red]#,##0">
                  <c:v>1375.5199798038086</c:v>
                </c:pt>
                <c:pt idx="33" formatCode="#,##0;[Red]#,##0">
                  <c:v>1709.8907530294289</c:v>
                </c:pt>
                <c:pt idx="34" formatCode="#,##0;[Red]#,##0">
                  <c:v>1034.0725764570111</c:v>
                </c:pt>
                <c:pt idx="35" formatCode="#,##0;[Red]#,##0">
                  <c:v>2053.1073139065206</c:v>
                </c:pt>
                <c:pt idx="36">
                  <c:v>948.268436237738</c:v>
                </c:pt>
                <c:pt idx="37" formatCode="#,##0;[Red]#,##0">
                  <c:v>1770.9266878245819</c:v>
                </c:pt>
                <c:pt idx="38" formatCode="#,##0;[Red]#,##0">
                  <c:v>1210.1037507212927</c:v>
                </c:pt>
                <c:pt idx="39">
                  <c:v>1392.3269763416042</c:v>
                </c:pt>
                <c:pt idx="40">
                  <c:v>1644.4319244085402</c:v>
                </c:pt>
                <c:pt idx="41">
                  <c:v>1681.5842325447202</c:v>
                </c:pt>
                <c:pt idx="42">
                  <c:v>1823.1168349682632</c:v>
                </c:pt>
                <c:pt idx="43">
                  <c:v>1943.419547028275</c:v>
                </c:pt>
                <c:pt idx="44">
                  <c:v>1582.5114108482401</c:v>
                </c:pt>
                <c:pt idx="45">
                  <c:v>1360.482140796307</c:v>
                </c:pt>
                <c:pt idx="46">
                  <c:v>1488.746061742643</c:v>
                </c:pt>
                <c:pt idx="47">
                  <c:v>1372.8662435083672</c:v>
                </c:pt>
                <c:pt idx="48">
                  <c:v>1156.1444460473169</c:v>
                </c:pt>
                <c:pt idx="49">
                  <c:v>1780.6570542412003</c:v>
                </c:pt>
                <c:pt idx="50">
                  <c:v>1184.4509665320254</c:v>
                </c:pt>
                <c:pt idx="51">
                  <c:v>1270.2551067512984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Data'!$J$894:$J$945</c:f>
              <c:numCache>
                <c:formatCode>#,##0</c:formatCode>
                <c:ptCount val="52"/>
                <c:pt idx="0">
                  <c:v>931.46143969994239</c:v>
                </c:pt>
                <c:pt idx="1">
                  <c:v>1430.6980186743169</c:v>
                </c:pt>
                <c:pt idx="2">
                  <c:v>1480.3688736313918</c:v>
                </c:pt>
                <c:pt idx="3">
                  <c:v>1564.631931147858</c:v>
                </c:pt>
                <c:pt idx="4">
                  <c:v>1429.8110391215121</c:v>
                </c:pt>
                <c:pt idx="5">
                  <c:v>1143.3166435655266</c:v>
                </c:pt>
                <c:pt idx="6">
                  <c:v>869.23996174881006</c:v>
                </c:pt>
                <c:pt idx="7">
                  <c:v>1730.4971075223759</c:v>
                </c:pt>
                <c:pt idx="8">
                  <c:v>1294.9901470951661</c:v>
                </c:pt>
                <c:pt idx="9">
                  <c:v>1124.6900729566237</c:v>
                </c:pt>
                <c:pt idx="10">
                  <c:v>2244.0582685964177</c:v>
                </c:pt>
                <c:pt idx="11">
                  <c:v>1528.265769482857</c:v>
                </c:pt>
                <c:pt idx="12">
                  <c:v>2275.9895324973945</c:v>
                </c:pt>
                <c:pt idx="13">
                  <c:v>1790.8117171131096</c:v>
                </c:pt>
                <c:pt idx="14">
                  <c:v>3952.380887298671</c:v>
                </c:pt>
                <c:pt idx="15">
                  <c:v>2763.8282865400943</c:v>
                </c:pt>
                <c:pt idx="16">
                  <c:v>2627.2334354081381</c:v>
                </c:pt>
                <c:pt idx="17">
                  <c:v>2400.1666698900817</c:v>
                </c:pt>
                <c:pt idx="18">
                  <c:v>2620.1375989856992</c:v>
                </c:pt>
                <c:pt idx="19">
                  <c:v>1298.5380653063855</c:v>
                </c:pt>
                <c:pt idx="20">
                  <c:v>2380.6531197283739</c:v>
                </c:pt>
                <c:pt idx="21">
                  <c:v>2103.0285197004373</c:v>
                </c:pt>
                <c:pt idx="22">
                  <c:v>1577.0496448871268</c:v>
                </c:pt>
                <c:pt idx="23">
                  <c:v>2460.4812794808158</c:v>
                </c:pt>
                <c:pt idx="24">
                  <c:v>1577.9366244399316</c:v>
                </c:pt>
                <c:pt idx="25">
                  <c:v>2746.9756750368006</c:v>
                </c:pt>
                <c:pt idx="26">
                  <c:v>2379.7661401755686</c:v>
                </c:pt>
                <c:pt idx="27">
                  <c:v>1954.0159548292129</c:v>
                </c:pt>
                <c:pt idx="28">
                  <c:v>2024.0873395008007</c:v>
                </c:pt>
                <c:pt idx="29">
                  <c:v>1504.3173215571244</c:v>
                </c:pt>
                <c:pt idx="30">
                  <c:v>1946.9201184067736</c:v>
                </c:pt>
                <c:pt idx="31">
                  <c:v>1728.723148416766</c:v>
                </c:pt>
                <c:pt idx="32">
                  <c:v>1342.0000633938262</c:v>
                </c:pt>
                <c:pt idx="33">
                  <c:v>1663.9736410620078</c:v>
                </c:pt>
                <c:pt idx="34">
                  <c:v>1771.2981669514018</c:v>
                </c:pt>
                <c:pt idx="35">
                  <c:v>1302.0859835176052</c:v>
                </c:pt>
                <c:pt idx="36">
                  <c:v>1754.4455554481085</c:v>
                </c:pt>
                <c:pt idx="37">
                  <c:v>2130.5248858373898</c:v>
                </c:pt>
                <c:pt idx="38">
                  <c:v>1231.1276192932125</c:v>
                </c:pt>
                <c:pt idx="39">
                  <c:v>1653.3298864283488</c:v>
                </c:pt>
                <c:pt idx="40">
                  <c:v>2056.0186034017775</c:v>
                </c:pt>
                <c:pt idx="41">
                  <c:v>1076.7931771051585</c:v>
                </c:pt>
                <c:pt idx="42">
                  <c:v>2381.5400992811788</c:v>
                </c:pt>
                <c:pt idx="43">
                  <c:v>1962.8857503572619</c:v>
                </c:pt>
                <c:pt idx="44">
                  <c:v>2228.9796161987342</c:v>
                </c:pt>
                <c:pt idx="45">
                  <c:v>1907.0060385305528</c:v>
                </c:pt>
                <c:pt idx="46">
                  <c:v>1834.2737152005502</c:v>
                </c:pt>
                <c:pt idx="47">
                  <c:v>1569.9538084646877</c:v>
                </c:pt>
                <c:pt idx="48">
                  <c:v>1812.0992263804276</c:v>
                </c:pt>
                <c:pt idx="49">
                  <c:v>1247.980230796506</c:v>
                </c:pt>
                <c:pt idx="50">
                  <c:v>1532.7006672468815</c:v>
                </c:pt>
                <c:pt idx="51">
                  <c:v>3069.8362322577873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Data'!$J$946:$J$997</c:f>
              <c:numCache>
                <c:formatCode>#,##0</c:formatCode>
                <c:ptCount val="52"/>
                <c:pt idx="0">
                  <c:v>1635.5902953722507</c:v>
                </c:pt>
                <c:pt idx="1">
                  <c:v>2585.6999999999998</c:v>
                </c:pt>
                <c:pt idx="2">
                  <c:v>2079.9499999999998</c:v>
                </c:pt>
                <c:pt idx="3">
                  <c:v>1711.8999999999999</c:v>
                </c:pt>
                <c:pt idx="4">
                  <c:v>1967.75</c:v>
                </c:pt>
                <c:pt idx="5">
                  <c:v>1332.8</c:v>
                </c:pt>
                <c:pt idx="6">
                  <c:v>2272.9</c:v>
                </c:pt>
                <c:pt idx="7">
                  <c:v>1933.75</c:v>
                </c:pt>
                <c:pt idx="8">
                  <c:v>1984.75</c:v>
                </c:pt>
                <c:pt idx="9">
                  <c:v>2217.65</c:v>
                </c:pt>
                <c:pt idx="10">
                  <c:v>2775.25</c:v>
                </c:pt>
                <c:pt idx="11">
                  <c:v>2050.1999999999998</c:v>
                </c:pt>
                <c:pt idx="12">
                  <c:v>2154.75</c:v>
                </c:pt>
                <c:pt idx="13">
                  <c:v>2855.15</c:v>
                </c:pt>
                <c:pt idx="14">
                  <c:v>2762.5</c:v>
                </c:pt>
                <c:pt idx="15">
                  <c:v>2330.6999999999998</c:v>
                </c:pt>
                <c:pt idx="16">
                  <c:v>2417.4</c:v>
                </c:pt>
                <c:pt idx="17">
                  <c:v>2244.85</c:v>
                </c:pt>
                <c:pt idx="18">
                  <c:v>2546.6</c:v>
                </c:pt>
                <c:pt idx="19">
                  <c:v>2471.7999999999997</c:v>
                </c:pt>
                <c:pt idx="20">
                  <c:v>2001.75</c:v>
                </c:pt>
                <c:pt idx="21">
                  <c:v>2037.45</c:v>
                </c:pt>
                <c:pt idx="22">
                  <c:v>2132.65</c:v>
                </c:pt>
                <c:pt idx="23">
                  <c:v>1608.2</c:v>
                </c:pt>
                <c:pt idx="24">
                  <c:v>1576.75</c:v>
                </c:pt>
                <c:pt idx="25">
                  <c:v>1408.45</c:v>
                </c:pt>
                <c:pt idx="26">
                  <c:v>1292.8499999999999</c:v>
                </c:pt>
                <c:pt idx="27">
                  <c:v>1296.25</c:v>
                </c:pt>
                <c:pt idx="28">
                  <c:v>1642.2</c:v>
                </c:pt>
                <c:pt idx="29">
                  <c:v>1316.6499999999999</c:v>
                </c:pt>
                <c:pt idx="30">
                  <c:v>911.19999999999993</c:v>
                </c:pt>
                <c:pt idx="31">
                  <c:v>1687.25</c:v>
                </c:pt>
                <c:pt idx="32">
                  <c:v>2023.85</c:v>
                </c:pt>
                <c:pt idx="33">
                  <c:v>1572.5</c:v>
                </c:pt>
                <c:pt idx="34">
                  <c:v>1025.95</c:v>
                </c:pt>
                <c:pt idx="35">
                  <c:v>1367.6499999999999</c:v>
                </c:pt>
                <c:pt idx="36">
                  <c:v>1201.8999999999999</c:v>
                </c:pt>
                <c:pt idx="37">
                  <c:v>1301.3499999999999</c:v>
                </c:pt>
                <c:pt idx="38">
                  <c:v>1612.45</c:v>
                </c:pt>
                <c:pt idx="39">
                  <c:v>1341.3</c:v>
                </c:pt>
                <c:pt idx="40">
                  <c:v>2303.5</c:v>
                </c:pt>
                <c:pt idx="41">
                  <c:v>1376.1499999999999</c:v>
                </c:pt>
                <c:pt idx="42">
                  <c:v>1558.05</c:v>
                </c:pt>
                <c:pt idx="43">
                  <c:v>1761.2</c:v>
                </c:pt>
                <c:pt idx="44">
                  <c:v>1420</c:v>
                </c:pt>
                <c:pt idx="45">
                  <c:v>1669</c:v>
                </c:pt>
                <c:pt idx="46">
                  <c:v>1504</c:v>
                </c:pt>
                <c:pt idx="47">
                  <c:v>1147</c:v>
                </c:pt>
                <c:pt idx="48">
                  <c:v>1122</c:v>
                </c:pt>
                <c:pt idx="49">
                  <c:v>1306</c:v>
                </c:pt>
                <c:pt idx="50">
                  <c:v>964</c:v>
                </c:pt>
                <c:pt idx="51">
                  <c:v>1187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07072"/>
        <c:axId val="165835520"/>
      </c:lineChart>
      <c:dateAx>
        <c:axId val="10190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62667393099755"/>
              <c:y val="0.851156700650513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83552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65835520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90707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4619141511759137"/>
          <c:y val="0.91490587486088037"/>
          <c:w val="0.79548098085762342"/>
          <c:h val="6.267311824117227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U.S. Ports</a:t>
            </a:r>
          </a:p>
        </c:rich>
      </c:tx>
      <c:layout>
        <c:manualLayout>
          <c:xMode val="edge"/>
          <c:yMode val="edge"/>
          <c:x val="0.25303649647787368"/>
          <c:y val="3.584403923193811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89473684210847"/>
          <c:y val="7.5701087624012342E-2"/>
          <c:w val="0.80566801619433315"/>
          <c:h val="0.5703844211847869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3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Data'!$I$842:$I$893</c:f>
              <c:numCache>
                <c:formatCode>#,##0</c:formatCode>
                <c:ptCount val="52"/>
                <c:pt idx="0">
                  <c:v>5690</c:v>
                </c:pt>
                <c:pt idx="1">
                  <c:v>5745</c:v>
                </c:pt>
                <c:pt idx="2">
                  <c:v>6595</c:v>
                </c:pt>
                <c:pt idx="3">
                  <c:v>7611</c:v>
                </c:pt>
                <c:pt idx="4">
                  <c:v>6584</c:v>
                </c:pt>
                <c:pt idx="5">
                  <c:v>7469</c:v>
                </c:pt>
                <c:pt idx="6">
                  <c:v>6389</c:v>
                </c:pt>
                <c:pt idx="7">
                  <c:v>6348</c:v>
                </c:pt>
                <c:pt idx="8">
                  <c:v>6651</c:v>
                </c:pt>
                <c:pt idx="9">
                  <c:v>7831</c:v>
                </c:pt>
                <c:pt idx="10">
                  <c:v>5793</c:v>
                </c:pt>
                <c:pt idx="11">
                  <c:v>7014</c:v>
                </c:pt>
                <c:pt idx="12">
                  <c:v>5217</c:v>
                </c:pt>
                <c:pt idx="13">
                  <c:v>6166</c:v>
                </c:pt>
                <c:pt idx="14">
                  <c:v>4857</c:v>
                </c:pt>
                <c:pt idx="15">
                  <c:v>5131</c:v>
                </c:pt>
                <c:pt idx="16">
                  <c:v>4409</c:v>
                </c:pt>
                <c:pt idx="17">
                  <c:v>5285</c:v>
                </c:pt>
                <c:pt idx="18">
                  <c:v>4207</c:v>
                </c:pt>
                <c:pt idx="19">
                  <c:v>4901</c:v>
                </c:pt>
                <c:pt idx="20">
                  <c:v>4337</c:v>
                </c:pt>
                <c:pt idx="21">
                  <c:v>4329</c:v>
                </c:pt>
                <c:pt idx="22">
                  <c:v>4314</c:v>
                </c:pt>
                <c:pt idx="23">
                  <c:v>3917</c:v>
                </c:pt>
                <c:pt idx="24">
                  <c:v>3872</c:v>
                </c:pt>
                <c:pt idx="25">
                  <c:v>4448</c:v>
                </c:pt>
                <c:pt idx="26">
                  <c:v>4084</c:v>
                </c:pt>
                <c:pt idx="27">
                  <c:v>5575</c:v>
                </c:pt>
                <c:pt idx="28">
                  <c:v>5788</c:v>
                </c:pt>
                <c:pt idx="29">
                  <c:v>6304</c:v>
                </c:pt>
                <c:pt idx="30">
                  <c:v>4744</c:v>
                </c:pt>
                <c:pt idx="31">
                  <c:v>5342</c:v>
                </c:pt>
                <c:pt idx="32">
                  <c:v>5071</c:v>
                </c:pt>
                <c:pt idx="33">
                  <c:v>5881</c:v>
                </c:pt>
                <c:pt idx="34">
                  <c:v>5098</c:v>
                </c:pt>
                <c:pt idx="35">
                  <c:v>6334</c:v>
                </c:pt>
                <c:pt idx="36">
                  <c:v>5136</c:v>
                </c:pt>
                <c:pt idx="37">
                  <c:v>4620</c:v>
                </c:pt>
                <c:pt idx="38">
                  <c:v>5683</c:v>
                </c:pt>
                <c:pt idx="39">
                  <c:v>6733</c:v>
                </c:pt>
                <c:pt idx="40">
                  <c:v>10520</c:v>
                </c:pt>
                <c:pt idx="41">
                  <c:v>10143</c:v>
                </c:pt>
                <c:pt idx="42">
                  <c:v>9191</c:v>
                </c:pt>
                <c:pt idx="43">
                  <c:v>9733</c:v>
                </c:pt>
                <c:pt idx="44">
                  <c:v>9825</c:v>
                </c:pt>
                <c:pt idx="45">
                  <c:v>10496</c:v>
                </c:pt>
                <c:pt idx="46">
                  <c:v>8133</c:v>
                </c:pt>
                <c:pt idx="47">
                  <c:v>7660</c:v>
                </c:pt>
                <c:pt idx="48">
                  <c:v>9036</c:v>
                </c:pt>
                <c:pt idx="49">
                  <c:v>7476</c:v>
                </c:pt>
                <c:pt idx="50">
                  <c:v>8090</c:v>
                </c:pt>
                <c:pt idx="51">
                  <c:v>6333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Data'!$I$894:$I$943</c:f>
              <c:numCache>
                <c:formatCode>#,##0</c:formatCode>
                <c:ptCount val="50"/>
                <c:pt idx="0">
                  <c:v>6960</c:v>
                </c:pt>
                <c:pt idx="1">
                  <c:v>7460</c:v>
                </c:pt>
                <c:pt idx="2">
                  <c:v>8753</c:v>
                </c:pt>
                <c:pt idx="3">
                  <c:v>8555</c:v>
                </c:pt>
                <c:pt idx="4">
                  <c:v>8426</c:v>
                </c:pt>
                <c:pt idx="5">
                  <c:v>7137</c:v>
                </c:pt>
                <c:pt idx="6">
                  <c:v>8298</c:v>
                </c:pt>
                <c:pt idx="7">
                  <c:v>8076</c:v>
                </c:pt>
                <c:pt idx="8">
                  <c:v>7109</c:v>
                </c:pt>
                <c:pt idx="9">
                  <c:v>8341</c:v>
                </c:pt>
                <c:pt idx="10">
                  <c:v>7862</c:v>
                </c:pt>
                <c:pt idx="11">
                  <c:v>9641</c:v>
                </c:pt>
                <c:pt idx="12">
                  <c:v>9339</c:v>
                </c:pt>
                <c:pt idx="13">
                  <c:v>8537</c:v>
                </c:pt>
                <c:pt idx="14">
                  <c:v>7886</c:v>
                </c:pt>
                <c:pt idx="15">
                  <c:v>7121</c:v>
                </c:pt>
                <c:pt idx="16">
                  <c:v>7536</c:v>
                </c:pt>
                <c:pt idx="17">
                  <c:v>6522</c:v>
                </c:pt>
                <c:pt idx="18">
                  <c:v>7485</c:v>
                </c:pt>
                <c:pt idx="19">
                  <c:v>6340</c:v>
                </c:pt>
                <c:pt idx="20">
                  <c:v>7182</c:v>
                </c:pt>
                <c:pt idx="21">
                  <c:v>6152</c:v>
                </c:pt>
                <c:pt idx="22">
                  <c:v>5775</c:v>
                </c:pt>
                <c:pt idx="23">
                  <c:v>4879</c:v>
                </c:pt>
                <c:pt idx="24">
                  <c:v>5687</c:v>
                </c:pt>
                <c:pt idx="25">
                  <c:v>4595</c:v>
                </c:pt>
                <c:pt idx="26">
                  <c:v>3761</c:v>
                </c:pt>
                <c:pt idx="27">
                  <c:v>5504</c:v>
                </c:pt>
                <c:pt idx="28">
                  <c:v>4460</c:v>
                </c:pt>
                <c:pt idx="29">
                  <c:v>4581</c:v>
                </c:pt>
                <c:pt idx="30">
                  <c:v>5505</c:v>
                </c:pt>
                <c:pt idx="31">
                  <c:v>3384</c:v>
                </c:pt>
                <c:pt idx="32">
                  <c:v>3855</c:v>
                </c:pt>
                <c:pt idx="33">
                  <c:v>4192</c:v>
                </c:pt>
                <c:pt idx="34">
                  <c:v>3757</c:v>
                </c:pt>
                <c:pt idx="35">
                  <c:v>3770</c:v>
                </c:pt>
                <c:pt idx="36">
                  <c:v>3782</c:v>
                </c:pt>
                <c:pt idx="37">
                  <c:v>4051</c:v>
                </c:pt>
                <c:pt idx="38">
                  <c:v>4026</c:v>
                </c:pt>
                <c:pt idx="39">
                  <c:v>3763</c:v>
                </c:pt>
                <c:pt idx="40">
                  <c:v>5549</c:v>
                </c:pt>
                <c:pt idx="41">
                  <c:v>6055</c:v>
                </c:pt>
                <c:pt idx="42">
                  <c:v>6316</c:v>
                </c:pt>
                <c:pt idx="43">
                  <c:v>5229</c:v>
                </c:pt>
                <c:pt idx="44">
                  <c:v>5732</c:v>
                </c:pt>
                <c:pt idx="45">
                  <c:v>5075</c:v>
                </c:pt>
                <c:pt idx="46">
                  <c:v>5696</c:v>
                </c:pt>
                <c:pt idx="47">
                  <c:v>5502</c:v>
                </c:pt>
                <c:pt idx="48">
                  <c:v>5486</c:v>
                </c:pt>
                <c:pt idx="49">
                  <c:v>7757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864576"/>
        <c:axId val="165866496"/>
      </c:lineChart>
      <c:dateAx>
        <c:axId val="165864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761128652595629"/>
              <c:y val="0.7932977621218401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86649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6586649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8645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076914678510443"/>
          <c:y val="0.86617454068241462"/>
          <c:w val="0.68302937798332608"/>
          <c:h val="9.916355850255564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6377338558109253"/>
          <c:y val="4.058070866141732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782608513649"/>
          <c:y val="0.20783490155652548"/>
          <c:w val="0.79588553455109712"/>
          <c:h val="0.48217326492725077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Averages'!$N$842:$N$893</c:f>
              <c:numCache>
                <c:formatCode>#,##0_);\(#,##0\)</c:formatCode>
                <c:ptCount val="52"/>
                <c:pt idx="0">
                  <c:v>827.25</c:v>
                </c:pt>
                <c:pt idx="1">
                  <c:v>591.75</c:v>
                </c:pt>
                <c:pt idx="2">
                  <c:v>719.5</c:v>
                </c:pt>
                <c:pt idx="3">
                  <c:v>894</c:v>
                </c:pt>
                <c:pt idx="4">
                  <c:v>590.75</c:v>
                </c:pt>
                <c:pt idx="5">
                  <c:v>713</c:v>
                </c:pt>
                <c:pt idx="6">
                  <c:v>631.75</c:v>
                </c:pt>
                <c:pt idx="7">
                  <c:v>766.25</c:v>
                </c:pt>
                <c:pt idx="8">
                  <c:v>730.75</c:v>
                </c:pt>
                <c:pt idx="9">
                  <c:v>689</c:v>
                </c:pt>
                <c:pt idx="10">
                  <c:v>664.5</c:v>
                </c:pt>
                <c:pt idx="11">
                  <c:v>684.75</c:v>
                </c:pt>
                <c:pt idx="12">
                  <c:v>614.25</c:v>
                </c:pt>
                <c:pt idx="13">
                  <c:v>477.75</c:v>
                </c:pt>
                <c:pt idx="14">
                  <c:v>451.25</c:v>
                </c:pt>
                <c:pt idx="15">
                  <c:v>395.75</c:v>
                </c:pt>
                <c:pt idx="16">
                  <c:v>438</c:v>
                </c:pt>
                <c:pt idx="17">
                  <c:v>590.25</c:v>
                </c:pt>
                <c:pt idx="18">
                  <c:v>334</c:v>
                </c:pt>
                <c:pt idx="19">
                  <c:v>330</c:v>
                </c:pt>
                <c:pt idx="20">
                  <c:v>320.25</c:v>
                </c:pt>
                <c:pt idx="21">
                  <c:v>237.75</c:v>
                </c:pt>
                <c:pt idx="22">
                  <c:v>310</c:v>
                </c:pt>
                <c:pt idx="23">
                  <c:v>279.25</c:v>
                </c:pt>
                <c:pt idx="24">
                  <c:v>241.75</c:v>
                </c:pt>
                <c:pt idx="25">
                  <c:v>353</c:v>
                </c:pt>
                <c:pt idx="26">
                  <c:v>353.5</c:v>
                </c:pt>
                <c:pt idx="27">
                  <c:v>463.75</c:v>
                </c:pt>
                <c:pt idx="28">
                  <c:v>359.5</c:v>
                </c:pt>
                <c:pt idx="29">
                  <c:v>197.25</c:v>
                </c:pt>
                <c:pt idx="30">
                  <c:v>352.75</c:v>
                </c:pt>
                <c:pt idx="31">
                  <c:v>326</c:v>
                </c:pt>
                <c:pt idx="32">
                  <c:v>265</c:v>
                </c:pt>
                <c:pt idx="33">
                  <c:v>564.5</c:v>
                </c:pt>
                <c:pt idx="34">
                  <c:v>378.75</c:v>
                </c:pt>
                <c:pt idx="35">
                  <c:v>557.5</c:v>
                </c:pt>
                <c:pt idx="36">
                  <c:v>463.75</c:v>
                </c:pt>
                <c:pt idx="37">
                  <c:v>585.5</c:v>
                </c:pt>
                <c:pt idx="38">
                  <c:v>624.25</c:v>
                </c:pt>
                <c:pt idx="39">
                  <c:v>684.75</c:v>
                </c:pt>
                <c:pt idx="40">
                  <c:v>895.25</c:v>
                </c:pt>
                <c:pt idx="41">
                  <c:v>993</c:v>
                </c:pt>
                <c:pt idx="42">
                  <c:v>924</c:v>
                </c:pt>
                <c:pt idx="43">
                  <c:v>998</c:v>
                </c:pt>
                <c:pt idx="44">
                  <c:v>974</c:v>
                </c:pt>
                <c:pt idx="45">
                  <c:v>1087.25</c:v>
                </c:pt>
                <c:pt idx="46">
                  <c:v>967</c:v>
                </c:pt>
                <c:pt idx="47">
                  <c:v>937.25</c:v>
                </c:pt>
                <c:pt idx="48">
                  <c:v>969.75</c:v>
                </c:pt>
                <c:pt idx="49">
                  <c:v>674</c:v>
                </c:pt>
                <c:pt idx="50">
                  <c:v>800.25</c:v>
                </c:pt>
                <c:pt idx="51">
                  <c:v>611.75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Data'!$H$842:$H$893</c:f>
              <c:numCache>
                <c:formatCode>#,##0</c:formatCode>
                <c:ptCount val="52"/>
                <c:pt idx="0">
                  <c:v>999</c:v>
                </c:pt>
                <c:pt idx="1">
                  <c:v>1718</c:v>
                </c:pt>
                <c:pt idx="2">
                  <c:v>1139</c:v>
                </c:pt>
                <c:pt idx="3">
                  <c:v>1113</c:v>
                </c:pt>
                <c:pt idx="4">
                  <c:v>1246</c:v>
                </c:pt>
                <c:pt idx="5">
                  <c:v>1062</c:v>
                </c:pt>
                <c:pt idx="6">
                  <c:v>979</c:v>
                </c:pt>
                <c:pt idx="7">
                  <c:v>1034</c:v>
                </c:pt>
                <c:pt idx="8">
                  <c:v>1336</c:v>
                </c:pt>
                <c:pt idx="9">
                  <c:v>930</c:v>
                </c:pt>
                <c:pt idx="10">
                  <c:v>757</c:v>
                </c:pt>
                <c:pt idx="11">
                  <c:v>1104</c:v>
                </c:pt>
                <c:pt idx="12">
                  <c:v>507</c:v>
                </c:pt>
                <c:pt idx="13">
                  <c:v>626</c:v>
                </c:pt>
                <c:pt idx="14">
                  <c:v>444</c:v>
                </c:pt>
                <c:pt idx="15">
                  <c:v>454</c:v>
                </c:pt>
                <c:pt idx="16">
                  <c:v>270</c:v>
                </c:pt>
                <c:pt idx="17">
                  <c:v>291</c:v>
                </c:pt>
                <c:pt idx="18">
                  <c:v>410</c:v>
                </c:pt>
                <c:pt idx="19">
                  <c:v>127</c:v>
                </c:pt>
                <c:pt idx="20">
                  <c:v>136</c:v>
                </c:pt>
                <c:pt idx="21">
                  <c:v>252</c:v>
                </c:pt>
                <c:pt idx="22">
                  <c:v>136</c:v>
                </c:pt>
                <c:pt idx="23" formatCode="#,##0;[Red]#,##0">
                  <c:v>103</c:v>
                </c:pt>
                <c:pt idx="24" formatCode="#,##0;[Red]#,##0">
                  <c:v>39</c:v>
                </c:pt>
                <c:pt idx="25">
                  <c:v>185</c:v>
                </c:pt>
                <c:pt idx="26">
                  <c:v>93</c:v>
                </c:pt>
                <c:pt idx="27">
                  <c:v>194</c:v>
                </c:pt>
                <c:pt idx="28">
                  <c:v>193</c:v>
                </c:pt>
                <c:pt idx="29">
                  <c:v>60</c:v>
                </c:pt>
                <c:pt idx="30">
                  <c:v>99</c:v>
                </c:pt>
                <c:pt idx="31">
                  <c:v>65</c:v>
                </c:pt>
                <c:pt idx="32">
                  <c:v>177</c:v>
                </c:pt>
                <c:pt idx="33">
                  <c:v>170</c:v>
                </c:pt>
                <c:pt idx="34">
                  <c:v>137</c:v>
                </c:pt>
                <c:pt idx="35">
                  <c:v>254</c:v>
                </c:pt>
                <c:pt idx="36">
                  <c:v>174</c:v>
                </c:pt>
                <c:pt idx="37">
                  <c:v>409</c:v>
                </c:pt>
                <c:pt idx="38">
                  <c:v>823</c:v>
                </c:pt>
                <c:pt idx="39">
                  <c:v>736</c:v>
                </c:pt>
                <c:pt idx="40">
                  <c:v>926</c:v>
                </c:pt>
                <c:pt idx="41">
                  <c:v>1121</c:v>
                </c:pt>
                <c:pt idx="42">
                  <c:v>1093</c:v>
                </c:pt>
                <c:pt idx="43">
                  <c:v>1133</c:v>
                </c:pt>
                <c:pt idx="44">
                  <c:v>947</c:v>
                </c:pt>
                <c:pt idx="45">
                  <c:v>1427</c:v>
                </c:pt>
                <c:pt idx="46">
                  <c:v>1393</c:v>
                </c:pt>
                <c:pt idx="47">
                  <c:v>873</c:v>
                </c:pt>
                <c:pt idx="48">
                  <c:v>876</c:v>
                </c:pt>
                <c:pt idx="49">
                  <c:v>596</c:v>
                </c:pt>
                <c:pt idx="50">
                  <c:v>978</c:v>
                </c:pt>
                <c:pt idx="51">
                  <c:v>436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Data'!$H$894:$H$943</c:f>
              <c:numCache>
                <c:formatCode>#,##0</c:formatCode>
                <c:ptCount val="50"/>
                <c:pt idx="0">
                  <c:v>761</c:v>
                </c:pt>
                <c:pt idx="1">
                  <c:v>841</c:v>
                </c:pt>
                <c:pt idx="2">
                  <c:v>1007</c:v>
                </c:pt>
                <c:pt idx="3">
                  <c:v>792</c:v>
                </c:pt>
                <c:pt idx="4">
                  <c:v>608</c:v>
                </c:pt>
                <c:pt idx="5">
                  <c:v>795</c:v>
                </c:pt>
                <c:pt idx="6">
                  <c:v>496</c:v>
                </c:pt>
                <c:pt idx="7">
                  <c:v>810</c:v>
                </c:pt>
                <c:pt idx="8">
                  <c:v>822</c:v>
                </c:pt>
                <c:pt idx="9">
                  <c:v>748</c:v>
                </c:pt>
                <c:pt idx="10">
                  <c:v>635</c:v>
                </c:pt>
                <c:pt idx="11">
                  <c:v>837</c:v>
                </c:pt>
                <c:pt idx="12">
                  <c:v>727</c:v>
                </c:pt>
                <c:pt idx="13">
                  <c:v>600</c:v>
                </c:pt>
                <c:pt idx="14">
                  <c:v>539</c:v>
                </c:pt>
                <c:pt idx="15">
                  <c:v>564</c:v>
                </c:pt>
                <c:pt idx="16">
                  <c:v>626</c:v>
                </c:pt>
                <c:pt idx="17">
                  <c:v>391</c:v>
                </c:pt>
                <c:pt idx="18">
                  <c:v>629</c:v>
                </c:pt>
                <c:pt idx="19">
                  <c:v>410</c:v>
                </c:pt>
                <c:pt idx="20">
                  <c:v>433</c:v>
                </c:pt>
                <c:pt idx="21">
                  <c:v>169</c:v>
                </c:pt>
                <c:pt idx="22">
                  <c:v>82</c:v>
                </c:pt>
                <c:pt idx="23">
                  <c:v>274</c:v>
                </c:pt>
                <c:pt idx="24">
                  <c:v>401</c:v>
                </c:pt>
                <c:pt idx="25">
                  <c:v>198</c:v>
                </c:pt>
                <c:pt idx="26">
                  <c:v>182</c:v>
                </c:pt>
                <c:pt idx="27">
                  <c:v>283</c:v>
                </c:pt>
                <c:pt idx="28">
                  <c:v>177</c:v>
                </c:pt>
                <c:pt idx="29">
                  <c:v>255</c:v>
                </c:pt>
                <c:pt idx="30">
                  <c:v>195</c:v>
                </c:pt>
                <c:pt idx="31">
                  <c:v>332</c:v>
                </c:pt>
                <c:pt idx="32">
                  <c:v>168</c:v>
                </c:pt>
                <c:pt idx="33">
                  <c:v>95</c:v>
                </c:pt>
                <c:pt idx="34">
                  <c:v>0</c:v>
                </c:pt>
                <c:pt idx="35">
                  <c:v>34</c:v>
                </c:pt>
                <c:pt idx="36">
                  <c:v>32</c:v>
                </c:pt>
                <c:pt idx="37">
                  <c:v>82</c:v>
                </c:pt>
                <c:pt idx="38">
                  <c:v>194</c:v>
                </c:pt>
                <c:pt idx="39">
                  <c:v>170</c:v>
                </c:pt>
                <c:pt idx="40">
                  <c:v>213</c:v>
                </c:pt>
                <c:pt idx="41">
                  <c:v>420</c:v>
                </c:pt>
                <c:pt idx="42">
                  <c:v>719</c:v>
                </c:pt>
                <c:pt idx="43">
                  <c:v>548</c:v>
                </c:pt>
                <c:pt idx="44">
                  <c:v>857</c:v>
                </c:pt>
                <c:pt idx="45">
                  <c:v>732</c:v>
                </c:pt>
                <c:pt idx="46">
                  <c:v>693</c:v>
                </c:pt>
                <c:pt idx="47">
                  <c:v>394</c:v>
                </c:pt>
                <c:pt idx="48">
                  <c:v>589</c:v>
                </c:pt>
                <c:pt idx="49">
                  <c:v>578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04288"/>
        <c:axId val="166301696"/>
      </c:lineChart>
      <c:dateAx>
        <c:axId val="14380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436162328382895"/>
              <c:y val="0.82733825459317589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630169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6630169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3804288"/>
        <c:crosses val="autoZero"/>
        <c:crossBetween val="between"/>
        <c:majorUnit val="200"/>
      </c:valAx>
      <c:spPr>
        <a:noFill/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572510144500268"/>
          <c:y val="0.89300426509186359"/>
          <c:w val="0.68407487480601581"/>
          <c:h val="9.053510498687666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U.S. Ports</a:t>
            </a:r>
          </a:p>
        </c:rich>
      </c:tx>
      <c:layout>
        <c:manualLayout>
          <c:xMode val="edge"/>
          <c:yMode val="edge"/>
          <c:x val="0.23030351071887822"/>
          <c:y val="1.7857091634037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39041554369461"/>
          <c:y val="0.11428581673192491"/>
          <c:w val="0.81145478790957581"/>
          <c:h val="0.5281703438947265"/>
        </c:manualLayout>
      </c:layout>
      <c:lineChart>
        <c:grouping val="standard"/>
        <c:varyColors val="0"/>
        <c:ser>
          <c:idx val="3"/>
          <c:order val="0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Data'!$I$842:$I$893</c:f>
              <c:numCache>
                <c:formatCode>#,##0</c:formatCode>
                <c:ptCount val="52"/>
                <c:pt idx="0">
                  <c:v>5690</c:v>
                </c:pt>
                <c:pt idx="1">
                  <c:v>5745</c:v>
                </c:pt>
                <c:pt idx="2">
                  <c:v>6595</c:v>
                </c:pt>
                <c:pt idx="3">
                  <c:v>7611</c:v>
                </c:pt>
                <c:pt idx="4">
                  <c:v>6584</c:v>
                </c:pt>
                <c:pt idx="5">
                  <c:v>7469</c:v>
                </c:pt>
                <c:pt idx="6">
                  <c:v>6389</c:v>
                </c:pt>
                <c:pt idx="7">
                  <c:v>6348</c:v>
                </c:pt>
                <c:pt idx="8">
                  <c:v>6651</c:v>
                </c:pt>
                <c:pt idx="9">
                  <c:v>7831</c:v>
                </c:pt>
                <c:pt idx="10">
                  <c:v>5793</c:v>
                </c:pt>
                <c:pt idx="11">
                  <c:v>7014</c:v>
                </c:pt>
                <c:pt idx="12">
                  <c:v>5217</c:v>
                </c:pt>
                <c:pt idx="13">
                  <c:v>6166</c:v>
                </c:pt>
                <c:pt idx="14">
                  <c:v>4857</c:v>
                </c:pt>
                <c:pt idx="15">
                  <c:v>5131</c:v>
                </c:pt>
                <c:pt idx="16">
                  <c:v>4409</c:v>
                </c:pt>
                <c:pt idx="17">
                  <c:v>5285</c:v>
                </c:pt>
                <c:pt idx="18">
                  <c:v>4207</c:v>
                </c:pt>
                <c:pt idx="19">
                  <c:v>4901</c:v>
                </c:pt>
                <c:pt idx="20">
                  <c:v>4337</c:v>
                </c:pt>
                <c:pt idx="21">
                  <c:v>4329</c:v>
                </c:pt>
                <c:pt idx="22">
                  <c:v>4314</c:v>
                </c:pt>
                <c:pt idx="23">
                  <c:v>3917</c:v>
                </c:pt>
                <c:pt idx="24">
                  <c:v>3872</c:v>
                </c:pt>
                <c:pt idx="25">
                  <c:v>4448</c:v>
                </c:pt>
                <c:pt idx="26">
                  <c:v>4084</c:v>
                </c:pt>
                <c:pt idx="27">
                  <c:v>5575</c:v>
                </c:pt>
                <c:pt idx="28">
                  <c:v>5788</c:v>
                </c:pt>
                <c:pt idx="29">
                  <c:v>6304</c:v>
                </c:pt>
                <c:pt idx="30">
                  <c:v>4744</c:v>
                </c:pt>
                <c:pt idx="31">
                  <c:v>5342</c:v>
                </c:pt>
                <c:pt idx="32">
                  <c:v>5071</c:v>
                </c:pt>
                <c:pt idx="33">
                  <c:v>5881</c:v>
                </c:pt>
                <c:pt idx="34">
                  <c:v>5098</c:v>
                </c:pt>
                <c:pt idx="35">
                  <c:v>6334</c:v>
                </c:pt>
                <c:pt idx="36">
                  <c:v>5136</c:v>
                </c:pt>
                <c:pt idx="37">
                  <c:v>4620</c:v>
                </c:pt>
                <c:pt idx="38">
                  <c:v>5683</c:v>
                </c:pt>
                <c:pt idx="39">
                  <c:v>6733</c:v>
                </c:pt>
                <c:pt idx="40">
                  <c:v>10520</c:v>
                </c:pt>
                <c:pt idx="41">
                  <c:v>10143</c:v>
                </c:pt>
                <c:pt idx="42">
                  <c:v>9191</c:v>
                </c:pt>
                <c:pt idx="43">
                  <c:v>9733</c:v>
                </c:pt>
                <c:pt idx="44">
                  <c:v>9825</c:v>
                </c:pt>
                <c:pt idx="45">
                  <c:v>10496</c:v>
                </c:pt>
                <c:pt idx="46">
                  <c:v>8133</c:v>
                </c:pt>
                <c:pt idx="47">
                  <c:v>7660</c:v>
                </c:pt>
                <c:pt idx="48">
                  <c:v>9036</c:v>
                </c:pt>
                <c:pt idx="49">
                  <c:v>7476</c:v>
                </c:pt>
                <c:pt idx="50">
                  <c:v>8090</c:v>
                </c:pt>
                <c:pt idx="51">
                  <c:v>6333</c:v>
                </c:pt>
              </c:numCache>
            </c:numRef>
          </c:val>
          <c:smooth val="0"/>
        </c:ser>
        <c:ser>
          <c:idx val="2"/>
          <c:order val="1"/>
          <c:tx>
            <c:v>3-yr avg 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Data'!$I$894:$I$943</c:f>
              <c:numCache>
                <c:formatCode>#,##0</c:formatCode>
                <c:ptCount val="50"/>
                <c:pt idx="0">
                  <c:v>6960</c:v>
                </c:pt>
                <c:pt idx="1">
                  <c:v>7460</c:v>
                </c:pt>
                <c:pt idx="2">
                  <c:v>8753</c:v>
                </c:pt>
                <c:pt idx="3">
                  <c:v>8555</c:v>
                </c:pt>
                <c:pt idx="4">
                  <c:v>8426</c:v>
                </c:pt>
                <c:pt idx="5">
                  <c:v>7137</c:v>
                </c:pt>
                <c:pt idx="6">
                  <c:v>8298</c:v>
                </c:pt>
                <c:pt idx="7">
                  <c:v>8076</c:v>
                </c:pt>
                <c:pt idx="8">
                  <c:v>7109</c:v>
                </c:pt>
                <c:pt idx="9">
                  <c:v>8341</c:v>
                </c:pt>
                <c:pt idx="10">
                  <c:v>7862</c:v>
                </c:pt>
                <c:pt idx="11">
                  <c:v>9641</c:v>
                </c:pt>
                <c:pt idx="12">
                  <c:v>9339</c:v>
                </c:pt>
                <c:pt idx="13">
                  <c:v>8537</c:v>
                </c:pt>
                <c:pt idx="14">
                  <c:v>7886</c:v>
                </c:pt>
                <c:pt idx="15">
                  <c:v>7121</c:v>
                </c:pt>
                <c:pt idx="16">
                  <c:v>7536</c:v>
                </c:pt>
                <c:pt idx="17">
                  <c:v>6522</c:v>
                </c:pt>
                <c:pt idx="18">
                  <c:v>7485</c:v>
                </c:pt>
                <c:pt idx="19">
                  <c:v>6340</c:v>
                </c:pt>
                <c:pt idx="20">
                  <c:v>7182</c:v>
                </c:pt>
                <c:pt idx="21">
                  <c:v>6152</c:v>
                </c:pt>
                <c:pt idx="22">
                  <c:v>5775</c:v>
                </c:pt>
                <c:pt idx="23">
                  <c:v>4879</c:v>
                </c:pt>
                <c:pt idx="24">
                  <c:v>5687</c:v>
                </c:pt>
                <c:pt idx="25">
                  <c:v>4595</c:v>
                </c:pt>
                <c:pt idx="26">
                  <c:v>3761</c:v>
                </c:pt>
                <c:pt idx="27">
                  <c:v>5504</c:v>
                </c:pt>
                <c:pt idx="28">
                  <c:v>4460</c:v>
                </c:pt>
                <c:pt idx="29">
                  <c:v>4581</c:v>
                </c:pt>
                <c:pt idx="30">
                  <c:v>5505</c:v>
                </c:pt>
                <c:pt idx="31">
                  <c:v>3384</c:v>
                </c:pt>
                <c:pt idx="32">
                  <c:v>3855</c:v>
                </c:pt>
                <c:pt idx="33">
                  <c:v>4192</c:v>
                </c:pt>
                <c:pt idx="34">
                  <c:v>3757</c:v>
                </c:pt>
                <c:pt idx="35">
                  <c:v>3770</c:v>
                </c:pt>
                <c:pt idx="36">
                  <c:v>3782</c:v>
                </c:pt>
                <c:pt idx="37">
                  <c:v>4051</c:v>
                </c:pt>
                <c:pt idx="38">
                  <c:v>4026</c:v>
                </c:pt>
                <c:pt idx="39">
                  <c:v>3763</c:v>
                </c:pt>
                <c:pt idx="40">
                  <c:v>5549</c:v>
                </c:pt>
                <c:pt idx="41">
                  <c:v>6055</c:v>
                </c:pt>
                <c:pt idx="42">
                  <c:v>6316</c:v>
                </c:pt>
                <c:pt idx="43">
                  <c:v>5229</c:v>
                </c:pt>
                <c:pt idx="44">
                  <c:v>5732</c:v>
                </c:pt>
                <c:pt idx="45">
                  <c:v>5075</c:v>
                </c:pt>
                <c:pt idx="46">
                  <c:v>5696</c:v>
                </c:pt>
                <c:pt idx="47">
                  <c:v>5502</c:v>
                </c:pt>
                <c:pt idx="48">
                  <c:v>5486</c:v>
                </c:pt>
                <c:pt idx="49">
                  <c:v>7757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36128"/>
        <c:axId val="166003840"/>
      </c:lineChart>
      <c:dateAx>
        <c:axId val="165936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666754742905459"/>
              <c:y val="0.8103581314630754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600384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66003840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9361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6517003117898852"/>
          <c:y val="0.87748411571504392"/>
          <c:w val="0.56704473392168264"/>
          <c:h val="0.1204817635500480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6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366741245256431"/>
          <c:y val="1.60256410256410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21562482981675"/>
          <c:y val="0.1378209442011725"/>
          <c:w val="0.83932024541462869"/>
          <c:h val="0.46901877649909202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Averages'!$W$633:$W$684</c:f>
              <c:numCache>
                <c:formatCode>#,##0_);\(#,##0\)</c:formatCode>
                <c:ptCount val="52"/>
                <c:pt idx="0">
                  <c:v>552.75</c:v>
                </c:pt>
                <c:pt idx="1">
                  <c:v>585.75</c:v>
                </c:pt>
                <c:pt idx="2">
                  <c:v>597.0625</c:v>
                </c:pt>
                <c:pt idx="3">
                  <c:v>633.1875</c:v>
                </c:pt>
                <c:pt idx="4">
                  <c:v>659.25</c:v>
                </c:pt>
                <c:pt idx="5">
                  <c:v>650.8125</c:v>
                </c:pt>
                <c:pt idx="6">
                  <c:v>581.9375</c:v>
                </c:pt>
                <c:pt idx="7">
                  <c:v>569.1875</c:v>
                </c:pt>
                <c:pt idx="8">
                  <c:v>534.9375</c:v>
                </c:pt>
                <c:pt idx="9">
                  <c:v>455.8125</c:v>
                </c:pt>
                <c:pt idx="10">
                  <c:v>445.375</c:v>
                </c:pt>
                <c:pt idx="11">
                  <c:v>368.625</c:v>
                </c:pt>
                <c:pt idx="12">
                  <c:v>304.125</c:v>
                </c:pt>
                <c:pt idx="13">
                  <c:v>293.8125</c:v>
                </c:pt>
                <c:pt idx="14">
                  <c:v>216.25</c:v>
                </c:pt>
                <c:pt idx="15">
                  <c:v>179.8125</c:v>
                </c:pt>
                <c:pt idx="16">
                  <c:v>158.6875</c:v>
                </c:pt>
                <c:pt idx="17">
                  <c:v>151.625</c:v>
                </c:pt>
                <c:pt idx="18">
                  <c:v>133.25</c:v>
                </c:pt>
                <c:pt idx="19">
                  <c:v>151.625</c:v>
                </c:pt>
                <c:pt idx="20">
                  <c:v>154.1875</c:v>
                </c:pt>
                <c:pt idx="21">
                  <c:v>135.3125</c:v>
                </c:pt>
                <c:pt idx="22">
                  <c:v>149.4375</c:v>
                </c:pt>
                <c:pt idx="23">
                  <c:v>146.5</c:v>
                </c:pt>
                <c:pt idx="24">
                  <c:v>146.8125</c:v>
                </c:pt>
                <c:pt idx="25">
                  <c:v>169.25</c:v>
                </c:pt>
                <c:pt idx="26">
                  <c:v>197.9375</c:v>
                </c:pt>
                <c:pt idx="27">
                  <c:v>190.375</c:v>
                </c:pt>
                <c:pt idx="28">
                  <c:v>185.5</c:v>
                </c:pt>
                <c:pt idx="29">
                  <c:v>168.125</c:v>
                </c:pt>
                <c:pt idx="30">
                  <c:v>154</c:v>
                </c:pt>
                <c:pt idx="31">
                  <c:v>152.75</c:v>
                </c:pt>
                <c:pt idx="32">
                  <c:v>165.3125</c:v>
                </c:pt>
                <c:pt idx="33">
                  <c:v>163.75</c:v>
                </c:pt>
                <c:pt idx="34">
                  <c:v>120.5625</c:v>
                </c:pt>
                <c:pt idx="35">
                  <c:v>101.8125</c:v>
                </c:pt>
                <c:pt idx="36">
                  <c:v>85.8125</c:v>
                </c:pt>
                <c:pt idx="37">
                  <c:v>74.5</c:v>
                </c:pt>
                <c:pt idx="38">
                  <c:v>103.375</c:v>
                </c:pt>
                <c:pt idx="39">
                  <c:v>133.5</c:v>
                </c:pt>
                <c:pt idx="40">
                  <c:v>190.75</c:v>
                </c:pt>
                <c:pt idx="41">
                  <c:v>273.6875</c:v>
                </c:pt>
                <c:pt idx="42">
                  <c:v>404.3125</c:v>
                </c:pt>
                <c:pt idx="43">
                  <c:v>563.375</c:v>
                </c:pt>
                <c:pt idx="44">
                  <c:v>685.9375</c:v>
                </c:pt>
                <c:pt idx="45">
                  <c:v>721.625</c:v>
                </c:pt>
                <c:pt idx="46">
                  <c:v>707.1875</c:v>
                </c:pt>
                <c:pt idx="47">
                  <c:v>615.5625</c:v>
                </c:pt>
                <c:pt idx="48">
                  <c:v>510.1875</c:v>
                </c:pt>
                <c:pt idx="49">
                  <c:v>468.625</c:v>
                </c:pt>
                <c:pt idx="50">
                  <c:v>442.5</c:v>
                </c:pt>
                <c:pt idx="51">
                  <c:v>425.0625</c:v>
                </c:pt>
              </c:numCache>
            </c:numRef>
          </c:val>
          <c:smooth val="0"/>
        </c:ser>
        <c:ser>
          <c:idx val="2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name>4-week moving avg.(2006)</c:nam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4"/>
            <c:dispRSqr val="0"/>
            <c:dispEq val="0"/>
          </c:trendline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Data'!$H$842:$H$893</c:f>
              <c:numCache>
                <c:formatCode>#,##0</c:formatCode>
                <c:ptCount val="52"/>
                <c:pt idx="0">
                  <c:v>999</c:v>
                </c:pt>
                <c:pt idx="1">
                  <c:v>1718</c:v>
                </c:pt>
                <c:pt idx="2">
                  <c:v>1139</c:v>
                </c:pt>
                <c:pt idx="3">
                  <c:v>1113</c:v>
                </c:pt>
                <c:pt idx="4">
                  <c:v>1246</c:v>
                </c:pt>
                <c:pt idx="5">
                  <c:v>1062</c:v>
                </c:pt>
                <c:pt idx="6">
                  <c:v>979</c:v>
                </c:pt>
                <c:pt idx="7">
                  <c:v>1034</c:v>
                </c:pt>
                <c:pt idx="8">
                  <c:v>1336</c:v>
                </c:pt>
                <c:pt idx="9">
                  <c:v>930</c:v>
                </c:pt>
                <c:pt idx="10">
                  <c:v>757</c:v>
                </c:pt>
                <c:pt idx="11">
                  <c:v>1104</c:v>
                </c:pt>
                <c:pt idx="12">
                  <c:v>507</c:v>
                </c:pt>
                <c:pt idx="13">
                  <c:v>626</c:v>
                </c:pt>
                <c:pt idx="14">
                  <c:v>444</c:v>
                </c:pt>
                <c:pt idx="15">
                  <c:v>454</c:v>
                </c:pt>
                <c:pt idx="16">
                  <c:v>270</c:v>
                </c:pt>
                <c:pt idx="17">
                  <c:v>291</c:v>
                </c:pt>
                <c:pt idx="18">
                  <c:v>410</c:v>
                </c:pt>
                <c:pt idx="19">
                  <c:v>127</c:v>
                </c:pt>
                <c:pt idx="20">
                  <c:v>136</c:v>
                </c:pt>
                <c:pt idx="21">
                  <c:v>252</c:v>
                </c:pt>
                <c:pt idx="22">
                  <c:v>136</c:v>
                </c:pt>
                <c:pt idx="23" formatCode="#,##0;[Red]#,##0">
                  <c:v>103</c:v>
                </c:pt>
                <c:pt idx="24" formatCode="#,##0;[Red]#,##0">
                  <c:v>39</c:v>
                </c:pt>
                <c:pt idx="25">
                  <c:v>185</c:v>
                </c:pt>
                <c:pt idx="26">
                  <c:v>93</c:v>
                </c:pt>
                <c:pt idx="27">
                  <c:v>194</c:v>
                </c:pt>
                <c:pt idx="28">
                  <c:v>193</c:v>
                </c:pt>
                <c:pt idx="29">
                  <c:v>60</c:v>
                </c:pt>
                <c:pt idx="30">
                  <c:v>99</c:v>
                </c:pt>
                <c:pt idx="31">
                  <c:v>65</c:v>
                </c:pt>
                <c:pt idx="32">
                  <c:v>177</c:v>
                </c:pt>
                <c:pt idx="33">
                  <c:v>170</c:v>
                </c:pt>
                <c:pt idx="34">
                  <c:v>137</c:v>
                </c:pt>
                <c:pt idx="35">
                  <c:v>254</c:v>
                </c:pt>
                <c:pt idx="36">
                  <c:v>174</c:v>
                </c:pt>
                <c:pt idx="37">
                  <c:v>409</c:v>
                </c:pt>
                <c:pt idx="38">
                  <c:v>823</c:v>
                </c:pt>
                <c:pt idx="39">
                  <c:v>736</c:v>
                </c:pt>
                <c:pt idx="40">
                  <c:v>926</c:v>
                </c:pt>
                <c:pt idx="41">
                  <c:v>1121</c:v>
                </c:pt>
                <c:pt idx="42">
                  <c:v>1093</c:v>
                </c:pt>
                <c:pt idx="43">
                  <c:v>1133</c:v>
                </c:pt>
                <c:pt idx="44">
                  <c:v>947</c:v>
                </c:pt>
                <c:pt idx="45">
                  <c:v>1427</c:v>
                </c:pt>
                <c:pt idx="46">
                  <c:v>1393</c:v>
                </c:pt>
                <c:pt idx="47">
                  <c:v>873</c:v>
                </c:pt>
                <c:pt idx="48">
                  <c:v>876</c:v>
                </c:pt>
                <c:pt idx="49">
                  <c:v>596</c:v>
                </c:pt>
                <c:pt idx="50">
                  <c:v>978</c:v>
                </c:pt>
                <c:pt idx="51">
                  <c:v>436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410112"/>
        <c:axId val="120412032"/>
      </c:lineChart>
      <c:dateAx>
        <c:axId val="12041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24797587114802"/>
              <c:y val="0.78525876573120668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41203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20412032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41011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4517031524905554E-3"/>
          <c:y val="0.86858974358974361"/>
          <c:w val="0.97731574761945972"/>
          <c:h val="0.1057692307692307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4792194842765607"/>
          <c:y val="4.361649915711755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74898785425397"/>
          <c:y val="9.6774569845436226E-2"/>
          <c:w val="0.81506529606406164"/>
          <c:h val="0.49098447439832804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Averages'!$V$842:$V$893</c:f>
              <c:numCache>
                <c:formatCode>#,##0</c:formatCode>
                <c:ptCount val="52"/>
                <c:pt idx="0">
                  <c:v>3869.8125</c:v>
                </c:pt>
                <c:pt idx="1">
                  <c:v>3835.125</c:v>
                </c:pt>
                <c:pt idx="2">
                  <c:v>4075.9375</c:v>
                </c:pt>
                <c:pt idx="3">
                  <c:v>4304.625</c:v>
                </c:pt>
                <c:pt idx="4">
                  <c:v>4427.8125</c:v>
                </c:pt>
                <c:pt idx="5">
                  <c:v>4486.75</c:v>
                </c:pt>
                <c:pt idx="6">
                  <c:v>4383</c:v>
                </c:pt>
                <c:pt idx="7">
                  <c:v>4445.375</c:v>
                </c:pt>
                <c:pt idx="8">
                  <c:v>4511.625</c:v>
                </c:pt>
                <c:pt idx="9">
                  <c:v>4526</c:v>
                </c:pt>
                <c:pt idx="10">
                  <c:v>4649.9375</c:v>
                </c:pt>
                <c:pt idx="11">
                  <c:v>4780.1875</c:v>
                </c:pt>
                <c:pt idx="12">
                  <c:v>4708.875</c:v>
                </c:pt>
                <c:pt idx="13">
                  <c:v>4704.4375</c:v>
                </c:pt>
                <c:pt idx="14">
                  <c:v>4689.8125</c:v>
                </c:pt>
                <c:pt idx="15">
                  <c:v>4515.3125</c:v>
                </c:pt>
                <c:pt idx="16">
                  <c:v>4517.4375</c:v>
                </c:pt>
                <c:pt idx="17">
                  <c:v>4466.4375</c:v>
                </c:pt>
                <c:pt idx="18">
                  <c:v>4201.0625</c:v>
                </c:pt>
                <c:pt idx="19">
                  <c:v>4048.6875</c:v>
                </c:pt>
                <c:pt idx="20">
                  <c:v>3932.6875</c:v>
                </c:pt>
                <c:pt idx="21">
                  <c:v>3781.625</c:v>
                </c:pt>
                <c:pt idx="22">
                  <c:v>3815</c:v>
                </c:pt>
                <c:pt idx="23">
                  <c:v>3680.9375</c:v>
                </c:pt>
                <c:pt idx="24">
                  <c:v>3730.6875</c:v>
                </c:pt>
                <c:pt idx="25">
                  <c:v>3727.125</c:v>
                </c:pt>
                <c:pt idx="26">
                  <c:v>3631.25</c:v>
                </c:pt>
                <c:pt idx="27">
                  <c:v>3776.375</c:v>
                </c:pt>
                <c:pt idx="28">
                  <c:v>3691.25</c:v>
                </c:pt>
                <c:pt idx="29">
                  <c:v>3731.75</c:v>
                </c:pt>
                <c:pt idx="30">
                  <c:v>3828.6875</c:v>
                </c:pt>
                <c:pt idx="31">
                  <c:v>3824.8125</c:v>
                </c:pt>
                <c:pt idx="32">
                  <c:v>3788.875</c:v>
                </c:pt>
                <c:pt idx="33">
                  <c:v>3700.0625</c:v>
                </c:pt>
                <c:pt idx="34">
                  <c:v>3676.125</c:v>
                </c:pt>
                <c:pt idx="35">
                  <c:v>3595.625</c:v>
                </c:pt>
                <c:pt idx="36">
                  <c:v>3597.8125</c:v>
                </c:pt>
                <c:pt idx="37">
                  <c:v>3595.25</c:v>
                </c:pt>
                <c:pt idx="38">
                  <c:v>3643.75</c:v>
                </c:pt>
                <c:pt idx="39">
                  <c:v>3782.4375</c:v>
                </c:pt>
                <c:pt idx="40">
                  <c:v>4251.75</c:v>
                </c:pt>
                <c:pt idx="41">
                  <c:v>4708.0625</c:v>
                </c:pt>
                <c:pt idx="42">
                  <c:v>5039.6875</c:v>
                </c:pt>
                <c:pt idx="43">
                  <c:v>5328.1875</c:v>
                </c:pt>
                <c:pt idx="44">
                  <c:v>4925.75</c:v>
                </c:pt>
                <c:pt idx="45">
                  <c:v>4701.125</c:v>
                </c:pt>
                <c:pt idx="46">
                  <c:v>4565.625</c:v>
                </c:pt>
                <c:pt idx="47">
                  <c:v>4254.4375</c:v>
                </c:pt>
                <c:pt idx="48">
                  <c:v>4469.375</c:v>
                </c:pt>
                <c:pt idx="49">
                  <c:v>4394.625</c:v>
                </c:pt>
                <c:pt idx="50">
                  <c:v>4221.125</c:v>
                </c:pt>
                <c:pt idx="51">
                  <c:v>3983.5625</c:v>
                </c:pt>
              </c:numCache>
            </c:numRef>
          </c:val>
          <c:smooth val="0"/>
        </c:ser>
        <c:ser>
          <c:idx val="2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4"/>
            <c:dispRSqr val="0"/>
            <c:dispEq val="0"/>
          </c:trendline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Data'!$G$842:$G$893</c:f>
              <c:numCache>
                <c:formatCode>#,##0</c:formatCode>
                <c:ptCount val="52"/>
                <c:pt idx="0">
                  <c:v>2772</c:v>
                </c:pt>
                <c:pt idx="1">
                  <c:v>2661</c:v>
                </c:pt>
                <c:pt idx="2">
                  <c:v>3748</c:v>
                </c:pt>
                <c:pt idx="3">
                  <c:v>3975</c:v>
                </c:pt>
                <c:pt idx="4">
                  <c:v>2627</c:v>
                </c:pt>
                <c:pt idx="5">
                  <c:v>3481</c:v>
                </c:pt>
                <c:pt idx="6">
                  <c:v>3387</c:v>
                </c:pt>
                <c:pt idx="7">
                  <c:v>3665</c:v>
                </c:pt>
                <c:pt idx="8">
                  <c:v>3721</c:v>
                </c:pt>
                <c:pt idx="9">
                  <c:v>4125</c:v>
                </c:pt>
                <c:pt idx="10">
                  <c:v>3230</c:v>
                </c:pt>
                <c:pt idx="11">
                  <c:v>4147</c:v>
                </c:pt>
                <c:pt idx="12">
                  <c:v>2804</c:v>
                </c:pt>
                <c:pt idx="13">
                  <c:v>3724</c:v>
                </c:pt>
                <c:pt idx="14">
                  <c:v>3263</c:v>
                </c:pt>
                <c:pt idx="15">
                  <c:v>3429</c:v>
                </c:pt>
                <c:pt idx="16">
                  <c:v>2908</c:v>
                </c:pt>
                <c:pt idx="17">
                  <c:v>3697</c:v>
                </c:pt>
                <c:pt idx="18">
                  <c:v>2727</c:v>
                </c:pt>
                <c:pt idx="19">
                  <c:v>3521</c:v>
                </c:pt>
                <c:pt idx="20">
                  <c:v>3216</c:v>
                </c:pt>
                <c:pt idx="21">
                  <c:v>3154</c:v>
                </c:pt>
                <c:pt idx="22">
                  <c:v>3147</c:v>
                </c:pt>
                <c:pt idx="23" formatCode="#,##0;[Red]#,##0">
                  <c:v>2528</c:v>
                </c:pt>
                <c:pt idx="24">
                  <c:v>2614</c:v>
                </c:pt>
                <c:pt idx="25">
                  <c:v>3031</c:v>
                </c:pt>
                <c:pt idx="26">
                  <c:v>2541</c:v>
                </c:pt>
                <c:pt idx="27">
                  <c:v>3875</c:v>
                </c:pt>
                <c:pt idx="28">
                  <c:v>4315</c:v>
                </c:pt>
                <c:pt idx="29">
                  <c:v>4041</c:v>
                </c:pt>
                <c:pt idx="30">
                  <c:v>3245</c:v>
                </c:pt>
                <c:pt idx="31">
                  <c:v>3587</c:v>
                </c:pt>
                <c:pt idx="32">
                  <c:v>2891</c:v>
                </c:pt>
                <c:pt idx="33">
                  <c:v>3677</c:v>
                </c:pt>
                <c:pt idx="34">
                  <c:v>2664</c:v>
                </c:pt>
                <c:pt idx="35">
                  <c:v>2823</c:v>
                </c:pt>
                <c:pt idx="36">
                  <c:v>1305</c:v>
                </c:pt>
                <c:pt idx="37">
                  <c:v>1155</c:v>
                </c:pt>
                <c:pt idx="38">
                  <c:v>2082</c:v>
                </c:pt>
                <c:pt idx="39">
                  <c:v>2746</c:v>
                </c:pt>
                <c:pt idx="40">
                  <c:v>5633</c:v>
                </c:pt>
                <c:pt idx="41">
                  <c:v>4667</c:v>
                </c:pt>
                <c:pt idx="42">
                  <c:v>4566</c:v>
                </c:pt>
                <c:pt idx="43">
                  <c:v>4794</c:v>
                </c:pt>
                <c:pt idx="44">
                  <c:v>4574</c:v>
                </c:pt>
                <c:pt idx="45">
                  <c:v>4821</c:v>
                </c:pt>
                <c:pt idx="46">
                  <c:v>3196</c:v>
                </c:pt>
                <c:pt idx="47">
                  <c:v>3663</c:v>
                </c:pt>
                <c:pt idx="48">
                  <c:v>4788</c:v>
                </c:pt>
                <c:pt idx="49">
                  <c:v>3894</c:v>
                </c:pt>
                <c:pt idx="50">
                  <c:v>3872</c:v>
                </c:pt>
                <c:pt idx="51">
                  <c:v>3179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068992"/>
        <c:axId val="166070912"/>
      </c:lineChart>
      <c:dateAx>
        <c:axId val="166068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53849593332358"/>
              <c:y val="0.79928586162502047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607091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66070912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60689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0121530805242191E-2"/>
          <c:y val="0.89247345098122888"/>
          <c:w val="0.97166002673856577"/>
          <c:h val="8.602131034433702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2170408597573952"/>
          <c:y val="1.79854134612483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6012981485422"/>
          <c:y val="0.14028772159623715"/>
          <c:w val="0.82014960097533463"/>
          <c:h val="0.46762589928057607"/>
        </c:manualLayout>
      </c:layout>
      <c:lineChart>
        <c:grouping val="standard"/>
        <c:varyColors val="0"/>
        <c:ser>
          <c:idx val="1"/>
          <c:order val="0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Data'!$A$635:$A$684</c:f>
              <c:numCache>
                <c:formatCode>mm/dd/yy_)</c:formatCode>
                <c:ptCount val="50"/>
                <c:pt idx="0">
                  <c:v>38735</c:v>
                </c:pt>
                <c:pt idx="1">
                  <c:v>38742</c:v>
                </c:pt>
                <c:pt idx="2">
                  <c:v>38749</c:v>
                </c:pt>
                <c:pt idx="3">
                  <c:v>38756</c:v>
                </c:pt>
                <c:pt idx="4">
                  <c:v>38763</c:v>
                </c:pt>
                <c:pt idx="5">
                  <c:v>38770</c:v>
                </c:pt>
                <c:pt idx="6">
                  <c:v>38777</c:v>
                </c:pt>
                <c:pt idx="7">
                  <c:v>38784</c:v>
                </c:pt>
                <c:pt idx="8">
                  <c:v>38791</c:v>
                </c:pt>
                <c:pt idx="9">
                  <c:v>38798</c:v>
                </c:pt>
                <c:pt idx="10">
                  <c:v>38805</c:v>
                </c:pt>
                <c:pt idx="11">
                  <c:v>38812</c:v>
                </c:pt>
                <c:pt idx="12">
                  <c:v>38819</c:v>
                </c:pt>
                <c:pt idx="13">
                  <c:v>38826</c:v>
                </c:pt>
                <c:pt idx="14">
                  <c:v>38833</c:v>
                </c:pt>
                <c:pt idx="15">
                  <c:v>38840</c:v>
                </c:pt>
                <c:pt idx="16">
                  <c:v>38847</c:v>
                </c:pt>
                <c:pt idx="17">
                  <c:v>38854</c:v>
                </c:pt>
                <c:pt idx="18">
                  <c:v>38861</c:v>
                </c:pt>
                <c:pt idx="19">
                  <c:v>38868</c:v>
                </c:pt>
                <c:pt idx="20">
                  <c:v>38875</c:v>
                </c:pt>
                <c:pt idx="21">
                  <c:v>38882</c:v>
                </c:pt>
                <c:pt idx="22">
                  <c:v>38889</c:v>
                </c:pt>
                <c:pt idx="23">
                  <c:v>38896</c:v>
                </c:pt>
                <c:pt idx="24">
                  <c:v>38903</c:v>
                </c:pt>
                <c:pt idx="25">
                  <c:v>38910</c:v>
                </c:pt>
                <c:pt idx="26">
                  <c:v>38917</c:v>
                </c:pt>
                <c:pt idx="27">
                  <c:v>38924</c:v>
                </c:pt>
                <c:pt idx="28">
                  <c:v>38931</c:v>
                </c:pt>
                <c:pt idx="29">
                  <c:v>38938</c:v>
                </c:pt>
                <c:pt idx="30">
                  <c:v>38945</c:v>
                </c:pt>
                <c:pt idx="31">
                  <c:v>38952</c:v>
                </c:pt>
                <c:pt idx="32">
                  <c:v>38959</c:v>
                </c:pt>
                <c:pt idx="33">
                  <c:v>38966</c:v>
                </c:pt>
                <c:pt idx="34">
                  <c:v>38973</c:v>
                </c:pt>
                <c:pt idx="35">
                  <c:v>38980</c:v>
                </c:pt>
                <c:pt idx="36">
                  <c:v>38987</c:v>
                </c:pt>
                <c:pt idx="37">
                  <c:v>38994</c:v>
                </c:pt>
                <c:pt idx="38">
                  <c:v>39001</c:v>
                </c:pt>
                <c:pt idx="39">
                  <c:v>39008</c:v>
                </c:pt>
                <c:pt idx="40">
                  <c:v>39015</c:v>
                </c:pt>
                <c:pt idx="41">
                  <c:v>39022</c:v>
                </c:pt>
                <c:pt idx="42">
                  <c:v>39029</c:v>
                </c:pt>
                <c:pt idx="43">
                  <c:v>39036</c:v>
                </c:pt>
                <c:pt idx="44">
                  <c:v>39043</c:v>
                </c:pt>
                <c:pt idx="45">
                  <c:v>39050</c:v>
                </c:pt>
                <c:pt idx="46">
                  <c:v>39057</c:v>
                </c:pt>
                <c:pt idx="47">
                  <c:v>39064</c:v>
                </c:pt>
                <c:pt idx="48">
                  <c:v>39071</c:v>
                </c:pt>
                <c:pt idx="49">
                  <c:v>39078</c:v>
                </c:pt>
              </c:numCache>
            </c:numRef>
          </c:cat>
          <c:val>
            <c:numRef>
              <c:f>'Weekly Averages'!$U$842:$U$893</c:f>
              <c:numCache>
                <c:formatCode>#,##0</c:formatCode>
                <c:ptCount val="52"/>
                <c:pt idx="0">
                  <c:v>733.9375</c:v>
                </c:pt>
                <c:pt idx="1">
                  <c:v>669.25</c:v>
                </c:pt>
                <c:pt idx="2">
                  <c:v>637.5625</c:v>
                </c:pt>
                <c:pt idx="3">
                  <c:v>679.375</c:v>
                </c:pt>
                <c:pt idx="4">
                  <c:v>611.1875</c:v>
                </c:pt>
                <c:pt idx="5">
                  <c:v>696</c:v>
                </c:pt>
                <c:pt idx="6">
                  <c:v>630.1875</c:v>
                </c:pt>
                <c:pt idx="7">
                  <c:v>664.5</c:v>
                </c:pt>
                <c:pt idx="8">
                  <c:v>780.625</c:v>
                </c:pt>
                <c:pt idx="9">
                  <c:v>832.6875</c:v>
                </c:pt>
                <c:pt idx="10">
                  <c:v>856.6875</c:v>
                </c:pt>
                <c:pt idx="11">
                  <c:v>881</c:v>
                </c:pt>
                <c:pt idx="12">
                  <c:v>841.25</c:v>
                </c:pt>
                <c:pt idx="13">
                  <c:v>852.25</c:v>
                </c:pt>
                <c:pt idx="14">
                  <c:v>902.25</c:v>
                </c:pt>
                <c:pt idx="15">
                  <c:v>885.5625</c:v>
                </c:pt>
                <c:pt idx="16">
                  <c:v>914.5</c:v>
                </c:pt>
                <c:pt idx="17">
                  <c:v>907.5</c:v>
                </c:pt>
                <c:pt idx="18">
                  <c:v>943.5625</c:v>
                </c:pt>
                <c:pt idx="19">
                  <c:v>948.0625</c:v>
                </c:pt>
                <c:pt idx="20">
                  <c:v>943.375</c:v>
                </c:pt>
                <c:pt idx="21">
                  <c:v>943.125</c:v>
                </c:pt>
                <c:pt idx="22">
                  <c:v>819.375</c:v>
                </c:pt>
                <c:pt idx="23">
                  <c:v>776.375</c:v>
                </c:pt>
                <c:pt idx="24">
                  <c:v>698.1875</c:v>
                </c:pt>
                <c:pt idx="25">
                  <c:v>625.375</c:v>
                </c:pt>
                <c:pt idx="26">
                  <c:v>674.4375</c:v>
                </c:pt>
                <c:pt idx="27">
                  <c:v>635</c:v>
                </c:pt>
                <c:pt idx="28">
                  <c:v>670.0625</c:v>
                </c:pt>
                <c:pt idx="29">
                  <c:v>622.5</c:v>
                </c:pt>
                <c:pt idx="30">
                  <c:v>615.9375</c:v>
                </c:pt>
                <c:pt idx="31">
                  <c:v>608.25</c:v>
                </c:pt>
                <c:pt idx="32">
                  <c:v>601.75</c:v>
                </c:pt>
                <c:pt idx="33">
                  <c:v>678.75</c:v>
                </c:pt>
                <c:pt idx="34">
                  <c:v>651.0625</c:v>
                </c:pt>
                <c:pt idx="35">
                  <c:v>671.5</c:v>
                </c:pt>
                <c:pt idx="36">
                  <c:v>684.625</c:v>
                </c:pt>
                <c:pt idx="37">
                  <c:v>741.5625</c:v>
                </c:pt>
                <c:pt idx="38">
                  <c:v>797.5</c:v>
                </c:pt>
                <c:pt idx="39">
                  <c:v>835.75</c:v>
                </c:pt>
                <c:pt idx="40">
                  <c:v>915.9375</c:v>
                </c:pt>
                <c:pt idx="41">
                  <c:v>866.5</c:v>
                </c:pt>
                <c:pt idx="42">
                  <c:v>902.0625</c:v>
                </c:pt>
                <c:pt idx="43">
                  <c:v>989.3125</c:v>
                </c:pt>
                <c:pt idx="44">
                  <c:v>946.3125</c:v>
                </c:pt>
                <c:pt idx="45">
                  <c:v>936.5</c:v>
                </c:pt>
                <c:pt idx="46">
                  <c:v>889.875</c:v>
                </c:pt>
                <c:pt idx="47">
                  <c:v>770.875</c:v>
                </c:pt>
                <c:pt idx="48">
                  <c:v>767.375</c:v>
                </c:pt>
                <c:pt idx="49">
                  <c:v>724.25</c:v>
                </c:pt>
                <c:pt idx="50">
                  <c:v>742.25</c:v>
                </c:pt>
                <c:pt idx="51">
                  <c:v>683.0625</c:v>
                </c:pt>
              </c:numCache>
            </c:numRef>
          </c:val>
          <c:smooth val="0"/>
        </c:ser>
        <c:ser>
          <c:idx val="2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Data'!$A$635:$A$684</c:f>
              <c:numCache>
                <c:formatCode>mm/dd/yy_)</c:formatCode>
                <c:ptCount val="50"/>
                <c:pt idx="0">
                  <c:v>38735</c:v>
                </c:pt>
                <c:pt idx="1">
                  <c:v>38742</c:v>
                </c:pt>
                <c:pt idx="2">
                  <c:v>38749</c:v>
                </c:pt>
                <c:pt idx="3">
                  <c:v>38756</c:v>
                </c:pt>
                <c:pt idx="4">
                  <c:v>38763</c:v>
                </c:pt>
                <c:pt idx="5">
                  <c:v>38770</c:v>
                </c:pt>
                <c:pt idx="6">
                  <c:v>38777</c:v>
                </c:pt>
                <c:pt idx="7">
                  <c:v>38784</c:v>
                </c:pt>
                <c:pt idx="8">
                  <c:v>38791</c:v>
                </c:pt>
                <c:pt idx="9">
                  <c:v>38798</c:v>
                </c:pt>
                <c:pt idx="10">
                  <c:v>38805</c:v>
                </c:pt>
                <c:pt idx="11">
                  <c:v>38812</c:v>
                </c:pt>
                <c:pt idx="12">
                  <c:v>38819</c:v>
                </c:pt>
                <c:pt idx="13">
                  <c:v>38826</c:v>
                </c:pt>
                <c:pt idx="14">
                  <c:v>38833</c:v>
                </c:pt>
                <c:pt idx="15">
                  <c:v>38840</c:v>
                </c:pt>
                <c:pt idx="16">
                  <c:v>38847</c:v>
                </c:pt>
                <c:pt idx="17">
                  <c:v>38854</c:v>
                </c:pt>
                <c:pt idx="18">
                  <c:v>38861</c:v>
                </c:pt>
                <c:pt idx="19">
                  <c:v>38868</c:v>
                </c:pt>
                <c:pt idx="20">
                  <c:v>38875</c:v>
                </c:pt>
                <c:pt idx="21">
                  <c:v>38882</c:v>
                </c:pt>
                <c:pt idx="22">
                  <c:v>38889</c:v>
                </c:pt>
                <c:pt idx="23">
                  <c:v>38896</c:v>
                </c:pt>
                <c:pt idx="24">
                  <c:v>38903</c:v>
                </c:pt>
                <c:pt idx="25">
                  <c:v>38910</c:v>
                </c:pt>
                <c:pt idx="26">
                  <c:v>38917</c:v>
                </c:pt>
                <c:pt idx="27">
                  <c:v>38924</c:v>
                </c:pt>
                <c:pt idx="28">
                  <c:v>38931</c:v>
                </c:pt>
                <c:pt idx="29">
                  <c:v>38938</c:v>
                </c:pt>
                <c:pt idx="30">
                  <c:v>38945</c:v>
                </c:pt>
                <c:pt idx="31">
                  <c:v>38952</c:v>
                </c:pt>
                <c:pt idx="32">
                  <c:v>38959</c:v>
                </c:pt>
                <c:pt idx="33">
                  <c:v>38966</c:v>
                </c:pt>
                <c:pt idx="34">
                  <c:v>38973</c:v>
                </c:pt>
                <c:pt idx="35">
                  <c:v>38980</c:v>
                </c:pt>
                <c:pt idx="36">
                  <c:v>38987</c:v>
                </c:pt>
                <c:pt idx="37">
                  <c:v>38994</c:v>
                </c:pt>
                <c:pt idx="38">
                  <c:v>39001</c:v>
                </c:pt>
                <c:pt idx="39">
                  <c:v>39008</c:v>
                </c:pt>
                <c:pt idx="40">
                  <c:v>39015</c:v>
                </c:pt>
                <c:pt idx="41">
                  <c:v>39022</c:v>
                </c:pt>
                <c:pt idx="42">
                  <c:v>39029</c:v>
                </c:pt>
                <c:pt idx="43">
                  <c:v>39036</c:v>
                </c:pt>
                <c:pt idx="44">
                  <c:v>39043</c:v>
                </c:pt>
                <c:pt idx="45">
                  <c:v>39050</c:v>
                </c:pt>
                <c:pt idx="46">
                  <c:v>39057</c:v>
                </c:pt>
                <c:pt idx="47">
                  <c:v>39064</c:v>
                </c:pt>
                <c:pt idx="48">
                  <c:v>39071</c:v>
                </c:pt>
                <c:pt idx="49">
                  <c:v>39078</c:v>
                </c:pt>
              </c:numCache>
            </c:numRef>
          </c:cat>
          <c:val>
            <c:numRef>
              <c:f>'Weekly Data'!$F$842:$F$893</c:f>
              <c:numCache>
                <c:formatCode>#,##0</c:formatCode>
                <c:ptCount val="52"/>
                <c:pt idx="0">
                  <c:v>829</c:v>
                </c:pt>
                <c:pt idx="1">
                  <c:v>535</c:v>
                </c:pt>
                <c:pt idx="2">
                  <c:v>688</c:v>
                </c:pt>
                <c:pt idx="3">
                  <c:v>442</c:v>
                </c:pt>
                <c:pt idx="4">
                  <c:v>672</c:v>
                </c:pt>
                <c:pt idx="5">
                  <c:v>949</c:v>
                </c:pt>
                <c:pt idx="6">
                  <c:v>962</c:v>
                </c:pt>
                <c:pt idx="7">
                  <c:v>1172</c:v>
                </c:pt>
                <c:pt idx="8">
                  <c:v>1150</c:v>
                </c:pt>
                <c:pt idx="9">
                  <c:v>1160</c:v>
                </c:pt>
                <c:pt idx="10">
                  <c:v>1165</c:v>
                </c:pt>
                <c:pt idx="11">
                  <c:v>1117</c:v>
                </c:pt>
                <c:pt idx="12">
                  <c:v>552</c:v>
                </c:pt>
                <c:pt idx="13">
                  <c:v>865</c:v>
                </c:pt>
                <c:pt idx="14">
                  <c:v>1305</c:v>
                </c:pt>
                <c:pt idx="15">
                  <c:v>1248</c:v>
                </c:pt>
                <c:pt idx="16">
                  <c:v>891</c:v>
                </c:pt>
                <c:pt idx="17">
                  <c:v>884</c:v>
                </c:pt>
                <c:pt idx="18">
                  <c:v>1036</c:v>
                </c:pt>
                <c:pt idx="19">
                  <c:v>1129</c:v>
                </c:pt>
                <c:pt idx="20">
                  <c:v>979</c:v>
                </c:pt>
                <c:pt idx="21">
                  <c:v>616</c:v>
                </c:pt>
                <c:pt idx="22">
                  <c:v>930</c:v>
                </c:pt>
                <c:pt idx="23" formatCode="#,##0;[Red]#,##0">
                  <c:v>984</c:v>
                </c:pt>
                <c:pt idx="24">
                  <c:v>1041</c:v>
                </c:pt>
                <c:pt idx="25">
                  <c:v>809</c:v>
                </c:pt>
                <c:pt idx="26">
                  <c:v>394</c:v>
                </c:pt>
                <c:pt idx="27">
                  <c:v>1406</c:v>
                </c:pt>
                <c:pt idx="28">
                  <c:v>209</c:v>
                </c:pt>
                <c:pt idx="29">
                  <c:v>1532</c:v>
                </c:pt>
                <c:pt idx="30">
                  <c:v>421</c:v>
                </c:pt>
                <c:pt idx="31">
                  <c:v>1001</c:v>
                </c:pt>
                <c:pt idx="32">
                  <c:v>586</c:v>
                </c:pt>
                <c:pt idx="33">
                  <c:v>725</c:v>
                </c:pt>
                <c:pt idx="34">
                  <c:v>565</c:v>
                </c:pt>
                <c:pt idx="35">
                  <c:v>544</c:v>
                </c:pt>
                <c:pt idx="36">
                  <c:v>964</c:v>
                </c:pt>
                <c:pt idx="37">
                  <c:v>522</c:v>
                </c:pt>
                <c:pt idx="38">
                  <c:v>828</c:v>
                </c:pt>
                <c:pt idx="39">
                  <c:v>464</c:v>
                </c:pt>
                <c:pt idx="40">
                  <c:v>501</c:v>
                </c:pt>
                <c:pt idx="41">
                  <c:v>678</c:v>
                </c:pt>
                <c:pt idx="42">
                  <c:v>1091</c:v>
                </c:pt>
                <c:pt idx="43">
                  <c:v>615</c:v>
                </c:pt>
                <c:pt idx="44">
                  <c:v>782</c:v>
                </c:pt>
                <c:pt idx="45">
                  <c:v>562</c:v>
                </c:pt>
                <c:pt idx="46">
                  <c:v>1104</c:v>
                </c:pt>
                <c:pt idx="47">
                  <c:v>629</c:v>
                </c:pt>
                <c:pt idx="48">
                  <c:v>809</c:v>
                </c:pt>
                <c:pt idx="49">
                  <c:v>500</c:v>
                </c:pt>
                <c:pt idx="50">
                  <c:v>678</c:v>
                </c:pt>
                <c:pt idx="51">
                  <c:v>574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117760"/>
        <c:axId val="166120064"/>
      </c:lineChart>
      <c:dateAx>
        <c:axId val="166117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59324679016"/>
              <c:y val="0.7985609557426011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612006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66120064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61177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0142007164644961E-2"/>
          <c:y val="0.892086387908408"/>
          <c:w val="0.97971620734908138"/>
          <c:h val="8.633096509488036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3280132913"/>
          <c:y val="0.14212195106817319"/>
          <c:w val="0.79461958293909785"/>
          <c:h val="0.5022323000764134"/>
        </c:manualLayout>
      </c:layout>
      <c:lineChart>
        <c:grouping val="standard"/>
        <c:varyColors val="0"/>
        <c:ser>
          <c:idx val="3"/>
          <c:order val="0"/>
          <c:tx>
            <c:v>4-yr (4 week avg)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Averages'!$T$894:$T$945</c:f>
              <c:numCache>
                <c:formatCode>_(* #,##0_);_(* \(#,##0\);_(* "-"??_);_(@_)</c:formatCode>
                <c:ptCount val="52"/>
                <c:pt idx="0">
                  <c:v>1620.6875</c:v>
                </c:pt>
                <c:pt idx="1">
                  <c:v>1580.4375</c:v>
                </c:pt>
                <c:pt idx="2">
                  <c:v>1575.875</c:v>
                </c:pt>
                <c:pt idx="3">
                  <c:v>1639.3125</c:v>
                </c:pt>
                <c:pt idx="4">
                  <c:v>1615.0625</c:v>
                </c:pt>
                <c:pt idx="5">
                  <c:v>1714.3125</c:v>
                </c:pt>
                <c:pt idx="6">
                  <c:v>1831.75</c:v>
                </c:pt>
                <c:pt idx="7">
                  <c:v>1769.9375</c:v>
                </c:pt>
                <c:pt idx="8">
                  <c:v>1784.8125</c:v>
                </c:pt>
                <c:pt idx="9">
                  <c:v>1767.125</c:v>
                </c:pt>
                <c:pt idx="10">
                  <c:v>1748.75</c:v>
                </c:pt>
                <c:pt idx="11">
                  <c:v>1712.5</c:v>
                </c:pt>
                <c:pt idx="12">
                  <c:v>1682.5</c:v>
                </c:pt>
                <c:pt idx="13">
                  <c:v>1578.5625</c:v>
                </c:pt>
                <c:pt idx="14">
                  <c:v>1492.375</c:v>
                </c:pt>
                <c:pt idx="15">
                  <c:v>1480.375</c:v>
                </c:pt>
                <c:pt idx="16">
                  <c:v>1348.125</c:v>
                </c:pt>
                <c:pt idx="17">
                  <c:v>1383.125</c:v>
                </c:pt>
                <c:pt idx="18">
                  <c:v>1253.375</c:v>
                </c:pt>
                <c:pt idx="19">
                  <c:v>1188.875</c:v>
                </c:pt>
                <c:pt idx="20">
                  <c:v>1165</c:v>
                </c:pt>
                <c:pt idx="21">
                  <c:v>1058.375</c:v>
                </c:pt>
                <c:pt idx="22">
                  <c:v>1119.6875</c:v>
                </c:pt>
                <c:pt idx="23">
                  <c:v>1225.875</c:v>
                </c:pt>
                <c:pt idx="24">
                  <c:v>1274.875</c:v>
                </c:pt>
                <c:pt idx="25">
                  <c:v>1366.1875</c:v>
                </c:pt>
                <c:pt idx="26">
                  <c:v>1526.375</c:v>
                </c:pt>
                <c:pt idx="27">
                  <c:v>1625.4375</c:v>
                </c:pt>
                <c:pt idx="28">
                  <c:v>1718.5</c:v>
                </c:pt>
                <c:pt idx="29">
                  <c:v>1747.75</c:v>
                </c:pt>
                <c:pt idx="30">
                  <c:v>1747.5</c:v>
                </c:pt>
                <c:pt idx="31">
                  <c:v>1796.375</c:v>
                </c:pt>
                <c:pt idx="32">
                  <c:v>1902.75</c:v>
                </c:pt>
                <c:pt idx="33">
                  <c:v>1982.125</c:v>
                </c:pt>
                <c:pt idx="34">
                  <c:v>2006.625</c:v>
                </c:pt>
                <c:pt idx="35">
                  <c:v>2059.1875</c:v>
                </c:pt>
                <c:pt idx="36">
                  <c:v>2061.8125</c:v>
                </c:pt>
                <c:pt idx="37">
                  <c:v>2131.625</c:v>
                </c:pt>
                <c:pt idx="38">
                  <c:v>2216.3125</c:v>
                </c:pt>
                <c:pt idx="39">
                  <c:v>2166</c:v>
                </c:pt>
                <c:pt idx="40">
                  <c:v>2182.5625</c:v>
                </c:pt>
                <c:pt idx="41">
                  <c:v>2101.125</c:v>
                </c:pt>
                <c:pt idx="42">
                  <c:v>2016.1875</c:v>
                </c:pt>
                <c:pt idx="43">
                  <c:v>2091.6875</c:v>
                </c:pt>
                <c:pt idx="44">
                  <c:v>2165.6875</c:v>
                </c:pt>
                <c:pt idx="45">
                  <c:v>2308.3125</c:v>
                </c:pt>
                <c:pt idx="46">
                  <c:v>2404.6875</c:v>
                </c:pt>
                <c:pt idx="47">
                  <c:v>2237.4375</c:v>
                </c:pt>
                <c:pt idx="48">
                  <c:v>2012.75</c:v>
                </c:pt>
                <c:pt idx="49">
                  <c:v>1772.5</c:v>
                </c:pt>
                <c:pt idx="50">
                  <c:v>1594.875</c:v>
                </c:pt>
                <c:pt idx="51">
                  <c:v>1528.4375</c:v>
                </c:pt>
              </c:numCache>
            </c:numRef>
          </c:val>
          <c:smooth val="0"/>
        </c:ser>
        <c:ser>
          <c:idx val="2"/>
          <c:order val="1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Averages'!$K$894:$K$945</c:f>
              <c:numCache>
                <c:formatCode>#,##0_);\(#,##0\)</c:formatCode>
                <c:ptCount val="52"/>
                <c:pt idx="0">
                  <c:v>1732.5</c:v>
                </c:pt>
                <c:pt idx="1">
                  <c:v>1383.75</c:v>
                </c:pt>
                <c:pt idx="2">
                  <c:v>1649.25</c:v>
                </c:pt>
                <c:pt idx="3">
                  <c:v>1642</c:v>
                </c:pt>
                <c:pt idx="4">
                  <c:v>1734.5</c:v>
                </c:pt>
                <c:pt idx="5">
                  <c:v>2013</c:v>
                </c:pt>
                <c:pt idx="6">
                  <c:v>1836.75</c:v>
                </c:pt>
                <c:pt idx="7">
                  <c:v>1638.5</c:v>
                </c:pt>
                <c:pt idx="8">
                  <c:v>1741.5</c:v>
                </c:pt>
                <c:pt idx="9">
                  <c:v>2007</c:v>
                </c:pt>
                <c:pt idx="10">
                  <c:v>1626.25</c:v>
                </c:pt>
                <c:pt idx="11">
                  <c:v>1262</c:v>
                </c:pt>
                <c:pt idx="12">
                  <c:v>1702.25</c:v>
                </c:pt>
                <c:pt idx="13">
                  <c:v>1619.25</c:v>
                </c:pt>
                <c:pt idx="14">
                  <c:v>1452.5</c:v>
                </c:pt>
                <c:pt idx="15">
                  <c:v>1093.75</c:v>
                </c:pt>
                <c:pt idx="16">
                  <c:v>1329.5</c:v>
                </c:pt>
                <c:pt idx="17">
                  <c:v>1499</c:v>
                </c:pt>
                <c:pt idx="18">
                  <c:v>987.75</c:v>
                </c:pt>
                <c:pt idx="19">
                  <c:v>1058.5</c:v>
                </c:pt>
                <c:pt idx="20">
                  <c:v>818</c:v>
                </c:pt>
                <c:pt idx="21">
                  <c:v>1334.5</c:v>
                </c:pt>
                <c:pt idx="22">
                  <c:v>1543</c:v>
                </c:pt>
                <c:pt idx="23">
                  <c:v>1220.75</c:v>
                </c:pt>
                <c:pt idx="24">
                  <c:v>1519.5</c:v>
                </c:pt>
                <c:pt idx="25">
                  <c:v>1341.5</c:v>
                </c:pt>
                <c:pt idx="26">
                  <c:v>1922.25</c:v>
                </c:pt>
                <c:pt idx="27">
                  <c:v>1757.75</c:v>
                </c:pt>
                <c:pt idx="28">
                  <c:v>1562.75</c:v>
                </c:pt>
                <c:pt idx="29">
                  <c:v>1977.25</c:v>
                </c:pt>
                <c:pt idx="30">
                  <c:v>1800.75</c:v>
                </c:pt>
                <c:pt idx="31">
                  <c:v>2119</c:v>
                </c:pt>
                <c:pt idx="32">
                  <c:v>2107.75</c:v>
                </c:pt>
                <c:pt idx="33">
                  <c:v>2095.25</c:v>
                </c:pt>
                <c:pt idx="34">
                  <c:v>1986.5</c:v>
                </c:pt>
                <c:pt idx="35">
                  <c:v>2357.25</c:v>
                </c:pt>
                <c:pt idx="36">
                  <c:v>2144.75</c:v>
                </c:pt>
                <c:pt idx="37">
                  <c:v>2317.5</c:v>
                </c:pt>
                <c:pt idx="38">
                  <c:v>1914.5</c:v>
                </c:pt>
                <c:pt idx="39">
                  <c:v>2044.25</c:v>
                </c:pt>
                <c:pt idx="40">
                  <c:v>2205.5</c:v>
                </c:pt>
                <c:pt idx="41">
                  <c:v>1946.25</c:v>
                </c:pt>
                <c:pt idx="42">
                  <c:v>2194.75</c:v>
                </c:pt>
                <c:pt idx="43">
                  <c:v>2136.5</c:v>
                </c:pt>
                <c:pt idx="44">
                  <c:v>2455.75</c:v>
                </c:pt>
                <c:pt idx="45">
                  <c:v>2330.25</c:v>
                </c:pt>
                <c:pt idx="46">
                  <c:v>2175.25</c:v>
                </c:pt>
                <c:pt idx="47">
                  <c:v>1734.25</c:v>
                </c:pt>
                <c:pt idx="48">
                  <c:v>1435.75</c:v>
                </c:pt>
                <c:pt idx="49">
                  <c:v>1627.25</c:v>
                </c:pt>
                <c:pt idx="50">
                  <c:v>1457.25</c:v>
                </c:pt>
                <c:pt idx="51">
                  <c:v>1467</c:v>
                </c:pt>
              </c:numCache>
            </c:numRef>
          </c:val>
          <c:smooth val="0"/>
        </c:ser>
        <c:ser>
          <c:idx val="4"/>
          <c:order val="2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Data'!$E$842:$E$893</c:f>
              <c:numCache>
                <c:formatCode>#,##0</c:formatCode>
                <c:ptCount val="52"/>
                <c:pt idx="0">
                  <c:v>1429</c:v>
                </c:pt>
                <c:pt idx="1">
                  <c:v>1088</c:v>
                </c:pt>
                <c:pt idx="2">
                  <c:v>1138</c:v>
                </c:pt>
                <c:pt idx="3">
                  <c:v>1807</c:v>
                </c:pt>
                <c:pt idx="4">
                  <c:v>2122</c:v>
                </c:pt>
                <c:pt idx="5">
                  <c:v>2143</c:v>
                </c:pt>
                <c:pt idx="6">
                  <c:v>1656</c:v>
                </c:pt>
                <c:pt idx="7">
                  <c:v>1419</c:v>
                </c:pt>
                <c:pt idx="8">
                  <c:v>1090</c:v>
                </c:pt>
                <c:pt idx="9">
                  <c:v>2221</c:v>
                </c:pt>
                <c:pt idx="10">
                  <c:v>1580</c:v>
                </c:pt>
                <c:pt idx="11">
                  <c:v>1169</c:v>
                </c:pt>
                <c:pt idx="12">
                  <c:v>1822</c:v>
                </c:pt>
                <c:pt idx="13">
                  <c:v>1616</c:v>
                </c:pt>
                <c:pt idx="14">
                  <c:v>928</c:v>
                </c:pt>
                <c:pt idx="15">
                  <c:v>1148</c:v>
                </c:pt>
                <c:pt idx="16">
                  <c:v>1033</c:v>
                </c:pt>
                <c:pt idx="17">
                  <c:v>1190</c:v>
                </c:pt>
                <c:pt idx="18">
                  <c:v>962</c:v>
                </c:pt>
                <c:pt idx="19">
                  <c:v>1055</c:v>
                </c:pt>
                <c:pt idx="20">
                  <c:v>784</c:v>
                </c:pt>
                <c:pt idx="21">
                  <c:v>715</c:v>
                </c:pt>
                <c:pt idx="22">
                  <c:v>1031</c:v>
                </c:pt>
                <c:pt idx="23" formatCode="#,##0;[Red]#,##0">
                  <c:v>856</c:v>
                </c:pt>
                <c:pt idx="24">
                  <c:v>1061</c:v>
                </c:pt>
                <c:pt idx="25">
                  <c:v>1018</c:v>
                </c:pt>
                <c:pt idx="26">
                  <c:v>1445</c:v>
                </c:pt>
                <c:pt idx="27">
                  <c:v>1401</c:v>
                </c:pt>
                <c:pt idx="28">
                  <c:v>1049</c:v>
                </c:pt>
                <c:pt idx="29">
                  <c:v>1761</c:v>
                </c:pt>
                <c:pt idx="30">
                  <c:v>1299</c:v>
                </c:pt>
                <c:pt idx="31">
                  <c:v>1428</c:v>
                </c:pt>
                <c:pt idx="32">
                  <c:v>1610</c:v>
                </c:pt>
                <c:pt idx="33">
                  <c:v>1540</c:v>
                </c:pt>
                <c:pt idx="34">
                  <c:v>1925</c:v>
                </c:pt>
                <c:pt idx="35">
                  <c:v>2500</c:v>
                </c:pt>
                <c:pt idx="36">
                  <c:v>2773</c:v>
                </c:pt>
                <c:pt idx="37">
                  <c:v>1768</c:v>
                </c:pt>
                <c:pt idx="38">
                  <c:v>1929</c:v>
                </c:pt>
                <c:pt idx="39">
                  <c:v>1793</c:v>
                </c:pt>
                <c:pt idx="40">
                  <c:v>2413</c:v>
                </c:pt>
                <c:pt idx="41">
                  <c:v>2261</c:v>
                </c:pt>
                <c:pt idx="42">
                  <c:v>1949</c:v>
                </c:pt>
                <c:pt idx="43">
                  <c:v>1902</c:v>
                </c:pt>
                <c:pt idx="44">
                  <c:v>2528</c:v>
                </c:pt>
                <c:pt idx="45">
                  <c:v>2604</c:v>
                </c:pt>
                <c:pt idx="46">
                  <c:v>2421</c:v>
                </c:pt>
                <c:pt idx="47">
                  <c:v>1808</c:v>
                </c:pt>
                <c:pt idx="48">
                  <c:v>1637</c:v>
                </c:pt>
                <c:pt idx="49">
                  <c:v>1911</c:v>
                </c:pt>
                <c:pt idx="50">
                  <c:v>2130</c:v>
                </c:pt>
                <c:pt idx="51">
                  <c:v>1626</c:v>
                </c:pt>
              </c:numCache>
            </c:numRef>
          </c:val>
          <c:smooth val="0"/>
        </c:ser>
        <c:ser>
          <c:idx val="0"/>
          <c:order val="3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Data'!$E$894:$E$943</c:f>
              <c:numCache>
                <c:formatCode>#,##0</c:formatCode>
                <c:ptCount val="50"/>
                <c:pt idx="0">
                  <c:v>1678</c:v>
                </c:pt>
                <c:pt idx="1">
                  <c:v>2191</c:v>
                </c:pt>
                <c:pt idx="2">
                  <c:v>2604</c:v>
                </c:pt>
                <c:pt idx="3">
                  <c:v>1847</c:v>
                </c:pt>
                <c:pt idx="4">
                  <c:v>2303</c:v>
                </c:pt>
                <c:pt idx="5">
                  <c:v>1986</c:v>
                </c:pt>
                <c:pt idx="6">
                  <c:v>2484</c:v>
                </c:pt>
                <c:pt idx="7">
                  <c:v>2054</c:v>
                </c:pt>
                <c:pt idx="8">
                  <c:v>2086</c:v>
                </c:pt>
                <c:pt idx="9" formatCode="General">
                  <c:v>2866</c:v>
                </c:pt>
                <c:pt idx="10">
                  <c:v>2276</c:v>
                </c:pt>
                <c:pt idx="11">
                  <c:v>2367</c:v>
                </c:pt>
                <c:pt idx="12">
                  <c:v>2407</c:v>
                </c:pt>
                <c:pt idx="13">
                  <c:v>2965</c:v>
                </c:pt>
                <c:pt idx="14">
                  <c:v>2654</c:v>
                </c:pt>
                <c:pt idx="15">
                  <c:v>2213</c:v>
                </c:pt>
                <c:pt idx="16">
                  <c:v>2492</c:v>
                </c:pt>
                <c:pt idx="17">
                  <c:v>2508</c:v>
                </c:pt>
                <c:pt idx="18">
                  <c:v>2099</c:v>
                </c:pt>
                <c:pt idx="19">
                  <c:v>1596</c:v>
                </c:pt>
                <c:pt idx="20" formatCode="#,##0_);\(#,##0\)">
                  <c:v>1854</c:v>
                </c:pt>
                <c:pt idx="21">
                  <c:v>2323</c:v>
                </c:pt>
                <c:pt idx="22">
                  <c:v>1636</c:v>
                </c:pt>
                <c:pt idx="23">
                  <c:v>1198</c:v>
                </c:pt>
                <c:pt idx="24">
                  <c:v>1284</c:v>
                </c:pt>
                <c:pt idx="25">
                  <c:v>958</c:v>
                </c:pt>
                <c:pt idx="26">
                  <c:v>1054</c:v>
                </c:pt>
                <c:pt idx="27">
                  <c:v>1298</c:v>
                </c:pt>
                <c:pt idx="28">
                  <c:v>627</c:v>
                </c:pt>
                <c:pt idx="29">
                  <c:v>653</c:v>
                </c:pt>
                <c:pt idx="30">
                  <c:v>1172</c:v>
                </c:pt>
                <c:pt idx="31">
                  <c:v>771</c:v>
                </c:pt>
                <c:pt idx="32">
                  <c:v>1491</c:v>
                </c:pt>
                <c:pt idx="33">
                  <c:v>897</c:v>
                </c:pt>
                <c:pt idx="34">
                  <c:v>700</c:v>
                </c:pt>
                <c:pt idx="35">
                  <c:v>839</c:v>
                </c:pt>
                <c:pt idx="36">
                  <c:v>1654</c:v>
                </c:pt>
                <c:pt idx="37">
                  <c:v>1421</c:v>
                </c:pt>
                <c:pt idx="38">
                  <c:v>1508</c:v>
                </c:pt>
                <c:pt idx="39">
                  <c:v>978</c:v>
                </c:pt>
                <c:pt idx="40">
                  <c:v>1060</c:v>
                </c:pt>
                <c:pt idx="41">
                  <c:v>567</c:v>
                </c:pt>
                <c:pt idx="42">
                  <c:v>459</c:v>
                </c:pt>
                <c:pt idx="43">
                  <c:v>121</c:v>
                </c:pt>
                <c:pt idx="44">
                  <c:v>302</c:v>
                </c:pt>
                <c:pt idx="45">
                  <c:v>644</c:v>
                </c:pt>
                <c:pt idx="46">
                  <c:v>1091</c:v>
                </c:pt>
                <c:pt idx="47">
                  <c:v>992</c:v>
                </c:pt>
                <c:pt idx="48">
                  <c:v>634</c:v>
                </c:pt>
                <c:pt idx="49">
                  <c:v>790</c:v>
                </c:pt>
              </c:numCache>
            </c:numRef>
          </c:val>
          <c:smooth val="0"/>
        </c:ser>
        <c:ser>
          <c:idx val="1"/>
          <c:order val="4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Data'!$E$946:$E$997</c:f>
              <c:numCache>
                <c:formatCode>#,##0</c:formatCode>
                <c:ptCount val="52"/>
                <c:pt idx="0">
                  <c:v>995</c:v>
                </c:pt>
                <c:pt idx="1">
                  <c:v>616</c:v>
                </c:pt>
                <c:pt idx="2">
                  <c:v>697</c:v>
                </c:pt>
                <c:pt idx="3">
                  <c:v>755</c:v>
                </c:pt>
                <c:pt idx="4">
                  <c:v>800</c:v>
                </c:pt>
                <c:pt idx="5">
                  <c:v>706</c:v>
                </c:pt>
                <c:pt idx="6">
                  <c:v>662</c:v>
                </c:pt>
                <c:pt idx="7">
                  <c:v>251</c:v>
                </c:pt>
                <c:pt idx="8">
                  <c:v>575</c:v>
                </c:pt>
                <c:pt idx="9">
                  <c:v>848</c:v>
                </c:pt>
                <c:pt idx="10">
                  <c:v>687</c:v>
                </c:pt>
                <c:pt idx="11">
                  <c:v>668</c:v>
                </c:pt>
                <c:pt idx="12">
                  <c:v>980</c:v>
                </c:pt>
                <c:pt idx="13">
                  <c:v>580</c:v>
                </c:pt>
                <c:pt idx="14">
                  <c:v>542</c:v>
                </c:pt>
                <c:pt idx="15">
                  <c:v>864</c:v>
                </c:pt>
                <c:pt idx="16">
                  <c:v>535</c:v>
                </c:pt>
                <c:pt idx="17">
                  <c:v>641</c:v>
                </c:pt>
                <c:pt idx="18">
                  <c:v>82</c:v>
                </c:pt>
                <c:pt idx="19">
                  <c:v>409</c:v>
                </c:pt>
                <c:pt idx="20">
                  <c:v>1015</c:v>
                </c:pt>
                <c:pt idx="21">
                  <c:v>1684</c:v>
                </c:pt>
                <c:pt idx="22" formatCode="General">
                  <c:v>1562</c:v>
                </c:pt>
                <c:pt idx="23" formatCode="General">
                  <c:v>921</c:v>
                </c:pt>
                <c:pt idx="24" formatCode="General">
                  <c:v>792</c:v>
                </c:pt>
                <c:pt idx="25" formatCode="General">
                  <c:v>1147</c:v>
                </c:pt>
                <c:pt idx="26" formatCode="#,##0;[Red]#,##0">
                  <c:v>587</c:v>
                </c:pt>
                <c:pt idx="27" formatCode="#,##0;[Red]#,##0">
                  <c:v>661</c:v>
                </c:pt>
                <c:pt idx="28" formatCode="#,##0;[Red]#,##0">
                  <c:v>445</c:v>
                </c:pt>
                <c:pt idx="29" formatCode="#,##0;[Red]#,##0">
                  <c:v>979</c:v>
                </c:pt>
                <c:pt idx="30" formatCode="#,##0;[Red]#,##0">
                  <c:v>367</c:v>
                </c:pt>
                <c:pt idx="31" formatCode="#,##0;[Red]#,##0">
                  <c:v>770</c:v>
                </c:pt>
                <c:pt idx="32" formatCode="#,##0;[Red]#,##0">
                  <c:v>660</c:v>
                </c:pt>
                <c:pt idx="33" formatCode="#,##0;[Red]#,##0">
                  <c:v>578</c:v>
                </c:pt>
                <c:pt idx="34" formatCode="#,##0;[Red]#,##0">
                  <c:v>1072</c:v>
                </c:pt>
                <c:pt idx="35" formatCode="#,##0;[Red]#,##0">
                  <c:v>796</c:v>
                </c:pt>
                <c:pt idx="36" formatCode="#,##0;[Red]#,##0">
                  <c:v>1330</c:v>
                </c:pt>
                <c:pt idx="37" formatCode="#,##0;[Red]#,##0">
                  <c:v>1328</c:v>
                </c:pt>
                <c:pt idx="38" formatCode="#,##0;[Red]#,##0">
                  <c:v>1521</c:v>
                </c:pt>
                <c:pt idx="39" formatCode="#,##0;[Red]#,##0">
                  <c:v>958</c:v>
                </c:pt>
                <c:pt idx="40" formatCode="#,##0;[Red]#,##0">
                  <c:v>740</c:v>
                </c:pt>
                <c:pt idx="41" formatCode="#,##0;[Red]#,##0">
                  <c:v>737</c:v>
                </c:pt>
                <c:pt idx="42" formatCode="#,##0_);\(#,##0\)">
                  <c:v>638</c:v>
                </c:pt>
                <c:pt idx="43" formatCode="#,##0_);\(#,##0\)">
                  <c:v>920</c:v>
                </c:pt>
                <c:pt idx="44" formatCode="#,##0_);\(#,##0\)">
                  <c:v>761</c:v>
                </c:pt>
                <c:pt idx="45" formatCode="0_);\(0\)">
                  <c:v>572</c:v>
                </c:pt>
                <c:pt idx="46" formatCode="0_);\(0\)">
                  <c:v>569</c:v>
                </c:pt>
                <c:pt idx="47" formatCode="0_);\(0\)">
                  <c:v>842</c:v>
                </c:pt>
                <c:pt idx="48" formatCode="0_);\(0\)">
                  <c:v>928</c:v>
                </c:pt>
                <c:pt idx="49" formatCode="0_);\(0\)">
                  <c:v>620</c:v>
                </c:pt>
                <c:pt idx="50" formatCode="0_);\(0\)">
                  <c:v>877</c:v>
                </c:pt>
                <c:pt idx="51" formatCode="0_);\(0\)">
                  <c:v>510</c:v>
                </c:pt>
              </c:numCache>
            </c:numRef>
          </c:val>
          <c:smooth val="0"/>
        </c:ser>
        <c:ser>
          <c:idx val="5"/>
          <c:order val="5"/>
          <c:tx>
            <c:v>2013</c:v>
          </c:tx>
          <c:marker>
            <c:symbol val="none"/>
          </c:marker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53600"/>
        <c:axId val="143755520"/>
      </c:lineChart>
      <c:catAx>
        <c:axId val="14375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8327273983096610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375552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3755520"/>
        <c:scaling>
          <c:orientation val="minMax"/>
          <c:max val="4500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37536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5457218731496949"/>
          <c:y val="0.90149725602481501"/>
          <c:w val="0.75841861307740588"/>
          <c:h val="9.850274397518488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8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1405314531761962"/>
          <c:y val="1.81160544587099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04539996225961"/>
          <c:y val="0.14331225838149542"/>
          <c:w val="0.81237195055922562"/>
          <c:h val="0.49643448415101982"/>
        </c:manualLayout>
      </c:layout>
      <c:lineChart>
        <c:grouping val="standard"/>
        <c:varyColors val="0"/>
        <c:ser>
          <c:idx val="3"/>
          <c:order val="0"/>
          <c:tx>
            <c:v>4-yr avg (4-week avg)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Averages'!$S$894:$S$945</c:f>
              <c:numCache>
                <c:formatCode>_(* #,##0_);_(* \(#,##0\);_(* "-"??_);_(@_)</c:formatCode>
                <c:ptCount val="52"/>
                <c:pt idx="0">
                  <c:v>1112.0625</c:v>
                </c:pt>
                <c:pt idx="1">
                  <c:v>1129.75</c:v>
                </c:pt>
                <c:pt idx="2">
                  <c:v>1181.75</c:v>
                </c:pt>
                <c:pt idx="3">
                  <c:v>1269.125</c:v>
                </c:pt>
                <c:pt idx="4">
                  <c:v>1306.9375</c:v>
                </c:pt>
                <c:pt idx="5">
                  <c:v>1284.0625</c:v>
                </c:pt>
                <c:pt idx="6">
                  <c:v>1253.5</c:v>
                </c:pt>
                <c:pt idx="7">
                  <c:v>1130.9375</c:v>
                </c:pt>
                <c:pt idx="8">
                  <c:v>1131.0625</c:v>
                </c:pt>
                <c:pt idx="9">
                  <c:v>1097.6875</c:v>
                </c:pt>
                <c:pt idx="10">
                  <c:v>991</c:v>
                </c:pt>
                <c:pt idx="11">
                  <c:v>1002.125</c:v>
                </c:pt>
                <c:pt idx="12">
                  <c:v>848.9375</c:v>
                </c:pt>
                <c:pt idx="13">
                  <c:v>731</c:v>
                </c:pt>
                <c:pt idx="14">
                  <c:v>713.125</c:v>
                </c:pt>
                <c:pt idx="15">
                  <c:v>649.75</c:v>
                </c:pt>
                <c:pt idx="16">
                  <c:v>600.875</c:v>
                </c:pt>
                <c:pt idx="17">
                  <c:v>552.625</c:v>
                </c:pt>
                <c:pt idx="18">
                  <c:v>477</c:v>
                </c:pt>
                <c:pt idx="19">
                  <c:v>449.3125</c:v>
                </c:pt>
                <c:pt idx="20">
                  <c:v>429.625</c:v>
                </c:pt>
                <c:pt idx="21">
                  <c:v>401.0625</c:v>
                </c:pt>
                <c:pt idx="22">
                  <c:v>344.5</c:v>
                </c:pt>
                <c:pt idx="23">
                  <c:v>314.8125</c:v>
                </c:pt>
                <c:pt idx="24">
                  <c:v>324</c:v>
                </c:pt>
                <c:pt idx="25">
                  <c:v>370.5</c:v>
                </c:pt>
                <c:pt idx="26">
                  <c:v>406.5625</c:v>
                </c:pt>
                <c:pt idx="27">
                  <c:v>452.375</c:v>
                </c:pt>
                <c:pt idx="28">
                  <c:v>520.8125</c:v>
                </c:pt>
                <c:pt idx="29">
                  <c:v>560.75</c:v>
                </c:pt>
                <c:pt idx="30">
                  <c:v>561</c:v>
                </c:pt>
                <c:pt idx="31">
                  <c:v>607.4375</c:v>
                </c:pt>
                <c:pt idx="32">
                  <c:v>573.1875</c:v>
                </c:pt>
                <c:pt idx="33">
                  <c:v>587.625</c:v>
                </c:pt>
                <c:pt idx="34">
                  <c:v>704.25</c:v>
                </c:pt>
                <c:pt idx="35">
                  <c:v>722.1875</c:v>
                </c:pt>
                <c:pt idx="36">
                  <c:v>794.0625</c:v>
                </c:pt>
                <c:pt idx="37">
                  <c:v>878.8125</c:v>
                </c:pt>
                <c:pt idx="38">
                  <c:v>940.3125</c:v>
                </c:pt>
                <c:pt idx="39">
                  <c:v>1140.625</c:v>
                </c:pt>
                <c:pt idx="40">
                  <c:v>1450.875</c:v>
                </c:pt>
                <c:pt idx="41">
                  <c:v>1753.3125</c:v>
                </c:pt>
                <c:pt idx="42">
                  <c:v>1995.9375</c:v>
                </c:pt>
                <c:pt idx="43">
                  <c:v>2050.4375</c:v>
                </c:pt>
                <c:pt idx="44">
                  <c:v>1938.875</c:v>
                </c:pt>
                <c:pt idx="45">
                  <c:v>1733.125</c:v>
                </c:pt>
                <c:pt idx="46">
                  <c:v>1550.9375</c:v>
                </c:pt>
                <c:pt idx="47">
                  <c:v>1474.6875</c:v>
                </c:pt>
                <c:pt idx="48">
                  <c:v>1417.625</c:v>
                </c:pt>
                <c:pt idx="49">
                  <c:v>1334.1875</c:v>
                </c:pt>
                <c:pt idx="50">
                  <c:v>1218.1875</c:v>
                </c:pt>
                <c:pt idx="51">
                  <c:v>1079.125</c:v>
                </c:pt>
              </c:numCache>
            </c:numRef>
          </c:val>
          <c:smooth val="0"/>
        </c:ser>
        <c:ser>
          <c:idx val="2"/>
          <c:order val="1"/>
          <c:tx>
            <c:v>4-yr avg(weekly)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Averages'!$J$894:$J$945</c:f>
              <c:numCache>
                <c:formatCode>#,##0_);\(#,##0\)</c:formatCode>
                <c:ptCount val="52"/>
                <c:pt idx="0">
                  <c:v>1237.5</c:v>
                </c:pt>
                <c:pt idx="1">
                  <c:v>1359.25</c:v>
                </c:pt>
                <c:pt idx="2">
                  <c:v>1250.75</c:v>
                </c:pt>
                <c:pt idx="3">
                  <c:v>1316.5</c:v>
                </c:pt>
                <c:pt idx="4">
                  <c:v>1106.75</c:v>
                </c:pt>
                <c:pt idx="5">
                  <c:v>1289.25</c:v>
                </c:pt>
                <c:pt idx="6">
                  <c:v>1159.75</c:v>
                </c:pt>
                <c:pt idx="7">
                  <c:v>834.25</c:v>
                </c:pt>
                <c:pt idx="8">
                  <c:v>1207.5</c:v>
                </c:pt>
                <c:pt idx="9">
                  <c:v>1111.5</c:v>
                </c:pt>
                <c:pt idx="10">
                  <c:v>812.75</c:v>
                </c:pt>
                <c:pt idx="11">
                  <c:v>710.5</c:v>
                </c:pt>
                <c:pt idx="12">
                  <c:v>617.75</c:v>
                </c:pt>
                <c:pt idx="13">
                  <c:v>581.5</c:v>
                </c:pt>
                <c:pt idx="14">
                  <c:v>830.75</c:v>
                </c:pt>
                <c:pt idx="15">
                  <c:v>508.75</c:v>
                </c:pt>
                <c:pt idx="16">
                  <c:v>492.75</c:v>
                </c:pt>
                <c:pt idx="17">
                  <c:v>374.5</c:v>
                </c:pt>
                <c:pt idx="18">
                  <c:v>481.5</c:v>
                </c:pt>
                <c:pt idx="19">
                  <c:v>359.25</c:v>
                </c:pt>
                <c:pt idx="20">
                  <c:v>362.5</c:v>
                </c:pt>
                <c:pt idx="21">
                  <c:v>461.25</c:v>
                </c:pt>
                <c:pt idx="22">
                  <c:v>148.75</c:v>
                </c:pt>
                <c:pt idx="23">
                  <c:v>319.75</c:v>
                </c:pt>
                <c:pt idx="24">
                  <c:v>367</c:v>
                </c:pt>
                <c:pt idx="25">
                  <c:v>513.75</c:v>
                </c:pt>
                <c:pt idx="26">
                  <c:v>422</c:v>
                </c:pt>
                <c:pt idx="27">
                  <c:v>554</c:v>
                </c:pt>
                <c:pt idx="28">
                  <c:v>731.5</c:v>
                </c:pt>
                <c:pt idx="29">
                  <c:v>614</c:v>
                </c:pt>
                <c:pt idx="30">
                  <c:v>450.5</c:v>
                </c:pt>
                <c:pt idx="31">
                  <c:v>700.75</c:v>
                </c:pt>
                <c:pt idx="32">
                  <c:v>569.75</c:v>
                </c:pt>
                <c:pt idx="33">
                  <c:v>832.5</c:v>
                </c:pt>
                <c:pt idx="34">
                  <c:v>874</c:v>
                </c:pt>
                <c:pt idx="35">
                  <c:v>767.5</c:v>
                </c:pt>
                <c:pt idx="36">
                  <c:v>879.75</c:v>
                </c:pt>
                <c:pt idx="37">
                  <c:v>1191.75</c:v>
                </c:pt>
                <c:pt idx="38">
                  <c:v>1154</c:v>
                </c:pt>
                <c:pt idx="39">
                  <c:v>1646</c:v>
                </c:pt>
                <c:pt idx="40">
                  <c:v>2160.75</c:v>
                </c:pt>
                <c:pt idx="41">
                  <c:v>2063</c:v>
                </c:pt>
                <c:pt idx="42">
                  <c:v>2038.75</c:v>
                </c:pt>
                <c:pt idx="43">
                  <c:v>1666.75</c:v>
                </c:pt>
                <c:pt idx="44">
                  <c:v>1625.75</c:v>
                </c:pt>
                <c:pt idx="45">
                  <c:v>1381.25</c:v>
                </c:pt>
                <c:pt idx="46">
                  <c:v>1530.75</c:v>
                </c:pt>
                <c:pt idx="47">
                  <c:v>1426.75</c:v>
                </c:pt>
                <c:pt idx="48">
                  <c:v>1387</c:v>
                </c:pt>
                <c:pt idx="49">
                  <c:v>981.75</c:v>
                </c:pt>
                <c:pt idx="50">
                  <c:v>992.25</c:v>
                </c:pt>
                <c:pt idx="51">
                  <c:v>710</c:v>
                </c:pt>
              </c:numCache>
            </c:numRef>
          </c:val>
          <c:smooth val="0"/>
        </c:ser>
        <c:ser>
          <c:idx val="4"/>
          <c:order val="2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Data'!$D$842:$D$893</c:f>
              <c:numCache>
                <c:formatCode>#,##0</c:formatCode>
                <c:ptCount val="52"/>
                <c:pt idx="0">
                  <c:v>490</c:v>
                </c:pt>
                <c:pt idx="1">
                  <c:v>278</c:v>
                </c:pt>
                <c:pt idx="2">
                  <c:v>570</c:v>
                </c:pt>
                <c:pt idx="3">
                  <c:v>716</c:v>
                </c:pt>
                <c:pt idx="4">
                  <c:v>589</c:v>
                </c:pt>
                <c:pt idx="5">
                  <c:v>783</c:v>
                </c:pt>
                <c:pt idx="6">
                  <c:v>367</c:v>
                </c:pt>
                <c:pt idx="7">
                  <c:v>230</c:v>
                </c:pt>
                <c:pt idx="8">
                  <c:v>504</c:v>
                </c:pt>
                <c:pt idx="9">
                  <c:v>555</c:v>
                </c:pt>
                <c:pt idx="10">
                  <c:v>226</c:v>
                </c:pt>
                <c:pt idx="11">
                  <c:v>594</c:v>
                </c:pt>
                <c:pt idx="12">
                  <c:v>84</c:v>
                </c:pt>
                <c:pt idx="13">
                  <c:v>200</c:v>
                </c:pt>
                <c:pt idx="14">
                  <c:v>222</c:v>
                </c:pt>
                <c:pt idx="15">
                  <c:v>100</c:v>
                </c:pt>
                <c:pt idx="16">
                  <c:v>198</c:v>
                </c:pt>
                <c:pt idx="17">
                  <c:v>107</c:v>
                </c:pt>
                <c:pt idx="18">
                  <c:v>108</c:v>
                </c:pt>
                <c:pt idx="19">
                  <c:v>198</c:v>
                </c:pt>
                <c:pt idx="20">
                  <c:v>201</c:v>
                </c:pt>
                <c:pt idx="21">
                  <c:v>208</c:v>
                </c:pt>
                <c:pt idx="22">
                  <c:v>0</c:v>
                </c:pt>
                <c:pt idx="23" formatCode="#,##0;[Red]#,##0">
                  <c:v>430</c:v>
                </c:pt>
                <c:pt idx="24">
                  <c:v>158</c:v>
                </c:pt>
                <c:pt idx="25">
                  <c:v>214</c:v>
                </c:pt>
                <c:pt idx="26">
                  <c:v>5</c:v>
                </c:pt>
                <c:pt idx="27">
                  <c:v>105</c:v>
                </c:pt>
                <c:pt idx="28">
                  <c:v>231</c:v>
                </c:pt>
                <c:pt idx="29">
                  <c:v>442</c:v>
                </c:pt>
                <c:pt idx="30">
                  <c:v>101</c:v>
                </c:pt>
                <c:pt idx="31">
                  <c:v>262</c:v>
                </c:pt>
                <c:pt idx="32">
                  <c:v>393</c:v>
                </c:pt>
                <c:pt idx="33">
                  <c:v>494</c:v>
                </c:pt>
                <c:pt idx="34">
                  <c:v>372</c:v>
                </c:pt>
                <c:pt idx="35">
                  <c:v>757</c:v>
                </c:pt>
                <c:pt idx="36">
                  <c:v>884</c:v>
                </c:pt>
                <c:pt idx="37">
                  <c:v>1288</c:v>
                </c:pt>
                <c:pt idx="38">
                  <c:v>849</c:v>
                </c:pt>
                <c:pt idx="39">
                  <c:v>1458</c:v>
                </c:pt>
                <c:pt idx="40">
                  <c:v>1548</c:v>
                </c:pt>
                <c:pt idx="41">
                  <c:v>2094</c:v>
                </c:pt>
                <c:pt idx="42">
                  <c:v>1583</c:v>
                </c:pt>
                <c:pt idx="43">
                  <c:v>1904</c:v>
                </c:pt>
                <c:pt idx="44">
                  <c:v>1776</c:v>
                </c:pt>
                <c:pt idx="45">
                  <c:v>1644</c:v>
                </c:pt>
                <c:pt idx="46">
                  <c:v>1123</c:v>
                </c:pt>
                <c:pt idx="47">
                  <c:v>1316</c:v>
                </c:pt>
                <c:pt idx="48">
                  <c:v>1735</c:v>
                </c:pt>
                <c:pt idx="49">
                  <c:v>1075</c:v>
                </c:pt>
                <c:pt idx="50">
                  <c:v>1110</c:v>
                </c:pt>
                <c:pt idx="51">
                  <c:v>1092</c:v>
                </c:pt>
              </c:numCache>
            </c:numRef>
          </c:val>
          <c:smooth val="0"/>
        </c:ser>
        <c:ser>
          <c:idx val="0"/>
          <c:order val="3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Data'!$D$894:$D$943</c:f>
              <c:numCache>
                <c:formatCode>#,##0</c:formatCode>
                <c:ptCount val="50"/>
                <c:pt idx="0">
                  <c:v>1100</c:v>
                </c:pt>
                <c:pt idx="1">
                  <c:v>853</c:v>
                </c:pt>
                <c:pt idx="2">
                  <c:v>1403</c:v>
                </c:pt>
                <c:pt idx="3">
                  <c:v>1200</c:v>
                </c:pt>
                <c:pt idx="4">
                  <c:v>940</c:v>
                </c:pt>
                <c:pt idx="5">
                  <c:v>728</c:v>
                </c:pt>
                <c:pt idx="6">
                  <c:v>1208</c:v>
                </c:pt>
                <c:pt idx="7">
                  <c:v>1036</c:v>
                </c:pt>
                <c:pt idx="8">
                  <c:v>1147</c:v>
                </c:pt>
                <c:pt idx="9" formatCode="General">
                  <c:v>1113</c:v>
                </c:pt>
                <c:pt idx="10">
                  <c:v>1111</c:v>
                </c:pt>
                <c:pt idx="11">
                  <c:v>1706</c:v>
                </c:pt>
                <c:pt idx="12">
                  <c:v>1282</c:v>
                </c:pt>
                <c:pt idx="13">
                  <c:v>1104</c:v>
                </c:pt>
                <c:pt idx="14">
                  <c:v>703</c:v>
                </c:pt>
                <c:pt idx="15">
                  <c:v>228</c:v>
                </c:pt>
                <c:pt idx="16">
                  <c:v>482</c:v>
                </c:pt>
                <c:pt idx="17">
                  <c:v>404</c:v>
                </c:pt>
                <c:pt idx="18">
                  <c:v>778</c:v>
                </c:pt>
                <c:pt idx="19">
                  <c:v>537</c:v>
                </c:pt>
                <c:pt idx="20" formatCode="General">
                  <c:v>554</c:v>
                </c:pt>
                <c:pt idx="21">
                  <c:v>435</c:v>
                </c:pt>
                <c:pt idx="22">
                  <c:v>373</c:v>
                </c:pt>
                <c:pt idx="23">
                  <c:v>156</c:v>
                </c:pt>
                <c:pt idx="24">
                  <c:v>231</c:v>
                </c:pt>
                <c:pt idx="25">
                  <c:v>218</c:v>
                </c:pt>
                <c:pt idx="26">
                  <c:v>209</c:v>
                </c:pt>
                <c:pt idx="27">
                  <c:v>167</c:v>
                </c:pt>
                <c:pt idx="28">
                  <c:v>3</c:v>
                </c:pt>
                <c:pt idx="29">
                  <c:v>111</c:v>
                </c:pt>
                <c:pt idx="30">
                  <c:v>206</c:v>
                </c:pt>
                <c:pt idx="31">
                  <c:v>0</c:v>
                </c:pt>
                <c:pt idx="32">
                  <c:v>128</c:v>
                </c:pt>
                <c:pt idx="33">
                  <c:v>108</c:v>
                </c:pt>
                <c:pt idx="34">
                  <c:v>1</c:v>
                </c:pt>
                <c:pt idx="35">
                  <c:v>120</c:v>
                </c:pt>
                <c:pt idx="36">
                  <c:v>110</c:v>
                </c:pt>
                <c:pt idx="37">
                  <c:v>149</c:v>
                </c:pt>
                <c:pt idx="38">
                  <c:v>617</c:v>
                </c:pt>
                <c:pt idx="39">
                  <c:v>479</c:v>
                </c:pt>
                <c:pt idx="40">
                  <c:v>279</c:v>
                </c:pt>
                <c:pt idx="41">
                  <c:v>791</c:v>
                </c:pt>
                <c:pt idx="42">
                  <c:v>891</c:v>
                </c:pt>
                <c:pt idx="43">
                  <c:v>533</c:v>
                </c:pt>
                <c:pt idx="44">
                  <c:v>532</c:v>
                </c:pt>
                <c:pt idx="45">
                  <c:v>76</c:v>
                </c:pt>
                <c:pt idx="46">
                  <c:v>405</c:v>
                </c:pt>
                <c:pt idx="47">
                  <c:v>125</c:v>
                </c:pt>
                <c:pt idx="48">
                  <c:v>111</c:v>
                </c:pt>
                <c:pt idx="49">
                  <c:v>117</c:v>
                </c:pt>
              </c:numCache>
            </c:numRef>
          </c:val>
          <c:smooth val="0"/>
        </c:ser>
        <c:ser>
          <c:idx val="1"/>
          <c:order val="4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Data'!$D$946:$D$997</c:f>
              <c:numCache>
                <c:formatCode>#,##0</c:formatCode>
                <c:ptCount val="52"/>
                <c:pt idx="0">
                  <c:v>25</c:v>
                </c:pt>
                <c:pt idx="1">
                  <c:v>148</c:v>
                </c:pt>
                <c:pt idx="2">
                  <c:v>0</c:v>
                </c:pt>
                <c:pt idx="3">
                  <c:v>25</c:v>
                </c:pt>
                <c:pt idx="4">
                  <c:v>449</c:v>
                </c:pt>
                <c:pt idx="5">
                  <c:v>144</c:v>
                </c:pt>
                <c:pt idx="6">
                  <c:v>630</c:v>
                </c:pt>
                <c:pt idx="7">
                  <c:v>567</c:v>
                </c:pt>
                <c:pt idx="8">
                  <c:v>433</c:v>
                </c:pt>
                <c:pt idx="9">
                  <c:v>359</c:v>
                </c:pt>
                <c:pt idx="10">
                  <c:v>328</c:v>
                </c:pt>
                <c:pt idx="11">
                  <c:v>68</c:v>
                </c:pt>
                <c:pt idx="12">
                  <c:v>6</c:v>
                </c:pt>
                <c:pt idx="13">
                  <c:v>235</c:v>
                </c:pt>
                <c:pt idx="14">
                  <c:v>71</c:v>
                </c:pt>
                <c:pt idx="15">
                  <c:v>0</c:v>
                </c:pt>
                <c:pt idx="16">
                  <c:v>52</c:v>
                </c:pt>
                <c:pt idx="17">
                  <c:v>25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19</c:v>
                </c:pt>
                <c:pt idx="22" formatCode="General">
                  <c:v>215</c:v>
                </c:pt>
                <c:pt idx="23" formatCode="General">
                  <c:v>110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110</c:v>
                </c:pt>
                <c:pt idx="27" formatCode="General">
                  <c:v>0</c:v>
                </c:pt>
                <c:pt idx="28" formatCode="General">
                  <c:v>504</c:v>
                </c:pt>
                <c:pt idx="29" formatCode="General">
                  <c:v>280</c:v>
                </c:pt>
                <c:pt idx="30" formatCode="#,##0_);\(#,##0\)">
                  <c:v>393</c:v>
                </c:pt>
                <c:pt idx="31" formatCode="#,##0_);\(#,##0\)">
                  <c:v>791</c:v>
                </c:pt>
                <c:pt idx="32" formatCode="#,##0_);\(#,##0\)">
                  <c:v>257</c:v>
                </c:pt>
                <c:pt idx="33" formatCode="#,##0_);\(#,##0\)">
                  <c:v>629</c:v>
                </c:pt>
                <c:pt idx="34" formatCode="#,##0_);\(#,##0\)">
                  <c:v>1</c:v>
                </c:pt>
                <c:pt idx="35" formatCode="#,##0_);\(#,##0\)">
                  <c:v>74</c:v>
                </c:pt>
                <c:pt idx="36" formatCode="#,##0_);\(#,##0\)">
                  <c:v>50</c:v>
                </c:pt>
                <c:pt idx="37" formatCode="#,##0_);\(#,##0\)">
                  <c:v>333</c:v>
                </c:pt>
                <c:pt idx="38" formatCode="#,##0_);\(#,##0\)">
                  <c:v>506</c:v>
                </c:pt>
                <c:pt idx="39" formatCode="#,##0_);\(#,##0\)">
                  <c:v>1218</c:v>
                </c:pt>
                <c:pt idx="40" formatCode="#,##0_);\(#,##0\)">
                  <c:v>1439</c:v>
                </c:pt>
                <c:pt idx="41" formatCode="#,##0_);\(#,##0\)">
                  <c:v>1905</c:v>
                </c:pt>
                <c:pt idx="42" formatCode="#,##0_);\(#,##0\)">
                  <c:v>631</c:v>
                </c:pt>
                <c:pt idx="43" formatCode="#,##0_);\(#,##0\)">
                  <c:v>539</c:v>
                </c:pt>
                <c:pt idx="44" formatCode="#,##0_);\(#,##0\)">
                  <c:v>694</c:v>
                </c:pt>
                <c:pt idx="45" formatCode="#,##0_);\(#,##0\)">
                  <c:v>641</c:v>
                </c:pt>
                <c:pt idx="46" formatCode="#,##0_);\(#,##0\)">
                  <c:v>1127</c:v>
                </c:pt>
                <c:pt idx="47" formatCode="#,##0_);\(#,##0\)">
                  <c:v>1311</c:v>
                </c:pt>
                <c:pt idx="48" formatCode="#,##0_);\(#,##0\)">
                  <c:v>1365</c:v>
                </c:pt>
                <c:pt idx="49" formatCode="#,##0_);\(#,##0\)">
                  <c:v>1027</c:v>
                </c:pt>
                <c:pt idx="50" formatCode="#,##0_);\(#,##0\)">
                  <c:v>1448</c:v>
                </c:pt>
                <c:pt idx="51" formatCode="#,##0_);\(#,##0\)">
                  <c:v>1402</c:v>
                </c:pt>
              </c:numCache>
            </c:numRef>
          </c:val>
          <c:smooth val="0"/>
        </c:ser>
        <c:ser>
          <c:idx val="5"/>
          <c:order val="5"/>
          <c:tx>
            <c:v>2013</c:v>
          </c:tx>
          <c:marker>
            <c:symbol val="none"/>
          </c:marker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56000"/>
        <c:axId val="166270464"/>
      </c:lineChart>
      <c:catAx>
        <c:axId val="16625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6270464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66270464"/>
        <c:scaling>
          <c:orientation val="minMax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62560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086086665637383"/>
          <c:y val="0.8986214007731792"/>
          <c:w val="0.85080477072718852"/>
          <c:h val="0.101378599226820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1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9877054841828981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17388785654764"/>
          <c:y val="9.9279333356872987E-2"/>
          <c:w val="0.82991803278689324"/>
          <c:h val="0.5494525149257195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Averages'!$H$842:$H$893</c:f>
              <c:numCache>
                <c:formatCode>#,##0_);\(#,##0\)</c:formatCode>
                <c:ptCount val="52"/>
                <c:pt idx="0">
                  <c:v>1541.5161885902278</c:v>
                </c:pt>
                <c:pt idx="1">
                  <c:v>1554.4249373686887</c:v>
                </c:pt>
                <c:pt idx="2">
                  <c:v>1516.9257770680408</c:v>
                </c:pt>
                <c:pt idx="3">
                  <c:v>1664.1410968892681</c:v>
                </c:pt>
                <c:pt idx="4">
                  <c:v>1650.8451204558573</c:v>
                </c:pt>
                <c:pt idx="5">
                  <c:v>1554.4260350548184</c:v>
                </c:pt>
                <c:pt idx="6">
                  <c:v>1737.9761288228508</c:v>
                </c:pt>
                <c:pt idx="7">
                  <c:v>1534.080723456434</c:v>
                </c:pt>
                <c:pt idx="8">
                  <c:v>1683.795679457588</c:v>
                </c:pt>
                <c:pt idx="9">
                  <c:v>1809.1847194171958</c:v>
                </c:pt>
                <c:pt idx="10">
                  <c:v>1918.2090522215813</c:v>
                </c:pt>
                <c:pt idx="11">
                  <c:v>2130.9502452394695</c:v>
                </c:pt>
                <c:pt idx="12">
                  <c:v>2276.9057414887484</c:v>
                </c:pt>
                <c:pt idx="13">
                  <c:v>2245.7243400173111</c:v>
                </c:pt>
                <c:pt idx="14">
                  <c:v>2140.2383222735143</c:v>
                </c:pt>
                <c:pt idx="15">
                  <c:v>2139.1325988170802</c:v>
                </c:pt>
                <c:pt idx="16">
                  <c:v>2215.6486620023084</c:v>
                </c:pt>
                <c:pt idx="17">
                  <c:v>2222.9464368147724</c:v>
                </c:pt>
                <c:pt idx="18">
                  <c:v>2241.743735574149</c:v>
                </c:pt>
                <c:pt idx="19">
                  <c:v>2232.8979479226773</c:v>
                </c:pt>
                <c:pt idx="20">
                  <c:v>2111.2683677149453</c:v>
                </c:pt>
                <c:pt idx="21">
                  <c:v>2117.2392743796886</c:v>
                </c:pt>
                <c:pt idx="22">
                  <c:v>2212.5526363242934</c:v>
                </c:pt>
                <c:pt idx="23">
                  <c:v>2238.205420513561</c:v>
                </c:pt>
                <c:pt idx="24">
                  <c:v>2094.4613711771499</c:v>
                </c:pt>
                <c:pt idx="25">
                  <c:v>2150.4109780727063</c:v>
                </c:pt>
                <c:pt idx="26">
                  <c:v>1880.3933100115407</c:v>
                </c:pt>
                <c:pt idx="27">
                  <c:v>1647.7490947778419</c:v>
                </c:pt>
                <c:pt idx="28">
                  <c:v>1555.3106138199655</c:v>
                </c:pt>
                <c:pt idx="29">
                  <c:v>1388.1252272071554</c:v>
                </c:pt>
                <c:pt idx="30">
                  <c:v>1649.0759629255629</c:v>
                </c:pt>
                <c:pt idx="31">
                  <c:v>1614.5773910848243</c:v>
                </c:pt>
                <c:pt idx="32">
                  <c:v>1620.7694424408542</c:v>
                </c:pt>
                <c:pt idx="33">
                  <c:v>1638.6821624350839</c:v>
                </c:pt>
                <c:pt idx="34">
                  <c:v>1303.6479551356033</c:v>
                </c:pt>
                <c:pt idx="35">
                  <c:v>1543.1476557991923</c:v>
                </c:pt>
                <c:pt idx="36">
                  <c:v>1436.3347699076746</c:v>
                </c:pt>
                <c:pt idx="37">
                  <c:v>1451.593753606463</c:v>
                </c:pt>
                <c:pt idx="38">
                  <c:v>1495.6015471725332</c:v>
                </c:pt>
                <c:pt idx="39">
                  <c:v>1330.4064627813041</c:v>
                </c:pt>
                <c:pt idx="40">
                  <c:v>1504.4473348240049</c:v>
                </c:pt>
                <c:pt idx="41">
                  <c:v>1482.1117210040393</c:v>
                </c:pt>
                <c:pt idx="42">
                  <c:v>1635.364992065782</c:v>
                </c:pt>
                <c:pt idx="43">
                  <c:v>1773.1381347374495</c:v>
                </c:pt>
                <c:pt idx="44">
                  <c:v>1757.6580063473746</c:v>
                </c:pt>
                <c:pt idx="45">
                  <c:v>1677.3824834102713</c:v>
                </c:pt>
                <c:pt idx="46">
                  <c:v>1593.7897901038664</c:v>
                </c:pt>
                <c:pt idx="47">
                  <c:v>1451.1514642238892</c:v>
                </c:pt>
                <c:pt idx="48">
                  <c:v>1344.5597230236585</c:v>
                </c:pt>
                <c:pt idx="49">
                  <c:v>1449.6034513848817</c:v>
                </c:pt>
                <c:pt idx="50">
                  <c:v>1373.5296775822276</c:v>
                </c:pt>
                <c:pt idx="51">
                  <c:v>1347.8768933929603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avg)"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Averages'!$U$842:$U$893</c:f>
              <c:numCache>
                <c:formatCode>#,##0</c:formatCode>
                <c:ptCount val="52"/>
                <c:pt idx="0">
                  <c:v>733.9375</c:v>
                </c:pt>
                <c:pt idx="1">
                  <c:v>669.25</c:v>
                </c:pt>
                <c:pt idx="2">
                  <c:v>637.5625</c:v>
                </c:pt>
                <c:pt idx="3">
                  <c:v>679.375</c:v>
                </c:pt>
                <c:pt idx="4">
                  <c:v>611.1875</c:v>
                </c:pt>
                <c:pt idx="5">
                  <c:v>696</c:v>
                </c:pt>
                <c:pt idx="6">
                  <c:v>630.1875</c:v>
                </c:pt>
                <c:pt idx="7">
                  <c:v>664.5</c:v>
                </c:pt>
                <c:pt idx="8">
                  <c:v>780.625</c:v>
                </c:pt>
                <c:pt idx="9">
                  <c:v>832.6875</c:v>
                </c:pt>
                <c:pt idx="10">
                  <c:v>856.6875</c:v>
                </c:pt>
                <c:pt idx="11">
                  <c:v>881</c:v>
                </c:pt>
                <c:pt idx="12">
                  <c:v>841.25</c:v>
                </c:pt>
                <c:pt idx="13">
                  <c:v>852.25</c:v>
                </c:pt>
                <c:pt idx="14">
                  <c:v>902.25</c:v>
                </c:pt>
                <c:pt idx="15">
                  <c:v>885.5625</c:v>
                </c:pt>
                <c:pt idx="16">
                  <c:v>914.5</c:v>
                </c:pt>
                <c:pt idx="17">
                  <c:v>907.5</c:v>
                </c:pt>
                <c:pt idx="18">
                  <c:v>943.5625</c:v>
                </c:pt>
                <c:pt idx="19">
                  <c:v>948.0625</c:v>
                </c:pt>
                <c:pt idx="20">
                  <c:v>943.375</c:v>
                </c:pt>
                <c:pt idx="21">
                  <c:v>943.125</c:v>
                </c:pt>
                <c:pt idx="22">
                  <c:v>819.375</c:v>
                </c:pt>
                <c:pt idx="23">
                  <c:v>776.375</c:v>
                </c:pt>
                <c:pt idx="24">
                  <c:v>698.1875</c:v>
                </c:pt>
                <c:pt idx="25">
                  <c:v>625.375</c:v>
                </c:pt>
                <c:pt idx="26">
                  <c:v>674.4375</c:v>
                </c:pt>
                <c:pt idx="27">
                  <c:v>635</c:v>
                </c:pt>
                <c:pt idx="28">
                  <c:v>670.0625</c:v>
                </c:pt>
                <c:pt idx="29">
                  <c:v>622.5</c:v>
                </c:pt>
                <c:pt idx="30">
                  <c:v>615.9375</c:v>
                </c:pt>
                <c:pt idx="31">
                  <c:v>608.25</c:v>
                </c:pt>
                <c:pt idx="32">
                  <c:v>601.75</c:v>
                </c:pt>
                <c:pt idx="33">
                  <c:v>678.75</c:v>
                </c:pt>
                <c:pt idx="34">
                  <c:v>651.0625</c:v>
                </c:pt>
                <c:pt idx="35">
                  <c:v>671.5</c:v>
                </c:pt>
                <c:pt idx="36">
                  <c:v>684.625</c:v>
                </c:pt>
                <c:pt idx="37">
                  <c:v>741.5625</c:v>
                </c:pt>
                <c:pt idx="38">
                  <c:v>797.5</c:v>
                </c:pt>
                <c:pt idx="39">
                  <c:v>835.75</c:v>
                </c:pt>
                <c:pt idx="40">
                  <c:v>915.9375</c:v>
                </c:pt>
                <c:pt idx="41">
                  <c:v>866.5</c:v>
                </c:pt>
                <c:pt idx="42">
                  <c:v>902.0625</c:v>
                </c:pt>
                <c:pt idx="43">
                  <c:v>989.3125</c:v>
                </c:pt>
                <c:pt idx="44">
                  <c:v>946.3125</c:v>
                </c:pt>
                <c:pt idx="45">
                  <c:v>936.5</c:v>
                </c:pt>
                <c:pt idx="46">
                  <c:v>889.875</c:v>
                </c:pt>
                <c:pt idx="47">
                  <c:v>770.875</c:v>
                </c:pt>
                <c:pt idx="48">
                  <c:v>767.375</c:v>
                </c:pt>
                <c:pt idx="49">
                  <c:v>724.25</c:v>
                </c:pt>
                <c:pt idx="50">
                  <c:v>742.25</c:v>
                </c:pt>
                <c:pt idx="51">
                  <c:v>683.0625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Averages'!$H$894:$H$945</c:f>
              <c:numCache>
                <c:formatCode>#,##0_);\(#,##0\)</c:formatCode>
                <c:ptCount val="52"/>
                <c:pt idx="0">
                  <c:v>1291.7061418061166</c:v>
                </c:pt>
                <c:pt idx="1">
                  <c:v>1204.2163829143958</c:v>
                </c:pt>
                <c:pt idx="2">
                  <c:v>1278.1958596892373</c:v>
                </c:pt>
                <c:pt idx="3">
                  <c:v>1351.7900657883774</c:v>
                </c:pt>
                <c:pt idx="4">
                  <c:v>1476.3774656437697</c:v>
                </c:pt>
                <c:pt idx="5">
                  <c:v>1404.5321218665722</c:v>
                </c:pt>
                <c:pt idx="6">
                  <c:v>1251.7498938959266</c:v>
                </c:pt>
                <c:pt idx="7">
                  <c:v>1293.2161879895561</c:v>
                </c:pt>
                <c:pt idx="8">
                  <c:v>1259.5109649829697</c:v>
                </c:pt>
                <c:pt idx="9">
                  <c:v>1254.8543223307438</c:v>
                </c:pt>
                <c:pt idx="10">
                  <c:v>1598.5588990426459</c:v>
                </c:pt>
                <c:pt idx="11">
                  <c:v>1548.0010645327659</c:v>
                </c:pt>
                <c:pt idx="12">
                  <c:v>1793.2509108833233</c:v>
                </c:pt>
                <c:pt idx="13">
                  <c:v>1959.7813219224447</c:v>
                </c:pt>
                <c:pt idx="14">
                  <c:v>2386.8619765980084</c:v>
                </c:pt>
                <c:pt idx="15">
                  <c:v>2695.7526058623171</c:v>
                </c:pt>
                <c:pt idx="16">
                  <c:v>2783.5635815900032</c:v>
                </c:pt>
                <c:pt idx="17">
                  <c:v>2935.9023197842462</c:v>
                </c:pt>
                <c:pt idx="18">
                  <c:v>2602.8414977060033</c:v>
                </c:pt>
                <c:pt idx="19">
                  <c:v>2236.5189423975762</c:v>
                </c:pt>
                <c:pt idx="20">
                  <c:v>2174.8738634776355</c:v>
                </c:pt>
                <c:pt idx="21">
                  <c:v>2100.5893259302238</c:v>
                </c:pt>
                <c:pt idx="22">
                  <c:v>1839.8173374055809</c:v>
                </c:pt>
                <c:pt idx="23">
                  <c:v>2130.3031409491887</c:v>
                </c:pt>
                <c:pt idx="24">
                  <c:v>1929.6240171270779</c:v>
                </c:pt>
                <c:pt idx="25">
                  <c:v>2090.6108059611688</c:v>
                </c:pt>
                <c:pt idx="26">
                  <c:v>2291.2899297832791</c:v>
                </c:pt>
                <c:pt idx="27">
                  <c:v>2164.6735986203785</c:v>
                </c:pt>
                <c:pt idx="28">
                  <c:v>2276.2112773855956</c:v>
                </c:pt>
                <c:pt idx="29">
                  <c:v>1965.5466890156767</c:v>
                </c:pt>
                <c:pt idx="30">
                  <c:v>1857.3351835734777</c:v>
                </c:pt>
                <c:pt idx="31">
                  <c:v>1801.0119819703662</c:v>
                </c:pt>
                <c:pt idx="32">
                  <c:v>1630.4901629436224</c:v>
                </c:pt>
                <c:pt idx="33">
                  <c:v>1670.4042428198434</c:v>
                </c:pt>
                <c:pt idx="34">
                  <c:v>1626.4987549560005</c:v>
                </c:pt>
                <c:pt idx="35">
                  <c:v>1519.8394637312103</c:v>
                </c:pt>
                <c:pt idx="36">
                  <c:v>1622.9508367447806</c:v>
                </c:pt>
                <c:pt idx="37">
                  <c:v>1739.5886479386263</c:v>
                </c:pt>
                <c:pt idx="38">
                  <c:v>1604.546011024079</c:v>
                </c:pt>
                <c:pt idx="39">
                  <c:v>1692.3569867517649</c:v>
                </c:pt>
                <c:pt idx="40">
                  <c:v>1767.7502487401821</c:v>
                </c:pt>
                <c:pt idx="41">
                  <c:v>1504.3173215571246</c:v>
                </c:pt>
                <c:pt idx="42">
                  <c:v>1791.9204415541158</c:v>
                </c:pt>
                <c:pt idx="43">
                  <c:v>1869.3094075363442</c:v>
                </c:pt>
                <c:pt idx="44">
                  <c:v>1912.5496607355833</c:v>
                </c:pt>
                <c:pt idx="45">
                  <c:v>2120.1028760919321</c:v>
                </c:pt>
                <c:pt idx="46">
                  <c:v>1983.2862800717749</c:v>
                </c:pt>
                <c:pt idx="47">
                  <c:v>1885.0532945986313</c:v>
                </c:pt>
                <c:pt idx="48">
                  <c:v>1780.8331971440546</c:v>
                </c:pt>
                <c:pt idx="49">
                  <c:v>1616.0767452105429</c:v>
                </c:pt>
                <c:pt idx="50">
                  <c:v>1540.6834832221257</c:v>
                </c:pt>
                <c:pt idx="51">
                  <c:v>1915.6540891704008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Averages'!$H$946:$H$997</c:f>
              <c:numCache>
                <c:formatCode>#,##0_);\(#,##0\)</c:formatCode>
                <c:ptCount val="52"/>
                <c:pt idx="0">
                  <c:v>1871.5268564183564</c:v>
                </c:pt>
                <c:pt idx="1">
                  <c:v>2205.9567987192295</c:v>
                </c:pt>
                <c:pt idx="2">
                  <c:v>2342.7691319075093</c:v>
                </c:pt>
                <c:pt idx="3">
                  <c:v>2003.2850738430625</c:v>
                </c:pt>
                <c:pt idx="4">
                  <c:v>2086.3249999999998</c:v>
                </c:pt>
                <c:pt idx="5">
                  <c:v>1773.1</c:v>
                </c:pt>
                <c:pt idx="6">
                  <c:v>1821.3375000000001</c:v>
                </c:pt>
                <c:pt idx="7">
                  <c:v>1876.8000000000002</c:v>
                </c:pt>
                <c:pt idx="8">
                  <c:v>1881.05</c:v>
                </c:pt>
                <c:pt idx="9">
                  <c:v>2102.2624999999998</c:v>
                </c:pt>
                <c:pt idx="10">
                  <c:v>2227.85</c:v>
                </c:pt>
                <c:pt idx="11">
                  <c:v>2256.9624999999996</c:v>
                </c:pt>
                <c:pt idx="12">
                  <c:v>2299.4624999999996</c:v>
                </c:pt>
                <c:pt idx="13">
                  <c:v>2458.8375000000001</c:v>
                </c:pt>
                <c:pt idx="14">
                  <c:v>2455.65</c:v>
                </c:pt>
                <c:pt idx="15">
                  <c:v>2525.7749999999996</c:v>
                </c:pt>
                <c:pt idx="16">
                  <c:v>2591.4375</c:v>
                </c:pt>
                <c:pt idx="17">
                  <c:v>2438.8625000000002</c:v>
                </c:pt>
                <c:pt idx="18">
                  <c:v>2384.8875000000003</c:v>
                </c:pt>
                <c:pt idx="19">
                  <c:v>2420.1624999999999</c:v>
                </c:pt>
                <c:pt idx="20">
                  <c:v>2316.25</c:v>
                </c:pt>
                <c:pt idx="21">
                  <c:v>2264.4</c:v>
                </c:pt>
                <c:pt idx="22">
                  <c:v>2160.9124999999999</c:v>
                </c:pt>
                <c:pt idx="23">
                  <c:v>1945.0125</c:v>
                </c:pt>
                <c:pt idx="24">
                  <c:v>1838.7625</c:v>
                </c:pt>
                <c:pt idx="25">
                  <c:v>1681.5125</c:v>
                </c:pt>
                <c:pt idx="26">
                  <c:v>1471.5625</c:v>
                </c:pt>
                <c:pt idx="27">
                  <c:v>1393.5749999999998</c:v>
                </c:pt>
                <c:pt idx="28">
                  <c:v>1409.9375</c:v>
                </c:pt>
                <c:pt idx="29">
                  <c:v>1386.9875</c:v>
                </c:pt>
                <c:pt idx="30">
                  <c:v>1291.5749999999998</c:v>
                </c:pt>
                <c:pt idx="31">
                  <c:v>1389.3249999999998</c:v>
                </c:pt>
                <c:pt idx="32">
                  <c:v>1484.7375</c:v>
                </c:pt>
                <c:pt idx="33">
                  <c:v>1548.6999999999998</c:v>
                </c:pt>
                <c:pt idx="34">
                  <c:v>1577.3875</c:v>
                </c:pt>
                <c:pt idx="35">
                  <c:v>1497.4875</c:v>
                </c:pt>
                <c:pt idx="36">
                  <c:v>1291.9999999999998</c:v>
                </c:pt>
                <c:pt idx="37">
                  <c:v>1224.2125000000001</c:v>
                </c:pt>
                <c:pt idx="38">
                  <c:v>1370.8374999999999</c:v>
                </c:pt>
                <c:pt idx="39">
                  <c:v>1364.25</c:v>
                </c:pt>
                <c:pt idx="40">
                  <c:v>1639.65</c:v>
                </c:pt>
                <c:pt idx="41">
                  <c:v>1658.35</c:v>
                </c:pt>
                <c:pt idx="42">
                  <c:v>1644.75</c:v>
                </c:pt>
                <c:pt idx="43">
                  <c:v>1749.7249999999999</c:v>
                </c:pt>
                <c:pt idx="44">
                  <c:v>1528.85</c:v>
                </c:pt>
                <c:pt idx="45">
                  <c:v>1602.0625</c:v>
                </c:pt>
                <c:pt idx="46">
                  <c:v>1588.55</c:v>
                </c:pt>
                <c:pt idx="47">
                  <c:v>1435</c:v>
                </c:pt>
                <c:pt idx="48">
                  <c:v>1360.5</c:v>
                </c:pt>
                <c:pt idx="49">
                  <c:v>1269.75</c:v>
                </c:pt>
                <c:pt idx="50">
                  <c:v>1134.75</c:v>
                </c:pt>
                <c:pt idx="51">
                  <c:v>1144.75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Averages'!$H$998:$H$1021</c:f>
              <c:numCache>
                <c:formatCode>#,##0_);\(#,##0\)</c:formatCode>
                <c:ptCount val="24"/>
                <c:pt idx="0">
                  <c:v>1078.25</c:v>
                </c:pt>
                <c:pt idx="1">
                  <c:v>980.75</c:v>
                </c:pt>
                <c:pt idx="2">
                  <c:v>1070.75</c:v>
                </c:pt>
                <c:pt idx="3">
                  <c:v>1008.75</c:v>
                </c:pt>
                <c:pt idx="4">
                  <c:v>1065</c:v>
                </c:pt>
                <c:pt idx="5">
                  <c:v>1161.25</c:v>
                </c:pt>
                <c:pt idx="6">
                  <c:v>1109.25</c:v>
                </c:pt>
                <c:pt idx="7">
                  <c:v>1125</c:v>
                </c:pt>
                <c:pt idx="8">
                  <c:v>1153.5</c:v>
                </c:pt>
                <c:pt idx="9">
                  <c:v>1038</c:v>
                </c:pt>
                <c:pt idx="10">
                  <c:v>1098.5</c:v>
                </c:pt>
                <c:pt idx="11">
                  <c:v>1100.75</c:v>
                </c:pt>
                <c:pt idx="12">
                  <c:v>1175.25</c:v>
                </c:pt>
                <c:pt idx="13">
                  <c:v>1291.25</c:v>
                </c:pt>
                <c:pt idx="14">
                  <c:v>1309.75</c:v>
                </c:pt>
                <c:pt idx="15">
                  <c:v>1370.5</c:v>
                </c:pt>
                <c:pt idx="16">
                  <c:v>1290.25</c:v>
                </c:pt>
                <c:pt idx="17">
                  <c:v>1321.5</c:v>
                </c:pt>
                <c:pt idx="18">
                  <c:v>1260.25</c:v>
                </c:pt>
                <c:pt idx="19">
                  <c:v>1241.25</c:v>
                </c:pt>
                <c:pt idx="20">
                  <c:v>1223.75</c:v>
                </c:pt>
                <c:pt idx="21">
                  <c:v>1155.5</c:v>
                </c:pt>
                <c:pt idx="22">
                  <c:v>1210.5</c:v>
                </c:pt>
                <c:pt idx="23">
                  <c:v>1133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29504"/>
        <c:axId val="162643968"/>
      </c:lineChart>
      <c:dateAx>
        <c:axId val="16262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11489289645247"/>
              <c:y val="0.8351677429967031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64396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6264396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801193356774E-2"/>
              <c:y val="0.1538465389374012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6295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5.9426092536395601E-2"/>
          <c:y val="0.90552289615024284"/>
          <c:w val="0.83977358305593808"/>
          <c:h val="9.44771038497571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the Pacific Northwest</a:t>
            </a:r>
          </a:p>
        </c:rich>
      </c:tx>
      <c:layout>
        <c:manualLayout>
          <c:xMode val="edge"/>
          <c:yMode val="edge"/>
          <c:x val="0.23975422368320462"/>
          <c:y val="1.83152522601341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217135993594"/>
          <c:y val="0.2428146103623168"/>
          <c:w val="0.82858529649170665"/>
          <c:h val="0.48624464705069759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Averages'!$E$842:$E$893</c:f>
              <c:numCache>
                <c:formatCode>#,##0_);\(#,##0\)</c:formatCode>
                <c:ptCount val="52"/>
                <c:pt idx="0">
                  <c:v>3282.5</c:v>
                </c:pt>
                <c:pt idx="1">
                  <c:v>3039.25</c:v>
                </c:pt>
                <c:pt idx="2">
                  <c:v>2894</c:v>
                </c:pt>
                <c:pt idx="3">
                  <c:v>3289</c:v>
                </c:pt>
                <c:pt idx="4">
                  <c:v>3252.75</c:v>
                </c:pt>
                <c:pt idx="5">
                  <c:v>3457.75</c:v>
                </c:pt>
                <c:pt idx="6">
                  <c:v>3367.5</c:v>
                </c:pt>
                <c:pt idx="7">
                  <c:v>3290</c:v>
                </c:pt>
                <c:pt idx="8">
                  <c:v>3563.5</c:v>
                </c:pt>
                <c:pt idx="9">
                  <c:v>3724.5</c:v>
                </c:pt>
                <c:pt idx="10">
                  <c:v>3685.25</c:v>
                </c:pt>
                <c:pt idx="11">
                  <c:v>3805.75</c:v>
                </c:pt>
                <c:pt idx="12">
                  <c:v>3576.5</c:v>
                </c:pt>
                <c:pt idx="13">
                  <c:v>3476.25</c:v>
                </c:pt>
                <c:pt idx="14">
                  <c:v>3484.5</c:v>
                </c:pt>
                <c:pt idx="15">
                  <c:v>3305</c:v>
                </c:pt>
                <c:pt idx="16">
                  <c:v>3331</c:v>
                </c:pt>
                <c:pt idx="17">
                  <c:v>3324.25</c:v>
                </c:pt>
                <c:pt idx="18">
                  <c:v>3190.25</c:v>
                </c:pt>
                <c:pt idx="19">
                  <c:v>3213.25</c:v>
                </c:pt>
                <c:pt idx="20">
                  <c:v>3290.25</c:v>
                </c:pt>
                <c:pt idx="21">
                  <c:v>3154.5</c:v>
                </c:pt>
                <c:pt idx="22">
                  <c:v>3259.5</c:v>
                </c:pt>
                <c:pt idx="23">
                  <c:v>3011.25</c:v>
                </c:pt>
                <c:pt idx="24">
                  <c:v>2860.75</c:v>
                </c:pt>
                <c:pt idx="25">
                  <c:v>2830</c:v>
                </c:pt>
                <c:pt idx="26">
                  <c:v>2678.5</c:v>
                </c:pt>
                <c:pt idx="27">
                  <c:v>3015.25</c:v>
                </c:pt>
                <c:pt idx="28">
                  <c:v>3440.5</c:v>
                </c:pt>
                <c:pt idx="29">
                  <c:v>3693</c:v>
                </c:pt>
                <c:pt idx="30">
                  <c:v>3869</c:v>
                </c:pt>
                <c:pt idx="31">
                  <c:v>3797</c:v>
                </c:pt>
                <c:pt idx="32">
                  <c:v>3441</c:v>
                </c:pt>
                <c:pt idx="33">
                  <c:v>3350</c:v>
                </c:pt>
                <c:pt idx="34">
                  <c:v>3204.75</c:v>
                </c:pt>
                <c:pt idx="35">
                  <c:v>3013.75</c:v>
                </c:pt>
                <c:pt idx="36">
                  <c:v>2617.25</c:v>
                </c:pt>
                <c:pt idx="37">
                  <c:v>1986.75</c:v>
                </c:pt>
                <c:pt idx="38">
                  <c:v>1841.25</c:v>
                </c:pt>
                <c:pt idx="39">
                  <c:v>1822</c:v>
                </c:pt>
                <c:pt idx="40">
                  <c:v>2904</c:v>
                </c:pt>
                <c:pt idx="41">
                  <c:v>3782</c:v>
                </c:pt>
                <c:pt idx="42">
                  <c:v>4403</c:v>
                </c:pt>
                <c:pt idx="43">
                  <c:v>4915</c:v>
                </c:pt>
                <c:pt idx="44">
                  <c:v>4650.25</c:v>
                </c:pt>
                <c:pt idx="45">
                  <c:v>4688.75</c:v>
                </c:pt>
                <c:pt idx="46">
                  <c:v>4346.25</c:v>
                </c:pt>
                <c:pt idx="47">
                  <c:v>4063.5</c:v>
                </c:pt>
                <c:pt idx="48">
                  <c:v>4117</c:v>
                </c:pt>
                <c:pt idx="49">
                  <c:v>3885.25</c:v>
                </c:pt>
                <c:pt idx="50">
                  <c:v>4054.25</c:v>
                </c:pt>
                <c:pt idx="51">
                  <c:v>3933.25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Averages'!$V$842:$V$893</c:f>
              <c:numCache>
                <c:formatCode>#,##0</c:formatCode>
                <c:ptCount val="52"/>
                <c:pt idx="0">
                  <c:v>3869.8125</c:v>
                </c:pt>
                <c:pt idx="1">
                  <c:v>3835.125</c:v>
                </c:pt>
                <c:pt idx="2">
                  <c:v>4075.9375</c:v>
                </c:pt>
                <c:pt idx="3">
                  <c:v>4304.625</c:v>
                </c:pt>
                <c:pt idx="4">
                  <c:v>4427.8125</c:v>
                </c:pt>
                <c:pt idx="5">
                  <c:v>4486.75</c:v>
                </c:pt>
                <c:pt idx="6">
                  <c:v>4383</c:v>
                </c:pt>
                <c:pt idx="7">
                  <c:v>4445.375</c:v>
                </c:pt>
                <c:pt idx="8">
                  <c:v>4511.625</c:v>
                </c:pt>
                <c:pt idx="9">
                  <c:v>4526</c:v>
                </c:pt>
                <c:pt idx="10">
                  <c:v>4649.9375</c:v>
                </c:pt>
                <c:pt idx="11">
                  <c:v>4780.1875</c:v>
                </c:pt>
                <c:pt idx="12">
                  <c:v>4708.875</c:v>
                </c:pt>
                <c:pt idx="13">
                  <c:v>4704.4375</c:v>
                </c:pt>
                <c:pt idx="14">
                  <c:v>4689.8125</c:v>
                </c:pt>
                <c:pt idx="15">
                  <c:v>4515.3125</c:v>
                </c:pt>
                <c:pt idx="16">
                  <c:v>4517.4375</c:v>
                </c:pt>
                <c:pt idx="17">
                  <c:v>4466.4375</c:v>
                </c:pt>
                <c:pt idx="18">
                  <c:v>4201.0625</c:v>
                </c:pt>
                <c:pt idx="19">
                  <c:v>4048.6875</c:v>
                </c:pt>
                <c:pt idx="20">
                  <c:v>3932.6875</c:v>
                </c:pt>
                <c:pt idx="21">
                  <c:v>3781.625</c:v>
                </c:pt>
                <c:pt idx="22">
                  <c:v>3815</c:v>
                </c:pt>
                <c:pt idx="23">
                  <c:v>3680.9375</c:v>
                </c:pt>
                <c:pt idx="24">
                  <c:v>3730.6875</c:v>
                </c:pt>
                <c:pt idx="25">
                  <c:v>3727.125</c:v>
                </c:pt>
                <c:pt idx="26">
                  <c:v>3631.25</c:v>
                </c:pt>
                <c:pt idx="27">
                  <c:v>3776.375</c:v>
                </c:pt>
                <c:pt idx="28">
                  <c:v>3691.25</c:v>
                </c:pt>
                <c:pt idx="29">
                  <c:v>3731.75</c:v>
                </c:pt>
                <c:pt idx="30">
                  <c:v>3828.6875</c:v>
                </c:pt>
                <c:pt idx="31">
                  <c:v>3824.8125</c:v>
                </c:pt>
                <c:pt idx="32">
                  <c:v>3788.875</c:v>
                </c:pt>
                <c:pt idx="33">
                  <c:v>3700.0625</c:v>
                </c:pt>
                <c:pt idx="34">
                  <c:v>3676.125</c:v>
                </c:pt>
                <c:pt idx="35">
                  <c:v>3595.625</c:v>
                </c:pt>
                <c:pt idx="36">
                  <c:v>3597.8125</c:v>
                </c:pt>
                <c:pt idx="37">
                  <c:v>3595.25</c:v>
                </c:pt>
                <c:pt idx="38">
                  <c:v>3643.75</c:v>
                </c:pt>
                <c:pt idx="39">
                  <c:v>3782.4375</c:v>
                </c:pt>
                <c:pt idx="40">
                  <c:v>4251.75</c:v>
                </c:pt>
                <c:pt idx="41">
                  <c:v>4708.0625</c:v>
                </c:pt>
                <c:pt idx="42">
                  <c:v>5039.6875</c:v>
                </c:pt>
                <c:pt idx="43">
                  <c:v>5328.1875</c:v>
                </c:pt>
                <c:pt idx="44">
                  <c:v>4925.75</c:v>
                </c:pt>
                <c:pt idx="45">
                  <c:v>4701.125</c:v>
                </c:pt>
                <c:pt idx="46">
                  <c:v>4565.625</c:v>
                </c:pt>
                <c:pt idx="47">
                  <c:v>4254.4375</c:v>
                </c:pt>
                <c:pt idx="48">
                  <c:v>4469.375</c:v>
                </c:pt>
                <c:pt idx="49">
                  <c:v>4394.625</c:v>
                </c:pt>
                <c:pt idx="50">
                  <c:v>4221.125</c:v>
                </c:pt>
                <c:pt idx="51">
                  <c:v>3983.5625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Averages'!$E$894:$E$945</c:f>
              <c:numCache>
                <c:formatCode>#,##0_);\(#,##0\)</c:formatCode>
                <c:ptCount val="52"/>
                <c:pt idx="0">
                  <c:v>3591.5</c:v>
                </c:pt>
                <c:pt idx="1">
                  <c:v>3511.75</c:v>
                </c:pt>
                <c:pt idx="2">
                  <c:v>3478.5</c:v>
                </c:pt>
                <c:pt idx="3">
                  <c:v>3862.75</c:v>
                </c:pt>
                <c:pt idx="4">
                  <c:v>4151.25</c:v>
                </c:pt>
                <c:pt idx="5">
                  <c:v>4164.5</c:v>
                </c:pt>
                <c:pt idx="6">
                  <c:v>4257.25</c:v>
                </c:pt>
                <c:pt idx="7">
                  <c:v>4122.25</c:v>
                </c:pt>
                <c:pt idx="8">
                  <c:v>3742</c:v>
                </c:pt>
                <c:pt idx="9">
                  <c:v>3738.5</c:v>
                </c:pt>
                <c:pt idx="10">
                  <c:v>3671</c:v>
                </c:pt>
                <c:pt idx="11">
                  <c:v>3809.75</c:v>
                </c:pt>
                <c:pt idx="12">
                  <c:v>4277</c:v>
                </c:pt>
                <c:pt idx="13">
                  <c:v>4340.5</c:v>
                </c:pt>
                <c:pt idx="14">
                  <c:v>4378</c:v>
                </c:pt>
                <c:pt idx="15">
                  <c:v>4224.25</c:v>
                </c:pt>
                <c:pt idx="16">
                  <c:v>3977.5</c:v>
                </c:pt>
                <c:pt idx="17">
                  <c:v>3815.25</c:v>
                </c:pt>
                <c:pt idx="18">
                  <c:v>3812.5</c:v>
                </c:pt>
                <c:pt idx="19">
                  <c:v>3732.75</c:v>
                </c:pt>
                <c:pt idx="20">
                  <c:v>3834</c:v>
                </c:pt>
                <c:pt idx="21">
                  <c:v>3835.5</c:v>
                </c:pt>
                <c:pt idx="22">
                  <c:v>3761.75</c:v>
                </c:pt>
                <c:pt idx="23">
                  <c:v>3625.25</c:v>
                </c:pt>
                <c:pt idx="24">
                  <c:v>3482.75</c:v>
                </c:pt>
                <c:pt idx="25">
                  <c:v>3481.75</c:v>
                </c:pt>
                <c:pt idx="26">
                  <c:v>3139.75</c:v>
                </c:pt>
                <c:pt idx="27">
                  <c:v>3266</c:v>
                </c:pt>
                <c:pt idx="28">
                  <c:v>3236.5</c:v>
                </c:pt>
                <c:pt idx="29">
                  <c:v>3321.75</c:v>
                </c:pt>
                <c:pt idx="30">
                  <c:v>3725.75</c:v>
                </c:pt>
                <c:pt idx="31">
                  <c:v>3357</c:v>
                </c:pt>
                <c:pt idx="32">
                  <c:v>2960.75</c:v>
                </c:pt>
                <c:pt idx="33">
                  <c:v>2843.25</c:v>
                </c:pt>
                <c:pt idx="34">
                  <c:v>2624.25</c:v>
                </c:pt>
                <c:pt idx="35">
                  <c:v>2748.25</c:v>
                </c:pt>
                <c:pt idx="36">
                  <c:v>2727.75</c:v>
                </c:pt>
                <c:pt idx="37">
                  <c:v>2554.5</c:v>
                </c:pt>
                <c:pt idx="38">
                  <c:v>2217.25</c:v>
                </c:pt>
                <c:pt idx="39">
                  <c:v>2057</c:v>
                </c:pt>
                <c:pt idx="40">
                  <c:v>2559.75</c:v>
                </c:pt>
                <c:pt idx="41">
                  <c:v>3029.25</c:v>
                </c:pt>
                <c:pt idx="42">
                  <c:v>3664.25</c:v>
                </c:pt>
                <c:pt idx="43">
                  <c:v>4137</c:v>
                </c:pt>
                <c:pt idx="44">
                  <c:v>4148</c:v>
                </c:pt>
                <c:pt idx="45">
                  <c:v>3984.5</c:v>
                </c:pt>
                <c:pt idx="46">
                  <c:v>3799.5</c:v>
                </c:pt>
                <c:pt idx="47">
                  <c:v>3790.5</c:v>
                </c:pt>
                <c:pt idx="48">
                  <c:v>3818.25</c:v>
                </c:pt>
                <c:pt idx="49">
                  <c:v>4480.5</c:v>
                </c:pt>
                <c:pt idx="50">
                  <c:v>5022.25</c:v>
                </c:pt>
                <c:pt idx="51">
                  <c:v>5064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Averages'!$E$946:$E$997</c:f>
              <c:numCache>
                <c:formatCode>#,##0_);\(#,##0\)</c:formatCode>
                <c:ptCount val="52"/>
                <c:pt idx="0">
                  <c:v>5193</c:v>
                </c:pt>
                <c:pt idx="1">
                  <c:v>4847.25</c:v>
                </c:pt>
                <c:pt idx="2">
                  <c:v>4489.25</c:v>
                </c:pt>
                <c:pt idx="3">
                  <c:v>4250</c:v>
                </c:pt>
                <c:pt idx="4">
                  <c:v>4116.5</c:v>
                </c:pt>
                <c:pt idx="5">
                  <c:v>4256</c:v>
                </c:pt>
                <c:pt idx="6">
                  <c:v>4344.75</c:v>
                </c:pt>
                <c:pt idx="7">
                  <c:v>4837.5</c:v>
                </c:pt>
                <c:pt idx="8">
                  <c:v>4969.25</c:v>
                </c:pt>
                <c:pt idx="9">
                  <c:v>4837.5</c:v>
                </c:pt>
                <c:pt idx="10">
                  <c:v>4899.75</c:v>
                </c:pt>
                <c:pt idx="11">
                  <c:v>4695</c:v>
                </c:pt>
                <c:pt idx="12">
                  <c:v>4735.5</c:v>
                </c:pt>
                <c:pt idx="13">
                  <c:v>4652</c:v>
                </c:pt>
                <c:pt idx="14">
                  <c:v>4342.25</c:v>
                </c:pt>
                <c:pt idx="15">
                  <c:v>4248.25</c:v>
                </c:pt>
                <c:pt idx="16">
                  <c:v>3789.5</c:v>
                </c:pt>
                <c:pt idx="17">
                  <c:v>3603</c:v>
                </c:pt>
                <c:pt idx="18">
                  <c:v>3708.75</c:v>
                </c:pt>
                <c:pt idx="19">
                  <c:v>3585</c:v>
                </c:pt>
                <c:pt idx="20">
                  <c:v>3825</c:v>
                </c:pt>
                <c:pt idx="21">
                  <c:v>3794.25</c:v>
                </c:pt>
                <c:pt idx="22">
                  <c:v>3529.75</c:v>
                </c:pt>
                <c:pt idx="23">
                  <c:v>3520.75</c:v>
                </c:pt>
                <c:pt idx="24">
                  <c:v>3252.75</c:v>
                </c:pt>
                <c:pt idx="25">
                  <c:v>3175</c:v>
                </c:pt>
                <c:pt idx="26">
                  <c:v>3256.25</c:v>
                </c:pt>
                <c:pt idx="27">
                  <c:v>3156</c:v>
                </c:pt>
                <c:pt idx="28">
                  <c:v>3065.5</c:v>
                </c:pt>
                <c:pt idx="29">
                  <c:v>3061.25</c:v>
                </c:pt>
                <c:pt idx="30">
                  <c:v>2856</c:v>
                </c:pt>
                <c:pt idx="31">
                  <c:v>3033</c:v>
                </c:pt>
                <c:pt idx="32">
                  <c:v>3434.25</c:v>
                </c:pt>
                <c:pt idx="33">
                  <c:v>3665</c:v>
                </c:pt>
                <c:pt idx="34">
                  <c:v>3868.25</c:v>
                </c:pt>
                <c:pt idx="35">
                  <c:v>3580.75</c:v>
                </c:pt>
                <c:pt idx="36">
                  <c:v>3146</c:v>
                </c:pt>
                <c:pt idx="37">
                  <c:v>2804</c:v>
                </c:pt>
                <c:pt idx="38">
                  <c:v>3043.25</c:v>
                </c:pt>
                <c:pt idx="39">
                  <c:v>3491.25</c:v>
                </c:pt>
                <c:pt idx="40">
                  <c:v>4066.75</c:v>
                </c:pt>
                <c:pt idx="41">
                  <c:v>4172.25</c:v>
                </c:pt>
                <c:pt idx="42">
                  <c:v>3934</c:v>
                </c:pt>
                <c:pt idx="43">
                  <c:v>3913</c:v>
                </c:pt>
                <c:pt idx="44">
                  <c:v>3716.5</c:v>
                </c:pt>
                <c:pt idx="45">
                  <c:v>3762</c:v>
                </c:pt>
                <c:pt idx="46">
                  <c:v>3989</c:v>
                </c:pt>
                <c:pt idx="47">
                  <c:v>4056.25</c:v>
                </c:pt>
                <c:pt idx="48">
                  <c:v>3874.75</c:v>
                </c:pt>
                <c:pt idx="49">
                  <c:v>3740.5</c:v>
                </c:pt>
                <c:pt idx="50">
                  <c:v>3677.75</c:v>
                </c:pt>
                <c:pt idx="51">
                  <c:v>3488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Averages'!$E$998:$E$1067</c:f>
              <c:numCache>
                <c:formatCode>#,##0_);\(#,##0\)</c:formatCode>
                <c:ptCount val="70"/>
                <c:pt idx="0">
                  <c:v>3618</c:v>
                </c:pt>
                <c:pt idx="1">
                  <c:v>3996</c:v>
                </c:pt>
                <c:pt idx="2">
                  <c:v>4189.5</c:v>
                </c:pt>
                <c:pt idx="3">
                  <c:v>4359.25</c:v>
                </c:pt>
                <c:pt idx="4">
                  <c:v>4556</c:v>
                </c:pt>
                <c:pt idx="5">
                  <c:v>4363.75</c:v>
                </c:pt>
                <c:pt idx="6">
                  <c:v>4271.75</c:v>
                </c:pt>
                <c:pt idx="7">
                  <c:v>4369</c:v>
                </c:pt>
                <c:pt idx="8">
                  <c:v>4176</c:v>
                </c:pt>
                <c:pt idx="9">
                  <c:v>4286</c:v>
                </c:pt>
                <c:pt idx="10">
                  <c:v>4157.75</c:v>
                </c:pt>
                <c:pt idx="11">
                  <c:v>3803</c:v>
                </c:pt>
                <c:pt idx="12">
                  <c:v>3776</c:v>
                </c:pt>
                <c:pt idx="13">
                  <c:v>3452.25</c:v>
                </c:pt>
                <c:pt idx="14">
                  <c:v>2887</c:v>
                </c:pt>
                <c:pt idx="15">
                  <c:v>2359.25</c:v>
                </c:pt>
                <c:pt idx="16">
                  <c:v>1881.25</c:v>
                </c:pt>
                <c:pt idx="17">
                  <c:v>1532</c:v>
                </c:pt>
                <c:pt idx="18">
                  <c:v>1413</c:v>
                </c:pt>
                <c:pt idx="19">
                  <c:v>1301.75</c:v>
                </c:pt>
                <c:pt idx="20">
                  <c:v>1052.5</c:v>
                </c:pt>
                <c:pt idx="21">
                  <c:v>880.5</c:v>
                </c:pt>
                <c:pt idx="22">
                  <c:v>849.5</c:v>
                </c:pt>
                <c:pt idx="23">
                  <c:v>968.75</c:v>
                </c:pt>
                <c:pt idx="24">
                  <c:v>951.5</c:v>
                </c:pt>
                <c:pt idx="25">
                  <c:v>1114.5</c:v>
                </c:pt>
                <c:pt idx="26">
                  <c:v>1240.5</c:v>
                </c:pt>
                <c:pt idx="27">
                  <c:v>1161.5</c:v>
                </c:pt>
                <c:pt idx="28">
                  <c:v>1173.75</c:v>
                </c:pt>
                <c:pt idx="29">
                  <c:v>1007.25</c:v>
                </c:pt>
                <c:pt idx="30">
                  <c:v>941.25</c:v>
                </c:pt>
                <c:pt idx="31">
                  <c:v>923.25</c:v>
                </c:pt>
                <c:pt idx="32">
                  <c:v>1253.25</c:v>
                </c:pt>
                <c:pt idx="33">
                  <c:v>1608.75</c:v>
                </c:pt>
                <c:pt idx="34">
                  <c:v>1977.5</c:v>
                </c:pt>
                <c:pt idx="35">
                  <c:v>2500.75</c:v>
                </c:pt>
                <c:pt idx="36">
                  <c:v>2732.5</c:v>
                </c:pt>
                <c:pt idx="37">
                  <c:v>2943.75</c:v>
                </c:pt>
                <c:pt idx="38">
                  <c:v>2742.75</c:v>
                </c:pt>
                <c:pt idx="39">
                  <c:v>2646.75</c:v>
                </c:pt>
                <c:pt idx="40">
                  <c:v>3339.5</c:v>
                </c:pt>
                <c:pt idx="41">
                  <c:v>3943.25</c:v>
                </c:pt>
                <c:pt idx="42">
                  <c:v>4964.5</c:v>
                </c:pt>
                <c:pt idx="43">
                  <c:v>5917.25</c:v>
                </c:pt>
                <c:pt idx="44">
                  <c:v>5955</c:v>
                </c:pt>
                <c:pt idx="45">
                  <c:v>6474</c:v>
                </c:pt>
                <c:pt idx="46">
                  <c:v>6800.75</c:v>
                </c:pt>
                <c:pt idx="47">
                  <c:v>6790</c:v>
                </c:pt>
                <c:pt idx="48">
                  <c:v>5330.75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24960"/>
        <c:axId val="162826880"/>
      </c:lineChart>
      <c:dateAx>
        <c:axId val="162824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4142182469909708"/>
              <c:y val="0.8297101195683872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82688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62826880"/>
        <c:scaling>
          <c:orientation val="minMax"/>
          <c:max val="6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988668892116E-2"/>
              <c:y val="0.13553164187809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8249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247233052179159"/>
          <c:y val="0.8854876057159522"/>
          <c:w val="0.82392762191133873"/>
          <c:h val="8.728463108778072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East Gulf ports</a:t>
            </a:r>
          </a:p>
        </c:rich>
      </c:tx>
      <c:layout>
        <c:manualLayout>
          <c:xMode val="edge"/>
          <c:yMode val="edge"/>
          <c:x val="0.15983606922016103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9344262295256"/>
          <c:y val="0.1135535197513155"/>
          <c:w val="0.82786885245902753"/>
          <c:h val="0.5201483807963404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Averages'!$F$842:$F$893</c:f>
              <c:numCache>
                <c:formatCode>#,##0_);\(#,##0\)</c:formatCode>
                <c:ptCount val="52"/>
                <c:pt idx="0">
                  <c:v>1061.75</c:v>
                </c:pt>
                <c:pt idx="1">
                  <c:v>1176.25</c:v>
                </c:pt>
                <c:pt idx="2">
                  <c:v>1128.75</c:v>
                </c:pt>
                <c:pt idx="3">
                  <c:v>1242.25</c:v>
                </c:pt>
                <c:pt idx="4">
                  <c:v>1304</c:v>
                </c:pt>
                <c:pt idx="5">
                  <c:v>1140</c:v>
                </c:pt>
                <c:pt idx="6">
                  <c:v>1100</c:v>
                </c:pt>
                <c:pt idx="7">
                  <c:v>1080.25</c:v>
                </c:pt>
                <c:pt idx="8">
                  <c:v>1102.75</c:v>
                </c:pt>
                <c:pt idx="9">
                  <c:v>1069.75</c:v>
                </c:pt>
                <c:pt idx="10">
                  <c:v>1014.25</c:v>
                </c:pt>
                <c:pt idx="11">
                  <c:v>1031.75</c:v>
                </c:pt>
                <c:pt idx="12">
                  <c:v>824.5</c:v>
                </c:pt>
                <c:pt idx="13">
                  <c:v>748.5</c:v>
                </c:pt>
                <c:pt idx="14">
                  <c:v>670.25</c:v>
                </c:pt>
                <c:pt idx="15">
                  <c:v>507.75</c:v>
                </c:pt>
                <c:pt idx="16">
                  <c:v>448.5</c:v>
                </c:pt>
                <c:pt idx="17">
                  <c:v>364.75</c:v>
                </c:pt>
                <c:pt idx="18">
                  <c:v>356.25</c:v>
                </c:pt>
                <c:pt idx="19">
                  <c:v>274.5</c:v>
                </c:pt>
                <c:pt idx="20">
                  <c:v>241</c:v>
                </c:pt>
                <c:pt idx="21">
                  <c:v>231.25</c:v>
                </c:pt>
                <c:pt idx="22">
                  <c:v>162.75</c:v>
                </c:pt>
                <c:pt idx="23">
                  <c:v>156.75</c:v>
                </c:pt>
                <c:pt idx="24">
                  <c:v>132.5</c:v>
                </c:pt>
                <c:pt idx="25">
                  <c:v>115.75</c:v>
                </c:pt>
                <c:pt idx="26">
                  <c:v>105</c:v>
                </c:pt>
                <c:pt idx="27">
                  <c:v>127.75</c:v>
                </c:pt>
                <c:pt idx="28">
                  <c:v>166.25</c:v>
                </c:pt>
                <c:pt idx="29">
                  <c:v>135</c:v>
                </c:pt>
                <c:pt idx="30">
                  <c:v>136.5</c:v>
                </c:pt>
                <c:pt idx="31">
                  <c:v>104.25</c:v>
                </c:pt>
                <c:pt idx="32">
                  <c:v>100.25</c:v>
                </c:pt>
                <c:pt idx="33">
                  <c:v>127.75</c:v>
                </c:pt>
                <c:pt idx="34">
                  <c:v>137.25</c:v>
                </c:pt>
                <c:pt idx="35">
                  <c:v>184.5</c:v>
                </c:pt>
                <c:pt idx="36">
                  <c:v>183.75</c:v>
                </c:pt>
                <c:pt idx="37">
                  <c:v>243.5</c:v>
                </c:pt>
                <c:pt idx="38">
                  <c:v>415</c:v>
                </c:pt>
                <c:pt idx="39">
                  <c:v>535.5</c:v>
                </c:pt>
                <c:pt idx="40">
                  <c:v>723.5</c:v>
                </c:pt>
                <c:pt idx="41">
                  <c:v>901.5</c:v>
                </c:pt>
                <c:pt idx="42">
                  <c:v>969</c:v>
                </c:pt>
                <c:pt idx="43">
                  <c:v>1068.25</c:v>
                </c:pt>
                <c:pt idx="44">
                  <c:v>1073.5</c:v>
                </c:pt>
                <c:pt idx="45">
                  <c:v>1150</c:v>
                </c:pt>
                <c:pt idx="46">
                  <c:v>1225</c:v>
                </c:pt>
                <c:pt idx="47">
                  <c:v>1160</c:v>
                </c:pt>
                <c:pt idx="48">
                  <c:v>1142.25</c:v>
                </c:pt>
                <c:pt idx="49">
                  <c:v>934.5</c:v>
                </c:pt>
                <c:pt idx="50">
                  <c:v>830.75</c:v>
                </c:pt>
                <c:pt idx="51">
                  <c:v>721.5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Averages'!$W$842:$W$893</c:f>
              <c:numCache>
                <c:formatCode>#,##0_);\(#,##0\)</c:formatCode>
                <c:ptCount val="52"/>
                <c:pt idx="0">
                  <c:v>576.25</c:v>
                </c:pt>
                <c:pt idx="1">
                  <c:v>642.25</c:v>
                </c:pt>
                <c:pt idx="2">
                  <c:v>659.125</c:v>
                </c:pt>
                <c:pt idx="3">
                  <c:v>757.1875</c:v>
                </c:pt>
                <c:pt idx="4">
                  <c:v>723.375</c:v>
                </c:pt>
                <c:pt idx="5">
                  <c:v>707.0625</c:v>
                </c:pt>
                <c:pt idx="6">
                  <c:v>712.625</c:v>
                </c:pt>
                <c:pt idx="7">
                  <c:v>669.5625</c:v>
                </c:pt>
                <c:pt idx="8">
                  <c:v>682.6875</c:v>
                </c:pt>
                <c:pt idx="9">
                  <c:v>707.3125</c:v>
                </c:pt>
                <c:pt idx="10">
                  <c:v>710.5</c:v>
                </c:pt>
                <c:pt idx="11">
                  <c:v>695.1875</c:v>
                </c:pt>
                <c:pt idx="12">
                  <c:v>674.3125</c:v>
                </c:pt>
                <c:pt idx="13">
                  <c:v>624.9375</c:v>
                </c:pt>
                <c:pt idx="14">
                  <c:v>580.6875</c:v>
                </c:pt>
                <c:pt idx="15">
                  <c:v>495</c:v>
                </c:pt>
                <c:pt idx="16">
                  <c:v>445.875</c:v>
                </c:pt>
                <c:pt idx="17">
                  <c:v>455.9375</c:v>
                </c:pt>
                <c:pt idx="18">
                  <c:v>429.5</c:v>
                </c:pt>
                <c:pt idx="19">
                  <c:v>422.5625</c:v>
                </c:pt>
                <c:pt idx="20">
                  <c:v>404</c:v>
                </c:pt>
                <c:pt idx="21">
                  <c:v>321.75</c:v>
                </c:pt>
                <c:pt idx="22">
                  <c:v>303.75</c:v>
                </c:pt>
                <c:pt idx="23">
                  <c:v>293.625</c:v>
                </c:pt>
                <c:pt idx="24">
                  <c:v>278.4375</c:v>
                </c:pt>
                <c:pt idx="25">
                  <c:v>282.875</c:v>
                </c:pt>
                <c:pt idx="26">
                  <c:v>300.375</c:v>
                </c:pt>
                <c:pt idx="27">
                  <c:v>347.0625</c:v>
                </c:pt>
                <c:pt idx="28">
                  <c:v>370.6875</c:v>
                </c:pt>
                <c:pt idx="29">
                  <c:v>341.625</c:v>
                </c:pt>
                <c:pt idx="30">
                  <c:v>330</c:v>
                </c:pt>
                <c:pt idx="31">
                  <c:v>300.4375</c:v>
                </c:pt>
                <c:pt idx="32">
                  <c:v>282.3125</c:v>
                </c:pt>
                <c:pt idx="33">
                  <c:v>353.125</c:v>
                </c:pt>
                <c:pt idx="34">
                  <c:v>392.125</c:v>
                </c:pt>
                <c:pt idx="35">
                  <c:v>423.625</c:v>
                </c:pt>
                <c:pt idx="36">
                  <c:v>470</c:v>
                </c:pt>
                <c:pt idx="37">
                  <c:v>508.1875</c:v>
                </c:pt>
                <c:pt idx="38">
                  <c:v>535.6875</c:v>
                </c:pt>
                <c:pt idx="39">
                  <c:v>589.125</c:v>
                </c:pt>
                <c:pt idx="40">
                  <c:v>674.625</c:v>
                </c:pt>
                <c:pt idx="41">
                  <c:v>767.125</c:v>
                </c:pt>
                <c:pt idx="42">
                  <c:v>855.25</c:v>
                </c:pt>
                <c:pt idx="43">
                  <c:v>936.75</c:v>
                </c:pt>
                <c:pt idx="44">
                  <c:v>980.4375</c:v>
                </c:pt>
                <c:pt idx="45">
                  <c:v>1040.3125</c:v>
                </c:pt>
                <c:pt idx="46">
                  <c:v>1026.3125</c:v>
                </c:pt>
                <c:pt idx="47">
                  <c:v>1009.0625</c:v>
                </c:pt>
                <c:pt idx="48">
                  <c:v>1002.5</c:v>
                </c:pt>
                <c:pt idx="49">
                  <c:v>890.5625</c:v>
                </c:pt>
                <c:pt idx="50">
                  <c:v>869.5</c:v>
                </c:pt>
                <c:pt idx="51">
                  <c:v>776.5625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Averages'!$F$894:$F$945</c:f>
              <c:numCache>
                <c:formatCode>#,##0_);\(#,##0\)</c:formatCode>
                <c:ptCount val="52"/>
                <c:pt idx="0">
                  <c:v>692.75</c:v>
                </c:pt>
                <c:pt idx="1">
                  <c:v>754</c:v>
                </c:pt>
                <c:pt idx="2">
                  <c:v>761.25</c:v>
                </c:pt>
                <c:pt idx="3">
                  <c:v>850.25</c:v>
                </c:pt>
                <c:pt idx="4">
                  <c:v>812</c:v>
                </c:pt>
                <c:pt idx="5">
                  <c:v>800.5</c:v>
                </c:pt>
                <c:pt idx="6">
                  <c:v>672.75</c:v>
                </c:pt>
                <c:pt idx="7">
                  <c:v>677.25</c:v>
                </c:pt>
                <c:pt idx="8">
                  <c:v>730.75</c:v>
                </c:pt>
                <c:pt idx="9">
                  <c:v>719</c:v>
                </c:pt>
                <c:pt idx="10">
                  <c:v>753.75</c:v>
                </c:pt>
                <c:pt idx="11">
                  <c:v>760.5</c:v>
                </c:pt>
                <c:pt idx="12">
                  <c:v>736.75</c:v>
                </c:pt>
                <c:pt idx="13">
                  <c:v>699.75</c:v>
                </c:pt>
                <c:pt idx="14">
                  <c:v>675.75</c:v>
                </c:pt>
                <c:pt idx="15">
                  <c:v>607.5</c:v>
                </c:pt>
                <c:pt idx="16">
                  <c:v>582.25</c:v>
                </c:pt>
                <c:pt idx="17">
                  <c:v>530</c:v>
                </c:pt>
                <c:pt idx="18">
                  <c:v>552.5</c:v>
                </c:pt>
                <c:pt idx="19">
                  <c:v>514</c:v>
                </c:pt>
                <c:pt idx="20">
                  <c:v>465.75</c:v>
                </c:pt>
                <c:pt idx="21">
                  <c:v>410.25</c:v>
                </c:pt>
                <c:pt idx="22">
                  <c:v>273.5</c:v>
                </c:pt>
                <c:pt idx="23">
                  <c:v>239.5</c:v>
                </c:pt>
                <c:pt idx="24">
                  <c:v>231.5</c:v>
                </c:pt>
                <c:pt idx="25">
                  <c:v>238.75</c:v>
                </c:pt>
                <c:pt idx="26">
                  <c:v>263.75</c:v>
                </c:pt>
                <c:pt idx="27">
                  <c:v>266</c:v>
                </c:pt>
                <c:pt idx="28">
                  <c:v>210</c:v>
                </c:pt>
                <c:pt idx="29">
                  <c:v>224.25</c:v>
                </c:pt>
                <c:pt idx="30">
                  <c:v>227.5</c:v>
                </c:pt>
                <c:pt idx="31">
                  <c:v>239.75</c:v>
                </c:pt>
                <c:pt idx="32">
                  <c:v>237.5</c:v>
                </c:pt>
                <c:pt idx="33">
                  <c:v>197.5</c:v>
                </c:pt>
                <c:pt idx="34">
                  <c:v>148.75</c:v>
                </c:pt>
                <c:pt idx="35">
                  <c:v>74.25</c:v>
                </c:pt>
                <c:pt idx="36">
                  <c:v>40.25</c:v>
                </c:pt>
                <c:pt idx="37">
                  <c:v>37</c:v>
                </c:pt>
                <c:pt idx="38">
                  <c:v>85.5</c:v>
                </c:pt>
                <c:pt idx="39">
                  <c:v>119.5</c:v>
                </c:pt>
                <c:pt idx="40">
                  <c:v>164.75</c:v>
                </c:pt>
                <c:pt idx="41">
                  <c:v>249.25</c:v>
                </c:pt>
                <c:pt idx="42">
                  <c:v>380.5</c:v>
                </c:pt>
                <c:pt idx="43">
                  <c:v>475</c:v>
                </c:pt>
                <c:pt idx="44">
                  <c:v>636</c:v>
                </c:pt>
                <c:pt idx="45">
                  <c:v>714</c:v>
                </c:pt>
                <c:pt idx="46">
                  <c:v>707.5</c:v>
                </c:pt>
                <c:pt idx="47">
                  <c:v>669</c:v>
                </c:pt>
                <c:pt idx="48">
                  <c:v>602</c:v>
                </c:pt>
                <c:pt idx="49">
                  <c:v>563.5</c:v>
                </c:pt>
                <c:pt idx="50">
                  <c:v>515</c:v>
                </c:pt>
                <c:pt idx="51">
                  <c:v>529.5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Averages'!$F$946:$F$997</c:f>
              <c:numCache>
                <c:formatCode>#,##0_);\(#,##0\)</c:formatCode>
                <c:ptCount val="52"/>
                <c:pt idx="0">
                  <c:v>469.25</c:v>
                </c:pt>
                <c:pt idx="1">
                  <c:v>421.5</c:v>
                </c:pt>
                <c:pt idx="2">
                  <c:v>411.5</c:v>
                </c:pt>
                <c:pt idx="3">
                  <c:v>411.75</c:v>
                </c:pt>
                <c:pt idx="4">
                  <c:v>471.5</c:v>
                </c:pt>
                <c:pt idx="5">
                  <c:v>475.25</c:v>
                </c:pt>
                <c:pt idx="6">
                  <c:v>571.75</c:v>
                </c:pt>
                <c:pt idx="7">
                  <c:v>608.75</c:v>
                </c:pt>
                <c:pt idx="8">
                  <c:v>579.75</c:v>
                </c:pt>
                <c:pt idx="9">
                  <c:v>604.75</c:v>
                </c:pt>
                <c:pt idx="10">
                  <c:v>498.25</c:v>
                </c:pt>
                <c:pt idx="11">
                  <c:v>506.25</c:v>
                </c:pt>
                <c:pt idx="12">
                  <c:v>523.75</c:v>
                </c:pt>
                <c:pt idx="13">
                  <c:v>495.25</c:v>
                </c:pt>
                <c:pt idx="14">
                  <c:v>487.25</c:v>
                </c:pt>
                <c:pt idx="15">
                  <c:v>416</c:v>
                </c:pt>
                <c:pt idx="16">
                  <c:v>375</c:v>
                </c:pt>
                <c:pt idx="17">
                  <c:v>367.75</c:v>
                </c:pt>
                <c:pt idx="18">
                  <c:v>341.75</c:v>
                </c:pt>
                <c:pt idx="19">
                  <c:v>339.25</c:v>
                </c:pt>
                <c:pt idx="20">
                  <c:v>336</c:v>
                </c:pt>
                <c:pt idx="21">
                  <c:v>293.75</c:v>
                </c:pt>
                <c:pt idx="22">
                  <c:v>249.25</c:v>
                </c:pt>
                <c:pt idx="23">
                  <c:v>215.5</c:v>
                </c:pt>
                <c:pt idx="24">
                  <c:v>171.75</c:v>
                </c:pt>
                <c:pt idx="25">
                  <c:v>171.25</c:v>
                </c:pt>
                <c:pt idx="26">
                  <c:v>197</c:v>
                </c:pt>
                <c:pt idx="27">
                  <c:v>173.75</c:v>
                </c:pt>
                <c:pt idx="28">
                  <c:v>159.25</c:v>
                </c:pt>
                <c:pt idx="29">
                  <c:v>167</c:v>
                </c:pt>
                <c:pt idx="30">
                  <c:v>142.25</c:v>
                </c:pt>
                <c:pt idx="31">
                  <c:v>122.75</c:v>
                </c:pt>
                <c:pt idx="32">
                  <c:v>121.5</c:v>
                </c:pt>
                <c:pt idx="33">
                  <c:v>128.25</c:v>
                </c:pt>
                <c:pt idx="34">
                  <c:v>110.75</c:v>
                </c:pt>
                <c:pt idx="35">
                  <c:v>121.5</c:v>
                </c:pt>
                <c:pt idx="36">
                  <c:v>129.25</c:v>
                </c:pt>
                <c:pt idx="37">
                  <c:v>126.25</c:v>
                </c:pt>
                <c:pt idx="38">
                  <c:v>181.75</c:v>
                </c:pt>
                <c:pt idx="39">
                  <c:v>231.75</c:v>
                </c:pt>
                <c:pt idx="40">
                  <c:v>406.5</c:v>
                </c:pt>
                <c:pt idx="41">
                  <c:v>539.5</c:v>
                </c:pt>
                <c:pt idx="42">
                  <c:v>825.25</c:v>
                </c:pt>
                <c:pt idx="43">
                  <c:v>1061</c:v>
                </c:pt>
                <c:pt idx="44">
                  <c:v>1102.75</c:v>
                </c:pt>
                <c:pt idx="45">
                  <c:v>1194.75</c:v>
                </c:pt>
                <c:pt idx="46">
                  <c:v>1085</c:v>
                </c:pt>
                <c:pt idx="47">
                  <c:v>989.5</c:v>
                </c:pt>
                <c:pt idx="48">
                  <c:v>1015.75</c:v>
                </c:pt>
                <c:pt idx="49">
                  <c:v>1030.75</c:v>
                </c:pt>
                <c:pt idx="50">
                  <c:v>975.25</c:v>
                </c:pt>
                <c:pt idx="51">
                  <c:v>967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Averages'!$F$998:$F$1049</c:f>
              <c:numCache>
                <c:formatCode>#,##0_);\(#,##0\)</c:formatCode>
                <c:ptCount val="52"/>
                <c:pt idx="0">
                  <c:v>908.25</c:v>
                </c:pt>
                <c:pt idx="1">
                  <c:v>787</c:v>
                </c:pt>
                <c:pt idx="2">
                  <c:v>723.25</c:v>
                </c:pt>
                <c:pt idx="3">
                  <c:v>774.25</c:v>
                </c:pt>
                <c:pt idx="4">
                  <c:v>695</c:v>
                </c:pt>
                <c:pt idx="5">
                  <c:v>726.5</c:v>
                </c:pt>
                <c:pt idx="6">
                  <c:v>892</c:v>
                </c:pt>
                <c:pt idx="7">
                  <c:v>782.75</c:v>
                </c:pt>
                <c:pt idx="8">
                  <c:v>764.25</c:v>
                </c:pt>
                <c:pt idx="9">
                  <c:v>671.75</c:v>
                </c:pt>
                <c:pt idx="10">
                  <c:v>469</c:v>
                </c:pt>
                <c:pt idx="11">
                  <c:v>372</c:v>
                </c:pt>
                <c:pt idx="12">
                  <c:v>283.75</c:v>
                </c:pt>
                <c:pt idx="13">
                  <c:v>198.5</c:v>
                </c:pt>
                <c:pt idx="14">
                  <c:v>142.25</c:v>
                </c:pt>
                <c:pt idx="15">
                  <c:v>104</c:v>
                </c:pt>
                <c:pt idx="16">
                  <c:v>155.5</c:v>
                </c:pt>
                <c:pt idx="17">
                  <c:v>147.25</c:v>
                </c:pt>
                <c:pt idx="18">
                  <c:v>146.25</c:v>
                </c:pt>
                <c:pt idx="19">
                  <c:v>198.5</c:v>
                </c:pt>
                <c:pt idx="20">
                  <c:v>139.75</c:v>
                </c:pt>
                <c:pt idx="21">
                  <c:v>121.75</c:v>
                </c:pt>
                <c:pt idx="22">
                  <c:v>116.25</c:v>
                </c:pt>
                <c:pt idx="23">
                  <c:v>56.75</c:v>
                </c:pt>
                <c:pt idx="24">
                  <c:v>26.75</c:v>
                </c:pt>
                <c:pt idx="25">
                  <c:v>38.5</c:v>
                </c:pt>
                <c:pt idx="26">
                  <c:v>40.5</c:v>
                </c:pt>
                <c:pt idx="27">
                  <c:v>88.75</c:v>
                </c:pt>
                <c:pt idx="28">
                  <c:v>128.25</c:v>
                </c:pt>
                <c:pt idx="29">
                  <c:v>171</c:v>
                </c:pt>
                <c:pt idx="30">
                  <c:v>157.75</c:v>
                </c:pt>
                <c:pt idx="31">
                  <c:v>117.5</c:v>
                </c:pt>
                <c:pt idx="32">
                  <c:v>89</c:v>
                </c:pt>
                <c:pt idx="33">
                  <c:v>29.75</c:v>
                </c:pt>
                <c:pt idx="34">
                  <c:v>31</c:v>
                </c:pt>
                <c:pt idx="35">
                  <c:v>64.25</c:v>
                </c:pt>
                <c:pt idx="36">
                  <c:v>61</c:v>
                </c:pt>
                <c:pt idx="37">
                  <c:v>78</c:v>
                </c:pt>
                <c:pt idx="38">
                  <c:v>72.5</c:v>
                </c:pt>
                <c:pt idx="39">
                  <c:v>77</c:v>
                </c:pt>
                <c:pt idx="40">
                  <c:v>355.25</c:v>
                </c:pt>
                <c:pt idx="41">
                  <c:v>674.75</c:v>
                </c:pt>
                <c:pt idx="42">
                  <c:v>1009.5</c:v>
                </c:pt>
                <c:pt idx="43">
                  <c:v>1295.75</c:v>
                </c:pt>
                <c:pt idx="44">
                  <c:v>1356.5</c:v>
                </c:pt>
                <c:pt idx="45">
                  <c:v>1322.25</c:v>
                </c:pt>
                <c:pt idx="46">
                  <c:v>1300.5</c:v>
                </c:pt>
                <c:pt idx="47">
                  <c:v>1271.25</c:v>
                </c:pt>
                <c:pt idx="48">
                  <c:v>924.5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94592"/>
        <c:axId val="162896512"/>
      </c:lineChart>
      <c:dateAx>
        <c:axId val="162894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9262200275813"/>
              <c:y val="0.81318987033977708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89651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6289651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95030917745451E-2"/>
              <c:y val="0.1355317642515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8945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918457226744963"/>
          <c:y val="0.86995501584100354"/>
          <c:w val="0.73918190310956899"/>
          <c:h val="0.1165919314581590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rail grain deliveries to U.S. ports</a:t>
            </a:r>
          </a:p>
        </c:rich>
      </c:tx>
      <c:layout>
        <c:manualLayout>
          <c:xMode val="edge"/>
          <c:yMode val="edge"/>
          <c:x val="0.23926433173706779"/>
          <c:y val="1.82479741052776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05310601081168"/>
          <c:y val="0.18025305561637012"/>
          <c:w val="0.81595254975185538"/>
          <c:h val="0.5401469479694414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Averages'!$G$842:$G$893</c:f>
              <c:numCache>
                <c:formatCode>#,##0_);\(#,##0\)</c:formatCode>
                <c:ptCount val="52"/>
                <c:pt idx="0">
                  <c:v>6204.25</c:v>
                </c:pt>
                <c:pt idx="1">
                  <c:v>5809.75</c:v>
                </c:pt>
                <c:pt idx="2">
                  <c:v>5607.25</c:v>
                </c:pt>
                <c:pt idx="3">
                  <c:v>6410.25</c:v>
                </c:pt>
                <c:pt idx="4">
                  <c:v>6633.75</c:v>
                </c:pt>
                <c:pt idx="5">
                  <c:v>7064.75</c:v>
                </c:pt>
                <c:pt idx="6">
                  <c:v>7013.25</c:v>
                </c:pt>
                <c:pt idx="7">
                  <c:v>6697.5</c:v>
                </c:pt>
                <c:pt idx="8">
                  <c:v>6714.25</c:v>
                </c:pt>
                <c:pt idx="9">
                  <c:v>6804.75</c:v>
                </c:pt>
                <c:pt idx="10">
                  <c:v>6655.75</c:v>
                </c:pt>
                <c:pt idx="11">
                  <c:v>6822.25</c:v>
                </c:pt>
                <c:pt idx="12">
                  <c:v>6463.75</c:v>
                </c:pt>
                <c:pt idx="13">
                  <c:v>6047.5</c:v>
                </c:pt>
                <c:pt idx="14">
                  <c:v>5813.5</c:v>
                </c:pt>
                <c:pt idx="15">
                  <c:v>5342.75</c:v>
                </c:pt>
                <c:pt idx="16">
                  <c:v>5140.75</c:v>
                </c:pt>
                <c:pt idx="17">
                  <c:v>4920.5</c:v>
                </c:pt>
                <c:pt idx="18">
                  <c:v>4758</c:v>
                </c:pt>
                <c:pt idx="19">
                  <c:v>4700.5</c:v>
                </c:pt>
                <c:pt idx="20">
                  <c:v>4682.5</c:v>
                </c:pt>
                <c:pt idx="21">
                  <c:v>4443.5</c:v>
                </c:pt>
                <c:pt idx="22">
                  <c:v>4470.25</c:v>
                </c:pt>
                <c:pt idx="23">
                  <c:v>4224.25</c:v>
                </c:pt>
                <c:pt idx="24">
                  <c:v>4108</c:v>
                </c:pt>
                <c:pt idx="25">
                  <c:v>4137.75</c:v>
                </c:pt>
                <c:pt idx="26">
                  <c:v>4080.25</c:v>
                </c:pt>
                <c:pt idx="27">
                  <c:v>4494.75</c:v>
                </c:pt>
                <c:pt idx="28">
                  <c:v>4973.75</c:v>
                </c:pt>
                <c:pt idx="29">
                  <c:v>5437.75</c:v>
                </c:pt>
                <c:pt idx="30">
                  <c:v>5602.75</c:v>
                </c:pt>
                <c:pt idx="31">
                  <c:v>5544.5</c:v>
                </c:pt>
                <c:pt idx="32">
                  <c:v>5365.25</c:v>
                </c:pt>
                <c:pt idx="33">
                  <c:v>5259.5</c:v>
                </c:pt>
                <c:pt idx="34">
                  <c:v>5348</c:v>
                </c:pt>
                <c:pt idx="35">
                  <c:v>5596</c:v>
                </c:pt>
                <c:pt idx="36">
                  <c:v>5612.25</c:v>
                </c:pt>
                <c:pt idx="37">
                  <c:v>5297</c:v>
                </c:pt>
                <c:pt idx="38">
                  <c:v>5443.25</c:v>
                </c:pt>
                <c:pt idx="39">
                  <c:v>5543</c:v>
                </c:pt>
                <c:pt idx="40">
                  <c:v>6889</c:v>
                </c:pt>
                <c:pt idx="41">
                  <c:v>8269.75</c:v>
                </c:pt>
                <c:pt idx="42">
                  <c:v>9146.75</c:v>
                </c:pt>
                <c:pt idx="43">
                  <c:v>9896.75</c:v>
                </c:pt>
                <c:pt idx="44">
                  <c:v>9723</c:v>
                </c:pt>
                <c:pt idx="45">
                  <c:v>9811.25</c:v>
                </c:pt>
                <c:pt idx="46">
                  <c:v>9546.75</c:v>
                </c:pt>
                <c:pt idx="47">
                  <c:v>9028.5</c:v>
                </c:pt>
                <c:pt idx="48">
                  <c:v>8831.25</c:v>
                </c:pt>
                <c:pt idx="49">
                  <c:v>8076.25</c:v>
                </c:pt>
                <c:pt idx="50">
                  <c:v>8065.5</c:v>
                </c:pt>
                <c:pt idx="51">
                  <c:v>7733.75</c:v>
                </c:pt>
              </c:numCache>
            </c:numRef>
          </c:val>
          <c:smooth val="0"/>
        </c:ser>
        <c:ser>
          <c:idx val="1"/>
          <c:order val="1"/>
          <c:tx>
            <c:v>4-yr avg.(4-wk running avg)</c:v>
          </c:tx>
          <c:spPr>
            <a:ln w="25400">
              <a:pattFill prst="pct75">
                <a:fgClr>
                  <a:srgbClr val="00FF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2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Averages'!$X$842:$X$893</c:f>
              <c:numCache>
                <c:formatCode>_(* #,##0_);_(* \(#,##0\);_(* "-"??_);_(@_)</c:formatCode>
                <c:ptCount val="52"/>
                <c:pt idx="0">
                  <c:v>7487.6875</c:v>
                </c:pt>
                <c:pt idx="1">
                  <c:v>7621.0625</c:v>
                </c:pt>
                <c:pt idx="2">
                  <c:v>8010.1875</c:v>
                </c:pt>
                <c:pt idx="3">
                  <c:v>8485</c:v>
                </c:pt>
                <c:pt idx="4">
                  <c:v>8545.6875</c:v>
                </c:pt>
                <c:pt idx="5">
                  <c:v>8716.5625</c:v>
                </c:pt>
                <c:pt idx="6">
                  <c:v>8685.0625</c:v>
                </c:pt>
                <c:pt idx="7">
                  <c:v>8673.3125</c:v>
                </c:pt>
                <c:pt idx="8">
                  <c:v>8807.875</c:v>
                </c:pt>
                <c:pt idx="9">
                  <c:v>8813.6875</c:v>
                </c:pt>
                <c:pt idx="10">
                  <c:v>8761.125</c:v>
                </c:pt>
                <c:pt idx="11">
                  <c:v>8706.8125</c:v>
                </c:pt>
                <c:pt idx="12">
                  <c:v>8423.5</c:v>
                </c:pt>
                <c:pt idx="13">
                  <c:v>8122.1875</c:v>
                </c:pt>
                <c:pt idx="14">
                  <c:v>7976.6875</c:v>
                </c:pt>
                <c:pt idx="15">
                  <c:v>7544.9375</c:v>
                </c:pt>
                <c:pt idx="16">
                  <c:v>7427.6875</c:v>
                </c:pt>
                <c:pt idx="17">
                  <c:v>7294.6875</c:v>
                </c:pt>
                <c:pt idx="18">
                  <c:v>6803.375</c:v>
                </c:pt>
                <c:pt idx="19">
                  <c:v>6589.125</c:v>
                </c:pt>
                <c:pt idx="20">
                  <c:v>6247.3125</c:v>
                </c:pt>
                <c:pt idx="21">
                  <c:v>6020.3125</c:v>
                </c:pt>
                <c:pt idx="22">
                  <c:v>6038.25</c:v>
                </c:pt>
                <c:pt idx="23">
                  <c:v>5994.9375</c:v>
                </c:pt>
                <c:pt idx="24">
                  <c:v>6149.1875</c:v>
                </c:pt>
                <c:pt idx="25">
                  <c:v>6135.6875</c:v>
                </c:pt>
                <c:pt idx="26">
                  <c:v>6233.3125</c:v>
                </c:pt>
                <c:pt idx="27">
                  <c:v>6575.375</c:v>
                </c:pt>
                <c:pt idx="28">
                  <c:v>6658.4375</c:v>
                </c:pt>
                <c:pt idx="29">
                  <c:v>6794.1875</c:v>
                </c:pt>
                <c:pt idx="30">
                  <c:v>6856.9375</c:v>
                </c:pt>
                <c:pt idx="31">
                  <c:v>6978.1875</c:v>
                </c:pt>
                <c:pt idx="32">
                  <c:v>7019.6875</c:v>
                </c:pt>
                <c:pt idx="33">
                  <c:v>7186.25</c:v>
                </c:pt>
                <c:pt idx="34">
                  <c:v>7356.125</c:v>
                </c:pt>
                <c:pt idx="35">
                  <c:v>7249.1875</c:v>
                </c:pt>
                <c:pt idx="36">
                  <c:v>7327.4375</c:v>
                </c:pt>
                <c:pt idx="37">
                  <c:v>7457.3125</c:v>
                </c:pt>
                <c:pt idx="38">
                  <c:v>7580.0625</c:v>
                </c:pt>
                <c:pt idx="39">
                  <c:v>7992.375</c:v>
                </c:pt>
                <c:pt idx="40">
                  <c:v>8921.875</c:v>
                </c:pt>
                <c:pt idx="41">
                  <c:v>9486.5</c:v>
                </c:pt>
                <c:pt idx="42">
                  <c:v>10158.125</c:v>
                </c:pt>
                <c:pt idx="43">
                  <c:v>10468</c:v>
                </c:pt>
                <c:pt idx="44">
                  <c:v>9961.9375</c:v>
                </c:pt>
                <c:pt idx="45">
                  <c:v>9753.125</c:v>
                </c:pt>
                <c:pt idx="46">
                  <c:v>9474</c:v>
                </c:pt>
                <c:pt idx="47">
                  <c:v>9044.1875</c:v>
                </c:pt>
                <c:pt idx="48">
                  <c:v>8961.25</c:v>
                </c:pt>
                <c:pt idx="49">
                  <c:v>8564.875</c:v>
                </c:pt>
                <c:pt idx="50">
                  <c:v>8070.625</c:v>
                </c:pt>
                <c:pt idx="51">
                  <c:v>7479.3125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Averages'!$G$894:$G$945</c:f>
              <c:numCache>
                <c:formatCode>#,##0_);\(#,##0\)</c:formatCode>
                <c:ptCount val="52"/>
                <c:pt idx="0">
                  <c:v>7214.75</c:v>
                </c:pt>
                <c:pt idx="1">
                  <c:v>7210.75</c:v>
                </c:pt>
                <c:pt idx="2">
                  <c:v>7376.5</c:v>
                </c:pt>
                <c:pt idx="3">
                  <c:v>7932</c:v>
                </c:pt>
                <c:pt idx="4">
                  <c:v>8298.5</c:v>
                </c:pt>
                <c:pt idx="5">
                  <c:v>8217.75</c:v>
                </c:pt>
                <c:pt idx="6">
                  <c:v>8104</c:v>
                </c:pt>
                <c:pt idx="7">
                  <c:v>7984.25</c:v>
                </c:pt>
                <c:pt idx="8">
                  <c:v>7655</c:v>
                </c:pt>
                <c:pt idx="9">
                  <c:v>7956</c:v>
                </c:pt>
                <c:pt idx="10">
                  <c:v>7847</c:v>
                </c:pt>
                <c:pt idx="11">
                  <c:v>8238.25</c:v>
                </c:pt>
                <c:pt idx="12">
                  <c:v>8795.75</c:v>
                </c:pt>
                <c:pt idx="13">
                  <c:v>8844.75</c:v>
                </c:pt>
                <c:pt idx="14">
                  <c:v>8850.75</c:v>
                </c:pt>
                <c:pt idx="15">
                  <c:v>8220.75</c:v>
                </c:pt>
                <c:pt idx="16">
                  <c:v>7770</c:v>
                </c:pt>
                <c:pt idx="17">
                  <c:v>7266.25</c:v>
                </c:pt>
                <c:pt idx="18">
                  <c:v>7166</c:v>
                </c:pt>
                <c:pt idx="19">
                  <c:v>6970.75</c:v>
                </c:pt>
                <c:pt idx="20">
                  <c:v>6882.25</c:v>
                </c:pt>
                <c:pt idx="21">
                  <c:v>6789.75</c:v>
                </c:pt>
                <c:pt idx="22">
                  <c:v>6362.25</c:v>
                </c:pt>
                <c:pt idx="23">
                  <c:v>5997</c:v>
                </c:pt>
                <c:pt idx="24">
                  <c:v>5623.25</c:v>
                </c:pt>
                <c:pt idx="25">
                  <c:v>5234</c:v>
                </c:pt>
                <c:pt idx="26">
                  <c:v>4730.5</c:v>
                </c:pt>
                <c:pt idx="27">
                  <c:v>4886.75</c:v>
                </c:pt>
                <c:pt idx="28">
                  <c:v>4580</c:v>
                </c:pt>
                <c:pt idx="29">
                  <c:v>4576.5</c:v>
                </c:pt>
                <c:pt idx="30">
                  <c:v>5012.5</c:v>
                </c:pt>
                <c:pt idx="31">
                  <c:v>4482.5</c:v>
                </c:pt>
                <c:pt idx="32">
                  <c:v>4331.25</c:v>
                </c:pt>
                <c:pt idx="33">
                  <c:v>4234</c:v>
                </c:pt>
                <c:pt idx="34">
                  <c:v>3797</c:v>
                </c:pt>
                <c:pt idx="35">
                  <c:v>3893.5</c:v>
                </c:pt>
                <c:pt idx="36">
                  <c:v>3875.25</c:v>
                </c:pt>
                <c:pt idx="37">
                  <c:v>3840</c:v>
                </c:pt>
                <c:pt idx="38">
                  <c:v>3907.25</c:v>
                </c:pt>
                <c:pt idx="39">
                  <c:v>3905.5</c:v>
                </c:pt>
                <c:pt idx="40">
                  <c:v>4347.25</c:v>
                </c:pt>
                <c:pt idx="41">
                  <c:v>4848.25</c:v>
                </c:pt>
                <c:pt idx="42">
                  <c:v>5420.75</c:v>
                </c:pt>
                <c:pt idx="43">
                  <c:v>5787.25</c:v>
                </c:pt>
                <c:pt idx="44">
                  <c:v>5833</c:v>
                </c:pt>
                <c:pt idx="45">
                  <c:v>5588</c:v>
                </c:pt>
                <c:pt idx="46">
                  <c:v>5433</c:v>
                </c:pt>
                <c:pt idx="47">
                  <c:v>5501.25</c:v>
                </c:pt>
                <c:pt idx="48">
                  <c:v>5439.75</c:v>
                </c:pt>
                <c:pt idx="49">
                  <c:v>6110.25</c:v>
                </c:pt>
                <c:pt idx="50">
                  <c:v>6400</c:v>
                </c:pt>
                <c:pt idx="51">
                  <c:v>6237.25</c:v>
                </c:pt>
              </c:numCache>
            </c:numRef>
          </c:val>
          <c:smooth val="0"/>
        </c:ser>
        <c:ser>
          <c:idx val="2"/>
          <c:order val="3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14144"/>
        <c:axId val="163016064"/>
      </c:lineChart>
      <c:dateAx>
        <c:axId val="163014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465018533671366"/>
              <c:y val="0.85129397090669789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01606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6301606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70005857444992E-2"/>
              <c:y val="0.145985705868399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0141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4490759992309311"/>
          <c:y val="0.9172650612550981"/>
          <c:w val="0.69845426050874815"/>
          <c:h val="8.273493874490178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22541000050152965"/>
          <c:y val="1.83153450212316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8068609258239"/>
          <c:y val="0.14296111611801537"/>
          <c:w val="0.8282070954148486"/>
          <c:h val="0.5840474660509215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Averages'!$C$842:$C$893</c:f>
              <c:numCache>
                <c:formatCode>#,##0_);\(#,##0\)</c:formatCode>
                <c:ptCount val="52"/>
                <c:pt idx="0">
                  <c:v>1354</c:v>
                </c:pt>
                <c:pt idx="1">
                  <c:v>1228.75</c:v>
                </c:pt>
                <c:pt idx="2">
                  <c:v>1180.75</c:v>
                </c:pt>
                <c:pt idx="3">
                  <c:v>1365.5</c:v>
                </c:pt>
                <c:pt idx="4">
                  <c:v>1538.75</c:v>
                </c:pt>
                <c:pt idx="5">
                  <c:v>1802.5</c:v>
                </c:pt>
                <c:pt idx="6">
                  <c:v>1932</c:v>
                </c:pt>
                <c:pt idx="7">
                  <c:v>1835</c:v>
                </c:pt>
                <c:pt idx="8">
                  <c:v>1577</c:v>
                </c:pt>
                <c:pt idx="9">
                  <c:v>1596.5</c:v>
                </c:pt>
                <c:pt idx="10">
                  <c:v>1577.5</c:v>
                </c:pt>
                <c:pt idx="11">
                  <c:v>1515</c:v>
                </c:pt>
                <c:pt idx="12">
                  <c:v>1698</c:v>
                </c:pt>
                <c:pt idx="13">
                  <c:v>1546.75</c:v>
                </c:pt>
                <c:pt idx="14">
                  <c:v>1383.75</c:v>
                </c:pt>
                <c:pt idx="15">
                  <c:v>1378.5</c:v>
                </c:pt>
                <c:pt idx="16">
                  <c:v>1181.25</c:v>
                </c:pt>
                <c:pt idx="17">
                  <c:v>1074.75</c:v>
                </c:pt>
                <c:pt idx="18">
                  <c:v>1083.25</c:v>
                </c:pt>
                <c:pt idx="19">
                  <c:v>1060</c:v>
                </c:pt>
                <c:pt idx="20">
                  <c:v>997.75</c:v>
                </c:pt>
                <c:pt idx="21">
                  <c:v>879</c:v>
                </c:pt>
                <c:pt idx="22">
                  <c:v>896.25</c:v>
                </c:pt>
                <c:pt idx="23">
                  <c:v>846.5</c:v>
                </c:pt>
                <c:pt idx="24">
                  <c:v>915.75</c:v>
                </c:pt>
                <c:pt idx="25">
                  <c:v>991.5</c:v>
                </c:pt>
                <c:pt idx="26">
                  <c:v>1095</c:v>
                </c:pt>
                <c:pt idx="27">
                  <c:v>1231.25</c:v>
                </c:pt>
                <c:pt idx="28">
                  <c:v>1228.25</c:v>
                </c:pt>
                <c:pt idx="29">
                  <c:v>1414</c:v>
                </c:pt>
                <c:pt idx="30">
                  <c:v>1377.5</c:v>
                </c:pt>
                <c:pt idx="31">
                  <c:v>1384.25</c:v>
                </c:pt>
                <c:pt idx="32">
                  <c:v>1524.5</c:v>
                </c:pt>
                <c:pt idx="33">
                  <c:v>1469.25</c:v>
                </c:pt>
                <c:pt idx="34">
                  <c:v>1625.75</c:v>
                </c:pt>
                <c:pt idx="35">
                  <c:v>1893.75</c:v>
                </c:pt>
                <c:pt idx="36">
                  <c:v>2184.5</c:v>
                </c:pt>
                <c:pt idx="37">
                  <c:v>2241.5</c:v>
                </c:pt>
                <c:pt idx="38">
                  <c:v>2242.5</c:v>
                </c:pt>
                <c:pt idx="39">
                  <c:v>2065.75</c:v>
                </c:pt>
                <c:pt idx="40">
                  <c:v>1975.75</c:v>
                </c:pt>
                <c:pt idx="41">
                  <c:v>2099</c:v>
                </c:pt>
                <c:pt idx="42">
                  <c:v>2104</c:v>
                </c:pt>
                <c:pt idx="43">
                  <c:v>2131.25</c:v>
                </c:pt>
                <c:pt idx="44">
                  <c:v>2160</c:v>
                </c:pt>
                <c:pt idx="45">
                  <c:v>2245.75</c:v>
                </c:pt>
                <c:pt idx="46">
                  <c:v>2363.75</c:v>
                </c:pt>
                <c:pt idx="47">
                  <c:v>2340.25</c:v>
                </c:pt>
                <c:pt idx="48">
                  <c:v>2117.5</c:v>
                </c:pt>
                <c:pt idx="49">
                  <c:v>1944.25</c:v>
                </c:pt>
                <c:pt idx="50">
                  <c:v>1871.5</c:v>
                </c:pt>
                <c:pt idx="51">
                  <c:v>1826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Averages'!$T$842:$T$893</c:f>
              <c:numCache>
                <c:formatCode>_(* #,##0_);_(* \(#,##0\);_(* "-"??_);_(@_)</c:formatCode>
                <c:ptCount val="52"/>
                <c:pt idx="0">
                  <c:v>1741.875</c:v>
                </c:pt>
                <c:pt idx="1">
                  <c:v>1761.625</c:v>
                </c:pt>
                <c:pt idx="2">
                  <c:v>1840.625</c:v>
                </c:pt>
                <c:pt idx="3">
                  <c:v>1808.8125</c:v>
                </c:pt>
                <c:pt idx="4">
                  <c:v>1792.5</c:v>
                </c:pt>
                <c:pt idx="5">
                  <c:v>1883.3125</c:v>
                </c:pt>
                <c:pt idx="6">
                  <c:v>1940.25</c:v>
                </c:pt>
                <c:pt idx="7">
                  <c:v>2004.4375</c:v>
                </c:pt>
                <c:pt idx="8">
                  <c:v>1993.5625</c:v>
                </c:pt>
                <c:pt idx="9">
                  <c:v>1969.6875</c:v>
                </c:pt>
                <c:pt idx="10">
                  <c:v>1879.9375</c:v>
                </c:pt>
                <c:pt idx="11">
                  <c:v>1807.75</c:v>
                </c:pt>
                <c:pt idx="12">
                  <c:v>1811.5625</c:v>
                </c:pt>
                <c:pt idx="13">
                  <c:v>1756.6875</c:v>
                </c:pt>
                <c:pt idx="14">
                  <c:v>1725</c:v>
                </c:pt>
                <c:pt idx="15">
                  <c:v>1654.5</c:v>
                </c:pt>
                <c:pt idx="16">
                  <c:v>1623.3125</c:v>
                </c:pt>
                <c:pt idx="17">
                  <c:v>1627.875</c:v>
                </c:pt>
                <c:pt idx="18">
                  <c:v>1533.5</c:v>
                </c:pt>
                <c:pt idx="19">
                  <c:v>1507.875</c:v>
                </c:pt>
                <c:pt idx="20">
                  <c:v>1355</c:v>
                </c:pt>
                <c:pt idx="21">
                  <c:v>1327.5625</c:v>
                </c:pt>
                <c:pt idx="22">
                  <c:v>1414.75</c:v>
                </c:pt>
                <c:pt idx="23">
                  <c:v>1526.0625</c:v>
                </c:pt>
                <c:pt idx="24">
                  <c:v>1629.375</c:v>
                </c:pt>
                <c:pt idx="25">
                  <c:v>1595.6875</c:v>
                </c:pt>
                <c:pt idx="26">
                  <c:v>1671.5</c:v>
                </c:pt>
                <c:pt idx="27">
                  <c:v>1710.9375</c:v>
                </c:pt>
                <c:pt idx="28">
                  <c:v>1726.625</c:v>
                </c:pt>
                <c:pt idx="29">
                  <c:v>1804.375</c:v>
                </c:pt>
                <c:pt idx="30">
                  <c:v>1762.8125</c:v>
                </c:pt>
                <c:pt idx="31">
                  <c:v>1829.1875</c:v>
                </c:pt>
                <c:pt idx="32">
                  <c:v>1976.25</c:v>
                </c:pt>
                <c:pt idx="33">
                  <c:v>2073.625</c:v>
                </c:pt>
                <c:pt idx="34">
                  <c:v>2099.375</c:v>
                </c:pt>
                <c:pt idx="35">
                  <c:v>2114.0625</c:v>
                </c:pt>
                <c:pt idx="36">
                  <c:v>2029.9375</c:v>
                </c:pt>
                <c:pt idx="37">
                  <c:v>2058.125</c:v>
                </c:pt>
                <c:pt idx="38">
                  <c:v>2067.625</c:v>
                </c:pt>
                <c:pt idx="39">
                  <c:v>2007.375</c:v>
                </c:pt>
                <c:pt idx="40">
                  <c:v>2073.75</c:v>
                </c:pt>
                <c:pt idx="41">
                  <c:v>1912.0625</c:v>
                </c:pt>
                <c:pt idx="42">
                  <c:v>1966.125</c:v>
                </c:pt>
                <c:pt idx="43">
                  <c:v>1984.25</c:v>
                </c:pt>
                <c:pt idx="44">
                  <c:v>2026.625</c:v>
                </c:pt>
                <c:pt idx="45">
                  <c:v>2125.9375</c:v>
                </c:pt>
                <c:pt idx="46">
                  <c:v>2122.0625</c:v>
                </c:pt>
                <c:pt idx="47">
                  <c:v>2082.875</c:v>
                </c:pt>
                <c:pt idx="48">
                  <c:v>1857.625</c:v>
                </c:pt>
                <c:pt idx="49">
                  <c:v>1762.9375</c:v>
                </c:pt>
                <c:pt idx="50">
                  <c:v>1600.25</c:v>
                </c:pt>
                <c:pt idx="51">
                  <c:v>1500.25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Averages'!$C$894:$C$945</c:f>
              <c:numCache>
                <c:formatCode>#,##0_);\(#,##0\)</c:formatCode>
                <c:ptCount val="52"/>
                <c:pt idx="0">
                  <c:v>1836.25</c:v>
                </c:pt>
                <c:pt idx="1">
                  <c:v>1906.25</c:v>
                </c:pt>
                <c:pt idx="2">
                  <c:v>2024.75</c:v>
                </c:pt>
                <c:pt idx="3">
                  <c:v>2080</c:v>
                </c:pt>
                <c:pt idx="4">
                  <c:v>2236.25</c:v>
                </c:pt>
                <c:pt idx="5">
                  <c:v>2185</c:v>
                </c:pt>
                <c:pt idx="6">
                  <c:v>2155</c:v>
                </c:pt>
                <c:pt idx="7">
                  <c:v>2206.75</c:v>
                </c:pt>
                <c:pt idx="8">
                  <c:v>2152.5</c:v>
                </c:pt>
                <c:pt idx="9">
                  <c:v>2372.5</c:v>
                </c:pt>
                <c:pt idx="10">
                  <c:v>2320.5</c:v>
                </c:pt>
                <c:pt idx="11">
                  <c:v>2398.75</c:v>
                </c:pt>
                <c:pt idx="12">
                  <c:v>2479</c:v>
                </c:pt>
                <c:pt idx="13">
                  <c:v>2503.75</c:v>
                </c:pt>
                <c:pt idx="14">
                  <c:v>2598.25</c:v>
                </c:pt>
                <c:pt idx="15">
                  <c:v>2559.75</c:v>
                </c:pt>
                <c:pt idx="16">
                  <c:v>2581</c:v>
                </c:pt>
                <c:pt idx="17">
                  <c:v>2466.75</c:v>
                </c:pt>
                <c:pt idx="18">
                  <c:v>2328</c:v>
                </c:pt>
                <c:pt idx="19">
                  <c:v>2173.75</c:v>
                </c:pt>
                <c:pt idx="20">
                  <c:v>2014.25</c:v>
                </c:pt>
                <c:pt idx="21">
                  <c:v>1968</c:v>
                </c:pt>
                <c:pt idx="22">
                  <c:v>1852.25</c:v>
                </c:pt>
                <c:pt idx="23">
                  <c:v>1752.75</c:v>
                </c:pt>
                <c:pt idx="24">
                  <c:v>1610.25</c:v>
                </c:pt>
                <c:pt idx="25">
                  <c:v>1269</c:v>
                </c:pt>
                <c:pt idx="26">
                  <c:v>1123.5</c:v>
                </c:pt>
                <c:pt idx="27">
                  <c:v>1148.5</c:v>
                </c:pt>
                <c:pt idx="28">
                  <c:v>984.25</c:v>
                </c:pt>
                <c:pt idx="29">
                  <c:v>908</c:v>
                </c:pt>
                <c:pt idx="30">
                  <c:v>937.5</c:v>
                </c:pt>
                <c:pt idx="31">
                  <c:v>805.75</c:v>
                </c:pt>
                <c:pt idx="32">
                  <c:v>1021.75</c:v>
                </c:pt>
                <c:pt idx="33">
                  <c:v>1082.75</c:v>
                </c:pt>
                <c:pt idx="34">
                  <c:v>964.75</c:v>
                </c:pt>
                <c:pt idx="35">
                  <c:v>981.75</c:v>
                </c:pt>
                <c:pt idx="36">
                  <c:v>1022.5</c:v>
                </c:pt>
                <c:pt idx="37">
                  <c:v>1153.5</c:v>
                </c:pt>
                <c:pt idx="38">
                  <c:v>1355.5</c:v>
                </c:pt>
                <c:pt idx="39">
                  <c:v>1390.25</c:v>
                </c:pt>
                <c:pt idx="40">
                  <c:v>1241.75</c:v>
                </c:pt>
                <c:pt idx="41">
                  <c:v>1028.25</c:v>
                </c:pt>
                <c:pt idx="42">
                  <c:v>766</c:v>
                </c:pt>
                <c:pt idx="43">
                  <c:v>551.75</c:v>
                </c:pt>
                <c:pt idx="44">
                  <c:v>362.25</c:v>
                </c:pt>
                <c:pt idx="45">
                  <c:v>381.5</c:v>
                </c:pt>
                <c:pt idx="46">
                  <c:v>539.5</c:v>
                </c:pt>
                <c:pt idx="47">
                  <c:v>757.25</c:v>
                </c:pt>
                <c:pt idx="48">
                  <c:v>840.25</c:v>
                </c:pt>
                <c:pt idx="49">
                  <c:v>876.75</c:v>
                </c:pt>
                <c:pt idx="50">
                  <c:v>760.5</c:v>
                </c:pt>
                <c:pt idx="51">
                  <c:v>571.75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Averages'!$C$946:$C$997</c:f>
              <c:numCache>
                <c:formatCode>#,##0_);\(#,##0\)</c:formatCode>
                <c:ptCount val="52"/>
                <c:pt idx="0">
                  <c:v>662</c:v>
                </c:pt>
                <c:pt idx="1">
                  <c:v>618.5</c:v>
                </c:pt>
                <c:pt idx="2">
                  <c:v>636.25</c:v>
                </c:pt>
                <c:pt idx="3">
                  <c:v>765.75</c:v>
                </c:pt>
                <c:pt idx="4">
                  <c:v>717</c:v>
                </c:pt>
                <c:pt idx="5">
                  <c:v>739.5</c:v>
                </c:pt>
                <c:pt idx="6">
                  <c:v>730.75</c:v>
                </c:pt>
                <c:pt idx="7">
                  <c:v>604.75</c:v>
                </c:pt>
                <c:pt idx="8">
                  <c:v>548.5</c:v>
                </c:pt>
                <c:pt idx="9">
                  <c:v>584</c:v>
                </c:pt>
                <c:pt idx="10">
                  <c:v>590.25</c:v>
                </c:pt>
                <c:pt idx="11">
                  <c:v>694.5</c:v>
                </c:pt>
                <c:pt idx="12">
                  <c:v>795.75</c:v>
                </c:pt>
                <c:pt idx="13">
                  <c:v>728.75</c:v>
                </c:pt>
                <c:pt idx="14">
                  <c:v>692.5</c:v>
                </c:pt>
                <c:pt idx="15">
                  <c:v>741.5</c:v>
                </c:pt>
                <c:pt idx="16">
                  <c:v>630.25</c:v>
                </c:pt>
                <c:pt idx="17">
                  <c:v>645.5</c:v>
                </c:pt>
                <c:pt idx="18">
                  <c:v>530.5</c:v>
                </c:pt>
                <c:pt idx="19">
                  <c:v>416.75</c:v>
                </c:pt>
                <c:pt idx="20">
                  <c:v>536.75</c:v>
                </c:pt>
                <c:pt idx="21">
                  <c:v>797.5</c:v>
                </c:pt>
                <c:pt idx="22">
                  <c:v>1167.5</c:v>
                </c:pt>
                <c:pt idx="23">
                  <c:v>1295.5</c:v>
                </c:pt>
                <c:pt idx="24">
                  <c:v>1239.75</c:v>
                </c:pt>
                <c:pt idx="25">
                  <c:v>1105.5</c:v>
                </c:pt>
                <c:pt idx="26">
                  <c:v>861.75</c:v>
                </c:pt>
                <c:pt idx="27">
                  <c:v>796.75</c:v>
                </c:pt>
                <c:pt idx="28">
                  <c:v>710</c:v>
                </c:pt>
                <c:pt idx="29">
                  <c:v>668</c:v>
                </c:pt>
                <c:pt idx="30">
                  <c:v>613</c:v>
                </c:pt>
                <c:pt idx="31">
                  <c:v>640.25</c:v>
                </c:pt>
                <c:pt idx="32">
                  <c:v>694</c:v>
                </c:pt>
                <c:pt idx="33">
                  <c:v>593.75</c:v>
                </c:pt>
                <c:pt idx="34">
                  <c:v>770</c:v>
                </c:pt>
                <c:pt idx="35">
                  <c:v>776.5</c:v>
                </c:pt>
                <c:pt idx="36">
                  <c:v>944</c:v>
                </c:pt>
                <c:pt idx="37">
                  <c:v>1131.5</c:v>
                </c:pt>
                <c:pt idx="38">
                  <c:v>1243.75</c:v>
                </c:pt>
                <c:pt idx="39">
                  <c:v>1284.25</c:v>
                </c:pt>
                <c:pt idx="40">
                  <c:v>1136.75</c:v>
                </c:pt>
                <c:pt idx="41">
                  <c:v>989</c:v>
                </c:pt>
                <c:pt idx="42">
                  <c:v>768.25</c:v>
                </c:pt>
                <c:pt idx="43">
                  <c:v>758.75</c:v>
                </c:pt>
                <c:pt idx="44">
                  <c:v>764</c:v>
                </c:pt>
                <c:pt idx="45">
                  <c:v>722.75</c:v>
                </c:pt>
                <c:pt idx="46">
                  <c:v>705.5</c:v>
                </c:pt>
                <c:pt idx="47">
                  <c:v>686</c:v>
                </c:pt>
                <c:pt idx="48">
                  <c:v>727.75</c:v>
                </c:pt>
                <c:pt idx="49">
                  <c:v>739.75</c:v>
                </c:pt>
                <c:pt idx="50">
                  <c:v>816.75</c:v>
                </c:pt>
                <c:pt idx="51">
                  <c:v>733.75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Averages'!$C$998:$C$1020</c:f>
              <c:numCache>
                <c:formatCode>#,##0_);\(#,##0\)</c:formatCode>
                <c:ptCount val="23"/>
                <c:pt idx="0">
                  <c:v>705.75</c:v>
                </c:pt>
                <c:pt idx="1">
                  <c:v>710.75</c:v>
                </c:pt>
                <c:pt idx="2">
                  <c:v>660.5</c:v>
                </c:pt>
                <c:pt idx="3">
                  <c:v>696</c:v>
                </c:pt>
                <c:pt idx="4">
                  <c:v>695.25</c:v>
                </c:pt>
                <c:pt idx="5">
                  <c:v>632.75</c:v>
                </c:pt>
                <c:pt idx="6">
                  <c:v>682.75</c:v>
                </c:pt>
                <c:pt idx="7">
                  <c:v>818.5</c:v>
                </c:pt>
                <c:pt idx="8">
                  <c:v>833.25</c:v>
                </c:pt>
                <c:pt idx="9">
                  <c:v>968.75</c:v>
                </c:pt>
                <c:pt idx="10">
                  <c:v>999.25</c:v>
                </c:pt>
                <c:pt idx="11">
                  <c:v>1013.5</c:v>
                </c:pt>
                <c:pt idx="12">
                  <c:v>1142</c:v>
                </c:pt>
                <c:pt idx="13">
                  <c:v>1363.75</c:v>
                </c:pt>
                <c:pt idx="14">
                  <c:v>1394.5</c:v>
                </c:pt>
                <c:pt idx="15">
                  <c:v>1502.25</c:v>
                </c:pt>
                <c:pt idx="16">
                  <c:v>1503</c:v>
                </c:pt>
                <c:pt idx="17">
                  <c:v>1450</c:v>
                </c:pt>
                <c:pt idx="18">
                  <c:v>1599</c:v>
                </c:pt>
                <c:pt idx="19">
                  <c:v>1461.25</c:v>
                </c:pt>
                <c:pt idx="20">
                  <c:v>1444.5</c:v>
                </c:pt>
                <c:pt idx="21">
                  <c:v>1517.75</c:v>
                </c:pt>
                <c:pt idx="22">
                  <c:v>1612.5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57024"/>
        <c:axId val="163075584"/>
      </c:lineChart>
      <c:dateAx>
        <c:axId val="16305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37322165934"/>
              <c:y val="0.8708168915956444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07558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63075584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0005105197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0570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491591019275456"/>
          <c:y val="0.91824116951056178"/>
          <c:w val="0.81181060568065933"/>
          <c:h val="8.175883048943821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22541000050152965"/>
          <c:y val="1.83154759764618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3461390574587"/>
          <c:y val="0.14296108020357501"/>
          <c:w val="0.8282070954148486"/>
          <c:h val="0.5840474660509215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Averages'!$B$842:$B$893</c:f>
              <c:numCache>
                <c:formatCode>#,##0_);\(#,##0\)</c:formatCode>
                <c:ptCount val="52"/>
                <c:pt idx="0">
                  <c:v>506</c:v>
                </c:pt>
                <c:pt idx="1">
                  <c:v>365.5</c:v>
                </c:pt>
                <c:pt idx="2">
                  <c:v>403.75</c:v>
                </c:pt>
                <c:pt idx="3">
                  <c:v>513.5</c:v>
                </c:pt>
                <c:pt idx="4">
                  <c:v>538.25</c:v>
                </c:pt>
                <c:pt idx="5">
                  <c:v>664.5</c:v>
                </c:pt>
                <c:pt idx="6">
                  <c:v>613.75</c:v>
                </c:pt>
                <c:pt idx="7">
                  <c:v>492.25</c:v>
                </c:pt>
                <c:pt idx="8">
                  <c:v>471</c:v>
                </c:pt>
                <c:pt idx="9">
                  <c:v>414</c:v>
                </c:pt>
                <c:pt idx="10">
                  <c:v>378.75</c:v>
                </c:pt>
                <c:pt idx="11">
                  <c:v>469.75</c:v>
                </c:pt>
                <c:pt idx="12">
                  <c:v>364.75</c:v>
                </c:pt>
                <c:pt idx="13">
                  <c:v>276</c:v>
                </c:pt>
                <c:pt idx="14">
                  <c:v>275</c:v>
                </c:pt>
                <c:pt idx="15">
                  <c:v>151.5</c:v>
                </c:pt>
                <c:pt idx="16">
                  <c:v>180</c:v>
                </c:pt>
                <c:pt idx="17">
                  <c:v>156.75</c:v>
                </c:pt>
                <c:pt idx="18">
                  <c:v>128.25</c:v>
                </c:pt>
                <c:pt idx="19">
                  <c:v>152.75</c:v>
                </c:pt>
                <c:pt idx="20">
                  <c:v>153.5</c:v>
                </c:pt>
                <c:pt idx="21">
                  <c:v>178.75</c:v>
                </c:pt>
                <c:pt idx="22">
                  <c:v>151.75</c:v>
                </c:pt>
                <c:pt idx="23">
                  <c:v>209.75</c:v>
                </c:pt>
                <c:pt idx="24">
                  <c:v>199</c:v>
                </c:pt>
                <c:pt idx="25">
                  <c:v>200.5</c:v>
                </c:pt>
                <c:pt idx="26">
                  <c:v>201.75</c:v>
                </c:pt>
                <c:pt idx="27">
                  <c:v>120.5</c:v>
                </c:pt>
                <c:pt idx="28">
                  <c:v>138.75</c:v>
                </c:pt>
                <c:pt idx="29">
                  <c:v>195.75</c:v>
                </c:pt>
                <c:pt idx="30">
                  <c:v>219.75</c:v>
                </c:pt>
                <c:pt idx="31">
                  <c:v>259</c:v>
                </c:pt>
                <c:pt idx="32">
                  <c:v>299.5</c:v>
                </c:pt>
                <c:pt idx="33">
                  <c:v>312.5</c:v>
                </c:pt>
                <c:pt idx="34">
                  <c:v>380.25</c:v>
                </c:pt>
                <c:pt idx="35">
                  <c:v>504</c:v>
                </c:pt>
                <c:pt idx="36">
                  <c:v>626.75</c:v>
                </c:pt>
                <c:pt idx="37">
                  <c:v>825.25</c:v>
                </c:pt>
                <c:pt idx="38">
                  <c:v>944.5</c:v>
                </c:pt>
                <c:pt idx="39">
                  <c:v>1119.75</c:v>
                </c:pt>
                <c:pt idx="40">
                  <c:v>1285.75</c:v>
                </c:pt>
                <c:pt idx="41">
                  <c:v>1487.25</c:v>
                </c:pt>
                <c:pt idx="42">
                  <c:v>1670.75</c:v>
                </c:pt>
                <c:pt idx="43">
                  <c:v>1782.25</c:v>
                </c:pt>
                <c:pt idx="44">
                  <c:v>1839.25</c:v>
                </c:pt>
                <c:pt idx="45">
                  <c:v>1726.75</c:v>
                </c:pt>
                <c:pt idx="46">
                  <c:v>1611.75</c:v>
                </c:pt>
                <c:pt idx="47">
                  <c:v>1464.75</c:v>
                </c:pt>
                <c:pt idx="48">
                  <c:v>1454.5</c:v>
                </c:pt>
                <c:pt idx="49">
                  <c:v>1312.25</c:v>
                </c:pt>
                <c:pt idx="50">
                  <c:v>1309</c:v>
                </c:pt>
                <c:pt idx="51">
                  <c:v>1253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Averages'!$S$842:$S$893</c:f>
              <c:numCache>
                <c:formatCode>_(* #,##0_);_(* \(#,##0\);_(* "-"??_);_(@_)</c:formatCode>
                <c:ptCount val="52"/>
                <c:pt idx="0">
                  <c:v>1299.75</c:v>
                </c:pt>
                <c:pt idx="1">
                  <c:v>1382.0625</c:v>
                </c:pt>
                <c:pt idx="2">
                  <c:v>1434.5</c:v>
                </c:pt>
                <c:pt idx="3">
                  <c:v>1614.375</c:v>
                </c:pt>
                <c:pt idx="4">
                  <c:v>1602</c:v>
                </c:pt>
                <c:pt idx="5">
                  <c:v>1639.4375</c:v>
                </c:pt>
                <c:pt idx="6">
                  <c:v>1649.1875</c:v>
                </c:pt>
                <c:pt idx="7">
                  <c:v>1553.9375</c:v>
                </c:pt>
                <c:pt idx="8">
                  <c:v>1620</c:v>
                </c:pt>
                <c:pt idx="9">
                  <c:v>1610.6875</c:v>
                </c:pt>
                <c:pt idx="10">
                  <c:v>1520.75</c:v>
                </c:pt>
                <c:pt idx="11">
                  <c:v>1423.6875</c:v>
                </c:pt>
                <c:pt idx="12">
                  <c:v>1228.75</c:v>
                </c:pt>
                <c:pt idx="13">
                  <c:v>1036.125</c:v>
                </c:pt>
                <c:pt idx="14">
                  <c:v>981.1875</c:v>
                </c:pt>
                <c:pt idx="15">
                  <c:v>880.125</c:v>
                </c:pt>
                <c:pt idx="16">
                  <c:v>841.0625</c:v>
                </c:pt>
                <c:pt idx="17">
                  <c:v>744.4375</c:v>
                </c:pt>
                <c:pt idx="18">
                  <c:v>639.3125</c:v>
                </c:pt>
                <c:pt idx="19">
                  <c:v>610</c:v>
                </c:pt>
                <c:pt idx="20">
                  <c:v>555.625</c:v>
                </c:pt>
                <c:pt idx="21">
                  <c:v>589.375</c:v>
                </c:pt>
                <c:pt idx="22">
                  <c:v>504.75</c:v>
                </c:pt>
                <c:pt idx="23">
                  <c:v>494.3125</c:v>
                </c:pt>
                <c:pt idx="24">
                  <c:v>510.6875</c:v>
                </c:pt>
                <c:pt idx="25">
                  <c:v>530</c:v>
                </c:pt>
                <c:pt idx="26">
                  <c:v>630.1875</c:v>
                </c:pt>
                <c:pt idx="27">
                  <c:v>741</c:v>
                </c:pt>
                <c:pt idx="28">
                  <c:v>869.875</c:v>
                </c:pt>
                <c:pt idx="29">
                  <c:v>916.4375</c:v>
                </c:pt>
                <c:pt idx="30">
                  <c:v>935.4375</c:v>
                </c:pt>
                <c:pt idx="31">
                  <c:v>1023.75</c:v>
                </c:pt>
                <c:pt idx="32">
                  <c:v>972.25</c:v>
                </c:pt>
                <c:pt idx="33">
                  <c:v>1059.4375</c:v>
                </c:pt>
                <c:pt idx="34">
                  <c:v>1188.5</c:v>
                </c:pt>
                <c:pt idx="35">
                  <c:v>1115.875</c:v>
                </c:pt>
                <c:pt idx="36">
                  <c:v>1229.6875</c:v>
                </c:pt>
                <c:pt idx="37">
                  <c:v>1295.75</c:v>
                </c:pt>
                <c:pt idx="38">
                  <c:v>1333</c:v>
                </c:pt>
                <c:pt idx="39">
                  <c:v>1613.4375</c:v>
                </c:pt>
                <c:pt idx="40">
                  <c:v>1921.75</c:v>
                </c:pt>
                <c:pt idx="41">
                  <c:v>2099.25</c:v>
                </c:pt>
                <c:pt idx="42">
                  <c:v>2297.0625</c:v>
                </c:pt>
                <c:pt idx="43">
                  <c:v>2218.8125</c:v>
                </c:pt>
                <c:pt idx="44">
                  <c:v>2029.125</c:v>
                </c:pt>
                <c:pt idx="45">
                  <c:v>1885.75</c:v>
                </c:pt>
                <c:pt idx="46">
                  <c:v>1760</c:v>
                </c:pt>
                <c:pt idx="47">
                  <c:v>1697.8125</c:v>
                </c:pt>
                <c:pt idx="48">
                  <c:v>1631.75</c:v>
                </c:pt>
                <c:pt idx="49">
                  <c:v>1516.75</c:v>
                </c:pt>
                <c:pt idx="50">
                  <c:v>1379.75</c:v>
                </c:pt>
                <c:pt idx="51">
                  <c:v>1218.9375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Averages'!$B$894:$B$945</c:f>
              <c:numCache>
                <c:formatCode>#,##0_);\(#,##0\)</c:formatCode>
                <c:ptCount val="52"/>
                <c:pt idx="0">
                  <c:v>1094.25</c:v>
                </c:pt>
                <c:pt idx="1">
                  <c:v>1038.75</c:v>
                </c:pt>
                <c:pt idx="2">
                  <c:v>1112</c:v>
                </c:pt>
                <c:pt idx="3">
                  <c:v>1139</c:v>
                </c:pt>
                <c:pt idx="4">
                  <c:v>1099</c:v>
                </c:pt>
                <c:pt idx="5">
                  <c:v>1067.75</c:v>
                </c:pt>
                <c:pt idx="6">
                  <c:v>1019</c:v>
                </c:pt>
                <c:pt idx="7">
                  <c:v>978</c:v>
                </c:pt>
                <c:pt idx="8">
                  <c:v>1029.75</c:v>
                </c:pt>
                <c:pt idx="9">
                  <c:v>1126</c:v>
                </c:pt>
                <c:pt idx="10">
                  <c:v>1101.75</c:v>
                </c:pt>
                <c:pt idx="11">
                  <c:v>1269.25</c:v>
                </c:pt>
                <c:pt idx="12">
                  <c:v>1303</c:v>
                </c:pt>
                <c:pt idx="13">
                  <c:v>1300.75</c:v>
                </c:pt>
                <c:pt idx="14">
                  <c:v>1198.75</c:v>
                </c:pt>
                <c:pt idx="15">
                  <c:v>829.25</c:v>
                </c:pt>
                <c:pt idx="16">
                  <c:v>629.25</c:v>
                </c:pt>
                <c:pt idx="17">
                  <c:v>454.25</c:v>
                </c:pt>
                <c:pt idx="18">
                  <c:v>473</c:v>
                </c:pt>
                <c:pt idx="19">
                  <c:v>550.25</c:v>
                </c:pt>
                <c:pt idx="20">
                  <c:v>568.25</c:v>
                </c:pt>
                <c:pt idx="21">
                  <c:v>576</c:v>
                </c:pt>
                <c:pt idx="22">
                  <c:v>474.75</c:v>
                </c:pt>
                <c:pt idx="23">
                  <c:v>379.5</c:v>
                </c:pt>
                <c:pt idx="24">
                  <c:v>298.75</c:v>
                </c:pt>
                <c:pt idx="25">
                  <c:v>244.5</c:v>
                </c:pt>
                <c:pt idx="26">
                  <c:v>203.5</c:v>
                </c:pt>
                <c:pt idx="27">
                  <c:v>206.25</c:v>
                </c:pt>
                <c:pt idx="28">
                  <c:v>149.25</c:v>
                </c:pt>
                <c:pt idx="29">
                  <c:v>122.5</c:v>
                </c:pt>
                <c:pt idx="30">
                  <c:v>121.75</c:v>
                </c:pt>
                <c:pt idx="31">
                  <c:v>80</c:v>
                </c:pt>
                <c:pt idx="32">
                  <c:v>111.25</c:v>
                </c:pt>
                <c:pt idx="33">
                  <c:v>110.5</c:v>
                </c:pt>
                <c:pt idx="34">
                  <c:v>59.25</c:v>
                </c:pt>
                <c:pt idx="35">
                  <c:v>89.25</c:v>
                </c:pt>
                <c:pt idx="36">
                  <c:v>84.75</c:v>
                </c:pt>
                <c:pt idx="37">
                  <c:v>95</c:v>
                </c:pt>
                <c:pt idx="38">
                  <c:v>249</c:v>
                </c:pt>
                <c:pt idx="39">
                  <c:v>338.75</c:v>
                </c:pt>
                <c:pt idx="40">
                  <c:v>381</c:v>
                </c:pt>
                <c:pt idx="41">
                  <c:v>541.5</c:v>
                </c:pt>
                <c:pt idx="42">
                  <c:v>610</c:v>
                </c:pt>
                <c:pt idx="43">
                  <c:v>623.5</c:v>
                </c:pt>
                <c:pt idx="44">
                  <c:v>686.75</c:v>
                </c:pt>
                <c:pt idx="45">
                  <c:v>508</c:v>
                </c:pt>
                <c:pt idx="46">
                  <c:v>386.5</c:v>
                </c:pt>
                <c:pt idx="47">
                  <c:v>284.5</c:v>
                </c:pt>
                <c:pt idx="48">
                  <c:v>179.25</c:v>
                </c:pt>
                <c:pt idx="49">
                  <c:v>189.5</c:v>
                </c:pt>
                <c:pt idx="50">
                  <c:v>102.25</c:v>
                </c:pt>
                <c:pt idx="51">
                  <c:v>72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Averages'!$B$946:$B$997</c:f>
              <c:numCache>
                <c:formatCode>#,##0_);\(#,##0\)</c:formatCode>
                <c:ptCount val="52"/>
                <c:pt idx="0">
                  <c:v>50.5</c:v>
                </c:pt>
                <c:pt idx="1">
                  <c:v>58.25</c:v>
                </c:pt>
                <c:pt idx="2">
                  <c:v>44.25</c:v>
                </c:pt>
                <c:pt idx="3">
                  <c:v>49.5</c:v>
                </c:pt>
                <c:pt idx="4">
                  <c:v>155.5</c:v>
                </c:pt>
                <c:pt idx="5">
                  <c:v>154.5</c:v>
                </c:pt>
                <c:pt idx="6">
                  <c:v>312</c:v>
                </c:pt>
                <c:pt idx="7">
                  <c:v>447.5</c:v>
                </c:pt>
                <c:pt idx="8">
                  <c:v>443.5</c:v>
                </c:pt>
                <c:pt idx="9">
                  <c:v>497.25</c:v>
                </c:pt>
                <c:pt idx="10">
                  <c:v>421.75</c:v>
                </c:pt>
                <c:pt idx="11">
                  <c:v>297</c:v>
                </c:pt>
                <c:pt idx="12">
                  <c:v>190.25</c:v>
                </c:pt>
                <c:pt idx="13">
                  <c:v>159.25</c:v>
                </c:pt>
                <c:pt idx="14">
                  <c:v>95</c:v>
                </c:pt>
                <c:pt idx="15">
                  <c:v>78</c:v>
                </c:pt>
                <c:pt idx="16">
                  <c:v>89.5</c:v>
                </c:pt>
                <c:pt idx="17">
                  <c:v>37</c:v>
                </c:pt>
                <c:pt idx="18">
                  <c:v>24.25</c:v>
                </c:pt>
                <c:pt idx="19">
                  <c:v>24.25</c:v>
                </c:pt>
                <c:pt idx="20">
                  <c:v>11.25</c:v>
                </c:pt>
                <c:pt idx="21">
                  <c:v>9.75</c:v>
                </c:pt>
                <c:pt idx="22">
                  <c:v>58.5</c:v>
                </c:pt>
                <c:pt idx="23">
                  <c:v>86</c:v>
                </c:pt>
                <c:pt idx="24">
                  <c:v>86</c:v>
                </c:pt>
                <c:pt idx="25">
                  <c:v>81.25</c:v>
                </c:pt>
                <c:pt idx="26">
                  <c:v>55</c:v>
                </c:pt>
                <c:pt idx="27">
                  <c:v>27.5</c:v>
                </c:pt>
                <c:pt idx="28">
                  <c:v>153.5</c:v>
                </c:pt>
                <c:pt idx="29">
                  <c:v>223.5</c:v>
                </c:pt>
                <c:pt idx="30">
                  <c:v>294.25</c:v>
                </c:pt>
                <c:pt idx="31">
                  <c:v>492</c:v>
                </c:pt>
                <c:pt idx="32">
                  <c:v>430.25</c:v>
                </c:pt>
                <c:pt idx="33">
                  <c:v>517.5</c:v>
                </c:pt>
                <c:pt idx="34">
                  <c:v>419.5</c:v>
                </c:pt>
                <c:pt idx="35">
                  <c:v>240.25</c:v>
                </c:pt>
                <c:pt idx="36">
                  <c:v>188.5</c:v>
                </c:pt>
                <c:pt idx="37">
                  <c:v>114.5</c:v>
                </c:pt>
                <c:pt idx="38">
                  <c:v>240.75</c:v>
                </c:pt>
                <c:pt idx="39">
                  <c:v>526.75</c:v>
                </c:pt>
                <c:pt idx="40">
                  <c:v>874</c:v>
                </c:pt>
                <c:pt idx="41">
                  <c:v>1267</c:v>
                </c:pt>
                <c:pt idx="42">
                  <c:v>1298.25</c:v>
                </c:pt>
                <c:pt idx="43">
                  <c:v>1128.5</c:v>
                </c:pt>
                <c:pt idx="44">
                  <c:v>942.25</c:v>
                </c:pt>
                <c:pt idx="45">
                  <c:v>626.25</c:v>
                </c:pt>
                <c:pt idx="46">
                  <c:v>750.25</c:v>
                </c:pt>
                <c:pt idx="47">
                  <c:v>943.25</c:v>
                </c:pt>
                <c:pt idx="48">
                  <c:v>1111</c:v>
                </c:pt>
                <c:pt idx="49">
                  <c:v>1207.5</c:v>
                </c:pt>
                <c:pt idx="50">
                  <c:v>1287.75</c:v>
                </c:pt>
                <c:pt idx="51">
                  <c:v>1310.5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Averages'!$B$998:$B$1020</c:f>
              <c:numCache>
                <c:formatCode>#,##0_);\(#,##0\)</c:formatCode>
                <c:ptCount val="23"/>
                <c:pt idx="0">
                  <c:v>1223</c:v>
                </c:pt>
                <c:pt idx="1">
                  <c:v>1266</c:v>
                </c:pt>
                <c:pt idx="2">
                  <c:v>1158.5</c:v>
                </c:pt>
                <c:pt idx="3">
                  <c:v>1049.25</c:v>
                </c:pt>
                <c:pt idx="4">
                  <c:v>1057.75</c:v>
                </c:pt>
                <c:pt idx="5">
                  <c:v>1013</c:v>
                </c:pt>
                <c:pt idx="6">
                  <c:v>934.25</c:v>
                </c:pt>
                <c:pt idx="7">
                  <c:v>755.25</c:v>
                </c:pt>
                <c:pt idx="8">
                  <c:v>535</c:v>
                </c:pt>
                <c:pt idx="9">
                  <c:v>291.75</c:v>
                </c:pt>
                <c:pt idx="10">
                  <c:v>116</c:v>
                </c:pt>
                <c:pt idx="11">
                  <c:v>90.75</c:v>
                </c:pt>
                <c:pt idx="12">
                  <c:v>49</c:v>
                </c:pt>
                <c:pt idx="13">
                  <c:v>83.5</c:v>
                </c:pt>
                <c:pt idx="14">
                  <c:v>114</c:v>
                </c:pt>
                <c:pt idx="15">
                  <c:v>77.25</c:v>
                </c:pt>
                <c:pt idx="16">
                  <c:v>77</c:v>
                </c:pt>
                <c:pt idx="17">
                  <c:v>69.5</c:v>
                </c:pt>
                <c:pt idx="18">
                  <c:v>39.75</c:v>
                </c:pt>
                <c:pt idx="19">
                  <c:v>70</c:v>
                </c:pt>
                <c:pt idx="20">
                  <c:v>122.75</c:v>
                </c:pt>
                <c:pt idx="21">
                  <c:v>184.75</c:v>
                </c:pt>
                <c:pt idx="22">
                  <c:v>210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16928"/>
        <c:axId val="163131392"/>
      </c:lineChart>
      <c:dateAx>
        <c:axId val="163116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37322165934"/>
              <c:y val="0.8708170040388786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13139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63131392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1006124234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1169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491591019275456"/>
          <c:y val="0.91824117019619123"/>
          <c:w val="0.81181060568065933"/>
          <c:h val="8.175882980380877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63592336490934"/>
          <c:y val="5.5359380552490324E-2"/>
          <c:w val="0.8079099270850916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v>Cross-border rail</c:v>
          </c:tx>
          <c:marker>
            <c:symbol val="none"/>
          </c:marker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'Weekly Data'!$J$790:$J$841</c:f>
              <c:numCache>
                <c:formatCode>#,##0</c:formatCode>
                <c:ptCount val="52"/>
                <c:pt idx="0">
                  <c:v>1072.7</c:v>
                </c:pt>
                <c:pt idx="1">
                  <c:v>1795.8107130940782</c:v>
                </c:pt>
                <c:pt idx="2">
                  <c:v>1109.5724752092035</c:v>
                </c:pt>
                <c:pt idx="3">
                  <c:v>1215.4060345402859</c:v>
                </c:pt>
                <c:pt idx="4">
                  <c:v>1408.5942777636901</c:v>
                </c:pt>
                <c:pt idx="5">
                  <c:v>781.99241061299665</c:v>
                </c:pt>
                <c:pt idx="6">
                  <c:v>1562.3049234588332</c:v>
                </c:pt>
                <c:pt idx="7">
                  <c:v>1277.5622519252072</c:v>
                </c:pt>
                <c:pt idx="8">
                  <c:v>1869.7262148491197</c:v>
                </c:pt>
                <c:pt idx="9">
                  <c:v>1662.2588406048553</c:v>
                </c:pt>
                <c:pt idx="10">
                  <c:v>1280.9220474595272</c:v>
                </c:pt>
                <c:pt idx="11">
                  <c:v>999.53917146022127</c:v>
                </c:pt>
                <c:pt idx="12">
                  <c:v>952.5020339797403</c:v>
                </c:pt>
                <c:pt idx="13">
                  <c:v>1392.6352489756696</c:v>
                </c:pt>
                <c:pt idx="14">
                  <c:v>730.75552871461559</c:v>
                </c:pt>
                <c:pt idx="15">
                  <c:v>847.508423532238</c:v>
                </c:pt>
                <c:pt idx="16">
                  <c:v>1693.3369492973159</c:v>
                </c:pt>
                <c:pt idx="17">
                  <c:v>973.50075606924077</c:v>
                </c:pt>
                <c:pt idx="18">
                  <c:v>1049.0961555914423</c:v>
                </c:pt>
                <c:pt idx="19">
                  <c:v>1656.3791984197953</c:v>
                </c:pt>
                <c:pt idx="20">
                  <c:v>2149.429193081266</c:v>
                </c:pt>
                <c:pt idx="21">
                  <c:v>1309.4803095012478</c:v>
                </c:pt>
                <c:pt idx="22">
                  <c:v>1838.648106156659</c:v>
                </c:pt>
                <c:pt idx="23">
                  <c:v>1931.042483350461</c:v>
                </c:pt>
                <c:pt idx="24">
                  <c:v>1102.8528841405634</c:v>
                </c:pt>
                <c:pt idx="25">
                  <c:v>1679.0578182764557</c:v>
                </c:pt>
                <c:pt idx="26">
                  <c:v>1455.631415244171</c:v>
                </c:pt>
                <c:pt idx="27">
                  <c:v>1044.8964111735422</c:v>
                </c:pt>
                <c:pt idx="28">
                  <c:v>1500.1487060739119</c:v>
                </c:pt>
                <c:pt idx="29">
                  <c:v>1540.4662524857526</c:v>
                </c:pt>
                <c:pt idx="30">
                  <c:v>1430.4329487367704</c:v>
                </c:pt>
                <c:pt idx="31">
                  <c:v>1090.2536508868632</c:v>
                </c:pt>
                <c:pt idx="32">
                  <c:v>1390.9553512085095</c:v>
                </c:pt>
                <c:pt idx="33">
                  <c:v>1532.9067125335328</c:v>
                </c:pt>
                <c:pt idx="34">
                  <c:v>1743.733882312117</c:v>
                </c:pt>
                <c:pt idx="35">
                  <c:v>1411.9540732980099</c:v>
                </c:pt>
                <c:pt idx="36">
                  <c:v>1124.6915551136437</c:v>
                </c:pt>
                <c:pt idx="37">
                  <c:v>1044.8964111735422</c:v>
                </c:pt>
                <c:pt idx="38">
                  <c:v>1123.8516062300639</c:v>
                </c:pt>
                <c:pt idx="39">
                  <c:v>983.58014267220096</c:v>
                </c:pt>
                <c:pt idx="40">
                  <c:v>1792.450917559758</c:v>
                </c:pt>
                <c:pt idx="41">
                  <c:v>1779.0117354224778</c:v>
                </c:pt>
                <c:pt idx="42">
                  <c:v>1581.6237477811737</c:v>
                </c:pt>
                <c:pt idx="43">
                  <c:v>1506.8682971425519</c:v>
                </c:pt>
                <c:pt idx="44">
                  <c:v>1847.8875438760394</c:v>
                </c:pt>
                <c:pt idx="45">
                  <c:v>2212.4253593497674</c:v>
                </c:pt>
                <c:pt idx="46">
                  <c:v>1731.974597941997</c:v>
                </c:pt>
                <c:pt idx="47">
                  <c:v>1521.9873770469924</c:v>
                </c:pt>
                <c:pt idx="48">
                  <c:v>1212.0462390059658</c:v>
                </c:pt>
                <c:pt idx="49">
                  <c:v>1987.3190585503223</c:v>
                </c:pt>
                <c:pt idx="50">
                  <c:v>1355.6774980981488</c:v>
                </c:pt>
                <c:pt idx="51">
                  <c:v>1476.6301373336714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99136"/>
        <c:axId val="103900672"/>
      </c:lineChart>
      <c:lineChart>
        <c:grouping val="standard"/>
        <c:varyColors val="0"/>
        <c:ser>
          <c:idx val="1"/>
          <c:order val="1"/>
          <c:tx>
            <c:v>Exports</c:v>
          </c:tx>
          <c:marker>
            <c:symbol val="none"/>
          </c:marker>
          <c:dPt>
            <c:idx val="4"/>
            <c:bubble3D val="0"/>
          </c:dPt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Sheet1!$B$27:$B$78</c:f>
              <c:numCache>
                <c:formatCode>#,##0_);\(#,##0\)</c:formatCode>
                <c:ptCount val="52"/>
                <c:pt idx="0">
                  <c:v>1814.1448093683048</c:v>
                </c:pt>
                <c:pt idx="1">
                  <c:v>1880.1930930243843</c:v>
                </c:pt>
                <c:pt idx="2">
                  <c:v>2225.0744292142467</c:v>
                </c:pt>
                <c:pt idx="3">
                  <c:v>2072.7846995444806</c:v>
                </c:pt>
                <c:pt idx="4">
                  <c:v>2622.7555795910725</c:v>
                </c:pt>
                <c:pt idx="5">
                  <c:v>2440.4707725800972</c:v>
                </c:pt>
                <c:pt idx="6">
                  <c:v>1842.4063481498429</c:v>
                </c:pt>
                <c:pt idx="7">
                  <c:v>1956.0605556364444</c:v>
                </c:pt>
                <c:pt idx="8">
                  <c:v>2314.2895078034544</c:v>
                </c:pt>
                <c:pt idx="9">
                  <c:v>1840.228522301031</c:v>
                </c:pt>
                <c:pt idx="10">
                  <c:v>2003.1701229278033</c:v>
                </c:pt>
                <c:pt idx="11">
                  <c:v>2103.9280043818599</c:v>
                </c:pt>
                <c:pt idx="12">
                  <c:v>2181.3280085418533</c:v>
                </c:pt>
                <c:pt idx="13">
                  <c:v>2075.9919850794904</c:v>
                </c:pt>
                <c:pt idx="14">
                  <c:v>2050.5645110967821</c:v>
                </c:pt>
                <c:pt idx="15">
                  <c:v>1469.3761396648433</c:v>
                </c:pt>
                <c:pt idx="16">
                  <c:v>1693.8516685039972</c:v>
                </c:pt>
                <c:pt idx="17">
                  <c:v>1798.172445590754</c:v>
                </c:pt>
                <c:pt idx="18">
                  <c:v>1651.0592036386074</c:v>
                </c:pt>
                <c:pt idx="19">
                  <c:v>1835.5757777454223</c:v>
                </c:pt>
                <c:pt idx="20">
                  <c:v>1379.2398998828271</c:v>
                </c:pt>
                <c:pt idx="21">
                  <c:v>1445.5651004291724</c:v>
                </c:pt>
                <c:pt idx="22">
                  <c:v>1557.7910435343304</c:v>
                </c:pt>
                <c:pt idx="23">
                  <c:v>1880.147125097933</c:v>
                </c:pt>
                <c:pt idx="24">
                  <c:v>1447.6518224237507</c:v>
                </c:pt>
                <c:pt idx="25">
                  <c:v>1709.7113657951481</c:v>
                </c:pt>
                <c:pt idx="26">
                  <c:v>1576.9294395795632</c:v>
                </c:pt>
                <c:pt idx="27">
                  <c:v>1769.4788221672179</c:v>
                </c:pt>
                <c:pt idx="28">
                  <c:v>1984.0840041322601</c:v>
                </c:pt>
                <c:pt idx="29">
                  <c:v>1766.0202730342298</c:v>
                </c:pt>
                <c:pt idx="30">
                  <c:v>1647.5187026367425</c:v>
                </c:pt>
                <c:pt idx="31">
                  <c:v>1790.5527937821967</c:v>
                </c:pt>
                <c:pt idx="32">
                  <c:v>1866.5506721855911</c:v>
                </c:pt>
                <c:pt idx="33">
                  <c:v>1874.5104727832436</c:v>
                </c:pt>
                <c:pt idx="34">
                  <c:v>2067.0375300732853</c:v>
                </c:pt>
                <c:pt idx="35">
                  <c:v>1984.782952347276</c:v>
                </c:pt>
                <c:pt idx="36">
                  <c:v>1797.5729905498818</c:v>
                </c:pt>
                <c:pt idx="37">
                  <c:v>1706.9973861375156</c:v>
                </c:pt>
                <c:pt idx="38">
                  <c:v>2148.7653139754975</c:v>
                </c:pt>
                <c:pt idx="39">
                  <c:v>1813.888761777981</c:v>
                </c:pt>
                <c:pt idx="40">
                  <c:v>2406.8416637200048</c:v>
                </c:pt>
                <c:pt idx="41">
                  <c:v>2401.5894641235241</c:v>
                </c:pt>
                <c:pt idx="42">
                  <c:v>2789.216742586545</c:v>
                </c:pt>
                <c:pt idx="43">
                  <c:v>2899.3036171142126</c:v>
                </c:pt>
                <c:pt idx="44">
                  <c:v>2775.0131386456451</c:v>
                </c:pt>
                <c:pt idx="45">
                  <c:v>3389.5098834508531</c:v>
                </c:pt>
                <c:pt idx="46">
                  <c:v>2508.3852292502997</c:v>
                </c:pt>
                <c:pt idx="47">
                  <c:v>2767.0493167210934</c:v>
                </c:pt>
                <c:pt idx="48">
                  <c:v>2788.9768496370407</c:v>
                </c:pt>
                <c:pt idx="49">
                  <c:v>1717.6168091464388</c:v>
                </c:pt>
                <c:pt idx="50">
                  <c:v>2771.8906476416305</c:v>
                </c:pt>
                <c:pt idx="51">
                  <c:v>2039.6662992005879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02208"/>
        <c:axId val="103912192"/>
      </c:lineChart>
      <c:dateAx>
        <c:axId val="103899136"/>
        <c:scaling>
          <c:orientation val="minMax"/>
          <c:max val="40177"/>
          <c:min val="39820"/>
        </c:scaling>
        <c:delete val="0"/>
        <c:axPos val="b"/>
        <c:numFmt formatCode="mm/dd/yy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00672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103900672"/>
        <c:scaling>
          <c:orientation val="minMax"/>
          <c:max val="350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99136"/>
        <c:crosses val="autoZero"/>
        <c:crossBetween val="between"/>
      </c:valAx>
      <c:dateAx>
        <c:axId val="103902208"/>
        <c:scaling>
          <c:orientation val="minMax"/>
        </c:scaling>
        <c:delete val="1"/>
        <c:axPos val="b"/>
        <c:numFmt formatCode="mm/dd/yy_)" sourceLinked="1"/>
        <c:majorTickMark val="out"/>
        <c:minorTickMark val="none"/>
        <c:tickLblPos val="nextTo"/>
        <c:crossAx val="103912192"/>
        <c:crosses val="autoZero"/>
        <c:auto val="1"/>
        <c:lblOffset val="100"/>
        <c:baseTimeUnit val="days"/>
      </c:dateAx>
      <c:valAx>
        <c:axId val="103912192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02208"/>
        <c:crosses val="max"/>
        <c:crossBetween val="between"/>
      </c:valAx>
      <c:spPr>
        <a:ln>
          <a:solidFill>
            <a:schemeClr val="accent1"/>
          </a:solidFill>
        </a:ln>
      </c:spPr>
    </c:plotArea>
    <c:legend>
      <c:legendPos val="t"/>
      <c:layout>
        <c:manualLayout>
          <c:xMode val="edge"/>
          <c:yMode val="edge"/>
          <c:x val="0.30650011749792311"/>
          <c:y val="7.5217735550277123E-2"/>
          <c:w val="0.36901778355889631"/>
          <c:h val="7.1587147212299182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670560</xdr:colOff>
      <xdr:row>22</xdr:row>
      <xdr:rowOff>22860</xdr:rowOff>
    </xdr:from>
    <xdr:to>
      <xdr:col>20</xdr:col>
      <xdr:colOff>731520</xdr:colOff>
      <xdr:row>37</xdr:row>
      <xdr:rowOff>144780</xdr:rowOff>
    </xdr:to>
    <xdr:graphicFrame macro="">
      <xdr:nvGraphicFramePr>
        <xdr:cNvPr id="10868191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556260</xdr:colOff>
      <xdr:row>2</xdr:row>
      <xdr:rowOff>99060</xdr:rowOff>
    </xdr:from>
    <xdr:to>
      <xdr:col>28</xdr:col>
      <xdr:colOff>243840</xdr:colOff>
      <xdr:row>19</xdr:row>
      <xdr:rowOff>129540</xdr:rowOff>
    </xdr:to>
    <xdr:graphicFrame macro="">
      <xdr:nvGraphicFramePr>
        <xdr:cNvPr id="10868192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563880</xdr:colOff>
      <xdr:row>22</xdr:row>
      <xdr:rowOff>60960</xdr:rowOff>
    </xdr:from>
    <xdr:to>
      <xdr:col>27</xdr:col>
      <xdr:colOff>716280</xdr:colOff>
      <xdr:row>36</xdr:row>
      <xdr:rowOff>137160</xdr:rowOff>
    </xdr:to>
    <xdr:graphicFrame macro="">
      <xdr:nvGraphicFramePr>
        <xdr:cNvPr id="10868193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175260</xdr:colOff>
      <xdr:row>21</xdr:row>
      <xdr:rowOff>53340</xdr:rowOff>
    </xdr:from>
    <xdr:to>
      <xdr:col>35</xdr:col>
      <xdr:colOff>243840</xdr:colOff>
      <xdr:row>35</xdr:row>
      <xdr:rowOff>152400</xdr:rowOff>
    </xdr:to>
    <xdr:graphicFrame macro="">
      <xdr:nvGraphicFramePr>
        <xdr:cNvPr id="10868194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2</xdr:row>
      <xdr:rowOff>7620</xdr:rowOff>
    </xdr:from>
    <xdr:to>
      <xdr:col>6</xdr:col>
      <xdr:colOff>617220</xdr:colOff>
      <xdr:row>18</xdr:row>
      <xdr:rowOff>45720</xdr:rowOff>
    </xdr:to>
    <xdr:graphicFrame macro="">
      <xdr:nvGraphicFramePr>
        <xdr:cNvPr id="10868195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723900</xdr:colOff>
      <xdr:row>2</xdr:row>
      <xdr:rowOff>0</xdr:rowOff>
    </xdr:from>
    <xdr:to>
      <xdr:col>14</xdr:col>
      <xdr:colOff>129540</xdr:colOff>
      <xdr:row>18</xdr:row>
      <xdr:rowOff>129540</xdr:rowOff>
    </xdr:to>
    <xdr:graphicFrame macro="">
      <xdr:nvGraphicFramePr>
        <xdr:cNvPr id="10868196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30480</xdr:colOff>
      <xdr:row>1</xdr:row>
      <xdr:rowOff>129540</xdr:rowOff>
    </xdr:from>
    <xdr:to>
      <xdr:col>21</xdr:col>
      <xdr:colOff>266700</xdr:colOff>
      <xdr:row>19</xdr:row>
      <xdr:rowOff>53340</xdr:rowOff>
    </xdr:to>
    <xdr:graphicFrame macro="">
      <xdr:nvGraphicFramePr>
        <xdr:cNvPr id="10868197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144780</xdr:colOff>
      <xdr:row>3</xdr:row>
      <xdr:rowOff>137160</xdr:rowOff>
    </xdr:from>
    <xdr:to>
      <xdr:col>42</xdr:col>
      <xdr:colOff>335280</xdr:colOff>
      <xdr:row>18</xdr:row>
      <xdr:rowOff>167640</xdr:rowOff>
    </xdr:to>
    <xdr:graphicFrame macro="">
      <xdr:nvGraphicFramePr>
        <xdr:cNvPr id="10868198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7620</xdr:colOff>
      <xdr:row>2</xdr:row>
      <xdr:rowOff>30480</xdr:rowOff>
    </xdr:from>
    <xdr:to>
      <xdr:col>35</xdr:col>
      <xdr:colOff>502920</xdr:colOff>
      <xdr:row>18</xdr:row>
      <xdr:rowOff>22860</xdr:rowOff>
    </xdr:to>
    <xdr:grpSp>
      <xdr:nvGrpSpPr>
        <xdr:cNvPr id="10868199" name="Group 77"/>
        <xdr:cNvGrpSpPr>
          <a:grpSpLocks/>
        </xdr:cNvGrpSpPr>
      </xdr:nvGrpSpPr>
      <xdr:grpSpPr bwMode="auto">
        <a:xfrm>
          <a:off x="21221700" y="419100"/>
          <a:ext cx="4884420" cy="3048000"/>
          <a:chOff x="2318" y="21"/>
          <a:chExt cx="494" cy="287"/>
        </a:xfrm>
      </xdr:grpSpPr>
      <xdr:graphicFrame macro="">
        <xdr:nvGraphicFramePr>
          <xdr:cNvPr id="10868206" name="Chart 29"/>
          <xdr:cNvGraphicFramePr>
            <a:graphicFrameLocks/>
          </xdr:cNvGraphicFramePr>
        </xdr:nvGraphicFramePr>
        <xdr:xfrm>
          <a:off x="2318" y="21"/>
          <a:ext cx="494" cy="2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366" name="Text Box 54"/>
          <xdr:cNvSpPr txBox="1">
            <a:spLocks noChangeArrowheads="1"/>
          </xdr:cNvSpPr>
        </xdr:nvSpPr>
        <xdr:spPr bwMode="auto">
          <a:xfrm>
            <a:off x="2421" y="86"/>
            <a:ext cx="306" cy="37"/>
          </a:xfrm>
          <a:prstGeom prst="rect">
            <a:avLst/>
          </a:prstGeom>
          <a:solidFill>
            <a:srgbClr val="FFFF99">
              <a:alpha val="50000"/>
            </a:srgbClr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For week ending -----, up -----% from last week, down -----% from last year, and up ------% from 4-year average.</a:t>
            </a:r>
          </a:p>
        </xdr:txBody>
      </xdr:sp>
    </xdr:grpSp>
    <xdr:clientData/>
  </xdr:twoCellAnchor>
  <xdr:twoCellAnchor>
    <xdr:from>
      <xdr:col>36</xdr:col>
      <xdr:colOff>182880</xdr:colOff>
      <xdr:row>21</xdr:row>
      <xdr:rowOff>53340</xdr:rowOff>
    </xdr:from>
    <xdr:to>
      <xdr:col>42</xdr:col>
      <xdr:colOff>335280</xdr:colOff>
      <xdr:row>35</xdr:row>
      <xdr:rowOff>167640</xdr:rowOff>
    </xdr:to>
    <xdr:graphicFrame macro="">
      <xdr:nvGraphicFramePr>
        <xdr:cNvPr id="10868200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45720</xdr:colOff>
      <xdr:row>37</xdr:row>
      <xdr:rowOff>99060</xdr:rowOff>
    </xdr:from>
    <xdr:to>
      <xdr:col>35</xdr:col>
      <xdr:colOff>510540</xdr:colOff>
      <xdr:row>53</xdr:row>
      <xdr:rowOff>22860</xdr:rowOff>
    </xdr:to>
    <xdr:graphicFrame macro="">
      <xdr:nvGraphicFramePr>
        <xdr:cNvPr id="10868201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746760</xdr:colOff>
      <xdr:row>38</xdr:row>
      <xdr:rowOff>38100</xdr:rowOff>
    </xdr:from>
    <xdr:to>
      <xdr:col>28</xdr:col>
      <xdr:colOff>83820</xdr:colOff>
      <xdr:row>52</xdr:row>
      <xdr:rowOff>182880</xdr:rowOff>
    </xdr:to>
    <xdr:graphicFrame macro="">
      <xdr:nvGraphicFramePr>
        <xdr:cNvPr id="10868202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502920</xdr:colOff>
      <xdr:row>37</xdr:row>
      <xdr:rowOff>152400</xdr:rowOff>
    </xdr:from>
    <xdr:to>
      <xdr:col>20</xdr:col>
      <xdr:colOff>624840</xdr:colOff>
      <xdr:row>51</xdr:row>
      <xdr:rowOff>137160</xdr:rowOff>
    </xdr:to>
    <xdr:graphicFrame macro="">
      <xdr:nvGraphicFramePr>
        <xdr:cNvPr id="10868203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22860</xdr:colOff>
      <xdr:row>22</xdr:row>
      <xdr:rowOff>68580</xdr:rowOff>
    </xdr:from>
    <xdr:to>
      <xdr:col>14</xdr:col>
      <xdr:colOff>160020</xdr:colOff>
      <xdr:row>39</xdr:row>
      <xdr:rowOff>7620</xdr:rowOff>
    </xdr:to>
    <xdr:graphicFrame macro="">
      <xdr:nvGraphicFramePr>
        <xdr:cNvPr id="1086820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601980</xdr:colOff>
      <xdr:row>22</xdr:row>
      <xdr:rowOff>144780</xdr:rowOff>
    </xdr:from>
    <xdr:to>
      <xdr:col>7</xdr:col>
      <xdr:colOff>144780</xdr:colOff>
      <xdr:row>38</xdr:row>
      <xdr:rowOff>182880</xdr:rowOff>
    </xdr:to>
    <xdr:graphicFrame macro="">
      <xdr:nvGraphicFramePr>
        <xdr:cNvPr id="10868205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0.01014</cdr:x>
      <cdr:y>0.80029</cdr:y>
    </cdr:from>
    <cdr:to>
      <cdr:x>0.24993</cdr:x>
      <cdr:y>0.87356</cdr:y>
    </cdr:to>
    <cdr:sp macro="" textlink="">
      <cdr:nvSpPr>
        <cdr:cNvPr id="727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22316"/>
          <a:ext cx="1125991" cy="19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0.01014</cdr:x>
      <cdr:y>0.22766</cdr:y>
    </cdr:from>
    <cdr:to>
      <cdr:x>0.0628</cdr:x>
      <cdr:y>0.59206</cdr:y>
    </cdr:to>
    <cdr:sp macro="" textlink="">
      <cdr:nvSpPr>
        <cdr:cNvPr id="72712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6012"/>
          <a:ext cx="247281" cy="964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0.40066</cdr:x>
      <cdr:y>0.15331</cdr:y>
    </cdr:from>
    <cdr:to>
      <cdr:x>0.94906</cdr:x>
      <cdr:y>0.28992</cdr:y>
    </cdr:to>
    <cdr:sp macro="" textlink="">
      <cdr:nvSpPr>
        <cdr:cNvPr id="7271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82966" y="463393"/>
          <a:ext cx="2440424" cy="41290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up ------% from last week; up ------% from last year; and up ------%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0.05534</cdr:x>
      <cdr:y>0.81313</cdr:y>
    </cdr:from>
    <cdr:to>
      <cdr:x>0.31913</cdr:x>
      <cdr:y>0.895</cdr:y>
    </cdr:to>
    <cdr:sp macro="" textlink="">
      <cdr:nvSpPr>
        <cdr:cNvPr id="7577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952" y="2699413"/>
          <a:ext cx="1267690" cy="2717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0.18447</cdr:x>
      <cdr:y>0.12471</cdr:y>
    </cdr:from>
    <cdr:to>
      <cdr:x>0.66827</cdr:x>
      <cdr:y>0.22368</cdr:y>
    </cdr:to>
    <cdr:sp macro="" textlink="">
      <cdr:nvSpPr>
        <cdr:cNvPr id="75783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86481" y="414020"/>
          <a:ext cx="2324988" cy="32853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-------% from last week;  down -----% from last year; and down ------%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0.00448</cdr:x>
      <cdr:y>0.82678</cdr:y>
    </cdr:from>
    <cdr:to>
      <cdr:x>0.24722</cdr:x>
      <cdr:y>0.9003</cdr:y>
    </cdr:to>
    <cdr:sp macro="" textlink="">
      <cdr:nvSpPr>
        <cdr:cNvPr id="7680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59" y="2301633"/>
          <a:ext cx="1102409" cy="2046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0.22811</cdr:y>
    </cdr:from>
    <cdr:to>
      <cdr:x>0.06866</cdr:x>
      <cdr:y>0.59352</cdr:y>
    </cdr:to>
    <cdr:sp macro="" textlink="">
      <cdr:nvSpPr>
        <cdr:cNvPr id="76808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9365"/>
          <a:ext cx="275453" cy="9710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0.175</cdr:x>
      <cdr:y>0.48723</cdr:y>
    </cdr:from>
    <cdr:to>
      <cdr:x>0.62065</cdr:x>
      <cdr:y>0.64964</cdr:y>
    </cdr:to>
    <cdr:sp macro="" textlink="">
      <cdr:nvSpPr>
        <cdr:cNvPr id="76809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4754" y="1356360"/>
          <a:ext cx="2023928" cy="45212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-----% from last week;  up 2% from last year; and up 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0.0101</cdr:x>
      <cdr:y>0.82014</cdr:y>
    </cdr:from>
    <cdr:to>
      <cdr:x>0.24966</cdr:x>
      <cdr:y>0.8997</cdr:y>
    </cdr:to>
    <cdr:sp macro="" textlink="">
      <cdr:nvSpPr>
        <cdr:cNvPr id="808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0496"/>
          <a:ext cx="1129498" cy="2121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0.00202</cdr:x>
      <cdr:y>0.22184</cdr:y>
    </cdr:from>
    <cdr:to>
      <cdr:x>0.07113</cdr:x>
      <cdr:y>0.57501</cdr:y>
    </cdr:to>
    <cdr:sp macro="" textlink="">
      <cdr:nvSpPr>
        <cdr:cNvPr id="8090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589523"/>
          <a:ext cx="325166" cy="938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0.17249</cdr:x>
      <cdr:y>0.15732</cdr:y>
    </cdr:from>
    <cdr:to>
      <cdr:x>0.60911</cdr:x>
      <cdr:y>0.30576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76" y="492691"/>
          <a:ext cx="2036151" cy="4648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0.00455</cdr:x>
      <cdr:y>0.80578</cdr:y>
    </cdr:from>
    <cdr:to>
      <cdr:x>0.22986</cdr:x>
      <cdr:y>0.88626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593" y="2597229"/>
          <a:ext cx="1019816" cy="2594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0.19177</cdr:x>
      <cdr:y>0.14982</cdr:y>
    </cdr:from>
    <cdr:to>
      <cdr:x>0.68722</cdr:x>
      <cdr:y>0.27704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15" y="482894"/>
          <a:ext cx="2242546" cy="41006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0.02192</cdr:x>
      <cdr:y>0.23661</cdr:y>
    </cdr:from>
    <cdr:to>
      <cdr:x>0.15173</cdr:x>
      <cdr:y>0.59012</cdr:y>
    </cdr:to>
    <cdr:sp macro="" textlink="">
      <cdr:nvSpPr>
        <cdr:cNvPr id="71682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3" y="627465"/>
          <a:ext cx="608314" cy="932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0.20748</cdr:x>
      <cdr:y>0.12299</cdr:y>
    </cdr:from>
    <cdr:to>
      <cdr:x>0.71814</cdr:x>
      <cdr:y>0.24733</cdr:y>
    </cdr:to>
    <cdr:sp macro="" textlink="">
      <cdr:nvSpPr>
        <cdr:cNvPr id="71687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4911" y="408921"/>
          <a:ext cx="2350302" cy="41341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up -------% from last week; up ---------% from last year; and unchanged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0.11367</cdr:x>
      <cdr:y>0.85052</cdr:y>
    </cdr:from>
    <cdr:to>
      <cdr:x>0.36299</cdr:x>
      <cdr:y>0.9148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5780" y="2890520"/>
          <a:ext cx="1153160" cy="2184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>
              <a:latin typeface="Times New Roman" pitchFamily="18" charset="0"/>
              <a:cs typeface="Times New Roman" pitchFamily="18" charset="0"/>
            </a:rPr>
            <a:t>Source: USDA/TMP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0.08506</cdr:x>
      <cdr:y>0.79061</cdr:y>
    </cdr:from>
    <cdr:to>
      <cdr:x>0.31678</cdr:x>
      <cdr:y>0.86679</cdr:y>
    </cdr:to>
    <cdr:sp macro="" textlink="">
      <cdr:nvSpPr>
        <cdr:cNvPr id="849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542" y="2317398"/>
          <a:ext cx="1061190" cy="2232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0.01255</cdr:x>
      <cdr:y>0.21048</cdr:y>
    </cdr:from>
    <cdr:to>
      <cdr:x>0.0853</cdr:x>
      <cdr:y>0.59547</cdr:y>
    </cdr:to>
    <cdr:sp macro="" textlink="">
      <cdr:nvSpPr>
        <cdr:cNvPr id="849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349" y="565793"/>
          <a:ext cx="343007" cy="1029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0.21573</cdr:x>
      <cdr:y>0.07452</cdr:y>
    </cdr:from>
    <cdr:to>
      <cdr:x>0.76564</cdr:x>
      <cdr:y>0.17852</cdr:y>
    </cdr:to>
    <cdr:sp macro="" textlink="">
      <cdr:nvSpPr>
        <cdr:cNvPr id="8500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87950" y="218436"/>
          <a:ext cx="2518379" cy="30484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down -----% from last week, down -----% from last year, and down -----% from the 3-year average.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</cdr:x>
      <cdr:y>0.88876</cdr:y>
    </cdr:from>
    <cdr:to>
      <cdr:x>0.25628</cdr:x>
      <cdr:y>0.97726</cdr:y>
    </cdr:to>
    <cdr:sp macro="" textlink="">
      <cdr:nvSpPr>
        <cdr:cNvPr id="798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2382425"/>
          <a:ext cx="1115644" cy="220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USDA/TMP</a:t>
          </a:r>
        </a:p>
      </cdr:txBody>
    </cdr:sp>
  </cdr:relSizeAnchor>
  <cdr:relSizeAnchor xmlns:cdr="http://schemas.openxmlformats.org/drawingml/2006/chartDrawing">
    <cdr:from>
      <cdr:x>0.016</cdr:x>
      <cdr:y>0.25555</cdr:y>
    </cdr:from>
    <cdr:to>
      <cdr:x>0.09584</cdr:x>
      <cdr:y>0.57102</cdr:y>
    </cdr:to>
    <cdr:sp macro="" textlink="">
      <cdr:nvSpPr>
        <cdr:cNvPr id="798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560042"/>
          <a:ext cx="367656" cy="9819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</cdr:x>
      <cdr:y>0.82935</cdr:y>
    </cdr:from>
    <cdr:to>
      <cdr:x>0.26704</cdr:x>
      <cdr:y>0.90529</cdr:y>
    </cdr:to>
    <cdr:sp macro="" textlink="">
      <cdr:nvSpPr>
        <cdr:cNvPr id="2447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01" y="2222943"/>
          <a:ext cx="1205894" cy="203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2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0.00043</cdr:x>
      <cdr:y>0.20727</cdr:y>
    </cdr:from>
    <cdr:to>
      <cdr:x>0.07318</cdr:x>
      <cdr:y>0.59424</cdr:y>
    </cdr:to>
    <cdr:sp macro="" textlink="">
      <cdr:nvSpPr>
        <cdr:cNvPr id="2447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7" y="578446"/>
          <a:ext cx="343700" cy="10799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25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0.16728</cdr:x>
      <cdr:y>0.50135</cdr:y>
    </cdr:from>
    <cdr:to>
      <cdr:x>0.63647</cdr:x>
      <cdr:y>0.62011</cdr:y>
    </cdr:to>
    <cdr:sp macro="" textlink="">
      <cdr:nvSpPr>
        <cdr:cNvPr id="2447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9705" y="1414779"/>
          <a:ext cx="2130836" cy="33513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------, up ------% from last week and up -------% from last year.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0.00943</cdr:x>
      <cdr:y>0.83035</cdr:y>
    </cdr:from>
    <cdr:to>
      <cdr:x>0.25545</cdr:x>
      <cdr:y>0.90586</cdr:y>
    </cdr:to>
    <cdr:sp macro="" textlink="">
      <cdr:nvSpPr>
        <cdr:cNvPr id="2467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478711"/>
          <a:ext cx="1241965" cy="225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7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0.00943</cdr:x>
      <cdr:y>0.21249</cdr:y>
    </cdr:from>
    <cdr:to>
      <cdr:x>0.07983</cdr:x>
      <cdr:y>0.58132</cdr:y>
    </cdr:to>
    <cdr:sp macro="" textlink="">
      <cdr:nvSpPr>
        <cdr:cNvPr id="2467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36673"/>
          <a:ext cx="355378" cy="1099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7432" rIns="27432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0.13575</cdr:x>
      <cdr:y>0.14061</cdr:y>
    </cdr:from>
    <cdr:to>
      <cdr:x>0.62485</cdr:x>
      <cdr:y>0.25581</cdr:y>
    </cdr:to>
    <cdr:sp macro="" textlink="">
      <cdr:nvSpPr>
        <cdr:cNvPr id="2467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8499" y="422382"/>
          <a:ext cx="2469070" cy="34344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up -------% from last week, up -------%  from last year, and up ------% from 4-year average.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0.0101</cdr:x>
      <cdr:y>0.79025</cdr:y>
    </cdr:from>
    <cdr:to>
      <cdr:x>0.26436</cdr:x>
      <cdr:y>0.86354</cdr:y>
    </cdr:to>
    <cdr:sp macro="" textlink="">
      <cdr:nvSpPr>
        <cdr:cNvPr id="2498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10772"/>
          <a:ext cx="1198793" cy="1954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</cdr:x>
      <cdr:y>0.22783</cdr:y>
    </cdr:from>
    <cdr:to>
      <cdr:x>0.0684</cdr:x>
      <cdr:y>0.5945</cdr:y>
    </cdr:to>
    <cdr:sp macro="" textlink="">
      <cdr:nvSpPr>
        <cdr:cNvPr id="2498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10799"/>
          <a:ext cx="274868" cy="977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0.15176</cdr:x>
      <cdr:y>0.43993</cdr:y>
    </cdr:from>
    <cdr:to>
      <cdr:x>0.611</cdr:x>
      <cdr:y>0.56271</cdr:y>
    </cdr:to>
    <cdr:sp macro="" textlink="">
      <cdr:nvSpPr>
        <cdr:cNvPr id="2498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9733" y="1236149"/>
          <a:ext cx="2147768" cy="34500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------% below last week;  down -------% from same period last year; and up ------% from 4-year running avg.</a:t>
          </a:r>
        </a:p>
        <a:p xmlns:a="http://schemas.openxmlformats.org/drawingml/2006/main">
          <a:pPr algn="l" rtl="0">
            <a:lnSpc>
              <a:spcPts val="900"/>
            </a:lnSpc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0.01012</cdr:x>
      <cdr:y>0.80106</cdr:y>
    </cdr:from>
    <cdr:to>
      <cdr:x>0.26045</cdr:x>
      <cdr:y>0.87385</cdr:y>
    </cdr:to>
    <cdr:sp macro="" textlink="">
      <cdr:nvSpPr>
        <cdr:cNvPr id="2508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31967"/>
          <a:ext cx="1177881" cy="193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0.22762</cdr:y>
    </cdr:from>
    <cdr:to>
      <cdr:x>0.06254</cdr:x>
      <cdr:y>0.59424</cdr:y>
    </cdr:to>
    <cdr:sp macro="" textlink="">
      <cdr:nvSpPr>
        <cdr:cNvPr id="2508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7443"/>
          <a:ext cx="246640" cy="9717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0.18649</cdr:x>
      <cdr:y>0.46003</cdr:y>
    </cdr:from>
    <cdr:to>
      <cdr:x>0.79296</cdr:x>
      <cdr:y>0.58248</cdr:y>
    </cdr:to>
    <cdr:sp macro="" textlink="">
      <cdr:nvSpPr>
        <cdr:cNvPr id="25088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75724" y="1218149"/>
          <a:ext cx="2847877" cy="32424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-----, up -----% from last week; up ------% from last year; and up 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0.12015</cdr:x>
      <cdr:y>0.84045</cdr:y>
    </cdr:from>
    <cdr:to>
      <cdr:x>0.34546</cdr:x>
      <cdr:y>0.92093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3833" y="2708989"/>
          <a:ext cx="1019816" cy="2594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0.19065</cdr:x>
      <cdr:y>0.17188</cdr:y>
    </cdr:from>
    <cdr:to>
      <cdr:x>0.6861</cdr:x>
      <cdr:y>0.2991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2938" y="547480"/>
          <a:ext cx="2242545" cy="40521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----% from last week;  up ---- from last year; and up ----- from 4-year avg.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0.19754</cdr:x>
      <cdr:y>0.15894</cdr:y>
    </cdr:from>
    <cdr:to>
      <cdr:x>0.68301</cdr:x>
      <cdr:y>0.30657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216" y="497771"/>
          <a:ext cx="2263944" cy="46234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week,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</xdr:row>
      <xdr:rowOff>45720</xdr:rowOff>
    </xdr:from>
    <xdr:to>
      <xdr:col>14</xdr:col>
      <xdr:colOff>106680</xdr:colOff>
      <xdr:row>16</xdr:row>
      <xdr:rowOff>175260</xdr:rowOff>
    </xdr:to>
    <xdr:graphicFrame macro="">
      <xdr:nvGraphicFramePr>
        <xdr:cNvPr id="1037649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20</xdr:row>
      <xdr:rowOff>30480</xdr:rowOff>
    </xdr:from>
    <xdr:to>
      <xdr:col>14</xdr:col>
      <xdr:colOff>342900</xdr:colOff>
      <xdr:row>38</xdr:row>
      <xdr:rowOff>30480</xdr:rowOff>
    </xdr:to>
    <xdr:graphicFrame macro="">
      <xdr:nvGraphicFramePr>
        <xdr:cNvPr id="1037649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106680</xdr:colOff>
      <xdr:row>16</xdr:row>
      <xdr:rowOff>129540</xdr:rowOff>
    </xdr:to>
    <xdr:graphicFrame macro="">
      <xdr:nvGraphicFramePr>
        <xdr:cNvPr id="1037649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83820</xdr:colOff>
      <xdr:row>22</xdr:row>
      <xdr:rowOff>68580</xdr:rowOff>
    </xdr:from>
    <xdr:to>
      <xdr:col>21</xdr:col>
      <xdr:colOff>167640</xdr:colOff>
      <xdr:row>36</xdr:row>
      <xdr:rowOff>15240</xdr:rowOff>
    </xdr:to>
    <xdr:graphicFrame macro="">
      <xdr:nvGraphicFramePr>
        <xdr:cNvPr id="1037649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685800</xdr:colOff>
      <xdr:row>20</xdr:row>
      <xdr:rowOff>7620</xdr:rowOff>
    </xdr:from>
    <xdr:to>
      <xdr:col>7</xdr:col>
      <xdr:colOff>350520</xdr:colOff>
      <xdr:row>37</xdr:row>
      <xdr:rowOff>99060</xdr:rowOff>
    </xdr:to>
    <xdr:graphicFrame macro="">
      <xdr:nvGraphicFramePr>
        <xdr:cNvPr id="1037649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327660</xdr:colOff>
      <xdr:row>0</xdr:row>
      <xdr:rowOff>83820</xdr:rowOff>
    </xdr:from>
    <xdr:to>
      <xdr:col>6</xdr:col>
      <xdr:colOff>723900</xdr:colOff>
      <xdr:row>17</xdr:row>
      <xdr:rowOff>167640</xdr:rowOff>
    </xdr:to>
    <xdr:graphicFrame macro="">
      <xdr:nvGraphicFramePr>
        <xdr:cNvPr id="1037650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0.84084</cdr:y>
    </cdr:from>
    <cdr:to>
      <cdr:x>0.41477</cdr:x>
      <cdr:y>0.90853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7640"/>
          <a:ext cx="1842099" cy="1766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0.45115</cdr:x>
      <cdr:y>0.13279</cdr:y>
    </cdr:from>
    <cdr:to>
      <cdr:x>0.94142</cdr:x>
      <cdr:y>0.26009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842" y="376075"/>
          <a:ext cx="2200420" cy="3605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----- from prior week, down 5------ from prior year, and down ------% from 4-year average. 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0.83144</cdr:y>
    </cdr:from>
    <cdr:to>
      <cdr:x>0.40678</cdr:x>
      <cdr:y>0.91478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34" y="2889035"/>
          <a:ext cx="1888779" cy="2895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0.17851</cdr:x>
      <cdr:y>0.22776</cdr:y>
    </cdr:from>
    <cdr:to>
      <cdr:x>0.9127</cdr:x>
      <cdr:y>0.34158</cdr:y>
    </cdr:to>
    <cdr:sp macro="" textlink="">
      <cdr:nvSpPr>
        <cdr:cNvPr id="51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2543" y="650240"/>
          <a:ext cx="3300772" cy="3249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Rail deliveries up 1---- from the prior week; up ------% from the prior year; and up -----% from the 4-year average. 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0.01022</cdr:x>
      <cdr:y>0.78231</cdr:y>
    </cdr:from>
    <cdr:to>
      <cdr:x>0.38466</cdr:x>
      <cdr:y>0.85385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044878"/>
          <a:ext cx="1744006" cy="186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0.34746</cdr:x>
      <cdr:y>0.16638</cdr:y>
    </cdr:from>
    <cdr:to>
      <cdr:x>0.7568</cdr:x>
      <cdr:y>0.32091</cdr:y>
    </cdr:to>
    <cdr:sp macro="" textlink="">
      <cdr:nvSpPr>
        <cdr:cNvPr id="61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62111" y="471205"/>
          <a:ext cx="1840310" cy="43764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Down -------% from prior week; down -------% from prior year; and up ------% from 4-year average. 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0.02882</cdr:x>
      <cdr:y>0.83277</cdr:y>
    </cdr:from>
    <cdr:to>
      <cdr:x>0.35821</cdr:x>
      <cdr:y>0.90408</cdr:y>
    </cdr:to>
    <cdr:sp macro="" textlink="">
      <cdr:nvSpPr>
        <cdr:cNvPr id="112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8903" y="2206186"/>
          <a:ext cx="1473341" cy="1889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0.20083</cdr:x>
      <cdr:y>0.17658</cdr:y>
    </cdr:from>
    <cdr:to>
      <cdr:x>0.90099</cdr:x>
      <cdr:y>0.30883</cdr:y>
    </cdr:to>
    <cdr:sp macro="" textlink="">
      <cdr:nvSpPr>
        <cdr:cNvPr id="112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8287" y="467791"/>
          <a:ext cx="3131774" cy="35035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 ------:  Down -----% from the prior week, up -------% from the prior year, and up ------- from the 3-year average. 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0.86104</cdr:y>
    </cdr:from>
    <cdr:to>
      <cdr:x>0.40229</cdr:x>
      <cdr:y>0.94173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361" y="2803789"/>
          <a:ext cx="1855283" cy="2627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0.16651</cdr:x>
      <cdr:y>0.15136</cdr:y>
    </cdr:from>
    <cdr:to>
      <cdr:x>0.88305</cdr:x>
      <cdr:y>0.26009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822" y="510540"/>
          <a:ext cx="3428902" cy="36678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0.86104</cdr:y>
    </cdr:from>
    <cdr:to>
      <cdr:x>0.40229</cdr:x>
      <cdr:y>0.94173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361" y="2803789"/>
          <a:ext cx="1855283" cy="2627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0.16439</cdr:x>
      <cdr:y>0.16793</cdr:y>
    </cdr:from>
    <cdr:to>
      <cdr:x>0.88093</cdr:x>
      <cdr:y>0.27666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6650" y="566435"/>
          <a:ext cx="3428902" cy="3667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2</xdr:row>
      <xdr:rowOff>106680</xdr:rowOff>
    </xdr:from>
    <xdr:to>
      <xdr:col>9</xdr:col>
      <xdr:colOff>259080</xdr:colOff>
      <xdr:row>19</xdr:row>
      <xdr:rowOff>76200</xdr:rowOff>
    </xdr:to>
    <xdr:graphicFrame macro="">
      <xdr:nvGraphicFramePr>
        <xdr:cNvPr id="358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topLeftCell="A4" zoomScale="150" zoomScaleNormal="150" workbookViewId="0">
      <selection activeCell="AR6" sqref="AR6"/>
    </sheetView>
  </sheetViews>
  <sheetFormatPr defaultRowHeight="15" x14ac:dyDescent="0.25"/>
  <sheetData>
    <row r="1" spans="1:43" ht="15.6" x14ac:dyDescent="0.3">
      <c r="A1" s="42"/>
      <c r="B1" s="60" t="s">
        <v>27</v>
      </c>
      <c r="C1" s="61"/>
      <c r="D1" s="66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69" t="s">
        <v>36</v>
      </c>
      <c r="Q1" s="69"/>
      <c r="R1" s="69"/>
      <c r="S1" s="69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</row>
    <row r="2" spans="1:43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3" spans="1:43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r="4" spans="1:43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r="5" spans="1:43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1:43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r="7" spans="1:43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15.6" x14ac:dyDescent="0.3">
      <c r="A17" s="42"/>
      <c r="B17" s="5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3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</row>
    <row r="31" spans="1:43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3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 ht="15.6" x14ac:dyDescent="0.3">
      <c r="A33" s="42"/>
      <c r="B33" s="52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 spans="1:4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 spans="1:4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</row>
    <row r="40" spans="1:4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 spans="1:4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 spans="1:4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</row>
    <row r="45" spans="1:4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</row>
    <row r="48" spans="1:4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</row>
    <row r="51" spans="1:4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</row>
    <row r="54" spans="1:4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4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4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 spans="1:4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 spans="1:4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 spans="1:4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 spans="1:4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 spans="1:4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 spans="1:4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 spans="1:35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 spans="1:35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 spans="1:35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 spans="1:35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 spans="1:35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 spans="1:35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 spans="1:35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 spans="1:35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 spans="1:35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 spans="1:35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 spans="1:35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 spans="1:35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 spans="1:35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 spans="1:35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 spans="1:35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 spans="1:35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 spans="1:35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 spans="1:35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 spans="1:35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 spans="1:35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 spans="1:35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 spans="1:35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 spans="1:35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 spans="1:35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 spans="1:35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 spans="1:35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 spans="1:35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 spans="1:35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 spans="1:35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 spans="1:35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 spans="1:35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 spans="1:35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 spans="1:35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 spans="1:35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 spans="1:35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 spans="1:35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 spans="1:35" x14ac:dyDescent="0.2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 spans="1:35" x14ac:dyDescent="0.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 spans="1:35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 spans="1:35" x14ac:dyDescent="0.25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 spans="1:35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 spans="1:35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 spans="1:35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 spans="1:35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 spans="1:35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 spans="1:35" x14ac:dyDescent="0.25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 spans="1:35" x14ac:dyDescent="0.25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 spans="1:35" x14ac:dyDescent="0.25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 spans="2:35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 spans="2:35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 spans="2:35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1075"/>
  <sheetViews>
    <sheetView defaultGridColor="0" colorId="22" zoomScale="150" zoomScaleNormal="150" workbookViewId="0">
      <pane xSplit="1" ySplit="7" topLeftCell="B1037" activePane="bottomRight" state="frozen"/>
      <selection pane="topRight" activeCell="B1" sqref="B1"/>
      <selection pane="bottomLeft" activeCell="A9" sqref="A9"/>
      <selection pane="bottomRight" activeCell="F1045" sqref="F1045"/>
    </sheetView>
  </sheetViews>
  <sheetFormatPr defaultRowHeight="15" x14ac:dyDescent="0.25"/>
  <cols>
    <col min="1" max="1" width="10.08984375" bestFit="1" customWidth="1"/>
    <col min="2" max="3" width="7.81640625" customWidth="1"/>
    <col min="4" max="4" width="10.7265625" customWidth="1"/>
    <col min="5" max="6" width="7.81640625" customWidth="1"/>
    <col min="7" max="7" width="9.1796875" customWidth="1"/>
    <col min="8" max="8" width="9.90625" customWidth="1"/>
    <col min="9" max="10" width="10.54296875" customWidth="1"/>
    <col min="11" max="11" width="9.81640625" customWidth="1"/>
    <col min="12" max="12" width="9.90625" bestFit="1" customWidth="1"/>
    <col min="13" max="13" width="8.90625" bestFit="1" customWidth="1"/>
    <col min="15" max="15" width="9.90625" bestFit="1" customWidth="1"/>
  </cols>
  <sheetData>
    <row r="1" spans="1:11" x14ac:dyDescent="0.25">
      <c r="A1" s="39" t="s">
        <v>52</v>
      </c>
      <c r="B1" s="143"/>
      <c r="C1" s="144"/>
      <c r="D1" s="145"/>
      <c r="E1" s="145"/>
      <c r="F1" s="145"/>
      <c r="G1" s="145"/>
    </row>
    <row r="2" spans="1:11" ht="15.6" x14ac:dyDescent="0.3">
      <c r="A2" s="1" t="s">
        <v>0</v>
      </c>
      <c r="B2" s="2"/>
      <c r="C2" s="2"/>
      <c r="D2" s="2"/>
      <c r="E2" s="2"/>
      <c r="F2" s="2"/>
      <c r="G2" s="2"/>
      <c r="H2" s="3"/>
      <c r="I2" s="3"/>
      <c r="J2" s="3"/>
      <c r="K2" s="4"/>
    </row>
    <row r="3" spans="1:11" ht="15.6" x14ac:dyDescent="0.3">
      <c r="A3" s="1"/>
      <c r="B3" s="2"/>
      <c r="C3" s="2"/>
      <c r="D3" s="2"/>
      <c r="E3" s="2"/>
      <c r="F3" s="2"/>
      <c r="G3" s="2"/>
      <c r="H3" s="3"/>
      <c r="I3" s="3"/>
      <c r="J3" s="3"/>
      <c r="K3" s="4"/>
    </row>
    <row r="4" spans="1:11" ht="15.6" x14ac:dyDescent="0.3">
      <c r="A4" s="1"/>
      <c r="B4" s="4"/>
      <c r="C4" s="4"/>
      <c r="D4" s="53"/>
      <c r="E4" s="4"/>
      <c r="F4" s="4"/>
      <c r="G4" s="4"/>
      <c r="H4" s="11"/>
      <c r="I4" s="57"/>
      <c r="J4" s="57"/>
      <c r="K4" s="4"/>
    </row>
    <row r="5" spans="1:11" ht="15.6" x14ac:dyDescent="0.3">
      <c r="A5" s="1"/>
      <c r="B5" s="4"/>
      <c r="C5" s="4"/>
      <c r="D5" s="53"/>
      <c r="E5" s="4"/>
      <c r="F5" s="4"/>
      <c r="G5" s="4"/>
      <c r="H5" s="11"/>
      <c r="I5" s="57"/>
      <c r="J5" s="57"/>
      <c r="K5" s="4"/>
    </row>
    <row r="6" spans="1:11" x14ac:dyDescent="0.25">
      <c r="A6" s="13"/>
      <c r="B6" s="115"/>
      <c r="C6" s="116" t="s">
        <v>3</v>
      </c>
      <c r="D6" s="117" t="s">
        <v>1</v>
      </c>
      <c r="E6" s="115"/>
      <c r="F6" s="115" t="s">
        <v>18</v>
      </c>
      <c r="G6" s="115"/>
      <c r="H6" s="115" t="s">
        <v>2</v>
      </c>
      <c r="I6" s="58"/>
      <c r="J6" s="190" t="s">
        <v>18</v>
      </c>
      <c r="K6" s="115" t="s">
        <v>48</v>
      </c>
    </row>
    <row r="7" spans="1:11" x14ac:dyDescent="0.25">
      <c r="A7" s="15" t="s">
        <v>8</v>
      </c>
      <c r="B7" s="116" t="s">
        <v>9</v>
      </c>
      <c r="C7" s="116" t="s">
        <v>10</v>
      </c>
      <c r="D7" s="118" t="s">
        <v>50</v>
      </c>
      <c r="E7" s="116" t="s">
        <v>4</v>
      </c>
      <c r="F7" s="116" t="s">
        <v>17</v>
      </c>
      <c r="G7" s="116" t="s">
        <v>5</v>
      </c>
      <c r="H7" s="116" t="s">
        <v>10</v>
      </c>
      <c r="I7" s="119" t="s">
        <v>51</v>
      </c>
      <c r="J7" s="191" t="s">
        <v>62</v>
      </c>
      <c r="K7" s="115" t="s">
        <v>49</v>
      </c>
    </row>
    <row r="8" spans="1:11" x14ac:dyDescent="0.25">
      <c r="A8" s="13">
        <v>34346</v>
      </c>
      <c r="B8" s="14">
        <v>16</v>
      </c>
      <c r="C8" s="14">
        <v>0</v>
      </c>
      <c r="D8" s="14"/>
      <c r="E8" s="14">
        <v>910</v>
      </c>
      <c r="F8" s="14"/>
      <c r="G8" s="14">
        <v>976</v>
      </c>
      <c r="H8" s="31">
        <f t="shared" ref="H8:H71" si="0">B8+C8</f>
        <v>16</v>
      </c>
      <c r="I8" s="31"/>
      <c r="J8" s="31"/>
      <c r="K8" s="4" t="s">
        <v>11</v>
      </c>
    </row>
    <row r="9" spans="1:11" x14ac:dyDescent="0.25">
      <c r="A9" s="13">
        <v>34353</v>
      </c>
      <c r="B9" s="14">
        <v>3</v>
      </c>
      <c r="C9" s="14">
        <v>138</v>
      </c>
      <c r="D9" s="14"/>
      <c r="E9" s="14">
        <v>2156</v>
      </c>
      <c r="F9" s="14"/>
      <c r="G9" s="14">
        <v>3445</v>
      </c>
      <c r="H9" s="31">
        <f t="shared" si="0"/>
        <v>141</v>
      </c>
      <c r="I9" s="31"/>
      <c r="J9" s="31"/>
      <c r="K9" s="4"/>
    </row>
    <row r="10" spans="1:11" x14ac:dyDescent="0.25">
      <c r="A10" s="13">
        <v>34360</v>
      </c>
      <c r="B10" s="14">
        <v>30</v>
      </c>
      <c r="C10" s="14">
        <v>64</v>
      </c>
      <c r="D10" s="14"/>
      <c r="E10" s="14">
        <v>1933</v>
      </c>
      <c r="F10" s="14"/>
      <c r="G10" s="14">
        <v>3616</v>
      </c>
      <c r="H10" s="31">
        <f t="shared" si="0"/>
        <v>94</v>
      </c>
      <c r="I10" s="31"/>
      <c r="J10" s="31"/>
      <c r="K10" s="4"/>
    </row>
    <row r="11" spans="1:11" x14ac:dyDescent="0.25">
      <c r="A11" s="13">
        <v>34367</v>
      </c>
      <c r="B11" s="14">
        <v>50</v>
      </c>
      <c r="C11" s="14">
        <v>15</v>
      </c>
      <c r="D11" s="14"/>
      <c r="E11" s="14">
        <v>1978</v>
      </c>
      <c r="F11" s="14"/>
      <c r="G11" s="14">
        <v>2805</v>
      </c>
      <c r="H11" s="31">
        <f t="shared" si="0"/>
        <v>65</v>
      </c>
      <c r="I11" s="31"/>
      <c r="J11" s="31"/>
      <c r="K11" s="4"/>
    </row>
    <row r="12" spans="1:11" x14ac:dyDescent="0.25">
      <c r="A12" s="13">
        <v>34374</v>
      </c>
      <c r="B12" s="14">
        <v>61</v>
      </c>
      <c r="C12" s="14">
        <v>23</v>
      </c>
      <c r="D12" s="14"/>
      <c r="E12" s="14">
        <v>1702</v>
      </c>
      <c r="F12" s="14"/>
      <c r="G12" s="14">
        <v>2388</v>
      </c>
      <c r="H12" s="31">
        <f t="shared" si="0"/>
        <v>84</v>
      </c>
      <c r="I12" s="31"/>
      <c r="J12" s="31"/>
      <c r="K12" s="4"/>
    </row>
    <row r="13" spans="1:11" x14ac:dyDescent="0.25">
      <c r="A13" s="13">
        <v>34381</v>
      </c>
      <c r="B13" s="14">
        <v>30</v>
      </c>
      <c r="C13" s="14">
        <v>74</v>
      </c>
      <c r="D13" s="14"/>
      <c r="E13" s="14">
        <v>1576</v>
      </c>
      <c r="F13" s="14"/>
      <c r="G13" s="14">
        <v>1697</v>
      </c>
      <c r="H13" s="31">
        <f t="shared" si="0"/>
        <v>104</v>
      </c>
      <c r="I13" s="31"/>
      <c r="J13" s="31"/>
      <c r="K13" s="4"/>
    </row>
    <row r="14" spans="1:11" x14ac:dyDescent="0.25">
      <c r="A14" s="13">
        <v>34388</v>
      </c>
      <c r="B14" s="14">
        <v>35</v>
      </c>
      <c r="C14" s="14">
        <v>5</v>
      </c>
      <c r="D14" s="14"/>
      <c r="E14" s="14">
        <v>1947</v>
      </c>
      <c r="F14" s="14"/>
      <c r="G14" s="14">
        <v>2761</v>
      </c>
      <c r="H14" s="31">
        <f t="shared" si="0"/>
        <v>40</v>
      </c>
      <c r="I14" s="31"/>
      <c r="J14" s="31"/>
      <c r="K14" s="4"/>
    </row>
    <row r="15" spans="1:11" x14ac:dyDescent="0.25">
      <c r="A15" s="13">
        <v>34395</v>
      </c>
      <c r="B15" s="14">
        <v>120</v>
      </c>
      <c r="C15" s="14">
        <v>3</v>
      </c>
      <c r="D15" s="14"/>
      <c r="E15" s="14">
        <v>1771</v>
      </c>
      <c r="F15" s="14"/>
      <c r="G15" s="14">
        <v>2749</v>
      </c>
      <c r="H15" s="31">
        <f t="shared" si="0"/>
        <v>123</v>
      </c>
      <c r="I15" s="31"/>
      <c r="J15" s="31"/>
      <c r="K15" s="4"/>
    </row>
    <row r="16" spans="1:11" x14ac:dyDescent="0.25">
      <c r="A16" s="13">
        <v>34402</v>
      </c>
      <c r="B16" s="14">
        <v>132</v>
      </c>
      <c r="C16" s="14">
        <v>75</v>
      </c>
      <c r="D16" s="14"/>
      <c r="E16" s="14">
        <v>1144</v>
      </c>
      <c r="F16" s="14"/>
      <c r="G16" s="14">
        <v>2661</v>
      </c>
      <c r="H16" s="31">
        <f t="shared" si="0"/>
        <v>207</v>
      </c>
      <c r="I16" s="31"/>
      <c r="J16" s="31"/>
      <c r="K16" s="4"/>
    </row>
    <row r="17" spans="1:11" x14ac:dyDescent="0.25">
      <c r="A17" s="13">
        <v>34409</v>
      </c>
      <c r="B17" s="14">
        <v>95</v>
      </c>
      <c r="C17" s="14">
        <v>81</v>
      </c>
      <c r="D17" s="14"/>
      <c r="E17" s="14">
        <v>1434</v>
      </c>
      <c r="F17" s="14"/>
      <c r="G17" s="14">
        <v>3125</v>
      </c>
      <c r="H17" s="31">
        <f t="shared" si="0"/>
        <v>176</v>
      </c>
      <c r="I17" s="31"/>
      <c r="J17" s="31"/>
      <c r="K17" s="4"/>
    </row>
    <row r="18" spans="1:11" x14ac:dyDescent="0.25">
      <c r="A18" s="13">
        <v>34416</v>
      </c>
      <c r="B18" s="14">
        <v>142</v>
      </c>
      <c r="C18" s="14">
        <v>75</v>
      </c>
      <c r="D18" s="14"/>
      <c r="E18" s="14">
        <v>1881</v>
      </c>
      <c r="F18" s="14"/>
      <c r="G18" s="14">
        <v>3488</v>
      </c>
      <c r="H18" s="31">
        <f t="shared" si="0"/>
        <v>217</v>
      </c>
      <c r="I18" s="31"/>
      <c r="J18" s="31"/>
      <c r="K18" s="4"/>
    </row>
    <row r="19" spans="1:11" x14ac:dyDescent="0.25">
      <c r="A19" s="13">
        <v>34423</v>
      </c>
      <c r="B19" s="14">
        <v>59</v>
      </c>
      <c r="C19" s="14">
        <v>57</v>
      </c>
      <c r="D19" s="14"/>
      <c r="E19" s="14">
        <v>1453</v>
      </c>
      <c r="F19" s="14"/>
      <c r="G19" s="14">
        <v>3000</v>
      </c>
      <c r="H19" s="31">
        <f t="shared" si="0"/>
        <v>116</v>
      </c>
      <c r="I19" s="31"/>
      <c r="J19" s="31"/>
      <c r="K19" s="4"/>
    </row>
    <row r="20" spans="1:11" x14ac:dyDescent="0.25">
      <c r="A20" s="13">
        <v>34430</v>
      </c>
      <c r="B20" s="14">
        <v>65</v>
      </c>
      <c r="C20" s="14">
        <v>142</v>
      </c>
      <c r="D20" s="14"/>
      <c r="E20" s="14">
        <v>1362</v>
      </c>
      <c r="F20" s="14"/>
      <c r="G20" s="14">
        <v>2774</v>
      </c>
      <c r="H20" s="31">
        <f t="shared" si="0"/>
        <v>207</v>
      </c>
      <c r="I20" s="31"/>
      <c r="J20" s="31"/>
      <c r="K20" s="4"/>
    </row>
    <row r="21" spans="1:11" x14ac:dyDescent="0.25">
      <c r="A21" s="13">
        <v>34437</v>
      </c>
      <c r="B21" s="14">
        <v>103</v>
      </c>
      <c r="C21" s="14">
        <v>71</v>
      </c>
      <c r="D21" s="14"/>
      <c r="E21" s="14">
        <v>1426</v>
      </c>
      <c r="F21" s="14"/>
      <c r="G21" s="14">
        <v>2154</v>
      </c>
      <c r="H21" s="31">
        <f t="shared" si="0"/>
        <v>174</v>
      </c>
      <c r="I21" s="31"/>
      <c r="J21" s="31"/>
      <c r="K21" s="4"/>
    </row>
    <row r="22" spans="1:11" x14ac:dyDescent="0.25">
      <c r="A22" s="13">
        <v>34444</v>
      </c>
      <c r="B22" s="14">
        <v>34</v>
      </c>
      <c r="C22" s="14">
        <v>21</v>
      </c>
      <c r="D22" s="14"/>
      <c r="E22" s="14">
        <v>1258</v>
      </c>
      <c r="F22" s="14"/>
      <c r="G22" s="14">
        <v>2655</v>
      </c>
      <c r="H22" s="31">
        <f t="shared" si="0"/>
        <v>55</v>
      </c>
      <c r="I22" s="31"/>
      <c r="J22" s="31"/>
      <c r="K22" s="4"/>
    </row>
    <row r="23" spans="1:11" x14ac:dyDescent="0.25">
      <c r="A23" s="13">
        <v>34451</v>
      </c>
      <c r="B23" s="14">
        <v>57</v>
      </c>
      <c r="C23" s="14">
        <v>7</v>
      </c>
      <c r="D23" s="14"/>
      <c r="E23" s="14">
        <v>1980</v>
      </c>
      <c r="F23" s="14"/>
      <c r="G23" s="14">
        <v>2153</v>
      </c>
      <c r="H23" s="31">
        <f t="shared" si="0"/>
        <v>64</v>
      </c>
      <c r="I23" s="31"/>
      <c r="J23" s="31"/>
      <c r="K23" s="4"/>
    </row>
    <row r="24" spans="1:11" x14ac:dyDescent="0.25">
      <c r="A24" s="13">
        <v>34458</v>
      </c>
      <c r="B24" s="14">
        <v>88</v>
      </c>
      <c r="C24" s="14">
        <v>15</v>
      </c>
      <c r="D24" s="14"/>
      <c r="E24" s="14">
        <v>1635</v>
      </c>
      <c r="F24" s="14"/>
      <c r="G24" s="14">
        <v>2342</v>
      </c>
      <c r="H24" s="31">
        <f t="shared" si="0"/>
        <v>103</v>
      </c>
      <c r="I24" s="31"/>
      <c r="J24" s="31"/>
      <c r="K24" s="4"/>
    </row>
    <row r="25" spans="1:11" x14ac:dyDescent="0.25">
      <c r="A25" s="13">
        <v>34465</v>
      </c>
      <c r="B25" s="14">
        <v>64</v>
      </c>
      <c r="C25" s="14">
        <v>1</v>
      </c>
      <c r="D25" s="14"/>
      <c r="E25" s="14">
        <v>1335</v>
      </c>
      <c r="F25" s="14"/>
      <c r="G25" s="14">
        <v>2255</v>
      </c>
      <c r="H25" s="31">
        <f t="shared" si="0"/>
        <v>65</v>
      </c>
      <c r="I25" s="31"/>
      <c r="J25" s="31"/>
      <c r="K25" s="4"/>
    </row>
    <row r="26" spans="1:11" x14ac:dyDescent="0.25">
      <c r="A26" s="13">
        <v>34472</v>
      </c>
      <c r="B26" s="14">
        <v>144</v>
      </c>
      <c r="C26" s="14">
        <v>41</v>
      </c>
      <c r="D26" s="14"/>
      <c r="E26" s="14">
        <v>1838</v>
      </c>
      <c r="F26" s="14"/>
      <c r="G26" s="14">
        <v>1898</v>
      </c>
      <c r="H26" s="31">
        <f t="shared" si="0"/>
        <v>185</v>
      </c>
      <c r="I26" s="31"/>
      <c r="J26" s="31"/>
      <c r="K26" s="4"/>
    </row>
    <row r="27" spans="1:11" x14ac:dyDescent="0.25">
      <c r="A27" s="13">
        <v>34479</v>
      </c>
      <c r="B27" s="14">
        <v>181</v>
      </c>
      <c r="C27" s="14">
        <v>18</v>
      </c>
      <c r="D27" s="14"/>
      <c r="E27" s="14">
        <v>1325</v>
      </c>
      <c r="F27" s="14"/>
      <c r="G27" s="14">
        <v>2131</v>
      </c>
      <c r="H27" s="31">
        <f t="shared" si="0"/>
        <v>199</v>
      </c>
      <c r="I27" s="31"/>
      <c r="J27" s="31"/>
      <c r="K27" s="4"/>
    </row>
    <row r="28" spans="1:11" x14ac:dyDescent="0.25">
      <c r="A28" s="13">
        <v>34486</v>
      </c>
      <c r="B28" s="14">
        <v>58</v>
      </c>
      <c r="C28" s="14">
        <v>51</v>
      </c>
      <c r="D28" s="14"/>
      <c r="E28" s="14">
        <v>1620</v>
      </c>
      <c r="F28" s="14"/>
      <c r="G28" s="14">
        <v>1658</v>
      </c>
      <c r="H28" s="31">
        <f t="shared" si="0"/>
        <v>109</v>
      </c>
      <c r="I28" s="31"/>
      <c r="J28" s="31"/>
      <c r="K28" s="4"/>
    </row>
    <row r="29" spans="1:11" x14ac:dyDescent="0.25">
      <c r="A29" s="13">
        <v>34493</v>
      </c>
      <c r="B29" s="14">
        <v>10</v>
      </c>
      <c r="C29" s="14">
        <v>30</v>
      </c>
      <c r="D29" s="14"/>
      <c r="E29" s="14">
        <v>673</v>
      </c>
      <c r="F29" s="14"/>
      <c r="G29" s="14">
        <v>1753</v>
      </c>
      <c r="H29" s="31">
        <f t="shared" si="0"/>
        <v>40</v>
      </c>
      <c r="I29" s="31"/>
      <c r="J29" s="31"/>
      <c r="K29" s="4"/>
    </row>
    <row r="30" spans="1:11" x14ac:dyDescent="0.25">
      <c r="A30" s="13">
        <v>34500</v>
      </c>
      <c r="B30" s="14">
        <v>74</v>
      </c>
      <c r="C30" s="14">
        <v>94</v>
      </c>
      <c r="D30" s="14"/>
      <c r="E30" s="14">
        <v>1669</v>
      </c>
      <c r="F30" s="14"/>
      <c r="G30" s="14">
        <v>2172</v>
      </c>
      <c r="H30" s="31">
        <f t="shared" si="0"/>
        <v>168</v>
      </c>
      <c r="I30" s="31"/>
      <c r="J30" s="31"/>
      <c r="K30" s="4"/>
    </row>
    <row r="31" spans="1:11" x14ac:dyDescent="0.25">
      <c r="A31" s="13">
        <v>34507</v>
      </c>
      <c r="B31" s="14">
        <v>66</v>
      </c>
      <c r="C31" s="14">
        <v>74</v>
      </c>
      <c r="D31" s="14"/>
      <c r="E31" s="14">
        <v>1588</v>
      </c>
      <c r="F31" s="14"/>
      <c r="G31" s="14">
        <v>1703</v>
      </c>
      <c r="H31" s="31">
        <f t="shared" si="0"/>
        <v>140</v>
      </c>
      <c r="I31" s="31"/>
      <c r="J31" s="31"/>
      <c r="K31" s="4"/>
    </row>
    <row r="32" spans="1:11" x14ac:dyDescent="0.25">
      <c r="A32" s="13">
        <v>34514</v>
      </c>
      <c r="B32" s="14">
        <v>30</v>
      </c>
      <c r="C32" s="14">
        <v>98</v>
      </c>
      <c r="D32" s="14"/>
      <c r="E32" s="14">
        <v>1469</v>
      </c>
      <c r="F32" s="14"/>
      <c r="G32" s="14">
        <v>1868</v>
      </c>
      <c r="H32" s="31">
        <f t="shared" si="0"/>
        <v>128</v>
      </c>
      <c r="I32" s="31"/>
      <c r="J32" s="31"/>
      <c r="K32" s="4"/>
    </row>
    <row r="33" spans="1:11" x14ac:dyDescent="0.25">
      <c r="A33" s="13">
        <v>34521</v>
      </c>
      <c r="B33" s="14">
        <v>58</v>
      </c>
      <c r="C33" s="14">
        <v>105</v>
      </c>
      <c r="D33" s="14"/>
      <c r="E33" s="14">
        <v>1405</v>
      </c>
      <c r="F33" s="14"/>
      <c r="G33" s="14">
        <v>1690</v>
      </c>
      <c r="H33" s="31">
        <f t="shared" si="0"/>
        <v>163</v>
      </c>
      <c r="I33" s="31"/>
      <c r="J33" s="31"/>
      <c r="K33" s="4"/>
    </row>
    <row r="34" spans="1:11" x14ac:dyDescent="0.25">
      <c r="A34" s="13">
        <v>34528</v>
      </c>
      <c r="B34" s="14">
        <v>132</v>
      </c>
      <c r="C34" s="14">
        <v>72</v>
      </c>
      <c r="D34" s="14"/>
      <c r="E34" s="14">
        <v>1847</v>
      </c>
      <c r="F34" s="14"/>
      <c r="G34" s="14">
        <v>1153</v>
      </c>
      <c r="H34" s="31">
        <f t="shared" si="0"/>
        <v>204</v>
      </c>
      <c r="I34" s="31"/>
      <c r="J34" s="31"/>
      <c r="K34" s="4"/>
    </row>
    <row r="35" spans="1:11" x14ac:dyDescent="0.25">
      <c r="A35" s="13">
        <v>34535</v>
      </c>
      <c r="B35" s="14">
        <v>94</v>
      </c>
      <c r="C35" s="14">
        <v>68</v>
      </c>
      <c r="D35" s="14"/>
      <c r="E35" s="14">
        <v>1586</v>
      </c>
      <c r="F35" s="14"/>
      <c r="G35" s="14">
        <v>1072</v>
      </c>
      <c r="H35" s="31">
        <f t="shared" si="0"/>
        <v>162</v>
      </c>
      <c r="I35" s="31"/>
      <c r="J35" s="31"/>
      <c r="K35" s="4"/>
    </row>
    <row r="36" spans="1:11" x14ac:dyDescent="0.25">
      <c r="A36" s="13">
        <v>34542</v>
      </c>
      <c r="B36" s="14">
        <v>64</v>
      </c>
      <c r="C36" s="14">
        <v>110</v>
      </c>
      <c r="D36" s="14"/>
      <c r="E36" s="14">
        <v>2448</v>
      </c>
      <c r="F36" s="14"/>
      <c r="G36" s="14">
        <v>1304</v>
      </c>
      <c r="H36" s="31">
        <f t="shared" si="0"/>
        <v>174</v>
      </c>
      <c r="I36" s="31"/>
      <c r="J36" s="31"/>
      <c r="K36" s="4"/>
    </row>
    <row r="37" spans="1:11" x14ac:dyDescent="0.25">
      <c r="A37" s="13">
        <v>34549</v>
      </c>
      <c r="B37" s="14">
        <v>163</v>
      </c>
      <c r="C37" s="14">
        <v>38</v>
      </c>
      <c r="D37" s="14"/>
      <c r="E37" s="14">
        <v>2330</v>
      </c>
      <c r="F37" s="14"/>
      <c r="G37" s="14">
        <v>1680</v>
      </c>
      <c r="H37" s="31">
        <f t="shared" si="0"/>
        <v>201</v>
      </c>
      <c r="I37" s="31"/>
      <c r="J37" s="31"/>
      <c r="K37" s="4"/>
    </row>
    <row r="38" spans="1:11" x14ac:dyDescent="0.25">
      <c r="A38" s="13">
        <v>34556</v>
      </c>
      <c r="B38" s="14">
        <v>111</v>
      </c>
      <c r="C38" s="14">
        <v>47</v>
      </c>
      <c r="D38" s="14"/>
      <c r="E38" s="14">
        <v>2651</v>
      </c>
      <c r="F38" s="14"/>
      <c r="G38" s="14">
        <v>2012</v>
      </c>
      <c r="H38" s="31">
        <f t="shared" si="0"/>
        <v>158</v>
      </c>
      <c r="I38" s="31"/>
      <c r="J38" s="31"/>
      <c r="K38" s="4"/>
    </row>
    <row r="39" spans="1:11" x14ac:dyDescent="0.25">
      <c r="A39" s="13">
        <v>34563</v>
      </c>
      <c r="B39" s="14">
        <v>177</v>
      </c>
      <c r="C39" s="14">
        <v>80</v>
      </c>
      <c r="D39" s="14"/>
      <c r="E39" s="14">
        <v>2480</v>
      </c>
      <c r="F39" s="14"/>
      <c r="G39" s="14">
        <v>1651</v>
      </c>
      <c r="H39" s="31">
        <f t="shared" si="0"/>
        <v>257</v>
      </c>
      <c r="I39" s="31"/>
      <c r="J39" s="31"/>
      <c r="K39" s="4"/>
    </row>
    <row r="40" spans="1:11" x14ac:dyDescent="0.25">
      <c r="A40" s="13">
        <v>34570</v>
      </c>
      <c r="B40" s="14">
        <v>151</v>
      </c>
      <c r="C40" s="14">
        <v>69</v>
      </c>
      <c r="D40" s="14"/>
      <c r="E40" s="14">
        <v>1713</v>
      </c>
      <c r="F40" s="14"/>
      <c r="G40" s="14">
        <v>1826</v>
      </c>
      <c r="H40" s="31">
        <f t="shared" si="0"/>
        <v>220</v>
      </c>
      <c r="I40" s="31"/>
      <c r="J40" s="31"/>
      <c r="K40" s="4"/>
    </row>
    <row r="41" spans="1:11" x14ac:dyDescent="0.25">
      <c r="A41" s="13">
        <v>34577</v>
      </c>
      <c r="B41" s="14">
        <v>131</v>
      </c>
      <c r="C41" s="14">
        <v>73</v>
      </c>
      <c r="D41" s="14"/>
      <c r="E41" s="14">
        <v>2316</v>
      </c>
      <c r="F41" s="14"/>
      <c r="G41" s="14">
        <v>2122</v>
      </c>
      <c r="H41" s="31">
        <f t="shared" si="0"/>
        <v>204</v>
      </c>
      <c r="I41" s="31"/>
      <c r="J41" s="31"/>
      <c r="K41" s="4"/>
    </row>
    <row r="42" spans="1:11" x14ac:dyDescent="0.25">
      <c r="A42" s="13">
        <v>34584</v>
      </c>
      <c r="B42" s="14">
        <v>128</v>
      </c>
      <c r="C42" s="14">
        <v>96</v>
      </c>
      <c r="D42" s="14"/>
      <c r="E42" s="14">
        <v>2036</v>
      </c>
      <c r="F42" s="14"/>
      <c r="G42" s="14">
        <v>2245</v>
      </c>
      <c r="H42" s="31">
        <f t="shared" si="0"/>
        <v>224</v>
      </c>
      <c r="I42" s="31"/>
      <c r="J42" s="31"/>
      <c r="K42" s="4"/>
    </row>
    <row r="43" spans="1:11" x14ac:dyDescent="0.25">
      <c r="A43" s="13">
        <v>34591</v>
      </c>
      <c r="B43" s="14">
        <v>135</v>
      </c>
      <c r="C43" s="14">
        <v>61</v>
      </c>
      <c r="D43" s="14"/>
      <c r="E43" s="14">
        <v>1343</v>
      </c>
      <c r="F43" s="14"/>
      <c r="G43" s="14">
        <v>1969</v>
      </c>
      <c r="H43" s="31">
        <f t="shared" si="0"/>
        <v>196</v>
      </c>
      <c r="I43" s="31"/>
      <c r="J43" s="31"/>
      <c r="K43" s="4"/>
    </row>
    <row r="44" spans="1:11" x14ac:dyDescent="0.25">
      <c r="A44" s="13">
        <v>34598</v>
      </c>
      <c r="B44" s="14">
        <v>1</v>
      </c>
      <c r="C44" s="14">
        <v>38</v>
      </c>
      <c r="D44" s="14"/>
      <c r="E44" s="14">
        <v>2040</v>
      </c>
      <c r="F44" s="14"/>
      <c r="G44" s="14">
        <v>2981</v>
      </c>
      <c r="H44" s="31">
        <f t="shared" si="0"/>
        <v>39</v>
      </c>
      <c r="I44" s="31"/>
      <c r="J44" s="31"/>
      <c r="K44" s="4"/>
    </row>
    <row r="45" spans="1:11" x14ac:dyDescent="0.25">
      <c r="A45" s="13">
        <v>34605</v>
      </c>
      <c r="B45" s="14">
        <v>10</v>
      </c>
      <c r="C45" s="14">
        <v>53</v>
      </c>
      <c r="D45" s="14"/>
      <c r="E45" s="14">
        <v>2231</v>
      </c>
      <c r="F45" s="14"/>
      <c r="G45" s="14">
        <v>3019</v>
      </c>
      <c r="H45" s="31">
        <f t="shared" si="0"/>
        <v>63</v>
      </c>
      <c r="I45" s="31"/>
      <c r="J45" s="31"/>
      <c r="K45" s="4"/>
    </row>
    <row r="46" spans="1:11" x14ac:dyDescent="0.25">
      <c r="A46" s="13">
        <v>34612</v>
      </c>
      <c r="B46" s="14">
        <v>35</v>
      </c>
      <c r="C46" s="14">
        <v>317</v>
      </c>
      <c r="D46" s="14"/>
      <c r="E46" s="14">
        <v>2636</v>
      </c>
      <c r="F46" s="14"/>
      <c r="G46" s="14">
        <v>2876</v>
      </c>
      <c r="H46" s="31">
        <f t="shared" si="0"/>
        <v>352</v>
      </c>
      <c r="I46" s="31"/>
      <c r="J46" s="31"/>
      <c r="K46" s="4"/>
    </row>
    <row r="47" spans="1:11" x14ac:dyDescent="0.25">
      <c r="A47" s="13">
        <v>34619</v>
      </c>
      <c r="B47" s="14">
        <v>220</v>
      </c>
      <c r="C47" s="14">
        <v>411</v>
      </c>
      <c r="D47" s="14"/>
      <c r="E47" s="14">
        <v>2128</v>
      </c>
      <c r="F47" s="14"/>
      <c r="G47" s="14">
        <v>3259</v>
      </c>
      <c r="H47" s="31">
        <f t="shared" si="0"/>
        <v>631</v>
      </c>
      <c r="I47" s="31"/>
      <c r="J47" s="31"/>
      <c r="K47" s="4"/>
    </row>
    <row r="48" spans="1:11" x14ac:dyDescent="0.25">
      <c r="A48" s="13">
        <v>34626</v>
      </c>
      <c r="B48" s="14">
        <v>159</v>
      </c>
      <c r="C48" s="14">
        <v>626</v>
      </c>
      <c r="D48" s="14"/>
      <c r="E48" s="14">
        <v>2056</v>
      </c>
      <c r="F48" s="14"/>
      <c r="G48" s="14">
        <v>3891</v>
      </c>
      <c r="H48" s="31">
        <f t="shared" si="0"/>
        <v>785</v>
      </c>
      <c r="I48" s="31"/>
      <c r="J48" s="31"/>
      <c r="K48" s="4"/>
    </row>
    <row r="49" spans="1:11" x14ac:dyDescent="0.25">
      <c r="A49" s="13">
        <v>34633</v>
      </c>
      <c r="B49" s="14">
        <v>225</v>
      </c>
      <c r="C49" s="14">
        <v>430</v>
      </c>
      <c r="D49" s="14"/>
      <c r="E49" s="14">
        <v>1800</v>
      </c>
      <c r="F49" s="14"/>
      <c r="G49" s="14">
        <v>3946</v>
      </c>
      <c r="H49" s="31">
        <f t="shared" si="0"/>
        <v>655</v>
      </c>
      <c r="I49" s="31"/>
      <c r="J49" s="31"/>
      <c r="K49" s="4"/>
    </row>
    <row r="50" spans="1:11" x14ac:dyDescent="0.25">
      <c r="A50" s="13">
        <v>34640</v>
      </c>
      <c r="B50" s="14">
        <v>261</v>
      </c>
      <c r="C50" s="14">
        <v>697</v>
      </c>
      <c r="D50" s="14"/>
      <c r="E50" s="14">
        <v>1128</v>
      </c>
      <c r="F50" s="14"/>
      <c r="G50" s="14">
        <v>4718</v>
      </c>
      <c r="H50" s="31">
        <f t="shared" si="0"/>
        <v>958</v>
      </c>
      <c r="I50" s="31"/>
      <c r="J50" s="31"/>
      <c r="K50" s="4"/>
    </row>
    <row r="51" spans="1:11" x14ac:dyDescent="0.25">
      <c r="A51" s="13">
        <v>34647</v>
      </c>
      <c r="B51" s="14">
        <v>106</v>
      </c>
      <c r="C51" s="14">
        <v>430</v>
      </c>
      <c r="D51" s="14"/>
      <c r="E51" s="14">
        <v>1374</v>
      </c>
      <c r="F51" s="14"/>
      <c r="G51" s="14">
        <v>4789</v>
      </c>
      <c r="H51" s="31">
        <f t="shared" si="0"/>
        <v>536</v>
      </c>
      <c r="I51" s="31"/>
      <c r="J51" s="31"/>
      <c r="K51" s="4"/>
    </row>
    <row r="52" spans="1:11" x14ac:dyDescent="0.25">
      <c r="A52" s="13">
        <v>34654</v>
      </c>
      <c r="B52" s="14">
        <v>95</v>
      </c>
      <c r="C52" s="14">
        <v>517</v>
      </c>
      <c r="D52" s="14"/>
      <c r="E52" s="14">
        <v>1446</v>
      </c>
      <c r="F52" s="14"/>
      <c r="G52" s="14">
        <v>3520</v>
      </c>
      <c r="H52" s="31">
        <f t="shared" si="0"/>
        <v>612</v>
      </c>
      <c r="I52" s="31"/>
      <c r="J52" s="31"/>
      <c r="K52" s="4"/>
    </row>
    <row r="53" spans="1:11" x14ac:dyDescent="0.25">
      <c r="A53" s="13">
        <v>34661</v>
      </c>
      <c r="B53" s="14">
        <v>150</v>
      </c>
      <c r="C53" s="14">
        <v>440</v>
      </c>
      <c r="D53" s="14"/>
      <c r="E53" s="14">
        <v>1271</v>
      </c>
      <c r="F53" s="14"/>
      <c r="G53" s="14">
        <v>5028</v>
      </c>
      <c r="H53" s="31">
        <f t="shared" si="0"/>
        <v>590</v>
      </c>
      <c r="I53" s="31"/>
      <c r="J53" s="31"/>
      <c r="K53" s="4"/>
    </row>
    <row r="54" spans="1:11" x14ac:dyDescent="0.25">
      <c r="A54" s="13">
        <v>34668</v>
      </c>
      <c r="B54" s="14">
        <v>233</v>
      </c>
      <c r="C54" s="14">
        <v>440</v>
      </c>
      <c r="D54" s="14"/>
      <c r="E54" s="14">
        <v>1651</v>
      </c>
      <c r="F54" s="14"/>
      <c r="G54" s="14">
        <v>4923</v>
      </c>
      <c r="H54" s="31">
        <f t="shared" si="0"/>
        <v>673</v>
      </c>
      <c r="I54" s="31"/>
      <c r="J54" s="31"/>
      <c r="K54" s="4"/>
    </row>
    <row r="55" spans="1:11" x14ac:dyDescent="0.25">
      <c r="A55" s="13">
        <v>34675</v>
      </c>
      <c r="B55" s="14">
        <v>107</v>
      </c>
      <c r="C55" s="14">
        <v>414</v>
      </c>
      <c r="D55" s="14"/>
      <c r="E55" s="14">
        <v>1453</v>
      </c>
      <c r="F55" s="14"/>
      <c r="G55" s="14">
        <v>5492</v>
      </c>
      <c r="H55" s="31">
        <f t="shared" si="0"/>
        <v>521</v>
      </c>
      <c r="I55" s="31"/>
      <c r="J55" s="31"/>
      <c r="K55" s="4"/>
    </row>
    <row r="56" spans="1:11" x14ac:dyDescent="0.25">
      <c r="A56" s="13">
        <v>34682</v>
      </c>
      <c r="B56" s="14">
        <v>128</v>
      </c>
      <c r="C56" s="14">
        <v>194</v>
      </c>
      <c r="D56" s="14"/>
      <c r="E56" s="14">
        <v>1070</v>
      </c>
      <c r="F56" s="14"/>
      <c r="G56" s="14">
        <v>4958</v>
      </c>
      <c r="H56" s="31">
        <f t="shared" si="0"/>
        <v>322</v>
      </c>
      <c r="I56" s="31"/>
      <c r="J56" s="31"/>
      <c r="K56" s="4"/>
    </row>
    <row r="57" spans="1:11" x14ac:dyDescent="0.25">
      <c r="A57" s="13">
        <v>34689</v>
      </c>
      <c r="B57" s="14">
        <v>79</v>
      </c>
      <c r="C57" s="14">
        <v>393</v>
      </c>
      <c r="D57" s="14"/>
      <c r="E57" s="14">
        <v>1617</v>
      </c>
      <c r="F57" s="14"/>
      <c r="G57" s="14">
        <v>3928</v>
      </c>
      <c r="H57" s="31">
        <f t="shared" si="0"/>
        <v>472</v>
      </c>
      <c r="I57" s="31"/>
      <c r="J57" s="31"/>
      <c r="K57" s="4"/>
    </row>
    <row r="58" spans="1:11" x14ac:dyDescent="0.25">
      <c r="A58" s="13">
        <v>34696</v>
      </c>
      <c r="B58" s="14">
        <v>48</v>
      </c>
      <c r="C58" s="14">
        <v>111</v>
      </c>
      <c r="D58" s="14"/>
      <c r="E58" s="14">
        <v>2114</v>
      </c>
      <c r="F58" s="14"/>
      <c r="G58" s="14">
        <v>4924</v>
      </c>
      <c r="H58" s="31">
        <f t="shared" si="0"/>
        <v>159</v>
      </c>
      <c r="I58" s="31"/>
      <c r="J58" s="31"/>
      <c r="K58" s="4"/>
    </row>
    <row r="59" spans="1:11" x14ac:dyDescent="0.25">
      <c r="A59" s="13">
        <v>34703</v>
      </c>
      <c r="B59" s="14">
        <v>40</v>
      </c>
      <c r="C59" s="14">
        <v>336</v>
      </c>
      <c r="D59" s="14"/>
      <c r="E59" s="14">
        <v>1632</v>
      </c>
      <c r="F59" s="14"/>
      <c r="G59" s="14">
        <v>4174</v>
      </c>
      <c r="H59" s="31">
        <f t="shared" si="0"/>
        <v>376</v>
      </c>
      <c r="I59" s="31"/>
      <c r="J59" s="31"/>
      <c r="K59" s="4"/>
    </row>
    <row r="60" spans="1:11" x14ac:dyDescent="0.25">
      <c r="A60" s="13">
        <v>34710</v>
      </c>
      <c r="B60" s="14">
        <v>71</v>
      </c>
      <c r="C60" s="14">
        <v>225</v>
      </c>
      <c r="D60" s="14"/>
      <c r="E60" s="14">
        <v>1985</v>
      </c>
      <c r="F60" s="14"/>
      <c r="G60" s="14">
        <v>4373</v>
      </c>
      <c r="H60" s="31">
        <f t="shared" si="0"/>
        <v>296</v>
      </c>
      <c r="I60" s="31"/>
      <c r="J60" s="31"/>
      <c r="K60" s="4"/>
    </row>
    <row r="61" spans="1:11" x14ac:dyDescent="0.25">
      <c r="A61" s="13">
        <v>34717</v>
      </c>
      <c r="B61" s="14">
        <v>122</v>
      </c>
      <c r="C61" s="14">
        <v>284</v>
      </c>
      <c r="D61" s="14"/>
      <c r="E61" s="14">
        <v>1885</v>
      </c>
      <c r="F61" s="14"/>
      <c r="G61" s="14">
        <v>5338</v>
      </c>
      <c r="H61" s="31">
        <f t="shared" si="0"/>
        <v>406</v>
      </c>
      <c r="I61" s="31"/>
      <c r="J61" s="31"/>
      <c r="K61" s="4"/>
    </row>
    <row r="62" spans="1:11" x14ac:dyDescent="0.25">
      <c r="A62" s="13">
        <v>34724</v>
      </c>
      <c r="B62" s="14">
        <v>79</v>
      </c>
      <c r="C62" s="14">
        <v>260</v>
      </c>
      <c r="D62" s="14"/>
      <c r="E62" s="14">
        <v>2245</v>
      </c>
      <c r="F62" s="14"/>
      <c r="G62" s="14">
        <v>6035</v>
      </c>
      <c r="H62" s="31">
        <f t="shared" si="0"/>
        <v>339</v>
      </c>
      <c r="I62" s="31"/>
      <c r="J62" s="31"/>
      <c r="K62" s="4"/>
    </row>
    <row r="63" spans="1:11" x14ac:dyDescent="0.25">
      <c r="A63" s="13">
        <v>34731</v>
      </c>
      <c r="B63" s="14">
        <v>111</v>
      </c>
      <c r="C63" s="14">
        <v>511</v>
      </c>
      <c r="D63" s="14"/>
      <c r="E63" s="14">
        <v>2405</v>
      </c>
      <c r="F63" s="14"/>
      <c r="G63" s="14">
        <v>3396</v>
      </c>
      <c r="H63" s="31">
        <f t="shared" si="0"/>
        <v>622</v>
      </c>
      <c r="I63" s="31"/>
      <c r="J63" s="31"/>
      <c r="K63" s="4"/>
    </row>
    <row r="64" spans="1:11" x14ac:dyDescent="0.25">
      <c r="A64" s="13">
        <v>34738</v>
      </c>
      <c r="B64" s="14">
        <v>17</v>
      </c>
      <c r="C64" s="14">
        <v>358</v>
      </c>
      <c r="D64" s="14"/>
      <c r="E64" s="14">
        <v>2204</v>
      </c>
      <c r="F64" s="14"/>
      <c r="G64" s="14">
        <v>4352</v>
      </c>
      <c r="H64" s="31">
        <f t="shared" si="0"/>
        <v>375</v>
      </c>
      <c r="I64" s="31"/>
      <c r="J64" s="31"/>
      <c r="K64" s="4"/>
    </row>
    <row r="65" spans="1:11" x14ac:dyDescent="0.25">
      <c r="A65" s="13">
        <v>34745</v>
      </c>
      <c r="B65" s="14">
        <v>65</v>
      </c>
      <c r="C65" s="14">
        <v>195</v>
      </c>
      <c r="D65" s="14"/>
      <c r="E65" s="14">
        <v>2333</v>
      </c>
      <c r="F65" s="14"/>
      <c r="G65" s="14">
        <v>5672</v>
      </c>
      <c r="H65" s="31">
        <f t="shared" si="0"/>
        <v>260</v>
      </c>
      <c r="I65" s="31"/>
      <c r="J65" s="31"/>
      <c r="K65" s="4"/>
    </row>
    <row r="66" spans="1:11" x14ac:dyDescent="0.25">
      <c r="A66" s="13">
        <v>34752</v>
      </c>
      <c r="B66" s="14">
        <v>158</v>
      </c>
      <c r="C66" s="14">
        <v>304</v>
      </c>
      <c r="D66" s="14"/>
      <c r="E66" s="14">
        <v>2170</v>
      </c>
      <c r="F66" s="14"/>
      <c r="G66" s="14">
        <v>7584</v>
      </c>
      <c r="H66" s="31">
        <f t="shared" si="0"/>
        <v>462</v>
      </c>
      <c r="I66" s="31"/>
      <c r="J66" s="31"/>
      <c r="K66" s="4"/>
    </row>
    <row r="67" spans="1:11" x14ac:dyDescent="0.25">
      <c r="A67" s="13">
        <v>34759</v>
      </c>
      <c r="B67" s="14">
        <v>94</v>
      </c>
      <c r="C67" s="14">
        <v>294</v>
      </c>
      <c r="D67" s="14"/>
      <c r="E67" s="14">
        <v>2987</v>
      </c>
      <c r="F67" s="14"/>
      <c r="G67" s="14">
        <v>5127</v>
      </c>
      <c r="H67" s="31">
        <f t="shared" si="0"/>
        <v>388</v>
      </c>
      <c r="I67" s="31"/>
      <c r="J67" s="31"/>
      <c r="K67" s="4"/>
    </row>
    <row r="68" spans="1:11" x14ac:dyDescent="0.25">
      <c r="A68" s="13">
        <v>34766</v>
      </c>
      <c r="B68" s="14">
        <v>159</v>
      </c>
      <c r="C68" s="14">
        <v>270</v>
      </c>
      <c r="D68" s="14"/>
      <c r="E68" s="14">
        <v>3373</v>
      </c>
      <c r="F68" s="14"/>
      <c r="G68" s="14">
        <v>5774</v>
      </c>
      <c r="H68" s="31">
        <f t="shared" si="0"/>
        <v>429</v>
      </c>
      <c r="I68" s="31"/>
      <c r="J68" s="31"/>
      <c r="K68" s="4"/>
    </row>
    <row r="69" spans="1:11" x14ac:dyDescent="0.25">
      <c r="A69" s="13">
        <v>34773</v>
      </c>
      <c r="B69" s="14">
        <v>22</v>
      </c>
      <c r="C69" s="14">
        <v>171</v>
      </c>
      <c r="D69" s="14"/>
      <c r="E69" s="14">
        <v>3065</v>
      </c>
      <c r="F69" s="14"/>
      <c r="G69" s="14">
        <v>6411</v>
      </c>
      <c r="H69" s="31">
        <f t="shared" si="0"/>
        <v>193</v>
      </c>
      <c r="I69" s="31"/>
      <c r="J69" s="31"/>
      <c r="K69" s="4"/>
    </row>
    <row r="70" spans="1:11" x14ac:dyDescent="0.25">
      <c r="A70" s="13">
        <v>34780</v>
      </c>
      <c r="B70" s="14">
        <v>114</v>
      </c>
      <c r="C70" s="14">
        <v>301</v>
      </c>
      <c r="D70" s="14"/>
      <c r="E70" s="14">
        <v>3317</v>
      </c>
      <c r="F70" s="14"/>
      <c r="G70" s="14">
        <v>4682</v>
      </c>
      <c r="H70" s="31">
        <f t="shared" si="0"/>
        <v>415</v>
      </c>
      <c r="I70" s="31"/>
      <c r="J70" s="31"/>
      <c r="K70" s="4"/>
    </row>
    <row r="71" spans="1:11" x14ac:dyDescent="0.25">
      <c r="A71" s="13">
        <v>34787</v>
      </c>
      <c r="B71" s="14">
        <v>38</v>
      </c>
      <c r="C71" s="14">
        <v>257</v>
      </c>
      <c r="D71" s="14"/>
      <c r="E71" s="14">
        <v>3106</v>
      </c>
      <c r="F71" s="14"/>
      <c r="G71" s="14">
        <v>6212</v>
      </c>
      <c r="H71" s="31">
        <f t="shared" si="0"/>
        <v>295</v>
      </c>
      <c r="I71" s="31"/>
      <c r="J71" s="31"/>
      <c r="K71" s="4"/>
    </row>
    <row r="72" spans="1:11" x14ac:dyDescent="0.25">
      <c r="A72" s="13">
        <v>34794</v>
      </c>
      <c r="B72" s="14">
        <v>0</v>
      </c>
      <c r="C72" s="14">
        <v>52</v>
      </c>
      <c r="D72" s="14"/>
      <c r="E72" s="14">
        <v>2263</v>
      </c>
      <c r="F72" s="14"/>
      <c r="G72" s="14">
        <v>5369</v>
      </c>
      <c r="H72" s="31">
        <f t="shared" ref="H72:H135" si="1">B72+C72</f>
        <v>52</v>
      </c>
      <c r="I72" s="31"/>
      <c r="J72" s="31"/>
      <c r="K72" s="4"/>
    </row>
    <row r="73" spans="1:11" x14ac:dyDescent="0.25">
      <c r="A73" s="13">
        <v>34801</v>
      </c>
      <c r="B73" s="14">
        <v>120</v>
      </c>
      <c r="C73" s="14">
        <v>325</v>
      </c>
      <c r="D73" s="14"/>
      <c r="E73" s="14">
        <v>2035</v>
      </c>
      <c r="F73" s="14"/>
      <c r="G73" s="14">
        <v>5206</v>
      </c>
      <c r="H73" s="31">
        <f t="shared" si="1"/>
        <v>445</v>
      </c>
      <c r="I73" s="31"/>
      <c r="J73" s="31"/>
      <c r="K73" s="4"/>
    </row>
    <row r="74" spans="1:11" x14ac:dyDescent="0.25">
      <c r="A74" s="13">
        <v>34808</v>
      </c>
      <c r="B74" s="14">
        <v>13</v>
      </c>
      <c r="C74" s="14">
        <v>91</v>
      </c>
      <c r="D74" s="14"/>
      <c r="E74" s="14">
        <v>2083</v>
      </c>
      <c r="F74" s="14"/>
      <c r="G74" s="14">
        <v>5342</v>
      </c>
      <c r="H74" s="31">
        <f t="shared" si="1"/>
        <v>104</v>
      </c>
      <c r="I74" s="31"/>
      <c r="J74" s="31"/>
      <c r="K74" s="4"/>
    </row>
    <row r="75" spans="1:11" x14ac:dyDescent="0.25">
      <c r="A75" s="13">
        <v>34815</v>
      </c>
      <c r="B75" s="14">
        <v>20</v>
      </c>
      <c r="C75" s="14">
        <v>126</v>
      </c>
      <c r="D75" s="14"/>
      <c r="E75" s="14">
        <v>2615</v>
      </c>
      <c r="F75" s="14"/>
      <c r="G75" s="14">
        <v>5228</v>
      </c>
      <c r="H75" s="31">
        <f t="shared" si="1"/>
        <v>146</v>
      </c>
      <c r="I75" s="31"/>
      <c r="J75" s="31"/>
      <c r="K75" s="4"/>
    </row>
    <row r="76" spans="1:11" x14ac:dyDescent="0.25">
      <c r="A76" s="13">
        <v>34822</v>
      </c>
      <c r="B76" s="14">
        <v>99</v>
      </c>
      <c r="C76" s="14">
        <v>61</v>
      </c>
      <c r="D76" s="14"/>
      <c r="E76" s="14">
        <v>2315</v>
      </c>
      <c r="F76" s="14"/>
      <c r="G76" s="14">
        <v>5314</v>
      </c>
      <c r="H76" s="31">
        <f t="shared" si="1"/>
        <v>160</v>
      </c>
      <c r="I76" s="31"/>
      <c r="J76" s="31"/>
      <c r="K76" s="4"/>
    </row>
    <row r="77" spans="1:11" x14ac:dyDescent="0.25">
      <c r="A77" s="13">
        <v>34829</v>
      </c>
      <c r="B77" s="14">
        <v>35</v>
      </c>
      <c r="C77" s="14">
        <v>104</v>
      </c>
      <c r="D77" s="14"/>
      <c r="E77" s="14">
        <v>2204</v>
      </c>
      <c r="F77" s="14"/>
      <c r="G77" s="14">
        <v>5136</v>
      </c>
      <c r="H77" s="31">
        <f t="shared" si="1"/>
        <v>139</v>
      </c>
      <c r="I77" s="31"/>
      <c r="J77" s="31"/>
      <c r="K77" s="4"/>
    </row>
    <row r="78" spans="1:11" x14ac:dyDescent="0.25">
      <c r="A78" s="13">
        <v>34836</v>
      </c>
      <c r="B78" s="14">
        <v>0</v>
      </c>
      <c r="C78" s="14">
        <v>62</v>
      </c>
      <c r="D78" s="14"/>
      <c r="E78" s="14">
        <v>2578</v>
      </c>
      <c r="F78" s="14"/>
      <c r="G78" s="14">
        <v>5202</v>
      </c>
      <c r="H78" s="31">
        <f t="shared" si="1"/>
        <v>62</v>
      </c>
      <c r="I78" s="31"/>
      <c r="J78" s="31"/>
      <c r="K78" s="4"/>
    </row>
    <row r="79" spans="1:11" x14ac:dyDescent="0.25">
      <c r="A79" s="13">
        <v>34843</v>
      </c>
      <c r="B79" s="14">
        <v>132</v>
      </c>
      <c r="C79" s="14">
        <v>136</v>
      </c>
      <c r="D79" s="14"/>
      <c r="E79" s="14">
        <v>1806</v>
      </c>
      <c r="F79" s="14"/>
      <c r="G79" s="14">
        <v>5845</v>
      </c>
      <c r="H79" s="31">
        <f t="shared" si="1"/>
        <v>268</v>
      </c>
      <c r="I79" s="31"/>
      <c r="J79" s="31"/>
      <c r="K79" s="4"/>
    </row>
    <row r="80" spans="1:11" x14ac:dyDescent="0.25">
      <c r="A80" s="13">
        <v>34850</v>
      </c>
      <c r="B80" s="14">
        <v>23</v>
      </c>
      <c r="C80" s="14">
        <v>39</v>
      </c>
      <c r="D80" s="14"/>
      <c r="E80" s="14">
        <v>1004</v>
      </c>
      <c r="F80" s="14"/>
      <c r="G80" s="14">
        <v>5238</v>
      </c>
      <c r="H80" s="31">
        <f t="shared" si="1"/>
        <v>62</v>
      </c>
      <c r="I80" s="31"/>
      <c r="J80" s="31"/>
      <c r="K80" s="4"/>
    </row>
    <row r="81" spans="1:11" x14ac:dyDescent="0.25">
      <c r="A81" s="13">
        <v>34857</v>
      </c>
      <c r="B81" s="14">
        <v>25</v>
      </c>
      <c r="C81" s="14">
        <f>2+338</f>
        <v>340</v>
      </c>
      <c r="D81" s="14"/>
      <c r="E81" s="14">
        <f>499+194+290+1</f>
        <v>984</v>
      </c>
      <c r="F81" s="14"/>
      <c r="G81" s="14">
        <v>5144</v>
      </c>
      <c r="H81" s="31">
        <f t="shared" si="1"/>
        <v>365</v>
      </c>
      <c r="I81" s="31"/>
      <c r="J81" s="31"/>
      <c r="K81" s="4"/>
    </row>
    <row r="82" spans="1:11" x14ac:dyDescent="0.25">
      <c r="A82" s="13">
        <v>34864</v>
      </c>
      <c r="B82" s="14">
        <v>72</v>
      </c>
      <c r="C82" s="14">
        <v>109</v>
      </c>
      <c r="D82" s="14"/>
      <c r="E82" s="14">
        <v>1828</v>
      </c>
      <c r="F82" s="14"/>
      <c r="G82" s="14">
        <v>5242</v>
      </c>
      <c r="H82" s="31">
        <f t="shared" si="1"/>
        <v>181</v>
      </c>
      <c r="I82" s="31"/>
      <c r="J82" s="31"/>
      <c r="K82" s="4"/>
    </row>
    <row r="83" spans="1:11" x14ac:dyDescent="0.25">
      <c r="A83" s="13">
        <v>34871</v>
      </c>
      <c r="B83" s="14">
        <v>46</v>
      </c>
      <c r="C83" s="14">
        <v>110</v>
      </c>
      <c r="D83" s="14"/>
      <c r="E83" s="14">
        <v>2036</v>
      </c>
      <c r="F83" s="14"/>
      <c r="G83" s="14">
        <v>4661</v>
      </c>
      <c r="H83" s="31">
        <f t="shared" si="1"/>
        <v>156</v>
      </c>
      <c r="I83" s="31"/>
      <c r="J83" s="31"/>
      <c r="K83" s="4"/>
    </row>
    <row r="84" spans="1:11" x14ac:dyDescent="0.25">
      <c r="A84" s="13">
        <v>34878</v>
      </c>
      <c r="B84" s="14">
        <v>126</v>
      </c>
      <c r="C84" s="14">
        <v>138</v>
      </c>
      <c r="D84" s="14"/>
      <c r="E84" s="14">
        <v>2638</v>
      </c>
      <c r="F84" s="14"/>
      <c r="G84" s="14">
        <v>5658</v>
      </c>
      <c r="H84" s="31">
        <f t="shared" si="1"/>
        <v>264</v>
      </c>
      <c r="I84" s="31"/>
      <c r="J84" s="31"/>
      <c r="K84" s="4"/>
    </row>
    <row r="85" spans="1:11" x14ac:dyDescent="0.25">
      <c r="A85" s="13">
        <v>34885</v>
      </c>
      <c r="B85" s="14">
        <v>143</v>
      </c>
      <c r="C85" s="14">
        <v>45</v>
      </c>
      <c r="D85" s="14"/>
      <c r="E85" s="14">
        <v>2423</v>
      </c>
      <c r="F85" s="14"/>
      <c r="G85" s="14">
        <v>4821</v>
      </c>
      <c r="H85" s="31">
        <f t="shared" si="1"/>
        <v>188</v>
      </c>
      <c r="I85" s="31"/>
      <c r="J85" s="31"/>
      <c r="K85" s="4"/>
    </row>
    <row r="86" spans="1:11" x14ac:dyDescent="0.25">
      <c r="A86" s="13">
        <v>34892</v>
      </c>
      <c r="B86" s="14">
        <v>93</v>
      </c>
      <c r="C86" s="14">
        <v>322</v>
      </c>
      <c r="D86" s="14"/>
      <c r="E86" s="14">
        <v>845</v>
      </c>
      <c r="F86" s="14"/>
      <c r="G86" s="14">
        <v>4273</v>
      </c>
      <c r="H86" s="31">
        <f t="shared" si="1"/>
        <v>415</v>
      </c>
      <c r="I86" s="31"/>
      <c r="J86" s="31"/>
      <c r="K86" s="4"/>
    </row>
    <row r="87" spans="1:11" x14ac:dyDescent="0.25">
      <c r="A87" s="13">
        <v>34899</v>
      </c>
      <c r="B87" s="14">
        <v>127</v>
      </c>
      <c r="C87" s="14">
        <v>177</v>
      </c>
      <c r="D87" s="14"/>
      <c r="E87" s="14">
        <v>1882</v>
      </c>
      <c r="F87" s="14"/>
      <c r="G87" s="14">
        <v>5701</v>
      </c>
      <c r="H87" s="31">
        <f t="shared" si="1"/>
        <v>304</v>
      </c>
      <c r="I87" s="31"/>
      <c r="J87" s="31"/>
      <c r="K87" s="4"/>
    </row>
    <row r="88" spans="1:11" x14ac:dyDescent="0.25">
      <c r="A88" s="13">
        <v>34906</v>
      </c>
      <c r="B88" s="14">
        <v>88</v>
      </c>
      <c r="C88" s="14">
        <v>166</v>
      </c>
      <c r="D88" s="14"/>
      <c r="E88" s="14">
        <v>1319</v>
      </c>
      <c r="F88" s="14"/>
      <c r="G88" s="14">
        <v>5611</v>
      </c>
      <c r="H88" s="31">
        <f t="shared" si="1"/>
        <v>254</v>
      </c>
      <c r="I88" s="31"/>
      <c r="J88" s="31"/>
      <c r="K88" s="4"/>
    </row>
    <row r="89" spans="1:11" x14ac:dyDescent="0.25">
      <c r="A89" s="13">
        <v>34913</v>
      </c>
      <c r="B89" s="14">
        <v>270</v>
      </c>
      <c r="C89" s="14">
        <v>43</v>
      </c>
      <c r="D89" s="14"/>
      <c r="E89" s="14">
        <v>1541</v>
      </c>
      <c r="F89" s="14"/>
      <c r="G89" s="14">
        <v>3948</v>
      </c>
      <c r="H89" s="31">
        <f t="shared" si="1"/>
        <v>313</v>
      </c>
      <c r="I89" s="31"/>
      <c r="J89" s="31"/>
      <c r="K89" s="4"/>
    </row>
    <row r="90" spans="1:11" x14ac:dyDescent="0.25">
      <c r="A90" s="13">
        <v>34920</v>
      </c>
      <c r="B90" s="14">
        <v>189</v>
      </c>
      <c r="C90" s="14">
        <v>107</v>
      </c>
      <c r="D90" s="14"/>
      <c r="E90" s="14">
        <v>2220</v>
      </c>
      <c r="F90" s="14"/>
      <c r="G90" s="14">
        <v>4827</v>
      </c>
      <c r="H90" s="31">
        <f t="shared" si="1"/>
        <v>296</v>
      </c>
      <c r="I90" s="31"/>
      <c r="J90" s="31"/>
      <c r="K90" s="4"/>
    </row>
    <row r="91" spans="1:11" x14ac:dyDescent="0.25">
      <c r="A91" s="13">
        <v>34927</v>
      </c>
      <c r="B91" s="14">
        <v>161</v>
      </c>
      <c r="C91" s="14">
        <v>53</v>
      </c>
      <c r="D91" s="14"/>
      <c r="E91" s="14">
        <v>2525</v>
      </c>
      <c r="F91" s="14"/>
      <c r="G91" s="14">
        <v>3935</v>
      </c>
      <c r="H91" s="31">
        <f t="shared" si="1"/>
        <v>214</v>
      </c>
      <c r="I91" s="31"/>
      <c r="J91" s="31"/>
      <c r="K91" s="4"/>
    </row>
    <row r="92" spans="1:11" x14ac:dyDescent="0.25">
      <c r="A92" s="13">
        <v>34934</v>
      </c>
      <c r="B92" s="14">
        <v>76</v>
      </c>
      <c r="C92" s="14">
        <v>68</v>
      </c>
      <c r="D92" s="14"/>
      <c r="E92" s="14">
        <v>3144</v>
      </c>
      <c r="F92" s="14"/>
      <c r="G92" s="14">
        <v>5174</v>
      </c>
      <c r="H92" s="31">
        <f t="shared" si="1"/>
        <v>144</v>
      </c>
      <c r="I92" s="31"/>
      <c r="J92" s="31"/>
      <c r="K92" s="4"/>
    </row>
    <row r="93" spans="1:11" x14ac:dyDescent="0.25">
      <c r="A93" s="13">
        <v>34941</v>
      </c>
      <c r="B93" s="14">
        <v>100</v>
      </c>
      <c r="C93" s="14">
        <v>88</v>
      </c>
      <c r="D93" s="14"/>
      <c r="E93" s="14">
        <v>2799</v>
      </c>
      <c r="F93" s="14"/>
      <c r="G93" s="14">
        <v>5407</v>
      </c>
      <c r="H93" s="31">
        <f t="shared" si="1"/>
        <v>188</v>
      </c>
      <c r="I93" s="31"/>
      <c r="J93" s="31"/>
      <c r="K93" s="4"/>
    </row>
    <row r="94" spans="1:11" x14ac:dyDescent="0.25">
      <c r="A94" s="13">
        <v>34948</v>
      </c>
      <c r="B94" s="14">
        <v>51</v>
      </c>
      <c r="C94" s="14">
        <v>107</v>
      </c>
      <c r="D94" s="14"/>
      <c r="E94" s="14">
        <v>1786</v>
      </c>
      <c r="F94" s="14"/>
      <c r="G94" s="14">
        <v>4440</v>
      </c>
      <c r="H94" s="31">
        <f t="shared" si="1"/>
        <v>158</v>
      </c>
      <c r="I94" s="31"/>
      <c r="J94" s="31"/>
      <c r="K94" s="4"/>
    </row>
    <row r="95" spans="1:11" x14ac:dyDescent="0.25">
      <c r="A95" s="13">
        <v>34955</v>
      </c>
      <c r="B95" s="14">
        <v>151</v>
      </c>
      <c r="C95" s="14">
        <v>199</v>
      </c>
      <c r="D95" s="14"/>
      <c r="E95" s="14">
        <v>2349</v>
      </c>
      <c r="F95" s="14"/>
      <c r="G95" s="14">
        <v>4711</v>
      </c>
      <c r="H95" s="31">
        <f t="shared" si="1"/>
        <v>350</v>
      </c>
      <c r="I95" s="31"/>
      <c r="J95" s="31"/>
      <c r="K95" s="4"/>
    </row>
    <row r="96" spans="1:11" x14ac:dyDescent="0.25">
      <c r="A96" s="13">
        <v>34962</v>
      </c>
      <c r="B96" s="14">
        <v>202</v>
      </c>
      <c r="C96" s="14">
        <v>234</v>
      </c>
      <c r="D96" s="14"/>
      <c r="E96" s="14">
        <v>3007</v>
      </c>
      <c r="F96" s="14"/>
      <c r="G96" s="14">
        <v>5494</v>
      </c>
      <c r="H96" s="31">
        <f t="shared" si="1"/>
        <v>436</v>
      </c>
      <c r="I96" s="31"/>
      <c r="J96" s="31"/>
      <c r="K96" s="4"/>
    </row>
    <row r="97" spans="1:11" x14ac:dyDescent="0.25">
      <c r="A97" s="13">
        <v>34969</v>
      </c>
      <c r="B97" s="14">
        <v>0</v>
      </c>
      <c r="C97" s="14">
        <v>73</v>
      </c>
      <c r="D97" s="14"/>
      <c r="E97" s="14">
        <v>1646</v>
      </c>
      <c r="F97" s="14"/>
      <c r="G97" s="14">
        <v>5942</v>
      </c>
      <c r="H97" s="31">
        <f t="shared" si="1"/>
        <v>73</v>
      </c>
      <c r="I97" s="31"/>
      <c r="J97" s="31"/>
      <c r="K97" s="4"/>
    </row>
    <row r="98" spans="1:11" x14ac:dyDescent="0.25">
      <c r="A98" s="13">
        <v>34976</v>
      </c>
      <c r="B98" s="14">
        <v>101</v>
      </c>
      <c r="C98" s="14">
        <v>207</v>
      </c>
      <c r="D98" s="14"/>
      <c r="E98" s="14">
        <v>1533</v>
      </c>
      <c r="F98" s="14"/>
      <c r="G98" s="14">
        <v>5599</v>
      </c>
      <c r="H98" s="31">
        <f t="shared" si="1"/>
        <v>308</v>
      </c>
      <c r="I98" s="31"/>
      <c r="J98" s="31"/>
      <c r="K98" s="4"/>
    </row>
    <row r="99" spans="1:11" x14ac:dyDescent="0.25">
      <c r="A99" s="13">
        <v>34983</v>
      </c>
      <c r="B99" s="14">
        <v>106</v>
      </c>
      <c r="C99" s="14">
        <v>274</v>
      </c>
      <c r="D99" s="14"/>
      <c r="E99" s="14">
        <v>2393</v>
      </c>
      <c r="F99" s="14"/>
      <c r="G99" s="14">
        <v>5052</v>
      </c>
      <c r="H99" s="31">
        <f t="shared" si="1"/>
        <v>380</v>
      </c>
      <c r="I99" s="31"/>
      <c r="J99" s="31"/>
      <c r="K99" s="4"/>
    </row>
    <row r="100" spans="1:11" x14ac:dyDescent="0.25">
      <c r="A100" s="13">
        <v>34990</v>
      </c>
      <c r="B100" s="14">
        <v>74</v>
      </c>
      <c r="C100" s="14">
        <v>196</v>
      </c>
      <c r="D100" s="14"/>
      <c r="E100" s="14">
        <v>2098</v>
      </c>
      <c r="F100" s="14"/>
      <c r="G100" s="14">
        <v>5720</v>
      </c>
      <c r="H100" s="31">
        <f t="shared" si="1"/>
        <v>270</v>
      </c>
      <c r="I100" s="31"/>
      <c r="J100" s="31"/>
      <c r="K100" s="4"/>
    </row>
    <row r="101" spans="1:11" x14ac:dyDescent="0.25">
      <c r="A101" s="13">
        <v>34997</v>
      </c>
      <c r="B101" s="14">
        <v>55</v>
      </c>
      <c r="C101" s="14">
        <v>316</v>
      </c>
      <c r="D101" s="14"/>
      <c r="E101" s="14">
        <v>2044</v>
      </c>
      <c r="F101" s="14"/>
      <c r="G101" s="14">
        <v>5445</v>
      </c>
      <c r="H101" s="31">
        <f t="shared" si="1"/>
        <v>371</v>
      </c>
      <c r="I101" s="31"/>
      <c r="J101" s="31"/>
      <c r="K101" s="4"/>
    </row>
    <row r="102" spans="1:11" x14ac:dyDescent="0.25">
      <c r="A102" s="13">
        <v>35004</v>
      </c>
      <c r="B102" s="14">
        <v>228</v>
      </c>
      <c r="C102" s="14">
        <v>166</v>
      </c>
      <c r="D102" s="14"/>
      <c r="E102" s="14">
        <v>1489</v>
      </c>
      <c r="F102" s="14"/>
      <c r="G102" s="14">
        <v>5772</v>
      </c>
      <c r="H102" s="31">
        <f t="shared" si="1"/>
        <v>394</v>
      </c>
      <c r="I102" s="31"/>
      <c r="J102" s="31"/>
      <c r="K102" s="4"/>
    </row>
    <row r="103" spans="1:11" x14ac:dyDescent="0.25">
      <c r="A103" s="13">
        <v>35011</v>
      </c>
      <c r="B103" s="14">
        <v>144</v>
      </c>
      <c r="C103" s="14">
        <v>344</v>
      </c>
      <c r="D103" s="14"/>
      <c r="E103" s="14">
        <v>1633</v>
      </c>
      <c r="F103" s="14"/>
      <c r="G103" s="14">
        <v>4686</v>
      </c>
      <c r="H103" s="31">
        <f t="shared" si="1"/>
        <v>488</v>
      </c>
      <c r="I103" s="31"/>
      <c r="J103" s="31"/>
      <c r="K103" s="4"/>
    </row>
    <row r="104" spans="1:11" x14ac:dyDescent="0.25">
      <c r="A104" s="13">
        <v>35018</v>
      </c>
      <c r="B104" s="14">
        <v>206</v>
      </c>
      <c r="C104" s="14">
        <v>427</v>
      </c>
      <c r="D104" s="14"/>
      <c r="E104" s="14">
        <v>2098</v>
      </c>
      <c r="F104" s="14"/>
      <c r="G104" s="14">
        <v>4904</v>
      </c>
      <c r="H104" s="31">
        <f t="shared" si="1"/>
        <v>633</v>
      </c>
      <c r="I104" s="31"/>
      <c r="J104" s="31"/>
      <c r="K104" s="4"/>
    </row>
    <row r="105" spans="1:11" x14ac:dyDescent="0.25">
      <c r="A105" s="13">
        <v>35025</v>
      </c>
      <c r="B105" s="14">
        <v>90</v>
      </c>
      <c r="C105" s="14">
        <v>360</v>
      </c>
      <c r="D105" s="14"/>
      <c r="E105" s="14">
        <v>1161</v>
      </c>
      <c r="F105" s="14"/>
      <c r="G105" s="14">
        <v>4932</v>
      </c>
      <c r="H105" s="31">
        <f t="shared" si="1"/>
        <v>450</v>
      </c>
      <c r="I105" s="31"/>
      <c r="J105" s="31"/>
      <c r="K105" s="4"/>
    </row>
    <row r="106" spans="1:11" x14ac:dyDescent="0.25">
      <c r="A106" s="13">
        <v>35032</v>
      </c>
      <c r="B106" s="14">
        <v>133</v>
      </c>
      <c r="C106" s="14">
        <v>315</v>
      </c>
      <c r="D106" s="14"/>
      <c r="E106" s="14">
        <v>1926</v>
      </c>
      <c r="F106" s="14"/>
      <c r="G106" s="14">
        <v>5606</v>
      </c>
      <c r="H106" s="31">
        <f t="shared" si="1"/>
        <v>448</v>
      </c>
      <c r="I106" s="31"/>
      <c r="J106" s="31"/>
      <c r="K106" s="4"/>
    </row>
    <row r="107" spans="1:11" x14ac:dyDescent="0.25">
      <c r="A107" s="13">
        <v>35039</v>
      </c>
      <c r="B107" s="14">
        <v>57</v>
      </c>
      <c r="C107" s="14">
        <v>361</v>
      </c>
      <c r="D107" s="14"/>
      <c r="E107" s="14">
        <v>1148</v>
      </c>
      <c r="F107" s="14"/>
      <c r="G107" s="14">
        <v>4977</v>
      </c>
      <c r="H107" s="31">
        <f t="shared" si="1"/>
        <v>418</v>
      </c>
      <c r="I107" s="31"/>
      <c r="J107" s="31"/>
      <c r="K107" s="4"/>
    </row>
    <row r="108" spans="1:11" x14ac:dyDescent="0.25">
      <c r="A108" s="13">
        <v>35046</v>
      </c>
      <c r="B108" s="14">
        <v>103</v>
      </c>
      <c r="C108" s="14">
        <v>480</v>
      </c>
      <c r="D108" s="14"/>
      <c r="E108" s="14">
        <v>1765</v>
      </c>
      <c r="F108" s="14"/>
      <c r="G108" s="14">
        <v>5092</v>
      </c>
      <c r="H108" s="31">
        <f t="shared" si="1"/>
        <v>583</v>
      </c>
      <c r="I108" s="31"/>
      <c r="J108" s="31"/>
      <c r="K108" s="4"/>
    </row>
    <row r="109" spans="1:11" x14ac:dyDescent="0.25">
      <c r="A109" s="13">
        <v>35053</v>
      </c>
      <c r="B109" s="14">
        <v>95</v>
      </c>
      <c r="C109" s="14">
        <v>179</v>
      </c>
      <c r="D109" s="14"/>
      <c r="E109" s="14">
        <v>2007</v>
      </c>
      <c r="F109" s="14"/>
      <c r="G109" s="14">
        <v>3788</v>
      </c>
      <c r="H109" s="31">
        <f t="shared" si="1"/>
        <v>274</v>
      </c>
      <c r="I109" s="31"/>
      <c r="J109" s="31"/>
      <c r="K109" s="4"/>
    </row>
    <row r="110" spans="1:11" x14ac:dyDescent="0.25">
      <c r="A110" s="13">
        <v>35060</v>
      </c>
      <c r="B110" s="14">
        <v>47</v>
      </c>
      <c r="C110" s="14">
        <v>138</v>
      </c>
      <c r="D110" s="14"/>
      <c r="E110" s="14">
        <v>2477</v>
      </c>
      <c r="F110" s="14"/>
      <c r="G110" s="14">
        <v>4385</v>
      </c>
      <c r="H110" s="31">
        <f t="shared" si="1"/>
        <v>185</v>
      </c>
      <c r="I110" s="31"/>
      <c r="J110" s="31"/>
      <c r="K110" s="4"/>
    </row>
    <row r="111" spans="1:11" x14ac:dyDescent="0.25">
      <c r="A111" s="13">
        <v>35067</v>
      </c>
      <c r="B111" s="14">
        <v>10</v>
      </c>
      <c r="C111" s="14">
        <v>8</v>
      </c>
      <c r="D111" s="14"/>
      <c r="E111" s="14">
        <v>2306</v>
      </c>
      <c r="F111" s="14"/>
      <c r="G111" s="14">
        <v>5000</v>
      </c>
      <c r="H111" s="31">
        <f t="shared" si="1"/>
        <v>18</v>
      </c>
      <c r="I111" s="31"/>
      <c r="J111" s="31"/>
      <c r="K111" s="4">
        <v>1</v>
      </c>
    </row>
    <row r="112" spans="1:11" x14ac:dyDescent="0.25">
      <c r="A112" s="13">
        <v>35074</v>
      </c>
      <c r="B112" s="14">
        <v>52</v>
      </c>
      <c r="C112" s="14">
        <v>109</v>
      </c>
      <c r="D112" s="14"/>
      <c r="E112" s="14">
        <v>2494</v>
      </c>
      <c r="F112" s="14"/>
      <c r="G112" s="14">
        <v>6954</v>
      </c>
      <c r="H112" s="31">
        <f t="shared" si="1"/>
        <v>161</v>
      </c>
      <c r="I112" s="31"/>
      <c r="J112" s="31"/>
      <c r="K112" s="12">
        <f>K111+1</f>
        <v>2</v>
      </c>
    </row>
    <row r="113" spans="1:11" x14ac:dyDescent="0.25">
      <c r="A113" s="13">
        <v>35081</v>
      </c>
      <c r="B113" s="14">
        <v>86</v>
      </c>
      <c r="C113" s="14">
        <v>69</v>
      </c>
      <c r="D113" s="14"/>
      <c r="E113" s="14">
        <v>2342</v>
      </c>
      <c r="F113" s="14"/>
      <c r="G113" s="14">
        <v>7663</v>
      </c>
      <c r="H113" s="31">
        <f t="shared" si="1"/>
        <v>155</v>
      </c>
      <c r="I113" s="31"/>
      <c r="J113" s="31"/>
      <c r="K113" s="12">
        <f>K112+1</f>
        <v>3</v>
      </c>
    </row>
    <row r="114" spans="1:11" x14ac:dyDescent="0.25">
      <c r="A114" s="13">
        <v>35088</v>
      </c>
      <c r="B114" s="14">
        <v>195</v>
      </c>
      <c r="C114" s="14">
        <v>201</v>
      </c>
      <c r="D114" s="14"/>
      <c r="E114" s="14">
        <v>2381</v>
      </c>
      <c r="F114" s="14"/>
      <c r="G114" s="14">
        <v>6516</v>
      </c>
      <c r="H114" s="31">
        <f t="shared" si="1"/>
        <v>396</v>
      </c>
      <c r="I114" s="31"/>
      <c r="J114" s="31"/>
      <c r="K114" s="12">
        <f t="shared" ref="K114:K162" si="2">K113+1</f>
        <v>4</v>
      </c>
    </row>
    <row r="115" spans="1:11" x14ac:dyDescent="0.25">
      <c r="A115" s="13">
        <v>35095</v>
      </c>
      <c r="B115" s="14">
        <v>33</v>
      </c>
      <c r="C115" s="14">
        <v>297</v>
      </c>
      <c r="D115" s="14"/>
      <c r="E115" s="14">
        <v>2388</v>
      </c>
      <c r="F115" s="14"/>
      <c r="G115" s="14">
        <v>4721</v>
      </c>
      <c r="H115" s="31">
        <f t="shared" si="1"/>
        <v>330</v>
      </c>
      <c r="I115" s="31"/>
      <c r="J115" s="31"/>
      <c r="K115" s="12">
        <f t="shared" si="2"/>
        <v>5</v>
      </c>
    </row>
    <row r="116" spans="1:11" x14ac:dyDescent="0.25">
      <c r="A116" s="13">
        <v>35102</v>
      </c>
      <c r="B116" s="14">
        <v>66</v>
      </c>
      <c r="C116" s="14">
        <v>306</v>
      </c>
      <c r="D116" s="14"/>
      <c r="E116" s="14">
        <v>2620</v>
      </c>
      <c r="F116" s="14"/>
      <c r="G116" s="14">
        <v>4137</v>
      </c>
      <c r="H116" s="31">
        <f t="shared" si="1"/>
        <v>372</v>
      </c>
      <c r="I116" s="31"/>
      <c r="J116" s="31"/>
      <c r="K116" s="12">
        <f t="shared" si="2"/>
        <v>6</v>
      </c>
    </row>
    <row r="117" spans="1:11" x14ac:dyDescent="0.25">
      <c r="A117" s="13">
        <v>35109</v>
      </c>
      <c r="B117" s="14">
        <v>124</v>
      </c>
      <c r="C117" s="14">
        <v>131</v>
      </c>
      <c r="D117" s="14"/>
      <c r="E117" s="14">
        <v>2789</v>
      </c>
      <c r="F117" s="14"/>
      <c r="G117" s="14">
        <v>1520</v>
      </c>
      <c r="H117" s="31">
        <f t="shared" si="1"/>
        <v>255</v>
      </c>
      <c r="I117" s="31"/>
      <c r="J117" s="31"/>
      <c r="K117" s="12">
        <f t="shared" si="2"/>
        <v>7</v>
      </c>
    </row>
    <row r="118" spans="1:11" x14ac:dyDescent="0.25">
      <c r="A118" s="13">
        <v>35116</v>
      </c>
      <c r="B118" s="14">
        <v>61</v>
      </c>
      <c r="C118" s="14">
        <v>589</v>
      </c>
      <c r="D118" s="14"/>
      <c r="E118" s="14">
        <v>2971</v>
      </c>
      <c r="F118" s="14"/>
      <c r="G118" s="14">
        <v>5090</v>
      </c>
      <c r="H118" s="31">
        <f t="shared" si="1"/>
        <v>650</v>
      </c>
      <c r="I118" s="31"/>
      <c r="J118" s="31"/>
      <c r="K118" s="12">
        <f t="shared" si="2"/>
        <v>8</v>
      </c>
    </row>
    <row r="119" spans="1:11" x14ac:dyDescent="0.25">
      <c r="A119" s="13">
        <v>35123</v>
      </c>
      <c r="B119" s="14">
        <v>119</v>
      </c>
      <c r="C119" s="14">
        <v>326</v>
      </c>
      <c r="D119" s="14"/>
      <c r="E119" s="14">
        <v>3542</v>
      </c>
      <c r="F119" s="14"/>
      <c r="G119" s="14">
        <v>5844</v>
      </c>
      <c r="H119" s="31">
        <f t="shared" si="1"/>
        <v>445</v>
      </c>
      <c r="I119" s="31"/>
      <c r="J119" s="31"/>
      <c r="K119" s="12">
        <f t="shared" si="2"/>
        <v>9</v>
      </c>
    </row>
    <row r="120" spans="1:11" x14ac:dyDescent="0.25">
      <c r="A120" s="13">
        <v>35130</v>
      </c>
      <c r="B120" s="14">
        <v>94</v>
      </c>
      <c r="C120" s="14">
        <v>399</v>
      </c>
      <c r="D120" s="14"/>
      <c r="E120" s="14">
        <v>3232</v>
      </c>
      <c r="F120" s="14"/>
      <c r="G120" s="14">
        <v>5523</v>
      </c>
      <c r="H120" s="31">
        <f t="shared" si="1"/>
        <v>493</v>
      </c>
      <c r="I120" s="31"/>
      <c r="J120" s="31"/>
      <c r="K120" s="12">
        <f t="shared" si="2"/>
        <v>10</v>
      </c>
    </row>
    <row r="121" spans="1:11" x14ac:dyDescent="0.25">
      <c r="A121" s="13">
        <v>35137</v>
      </c>
      <c r="B121" s="14">
        <v>169</v>
      </c>
      <c r="C121" s="14">
        <v>307</v>
      </c>
      <c r="D121" s="14"/>
      <c r="E121" s="14">
        <v>3331</v>
      </c>
      <c r="F121" s="14"/>
      <c r="G121" s="14">
        <v>6424</v>
      </c>
      <c r="H121" s="31">
        <f t="shared" si="1"/>
        <v>476</v>
      </c>
      <c r="I121" s="31"/>
      <c r="J121" s="31"/>
      <c r="K121" s="12">
        <f t="shared" si="2"/>
        <v>11</v>
      </c>
    </row>
    <row r="122" spans="1:11" x14ac:dyDescent="0.25">
      <c r="A122" s="13">
        <v>35144</v>
      </c>
      <c r="B122" s="14">
        <v>85</v>
      </c>
      <c r="C122" s="14">
        <v>300</v>
      </c>
      <c r="D122" s="14"/>
      <c r="E122" s="14">
        <v>2499</v>
      </c>
      <c r="F122" s="14"/>
      <c r="G122" s="14">
        <v>6657</v>
      </c>
      <c r="H122" s="31">
        <f t="shared" si="1"/>
        <v>385</v>
      </c>
      <c r="I122" s="31"/>
      <c r="J122" s="31"/>
      <c r="K122" s="12">
        <f t="shared" si="2"/>
        <v>12</v>
      </c>
    </row>
    <row r="123" spans="1:11" x14ac:dyDescent="0.25">
      <c r="A123" s="13">
        <v>35151</v>
      </c>
      <c r="B123" s="14">
        <v>12</v>
      </c>
      <c r="C123" s="14">
        <v>349</v>
      </c>
      <c r="D123" s="14"/>
      <c r="E123" s="14">
        <v>3380</v>
      </c>
      <c r="F123" s="14"/>
      <c r="G123" s="14">
        <v>6402</v>
      </c>
      <c r="H123" s="31">
        <f t="shared" si="1"/>
        <v>361</v>
      </c>
      <c r="I123" s="31"/>
      <c r="J123" s="31"/>
      <c r="K123" s="12">
        <f t="shared" si="2"/>
        <v>13</v>
      </c>
    </row>
    <row r="124" spans="1:11" x14ac:dyDescent="0.25">
      <c r="A124" s="13">
        <v>35158</v>
      </c>
      <c r="B124" s="14">
        <v>3</v>
      </c>
      <c r="C124" s="14">
        <v>269</v>
      </c>
      <c r="D124" s="14"/>
      <c r="E124" s="14">
        <v>2871</v>
      </c>
      <c r="F124" s="14"/>
      <c r="G124" s="14">
        <v>6050</v>
      </c>
      <c r="H124" s="31">
        <f t="shared" si="1"/>
        <v>272</v>
      </c>
      <c r="I124" s="31"/>
      <c r="J124" s="31"/>
      <c r="K124" s="12">
        <f t="shared" si="2"/>
        <v>14</v>
      </c>
    </row>
    <row r="125" spans="1:11" x14ac:dyDescent="0.25">
      <c r="A125" s="13">
        <v>35165</v>
      </c>
      <c r="B125" s="14">
        <v>3</v>
      </c>
      <c r="C125" s="14">
        <v>257</v>
      </c>
      <c r="D125" s="14"/>
      <c r="E125" s="14">
        <v>1928</v>
      </c>
      <c r="F125" s="14"/>
      <c r="G125" s="14">
        <v>6448</v>
      </c>
      <c r="H125" s="31">
        <f t="shared" si="1"/>
        <v>260</v>
      </c>
      <c r="I125" s="31"/>
      <c r="J125" s="31"/>
      <c r="K125" s="12">
        <f t="shared" si="2"/>
        <v>15</v>
      </c>
    </row>
    <row r="126" spans="1:11" x14ac:dyDescent="0.25">
      <c r="A126" s="13">
        <v>35172</v>
      </c>
      <c r="B126" s="14">
        <v>76</v>
      </c>
      <c r="C126" s="14">
        <v>201</v>
      </c>
      <c r="D126" s="14"/>
      <c r="E126" s="14">
        <v>2005</v>
      </c>
      <c r="F126" s="14"/>
      <c r="G126" s="14">
        <v>6311</v>
      </c>
      <c r="H126" s="31">
        <f t="shared" si="1"/>
        <v>277</v>
      </c>
      <c r="I126" s="31"/>
      <c r="J126" s="31"/>
      <c r="K126" s="12">
        <f t="shared" si="2"/>
        <v>16</v>
      </c>
    </row>
    <row r="127" spans="1:11" x14ac:dyDescent="0.25">
      <c r="A127" s="13">
        <v>35179</v>
      </c>
      <c r="B127" s="14">
        <v>2</v>
      </c>
      <c r="C127" s="14">
        <v>507</v>
      </c>
      <c r="D127" s="14"/>
      <c r="E127" s="14">
        <v>1917</v>
      </c>
      <c r="F127" s="14"/>
      <c r="G127" s="14">
        <v>4899</v>
      </c>
      <c r="H127" s="31">
        <f t="shared" si="1"/>
        <v>509</v>
      </c>
      <c r="I127" s="31"/>
      <c r="J127" s="31"/>
      <c r="K127" s="12">
        <f t="shared" si="2"/>
        <v>17</v>
      </c>
    </row>
    <row r="128" spans="1:11" x14ac:dyDescent="0.25">
      <c r="A128" s="13">
        <v>35186</v>
      </c>
      <c r="B128" s="14">
        <v>2</v>
      </c>
      <c r="C128" s="14">
        <v>140</v>
      </c>
      <c r="D128" s="14"/>
      <c r="E128" s="14">
        <v>1880</v>
      </c>
      <c r="F128" s="14"/>
      <c r="G128" s="14">
        <v>3985</v>
      </c>
      <c r="H128" s="31">
        <f t="shared" si="1"/>
        <v>142</v>
      </c>
      <c r="I128" s="31"/>
      <c r="J128" s="31"/>
      <c r="K128" s="12">
        <f t="shared" si="2"/>
        <v>18</v>
      </c>
    </row>
    <row r="129" spans="1:11" x14ac:dyDescent="0.25">
      <c r="A129" s="13">
        <v>35193</v>
      </c>
      <c r="B129" s="14">
        <v>25</v>
      </c>
      <c r="C129" s="14">
        <v>44</v>
      </c>
      <c r="D129" s="14"/>
      <c r="E129" s="14">
        <v>1936</v>
      </c>
      <c r="F129" s="14"/>
      <c r="G129" s="14">
        <v>4003</v>
      </c>
      <c r="H129" s="31">
        <f t="shared" si="1"/>
        <v>69</v>
      </c>
      <c r="I129" s="31"/>
      <c r="J129" s="31"/>
      <c r="K129" s="12">
        <f t="shared" si="2"/>
        <v>19</v>
      </c>
    </row>
    <row r="130" spans="1:11" x14ac:dyDescent="0.25">
      <c r="A130" s="13">
        <v>35200</v>
      </c>
      <c r="B130" s="14">
        <v>153</v>
      </c>
      <c r="C130" s="14">
        <v>25</v>
      </c>
      <c r="D130" s="14"/>
      <c r="E130" s="14">
        <v>1948</v>
      </c>
      <c r="F130" s="14"/>
      <c r="G130" s="14">
        <v>4305</v>
      </c>
      <c r="H130" s="31">
        <f t="shared" si="1"/>
        <v>178</v>
      </c>
      <c r="I130" s="31"/>
      <c r="J130" s="31"/>
      <c r="K130" s="12">
        <f t="shared" si="2"/>
        <v>20</v>
      </c>
    </row>
    <row r="131" spans="1:11" x14ac:dyDescent="0.25">
      <c r="A131" s="13">
        <v>35207</v>
      </c>
      <c r="B131" s="14">
        <v>37</v>
      </c>
      <c r="C131" s="14">
        <v>16</v>
      </c>
      <c r="D131" s="14"/>
      <c r="E131" s="14">
        <v>1623</v>
      </c>
      <c r="F131" s="14"/>
      <c r="G131" s="14">
        <v>3181</v>
      </c>
      <c r="H131" s="31">
        <f t="shared" si="1"/>
        <v>53</v>
      </c>
      <c r="I131" s="31"/>
      <c r="J131" s="31"/>
      <c r="K131" s="12">
        <f t="shared" si="2"/>
        <v>21</v>
      </c>
    </row>
    <row r="132" spans="1:11" x14ac:dyDescent="0.25">
      <c r="A132" s="13">
        <v>35214</v>
      </c>
      <c r="B132" s="14">
        <v>0</v>
      </c>
      <c r="C132" s="14">
        <v>19</v>
      </c>
      <c r="D132" s="14"/>
      <c r="E132" s="14">
        <v>1045</v>
      </c>
      <c r="F132" s="14"/>
      <c r="G132" s="14">
        <v>3642</v>
      </c>
      <c r="H132" s="31">
        <f t="shared" si="1"/>
        <v>19</v>
      </c>
      <c r="I132" s="31"/>
      <c r="J132" s="31"/>
      <c r="K132" s="12">
        <f t="shared" si="2"/>
        <v>22</v>
      </c>
    </row>
    <row r="133" spans="1:11" x14ac:dyDescent="0.25">
      <c r="A133" s="13">
        <v>35221</v>
      </c>
      <c r="B133" s="14">
        <v>1</v>
      </c>
      <c r="C133" s="14">
        <v>6</v>
      </c>
      <c r="D133" s="14"/>
      <c r="E133" s="14">
        <v>2321</v>
      </c>
      <c r="F133" s="14"/>
      <c r="G133" s="14">
        <v>3303</v>
      </c>
      <c r="H133" s="31">
        <f t="shared" si="1"/>
        <v>7</v>
      </c>
      <c r="I133" s="31"/>
      <c r="J133" s="31"/>
      <c r="K133" s="12">
        <f t="shared" si="2"/>
        <v>23</v>
      </c>
    </row>
    <row r="134" spans="1:11" x14ac:dyDescent="0.25">
      <c r="A134" s="13">
        <v>35228</v>
      </c>
      <c r="B134" s="14">
        <v>86</v>
      </c>
      <c r="C134" s="14">
        <v>32</v>
      </c>
      <c r="D134" s="14"/>
      <c r="E134" s="14">
        <v>1227</v>
      </c>
      <c r="F134" s="14"/>
      <c r="G134" s="14">
        <v>2383</v>
      </c>
      <c r="H134" s="31">
        <f t="shared" si="1"/>
        <v>118</v>
      </c>
      <c r="I134" s="31"/>
      <c r="J134" s="31"/>
      <c r="K134" s="12">
        <f t="shared" si="2"/>
        <v>24</v>
      </c>
    </row>
    <row r="135" spans="1:11" x14ac:dyDescent="0.25">
      <c r="A135" s="13">
        <v>35235</v>
      </c>
      <c r="B135" s="14">
        <v>6</v>
      </c>
      <c r="C135" s="14">
        <v>76</v>
      </c>
      <c r="D135" s="14"/>
      <c r="E135" s="14">
        <v>1328</v>
      </c>
      <c r="F135" s="14"/>
      <c r="G135" s="14">
        <v>3374</v>
      </c>
      <c r="H135" s="31">
        <f t="shared" si="1"/>
        <v>82</v>
      </c>
      <c r="I135" s="31"/>
      <c r="J135" s="31"/>
      <c r="K135" s="12">
        <f t="shared" si="2"/>
        <v>25</v>
      </c>
    </row>
    <row r="136" spans="1:11" x14ac:dyDescent="0.25">
      <c r="A136" s="13">
        <v>35242</v>
      </c>
      <c r="B136" s="14">
        <v>95</v>
      </c>
      <c r="C136" s="14">
        <v>143</v>
      </c>
      <c r="D136" s="14"/>
      <c r="E136" s="14">
        <v>1284</v>
      </c>
      <c r="F136" s="14"/>
      <c r="G136" s="14">
        <v>1201</v>
      </c>
      <c r="H136" s="31">
        <f t="shared" ref="H136:H199" si="3">B136+C136</f>
        <v>238</v>
      </c>
      <c r="I136" s="31"/>
      <c r="J136" s="31"/>
      <c r="K136" s="12">
        <f t="shared" si="2"/>
        <v>26</v>
      </c>
    </row>
    <row r="137" spans="1:11" x14ac:dyDescent="0.25">
      <c r="A137" s="13">
        <v>35249</v>
      </c>
      <c r="B137" s="14">
        <v>236</v>
      </c>
      <c r="C137" s="14">
        <v>246</v>
      </c>
      <c r="D137" s="14"/>
      <c r="E137" s="14">
        <v>1649</v>
      </c>
      <c r="F137" s="14"/>
      <c r="G137" s="14">
        <v>2560</v>
      </c>
      <c r="H137" s="31">
        <f t="shared" si="3"/>
        <v>482</v>
      </c>
      <c r="I137" s="31"/>
      <c r="J137" s="31"/>
      <c r="K137" s="12">
        <f t="shared" si="2"/>
        <v>27</v>
      </c>
    </row>
    <row r="138" spans="1:11" x14ac:dyDescent="0.25">
      <c r="A138" s="13">
        <v>35256</v>
      </c>
      <c r="B138" s="14">
        <v>145</v>
      </c>
      <c r="C138" s="14">
        <v>179</v>
      </c>
      <c r="D138" s="14"/>
      <c r="E138" s="14">
        <v>1993</v>
      </c>
      <c r="F138" s="14"/>
      <c r="G138" s="14">
        <v>2113</v>
      </c>
      <c r="H138" s="31">
        <f t="shared" si="3"/>
        <v>324</v>
      </c>
      <c r="I138" s="31"/>
      <c r="J138" s="31"/>
      <c r="K138" s="12">
        <f t="shared" si="2"/>
        <v>28</v>
      </c>
    </row>
    <row r="139" spans="1:11" x14ac:dyDescent="0.25">
      <c r="A139" s="13">
        <v>35263</v>
      </c>
      <c r="B139" s="14">
        <v>96</v>
      </c>
      <c r="C139" s="14">
        <v>55</v>
      </c>
      <c r="D139" s="14"/>
      <c r="E139" s="14">
        <v>1593</v>
      </c>
      <c r="F139" s="14"/>
      <c r="G139" s="14">
        <v>2063</v>
      </c>
      <c r="H139" s="31">
        <f t="shared" si="3"/>
        <v>151</v>
      </c>
      <c r="I139" s="31"/>
      <c r="J139" s="31"/>
      <c r="K139" s="12">
        <f t="shared" si="2"/>
        <v>29</v>
      </c>
    </row>
    <row r="140" spans="1:11" x14ac:dyDescent="0.25">
      <c r="A140" s="13">
        <v>35270</v>
      </c>
      <c r="B140" s="14">
        <v>233</v>
      </c>
      <c r="C140" s="14">
        <v>127</v>
      </c>
      <c r="D140" s="14"/>
      <c r="E140" s="14">
        <v>2697</v>
      </c>
      <c r="F140" s="14"/>
      <c r="G140" s="14">
        <v>2330</v>
      </c>
      <c r="H140" s="31">
        <f t="shared" si="3"/>
        <v>360</v>
      </c>
      <c r="I140" s="31"/>
      <c r="J140" s="31"/>
      <c r="K140" s="12">
        <f t="shared" si="2"/>
        <v>30</v>
      </c>
    </row>
    <row r="141" spans="1:11" x14ac:dyDescent="0.25">
      <c r="A141" s="13">
        <v>35277</v>
      </c>
      <c r="B141" s="14">
        <v>52</v>
      </c>
      <c r="C141" s="14">
        <v>114</v>
      </c>
      <c r="D141" s="14"/>
      <c r="E141" s="14">
        <v>3201</v>
      </c>
      <c r="F141" s="14"/>
      <c r="G141" s="14">
        <v>1829</v>
      </c>
      <c r="H141" s="31">
        <f t="shared" si="3"/>
        <v>166</v>
      </c>
      <c r="I141" s="31"/>
      <c r="J141" s="31"/>
      <c r="K141" s="12">
        <f t="shared" si="2"/>
        <v>31</v>
      </c>
    </row>
    <row r="142" spans="1:11" x14ac:dyDescent="0.25">
      <c r="A142" s="13">
        <v>35284</v>
      </c>
      <c r="B142" s="14">
        <v>126</v>
      </c>
      <c r="C142" s="14">
        <v>2</v>
      </c>
      <c r="D142" s="14"/>
      <c r="E142" s="14">
        <v>3250</v>
      </c>
      <c r="F142" s="14"/>
      <c r="G142" s="14">
        <v>1093</v>
      </c>
      <c r="H142" s="31">
        <f t="shared" si="3"/>
        <v>128</v>
      </c>
      <c r="I142" s="31"/>
      <c r="J142" s="31"/>
      <c r="K142" s="12">
        <f t="shared" si="2"/>
        <v>32</v>
      </c>
    </row>
    <row r="143" spans="1:11" x14ac:dyDescent="0.25">
      <c r="A143" s="13">
        <v>35291</v>
      </c>
      <c r="B143" s="14">
        <v>53</v>
      </c>
      <c r="C143" s="14">
        <v>11</v>
      </c>
      <c r="D143" s="14"/>
      <c r="E143" s="14">
        <v>3002</v>
      </c>
      <c r="F143" s="14"/>
      <c r="G143" s="14">
        <v>1368</v>
      </c>
      <c r="H143" s="31">
        <f t="shared" si="3"/>
        <v>64</v>
      </c>
      <c r="I143" s="31"/>
      <c r="J143" s="31"/>
      <c r="K143" s="12">
        <f t="shared" si="2"/>
        <v>33</v>
      </c>
    </row>
    <row r="144" spans="1:11" x14ac:dyDescent="0.25">
      <c r="A144" s="13">
        <v>35298</v>
      </c>
      <c r="B144" s="14">
        <v>4</v>
      </c>
      <c r="C144" s="14">
        <v>13</v>
      </c>
      <c r="D144" s="14"/>
      <c r="E144" s="14">
        <v>2412</v>
      </c>
      <c r="F144" s="14"/>
      <c r="G144" s="14">
        <v>1663</v>
      </c>
      <c r="H144" s="31">
        <f t="shared" si="3"/>
        <v>17</v>
      </c>
      <c r="I144" s="31"/>
      <c r="J144" s="31"/>
      <c r="K144" s="12">
        <f t="shared" si="2"/>
        <v>34</v>
      </c>
    </row>
    <row r="145" spans="1:11" x14ac:dyDescent="0.25">
      <c r="A145" s="13">
        <v>35305</v>
      </c>
      <c r="B145" s="14">
        <v>0</v>
      </c>
      <c r="C145" s="14">
        <v>2</v>
      </c>
      <c r="D145" s="14"/>
      <c r="E145" s="14">
        <v>1792</v>
      </c>
      <c r="F145" s="14"/>
      <c r="G145" s="14">
        <v>1710</v>
      </c>
      <c r="H145" s="31">
        <f t="shared" si="3"/>
        <v>2</v>
      </c>
      <c r="I145" s="31"/>
      <c r="J145" s="31"/>
      <c r="K145" s="12">
        <f t="shared" si="2"/>
        <v>35</v>
      </c>
    </row>
    <row r="146" spans="1:11" x14ac:dyDescent="0.25">
      <c r="A146" s="13">
        <v>35312</v>
      </c>
      <c r="B146" s="14">
        <v>9</v>
      </c>
      <c r="C146" s="14">
        <v>1</v>
      </c>
      <c r="D146" s="14"/>
      <c r="E146" s="14">
        <v>1689</v>
      </c>
      <c r="F146" s="14"/>
      <c r="G146" s="14">
        <v>1242</v>
      </c>
      <c r="H146" s="31">
        <f t="shared" si="3"/>
        <v>10</v>
      </c>
      <c r="I146" s="31"/>
      <c r="J146" s="31"/>
      <c r="K146" s="12">
        <f t="shared" si="2"/>
        <v>36</v>
      </c>
    </row>
    <row r="147" spans="1:11" x14ac:dyDescent="0.25">
      <c r="A147" s="13">
        <v>35319</v>
      </c>
      <c r="B147" s="14">
        <v>0</v>
      </c>
      <c r="C147" s="14">
        <v>0</v>
      </c>
      <c r="D147" s="14"/>
      <c r="E147" s="14">
        <v>2427</v>
      </c>
      <c r="F147" s="14"/>
      <c r="G147" s="14">
        <v>1629</v>
      </c>
      <c r="H147" s="31">
        <f t="shared" si="3"/>
        <v>0</v>
      </c>
      <c r="I147" s="31"/>
      <c r="J147" s="31"/>
      <c r="K147" s="12">
        <f t="shared" si="2"/>
        <v>37</v>
      </c>
    </row>
    <row r="148" spans="1:11" x14ac:dyDescent="0.25">
      <c r="A148" s="13">
        <v>35326</v>
      </c>
      <c r="B148" s="14">
        <v>1</v>
      </c>
      <c r="C148" s="14">
        <v>0</v>
      </c>
      <c r="D148" s="14"/>
      <c r="E148" s="14">
        <v>1456</v>
      </c>
      <c r="F148" s="14"/>
      <c r="G148" s="14">
        <v>1890</v>
      </c>
      <c r="H148" s="31">
        <f t="shared" si="3"/>
        <v>1</v>
      </c>
      <c r="I148" s="31"/>
      <c r="J148" s="31"/>
      <c r="K148" s="12">
        <f t="shared" si="2"/>
        <v>38</v>
      </c>
    </row>
    <row r="149" spans="1:11" x14ac:dyDescent="0.25">
      <c r="A149" s="13">
        <v>35333</v>
      </c>
      <c r="B149" s="14">
        <v>4</v>
      </c>
      <c r="C149" s="14">
        <v>0</v>
      </c>
      <c r="D149" s="14"/>
      <c r="E149" s="14">
        <v>1488</v>
      </c>
      <c r="F149" s="14"/>
      <c r="G149" s="14">
        <v>1712</v>
      </c>
      <c r="H149" s="31">
        <f t="shared" si="3"/>
        <v>4</v>
      </c>
      <c r="I149" s="31"/>
      <c r="J149" s="31"/>
      <c r="K149" s="12">
        <f t="shared" si="2"/>
        <v>39</v>
      </c>
    </row>
    <row r="150" spans="1:11" x14ac:dyDescent="0.25">
      <c r="A150" s="13">
        <v>35340</v>
      </c>
      <c r="B150" s="14">
        <v>0</v>
      </c>
      <c r="C150" s="14">
        <v>0</v>
      </c>
      <c r="D150" s="14"/>
      <c r="E150" s="14">
        <v>1215</v>
      </c>
      <c r="F150" s="14"/>
      <c r="G150" s="14">
        <v>1373</v>
      </c>
      <c r="H150" s="31">
        <f t="shared" si="3"/>
        <v>0</v>
      </c>
      <c r="I150" s="31"/>
      <c r="J150" s="31"/>
      <c r="K150" s="12">
        <f t="shared" si="2"/>
        <v>40</v>
      </c>
    </row>
    <row r="151" spans="1:11" x14ac:dyDescent="0.25">
      <c r="A151" s="13">
        <v>35347</v>
      </c>
      <c r="B151" s="14">
        <v>0</v>
      </c>
      <c r="C151" s="14">
        <v>1</v>
      </c>
      <c r="D151" s="14"/>
      <c r="E151" s="14">
        <v>508</v>
      </c>
      <c r="F151" s="14"/>
      <c r="G151" s="14">
        <v>1979</v>
      </c>
      <c r="H151" s="31">
        <f t="shared" si="3"/>
        <v>1</v>
      </c>
      <c r="I151" s="31"/>
      <c r="J151" s="31"/>
      <c r="K151" s="12">
        <f t="shared" si="2"/>
        <v>41</v>
      </c>
    </row>
    <row r="152" spans="1:11" x14ac:dyDescent="0.25">
      <c r="A152" s="13">
        <v>35354</v>
      </c>
      <c r="B152" s="14">
        <v>0</v>
      </c>
      <c r="C152" s="14">
        <v>148</v>
      </c>
      <c r="D152" s="14"/>
      <c r="E152" s="14">
        <v>1387</v>
      </c>
      <c r="F152" s="14"/>
      <c r="G152" s="14">
        <v>3031</v>
      </c>
      <c r="H152" s="31">
        <f t="shared" si="3"/>
        <v>148</v>
      </c>
      <c r="I152" s="31"/>
      <c r="J152" s="31"/>
      <c r="K152" s="12">
        <f t="shared" si="2"/>
        <v>42</v>
      </c>
    </row>
    <row r="153" spans="1:11" x14ac:dyDescent="0.25">
      <c r="A153" s="13">
        <v>35361</v>
      </c>
      <c r="B153" s="14">
        <v>0</v>
      </c>
      <c r="C153" s="14">
        <v>365</v>
      </c>
      <c r="D153" s="14"/>
      <c r="E153" s="14">
        <v>1760</v>
      </c>
      <c r="F153" s="14"/>
      <c r="G153" s="14">
        <v>4383</v>
      </c>
      <c r="H153" s="31">
        <f t="shared" si="3"/>
        <v>365</v>
      </c>
      <c r="I153" s="31"/>
      <c r="J153" s="31"/>
      <c r="K153" s="12">
        <f t="shared" si="2"/>
        <v>43</v>
      </c>
    </row>
    <row r="154" spans="1:11" x14ac:dyDescent="0.25">
      <c r="A154" s="13">
        <v>35368</v>
      </c>
      <c r="B154" s="14">
        <v>7</v>
      </c>
      <c r="C154" s="14">
        <v>182</v>
      </c>
      <c r="D154" s="14"/>
      <c r="E154" s="14">
        <v>2298</v>
      </c>
      <c r="F154" s="14"/>
      <c r="G154" s="14">
        <v>4378</v>
      </c>
      <c r="H154" s="31">
        <f t="shared" si="3"/>
        <v>189</v>
      </c>
      <c r="I154" s="31"/>
      <c r="J154" s="31"/>
      <c r="K154" s="12">
        <f t="shared" si="2"/>
        <v>44</v>
      </c>
    </row>
    <row r="155" spans="1:11" x14ac:dyDescent="0.25">
      <c r="A155" s="13">
        <v>35375</v>
      </c>
      <c r="B155" s="14">
        <v>24</v>
      </c>
      <c r="C155" s="14">
        <v>352</v>
      </c>
      <c r="D155" s="14"/>
      <c r="E155" s="14">
        <v>2937</v>
      </c>
      <c r="F155" s="14"/>
      <c r="G155" s="14">
        <v>3828</v>
      </c>
      <c r="H155" s="31">
        <f t="shared" si="3"/>
        <v>376</v>
      </c>
      <c r="I155" s="31"/>
      <c r="J155" s="31"/>
      <c r="K155" s="12">
        <f t="shared" si="2"/>
        <v>45</v>
      </c>
    </row>
    <row r="156" spans="1:11" x14ac:dyDescent="0.25">
      <c r="A156" s="13">
        <v>35382</v>
      </c>
      <c r="B156" s="14">
        <v>46</v>
      </c>
      <c r="C156" s="14">
        <v>317</v>
      </c>
      <c r="D156" s="14"/>
      <c r="E156" s="14">
        <v>3282</v>
      </c>
      <c r="F156" s="14"/>
      <c r="G156" s="14">
        <v>6246</v>
      </c>
      <c r="H156" s="31">
        <f t="shared" si="3"/>
        <v>363</v>
      </c>
      <c r="I156" s="31"/>
      <c r="J156" s="31"/>
      <c r="K156" s="12">
        <f t="shared" si="2"/>
        <v>46</v>
      </c>
    </row>
    <row r="157" spans="1:11" x14ac:dyDescent="0.25">
      <c r="A157" s="13">
        <v>35389</v>
      </c>
      <c r="B157" s="14">
        <v>63</v>
      </c>
      <c r="C157" s="14">
        <v>219</v>
      </c>
      <c r="D157" s="14"/>
      <c r="E157" s="14">
        <v>3185</v>
      </c>
      <c r="F157" s="14"/>
      <c r="G157" s="14">
        <v>5914</v>
      </c>
      <c r="H157" s="31">
        <f t="shared" si="3"/>
        <v>282</v>
      </c>
      <c r="I157" s="31"/>
      <c r="J157" s="31"/>
      <c r="K157" s="12">
        <f t="shared" si="2"/>
        <v>47</v>
      </c>
    </row>
    <row r="158" spans="1:11" x14ac:dyDescent="0.25">
      <c r="A158" s="13">
        <v>35396</v>
      </c>
      <c r="B158" s="14">
        <v>54</v>
      </c>
      <c r="C158" s="14">
        <v>306</v>
      </c>
      <c r="D158" s="14"/>
      <c r="E158" s="14">
        <v>2579</v>
      </c>
      <c r="F158" s="14"/>
      <c r="G158" s="14">
        <v>4596</v>
      </c>
      <c r="H158" s="31">
        <f t="shared" si="3"/>
        <v>360</v>
      </c>
      <c r="I158" s="31"/>
      <c r="J158" s="31"/>
      <c r="K158" s="12">
        <f t="shared" si="2"/>
        <v>48</v>
      </c>
    </row>
    <row r="159" spans="1:11" x14ac:dyDescent="0.25">
      <c r="A159" s="13">
        <v>35403</v>
      </c>
      <c r="B159" s="14">
        <v>44</v>
      </c>
      <c r="C159" s="14">
        <v>83</v>
      </c>
      <c r="D159" s="14"/>
      <c r="E159" s="14">
        <v>1905</v>
      </c>
      <c r="F159" s="14"/>
      <c r="G159" s="14">
        <v>3950</v>
      </c>
      <c r="H159" s="31">
        <f t="shared" si="3"/>
        <v>127</v>
      </c>
      <c r="I159" s="31"/>
      <c r="J159" s="31"/>
      <c r="K159" s="12">
        <f t="shared" si="2"/>
        <v>49</v>
      </c>
    </row>
    <row r="160" spans="1:11" x14ac:dyDescent="0.25">
      <c r="A160" s="13">
        <v>35410</v>
      </c>
      <c r="B160" s="14">
        <v>28</v>
      </c>
      <c r="C160" s="14">
        <v>34</v>
      </c>
      <c r="D160" s="14"/>
      <c r="E160" s="14">
        <v>2076</v>
      </c>
      <c r="F160" s="14"/>
      <c r="G160" s="14">
        <v>4855</v>
      </c>
      <c r="H160" s="31">
        <f t="shared" si="3"/>
        <v>62</v>
      </c>
      <c r="I160" s="31"/>
      <c r="J160" s="31"/>
      <c r="K160" s="12">
        <f t="shared" si="2"/>
        <v>50</v>
      </c>
    </row>
    <row r="161" spans="1:11" x14ac:dyDescent="0.25">
      <c r="A161" s="13">
        <v>35417</v>
      </c>
      <c r="B161" s="14">
        <v>8</v>
      </c>
      <c r="C161" s="14">
        <v>15</v>
      </c>
      <c r="D161" s="14"/>
      <c r="E161" s="14">
        <v>1677</v>
      </c>
      <c r="F161" s="14"/>
      <c r="G161" s="14">
        <v>5620</v>
      </c>
      <c r="H161" s="31">
        <f t="shared" si="3"/>
        <v>23</v>
      </c>
      <c r="I161" s="31"/>
      <c r="J161" s="31"/>
      <c r="K161" s="12">
        <f t="shared" si="2"/>
        <v>51</v>
      </c>
    </row>
    <row r="162" spans="1:11" x14ac:dyDescent="0.25">
      <c r="A162" s="13">
        <v>35424</v>
      </c>
      <c r="B162" s="14">
        <v>49</v>
      </c>
      <c r="C162" s="14">
        <v>333</v>
      </c>
      <c r="D162" s="14"/>
      <c r="E162" s="14">
        <v>1657</v>
      </c>
      <c r="F162" s="14"/>
      <c r="G162" s="14">
        <v>4006</v>
      </c>
      <c r="H162" s="31">
        <f t="shared" si="3"/>
        <v>382</v>
      </c>
      <c r="I162" s="31"/>
      <c r="J162" s="31"/>
      <c r="K162" s="12">
        <f t="shared" si="2"/>
        <v>52</v>
      </c>
    </row>
    <row r="163" spans="1:11" x14ac:dyDescent="0.25">
      <c r="A163" s="13">
        <v>35431</v>
      </c>
      <c r="B163" s="14">
        <v>1</v>
      </c>
      <c r="C163" s="14">
        <v>213</v>
      </c>
      <c r="D163" s="14"/>
      <c r="E163" s="14">
        <v>1407</v>
      </c>
      <c r="F163" s="14"/>
      <c r="G163" s="14">
        <v>1812</v>
      </c>
      <c r="H163" s="31">
        <f t="shared" si="3"/>
        <v>214</v>
      </c>
      <c r="I163" s="31"/>
      <c r="J163" s="31"/>
      <c r="K163" s="12">
        <v>1</v>
      </c>
    </row>
    <row r="164" spans="1:11" x14ac:dyDescent="0.25">
      <c r="A164" s="13">
        <v>35438</v>
      </c>
      <c r="B164" s="14">
        <v>25</v>
      </c>
      <c r="C164" s="14">
        <v>180</v>
      </c>
      <c r="D164" s="14"/>
      <c r="E164" s="14">
        <v>1223</v>
      </c>
      <c r="F164" s="14"/>
      <c r="G164" s="14">
        <v>4558</v>
      </c>
      <c r="H164" s="31">
        <f t="shared" si="3"/>
        <v>205</v>
      </c>
      <c r="I164" s="31"/>
      <c r="J164" s="31"/>
      <c r="K164" s="12">
        <f>K163+1</f>
        <v>2</v>
      </c>
    </row>
    <row r="165" spans="1:11" x14ac:dyDescent="0.25">
      <c r="A165" s="13">
        <v>35445</v>
      </c>
      <c r="B165" s="14">
        <v>15</v>
      </c>
      <c r="C165" s="14">
        <v>326</v>
      </c>
      <c r="D165" s="14"/>
      <c r="E165" s="14">
        <v>2016</v>
      </c>
      <c r="F165" s="14"/>
      <c r="G165" s="14">
        <v>4686</v>
      </c>
      <c r="H165" s="31">
        <f t="shared" si="3"/>
        <v>341</v>
      </c>
      <c r="I165" s="31"/>
      <c r="J165" s="31"/>
      <c r="K165" s="12">
        <f t="shared" ref="K165:K215" si="4">K164+1</f>
        <v>3</v>
      </c>
    </row>
    <row r="166" spans="1:11" x14ac:dyDescent="0.25">
      <c r="A166" s="13">
        <v>35452</v>
      </c>
      <c r="B166" s="14">
        <v>26</v>
      </c>
      <c r="C166" s="14">
        <v>73</v>
      </c>
      <c r="D166" s="14"/>
      <c r="E166" s="14">
        <v>1604</v>
      </c>
      <c r="F166" s="14"/>
      <c r="G166" s="14">
        <v>3957</v>
      </c>
      <c r="H166" s="31">
        <f t="shared" si="3"/>
        <v>99</v>
      </c>
      <c r="I166" s="31"/>
      <c r="J166" s="31"/>
      <c r="K166" s="12">
        <f t="shared" si="4"/>
        <v>4</v>
      </c>
    </row>
    <row r="167" spans="1:11" x14ac:dyDescent="0.25">
      <c r="A167" s="13">
        <v>35459</v>
      </c>
      <c r="B167" s="14">
        <v>26</v>
      </c>
      <c r="C167" s="14">
        <v>365</v>
      </c>
      <c r="D167" s="14"/>
      <c r="E167" s="14">
        <v>2434</v>
      </c>
      <c r="F167" s="14"/>
      <c r="G167" s="14">
        <v>4732</v>
      </c>
      <c r="H167" s="31">
        <f t="shared" si="3"/>
        <v>391</v>
      </c>
      <c r="I167" s="31"/>
      <c r="J167" s="31"/>
      <c r="K167" s="12">
        <f t="shared" si="4"/>
        <v>5</v>
      </c>
    </row>
    <row r="168" spans="1:11" x14ac:dyDescent="0.25">
      <c r="A168" s="13">
        <v>35466</v>
      </c>
      <c r="B168" s="14">
        <v>132</v>
      </c>
      <c r="C168" s="14">
        <v>56</v>
      </c>
      <c r="D168" s="14"/>
      <c r="E168" s="14">
        <v>2373</v>
      </c>
      <c r="F168" s="14"/>
      <c r="G168" s="14">
        <v>4148</v>
      </c>
      <c r="H168" s="31">
        <f t="shared" si="3"/>
        <v>188</v>
      </c>
      <c r="I168" s="31"/>
      <c r="J168" s="31"/>
      <c r="K168" s="12">
        <f t="shared" si="4"/>
        <v>6</v>
      </c>
    </row>
    <row r="169" spans="1:11" x14ac:dyDescent="0.25">
      <c r="A169" s="13">
        <v>35473</v>
      </c>
      <c r="B169" s="14">
        <v>50</v>
      </c>
      <c r="C169" s="14">
        <v>117</v>
      </c>
      <c r="D169" s="14"/>
      <c r="E169" s="14">
        <v>2307</v>
      </c>
      <c r="F169" s="14"/>
      <c r="G169" s="14">
        <v>4874</v>
      </c>
      <c r="H169" s="31">
        <f t="shared" si="3"/>
        <v>167</v>
      </c>
      <c r="I169" s="31"/>
      <c r="J169" s="31"/>
      <c r="K169" s="12">
        <f t="shared" si="4"/>
        <v>7</v>
      </c>
    </row>
    <row r="170" spans="1:11" x14ac:dyDescent="0.25">
      <c r="A170" s="13">
        <v>35480</v>
      </c>
      <c r="B170" s="14">
        <v>0</v>
      </c>
      <c r="C170" s="14">
        <v>166</v>
      </c>
      <c r="D170" s="14"/>
      <c r="E170" s="14">
        <v>1772</v>
      </c>
      <c r="F170" s="14"/>
      <c r="G170" s="14">
        <v>5226</v>
      </c>
      <c r="H170" s="31">
        <f t="shared" si="3"/>
        <v>166</v>
      </c>
      <c r="I170" s="31"/>
      <c r="J170" s="31"/>
      <c r="K170" s="12">
        <f t="shared" si="4"/>
        <v>8</v>
      </c>
    </row>
    <row r="171" spans="1:11" x14ac:dyDescent="0.25">
      <c r="A171" s="13">
        <v>35487</v>
      </c>
      <c r="B171" s="14">
        <v>54</v>
      </c>
      <c r="C171" s="14">
        <v>79</v>
      </c>
      <c r="D171" s="14"/>
      <c r="E171" s="14">
        <v>1782</v>
      </c>
      <c r="F171" s="14"/>
      <c r="G171" s="14">
        <v>5802</v>
      </c>
      <c r="H171" s="31">
        <f t="shared" si="3"/>
        <v>133</v>
      </c>
      <c r="I171" s="31"/>
      <c r="J171" s="31"/>
      <c r="K171" s="12">
        <f t="shared" si="4"/>
        <v>9</v>
      </c>
    </row>
    <row r="172" spans="1:11" x14ac:dyDescent="0.25">
      <c r="A172" s="13">
        <v>35494</v>
      </c>
      <c r="B172" s="14">
        <v>57</v>
      </c>
      <c r="C172" s="14">
        <v>206</v>
      </c>
      <c r="D172" s="14"/>
      <c r="E172" s="14">
        <v>1594</v>
      </c>
      <c r="F172" s="14"/>
      <c r="G172" s="14">
        <v>4730</v>
      </c>
      <c r="H172" s="31">
        <f t="shared" si="3"/>
        <v>263</v>
      </c>
      <c r="I172" s="31"/>
      <c r="J172" s="31"/>
      <c r="K172" s="12">
        <f t="shared" si="4"/>
        <v>10</v>
      </c>
    </row>
    <row r="173" spans="1:11" x14ac:dyDescent="0.25">
      <c r="A173" s="13">
        <v>35501</v>
      </c>
      <c r="B173" s="14">
        <v>112</v>
      </c>
      <c r="C173" s="14">
        <v>170</v>
      </c>
      <c r="D173" s="14"/>
      <c r="E173" s="14">
        <v>1916</v>
      </c>
      <c r="F173" s="14"/>
      <c r="G173" s="14">
        <v>5223</v>
      </c>
      <c r="H173" s="31">
        <f t="shared" si="3"/>
        <v>282</v>
      </c>
      <c r="I173" s="31"/>
      <c r="J173" s="31"/>
      <c r="K173" s="12">
        <f t="shared" si="4"/>
        <v>11</v>
      </c>
    </row>
    <row r="174" spans="1:11" x14ac:dyDescent="0.25">
      <c r="A174" s="13">
        <v>35508</v>
      </c>
      <c r="B174" s="14">
        <v>12</v>
      </c>
      <c r="C174" s="14">
        <v>0</v>
      </c>
      <c r="D174" s="14"/>
      <c r="E174" s="14">
        <v>2339</v>
      </c>
      <c r="F174" s="14"/>
      <c r="G174" s="14">
        <v>5582</v>
      </c>
      <c r="H174" s="31">
        <f t="shared" si="3"/>
        <v>12</v>
      </c>
      <c r="I174" s="31"/>
      <c r="J174" s="31"/>
      <c r="K174" s="12">
        <f t="shared" si="4"/>
        <v>12</v>
      </c>
    </row>
    <row r="175" spans="1:11" x14ac:dyDescent="0.25">
      <c r="A175" s="13">
        <v>35515</v>
      </c>
      <c r="B175" s="14">
        <v>69</v>
      </c>
      <c r="C175" s="14">
        <v>78</v>
      </c>
      <c r="D175" s="14"/>
      <c r="E175" s="14">
        <v>2720</v>
      </c>
      <c r="F175" s="14"/>
      <c r="G175" s="14">
        <v>5027</v>
      </c>
      <c r="H175" s="31">
        <f t="shared" si="3"/>
        <v>147</v>
      </c>
      <c r="I175" s="31"/>
      <c r="J175" s="31"/>
      <c r="K175" s="12">
        <f t="shared" si="4"/>
        <v>13</v>
      </c>
    </row>
    <row r="176" spans="1:11" x14ac:dyDescent="0.25">
      <c r="A176" s="13">
        <v>35522</v>
      </c>
      <c r="B176" s="14">
        <v>11</v>
      </c>
      <c r="C176" s="14">
        <v>11</v>
      </c>
      <c r="D176" s="14"/>
      <c r="E176" s="14">
        <v>1896</v>
      </c>
      <c r="F176" s="14"/>
      <c r="G176" s="14">
        <v>5840</v>
      </c>
      <c r="H176" s="31">
        <f t="shared" si="3"/>
        <v>22</v>
      </c>
      <c r="I176" s="31"/>
      <c r="J176" s="31"/>
      <c r="K176" s="12">
        <f t="shared" si="4"/>
        <v>14</v>
      </c>
    </row>
    <row r="177" spans="1:11" x14ac:dyDescent="0.25">
      <c r="A177" s="13">
        <v>35529</v>
      </c>
      <c r="B177" s="14">
        <v>5</v>
      </c>
      <c r="C177" s="14">
        <v>63</v>
      </c>
      <c r="D177" s="14"/>
      <c r="E177" s="14">
        <v>1273</v>
      </c>
      <c r="F177" s="14"/>
      <c r="G177" s="14">
        <v>5491</v>
      </c>
      <c r="H177" s="31">
        <f t="shared" si="3"/>
        <v>68</v>
      </c>
      <c r="I177" s="31"/>
      <c r="J177" s="31"/>
      <c r="K177" s="12">
        <f t="shared" si="4"/>
        <v>15</v>
      </c>
    </row>
    <row r="178" spans="1:11" x14ac:dyDescent="0.25">
      <c r="A178" s="13">
        <v>35536</v>
      </c>
      <c r="B178" s="14">
        <v>8</v>
      </c>
      <c r="C178" s="14">
        <v>6</v>
      </c>
      <c r="D178" s="14"/>
      <c r="E178" s="14">
        <v>1679</v>
      </c>
      <c r="F178" s="14"/>
      <c r="G178" s="14">
        <v>4388</v>
      </c>
      <c r="H178" s="31">
        <f t="shared" si="3"/>
        <v>14</v>
      </c>
      <c r="I178" s="31"/>
      <c r="J178" s="31"/>
      <c r="K178" s="12">
        <f t="shared" si="4"/>
        <v>16</v>
      </c>
    </row>
    <row r="179" spans="1:11" x14ac:dyDescent="0.25">
      <c r="A179" s="13">
        <v>35543</v>
      </c>
      <c r="B179" s="14">
        <v>0</v>
      </c>
      <c r="C179" s="14">
        <v>26</v>
      </c>
      <c r="D179" s="14"/>
      <c r="E179" s="14">
        <v>1123</v>
      </c>
      <c r="F179" s="14"/>
      <c r="G179" s="14">
        <v>4380</v>
      </c>
      <c r="H179" s="31">
        <f t="shared" si="3"/>
        <v>26</v>
      </c>
      <c r="I179" s="31"/>
      <c r="J179" s="31"/>
      <c r="K179" s="12">
        <f t="shared" si="4"/>
        <v>17</v>
      </c>
    </row>
    <row r="180" spans="1:11" x14ac:dyDescent="0.25">
      <c r="A180" s="13">
        <v>35550</v>
      </c>
      <c r="B180" s="14">
        <v>25</v>
      </c>
      <c r="C180" s="14">
        <v>190</v>
      </c>
      <c r="D180" s="14"/>
      <c r="E180" s="14">
        <v>1020</v>
      </c>
      <c r="F180" s="14"/>
      <c r="G180" s="14">
        <v>2912</v>
      </c>
      <c r="H180" s="31">
        <f t="shared" si="3"/>
        <v>215</v>
      </c>
      <c r="I180" s="31"/>
      <c r="J180" s="31"/>
      <c r="K180" s="12">
        <f t="shared" si="4"/>
        <v>18</v>
      </c>
    </row>
    <row r="181" spans="1:11" x14ac:dyDescent="0.25">
      <c r="A181" s="13">
        <v>35557</v>
      </c>
      <c r="B181" s="14">
        <v>1</v>
      </c>
      <c r="C181" s="14">
        <v>108</v>
      </c>
      <c r="D181" s="14"/>
      <c r="E181" s="14">
        <v>534</v>
      </c>
      <c r="F181" s="14"/>
      <c r="G181" s="14">
        <v>2685</v>
      </c>
      <c r="H181" s="31">
        <f t="shared" si="3"/>
        <v>109</v>
      </c>
      <c r="I181" s="31"/>
      <c r="J181" s="31"/>
      <c r="K181" s="12">
        <f t="shared" si="4"/>
        <v>19</v>
      </c>
    </row>
    <row r="182" spans="1:11" x14ac:dyDescent="0.25">
      <c r="A182" s="13">
        <v>35564</v>
      </c>
      <c r="B182" s="14">
        <v>11</v>
      </c>
      <c r="C182" s="14">
        <v>27</v>
      </c>
      <c r="D182" s="14"/>
      <c r="E182" s="14">
        <v>425</v>
      </c>
      <c r="F182" s="14"/>
      <c r="G182" s="14">
        <v>2955</v>
      </c>
      <c r="H182" s="31">
        <f t="shared" si="3"/>
        <v>38</v>
      </c>
      <c r="I182" s="31"/>
      <c r="J182" s="31"/>
      <c r="K182" s="12">
        <f t="shared" si="4"/>
        <v>20</v>
      </c>
    </row>
    <row r="183" spans="1:11" x14ac:dyDescent="0.25">
      <c r="A183" s="13">
        <v>35571</v>
      </c>
      <c r="B183" s="14">
        <v>0</v>
      </c>
      <c r="C183" s="14">
        <v>46</v>
      </c>
      <c r="D183" s="14"/>
      <c r="E183" s="14">
        <v>453</v>
      </c>
      <c r="F183" s="14"/>
      <c r="G183" s="14">
        <v>2089</v>
      </c>
      <c r="H183" s="31">
        <f t="shared" si="3"/>
        <v>46</v>
      </c>
      <c r="I183" s="31"/>
      <c r="J183" s="31"/>
      <c r="K183" s="12">
        <f t="shared" si="4"/>
        <v>21</v>
      </c>
    </row>
    <row r="184" spans="1:11" x14ac:dyDescent="0.25">
      <c r="A184" s="13">
        <v>35578</v>
      </c>
      <c r="B184" s="14">
        <v>0</v>
      </c>
      <c r="C184" s="14">
        <v>107</v>
      </c>
      <c r="D184" s="14"/>
      <c r="E184" s="14">
        <v>138</v>
      </c>
      <c r="F184" s="14"/>
      <c r="G184" s="14">
        <v>2522</v>
      </c>
      <c r="H184" s="31">
        <f t="shared" si="3"/>
        <v>107</v>
      </c>
      <c r="I184" s="31"/>
      <c r="J184" s="31"/>
      <c r="K184" s="12">
        <f t="shared" si="4"/>
        <v>22</v>
      </c>
    </row>
    <row r="185" spans="1:11" x14ac:dyDescent="0.25">
      <c r="A185" s="13">
        <v>35585</v>
      </c>
      <c r="B185" s="14">
        <v>0</v>
      </c>
      <c r="C185" s="14">
        <v>0</v>
      </c>
      <c r="D185" s="14"/>
      <c r="E185" s="14">
        <v>303</v>
      </c>
      <c r="F185" s="14"/>
      <c r="G185" s="14">
        <v>2025</v>
      </c>
      <c r="H185" s="31">
        <f t="shared" si="3"/>
        <v>0</v>
      </c>
      <c r="I185" s="31"/>
      <c r="J185" s="31"/>
      <c r="K185" s="12">
        <f t="shared" si="4"/>
        <v>23</v>
      </c>
    </row>
    <row r="186" spans="1:11" x14ac:dyDescent="0.25">
      <c r="A186" s="13">
        <v>35592</v>
      </c>
      <c r="B186" s="14">
        <v>0</v>
      </c>
      <c r="C186" s="14">
        <v>3</v>
      </c>
      <c r="D186" s="14"/>
      <c r="E186" s="14">
        <v>1216</v>
      </c>
      <c r="F186" s="14"/>
      <c r="G186" s="14">
        <v>3068</v>
      </c>
      <c r="H186" s="31">
        <f t="shared" si="3"/>
        <v>3</v>
      </c>
      <c r="I186" s="31"/>
      <c r="J186" s="31"/>
      <c r="K186" s="12">
        <f t="shared" si="4"/>
        <v>24</v>
      </c>
    </row>
    <row r="187" spans="1:11" x14ac:dyDescent="0.25">
      <c r="A187" s="13">
        <v>35599</v>
      </c>
      <c r="B187" s="14">
        <v>16</v>
      </c>
      <c r="C187" s="14">
        <v>8</v>
      </c>
      <c r="D187" s="14"/>
      <c r="E187" s="14">
        <v>1268</v>
      </c>
      <c r="F187" s="14"/>
      <c r="G187" s="14">
        <v>2500</v>
      </c>
      <c r="H187" s="31">
        <f t="shared" si="3"/>
        <v>24</v>
      </c>
      <c r="I187" s="31"/>
      <c r="J187" s="31"/>
      <c r="K187" s="12">
        <f t="shared" si="4"/>
        <v>25</v>
      </c>
    </row>
    <row r="188" spans="1:11" x14ac:dyDescent="0.25">
      <c r="A188" s="13">
        <v>35606</v>
      </c>
      <c r="B188" s="14">
        <v>30</v>
      </c>
      <c r="C188" s="14">
        <v>40</v>
      </c>
      <c r="D188" s="14"/>
      <c r="E188" s="14">
        <v>1096</v>
      </c>
      <c r="F188" s="14"/>
      <c r="G188" s="14">
        <v>2830</v>
      </c>
      <c r="H188" s="31">
        <f t="shared" si="3"/>
        <v>70</v>
      </c>
      <c r="I188" s="31"/>
      <c r="J188" s="31"/>
      <c r="K188" s="12">
        <f t="shared" si="4"/>
        <v>26</v>
      </c>
    </row>
    <row r="189" spans="1:11" x14ac:dyDescent="0.25">
      <c r="A189" s="13">
        <v>35613</v>
      </c>
      <c r="B189" s="14">
        <v>74</v>
      </c>
      <c r="C189" s="14">
        <v>94</v>
      </c>
      <c r="D189" s="14"/>
      <c r="E189" s="14">
        <v>1519</v>
      </c>
      <c r="F189" s="14"/>
      <c r="G189" s="14">
        <v>2345</v>
      </c>
      <c r="H189" s="31">
        <f t="shared" si="3"/>
        <v>168</v>
      </c>
      <c r="I189" s="31"/>
      <c r="J189" s="31"/>
      <c r="K189" s="12">
        <f t="shared" si="4"/>
        <v>27</v>
      </c>
    </row>
    <row r="190" spans="1:11" x14ac:dyDescent="0.25">
      <c r="A190" s="13">
        <v>35620</v>
      </c>
      <c r="B190" s="14">
        <v>143</v>
      </c>
      <c r="C190" s="14">
        <v>83</v>
      </c>
      <c r="D190" s="14"/>
      <c r="E190" s="14">
        <v>2078</v>
      </c>
      <c r="F190" s="14"/>
      <c r="G190" s="14">
        <v>1691</v>
      </c>
      <c r="H190" s="31">
        <f t="shared" si="3"/>
        <v>226</v>
      </c>
      <c r="I190" s="31"/>
      <c r="J190" s="31"/>
      <c r="K190" s="12">
        <f t="shared" si="4"/>
        <v>28</v>
      </c>
    </row>
    <row r="191" spans="1:11" x14ac:dyDescent="0.25">
      <c r="A191" s="13">
        <v>35627</v>
      </c>
      <c r="B191" s="14">
        <v>85</v>
      </c>
      <c r="C191" s="14">
        <v>8</v>
      </c>
      <c r="D191" s="14"/>
      <c r="E191" s="14">
        <v>2455</v>
      </c>
      <c r="F191" s="14"/>
      <c r="G191" s="14">
        <v>1740</v>
      </c>
      <c r="H191" s="31">
        <f t="shared" si="3"/>
        <v>93</v>
      </c>
      <c r="I191" s="31"/>
      <c r="J191" s="31"/>
      <c r="K191" s="12">
        <f t="shared" si="4"/>
        <v>29</v>
      </c>
    </row>
    <row r="192" spans="1:11" x14ac:dyDescent="0.25">
      <c r="A192" s="13">
        <v>35634</v>
      </c>
      <c r="B192" s="14">
        <v>78</v>
      </c>
      <c r="C192" s="14">
        <v>103</v>
      </c>
      <c r="D192" s="14"/>
      <c r="E192" s="14">
        <v>2620</v>
      </c>
      <c r="F192" s="14"/>
      <c r="G192" s="14">
        <v>1877</v>
      </c>
      <c r="H192" s="31">
        <f t="shared" si="3"/>
        <v>181</v>
      </c>
      <c r="I192" s="31"/>
      <c r="J192" s="31"/>
      <c r="K192" s="12">
        <f t="shared" si="4"/>
        <v>30</v>
      </c>
    </row>
    <row r="193" spans="1:11" x14ac:dyDescent="0.25">
      <c r="A193" s="13">
        <v>35641</v>
      </c>
      <c r="B193" s="14">
        <v>7</v>
      </c>
      <c r="C193" s="14">
        <v>41</v>
      </c>
      <c r="D193" s="14"/>
      <c r="E193" s="14">
        <v>2518</v>
      </c>
      <c r="F193" s="14"/>
      <c r="G193" s="14">
        <v>2405</v>
      </c>
      <c r="H193" s="31">
        <f t="shared" si="3"/>
        <v>48</v>
      </c>
      <c r="I193" s="31"/>
      <c r="J193" s="31"/>
      <c r="K193" s="12">
        <f t="shared" si="4"/>
        <v>31</v>
      </c>
    </row>
    <row r="194" spans="1:11" x14ac:dyDescent="0.25">
      <c r="A194" s="13">
        <v>35648</v>
      </c>
      <c r="B194" s="14">
        <v>20</v>
      </c>
      <c r="C194" s="14">
        <v>91</v>
      </c>
      <c r="D194" s="14"/>
      <c r="E194" s="14">
        <v>2851</v>
      </c>
      <c r="F194" s="14"/>
      <c r="G194" s="14">
        <v>3113</v>
      </c>
      <c r="H194" s="31">
        <f t="shared" si="3"/>
        <v>111</v>
      </c>
      <c r="I194" s="31"/>
      <c r="J194" s="31"/>
      <c r="K194" s="12">
        <f t="shared" si="4"/>
        <v>32</v>
      </c>
    </row>
    <row r="195" spans="1:11" x14ac:dyDescent="0.25">
      <c r="A195" s="13">
        <v>35655</v>
      </c>
      <c r="B195" s="14">
        <v>49</v>
      </c>
      <c r="C195" s="14">
        <v>43</v>
      </c>
      <c r="D195" s="14"/>
      <c r="E195" s="14">
        <v>2079</v>
      </c>
      <c r="F195" s="14"/>
      <c r="G195" s="14">
        <v>3456</v>
      </c>
      <c r="H195" s="31">
        <f t="shared" si="3"/>
        <v>92</v>
      </c>
      <c r="I195" s="31"/>
      <c r="J195" s="31"/>
      <c r="K195" s="12">
        <f t="shared" si="4"/>
        <v>33</v>
      </c>
    </row>
    <row r="196" spans="1:11" x14ac:dyDescent="0.25">
      <c r="A196" s="13">
        <v>35662</v>
      </c>
      <c r="B196" s="14">
        <v>11</v>
      </c>
      <c r="C196" s="14">
        <v>105</v>
      </c>
      <c r="D196" s="14"/>
      <c r="E196" s="14">
        <v>3237</v>
      </c>
      <c r="F196" s="14"/>
      <c r="G196" s="14">
        <v>2502</v>
      </c>
      <c r="H196" s="31">
        <f t="shared" si="3"/>
        <v>116</v>
      </c>
      <c r="I196" s="31"/>
      <c r="J196" s="31"/>
      <c r="K196" s="12">
        <f t="shared" si="4"/>
        <v>34</v>
      </c>
    </row>
    <row r="197" spans="1:11" x14ac:dyDescent="0.25">
      <c r="A197" s="13">
        <v>35669</v>
      </c>
      <c r="B197" s="14">
        <v>2</v>
      </c>
      <c r="C197" s="14">
        <v>53</v>
      </c>
      <c r="D197" s="14"/>
      <c r="E197" s="14">
        <v>2432</v>
      </c>
      <c r="F197" s="14"/>
      <c r="G197" s="14">
        <v>2734</v>
      </c>
      <c r="H197" s="31">
        <f t="shared" si="3"/>
        <v>55</v>
      </c>
      <c r="I197" s="31"/>
      <c r="J197" s="31"/>
      <c r="K197" s="12">
        <f t="shared" si="4"/>
        <v>35</v>
      </c>
    </row>
    <row r="198" spans="1:11" x14ac:dyDescent="0.25">
      <c r="A198" s="13">
        <v>35676</v>
      </c>
      <c r="B198" s="14">
        <v>2</v>
      </c>
      <c r="C198" s="14">
        <v>34</v>
      </c>
      <c r="D198" s="14"/>
      <c r="E198" s="14">
        <v>1852</v>
      </c>
      <c r="F198" s="14"/>
      <c r="G198" s="14">
        <v>3662</v>
      </c>
      <c r="H198" s="31">
        <f t="shared" si="3"/>
        <v>36</v>
      </c>
      <c r="I198" s="31"/>
      <c r="J198" s="31"/>
      <c r="K198" s="12">
        <f t="shared" si="4"/>
        <v>36</v>
      </c>
    </row>
    <row r="199" spans="1:11" x14ac:dyDescent="0.25">
      <c r="A199" s="13">
        <v>35683</v>
      </c>
      <c r="B199" s="14">
        <v>26</v>
      </c>
      <c r="C199" s="14">
        <v>35</v>
      </c>
      <c r="D199" s="14"/>
      <c r="E199" s="14">
        <v>2454</v>
      </c>
      <c r="F199" s="14"/>
      <c r="G199" s="14">
        <v>3266</v>
      </c>
      <c r="H199" s="31">
        <f t="shared" si="3"/>
        <v>61</v>
      </c>
      <c r="I199" s="31"/>
      <c r="J199" s="31"/>
      <c r="K199" s="12">
        <f t="shared" si="4"/>
        <v>37</v>
      </c>
    </row>
    <row r="200" spans="1:11" x14ac:dyDescent="0.25">
      <c r="A200" s="13">
        <v>35690</v>
      </c>
      <c r="B200" s="14">
        <v>38</v>
      </c>
      <c r="C200" s="14">
        <v>31</v>
      </c>
      <c r="D200" s="14"/>
      <c r="E200" s="14">
        <v>2082</v>
      </c>
      <c r="F200" s="14"/>
      <c r="G200" s="14">
        <v>2527</v>
      </c>
      <c r="H200" s="31">
        <f t="shared" ref="H200:H263" si="5">B200+C200</f>
        <v>69</v>
      </c>
      <c r="I200" s="31"/>
      <c r="J200" s="31"/>
      <c r="K200" s="12">
        <f t="shared" si="4"/>
        <v>38</v>
      </c>
    </row>
    <row r="201" spans="1:11" x14ac:dyDescent="0.25">
      <c r="A201" s="13">
        <v>35697</v>
      </c>
      <c r="B201" s="14">
        <v>23</v>
      </c>
      <c r="C201" s="14">
        <v>24</v>
      </c>
      <c r="D201" s="14"/>
      <c r="E201" s="14">
        <v>2210</v>
      </c>
      <c r="F201" s="14"/>
      <c r="G201" s="14">
        <v>3247</v>
      </c>
      <c r="H201" s="31">
        <f t="shared" si="5"/>
        <v>47</v>
      </c>
      <c r="I201" s="31"/>
      <c r="J201" s="31"/>
      <c r="K201" s="12">
        <f t="shared" si="4"/>
        <v>39</v>
      </c>
    </row>
    <row r="202" spans="1:11" x14ac:dyDescent="0.25">
      <c r="A202" s="13">
        <v>35704</v>
      </c>
      <c r="B202" s="14">
        <v>29</v>
      </c>
      <c r="C202" s="14">
        <v>8</v>
      </c>
      <c r="D202" s="14"/>
      <c r="E202" s="14">
        <v>2664</v>
      </c>
      <c r="F202" s="14"/>
      <c r="G202" s="14">
        <v>3249</v>
      </c>
      <c r="H202" s="31">
        <f t="shared" si="5"/>
        <v>37</v>
      </c>
      <c r="I202" s="31"/>
      <c r="J202" s="31"/>
      <c r="K202" s="12">
        <f t="shared" si="4"/>
        <v>40</v>
      </c>
    </row>
    <row r="203" spans="1:11" x14ac:dyDescent="0.25">
      <c r="A203" s="13">
        <v>35711</v>
      </c>
      <c r="B203" s="14">
        <v>171</v>
      </c>
      <c r="C203" s="14">
        <v>63</v>
      </c>
      <c r="D203" s="14"/>
      <c r="E203" s="14">
        <v>1630</v>
      </c>
      <c r="F203" s="14"/>
      <c r="G203" s="14">
        <v>3866</v>
      </c>
      <c r="H203" s="31">
        <f t="shared" si="5"/>
        <v>234</v>
      </c>
      <c r="I203" s="31"/>
      <c r="J203" s="31"/>
      <c r="K203" s="12">
        <f t="shared" si="4"/>
        <v>41</v>
      </c>
    </row>
    <row r="204" spans="1:11" x14ac:dyDescent="0.25">
      <c r="A204" s="13">
        <v>35718</v>
      </c>
      <c r="B204" s="14">
        <v>136</v>
      </c>
      <c r="C204" s="14">
        <v>56</v>
      </c>
      <c r="D204" s="14"/>
      <c r="E204" s="14">
        <v>2072</v>
      </c>
      <c r="F204" s="14"/>
      <c r="G204" s="14">
        <v>3359</v>
      </c>
      <c r="H204" s="31">
        <f t="shared" si="5"/>
        <v>192</v>
      </c>
      <c r="I204" s="31"/>
      <c r="J204" s="31"/>
      <c r="K204" s="12">
        <f t="shared" si="4"/>
        <v>42</v>
      </c>
    </row>
    <row r="205" spans="1:11" x14ac:dyDescent="0.25">
      <c r="A205" s="13">
        <v>35725</v>
      </c>
      <c r="B205" s="14">
        <v>152</v>
      </c>
      <c r="C205" s="14">
        <v>347</v>
      </c>
      <c r="D205" s="14"/>
      <c r="E205" s="14">
        <v>1908</v>
      </c>
      <c r="F205" s="14"/>
      <c r="G205" s="14">
        <v>3724</v>
      </c>
      <c r="H205" s="31">
        <f t="shared" si="5"/>
        <v>499</v>
      </c>
      <c r="I205" s="31"/>
      <c r="J205" s="31"/>
      <c r="K205" s="12">
        <f t="shared" si="4"/>
        <v>43</v>
      </c>
    </row>
    <row r="206" spans="1:11" x14ac:dyDescent="0.25">
      <c r="A206" s="13">
        <v>35732</v>
      </c>
      <c r="B206" s="14">
        <v>250</v>
      </c>
      <c r="C206" s="14">
        <v>375</v>
      </c>
      <c r="D206" s="14"/>
      <c r="E206" s="14">
        <v>1675</v>
      </c>
      <c r="F206" s="14"/>
      <c r="G206" s="14">
        <v>3907</v>
      </c>
      <c r="H206" s="31">
        <f t="shared" si="5"/>
        <v>625</v>
      </c>
      <c r="I206" s="31"/>
      <c r="J206" s="31"/>
      <c r="K206" s="12">
        <f t="shared" si="4"/>
        <v>44</v>
      </c>
    </row>
    <row r="207" spans="1:11" x14ac:dyDescent="0.25">
      <c r="A207" s="13">
        <v>35739</v>
      </c>
      <c r="B207" s="14">
        <v>84</v>
      </c>
      <c r="C207" s="14">
        <v>426</v>
      </c>
      <c r="D207" s="14"/>
      <c r="E207" s="14">
        <v>1975</v>
      </c>
      <c r="F207" s="14"/>
      <c r="G207" s="14">
        <v>4879</v>
      </c>
      <c r="H207" s="31">
        <f t="shared" si="5"/>
        <v>510</v>
      </c>
      <c r="I207" s="31"/>
      <c r="J207" s="31"/>
      <c r="K207" s="12">
        <f t="shared" si="4"/>
        <v>45</v>
      </c>
    </row>
    <row r="208" spans="1:11" x14ac:dyDescent="0.25">
      <c r="A208" s="13">
        <v>35746</v>
      </c>
      <c r="B208" s="14">
        <v>66</v>
      </c>
      <c r="C208" s="14">
        <v>685</v>
      </c>
      <c r="D208" s="14"/>
      <c r="E208" s="14">
        <v>1982</v>
      </c>
      <c r="F208" s="14"/>
      <c r="G208" s="14">
        <v>5573</v>
      </c>
      <c r="H208" s="31">
        <f t="shared" si="5"/>
        <v>751</v>
      </c>
      <c r="I208" s="31"/>
      <c r="J208" s="31"/>
      <c r="K208" s="12">
        <f t="shared" si="4"/>
        <v>46</v>
      </c>
    </row>
    <row r="209" spans="1:11" x14ac:dyDescent="0.25">
      <c r="A209" s="13">
        <v>35753</v>
      </c>
      <c r="B209" s="14">
        <v>149</v>
      </c>
      <c r="C209" s="14">
        <v>472</v>
      </c>
      <c r="D209" s="14"/>
      <c r="E209" s="14">
        <v>1862</v>
      </c>
      <c r="F209" s="14"/>
      <c r="G209" s="14">
        <v>5814</v>
      </c>
      <c r="H209" s="31">
        <f t="shared" si="5"/>
        <v>621</v>
      </c>
      <c r="I209" s="31"/>
      <c r="J209" s="31"/>
      <c r="K209" s="12">
        <f t="shared" si="4"/>
        <v>47</v>
      </c>
    </row>
    <row r="210" spans="1:11" x14ac:dyDescent="0.25">
      <c r="A210" s="13">
        <v>35760</v>
      </c>
      <c r="B210" s="14">
        <v>75</v>
      </c>
      <c r="C210" s="14">
        <v>226</v>
      </c>
      <c r="D210" s="14"/>
      <c r="E210" s="14">
        <v>2091</v>
      </c>
      <c r="F210" s="14"/>
      <c r="G210" s="14">
        <v>4934</v>
      </c>
      <c r="H210" s="31">
        <f t="shared" si="5"/>
        <v>301</v>
      </c>
      <c r="I210" s="31"/>
      <c r="J210" s="31"/>
      <c r="K210" s="12">
        <f t="shared" si="4"/>
        <v>48</v>
      </c>
    </row>
    <row r="211" spans="1:11" x14ac:dyDescent="0.25">
      <c r="A211" s="13">
        <v>35767</v>
      </c>
      <c r="B211" s="14">
        <v>73</v>
      </c>
      <c r="C211" s="14">
        <v>0</v>
      </c>
      <c r="D211" s="14"/>
      <c r="E211" s="14">
        <v>1353</v>
      </c>
      <c r="F211" s="14"/>
      <c r="G211" s="14">
        <v>4263</v>
      </c>
      <c r="H211" s="31">
        <f t="shared" si="5"/>
        <v>73</v>
      </c>
      <c r="I211" s="31"/>
      <c r="J211" s="31"/>
      <c r="K211" s="12">
        <f t="shared" si="4"/>
        <v>49</v>
      </c>
    </row>
    <row r="212" spans="1:11" x14ac:dyDescent="0.25">
      <c r="A212" s="13">
        <v>35774</v>
      </c>
      <c r="B212" s="14">
        <v>12</v>
      </c>
      <c r="C212" s="14">
        <v>62</v>
      </c>
      <c r="D212" s="14"/>
      <c r="E212" s="14">
        <v>1479</v>
      </c>
      <c r="F212" s="14"/>
      <c r="G212" s="14">
        <v>5093</v>
      </c>
      <c r="H212" s="31">
        <f t="shared" si="5"/>
        <v>74</v>
      </c>
      <c r="I212" s="31"/>
      <c r="J212" s="31"/>
      <c r="K212" s="12">
        <f t="shared" si="4"/>
        <v>50</v>
      </c>
    </row>
    <row r="213" spans="1:11" x14ac:dyDescent="0.25">
      <c r="A213" s="13">
        <v>35781</v>
      </c>
      <c r="B213" s="14">
        <v>84</v>
      </c>
      <c r="C213" s="14">
        <v>191</v>
      </c>
      <c r="D213" s="14"/>
      <c r="E213" s="14">
        <v>1592</v>
      </c>
      <c r="F213" s="14"/>
      <c r="G213" s="14">
        <v>4226</v>
      </c>
      <c r="H213" s="31">
        <f t="shared" si="5"/>
        <v>275</v>
      </c>
      <c r="I213" s="31"/>
      <c r="J213" s="31"/>
      <c r="K213" s="12">
        <f t="shared" si="4"/>
        <v>51</v>
      </c>
    </row>
    <row r="214" spans="1:11" x14ac:dyDescent="0.25">
      <c r="A214" s="13">
        <v>35788</v>
      </c>
      <c r="B214" s="14">
        <v>88</v>
      </c>
      <c r="C214" s="14">
        <v>264</v>
      </c>
      <c r="D214" s="14"/>
      <c r="E214" s="14">
        <v>1694</v>
      </c>
      <c r="F214" s="14"/>
      <c r="G214" s="14">
        <v>3126</v>
      </c>
      <c r="H214" s="31">
        <f t="shared" si="5"/>
        <v>352</v>
      </c>
      <c r="I214" s="31"/>
      <c r="J214" s="31"/>
      <c r="K214" s="12">
        <f t="shared" si="4"/>
        <v>52</v>
      </c>
    </row>
    <row r="215" spans="1:11" x14ac:dyDescent="0.25">
      <c r="A215" s="13">
        <v>35795</v>
      </c>
      <c r="B215" s="14">
        <v>105</v>
      </c>
      <c r="C215" s="14">
        <v>59</v>
      </c>
      <c r="D215" s="14"/>
      <c r="E215" s="14">
        <v>2397</v>
      </c>
      <c r="F215" s="14"/>
      <c r="G215" s="14">
        <v>3145</v>
      </c>
      <c r="H215" s="31">
        <f t="shared" si="5"/>
        <v>164</v>
      </c>
      <c r="I215" s="31"/>
      <c r="J215" s="31"/>
      <c r="K215" s="12">
        <f t="shared" si="4"/>
        <v>53</v>
      </c>
    </row>
    <row r="216" spans="1:11" x14ac:dyDescent="0.25">
      <c r="A216" s="13">
        <v>35802</v>
      </c>
      <c r="B216" s="14">
        <v>15</v>
      </c>
      <c r="C216" s="14">
        <v>8</v>
      </c>
      <c r="D216" s="14"/>
      <c r="E216" s="14">
        <v>1779</v>
      </c>
      <c r="F216" s="14"/>
      <c r="G216" s="14">
        <v>2660</v>
      </c>
      <c r="H216" s="31">
        <f t="shared" si="5"/>
        <v>23</v>
      </c>
      <c r="I216" s="31"/>
      <c r="J216" s="31"/>
      <c r="K216" s="12">
        <v>1</v>
      </c>
    </row>
    <row r="217" spans="1:11" x14ac:dyDescent="0.25">
      <c r="A217" s="13">
        <v>35809</v>
      </c>
      <c r="B217" s="14">
        <v>70</v>
      </c>
      <c r="C217" s="14">
        <v>272</v>
      </c>
      <c r="D217" s="14"/>
      <c r="E217" s="14">
        <v>1951</v>
      </c>
      <c r="F217" s="14"/>
      <c r="G217" s="14">
        <v>2822</v>
      </c>
      <c r="H217" s="31">
        <f t="shared" si="5"/>
        <v>342</v>
      </c>
      <c r="I217" s="31"/>
      <c r="J217" s="31"/>
      <c r="K217" s="12">
        <v>2</v>
      </c>
    </row>
    <row r="218" spans="1:11" x14ac:dyDescent="0.25">
      <c r="A218" s="13">
        <v>35816</v>
      </c>
      <c r="B218" s="14">
        <v>68</v>
      </c>
      <c r="C218" s="14">
        <v>43</v>
      </c>
      <c r="D218" s="14"/>
      <c r="E218" s="14">
        <v>2053</v>
      </c>
      <c r="F218" s="14"/>
      <c r="G218" s="14">
        <v>3989</v>
      </c>
      <c r="H218" s="31">
        <f t="shared" si="5"/>
        <v>111</v>
      </c>
      <c r="I218" s="31"/>
      <c r="J218" s="31"/>
      <c r="K218" s="12">
        <v>3</v>
      </c>
    </row>
    <row r="219" spans="1:11" x14ac:dyDescent="0.25">
      <c r="A219" s="13">
        <v>35823</v>
      </c>
      <c r="B219" s="14">
        <v>131</v>
      </c>
      <c r="C219" s="14">
        <v>787</v>
      </c>
      <c r="D219" s="14"/>
      <c r="E219" s="14">
        <v>2180</v>
      </c>
      <c r="F219" s="14"/>
      <c r="G219" s="14">
        <v>4596</v>
      </c>
      <c r="H219" s="31">
        <f t="shared" si="5"/>
        <v>918</v>
      </c>
      <c r="I219" s="31"/>
      <c r="J219" s="31"/>
      <c r="K219" s="12">
        <v>4</v>
      </c>
    </row>
    <row r="220" spans="1:11" x14ac:dyDescent="0.25">
      <c r="A220" s="13">
        <v>35830</v>
      </c>
      <c r="B220" s="14">
        <v>91</v>
      </c>
      <c r="C220" s="14">
        <v>471</v>
      </c>
      <c r="D220" s="14"/>
      <c r="E220" s="14">
        <v>2582</v>
      </c>
      <c r="F220" s="14"/>
      <c r="G220" s="14">
        <v>5090</v>
      </c>
      <c r="H220" s="31">
        <f t="shared" si="5"/>
        <v>562</v>
      </c>
      <c r="I220" s="31"/>
      <c r="J220" s="31"/>
      <c r="K220" s="12">
        <v>5</v>
      </c>
    </row>
    <row r="221" spans="1:11" x14ac:dyDescent="0.25">
      <c r="A221" s="13">
        <v>35837</v>
      </c>
      <c r="B221" s="14">
        <v>201</v>
      </c>
      <c r="C221" s="14">
        <v>199</v>
      </c>
      <c r="D221" s="14"/>
      <c r="E221" s="14">
        <v>2310</v>
      </c>
      <c r="F221" s="14"/>
      <c r="G221" s="14">
        <v>3897</v>
      </c>
      <c r="H221" s="31">
        <f t="shared" si="5"/>
        <v>400</v>
      </c>
      <c r="I221" s="31"/>
      <c r="J221" s="31"/>
      <c r="K221" s="12">
        <v>6</v>
      </c>
    </row>
    <row r="222" spans="1:11" x14ac:dyDescent="0.25">
      <c r="A222" s="13">
        <v>35844</v>
      </c>
      <c r="B222" s="14">
        <v>233</v>
      </c>
      <c r="C222" s="14">
        <v>376</v>
      </c>
      <c r="D222" s="14"/>
      <c r="E222" s="14">
        <v>2413</v>
      </c>
      <c r="F222" s="14"/>
      <c r="G222" s="14">
        <v>4599</v>
      </c>
      <c r="H222" s="31">
        <f t="shared" si="5"/>
        <v>609</v>
      </c>
      <c r="I222" s="31"/>
      <c r="J222" s="31"/>
      <c r="K222" s="12">
        <v>7</v>
      </c>
    </row>
    <row r="223" spans="1:11" x14ac:dyDescent="0.25">
      <c r="A223" s="13">
        <v>35851</v>
      </c>
      <c r="B223" s="14">
        <v>150</v>
      </c>
      <c r="C223" s="14">
        <v>152</v>
      </c>
      <c r="D223" s="14"/>
      <c r="E223" s="14">
        <v>2168</v>
      </c>
      <c r="F223" s="14"/>
      <c r="G223" s="14">
        <v>4149</v>
      </c>
      <c r="H223" s="31">
        <f t="shared" si="5"/>
        <v>302</v>
      </c>
      <c r="I223" s="31"/>
      <c r="J223" s="31"/>
      <c r="K223" s="12">
        <v>8</v>
      </c>
    </row>
    <row r="224" spans="1:11" x14ac:dyDescent="0.25">
      <c r="A224" s="13">
        <v>35858</v>
      </c>
      <c r="B224" s="14">
        <v>93</v>
      </c>
      <c r="C224" s="14">
        <v>83</v>
      </c>
      <c r="D224" s="14"/>
      <c r="E224" s="14">
        <v>2316</v>
      </c>
      <c r="F224" s="14"/>
      <c r="G224" s="14">
        <v>3876</v>
      </c>
      <c r="H224" s="31">
        <f t="shared" si="5"/>
        <v>176</v>
      </c>
      <c r="I224" s="31"/>
      <c r="J224" s="31"/>
      <c r="K224" s="12">
        <v>9</v>
      </c>
    </row>
    <row r="225" spans="1:11" x14ac:dyDescent="0.25">
      <c r="A225" s="13">
        <v>35865</v>
      </c>
      <c r="B225" s="14">
        <v>88</v>
      </c>
      <c r="C225" s="14">
        <v>37</v>
      </c>
      <c r="D225" s="14"/>
      <c r="E225" s="14">
        <v>2334</v>
      </c>
      <c r="F225" s="14"/>
      <c r="G225" s="14">
        <v>4361</v>
      </c>
      <c r="H225" s="31">
        <f t="shared" si="5"/>
        <v>125</v>
      </c>
      <c r="I225" s="31"/>
      <c r="J225" s="31"/>
      <c r="K225" s="12">
        <v>10</v>
      </c>
    </row>
    <row r="226" spans="1:11" x14ac:dyDescent="0.25">
      <c r="A226" s="13">
        <v>35872</v>
      </c>
      <c r="B226" s="14">
        <v>14</v>
      </c>
      <c r="C226" s="14">
        <v>450</v>
      </c>
      <c r="D226" s="14"/>
      <c r="E226" s="14">
        <v>2126</v>
      </c>
      <c r="F226" s="14"/>
      <c r="G226" s="14">
        <v>2832</v>
      </c>
      <c r="H226" s="31">
        <f t="shared" si="5"/>
        <v>464</v>
      </c>
      <c r="I226" s="31"/>
      <c r="J226" s="31"/>
      <c r="K226" s="12">
        <v>11</v>
      </c>
    </row>
    <row r="227" spans="1:11" x14ac:dyDescent="0.25">
      <c r="A227" s="13">
        <v>35879</v>
      </c>
      <c r="B227" s="14">
        <v>136</v>
      </c>
      <c r="C227" s="14">
        <v>74</v>
      </c>
      <c r="D227" s="14"/>
      <c r="E227" s="14">
        <v>1283</v>
      </c>
      <c r="F227" s="14"/>
      <c r="G227" s="14">
        <v>4107</v>
      </c>
      <c r="H227" s="31">
        <f t="shared" si="5"/>
        <v>210</v>
      </c>
      <c r="I227" s="31"/>
      <c r="J227" s="31"/>
      <c r="K227" s="12">
        <v>12</v>
      </c>
    </row>
    <row r="228" spans="1:11" x14ac:dyDescent="0.25">
      <c r="A228" s="13">
        <v>35886</v>
      </c>
      <c r="B228" s="14">
        <v>159</v>
      </c>
      <c r="C228" s="14">
        <v>41</v>
      </c>
      <c r="D228" s="14"/>
      <c r="E228" s="14">
        <v>2409</v>
      </c>
      <c r="F228" s="14"/>
      <c r="G228" s="14">
        <v>3365</v>
      </c>
      <c r="H228" s="31">
        <f t="shared" si="5"/>
        <v>200</v>
      </c>
      <c r="I228" s="31"/>
      <c r="J228" s="31"/>
      <c r="K228" s="12">
        <v>13</v>
      </c>
    </row>
    <row r="229" spans="1:11" x14ac:dyDescent="0.25">
      <c r="A229" s="13">
        <v>35893</v>
      </c>
      <c r="B229" s="14">
        <v>101</v>
      </c>
      <c r="C229" s="14">
        <v>43</v>
      </c>
      <c r="D229" s="14"/>
      <c r="E229" s="14">
        <v>2000</v>
      </c>
      <c r="F229" s="14"/>
      <c r="G229" s="14">
        <v>2679</v>
      </c>
      <c r="H229" s="31">
        <f t="shared" si="5"/>
        <v>144</v>
      </c>
      <c r="I229" s="31"/>
      <c r="J229" s="31"/>
      <c r="K229" s="12">
        <v>14</v>
      </c>
    </row>
    <row r="230" spans="1:11" x14ac:dyDescent="0.25">
      <c r="A230" s="13">
        <v>35900</v>
      </c>
      <c r="B230" s="14">
        <v>82</v>
      </c>
      <c r="C230" s="14">
        <v>136</v>
      </c>
      <c r="D230" s="14"/>
      <c r="E230" s="14">
        <v>1724</v>
      </c>
      <c r="F230" s="14"/>
      <c r="G230" s="14">
        <v>2077</v>
      </c>
      <c r="H230" s="31">
        <f t="shared" si="5"/>
        <v>218</v>
      </c>
      <c r="I230" s="31"/>
      <c r="J230" s="31"/>
      <c r="K230" s="12">
        <v>15</v>
      </c>
    </row>
    <row r="231" spans="1:11" x14ac:dyDescent="0.25">
      <c r="A231" s="13">
        <v>35907</v>
      </c>
      <c r="B231" s="14">
        <v>66</v>
      </c>
      <c r="C231" s="14">
        <v>261</v>
      </c>
      <c r="D231" s="14"/>
      <c r="E231" s="14">
        <v>1471</v>
      </c>
      <c r="F231" s="14"/>
      <c r="G231" s="14">
        <v>2536</v>
      </c>
      <c r="H231" s="31">
        <f t="shared" si="5"/>
        <v>327</v>
      </c>
      <c r="I231" s="31"/>
      <c r="J231" s="31"/>
      <c r="K231" s="12">
        <v>16</v>
      </c>
    </row>
    <row r="232" spans="1:11" x14ac:dyDescent="0.25">
      <c r="A232" s="13">
        <v>35914</v>
      </c>
      <c r="B232" s="14">
        <v>9</v>
      </c>
      <c r="C232" s="14">
        <v>69</v>
      </c>
      <c r="D232" s="14"/>
      <c r="E232" s="14">
        <v>1293</v>
      </c>
      <c r="F232" s="14"/>
      <c r="G232" s="14">
        <v>1797</v>
      </c>
      <c r="H232" s="31">
        <f t="shared" si="5"/>
        <v>78</v>
      </c>
      <c r="I232" s="31"/>
      <c r="J232" s="31"/>
      <c r="K232" s="12">
        <v>17</v>
      </c>
    </row>
    <row r="233" spans="1:11" x14ac:dyDescent="0.25">
      <c r="A233" s="13">
        <v>35921</v>
      </c>
      <c r="B233" s="14">
        <v>0</v>
      </c>
      <c r="C233" s="14">
        <v>31</v>
      </c>
      <c r="D233" s="14"/>
      <c r="E233" s="14">
        <v>2092</v>
      </c>
      <c r="F233" s="14"/>
      <c r="G233" s="14">
        <v>2152</v>
      </c>
      <c r="H233" s="31">
        <f t="shared" si="5"/>
        <v>31</v>
      </c>
      <c r="I233" s="31"/>
      <c r="J233" s="31"/>
      <c r="K233" s="12">
        <v>18</v>
      </c>
    </row>
    <row r="234" spans="1:11" x14ac:dyDescent="0.25">
      <c r="A234" s="13">
        <v>35928</v>
      </c>
      <c r="B234" s="14">
        <v>0</v>
      </c>
      <c r="C234" s="14">
        <v>255</v>
      </c>
      <c r="D234" s="14"/>
      <c r="E234" s="14">
        <v>1544</v>
      </c>
      <c r="F234" s="14"/>
      <c r="G234" s="14">
        <v>2065</v>
      </c>
      <c r="H234" s="31">
        <f t="shared" si="5"/>
        <v>255</v>
      </c>
      <c r="I234" s="31"/>
      <c r="J234" s="31"/>
      <c r="K234" s="12">
        <v>19</v>
      </c>
    </row>
    <row r="235" spans="1:11" x14ac:dyDescent="0.25">
      <c r="A235" s="13">
        <v>35935</v>
      </c>
      <c r="B235" s="14">
        <v>5</v>
      </c>
      <c r="C235" s="14">
        <v>252</v>
      </c>
      <c r="D235" s="14"/>
      <c r="E235" s="14">
        <v>1878</v>
      </c>
      <c r="F235" s="14"/>
      <c r="G235" s="14">
        <v>2619</v>
      </c>
      <c r="H235" s="31">
        <f t="shared" si="5"/>
        <v>257</v>
      </c>
      <c r="I235" s="31"/>
      <c r="J235" s="31"/>
      <c r="K235" s="12">
        <v>20</v>
      </c>
    </row>
    <row r="236" spans="1:11" x14ac:dyDescent="0.25">
      <c r="A236" s="13">
        <v>35942</v>
      </c>
      <c r="B236" s="14">
        <v>0</v>
      </c>
      <c r="C236" s="14">
        <v>7</v>
      </c>
      <c r="D236" s="14"/>
      <c r="E236" s="14">
        <v>1271</v>
      </c>
      <c r="F236" s="14"/>
      <c r="G236" s="14">
        <v>2316</v>
      </c>
      <c r="H236" s="31">
        <f t="shared" si="5"/>
        <v>7</v>
      </c>
      <c r="I236" s="31"/>
      <c r="J236" s="31"/>
      <c r="K236" s="12">
        <v>21</v>
      </c>
    </row>
    <row r="237" spans="1:11" x14ac:dyDescent="0.25">
      <c r="A237" s="13">
        <v>35949</v>
      </c>
      <c r="B237" s="14">
        <v>0</v>
      </c>
      <c r="C237" s="14">
        <v>10</v>
      </c>
      <c r="D237" s="14"/>
      <c r="E237" s="14">
        <v>1417</v>
      </c>
      <c r="F237" s="14"/>
      <c r="G237" s="14">
        <v>2441</v>
      </c>
      <c r="H237" s="31">
        <f t="shared" si="5"/>
        <v>10</v>
      </c>
      <c r="I237" s="31"/>
      <c r="J237" s="31"/>
      <c r="K237" s="12">
        <v>22</v>
      </c>
    </row>
    <row r="238" spans="1:11" x14ac:dyDescent="0.25">
      <c r="A238" s="13">
        <v>35956</v>
      </c>
      <c r="B238" s="14">
        <v>0</v>
      </c>
      <c r="C238" s="14">
        <v>145</v>
      </c>
      <c r="D238" s="14"/>
      <c r="E238" s="14">
        <v>1924</v>
      </c>
      <c r="F238" s="14"/>
      <c r="G238" s="14">
        <v>1897</v>
      </c>
      <c r="H238" s="31">
        <f t="shared" si="5"/>
        <v>145</v>
      </c>
      <c r="I238" s="31"/>
      <c r="J238" s="31"/>
      <c r="K238" s="12">
        <v>23</v>
      </c>
    </row>
    <row r="239" spans="1:11" x14ac:dyDescent="0.25">
      <c r="A239" s="13">
        <v>35963</v>
      </c>
      <c r="B239" s="14">
        <v>0</v>
      </c>
      <c r="C239" s="14">
        <v>35</v>
      </c>
      <c r="D239" s="14"/>
      <c r="E239" s="14">
        <v>2120</v>
      </c>
      <c r="F239" s="14"/>
      <c r="G239" s="14">
        <v>1516</v>
      </c>
      <c r="H239" s="31">
        <f t="shared" si="5"/>
        <v>35</v>
      </c>
      <c r="I239" s="31"/>
      <c r="J239" s="31"/>
      <c r="K239" s="12">
        <v>24</v>
      </c>
    </row>
    <row r="240" spans="1:11" x14ac:dyDescent="0.25">
      <c r="A240" s="13">
        <v>35970</v>
      </c>
      <c r="B240" s="14">
        <v>15</v>
      </c>
      <c r="C240" s="14">
        <v>31</v>
      </c>
      <c r="D240" s="14"/>
      <c r="E240" s="14">
        <v>2643</v>
      </c>
      <c r="F240" s="14"/>
      <c r="G240" s="14">
        <v>1609</v>
      </c>
      <c r="H240" s="31">
        <f t="shared" si="5"/>
        <v>46</v>
      </c>
      <c r="I240" s="31"/>
      <c r="J240" s="31"/>
      <c r="K240" s="12">
        <v>25</v>
      </c>
    </row>
    <row r="241" spans="1:11" x14ac:dyDescent="0.25">
      <c r="A241" s="13">
        <v>35977</v>
      </c>
      <c r="B241" s="14">
        <v>9</v>
      </c>
      <c r="C241" s="14">
        <v>85</v>
      </c>
      <c r="D241" s="14"/>
      <c r="E241" s="14">
        <v>2507</v>
      </c>
      <c r="F241" s="14"/>
      <c r="G241" s="14">
        <v>1002</v>
      </c>
      <c r="H241" s="31">
        <f t="shared" si="5"/>
        <v>94</v>
      </c>
      <c r="I241" s="31"/>
      <c r="J241" s="31"/>
      <c r="K241" s="12">
        <v>26</v>
      </c>
    </row>
    <row r="242" spans="1:11" x14ac:dyDescent="0.25">
      <c r="A242" s="13">
        <v>35984</v>
      </c>
      <c r="B242" s="14">
        <v>29</v>
      </c>
      <c r="C242" s="14">
        <v>95</v>
      </c>
      <c r="D242" s="14"/>
      <c r="E242" s="14">
        <v>1713</v>
      </c>
      <c r="F242" s="14"/>
      <c r="G242" s="14">
        <v>902</v>
      </c>
      <c r="H242" s="31">
        <f t="shared" si="5"/>
        <v>124</v>
      </c>
      <c r="I242" s="31"/>
      <c r="J242" s="31"/>
      <c r="K242" s="12">
        <v>27</v>
      </c>
    </row>
    <row r="243" spans="1:11" x14ac:dyDescent="0.25">
      <c r="A243" s="13">
        <v>35991</v>
      </c>
      <c r="B243" s="14">
        <v>53</v>
      </c>
      <c r="C243" s="14">
        <v>226</v>
      </c>
      <c r="D243" s="14"/>
      <c r="E243" s="14">
        <v>2888</v>
      </c>
      <c r="F243" s="14"/>
      <c r="G243" s="14">
        <v>1403</v>
      </c>
      <c r="H243" s="31">
        <f t="shared" si="5"/>
        <v>279</v>
      </c>
      <c r="I243" s="31"/>
      <c r="J243" s="31"/>
      <c r="K243" s="12">
        <v>28</v>
      </c>
    </row>
    <row r="244" spans="1:11" x14ac:dyDescent="0.25">
      <c r="A244" s="13">
        <v>35998</v>
      </c>
      <c r="B244" s="14">
        <v>28</v>
      </c>
      <c r="C244" s="14">
        <v>56</v>
      </c>
      <c r="D244" s="14"/>
      <c r="E244" s="14">
        <v>2240</v>
      </c>
      <c r="F244" s="14"/>
      <c r="G244" s="14">
        <v>788</v>
      </c>
      <c r="H244" s="31">
        <f t="shared" si="5"/>
        <v>84</v>
      </c>
      <c r="I244" s="31"/>
      <c r="J244" s="31"/>
      <c r="K244" s="12">
        <v>29</v>
      </c>
    </row>
    <row r="245" spans="1:11" x14ac:dyDescent="0.25">
      <c r="A245" s="13">
        <v>36005</v>
      </c>
      <c r="B245" s="14">
        <v>12</v>
      </c>
      <c r="C245" s="14">
        <v>14</v>
      </c>
      <c r="D245" s="14"/>
      <c r="E245" s="14">
        <v>3154</v>
      </c>
      <c r="F245" s="14"/>
      <c r="G245" s="14">
        <v>1448</v>
      </c>
      <c r="H245" s="31">
        <f t="shared" si="5"/>
        <v>26</v>
      </c>
      <c r="I245" s="31"/>
      <c r="J245" s="31"/>
      <c r="K245" s="12">
        <v>30</v>
      </c>
    </row>
    <row r="246" spans="1:11" x14ac:dyDescent="0.25">
      <c r="A246" s="13">
        <v>36012</v>
      </c>
      <c r="B246" s="14">
        <v>3</v>
      </c>
      <c r="C246" s="14">
        <v>3</v>
      </c>
      <c r="D246" s="14"/>
      <c r="E246" s="14">
        <v>2770</v>
      </c>
      <c r="F246" s="14"/>
      <c r="G246" s="14">
        <v>890</v>
      </c>
      <c r="H246" s="31">
        <f t="shared" si="5"/>
        <v>6</v>
      </c>
      <c r="I246" s="31"/>
      <c r="J246" s="31"/>
      <c r="K246" s="12">
        <v>31</v>
      </c>
    </row>
    <row r="247" spans="1:11" x14ac:dyDescent="0.25">
      <c r="A247" s="13">
        <v>36019</v>
      </c>
      <c r="B247" s="14">
        <v>37</v>
      </c>
      <c r="C247" s="14">
        <v>9</v>
      </c>
      <c r="D247" s="14"/>
      <c r="E247" s="14">
        <v>2352</v>
      </c>
      <c r="F247" s="14"/>
      <c r="G247" s="14">
        <v>2682</v>
      </c>
      <c r="H247" s="31">
        <f t="shared" si="5"/>
        <v>46</v>
      </c>
      <c r="I247" s="31"/>
      <c r="J247" s="31"/>
      <c r="K247" s="12">
        <v>32</v>
      </c>
    </row>
    <row r="248" spans="1:11" x14ac:dyDescent="0.25">
      <c r="A248" s="13">
        <v>36026</v>
      </c>
      <c r="B248" s="14">
        <v>18</v>
      </c>
      <c r="C248" s="14">
        <v>5</v>
      </c>
      <c r="D248" s="14"/>
      <c r="E248" s="14">
        <v>1825</v>
      </c>
      <c r="F248" s="14"/>
      <c r="G248" s="14">
        <v>2243</v>
      </c>
      <c r="H248" s="31">
        <f t="shared" si="5"/>
        <v>23</v>
      </c>
      <c r="I248" s="31"/>
      <c r="J248" s="31"/>
      <c r="K248" s="12">
        <v>33</v>
      </c>
    </row>
    <row r="249" spans="1:11" x14ac:dyDescent="0.25">
      <c r="A249" s="13">
        <v>36033</v>
      </c>
      <c r="B249" s="14">
        <v>0</v>
      </c>
      <c r="C249" s="14">
        <v>0</v>
      </c>
      <c r="D249" s="14"/>
      <c r="E249" s="14">
        <v>3116</v>
      </c>
      <c r="F249" s="14"/>
      <c r="G249" s="14">
        <v>2047</v>
      </c>
      <c r="H249" s="31">
        <f t="shared" si="5"/>
        <v>0</v>
      </c>
      <c r="I249" s="31"/>
      <c r="J249" s="31"/>
      <c r="K249" s="12">
        <v>34</v>
      </c>
    </row>
    <row r="250" spans="1:11" x14ac:dyDescent="0.25">
      <c r="A250" s="13">
        <v>36040</v>
      </c>
      <c r="B250" s="14">
        <v>0</v>
      </c>
      <c r="C250" s="14">
        <v>1</v>
      </c>
      <c r="D250" s="14"/>
      <c r="E250" s="14">
        <v>1968</v>
      </c>
      <c r="F250" s="14"/>
      <c r="G250" s="14">
        <v>1704</v>
      </c>
      <c r="H250" s="31">
        <f t="shared" si="5"/>
        <v>1</v>
      </c>
      <c r="I250" s="31"/>
      <c r="J250" s="31"/>
      <c r="K250" s="12">
        <v>35</v>
      </c>
    </row>
    <row r="251" spans="1:11" x14ac:dyDescent="0.25">
      <c r="A251" s="13">
        <v>36047</v>
      </c>
      <c r="B251" s="14">
        <v>19</v>
      </c>
      <c r="C251" s="14">
        <v>3</v>
      </c>
      <c r="D251" s="14"/>
      <c r="E251" s="14">
        <v>1521</v>
      </c>
      <c r="F251" s="14"/>
      <c r="G251" s="14">
        <v>2619</v>
      </c>
      <c r="H251" s="31">
        <f t="shared" si="5"/>
        <v>22</v>
      </c>
      <c r="I251" s="31"/>
      <c r="J251" s="31"/>
      <c r="K251" s="12">
        <v>36</v>
      </c>
    </row>
    <row r="252" spans="1:11" x14ac:dyDescent="0.25">
      <c r="A252" s="13">
        <v>36054</v>
      </c>
      <c r="B252" s="14">
        <v>0</v>
      </c>
      <c r="C252" s="14">
        <v>66</v>
      </c>
      <c r="D252" s="14"/>
      <c r="E252" s="14">
        <v>1521</v>
      </c>
      <c r="F252" s="14"/>
      <c r="G252" s="14">
        <v>2969</v>
      </c>
      <c r="H252" s="31">
        <f t="shared" si="5"/>
        <v>66</v>
      </c>
      <c r="I252" s="31"/>
      <c r="J252" s="31"/>
      <c r="K252" s="12">
        <v>37</v>
      </c>
    </row>
    <row r="253" spans="1:11" x14ac:dyDescent="0.25">
      <c r="A253" s="13">
        <v>36061</v>
      </c>
      <c r="B253" s="14">
        <v>4</v>
      </c>
      <c r="C253" s="14">
        <v>0</v>
      </c>
      <c r="D253" s="14"/>
      <c r="E253" s="14">
        <v>1728</v>
      </c>
      <c r="F253" s="14"/>
      <c r="G253" s="14">
        <v>3040</v>
      </c>
      <c r="H253" s="31">
        <f t="shared" si="5"/>
        <v>4</v>
      </c>
      <c r="I253" s="31"/>
      <c r="J253" s="31"/>
      <c r="K253" s="12">
        <v>38</v>
      </c>
    </row>
    <row r="254" spans="1:11" x14ac:dyDescent="0.25">
      <c r="A254" s="13">
        <v>36068</v>
      </c>
      <c r="B254" s="14">
        <v>3</v>
      </c>
      <c r="C254" s="14">
        <v>1</v>
      </c>
      <c r="D254" s="14"/>
      <c r="E254" s="14">
        <v>2158</v>
      </c>
      <c r="F254" s="14"/>
      <c r="G254" s="14">
        <v>2185</v>
      </c>
      <c r="H254" s="31">
        <f t="shared" si="5"/>
        <v>4</v>
      </c>
      <c r="I254" s="31"/>
      <c r="J254" s="31"/>
      <c r="K254" s="12">
        <v>39</v>
      </c>
    </row>
    <row r="255" spans="1:11" x14ac:dyDescent="0.25">
      <c r="A255" s="13">
        <v>36075</v>
      </c>
      <c r="B255" s="14">
        <v>127</v>
      </c>
      <c r="C255" s="14">
        <v>135</v>
      </c>
      <c r="D255" s="14"/>
      <c r="E255" s="14">
        <v>2239</v>
      </c>
      <c r="F255" s="14"/>
      <c r="G255" s="14">
        <v>2915</v>
      </c>
      <c r="H255" s="31">
        <f t="shared" si="5"/>
        <v>262</v>
      </c>
      <c r="I255" s="31"/>
      <c r="J255" s="31"/>
      <c r="K255" s="12">
        <v>40</v>
      </c>
    </row>
    <row r="256" spans="1:11" x14ac:dyDescent="0.25">
      <c r="A256" s="13">
        <v>36082</v>
      </c>
      <c r="B256" s="14">
        <v>189</v>
      </c>
      <c r="C256" s="14">
        <v>263</v>
      </c>
      <c r="D256" s="14"/>
      <c r="E256" s="14">
        <v>2935</v>
      </c>
      <c r="F256" s="14"/>
      <c r="G256" s="14">
        <v>2510</v>
      </c>
      <c r="H256" s="31">
        <f t="shared" si="5"/>
        <v>452</v>
      </c>
      <c r="I256" s="31"/>
      <c r="J256" s="31"/>
      <c r="K256" s="12">
        <v>41</v>
      </c>
    </row>
    <row r="257" spans="1:11" x14ac:dyDescent="0.25">
      <c r="A257" s="13">
        <v>36089</v>
      </c>
      <c r="B257" s="14">
        <v>124</v>
      </c>
      <c r="C257" s="14">
        <v>344</v>
      </c>
      <c r="D257" s="14"/>
      <c r="E257" s="14">
        <v>3094</v>
      </c>
      <c r="F257" s="14"/>
      <c r="G257" s="14">
        <v>2302</v>
      </c>
      <c r="H257" s="31">
        <f t="shared" si="5"/>
        <v>468</v>
      </c>
      <c r="I257" s="31"/>
      <c r="J257" s="31"/>
      <c r="K257" s="12">
        <v>42</v>
      </c>
    </row>
    <row r="258" spans="1:11" x14ac:dyDescent="0.25">
      <c r="A258" s="13">
        <v>36096</v>
      </c>
      <c r="B258" s="14">
        <v>134</v>
      </c>
      <c r="C258" s="14">
        <v>766</v>
      </c>
      <c r="D258" s="14"/>
      <c r="E258" s="14">
        <v>3330</v>
      </c>
      <c r="F258" s="14"/>
      <c r="G258" s="14">
        <v>2571</v>
      </c>
      <c r="H258" s="31">
        <f t="shared" si="5"/>
        <v>900</v>
      </c>
      <c r="I258" s="31"/>
      <c r="J258" s="31"/>
      <c r="K258" s="12">
        <v>43</v>
      </c>
    </row>
    <row r="259" spans="1:11" x14ac:dyDescent="0.25">
      <c r="A259" s="13">
        <v>36103</v>
      </c>
      <c r="B259" s="14">
        <v>121</v>
      </c>
      <c r="C259" s="14">
        <v>479</v>
      </c>
      <c r="D259" s="14"/>
      <c r="E259" s="14">
        <v>2778</v>
      </c>
      <c r="F259" s="14"/>
      <c r="G259" s="14">
        <v>2294</v>
      </c>
      <c r="H259" s="31">
        <f t="shared" si="5"/>
        <v>600</v>
      </c>
      <c r="I259" s="31"/>
      <c r="J259" s="31"/>
      <c r="K259" s="12">
        <v>44</v>
      </c>
    </row>
    <row r="260" spans="1:11" x14ac:dyDescent="0.25">
      <c r="A260" s="13">
        <v>36110</v>
      </c>
      <c r="B260" s="14">
        <v>106</v>
      </c>
      <c r="C260" s="14">
        <v>83</v>
      </c>
      <c r="D260" s="14"/>
      <c r="E260" s="14">
        <v>2822</v>
      </c>
      <c r="F260" s="14"/>
      <c r="G260" s="14">
        <v>2345</v>
      </c>
      <c r="H260" s="31">
        <f t="shared" si="5"/>
        <v>189</v>
      </c>
      <c r="I260" s="31"/>
      <c r="J260" s="31"/>
      <c r="K260" s="12">
        <v>45</v>
      </c>
    </row>
    <row r="261" spans="1:11" x14ac:dyDescent="0.25">
      <c r="A261" s="13">
        <v>36117</v>
      </c>
      <c r="B261" s="14">
        <v>119</v>
      </c>
      <c r="C261" s="14">
        <v>701</v>
      </c>
      <c r="D261" s="14"/>
      <c r="E261" s="14">
        <v>2205</v>
      </c>
      <c r="F261" s="14"/>
      <c r="G261" s="14">
        <v>3608</v>
      </c>
      <c r="H261" s="31">
        <f t="shared" si="5"/>
        <v>820</v>
      </c>
      <c r="I261" s="31"/>
      <c r="J261" s="31"/>
      <c r="K261" s="12">
        <v>46</v>
      </c>
    </row>
    <row r="262" spans="1:11" x14ac:dyDescent="0.25">
      <c r="A262" s="13">
        <v>36124</v>
      </c>
      <c r="B262" s="14">
        <v>15</v>
      </c>
      <c r="C262" s="14">
        <v>172</v>
      </c>
      <c r="D262" s="14"/>
      <c r="E262" s="14">
        <v>2288</v>
      </c>
      <c r="F262" s="14"/>
      <c r="G262" s="14">
        <v>3412</v>
      </c>
      <c r="H262" s="31">
        <f t="shared" si="5"/>
        <v>187</v>
      </c>
      <c r="I262" s="31"/>
      <c r="J262" s="31"/>
      <c r="K262" s="12">
        <v>47</v>
      </c>
    </row>
    <row r="263" spans="1:11" x14ac:dyDescent="0.25">
      <c r="A263" s="13">
        <v>36131</v>
      </c>
      <c r="B263" s="14">
        <v>2</v>
      </c>
      <c r="C263" s="14">
        <v>70</v>
      </c>
      <c r="D263" s="14"/>
      <c r="E263" s="14">
        <v>2216</v>
      </c>
      <c r="F263" s="14"/>
      <c r="G263" s="14">
        <v>2987</v>
      </c>
      <c r="H263" s="31">
        <f t="shared" si="5"/>
        <v>72</v>
      </c>
      <c r="I263" s="31"/>
      <c r="J263" s="31"/>
      <c r="K263" s="12">
        <v>48</v>
      </c>
    </row>
    <row r="264" spans="1:11" x14ac:dyDescent="0.25">
      <c r="A264" s="13">
        <v>36138</v>
      </c>
      <c r="B264" s="14">
        <v>37</v>
      </c>
      <c r="C264" s="14">
        <v>429</v>
      </c>
      <c r="D264" s="14"/>
      <c r="E264" s="14">
        <v>2689</v>
      </c>
      <c r="F264" s="14"/>
      <c r="G264" s="14">
        <v>3402</v>
      </c>
      <c r="H264" s="31">
        <f t="shared" ref="H264:H327" si="6">B264+C264</f>
        <v>466</v>
      </c>
      <c r="I264" s="31"/>
      <c r="J264" s="31"/>
      <c r="K264" s="12">
        <v>49</v>
      </c>
    </row>
    <row r="265" spans="1:11" x14ac:dyDescent="0.25">
      <c r="A265" s="13">
        <v>36145</v>
      </c>
      <c r="B265" s="14">
        <v>33</v>
      </c>
      <c r="C265" s="14">
        <v>589</v>
      </c>
      <c r="D265" s="14"/>
      <c r="E265" s="14">
        <v>3052</v>
      </c>
      <c r="F265" s="14"/>
      <c r="G265" s="14">
        <v>3038</v>
      </c>
      <c r="H265" s="31">
        <f t="shared" si="6"/>
        <v>622</v>
      </c>
      <c r="I265" s="31"/>
      <c r="J265" s="31"/>
      <c r="K265" s="12">
        <v>50</v>
      </c>
    </row>
    <row r="266" spans="1:11" x14ac:dyDescent="0.25">
      <c r="A266" s="13">
        <v>36152</v>
      </c>
      <c r="B266" s="14">
        <v>0</v>
      </c>
      <c r="C266" s="14">
        <v>545</v>
      </c>
      <c r="D266" s="14"/>
      <c r="E266" s="14">
        <v>2992</v>
      </c>
      <c r="F266" s="14"/>
      <c r="G266" s="14">
        <v>2850</v>
      </c>
      <c r="H266" s="31">
        <f t="shared" si="6"/>
        <v>545</v>
      </c>
      <c r="I266" s="31"/>
      <c r="J266" s="31"/>
      <c r="K266" s="12">
        <v>51</v>
      </c>
    </row>
    <row r="267" spans="1:11" x14ac:dyDescent="0.25">
      <c r="A267" s="13">
        <v>36159</v>
      </c>
      <c r="B267" s="14">
        <v>1</v>
      </c>
      <c r="C267" s="14">
        <v>147</v>
      </c>
      <c r="D267" s="14"/>
      <c r="E267" s="14">
        <v>2056</v>
      </c>
      <c r="F267" s="14"/>
      <c r="G267" s="14">
        <v>2259</v>
      </c>
      <c r="H267" s="31">
        <f t="shared" si="6"/>
        <v>148</v>
      </c>
      <c r="I267" s="31"/>
      <c r="J267" s="31"/>
      <c r="K267" s="12">
        <v>52</v>
      </c>
    </row>
    <row r="268" spans="1:11" x14ac:dyDescent="0.25">
      <c r="A268" s="13">
        <v>36166</v>
      </c>
      <c r="B268" s="14">
        <v>0</v>
      </c>
      <c r="C268" s="14">
        <v>53</v>
      </c>
      <c r="D268" s="14"/>
      <c r="E268" s="14">
        <v>2740</v>
      </c>
      <c r="F268" s="14"/>
      <c r="G268" s="14">
        <v>1674</v>
      </c>
      <c r="H268" s="31">
        <f t="shared" si="6"/>
        <v>53</v>
      </c>
      <c r="I268" s="31"/>
      <c r="J268" s="31"/>
      <c r="K268" s="12">
        <v>1</v>
      </c>
    </row>
    <row r="269" spans="1:11" x14ac:dyDescent="0.25">
      <c r="A269" s="13">
        <v>36173</v>
      </c>
      <c r="B269" s="14">
        <v>0</v>
      </c>
      <c r="C269" s="14">
        <v>329</v>
      </c>
      <c r="D269" s="14"/>
      <c r="E269" s="14">
        <v>2519</v>
      </c>
      <c r="F269" s="14"/>
      <c r="G269" s="14">
        <v>2769</v>
      </c>
      <c r="H269" s="31">
        <f t="shared" si="6"/>
        <v>329</v>
      </c>
      <c r="I269" s="31"/>
      <c r="J269" s="31"/>
      <c r="K269" s="12">
        <v>2</v>
      </c>
    </row>
    <row r="270" spans="1:11" x14ac:dyDescent="0.25">
      <c r="A270" s="13">
        <v>36180</v>
      </c>
      <c r="B270" s="14">
        <v>0</v>
      </c>
      <c r="C270" s="14">
        <v>589</v>
      </c>
      <c r="D270" s="14"/>
      <c r="E270" s="14">
        <v>3065</v>
      </c>
      <c r="F270" s="14"/>
      <c r="G270" s="14">
        <v>2907</v>
      </c>
      <c r="H270" s="31">
        <f t="shared" si="6"/>
        <v>589</v>
      </c>
      <c r="I270" s="31"/>
      <c r="J270" s="31"/>
      <c r="K270" s="12">
        <v>3</v>
      </c>
    </row>
    <row r="271" spans="1:11" x14ac:dyDescent="0.25">
      <c r="A271" s="13">
        <v>36187</v>
      </c>
      <c r="B271" s="14">
        <v>69</v>
      </c>
      <c r="C271" s="14">
        <v>613</v>
      </c>
      <c r="D271" s="14"/>
      <c r="E271" s="14">
        <v>3069</v>
      </c>
      <c r="F271" s="14"/>
      <c r="G271" s="14">
        <v>2471</v>
      </c>
      <c r="H271" s="31">
        <f t="shared" si="6"/>
        <v>682</v>
      </c>
      <c r="I271" s="31"/>
      <c r="J271" s="31"/>
      <c r="K271" s="12">
        <v>4</v>
      </c>
    </row>
    <row r="272" spans="1:11" x14ac:dyDescent="0.25">
      <c r="A272" s="13">
        <v>36194</v>
      </c>
      <c r="B272" s="14">
        <v>0</v>
      </c>
      <c r="C272" s="14">
        <v>421</v>
      </c>
      <c r="D272" s="14"/>
      <c r="E272" s="14">
        <v>2732</v>
      </c>
      <c r="F272" s="14"/>
      <c r="G272" s="14">
        <v>2117</v>
      </c>
      <c r="H272" s="31">
        <f t="shared" si="6"/>
        <v>421</v>
      </c>
      <c r="I272" s="31"/>
      <c r="J272" s="31"/>
      <c r="K272" s="12">
        <v>5</v>
      </c>
    </row>
    <row r="273" spans="1:11" x14ac:dyDescent="0.25">
      <c r="A273" s="13">
        <v>36201</v>
      </c>
      <c r="B273" s="14">
        <v>0</v>
      </c>
      <c r="C273" s="14">
        <v>291</v>
      </c>
      <c r="D273" s="14"/>
      <c r="E273" s="14">
        <v>2839</v>
      </c>
      <c r="F273" s="14"/>
      <c r="G273" s="14">
        <v>2873</v>
      </c>
      <c r="H273" s="31">
        <f t="shared" si="6"/>
        <v>291</v>
      </c>
      <c r="I273" s="31"/>
      <c r="J273" s="31"/>
      <c r="K273" s="12">
        <v>6</v>
      </c>
    </row>
    <row r="274" spans="1:11" x14ac:dyDescent="0.25">
      <c r="A274" s="13">
        <v>36208</v>
      </c>
      <c r="B274" s="14">
        <v>0</v>
      </c>
      <c r="C274" s="14">
        <v>375</v>
      </c>
      <c r="D274" s="14"/>
      <c r="E274" s="14">
        <v>3257</v>
      </c>
      <c r="F274" s="14"/>
      <c r="G274" s="14">
        <v>2773</v>
      </c>
      <c r="H274" s="31">
        <f t="shared" si="6"/>
        <v>375</v>
      </c>
      <c r="I274" s="31"/>
      <c r="J274" s="31"/>
      <c r="K274" s="12">
        <v>7</v>
      </c>
    </row>
    <row r="275" spans="1:11" x14ac:dyDescent="0.25">
      <c r="A275" s="13">
        <v>36215</v>
      </c>
      <c r="B275" s="14">
        <v>0</v>
      </c>
      <c r="C275" s="14">
        <v>580</v>
      </c>
      <c r="D275" s="14"/>
      <c r="E275" s="14">
        <v>2400</v>
      </c>
      <c r="F275" s="14"/>
      <c r="G275" s="14">
        <v>2830</v>
      </c>
      <c r="H275" s="31">
        <f t="shared" si="6"/>
        <v>580</v>
      </c>
      <c r="I275" s="31"/>
      <c r="J275" s="31"/>
      <c r="K275" s="12">
        <v>8</v>
      </c>
    </row>
    <row r="276" spans="1:11" x14ac:dyDescent="0.25">
      <c r="A276" s="13">
        <v>36222</v>
      </c>
      <c r="B276" s="14">
        <v>0</v>
      </c>
      <c r="C276" s="14">
        <v>194</v>
      </c>
      <c r="D276" s="14"/>
      <c r="E276" s="14">
        <v>2021</v>
      </c>
      <c r="F276" s="14"/>
      <c r="G276" s="14">
        <v>3779</v>
      </c>
      <c r="H276" s="31">
        <f t="shared" si="6"/>
        <v>194</v>
      </c>
      <c r="I276" s="31"/>
      <c r="J276" s="31"/>
      <c r="K276" s="12">
        <v>9</v>
      </c>
    </row>
    <row r="277" spans="1:11" x14ac:dyDescent="0.25">
      <c r="A277" s="13">
        <v>36229</v>
      </c>
      <c r="B277" s="14">
        <v>0</v>
      </c>
      <c r="C277" s="14">
        <v>831</v>
      </c>
      <c r="D277" s="14"/>
      <c r="E277" s="14">
        <v>2195</v>
      </c>
      <c r="F277" s="14"/>
      <c r="G277" s="14">
        <v>3739</v>
      </c>
      <c r="H277" s="31">
        <f t="shared" si="6"/>
        <v>831</v>
      </c>
      <c r="I277" s="31"/>
      <c r="J277" s="31"/>
      <c r="K277" s="12">
        <v>10</v>
      </c>
    </row>
    <row r="278" spans="1:11" x14ac:dyDescent="0.25">
      <c r="A278" s="13">
        <v>36236</v>
      </c>
      <c r="B278" s="14">
        <v>0</v>
      </c>
      <c r="C278" s="14">
        <v>390</v>
      </c>
      <c r="D278" s="14"/>
      <c r="E278" s="14">
        <v>2112</v>
      </c>
      <c r="F278" s="14"/>
      <c r="G278" s="14">
        <v>3012</v>
      </c>
      <c r="H278" s="31">
        <f t="shared" si="6"/>
        <v>390</v>
      </c>
      <c r="I278" s="31"/>
      <c r="J278" s="31"/>
      <c r="K278" s="12">
        <v>11</v>
      </c>
    </row>
    <row r="279" spans="1:11" x14ac:dyDescent="0.25">
      <c r="A279" s="13">
        <v>36243</v>
      </c>
      <c r="B279" s="14">
        <v>0</v>
      </c>
      <c r="C279" s="14">
        <v>85</v>
      </c>
      <c r="D279" s="14"/>
      <c r="E279" s="14">
        <v>1816</v>
      </c>
      <c r="F279" s="14"/>
      <c r="G279" s="14">
        <v>3141</v>
      </c>
      <c r="H279" s="31">
        <f t="shared" si="6"/>
        <v>85</v>
      </c>
      <c r="I279" s="31"/>
      <c r="J279" s="31"/>
      <c r="K279" s="12">
        <v>12</v>
      </c>
    </row>
    <row r="280" spans="1:11" x14ac:dyDescent="0.25">
      <c r="A280" s="13">
        <v>36250</v>
      </c>
      <c r="B280" s="14">
        <v>0</v>
      </c>
      <c r="C280" s="14">
        <v>164</v>
      </c>
      <c r="D280" s="14"/>
      <c r="E280" s="14">
        <v>1924</v>
      </c>
      <c r="F280" s="14"/>
      <c r="G280" s="14">
        <v>3674</v>
      </c>
      <c r="H280" s="31">
        <f t="shared" si="6"/>
        <v>164</v>
      </c>
      <c r="I280" s="31"/>
      <c r="J280" s="31"/>
      <c r="K280" s="12">
        <v>13</v>
      </c>
    </row>
    <row r="281" spans="1:11" x14ac:dyDescent="0.25">
      <c r="A281" s="13">
        <v>36257</v>
      </c>
      <c r="B281" s="14">
        <v>0</v>
      </c>
      <c r="C281" s="14">
        <v>677</v>
      </c>
      <c r="D281" s="14"/>
      <c r="E281" s="14">
        <v>1798</v>
      </c>
      <c r="F281" s="14"/>
      <c r="G281" s="14">
        <v>3390</v>
      </c>
      <c r="H281" s="31">
        <f t="shared" si="6"/>
        <v>677</v>
      </c>
      <c r="I281" s="31"/>
      <c r="J281" s="31"/>
      <c r="K281" s="12">
        <v>14</v>
      </c>
    </row>
    <row r="282" spans="1:11" x14ac:dyDescent="0.25">
      <c r="A282" s="13">
        <v>36264</v>
      </c>
      <c r="B282" s="14">
        <v>0</v>
      </c>
      <c r="C282" s="14">
        <v>215</v>
      </c>
      <c r="D282" s="14"/>
      <c r="E282" s="14">
        <v>2296</v>
      </c>
      <c r="F282" s="14"/>
      <c r="G282" s="14">
        <v>2598</v>
      </c>
      <c r="H282" s="31">
        <f t="shared" si="6"/>
        <v>215</v>
      </c>
      <c r="I282" s="31"/>
      <c r="J282" s="31"/>
      <c r="K282" s="12">
        <v>15</v>
      </c>
    </row>
    <row r="283" spans="1:11" x14ac:dyDescent="0.25">
      <c r="A283" s="13">
        <v>36271</v>
      </c>
      <c r="B283" s="14">
        <v>66</v>
      </c>
      <c r="C283" s="14">
        <v>323</v>
      </c>
      <c r="D283" s="14"/>
      <c r="E283" s="14">
        <v>2132</v>
      </c>
      <c r="F283" s="14"/>
      <c r="G283" s="14">
        <v>3215</v>
      </c>
      <c r="H283" s="31">
        <f t="shared" si="6"/>
        <v>389</v>
      </c>
      <c r="I283" s="31"/>
      <c r="J283" s="31"/>
      <c r="K283" s="12">
        <v>16</v>
      </c>
    </row>
    <row r="284" spans="1:11" x14ac:dyDescent="0.25">
      <c r="A284" s="13">
        <v>36278</v>
      </c>
      <c r="B284" s="14">
        <v>0</v>
      </c>
      <c r="C284" s="14">
        <v>217</v>
      </c>
      <c r="D284" s="14"/>
      <c r="E284" s="14">
        <v>1546</v>
      </c>
      <c r="F284" s="14"/>
      <c r="G284" s="14">
        <v>2908</v>
      </c>
      <c r="H284" s="31">
        <f t="shared" si="6"/>
        <v>217</v>
      </c>
      <c r="I284" s="31"/>
      <c r="J284" s="31"/>
      <c r="K284" s="12">
        <v>17</v>
      </c>
    </row>
    <row r="285" spans="1:11" x14ac:dyDescent="0.25">
      <c r="A285" s="13">
        <v>36285</v>
      </c>
      <c r="B285" s="14">
        <v>123</v>
      </c>
      <c r="C285" s="14">
        <v>107</v>
      </c>
      <c r="D285" s="14"/>
      <c r="E285" s="14">
        <v>2096</v>
      </c>
      <c r="F285" s="14"/>
      <c r="G285" s="14">
        <v>2984</v>
      </c>
      <c r="H285" s="31">
        <f t="shared" si="6"/>
        <v>230</v>
      </c>
      <c r="I285" s="31"/>
      <c r="J285" s="31"/>
      <c r="K285" s="12">
        <v>18</v>
      </c>
    </row>
    <row r="286" spans="1:11" x14ac:dyDescent="0.25">
      <c r="A286" s="13">
        <v>36292</v>
      </c>
      <c r="B286" s="14">
        <v>1</v>
      </c>
      <c r="C286" s="14">
        <v>80</v>
      </c>
      <c r="D286" s="14"/>
      <c r="E286" s="14">
        <v>2406</v>
      </c>
      <c r="F286" s="14"/>
      <c r="G286" s="14">
        <v>2640</v>
      </c>
      <c r="H286" s="31">
        <f t="shared" si="6"/>
        <v>81</v>
      </c>
      <c r="I286" s="31"/>
      <c r="J286" s="31"/>
      <c r="K286" s="12">
        <v>19</v>
      </c>
    </row>
    <row r="287" spans="1:11" x14ac:dyDescent="0.25">
      <c r="A287" s="13">
        <v>36299</v>
      </c>
      <c r="B287" s="14">
        <v>0</v>
      </c>
      <c r="C287" s="14">
        <v>29</v>
      </c>
      <c r="D287" s="14"/>
      <c r="E287" s="14">
        <v>2277</v>
      </c>
      <c r="F287" s="14"/>
      <c r="G287" s="14">
        <v>2775</v>
      </c>
      <c r="H287" s="31">
        <f t="shared" si="6"/>
        <v>29</v>
      </c>
      <c r="I287" s="31"/>
      <c r="J287" s="31"/>
      <c r="K287" s="12">
        <v>20</v>
      </c>
    </row>
    <row r="288" spans="1:11" x14ac:dyDescent="0.25">
      <c r="A288" s="13">
        <v>36306</v>
      </c>
      <c r="B288" s="14">
        <v>0</v>
      </c>
      <c r="C288" s="14">
        <v>242</v>
      </c>
      <c r="D288" s="14"/>
      <c r="E288" s="14">
        <v>2470</v>
      </c>
      <c r="F288" s="14"/>
      <c r="G288" s="14">
        <v>3095</v>
      </c>
      <c r="H288" s="31">
        <f t="shared" si="6"/>
        <v>242</v>
      </c>
      <c r="I288" s="31"/>
      <c r="J288" s="31"/>
      <c r="K288" s="12">
        <v>21</v>
      </c>
    </row>
    <row r="289" spans="1:11" x14ac:dyDescent="0.25">
      <c r="A289" s="13">
        <v>36313</v>
      </c>
      <c r="B289" s="14">
        <v>0</v>
      </c>
      <c r="C289" s="14">
        <v>57</v>
      </c>
      <c r="D289" s="14"/>
      <c r="E289" s="14">
        <v>2916</v>
      </c>
      <c r="F289" s="14"/>
      <c r="G289" s="14">
        <v>2134</v>
      </c>
      <c r="H289" s="31">
        <f t="shared" si="6"/>
        <v>57</v>
      </c>
      <c r="I289" s="31"/>
      <c r="J289" s="31"/>
      <c r="K289" s="12">
        <v>22</v>
      </c>
    </row>
    <row r="290" spans="1:11" x14ac:dyDescent="0.25">
      <c r="A290" s="13">
        <v>36320</v>
      </c>
      <c r="B290" s="14">
        <v>0</v>
      </c>
      <c r="C290" s="14">
        <v>3</v>
      </c>
      <c r="D290" s="14"/>
      <c r="E290" s="14">
        <v>3087</v>
      </c>
      <c r="F290" s="14"/>
      <c r="G290" s="14">
        <v>2225</v>
      </c>
      <c r="H290" s="31">
        <f t="shared" si="6"/>
        <v>3</v>
      </c>
      <c r="I290" s="31"/>
      <c r="J290" s="31"/>
      <c r="K290" s="12">
        <v>23</v>
      </c>
    </row>
    <row r="291" spans="1:11" x14ac:dyDescent="0.25">
      <c r="A291" s="13">
        <v>36327</v>
      </c>
      <c r="B291" s="14">
        <v>0</v>
      </c>
      <c r="C291" s="14">
        <v>5</v>
      </c>
      <c r="D291" s="14"/>
      <c r="E291" s="14">
        <v>2769</v>
      </c>
      <c r="F291" s="14"/>
      <c r="G291" s="14">
        <v>1944</v>
      </c>
      <c r="H291" s="31">
        <f t="shared" si="6"/>
        <v>5</v>
      </c>
      <c r="I291" s="31"/>
      <c r="J291" s="31"/>
      <c r="K291" s="12">
        <v>24</v>
      </c>
    </row>
    <row r="292" spans="1:11" x14ac:dyDescent="0.25">
      <c r="A292" s="13">
        <v>36334</v>
      </c>
      <c r="B292" s="14">
        <v>4</v>
      </c>
      <c r="C292" s="14">
        <v>0</v>
      </c>
      <c r="D292" s="14"/>
      <c r="E292" s="14">
        <v>2297</v>
      </c>
      <c r="F292" s="14"/>
      <c r="G292" s="14">
        <v>2525</v>
      </c>
      <c r="H292" s="31">
        <f t="shared" si="6"/>
        <v>4</v>
      </c>
      <c r="I292" s="31"/>
      <c r="J292" s="31"/>
      <c r="K292" s="12">
        <v>25</v>
      </c>
    </row>
    <row r="293" spans="1:11" x14ac:dyDescent="0.25">
      <c r="A293" s="13">
        <v>36341</v>
      </c>
      <c r="B293" s="14">
        <v>7</v>
      </c>
      <c r="C293" s="14">
        <v>8</v>
      </c>
      <c r="D293" s="14"/>
      <c r="E293" s="14">
        <v>2204</v>
      </c>
      <c r="F293" s="14"/>
      <c r="G293" s="14">
        <v>2544</v>
      </c>
      <c r="H293" s="31">
        <f t="shared" si="6"/>
        <v>15</v>
      </c>
      <c r="I293" s="31"/>
      <c r="J293" s="31"/>
      <c r="K293" s="12">
        <v>26</v>
      </c>
    </row>
    <row r="294" spans="1:11" x14ac:dyDescent="0.25">
      <c r="A294" s="13">
        <v>36348</v>
      </c>
      <c r="B294" s="14">
        <v>2</v>
      </c>
      <c r="C294" s="14">
        <v>143</v>
      </c>
      <c r="D294" s="14"/>
      <c r="E294" s="14">
        <v>1760</v>
      </c>
      <c r="F294" s="14"/>
      <c r="G294" s="14">
        <v>2153</v>
      </c>
      <c r="H294" s="31">
        <f t="shared" si="6"/>
        <v>145</v>
      </c>
      <c r="I294" s="31"/>
      <c r="J294" s="31"/>
      <c r="K294" s="12">
        <v>27</v>
      </c>
    </row>
    <row r="295" spans="1:11" x14ac:dyDescent="0.25">
      <c r="A295" s="13">
        <v>36355</v>
      </c>
      <c r="B295" s="14">
        <v>2</v>
      </c>
      <c r="C295" s="14">
        <v>117</v>
      </c>
      <c r="D295" s="14"/>
      <c r="E295" s="14">
        <v>2256</v>
      </c>
      <c r="F295" s="14"/>
      <c r="G295" s="14">
        <v>2168</v>
      </c>
      <c r="H295" s="31">
        <f t="shared" si="6"/>
        <v>119</v>
      </c>
      <c r="I295" s="31"/>
      <c r="J295" s="31"/>
      <c r="K295" s="12">
        <v>28</v>
      </c>
    </row>
    <row r="296" spans="1:11" x14ac:dyDescent="0.25">
      <c r="A296" s="13">
        <v>36362</v>
      </c>
      <c r="B296" s="14">
        <v>3</v>
      </c>
      <c r="C296" s="14">
        <v>456</v>
      </c>
      <c r="D296" s="14"/>
      <c r="E296" s="14">
        <v>2489</v>
      </c>
      <c r="F296" s="14"/>
      <c r="G296" s="14">
        <v>2304</v>
      </c>
      <c r="H296" s="31">
        <f t="shared" si="6"/>
        <v>459</v>
      </c>
      <c r="I296" s="31"/>
      <c r="J296" s="31"/>
      <c r="K296" s="12">
        <v>29</v>
      </c>
    </row>
    <row r="297" spans="1:11" x14ac:dyDescent="0.25">
      <c r="A297" s="13">
        <v>36369</v>
      </c>
      <c r="B297" s="14">
        <v>71</v>
      </c>
      <c r="C297" s="14">
        <v>91</v>
      </c>
      <c r="D297" s="14"/>
      <c r="E297" s="14">
        <v>2415</v>
      </c>
      <c r="F297" s="14"/>
      <c r="G297" s="14">
        <v>2464</v>
      </c>
      <c r="H297" s="31">
        <f t="shared" si="6"/>
        <v>162</v>
      </c>
      <c r="I297" s="31"/>
      <c r="J297" s="31"/>
      <c r="K297" s="12">
        <v>30</v>
      </c>
    </row>
    <row r="298" spans="1:11" x14ac:dyDescent="0.25">
      <c r="A298" s="13">
        <v>36376</v>
      </c>
      <c r="B298" s="14">
        <v>0</v>
      </c>
      <c r="C298" s="14">
        <v>147</v>
      </c>
      <c r="D298" s="14"/>
      <c r="E298" s="14">
        <v>2859</v>
      </c>
      <c r="F298" s="14"/>
      <c r="G298" s="14">
        <v>2936</v>
      </c>
      <c r="H298" s="31">
        <f t="shared" si="6"/>
        <v>147</v>
      </c>
      <c r="I298" s="31"/>
      <c r="J298" s="31"/>
      <c r="K298" s="12">
        <v>31</v>
      </c>
    </row>
    <row r="299" spans="1:11" x14ac:dyDescent="0.25">
      <c r="A299" s="13">
        <v>36383</v>
      </c>
      <c r="B299" s="14">
        <v>1</v>
      </c>
      <c r="C299" s="14">
        <v>128</v>
      </c>
      <c r="D299" s="14"/>
      <c r="E299" s="14">
        <v>2674</v>
      </c>
      <c r="F299" s="14"/>
      <c r="G299" s="14">
        <v>2940</v>
      </c>
      <c r="H299" s="31">
        <f t="shared" si="6"/>
        <v>129</v>
      </c>
      <c r="I299" s="31"/>
      <c r="J299" s="31"/>
      <c r="K299" s="12">
        <v>32</v>
      </c>
    </row>
    <row r="300" spans="1:11" x14ac:dyDescent="0.25">
      <c r="A300" s="13">
        <v>36390</v>
      </c>
      <c r="B300" s="14">
        <v>8</v>
      </c>
      <c r="C300" s="14">
        <v>179</v>
      </c>
      <c r="D300" s="14"/>
      <c r="E300" s="14">
        <v>3693</v>
      </c>
      <c r="F300" s="14"/>
      <c r="G300" s="14">
        <v>4512</v>
      </c>
      <c r="H300" s="31">
        <f t="shared" si="6"/>
        <v>187</v>
      </c>
      <c r="I300" s="31"/>
      <c r="J300" s="31"/>
      <c r="K300" s="12">
        <v>33</v>
      </c>
    </row>
    <row r="301" spans="1:11" x14ac:dyDescent="0.25">
      <c r="A301" s="13">
        <v>36397</v>
      </c>
      <c r="B301" s="14">
        <v>5</v>
      </c>
      <c r="C301" s="14">
        <v>435</v>
      </c>
      <c r="D301" s="14"/>
      <c r="E301" s="14">
        <v>4044</v>
      </c>
      <c r="F301" s="14"/>
      <c r="G301" s="14">
        <v>4418</v>
      </c>
      <c r="H301" s="31">
        <f t="shared" si="6"/>
        <v>440</v>
      </c>
      <c r="I301" s="31"/>
      <c r="J301" s="31"/>
      <c r="K301" s="12">
        <v>34</v>
      </c>
    </row>
    <row r="302" spans="1:11" x14ac:dyDescent="0.25">
      <c r="A302" s="13">
        <v>36404</v>
      </c>
      <c r="B302" s="14">
        <v>1</v>
      </c>
      <c r="C302" s="14">
        <v>437</v>
      </c>
      <c r="D302" s="14"/>
      <c r="E302" s="14">
        <v>3351</v>
      </c>
      <c r="F302" s="14"/>
      <c r="G302" s="14">
        <v>3282</v>
      </c>
      <c r="H302" s="31">
        <f t="shared" si="6"/>
        <v>438</v>
      </c>
      <c r="I302" s="31"/>
      <c r="J302" s="31"/>
      <c r="K302" s="12">
        <v>35</v>
      </c>
    </row>
    <row r="303" spans="1:11" x14ac:dyDescent="0.25">
      <c r="A303" s="13">
        <v>36411</v>
      </c>
      <c r="B303" s="14">
        <v>6</v>
      </c>
      <c r="C303" s="14">
        <v>268</v>
      </c>
      <c r="D303" s="14"/>
      <c r="E303" s="14">
        <v>3602</v>
      </c>
      <c r="F303" s="14"/>
      <c r="G303" s="14">
        <v>3846</v>
      </c>
      <c r="H303" s="31">
        <f t="shared" si="6"/>
        <v>274</v>
      </c>
      <c r="I303" s="31"/>
      <c r="J303" s="31"/>
      <c r="K303" s="12">
        <v>36</v>
      </c>
    </row>
    <row r="304" spans="1:11" x14ac:dyDescent="0.25">
      <c r="A304" s="13">
        <v>36418</v>
      </c>
      <c r="B304" s="14">
        <v>0</v>
      </c>
      <c r="C304" s="14">
        <v>674</v>
      </c>
      <c r="D304" s="14"/>
      <c r="E304" s="14">
        <v>2892</v>
      </c>
      <c r="F304" s="14"/>
      <c r="G304" s="14">
        <v>4147</v>
      </c>
      <c r="H304" s="31">
        <f t="shared" si="6"/>
        <v>674</v>
      </c>
      <c r="I304" s="111"/>
      <c r="J304" s="111"/>
      <c r="K304" s="12">
        <v>37</v>
      </c>
    </row>
    <row r="305" spans="1:11" x14ac:dyDescent="0.25">
      <c r="A305" s="13">
        <v>36425</v>
      </c>
      <c r="B305" s="14">
        <v>0</v>
      </c>
      <c r="C305" s="14">
        <v>300</v>
      </c>
      <c r="D305" s="14"/>
      <c r="E305" s="14">
        <v>3405</v>
      </c>
      <c r="F305" s="14"/>
      <c r="G305" s="14">
        <v>4156</v>
      </c>
      <c r="H305" s="31">
        <f t="shared" si="6"/>
        <v>300</v>
      </c>
      <c r="I305" s="111"/>
      <c r="J305" s="111"/>
      <c r="K305" s="12">
        <v>38</v>
      </c>
    </row>
    <row r="306" spans="1:11" x14ac:dyDescent="0.25">
      <c r="A306" s="13">
        <v>36432</v>
      </c>
      <c r="B306" s="14">
        <v>0</v>
      </c>
      <c r="C306" s="14">
        <v>467</v>
      </c>
      <c r="D306" s="14"/>
      <c r="E306" s="14">
        <v>2980</v>
      </c>
      <c r="F306" s="14"/>
      <c r="G306" s="14">
        <v>3659</v>
      </c>
      <c r="H306" s="31">
        <f t="shared" si="6"/>
        <v>467</v>
      </c>
      <c r="I306" s="111"/>
      <c r="J306" s="111"/>
      <c r="K306" s="12">
        <v>39</v>
      </c>
    </row>
    <row r="307" spans="1:11" x14ac:dyDescent="0.25">
      <c r="A307" s="13">
        <v>36439</v>
      </c>
      <c r="B307" s="14">
        <v>0</v>
      </c>
      <c r="C307" s="14">
        <v>161</v>
      </c>
      <c r="D307" s="14"/>
      <c r="E307" s="14">
        <v>3405</v>
      </c>
      <c r="F307" s="14"/>
      <c r="G307" s="14">
        <v>3803</v>
      </c>
      <c r="H307" s="31">
        <f t="shared" si="6"/>
        <v>161</v>
      </c>
      <c r="I307" s="111"/>
      <c r="J307" s="111"/>
      <c r="K307" s="12">
        <v>40</v>
      </c>
    </row>
    <row r="308" spans="1:11" x14ac:dyDescent="0.25">
      <c r="A308" s="13">
        <v>36446</v>
      </c>
      <c r="B308" s="14">
        <v>0</v>
      </c>
      <c r="C308" s="14">
        <v>127</v>
      </c>
      <c r="D308" s="14"/>
      <c r="E308" s="14">
        <v>3158</v>
      </c>
      <c r="F308" s="14"/>
      <c r="G308" s="14">
        <v>4013</v>
      </c>
      <c r="H308" s="31">
        <f t="shared" si="6"/>
        <v>127</v>
      </c>
      <c r="I308" s="111"/>
      <c r="J308" s="111"/>
      <c r="K308" s="12">
        <v>41</v>
      </c>
    </row>
    <row r="309" spans="1:11" x14ac:dyDescent="0.25">
      <c r="A309" s="13">
        <v>36453</v>
      </c>
      <c r="B309" s="14">
        <v>0</v>
      </c>
      <c r="C309" s="14">
        <v>295</v>
      </c>
      <c r="D309" s="14"/>
      <c r="E309" s="14">
        <v>3287</v>
      </c>
      <c r="F309" s="14"/>
      <c r="G309" s="14">
        <v>3382</v>
      </c>
      <c r="H309" s="31">
        <f t="shared" si="6"/>
        <v>295</v>
      </c>
      <c r="I309" s="111"/>
      <c r="J309" s="111"/>
      <c r="K309" s="12">
        <v>42</v>
      </c>
    </row>
    <row r="310" spans="1:11" x14ac:dyDescent="0.25">
      <c r="A310" s="13">
        <v>36460</v>
      </c>
      <c r="B310" s="14">
        <v>65</v>
      </c>
      <c r="C310" s="14">
        <v>388</v>
      </c>
      <c r="D310" s="14"/>
      <c r="E310" s="14">
        <v>2626</v>
      </c>
      <c r="F310" s="14"/>
      <c r="G310" s="14">
        <v>3689</v>
      </c>
      <c r="H310" s="31">
        <f t="shared" si="6"/>
        <v>453</v>
      </c>
      <c r="I310" s="111"/>
      <c r="J310" s="111"/>
      <c r="K310" s="12">
        <v>43</v>
      </c>
    </row>
    <row r="311" spans="1:11" x14ac:dyDescent="0.25">
      <c r="A311" s="13">
        <v>36467</v>
      </c>
      <c r="B311" s="14">
        <v>1</v>
      </c>
      <c r="C311" s="14">
        <v>451</v>
      </c>
      <c r="D311" s="14"/>
      <c r="E311" s="14">
        <v>2333</v>
      </c>
      <c r="F311" s="14"/>
      <c r="G311" s="14">
        <v>3063</v>
      </c>
      <c r="H311" s="31">
        <f t="shared" si="6"/>
        <v>452</v>
      </c>
      <c r="I311" s="111"/>
      <c r="J311" s="111"/>
      <c r="K311" s="12">
        <v>44</v>
      </c>
    </row>
    <row r="312" spans="1:11" x14ac:dyDescent="0.25">
      <c r="A312" s="13">
        <v>36474</v>
      </c>
      <c r="B312" s="14">
        <v>3</v>
      </c>
      <c r="C312" s="14">
        <v>470</v>
      </c>
      <c r="D312" s="14"/>
      <c r="E312" s="14">
        <v>2106</v>
      </c>
      <c r="F312" s="14"/>
      <c r="G312" s="14">
        <v>4187</v>
      </c>
      <c r="H312" s="31">
        <f t="shared" si="6"/>
        <v>473</v>
      </c>
      <c r="I312" s="111"/>
      <c r="J312" s="111"/>
      <c r="K312" s="12">
        <v>45</v>
      </c>
    </row>
    <row r="313" spans="1:11" x14ac:dyDescent="0.25">
      <c r="A313" s="13">
        <v>36481</v>
      </c>
      <c r="B313" s="14">
        <v>4</v>
      </c>
      <c r="C313" s="14">
        <v>230</v>
      </c>
      <c r="D313" s="14"/>
      <c r="E313" s="14">
        <v>2135</v>
      </c>
      <c r="F313" s="14"/>
      <c r="G313" s="14">
        <v>4385</v>
      </c>
      <c r="H313" s="31">
        <f t="shared" si="6"/>
        <v>234</v>
      </c>
      <c r="I313" s="111"/>
      <c r="J313" s="111"/>
      <c r="K313" s="12">
        <v>46</v>
      </c>
    </row>
    <row r="314" spans="1:11" x14ac:dyDescent="0.25">
      <c r="A314" s="13">
        <v>36488</v>
      </c>
      <c r="B314" s="14">
        <v>5</v>
      </c>
      <c r="C314" s="14">
        <v>102</v>
      </c>
      <c r="D314" s="14"/>
      <c r="E314" s="14">
        <v>2444</v>
      </c>
      <c r="F314" s="14"/>
      <c r="G314" s="14">
        <v>4122</v>
      </c>
      <c r="H314" s="31">
        <f t="shared" si="6"/>
        <v>107</v>
      </c>
      <c r="I314" s="111"/>
      <c r="J314" s="111"/>
      <c r="K314" s="12">
        <v>47</v>
      </c>
    </row>
    <row r="315" spans="1:11" x14ac:dyDescent="0.25">
      <c r="A315" s="13">
        <v>36495</v>
      </c>
      <c r="B315" s="14">
        <v>1</v>
      </c>
      <c r="C315" s="14">
        <v>63</v>
      </c>
      <c r="D315" s="14"/>
      <c r="E315" s="14">
        <v>1997</v>
      </c>
      <c r="F315" s="14"/>
      <c r="G315" s="14">
        <v>3104</v>
      </c>
      <c r="H315" s="31">
        <f t="shared" si="6"/>
        <v>64</v>
      </c>
      <c r="I315" s="111"/>
      <c r="J315" s="111"/>
      <c r="K315" s="12">
        <v>48</v>
      </c>
    </row>
    <row r="316" spans="1:11" x14ac:dyDescent="0.25">
      <c r="A316" s="13">
        <v>36502</v>
      </c>
      <c r="B316" s="14">
        <v>1</v>
      </c>
      <c r="C316" s="14">
        <v>14</v>
      </c>
      <c r="D316" s="14"/>
      <c r="E316" s="14">
        <v>1629</v>
      </c>
      <c r="F316" s="14"/>
      <c r="G316" s="14">
        <v>3556</v>
      </c>
      <c r="H316" s="31">
        <f t="shared" si="6"/>
        <v>15</v>
      </c>
      <c r="I316" s="111"/>
      <c r="J316" s="111"/>
      <c r="K316" s="12">
        <v>49</v>
      </c>
    </row>
    <row r="317" spans="1:11" x14ac:dyDescent="0.25">
      <c r="A317" s="13">
        <v>36509</v>
      </c>
      <c r="B317" s="14">
        <v>0</v>
      </c>
      <c r="C317" s="14">
        <v>650</v>
      </c>
      <c r="D317" s="14"/>
      <c r="E317" s="14">
        <v>1545</v>
      </c>
      <c r="F317" s="14"/>
      <c r="G317" s="14">
        <v>2328</v>
      </c>
      <c r="H317" s="31">
        <f t="shared" si="6"/>
        <v>650</v>
      </c>
      <c r="I317" s="111"/>
      <c r="J317" s="111"/>
      <c r="K317" s="12">
        <v>50</v>
      </c>
    </row>
    <row r="318" spans="1:11" x14ac:dyDescent="0.25">
      <c r="A318" s="13">
        <v>36516</v>
      </c>
      <c r="B318" s="14">
        <v>1</v>
      </c>
      <c r="C318" s="14">
        <v>260</v>
      </c>
      <c r="D318" s="14"/>
      <c r="E318" s="14">
        <v>2566</v>
      </c>
      <c r="F318" s="14"/>
      <c r="G318" s="14">
        <v>3384</v>
      </c>
      <c r="H318" s="31">
        <f t="shared" si="6"/>
        <v>261</v>
      </c>
      <c r="I318" s="111"/>
      <c r="J318" s="111"/>
      <c r="K318" s="12">
        <v>51</v>
      </c>
    </row>
    <row r="319" spans="1:11" x14ac:dyDescent="0.25">
      <c r="A319" s="13">
        <v>36523</v>
      </c>
      <c r="B319" s="14">
        <v>3</v>
      </c>
      <c r="C319" s="14">
        <v>62</v>
      </c>
      <c r="D319" s="14"/>
      <c r="E319" s="14">
        <v>1435</v>
      </c>
      <c r="F319" s="14"/>
      <c r="G319" s="14">
        <v>2755</v>
      </c>
      <c r="H319" s="31">
        <f t="shared" si="6"/>
        <v>65</v>
      </c>
      <c r="I319" s="111"/>
      <c r="J319" s="111"/>
      <c r="K319" s="12">
        <v>52</v>
      </c>
    </row>
    <row r="320" spans="1:11" x14ac:dyDescent="0.25">
      <c r="A320" s="13">
        <v>36530</v>
      </c>
      <c r="B320" s="14">
        <v>1</v>
      </c>
      <c r="C320" s="14">
        <v>61</v>
      </c>
      <c r="D320" s="14"/>
      <c r="E320" s="14">
        <v>1634</v>
      </c>
      <c r="F320" s="14"/>
      <c r="G320" s="14">
        <v>2338</v>
      </c>
      <c r="H320" s="31">
        <f t="shared" si="6"/>
        <v>62</v>
      </c>
      <c r="I320" s="111"/>
      <c r="J320" s="111"/>
      <c r="K320" s="12">
        <v>1</v>
      </c>
    </row>
    <row r="321" spans="1:11" x14ac:dyDescent="0.25">
      <c r="A321" s="13">
        <v>36537</v>
      </c>
      <c r="B321" s="14">
        <v>0</v>
      </c>
      <c r="C321" s="14">
        <v>18</v>
      </c>
      <c r="D321" s="14"/>
      <c r="E321" s="14">
        <v>2097</v>
      </c>
      <c r="F321" s="14"/>
      <c r="G321" s="14">
        <v>2927</v>
      </c>
      <c r="H321" s="31">
        <f t="shared" si="6"/>
        <v>18</v>
      </c>
      <c r="I321" s="111"/>
      <c r="J321" s="111"/>
      <c r="K321" s="12">
        <v>2</v>
      </c>
    </row>
    <row r="322" spans="1:11" x14ac:dyDescent="0.25">
      <c r="A322" s="13">
        <v>36544</v>
      </c>
      <c r="B322" s="14">
        <v>0</v>
      </c>
      <c r="C322" s="14">
        <v>870</v>
      </c>
      <c r="D322" s="14"/>
      <c r="E322" s="14">
        <v>1999</v>
      </c>
      <c r="F322" s="14"/>
      <c r="G322" s="14">
        <v>4160</v>
      </c>
      <c r="H322" s="31">
        <f t="shared" si="6"/>
        <v>870</v>
      </c>
      <c r="I322" s="111"/>
      <c r="J322" s="111"/>
      <c r="K322" s="12">
        <v>3</v>
      </c>
    </row>
    <row r="323" spans="1:11" x14ac:dyDescent="0.25">
      <c r="A323" s="13">
        <v>36551</v>
      </c>
      <c r="B323" s="14">
        <v>0</v>
      </c>
      <c r="C323" s="14">
        <v>373</v>
      </c>
      <c r="D323" s="14"/>
      <c r="E323" s="14">
        <v>1805</v>
      </c>
      <c r="F323" s="14"/>
      <c r="G323" s="14">
        <v>3903</v>
      </c>
      <c r="H323" s="31">
        <f t="shared" si="6"/>
        <v>373</v>
      </c>
      <c r="I323" s="111"/>
      <c r="J323" s="111"/>
      <c r="K323" s="12">
        <v>4</v>
      </c>
    </row>
    <row r="324" spans="1:11" x14ac:dyDescent="0.25">
      <c r="A324" s="13">
        <v>36558</v>
      </c>
      <c r="B324" s="14">
        <v>0</v>
      </c>
      <c r="C324" s="14">
        <v>105</v>
      </c>
      <c r="D324" s="14"/>
      <c r="E324" s="14">
        <v>1668</v>
      </c>
      <c r="F324" s="14"/>
      <c r="G324" s="14">
        <v>3282</v>
      </c>
      <c r="H324" s="31">
        <f t="shared" si="6"/>
        <v>105</v>
      </c>
      <c r="I324" s="111"/>
      <c r="J324" s="111"/>
      <c r="K324" s="12">
        <v>5</v>
      </c>
    </row>
    <row r="325" spans="1:11" x14ac:dyDescent="0.25">
      <c r="A325" s="13">
        <v>36565</v>
      </c>
      <c r="B325" s="14">
        <v>0</v>
      </c>
      <c r="C325" s="14">
        <v>830</v>
      </c>
      <c r="D325" s="14"/>
      <c r="E325" s="14">
        <v>2370</v>
      </c>
      <c r="F325" s="14"/>
      <c r="G325" s="14">
        <v>3896</v>
      </c>
      <c r="H325" s="31">
        <f t="shared" si="6"/>
        <v>830</v>
      </c>
      <c r="I325" s="111"/>
      <c r="J325" s="111"/>
      <c r="K325" s="12">
        <v>6</v>
      </c>
    </row>
    <row r="326" spans="1:11" x14ac:dyDescent="0.25">
      <c r="A326" s="13">
        <v>36572</v>
      </c>
      <c r="B326" s="14">
        <v>0</v>
      </c>
      <c r="C326" s="14">
        <v>621</v>
      </c>
      <c r="D326" s="14"/>
      <c r="E326" s="14">
        <v>2580</v>
      </c>
      <c r="F326" s="14"/>
      <c r="G326" s="14">
        <v>2825</v>
      </c>
      <c r="H326" s="31">
        <f t="shared" si="6"/>
        <v>621</v>
      </c>
      <c r="I326" s="111"/>
      <c r="J326" s="111"/>
      <c r="K326" s="12">
        <v>7</v>
      </c>
    </row>
    <row r="327" spans="1:11" x14ac:dyDescent="0.25">
      <c r="A327" s="13">
        <v>36579</v>
      </c>
      <c r="B327" s="14">
        <v>1</v>
      </c>
      <c r="C327" s="14">
        <v>524</v>
      </c>
      <c r="D327" s="14"/>
      <c r="E327" s="14">
        <v>2377</v>
      </c>
      <c r="F327" s="14"/>
      <c r="G327" s="14">
        <v>3331</v>
      </c>
      <c r="H327" s="31">
        <f t="shared" si="6"/>
        <v>525</v>
      </c>
      <c r="I327" s="111"/>
      <c r="J327" s="111"/>
      <c r="K327" s="12">
        <v>8</v>
      </c>
    </row>
    <row r="328" spans="1:11" x14ac:dyDescent="0.25">
      <c r="A328" s="13">
        <v>36586</v>
      </c>
      <c r="B328" s="14">
        <v>0</v>
      </c>
      <c r="C328" s="14">
        <v>769</v>
      </c>
      <c r="D328" s="14"/>
      <c r="E328" s="14">
        <v>2519</v>
      </c>
      <c r="F328" s="14"/>
      <c r="G328" s="14">
        <v>3121</v>
      </c>
      <c r="H328" s="31">
        <f t="shared" ref="H328:H391" si="7">B328+C328</f>
        <v>769</v>
      </c>
      <c r="I328" s="111"/>
      <c r="J328" s="111"/>
      <c r="K328" s="12">
        <v>9</v>
      </c>
    </row>
    <row r="329" spans="1:11" x14ac:dyDescent="0.25">
      <c r="A329" s="13">
        <v>36593</v>
      </c>
      <c r="B329" s="14">
        <v>0</v>
      </c>
      <c r="C329" s="14">
        <v>770</v>
      </c>
      <c r="D329" s="14"/>
      <c r="E329" s="14">
        <v>3042</v>
      </c>
      <c r="F329" s="14"/>
      <c r="G329" s="14">
        <v>3118</v>
      </c>
      <c r="H329" s="31">
        <f t="shared" si="7"/>
        <v>770</v>
      </c>
      <c r="I329" s="111"/>
      <c r="J329" s="111"/>
      <c r="K329" s="12">
        <v>10</v>
      </c>
    </row>
    <row r="330" spans="1:11" x14ac:dyDescent="0.25">
      <c r="A330" s="13">
        <v>36600</v>
      </c>
      <c r="B330" s="14">
        <v>0</v>
      </c>
      <c r="C330" s="14">
        <v>206</v>
      </c>
      <c r="D330" s="14"/>
      <c r="E330" s="14">
        <v>1993</v>
      </c>
      <c r="F330" s="14"/>
      <c r="G330" s="14">
        <v>4202</v>
      </c>
      <c r="H330" s="31">
        <f t="shared" si="7"/>
        <v>206</v>
      </c>
      <c r="I330" s="111"/>
      <c r="J330" s="111"/>
      <c r="K330" s="12">
        <v>11</v>
      </c>
    </row>
    <row r="331" spans="1:11" x14ac:dyDescent="0.25">
      <c r="A331" s="13">
        <v>36607</v>
      </c>
      <c r="B331" s="14">
        <v>0</v>
      </c>
      <c r="C331" s="14">
        <v>396</v>
      </c>
      <c r="D331" s="14"/>
      <c r="E331" s="14">
        <v>2358</v>
      </c>
      <c r="F331" s="14"/>
      <c r="G331" s="14">
        <v>2923</v>
      </c>
      <c r="H331" s="31">
        <f t="shared" si="7"/>
        <v>396</v>
      </c>
      <c r="I331" s="111"/>
      <c r="J331" s="111"/>
      <c r="K331" s="12">
        <v>12</v>
      </c>
    </row>
    <row r="332" spans="1:11" x14ac:dyDescent="0.25">
      <c r="A332" s="13">
        <v>36614</v>
      </c>
      <c r="B332" s="14">
        <v>0</v>
      </c>
      <c r="C332" s="14">
        <v>110</v>
      </c>
      <c r="D332" s="14"/>
      <c r="E332" s="14">
        <v>1804</v>
      </c>
      <c r="F332" s="14"/>
      <c r="G332" s="14">
        <v>2998</v>
      </c>
      <c r="H332" s="31">
        <f t="shared" si="7"/>
        <v>110</v>
      </c>
      <c r="I332" s="111"/>
      <c r="J332" s="111"/>
      <c r="K332" s="12">
        <v>13</v>
      </c>
    </row>
    <row r="333" spans="1:11" x14ac:dyDescent="0.25">
      <c r="A333" s="13">
        <v>36621</v>
      </c>
      <c r="B333" s="14">
        <v>0</v>
      </c>
      <c r="C333" s="14">
        <v>237</v>
      </c>
      <c r="D333" s="14"/>
      <c r="E333" s="14">
        <v>2076</v>
      </c>
      <c r="F333" s="14"/>
      <c r="G333" s="14">
        <v>2601</v>
      </c>
      <c r="H333" s="31">
        <f t="shared" si="7"/>
        <v>237</v>
      </c>
      <c r="I333" s="111"/>
      <c r="J333" s="111"/>
      <c r="K333" s="12">
        <v>14</v>
      </c>
    </row>
    <row r="334" spans="1:11" x14ac:dyDescent="0.25">
      <c r="A334" s="13">
        <v>36628</v>
      </c>
      <c r="B334" s="14">
        <v>0</v>
      </c>
      <c r="C334" s="14">
        <v>191</v>
      </c>
      <c r="D334" s="14"/>
      <c r="E334" s="14">
        <v>1509</v>
      </c>
      <c r="F334" s="14"/>
      <c r="G334" s="14">
        <v>2592</v>
      </c>
      <c r="H334" s="31">
        <f t="shared" si="7"/>
        <v>191</v>
      </c>
      <c r="I334" s="111"/>
      <c r="J334" s="111"/>
      <c r="K334" s="12">
        <v>15</v>
      </c>
    </row>
    <row r="335" spans="1:11" x14ac:dyDescent="0.25">
      <c r="A335" s="13">
        <v>36635</v>
      </c>
      <c r="B335" s="14">
        <v>0</v>
      </c>
      <c r="C335" s="14">
        <v>273</v>
      </c>
      <c r="D335" s="14"/>
      <c r="E335" s="14">
        <v>2090</v>
      </c>
      <c r="F335" s="14"/>
      <c r="G335" s="14">
        <v>2710</v>
      </c>
      <c r="H335" s="31">
        <f t="shared" si="7"/>
        <v>273</v>
      </c>
      <c r="I335" s="111"/>
      <c r="J335" s="111"/>
      <c r="K335" s="12">
        <v>16</v>
      </c>
    </row>
    <row r="336" spans="1:11" x14ac:dyDescent="0.25">
      <c r="A336" s="13">
        <v>36642</v>
      </c>
      <c r="B336" s="14">
        <v>0</v>
      </c>
      <c r="C336" s="14">
        <v>233</v>
      </c>
      <c r="D336" s="14"/>
      <c r="E336" s="14">
        <v>1940</v>
      </c>
      <c r="F336" s="14"/>
      <c r="G336" s="14">
        <v>2385</v>
      </c>
      <c r="H336" s="31">
        <f t="shared" si="7"/>
        <v>233</v>
      </c>
      <c r="I336" s="111"/>
      <c r="J336" s="111"/>
      <c r="K336" s="12">
        <v>17</v>
      </c>
    </row>
    <row r="337" spans="1:11" x14ac:dyDescent="0.25">
      <c r="A337" s="13">
        <v>36649</v>
      </c>
      <c r="B337" s="14">
        <v>0</v>
      </c>
      <c r="C337" s="14">
        <v>76</v>
      </c>
      <c r="D337" s="14"/>
      <c r="E337" s="14">
        <v>1508</v>
      </c>
      <c r="F337" s="14"/>
      <c r="G337" s="14">
        <v>2139</v>
      </c>
      <c r="H337" s="31">
        <f t="shared" si="7"/>
        <v>76</v>
      </c>
      <c r="I337" s="111"/>
      <c r="J337" s="111"/>
      <c r="K337" s="12">
        <v>18</v>
      </c>
    </row>
    <row r="338" spans="1:11" x14ac:dyDescent="0.25">
      <c r="A338" s="13">
        <v>36656</v>
      </c>
      <c r="B338" s="14">
        <v>0</v>
      </c>
      <c r="C338" s="14">
        <v>119</v>
      </c>
      <c r="D338" s="14"/>
      <c r="E338" s="14">
        <v>1932</v>
      </c>
      <c r="F338" s="14"/>
      <c r="G338" s="14">
        <v>1666</v>
      </c>
      <c r="H338" s="31">
        <f t="shared" si="7"/>
        <v>119</v>
      </c>
      <c r="I338" s="111"/>
      <c r="J338" s="111"/>
      <c r="K338" s="12">
        <v>19</v>
      </c>
    </row>
    <row r="339" spans="1:11" x14ac:dyDescent="0.25">
      <c r="A339" s="13">
        <v>36663</v>
      </c>
      <c r="B339" s="14">
        <v>0</v>
      </c>
      <c r="C339" s="14">
        <v>50</v>
      </c>
      <c r="D339" s="14"/>
      <c r="E339" s="14">
        <v>2518</v>
      </c>
      <c r="F339" s="14"/>
      <c r="G339" s="14">
        <v>1895</v>
      </c>
      <c r="H339" s="31">
        <f t="shared" si="7"/>
        <v>50</v>
      </c>
      <c r="I339" s="111"/>
      <c r="J339" s="111"/>
      <c r="K339" s="12">
        <v>20</v>
      </c>
    </row>
    <row r="340" spans="1:11" x14ac:dyDescent="0.25">
      <c r="A340" s="13">
        <v>36670</v>
      </c>
      <c r="B340" s="14">
        <v>0</v>
      </c>
      <c r="C340" s="14">
        <v>153</v>
      </c>
      <c r="D340" s="14"/>
      <c r="E340" s="14">
        <v>2400</v>
      </c>
      <c r="F340" s="14"/>
      <c r="G340" s="14">
        <v>1719</v>
      </c>
      <c r="H340" s="31">
        <f t="shared" si="7"/>
        <v>153</v>
      </c>
      <c r="I340" s="111"/>
      <c r="J340" s="111"/>
      <c r="K340" s="12">
        <v>21</v>
      </c>
    </row>
    <row r="341" spans="1:11" x14ac:dyDescent="0.25">
      <c r="A341" s="13">
        <v>36677</v>
      </c>
      <c r="B341" s="14">
        <v>0</v>
      </c>
      <c r="C341" s="14">
        <v>368</v>
      </c>
      <c r="D341" s="14"/>
      <c r="E341" s="14">
        <v>1789</v>
      </c>
      <c r="F341" s="14"/>
      <c r="G341" s="14">
        <v>2196</v>
      </c>
      <c r="H341" s="31">
        <f t="shared" si="7"/>
        <v>368</v>
      </c>
      <c r="I341" s="111"/>
      <c r="J341" s="111"/>
      <c r="K341" s="12">
        <v>22</v>
      </c>
    </row>
    <row r="342" spans="1:11" x14ac:dyDescent="0.25">
      <c r="A342" s="13">
        <v>36684</v>
      </c>
      <c r="B342" s="14">
        <v>0</v>
      </c>
      <c r="C342" s="14">
        <v>9</v>
      </c>
      <c r="D342" s="14"/>
      <c r="E342" s="14">
        <v>2296</v>
      </c>
      <c r="F342" s="14"/>
      <c r="G342" s="14">
        <v>2259</v>
      </c>
      <c r="H342" s="31">
        <f t="shared" si="7"/>
        <v>9</v>
      </c>
      <c r="I342" s="111"/>
      <c r="J342" s="111"/>
      <c r="K342" s="12">
        <v>23</v>
      </c>
    </row>
    <row r="343" spans="1:11" x14ac:dyDescent="0.25">
      <c r="A343" s="13">
        <v>36691</v>
      </c>
      <c r="B343" s="14">
        <v>0</v>
      </c>
      <c r="C343" s="14">
        <v>8</v>
      </c>
      <c r="D343" s="14"/>
      <c r="E343" s="14">
        <v>1607</v>
      </c>
      <c r="F343" s="14"/>
      <c r="G343" s="14">
        <v>1270</v>
      </c>
      <c r="H343" s="31">
        <f t="shared" si="7"/>
        <v>8</v>
      </c>
      <c r="I343" s="111"/>
      <c r="J343" s="111"/>
      <c r="K343" s="12">
        <v>24</v>
      </c>
    </row>
    <row r="344" spans="1:11" x14ac:dyDescent="0.25">
      <c r="A344" s="13">
        <v>36698</v>
      </c>
      <c r="B344" s="14">
        <v>0</v>
      </c>
      <c r="C344" s="14">
        <v>10</v>
      </c>
      <c r="D344" s="14"/>
      <c r="E344" s="14">
        <v>1676</v>
      </c>
      <c r="F344" s="14"/>
      <c r="G344" s="14">
        <v>1792</v>
      </c>
      <c r="H344" s="31">
        <f t="shared" si="7"/>
        <v>10</v>
      </c>
      <c r="I344" s="111"/>
      <c r="J344" s="111"/>
      <c r="K344" s="12">
        <v>25</v>
      </c>
    </row>
    <row r="345" spans="1:11" x14ac:dyDescent="0.25">
      <c r="A345" s="13">
        <v>36705</v>
      </c>
      <c r="B345" s="14">
        <v>0</v>
      </c>
      <c r="C345" s="14">
        <v>56</v>
      </c>
      <c r="D345" s="14"/>
      <c r="E345" s="14">
        <v>2631</v>
      </c>
      <c r="F345" s="14"/>
      <c r="G345" s="14">
        <v>1673</v>
      </c>
      <c r="H345" s="31">
        <f t="shared" si="7"/>
        <v>56</v>
      </c>
      <c r="I345" s="111"/>
      <c r="J345" s="111"/>
      <c r="K345" s="12">
        <v>26</v>
      </c>
    </row>
    <row r="346" spans="1:11" x14ac:dyDescent="0.25">
      <c r="A346" s="13">
        <v>36712</v>
      </c>
      <c r="B346" s="14">
        <v>0</v>
      </c>
      <c r="C346" s="14">
        <v>15</v>
      </c>
      <c r="D346" s="14"/>
      <c r="E346" s="14">
        <v>1519</v>
      </c>
      <c r="F346" s="14"/>
      <c r="G346" s="14">
        <v>1627</v>
      </c>
      <c r="H346" s="31">
        <f t="shared" si="7"/>
        <v>15</v>
      </c>
      <c r="I346" s="111"/>
      <c r="J346" s="111"/>
      <c r="K346" s="12">
        <v>27</v>
      </c>
    </row>
    <row r="347" spans="1:11" x14ac:dyDescent="0.25">
      <c r="A347" s="13">
        <v>36719</v>
      </c>
      <c r="B347" s="14">
        <v>0</v>
      </c>
      <c r="C347" s="14">
        <v>161</v>
      </c>
      <c r="D347" s="14"/>
      <c r="E347" s="14">
        <v>1628</v>
      </c>
      <c r="F347" s="14"/>
      <c r="G347" s="14">
        <v>2269</v>
      </c>
      <c r="H347" s="31">
        <f t="shared" si="7"/>
        <v>161</v>
      </c>
      <c r="I347" s="111"/>
      <c r="J347" s="111"/>
      <c r="K347" s="12">
        <v>28</v>
      </c>
    </row>
    <row r="348" spans="1:11" x14ac:dyDescent="0.25">
      <c r="A348" s="13">
        <v>36726</v>
      </c>
      <c r="B348" s="14">
        <v>0</v>
      </c>
      <c r="C348" s="14">
        <v>128</v>
      </c>
      <c r="D348" s="14"/>
      <c r="E348" s="14">
        <v>1621</v>
      </c>
      <c r="F348" s="14"/>
      <c r="G348" s="14">
        <v>1302</v>
      </c>
      <c r="H348" s="31">
        <f t="shared" si="7"/>
        <v>128</v>
      </c>
      <c r="I348" s="111"/>
      <c r="J348" s="111"/>
      <c r="K348" s="12">
        <v>29</v>
      </c>
    </row>
    <row r="349" spans="1:11" x14ac:dyDescent="0.25">
      <c r="A349" s="13">
        <v>36733</v>
      </c>
      <c r="B349" s="14">
        <v>0</v>
      </c>
      <c r="C349" s="14">
        <v>379</v>
      </c>
      <c r="D349" s="14"/>
      <c r="E349" s="14">
        <v>2033</v>
      </c>
      <c r="F349" s="14"/>
      <c r="G349" s="14">
        <v>1837</v>
      </c>
      <c r="H349" s="31">
        <f t="shared" si="7"/>
        <v>379</v>
      </c>
      <c r="I349" s="111"/>
      <c r="J349" s="111"/>
      <c r="K349" s="12">
        <v>30</v>
      </c>
    </row>
    <row r="350" spans="1:11" x14ac:dyDescent="0.25">
      <c r="A350" s="13">
        <v>36740</v>
      </c>
      <c r="B350" s="14">
        <v>0</v>
      </c>
      <c r="C350" s="14">
        <v>45</v>
      </c>
      <c r="D350" s="14"/>
      <c r="E350" s="14">
        <v>1891</v>
      </c>
      <c r="F350" s="14"/>
      <c r="G350" s="14">
        <v>1756</v>
      </c>
      <c r="H350" s="31">
        <f t="shared" si="7"/>
        <v>45</v>
      </c>
      <c r="I350" s="111"/>
      <c r="J350" s="111"/>
      <c r="K350" s="12">
        <v>31</v>
      </c>
    </row>
    <row r="351" spans="1:11" x14ac:dyDescent="0.25">
      <c r="A351" s="13">
        <v>36747</v>
      </c>
      <c r="B351" s="14">
        <v>0</v>
      </c>
      <c r="C351" s="14">
        <v>4</v>
      </c>
      <c r="D351" s="14"/>
      <c r="E351" s="14">
        <v>2244</v>
      </c>
      <c r="F351" s="14"/>
      <c r="G351" s="14">
        <v>1812</v>
      </c>
      <c r="H351" s="31">
        <f t="shared" si="7"/>
        <v>4</v>
      </c>
      <c r="I351" s="111"/>
      <c r="J351" s="111"/>
      <c r="K351" s="12">
        <v>32</v>
      </c>
    </row>
    <row r="352" spans="1:11" x14ac:dyDescent="0.25">
      <c r="A352" s="13">
        <v>36754</v>
      </c>
      <c r="B352" s="14">
        <v>0</v>
      </c>
      <c r="C352" s="14">
        <v>83</v>
      </c>
      <c r="D352" s="14"/>
      <c r="E352" s="14">
        <v>2053</v>
      </c>
      <c r="F352" s="14"/>
      <c r="G352" s="14">
        <v>2530</v>
      </c>
      <c r="H352" s="31">
        <f t="shared" si="7"/>
        <v>83</v>
      </c>
      <c r="I352" s="111"/>
      <c r="J352" s="111"/>
      <c r="K352" s="12">
        <v>33</v>
      </c>
    </row>
    <row r="353" spans="1:11" x14ac:dyDescent="0.25">
      <c r="A353" s="13">
        <v>36761</v>
      </c>
      <c r="B353" s="14">
        <v>0</v>
      </c>
      <c r="C353" s="14">
        <v>4</v>
      </c>
      <c r="D353" s="14"/>
      <c r="E353" s="14">
        <v>1872</v>
      </c>
      <c r="F353" s="14"/>
      <c r="G353" s="14">
        <v>2772</v>
      </c>
      <c r="H353" s="31">
        <f t="shared" si="7"/>
        <v>4</v>
      </c>
      <c r="I353" s="111"/>
      <c r="J353" s="111"/>
      <c r="K353" s="12">
        <v>34</v>
      </c>
    </row>
    <row r="354" spans="1:11" x14ac:dyDescent="0.25">
      <c r="A354" s="13">
        <v>36768</v>
      </c>
      <c r="B354" s="14">
        <v>0</v>
      </c>
      <c r="C354" s="14">
        <v>163</v>
      </c>
      <c r="D354" s="14"/>
      <c r="E354" s="14">
        <v>2467</v>
      </c>
      <c r="F354" s="14"/>
      <c r="G354" s="14">
        <v>2979</v>
      </c>
      <c r="H354" s="31">
        <f t="shared" si="7"/>
        <v>163</v>
      </c>
      <c r="I354" s="111"/>
      <c r="J354" s="111"/>
      <c r="K354" s="12">
        <v>35</v>
      </c>
    </row>
    <row r="355" spans="1:11" x14ac:dyDescent="0.25">
      <c r="A355" s="13">
        <v>36775</v>
      </c>
      <c r="B355" s="14">
        <v>0</v>
      </c>
      <c r="C355" s="14">
        <v>328</v>
      </c>
      <c r="D355" s="14"/>
      <c r="E355" s="14">
        <v>2374</v>
      </c>
      <c r="F355" s="14"/>
      <c r="G355" s="14">
        <v>3292</v>
      </c>
      <c r="H355" s="31">
        <f t="shared" si="7"/>
        <v>328</v>
      </c>
      <c r="I355" s="111"/>
      <c r="J355" s="111"/>
      <c r="K355" s="12">
        <v>36</v>
      </c>
    </row>
    <row r="356" spans="1:11" x14ac:dyDescent="0.25">
      <c r="A356" s="13">
        <v>36782</v>
      </c>
      <c r="B356" s="14">
        <v>0</v>
      </c>
      <c r="C356" s="14">
        <v>201</v>
      </c>
      <c r="D356" s="14"/>
      <c r="E356" s="14">
        <v>2401</v>
      </c>
      <c r="F356" s="14"/>
      <c r="G356" s="14">
        <v>3137</v>
      </c>
      <c r="H356" s="31">
        <f t="shared" si="7"/>
        <v>201</v>
      </c>
      <c r="I356" s="111"/>
      <c r="J356" s="111"/>
      <c r="K356" s="12">
        <v>37</v>
      </c>
    </row>
    <row r="357" spans="1:11" x14ac:dyDescent="0.25">
      <c r="A357" s="13">
        <v>36789</v>
      </c>
      <c r="B357" s="14">
        <v>0</v>
      </c>
      <c r="C357" s="14">
        <v>219</v>
      </c>
      <c r="D357" s="14"/>
      <c r="E357" s="14">
        <v>2667</v>
      </c>
      <c r="F357" s="14"/>
      <c r="G357" s="14">
        <v>2092</v>
      </c>
      <c r="H357" s="31">
        <f t="shared" si="7"/>
        <v>219</v>
      </c>
      <c r="I357" s="111"/>
      <c r="J357" s="111"/>
      <c r="K357" s="12">
        <v>38</v>
      </c>
    </row>
    <row r="358" spans="1:11" x14ac:dyDescent="0.25">
      <c r="A358" s="13">
        <v>36796</v>
      </c>
      <c r="B358" s="14">
        <v>0</v>
      </c>
      <c r="C358" s="14">
        <v>296</v>
      </c>
      <c r="D358" s="14"/>
      <c r="E358" s="14">
        <v>2453</v>
      </c>
      <c r="F358" s="14"/>
      <c r="G358" s="14">
        <v>2539</v>
      </c>
      <c r="H358" s="31">
        <f t="shared" si="7"/>
        <v>296</v>
      </c>
      <c r="I358" s="111"/>
      <c r="J358" s="111"/>
      <c r="K358" s="12">
        <v>39</v>
      </c>
    </row>
    <row r="359" spans="1:11" x14ac:dyDescent="0.25">
      <c r="A359" s="13">
        <v>36803</v>
      </c>
      <c r="B359" s="14">
        <v>0</v>
      </c>
      <c r="C359" s="14">
        <v>367</v>
      </c>
      <c r="D359" s="14"/>
      <c r="E359" s="14">
        <v>2102</v>
      </c>
      <c r="F359" s="14"/>
      <c r="G359" s="14">
        <v>2213</v>
      </c>
      <c r="H359" s="31">
        <f t="shared" si="7"/>
        <v>367</v>
      </c>
      <c r="I359" s="111"/>
      <c r="J359" s="111"/>
      <c r="K359" s="12">
        <v>40</v>
      </c>
    </row>
    <row r="360" spans="1:11" x14ac:dyDescent="0.25">
      <c r="A360" s="13">
        <v>36810</v>
      </c>
      <c r="B360" s="14">
        <v>0</v>
      </c>
      <c r="C360" s="14">
        <v>632</v>
      </c>
      <c r="D360" s="14"/>
      <c r="E360" s="14">
        <v>2460</v>
      </c>
      <c r="F360" s="14"/>
      <c r="G360" s="14">
        <v>3321</v>
      </c>
      <c r="H360" s="31">
        <f t="shared" si="7"/>
        <v>632</v>
      </c>
      <c r="I360" s="111"/>
      <c r="J360" s="111"/>
      <c r="K360" s="12">
        <v>41</v>
      </c>
    </row>
    <row r="361" spans="1:11" x14ac:dyDescent="0.25">
      <c r="A361" s="13">
        <v>36817</v>
      </c>
      <c r="B361" s="14">
        <v>0</v>
      </c>
      <c r="C361" s="14">
        <v>389</v>
      </c>
      <c r="D361" s="14"/>
      <c r="E361" s="14">
        <v>1678</v>
      </c>
      <c r="F361" s="14"/>
      <c r="G361" s="14">
        <v>2822</v>
      </c>
      <c r="H361" s="31">
        <f t="shared" si="7"/>
        <v>389</v>
      </c>
      <c r="I361" s="111"/>
      <c r="J361" s="111"/>
      <c r="K361" s="12">
        <v>42</v>
      </c>
    </row>
    <row r="362" spans="1:11" x14ac:dyDescent="0.25">
      <c r="A362" s="13">
        <v>36824</v>
      </c>
      <c r="B362" s="14">
        <v>0</v>
      </c>
      <c r="C362" s="14">
        <v>633</v>
      </c>
      <c r="D362" s="14"/>
      <c r="E362" s="14">
        <v>2037</v>
      </c>
      <c r="F362" s="14"/>
      <c r="G362" s="14">
        <v>3188</v>
      </c>
      <c r="H362" s="31">
        <f t="shared" si="7"/>
        <v>633</v>
      </c>
      <c r="I362" s="111"/>
      <c r="J362" s="111"/>
      <c r="K362" s="12">
        <v>43</v>
      </c>
    </row>
    <row r="363" spans="1:11" x14ac:dyDescent="0.25">
      <c r="A363" s="13">
        <v>36831</v>
      </c>
      <c r="B363" s="14">
        <v>0</v>
      </c>
      <c r="C363" s="14">
        <v>826</v>
      </c>
      <c r="D363" s="14"/>
      <c r="E363" s="14">
        <v>2144</v>
      </c>
      <c r="F363" s="14"/>
      <c r="G363" s="14">
        <v>1986</v>
      </c>
      <c r="H363" s="31">
        <f t="shared" si="7"/>
        <v>826</v>
      </c>
      <c r="I363" s="111"/>
      <c r="J363" s="111"/>
      <c r="K363" s="12">
        <v>44</v>
      </c>
    </row>
    <row r="364" spans="1:11" x14ac:dyDescent="0.25">
      <c r="A364" s="13">
        <v>36838</v>
      </c>
      <c r="B364" s="14">
        <v>0</v>
      </c>
      <c r="C364" s="14">
        <v>455</v>
      </c>
      <c r="D364" s="14"/>
      <c r="E364" s="14">
        <v>1642</v>
      </c>
      <c r="F364" s="14"/>
      <c r="G364" s="14">
        <v>2627</v>
      </c>
      <c r="H364" s="31">
        <f t="shared" si="7"/>
        <v>455</v>
      </c>
      <c r="I364" s="111"/>
      <c r="J364" s="111"/>
      <c r="K364" s="12">
        <v>45</v>
      </c>
    </row>
    <row r="365" spans="1:11" x14ac:dyDescent="0.25">
      <c r="A365" s="13">
        <v>36845</v>
      </c>
      <c r="B365" s="14">
        <v>0</v>
      </c>
      <c r="C365" s="14">
        <v>519</v>
      </c>
      <c r="D365" s="14"/>
      <c r="E365" s="14">
        <v>1797</v>
      </c>
      <c r="F365" s="14"/>
      <c r="G365" s="14">
        <v>2066</v>
      </c>
      <c r="H365" s="31">
        <f t="shared" si="7"/>
        <v>519</v>
      </c>
      <c r="I365" s="111"/>
      <c r="J365" s="111"/>
      <c r="K365" s="12">
        <v>46</v>
      </c>
    </row>
    <row r="366" spans="1:11" x14ac:dyDescent="0.25">
      <c r="A366" s="13">
        <v>36852</v>
      </c>
      <c r="B366" s="14">
        <v>0</v>
      </c>
      <c r="C366" s="14">
        <v>358</v>
      </c>
      <c r="D366" s="14"/>
      <c r="E366" s="14">
        <v>1717</v>
      </c>
      <c r="F366" s="14"/>
      <c r="G366" s="14">
        <v>2194</v>
      </c>
      <c r="H366" s="31">
        <f t="shared" si="7"/>
        <v>358</v>
      </c>
      <c r="I366" s="111"/>
      <c r="J366" s="111"/>
      <c r="K366" s="12">
        <v>47</v>
      </c>
    </row>
    <row r="367" spans="1:11" x14ac:dyDescent="0.25">
      <c r="A367" s="13">
        <v>36859</v>
      </c>
      <c r="B367" s="14">
        <v>0</v>
      </c>
      <c r="C367" s="14">
        <v>367</v>
      </c>
      <c r="D367" s="14"/>
      <c r="E367" s="14">
        <v>1755</v>
      </c>
      <c r="F367" s="14"/>
      <c r="G367" s="14">
        <v>1598</v>
      </c>
      <c r="H367" s="31">
        <f t="shared" si="7"/>
        <v>367</v>
      </c>
      <c r="I367" s="111"/>
      <c r="J367" s="111"/>
      <c r="K367" s="12">
        <v>48</v>
      </c>
    </row>
    <row r="368" spans="1:11" x14ac:dyDescent="0.25">
      <c r="A368" s="13">
        <v>36866</v>
      </c>
      <c r="B368" s="14">
        <v>0</v>
      </c>
      <c r="C368" s="14">
        <v>201</v>
      </c>
      <c r="D368" s="14"/>
      <c r="E368" s="14">
        <v>1469</v>
      </c>
      <c r="F368" s="14"/>
      <c r="G368" s="14">
        <v>1600</v>
      </c>
      <c r="H368" s="31">
        <f t="shared" si="7"/>
        <v>201</v>
      </c>
      <c r="I368" s="111"/>
      <c r="J368" s="111"/>
      <c r="K368" s="12">
        <v>49</v>
      </c>
    </row>
    <row r="369" spans="1:11" x14ac:dyDescent="0.25">
      <c r="A369" s="13">
        <v>36873</v>
      </c>
      <c r="B369" s="14">
        <v>0</v>
      </c>
      <c r="C369" s="14">
        <v>345</v>
      </c>
      <c r="D369" s="14"/>
      <c r="E369" s="14">
        <v>1717</v>
      </c>
      <c r="F369" s="14"/>
      <c r="G369" s="14">
        <v>1571</v>
      </c>
      <c r="H369" s="31">
        <f t="shared" si="7"/>
        <v>345</v>
      </c>
      <c r="I369" s="111"/>
      <c r="J369" s="111"/>
      <c r="K369" s="12">
        <v>50</v>
      </c>
    </row>
    <row r="370" spans="1:11" x14ac:dyDescent="0.25">
      <c r="A370" s="13">
        <v>36880</v>
      </c>
      <c r="B370" s="14">
        <v>0</v>
      </c>
      <c r="C370" s="14">
        <v>129</v>
      </c>
      <c r="D370" s="14"/>
      <c r="E370" s="14">
        <v>1184</v>
      </c>
      <c r="F370" s="14"/>
      <c r="G370" s="14">
        <v>1985</v>
      </c>
      <c r="H370" s="31">
        <f t="shared" si="7"/>
        <v>129</v>
      </c>
      <c r="I370" s="111"/>
      <c r="J370" s="111"/>
      <c r="K370" s="12">
        <v>51</v>
      </c>
    </row>
    <row r="371" spans="1:11" x14ac:dyDescent="0.25">
      <c r="A371" s="13">
        <v>36887</v>
      </c>
      <c r="B371" s="14">
        <v>0</v>
      </c>
      <c r="C371" s="14">
        <v>131</v>
      </c>
      <c r="D371" s="14"/>
      <c r="E371" s="14">
        <v>1330</v>
      </c>
      <c r="F371" s="14"/>
      <c r="G371" s="14">
        <v>1378</v>
      </c>
      <c r="H371" s="31">
        <f t="shared" si="7"/>
        <v>131</v>
      </c>
      <c r="I371" s="111"/>
      <c r="J371" s="111"/>
      <c r="K371" s="12">
        <v>52</v>
      </c>
    </row>
    <row r="372" spans="1:11" x14ac:dyDescent="0.25">
      <c r="A372" s="13">
        <v>36894</v>
      </c>
      <c r="B372" s="14">
        <v>0</v>
      </c>
      <c r="C372" s="14">
        <v>610</v>
      </c>
      <c r="D372" s="14"/>
      <c r="E372" s="14">
        <v>749</v>
      </c>
      <c r="F372" s="14"/>
      <c r="G372" s="14">
        <v>1635</v>
      </c>
      <c r="H372" s="31">
        <f t="shared" si="7"/>
        <v>610</v>
      </c>
      <c r="I372" s="111"/>
      <c r="J372" s="111"/>
      <c r="K372" s="12">
        <v>1</v>
      </c>
    </row>
    <row r="373" spans="1:11" x14ac:dyDescent="0.25">
      <c r="A373" s="13">
        <v>36901</v>
      </c>
      <c r="B373" s="14">
        <v>0</v>
      </c>
      <c r="C373" s="14">
        <v>455</v>
      </c>
      <c r="D373" s="14"/>
      <c r="E373" s="14">
        <v>1427</v>
      </c>
      <c r="F373" s="14"/>
      <c r="G373" s="14">
        <v>1915</v>
      </c>
      <c r="H373" s="31">
        <f t="shared" si="7"/>
        <v>455</v>
      </c>
      <c r="I373" s="111"/>
      <c r="J373" s="111"/>
      <c r="K373" s="12">
        <v>2</v>
      </c>
    </row>
    <row r="374" spans="1:11" x14ac:dyDescent="0.25">
      <c r="A374" s="13">
        <v>36908</v>
      </c>
      <c r="B374" s="14">
        <v>0</v>
      </c>
      <c r="C374" s="14">
        <v>973</v>
      </c>
      <c r="D374" s="14"/>
      <c r="E374" s="14">
        <v>811</v>
      </c>
      <c r="F374" s="14"/>
      <c r="G374" s="14">
        <v>3023</v>
      </c>
      <c r="H374" s="31">
        <f t="shared" si="7"/>
        <v>973</v>
      </c>
      <c r="I374" s="111"/>
      <c r="J374" s="111"/>
      <c r="K374" s="12">
        <v>3</v>
      </c>
    </row>
    <row r="375" spans="1:11" x14ac:dyDescent="0.25">
      <c r="A375" s="13">
        <v>36915</v>
      </c>
      <c r="B375" s="14">
        <v>0</v>
      </c>
      <c r="C375" s="14">
        <v>831</v>
      </c>
      <c r="D375" s="14"/>
      <c r="E375" s="14">
        <v>1479</v>
      </c>
      <c r="F375" s="14"/>
      <c r="G375" s="14">
        <v>2588</v>
      </c>
      <c r="H375" s="31">
        <f t="shared" si="7"/>
        <v>831</v>
      </c>
      <c r="I375" s="111"/>
      <c r="J375" s="111"/>
      <c r="K375" s="12">
        <v>4</v>
      </c>
    </row>
    <row r="376" spans="1:11" x14ac:dyDescent="0.25">
      <c r="A376" s="13">
        <v>36922</v>
      </c>
      <c r="B376" s="14">
        <v>0</v>
      </c>
      <c r="C376" s="14">
        <v>892</v>
      </c>
      <c r="D376" s="14"/>
      <c r="E376" s="14">
        <v>1519</v>
      </c>
      <c r="F376" s="14"/>
      <c r="G376" s="14">
        <v>3067</v>
      </c>
      <c r="H376" s="31">
        <f t="shared" si="7"/>
        <v>892</v>
      </c>
      <c r="I376" s="111"/>
      <c r="J376" s="111"/>
      <c r="K376" s="12">
        <v>5</v>
      </c>
    </row>
    <row r="377" spans="1:11" x14ac:dyDescent="0.25">
      <c r="A377" s="13">
        <v>36929</v>
      </c>
      <c r="B377" s="14">
        <v>0</v>
      </c>
      <c r="C377" s="14">
        <v>908</v>
      </c>
      <c r="D377" s="14"/>
      <c r="E377" s="14">
        <v>2419</v>
      </c>
      <c r="F377" s="14"/>
      <c r="G377" s="14">
        <v>2351</v>
      </c>
      <c r="H377" s="31">
        <f t="shared" si="7"/>
        <v>908</v>
      </c>
      <c r="I377" s="111"/>
      <c r="J377" s="111"/>
      <c r="K377" s="12">
        <v>6</v>
      </c>
    </row>
    <row r="378" spans="1:11" x14ac:dyDescent="0.25">
      <c r="A378" s="13">
        <v>36936</v>
      </c>
      <c r="B378" s="14">
        <v>0</v>
      </c>
      <c r="C378" s="14">
        <v>1251</v>
      </c>
      <c r="D378" s="14"/>
      <c r="E378" s="14">
        <v>2257</v>
      </c>
      <c r="F378" s="14"/>
      <c r="G378" s="14">
        <v>2034</v>
      </c>
      <c r="H378" s="31">
        <f t="shared" si="7"/>
        <v>1251</v>
      </c>
      <c r="I378" s="111"/>
      <c r="J378" s="111"/>
      <c r="K378" s="12">
        <v>7</v>
      </c>
    </row>
    <row r="379" spans="1:11" x14ac:dyDescent="0.25">
      <c r="A379" s="13">
        <v>36943</v>
      </c>
      <c r="B379" s="14">
        <v>0</v>
      </c>
      <c r="C379" s="14">
        <v>972</v>
      </c>
      <c r="D379" s="14"/>
      <c r="E379" s="14">
        <v>1524</v>
      </c>
      <c r="F379" s="14"/>
      <c r="G379" s="14">
        <v>2920</v>
      </c>
      <c r="H379" s="31">
        <f t="shared" si="7"/>
        <v>972</v>
      </c>
      <c r="I379" s="111"/>
      <c r="J379" s="111"/>
      <c r="K379" s="12">
        <v>8</v>
      </c>
    </row>
    <row r="380" spans="1:11" x14ac:dyDescent="0.25">
      <c r="A380" s="13">
        <v>36950</v>
      </c>
      <c r="B380" s="14">
        <v>0</v>
      </c>
      <c r="C380" s="14">
        <v>1185</v>
      </c>
      <c r="D380" s="14"/>
      <c r="E380" s="14">
        <v>1903</v>
      </c>
      <c r="F380" s="14"/>
      <c r="G380" s="14">
        <v>3012</v>
      </c>
      <c r="H380" s="31">
        <f t="shared" si="7"/>
        <v>1185</v>
      </c>
      <c r="I380" s="111"/>
      <c r="J380" s="111"/>
      <c r="K380" s="12">
        <v>9</v>
      </c>
    </row>
    <row r="381" spans="1:11" x14ac:dyDescent="0.25">
      <c r="A381" s="13">
        <v>36957</v>
      </c>
      <c r="B381" s="14">
        <v>0</v>
      </c>
      <c r="C381" s="14">
        <v>764</v>
      </c>
      <c r="D381" s="14"/>
      <c r="E381" s="14">
        <v>1993</v>
      </c>
      <c r="F381" s="14"/>
      <c r="G381" s="14">
        <v>2101</v>
      </c>
      <c r="H381" s="31">
        <f t="shared" si="7"/>
        <v>764</v>
      </c>
      <c r="I381" s="111"/>
      <c r="J381" s="111"/>
      <c r="K381" s="12">
        <v>10</v>
      </c>
    </row>
    <row r="382" spans="1:11" x14ac:dyDescent="0.25">
      <c r="A382" s="13">
        <v>36964</v>
      </c>
      <c r="B382" s="14">
        <v>0</v>
      </c>
      <c r="C382" s="14">
        <v>942</v>
      </c>
      <c r="D382" s="14"/>
      <c r="E382" s="14">
        <v>1113</v>
      </c>
      <c r="F382" s="14"/>
      <c r="G382" s="14">
        <v>2788</v>
      </c>
      <c r="H382" s="31">
        <f t="shared" si="7"/>
        <v>942</v>
      </c>
      <c r="I382" s="111"/>
      <c r="J382" s="111"/>
      <c r="K382" s="12">
        <v>11</v>
      </c>
    </row>
    <row r="383" spans="1:11" x14ac:dyDescent="0.25">
      <c r="A383" s="13">
        <v>36971</v>
      </c>
      <c r="B383" s="14">
        <v>0</v>
      </c>
      <c r="C383" s="14">
        <v>996</v>
      </c>
      <c r="D383" s="14"/>
      <c r="E383" s="14">
        <v>995</v>
      </c>
      <c r="F383" s="14"/>
      <c r="G383" s="14">
        <v>2944</v>
      </c>
      <c r="H383" s="31">
        <f t="shared" si="7"/>
        <v>996</v>
      </c>
      <c r="I383" s="111"/>
      <c r="J383" s="111"/>
      <c r="K383" s="12">
        <v>12</v>
      </c>
    </row>
    <row r="384" spans="1:11" x14ac:dyDescent="0.25">
      <c r="A384" s="13">
        <v>36978</v>
      </c>
      <c r="B384" s="14">
        <v>0</v>
      </c>
      <c r="C384" s="14">
        <v>774</v>
      </c>
      <c r="D384" s="14"/>
      <c r="E384" s="14">
        <v>1774</v>
      </c>
      <c r="F384" s="14"/>
      <c r="G384" s="14">
        <v>3507</v>
      </c>
      <c r="H384" s="31">
        <f t="shared" si="7"/>
        <v>774</v>
      </c>
      <c r="I384" s="111"/>
      <c r="J384" s="111"/>
      <c r="K384" s="12">
        <v>13</v>
      </c>
    </row>
    <row r="385" spans="1:11" x14ac:dyDescent="0.25">
      <c r="A385" s="13">
        <v>36985</v>
      </c>
      <c r="B385" s="14">
        <v>0</v>
      </c>
      <c r="C385" s="14">
        <v>407</v>
      </c>
      <c r="D385" s="14"/>
      <c r="E385" s="14">
        <v>1227</v>
      </c>
      <c r="F385" s="14"/>
      <c r="G385" s="14">
        <v>2739</v>
      </c>
      <c r="H385" s="31">
        <f t="shared" si="7"/>
        <v>407</v>
      </c>
      <c r="I385" s="111"/>
      <c r="J385" s="111"/>
      <c r="K385" s="12">
        <v>14</v>
      </c>
    </row>
    <row r="386" spans="1:11" x14ac:dyDescent="0.25">
      <c r="A386" s="13">
        <v>36992</v>
      </c>
      <c r="B386" s="14">
        <v>0</v>
      </c>
      <c r="C386" s="14">
        <v>427</v>
      </c>
      <c r="D386" s="14"/>
      <c r="E386" s="14">
        <v>1810</v>
      </c>
      <c r="F386" s="14"/>
      <c r="G386" s="14">
        <v>2294</v>
      </c>
      <c r="H386" s="31">
        <f t="shared" si="7"/>
        <v>427</v>
      </c>
      <c r="I386" s="111"/>
      <c r="J386" s="111"/>
      <c r="K386" s="12">
        <v>15</v>
      </c>
    </row>
    <row r="387" spans="1:11" x14ac:dyDescent="0.25">
      <c r="A387" s="13">
        <v>36999</v>
      </c>
      <c r="B387" s="14">
        <v>0</v>
      </c>
      <c r="C387" s="14">
        <v>225</v>
      </c>
      <c r="D387" s="14"/>
      <c r="E387" s="14">
        <v>2176</v>
      </c>
      <c r="F387" s="14"/>
      <c r="G387" s="14">
        <v>1635</v>
      </c>
      <c r="H387" s="31">
        <f t="shared" si="7"/>
        <v>225</v>
      </c>
      <c r="I387" s="111"/>
      <c r="J387" s="111"/>
      <c r="K387" s="12">
        <v>16</v>
      </c>
    </row>
    <row r="388" spans="1:11" x14ac:dyDescent="0.25">
      <c r="A388" s="13">
        <v>37006</v>
      </c>
      <c r="B388" s="14">
        <v>0</v>
      </c>
      <c r="C388" s="14">
        <v>48</v>
      </c>
      <c r="D388" s="14"/>
      <c r="E388" s="14">
        <v>2286</v>
      </c>
      <c r="F388" s="14"/>
      <c r="G388" s="14">
        <v>1592</v>
      </c>
      <c r="H388" s="31">
        <f t="shared" si="7"/>
        <v>48</v>
      </c>
      <c r="I388" s="111"/>
      <c r="J388" s="111"/>
      <c r="K388" s="12">
        <v>17</v>
      </c>
    </row>
    <row r="389" spans="1:11" x14ac:dyDescent="0.25">
      <c r="A389" s="13">
        <v>37013</v>
      </c>
      <c r="B389" s="14">
        <v>0</v>
      </c>
      <c r="C389" s="14">
        <v>28</v>
      </c>
      <c r="D389" s="14"/>
      <c r="E389" s="14">
        <v>1503</v>
      </c>
      <c r="F389" s="14"/>
      <c r="G389" s="14">
        <v>1293</v>
      </c>
      <c r="H389" s="31">
        <f t="shared" si="7"/>
        <v>28</v>
      </c>
      <c r="I389" s="111"/>
      <c r="J389" s="111"/>
      <c r="K389" s="12">
        <v>18</v>
      </c>
    </row>
    <row r="390" spans="1:11" x14ac:dyDescent="0.25">
      <c r="A390" s="13">
        <v>37020</v>
      </c>
      <c r="B390" s="14">
        <v>0</v>
      </c>
      <c r="C390" s="14">
        <v>118</v>
      </c>
      <c r="D390" s="14"/>
      <c r="E390" s="14">
        <v>1516</v>
      </c>
      <c r="F390" s="14"/>
      <c r="G390" s="14">
        <v>1230</v>
      </c>
      <c r="H390" s="31">
        <f t="shared" si="7"/>
        <v>118</v>
      </c>
      <c r="I390" s="111"/>
      <c r="J390" s="111"/>
      <c r="K390" s="12">
        <v>19</v>
      </c>
    </row>
    <row r="391" spans="1:11" x14ac:dyDescent="0.25">
      <c r="A391" s="13">
        <v>37027</v>
      </c>
      <c r="B391" s="14">
        <v>0</v>
      </c>
      <c r="C391" s="14">
        <v>196</v>
      </c>
      <c r="D391" s="14"/>
      <c r="E391" s="14">
        <v>1211</v>
      </c>
      <c r="F391" s="14"/>
      <c r="G391" s="14">
        <v>1103</v>
      </c>
      <c r="H391" s="31">
        <f t="shared" si="7"/>
        <v>196</v>
      </c>
      <c r="I391" s="111"/>
      <c r="J391" s="111"/>
      <c r="K391" s="12">
        <v>20</v>
      </c>
    </row>
    <row r="392" spans="1:11" x14ac:dyDescent="0.25">
      <c r="A392" s="13">
        <v>37034</v>
      </c>
      <c r="B392" s="14">
        <v>0</v>
      </c>
      <c r="C392" s="14">
        <v>390</v>
      </c>
      <c r="D392" s="14"/>
      <c r="E392" s="14">
        <v>1228</v>
      </c>
      <c r="F392" s="14"/>
      <c r="G392" s="14">
        <v>1400</v>
      </c>
      <c r="H392" s="31">
        <f t="shared" ref="H392:H455" si="8">B392+C392</f>
        <v>390</v>
      </c>
      <c r="I392" s="111"/>
      <c r="J392" s="111"/>
      <c r="K392" s="12">
        <v>21</v>
      </c>
    </row>
    <row r="393" spans="1:11" x14ac:dyDescent="0.25">
      <c r="A393" s="13">
        <v>37041</v>
      </c>
      <c r="B393" s="14">
        <v>0</v>
      </c>
      <c r="C393" s="14">
        <v>31</v>
      </c>
      <c r="D393" s="14"/>
      <c r="E393" s="14">
        <v>1088</v>
      </c>
      <c r="F393" s="14"/>
      <c r="G393" s="14">
        <v>530</v>
      </c>
      <c r="H393" s="31">
        <f t="shared" si="8"/>
        <v>31</v>
      </c>
      <c r="I393" s="111"/>
      <c r="J393" s="111"/>
      <c r="K393" s="12">
        <v>22</v>
      </c>
    </row>
    <row r="394" spans="1:11" x14ac:dyDescent="0.25">
      <c r="A394" s="13">
        <v>37048</v>
      </c>
      <c r="B394" s="14">
        <v>0</v>
      </c>
      <c r="C394" s="14">
        <v>152</v>
      </c>
      <c r="D394" s="14"/>
      <c r="E394" s="14">
        <v>1165</v>
      </c>
      <c r="F394" s="14"/>
      <c r="G394" s="14">
        <v>1923</v>
      </c>
      <c r="H394" s="31">
        <f t="shared" si="8"/>
        <v>152</v>
      </c>
      <c r="I394" s="111"/>
      <c r="J394" s="111"/>
      <c r="K394" s="12">
        <v>23</v>
      </c>
    </row>
    <row r="395" spans="1:11" x14ac:dyDescent="0.25">
      <c r="A395" s="13">
        <v>37055</v>
      </c>
      <c r="B395" s="14">
        <v>0</v>
      </c>
      <c r="C395" s="14">
        <v>55</v>
      </c>
      <c r="D395" s="14"/>
      <c r="E395" s="14">
        <v>1607</v>
      </c>
      <c r="F395" s="14"/>
      <c r="G395" s="14">
        <v>1101</v>
      </c>
      <c r="H395" s="31">
        <f t="shared" si="8"/>
        <v>55</v>
      </c>
      <c r="I395" s="111"/>
      <c r="J395" s="111"/>
      <c r="K395" s="12">
        <v>24</v>
      </c>
    </row>
    <row r="396" spans="1:11" x14ac:dyDescent="0.25">
      <c r="A396" s="13">
        <v>37062</v>
      </c>
      <c r="B396" s="14">
        <v>0</v>
      </c>
      <c r="C396" s="14">
        <v>102</v>
      </c>
      <c r="D396" s="14"/>
      <c r="E396" s="14">
        <v>1142</v>
      </c>
      <c r="F396" s="14"/>
      <c r="G396" s="14">
        <v>1791</v>
      </c>
      <c r="H396" s="31">
        <f t="shared" si="8"/>
        <v>102</v>
      </c>
      <c r="I396" s="111"/>
      <c r="J396" s="111"/>
      <c r="K396" s="12">
        <v>25</v>
      </c>
    </row>
    <row r="397" spans="1:11" x14ac:dyDescent="0.25">
      <c r="A397" s="13">
        <v>37069</v>
      </c>
      <c r="B397" s="14">
        <v>0</v>
      </c>
      <c r="C397" s="14">
        <v>705</v>
      </c>
      <c r="D397" s="14"/>
      <c r="E397" s="14">
        <v>2157</v>
      </c>
      <c r="F397" s="14"/>
      <c r="G397" s="14">
        <v>1784</v>
      </c>
      <c r="H397" s="31">
        <f t="shared" si="8"/>
        <v>705</v>
      </c>
      <c r="I397" s="111"/>
      <c r="J397" s="111"/>
      <c r="K397" s="12">
        <v>26</v>
      </c>
    </row>
    <row r="398" spans="1:11" x14ac:dyDescent="0.25">
      <c r="A398" s="13">
        <v>37076</v>
      </c>
      <c r="B398" s="14">
        <v>0</v>
      </c>
      <c r="C398" s="14">
        <v>139</v>
      </c>
      <c r="D398" s="14"/>
      <c r="E398" s="14">
        <v>2142</v>
      </c>
      <c r="F398" s="14"/>
      <c r="G398" s="14">
        <v>1968</v>
      </c>
      <c r="H398" s="31">
        <f t="shared" si="8"/>
        <v>139</v>
      </c>
      <c r="I398" s="111"/>
      <c r="J398" s="111"/>
      <c r="K398" s="12">
        <v>27</v>
      </c>
    </row>
    <row r="399" spans="1:11" x14ac:dyDescent="0.25">
      <c r="A399" s="13">
        <v>37083</v>
      </c>
      <c r="B399" s="14">
        <v>0</v>
      </c>
      <c r="C399" s="14">
        <v>309</v>
      </c>
      <c r="D399" s="14"/>
      <c r="E399" s="14">
        <v>879</v>
      </c>
      <c r="F399" s="14"/>
      <c r="G399" s="14">
        <v>2345</v>
      </c>
      <c r="H399" s="31">
        <f t="shared" si="8"/>
        <v>309</v>
      </c>
      <c r="I399" s="111"/>
      <c r="J399" s="111"/>
      <c r="K399" s="12">
        <v>28</v>
      </c>
    </row>
    <row r="400" spans="1:11" x14ac:dyDescent="0.25">
      <c r="A400" s="13">
        <v>37090</v>
      </c>
      <c r="B400" s="14">
        <v>0</v>
      </c>
      <c r="C400" s="14">
        <v>470</v>
      </c>
      <c r="D400" s="14"/>
      <c r="E400" s="14">
        <v>956</v>
      </c>
      <c r="F400" s="14"/>
      <c r="G400" s="14">
        <v>2460</v>
      </c>
      <c r="H400" s="31">
        <f t="shared" si="8"/>
        <v>470</v>
      </c>
      <c r="I400" s="111"/>
      <c r="J400" s="111"/>
      <c r="K400" s="12">
        <v>29</v>
      </c>
    </row>
    <row r="401" spans="1:11" x14ac:dyDescent="0.25">
      <c r="A401" s="13">
        <v>37097</v>
      </c>
      <c r="B401" s="14">
        <v>0</v>
      </c>
      <c r="C401" s="14">
        <v>54</v>
      </c>
      <c r="D401" s="14"/>
      <c r="E401" s="14">
        <v>998</v>
      </c>
      <c r="F401" s="14"/>
      <c r="G401" s="14">
        <v>2703</v>
      </c>
      <c r="H401" s="31">
        <f t="shared" si="8"/>
        <v>54</v>
      </c>
      <c r="I401" s="111"/>
      <c r="J401" s="111"/>
      <c r="K401" s="12">
        <v>30</v>
      </c>
    </row>
    <row r="402" spans="1:11" x14ac:dyDescent="0.25">
      <c r="A402" s="13">
        <v>37104</v>
      </c>
      <c r="B402" s="14">
        <v>0</v>
      </c>
      <c r="C402" s="14">
        <v>463</v>
      </c>
      <c r="D402" s="14"/>
      <c r="E402" s="14">
        <v>1144</v>
      </c>
      <c r="F402" s="14"/>
      <c r="G402" s="14">
        <v>1882</v>
      </c>
      <c r="H402" s="31">
        <f t="shared" si="8"/>
        <v>463</v>
      </c>
      <c r="I402" s="111"/>
      <c r="J402" s="111"/>
      <c r="K402" s="12">
        <v>31</v>
      </c>
    </row>
    <row r="403" spans="1:11" x14ac:dyDescent="0.25">
      <c r="A403" s="13">
        <v>37111</v>
      </c>
      <c r="B403" s="14">
        <v>0</v>
      </c>
      <c r="C403" s="14">
        <v>459</v>
      </c>
      <c r="D403" s="14"/>
      <c r="E403" s="14">
        <v>1195</v>
      </c>
      <c r="F403" s="14"/>
      <c r="G403" s="14">
        <v>2362</v>
      </c>
      <c r="H403" s="31">
        <f t="shared" si="8"/>
        <v>459</v>
      </c>
      <c r="I403" s="111"/>
      <c r="J403" s="111"/>
      <c r="K403" s="12">
        <v>32</v>
      </c>
    </row>
    <row r="404" spans="1:11" x14ac:dyDescent="0.25">
      <c r="A404" s="13">
        <v>37118</v>
      </c>
      <c r="B404" s="14">
        <v>0</v>
      </c>
      <c r="C404" s="14">
        <v>438</v>
      </c>
      <c r="D404" s="14"/>
      <c r="E404" s="14">
        <v>771</v>
      </c>
      <c r="F404" s="14"/>
      <c r="G404" s="14">
        <v>1712</v>
      </c>
      <c r="H404" s="31">
        <f t="shared" si="8"/>
        <v>438</v>
      </c>
      <c r="I404" s="111"/>
      <c r="J404" s="111"/>
      <c r="K404" s="12">
        <v>33</v>
      </c>
    </row>
    <row r="405" spans="1:11" x14ac:dyDescent="0.25">
      <c r="A405" s="13">
        <v>37125</v>
      </c>
      <c r="B405" s="14">
        <v>0</v>
      </c>
      <c r="C405" s="14">
        <v>310</v>
      </c>
      <c r="D405" s="14"/>
      <c r="E405" s="14">
        <v>1595</v>
      </c>
      <c r="F405" s="14"/>
      <c r="G405" s="14">
        <v>1808</v>
      </c>
      <c r="H405" s="31">
        <f t="shared" si="8"/>
        <v>310</v>
      </c>
      <c r="I405" s="111"/>
      <c r="J405" s="111"/>
      <c r="K405" s="12">
        <v>34</v>
      </c>
    </row>
    <row r="406" spans="1:11" x14ac:dyDescent="0.25">
      <c r="A406" s="13">
        <v>37132</v>
      </c>
      <c r="B406" s="14">
        <v>0</v>
      </c>
      <c r="C406" s="14">
        <v>125</v>
      </c>
      <c r="D406" s="14"/>
      <c r="E406" s="14">
        <v>1851</v>
      </c>
      <c r="F406" s="14"/>
      <c r="G406" s="14">
        <v>2239</v>
      </c>
      <c r="H406" s="31">
        <f t="shared" si="8"/>
        <v>125</v>
      </c>
      <c r="I406" s="111"/>
      <c r="J406" s="111"/>
      <c r="K406" s="12">
        <v>35</v>
      </c>
    </row>
    <row r="407" spans="1:11" x14ac:dyDescent="0.25">
      <c r="A407" s="13">
        <v>37139</v>
      </c>
      <c r="B407" s="14">
        <v>0</v>
      </c>
      <c r="C407" s="14">
        <v>110</v>
      </c>
      <c r="D407" s="14"/>
      <c r="E407" s="14">
        <v>1487</v>
      </c>
      <c r="F407" s="14"/>
      <c r="G407" s="14">
        <v>1789</v>
      </c>
      <c r="H407" s="31">
        <f t="shared" si="8"/>
        <v>110</v>
      </c>
      <c r="I407" s="111"/>
      <c r="J407" s="111"/>
      <c r="K407" s="12">
        <v>36</v>
      </c>
    </row>
    <row r="408" spans="1:11" x14ac:dyDescent="0.25">
      <c r="A408" s="13">
        <v>37146</v>
      </c>
      <c r="B408" s="14">
        <v>0</v>
      </c>
      <c r="C408" s="14">
        <v>214</v>
      </c>
      <c r="D408" s="14"/>
      <c r="E408" s="14">
        <v>1513</v>
      </c>
      <c r="F408" s="14"/>
      <c r="G408" s="14">
        <v>1580</v>
      </c>
      <c r="H408" s="31">
        <f t="shared" si="8"/>
        <v>214</v>
      </c>
      <c r="I408" s="111"/>
      <c r="J408" s="111"/>
      <c r="K408" s="12">
        <v>37</v>
      </c>
    </row>
    <row r="409" spans="1:11" x14ac:dyDescent="0.25">
      <c r="A409" s="13">
        <v>37153</v>
      </c>
      <c r="B409" s="14">
        <v>0</v>
      </c>
      <c r="C409" s="14">
        <v>243</v>
      </c>
      <c r="D409" s="14"/>
      <c r="E409" s="14">
        <v>1119</v>
      </c>
      <c r="F409" s="14"/>
      <c r="G409" s="14">
        <v>1469</v>
      </c>
      <c r="H409" s="31">
        <f t="shared" si="8"/>
        <v>243</v>
      </c>
      <c r="I409" s="111"/>
      <c r="J409" s="111"/>
      <c r="K409" s="12">
        <v>38</v>
      </c>
    </row>
    <row r="410" spans="1:11" x14ac:dyDescent="0.25">
      <c r="A410" s="13">
        <v>37160</v>
      </c>
      <c r="B410" s="14">
        <v>0</v>
      </c>
      <c r="C410" s="14">
        <v>413</v>
      </c>
      <c r="D410" s="14"/>
      <c r="E410" s="14">
        <v>1833</v>
      </c>
      <c r="F410" s="14"/>
      <c r="G410" s="14">
        <v>1823</v>
      </c>
      <c r="H410" s="31">
        <f t="shared" si="8"/>
        <v>413</v>
      </c>
      <c r="I410" s="111"/>
      <c r="J410" s="111"/>
      <c r="K410" s="12">
        <v>39</v>
      </c>
    </row>
    <row r="411" spans="1:11" x14ac:dyDescent="0.25">
      <c r="A411" s="13">
        <v>37167</v>
      </c>
      <c r="B411" s="14">
        <v>0</v>
      </c>
      <c r="C411" s="14">
        <v>292</v>
      </c>
      <c r="D411" s="14"/>
      <c r="E411" s="14">
        <v>1368</v>
      </c>
      <c r="F411" s="14"/>
      <c r="G411" s="14">
        <v>1640</v>
      </c>
      <c r="H411" s="31">
        <f t="shared" si="8"/>
        <v>292</v>
      </c>
      <c r="I411" s="111"/>
      <c r="J411" s="111"/>
      <c r="K411" s="12">
        <v>40</v>
      </c>
    </row>
    <row r="412" spans="1:11" x14ac:dyDescent="0.25">
      <c r="A412" s="13">
        <v>37174</v>
      </c>
      <c r="B412" s="14">
        <v>0</v>
      </c>
      <c r="C412" s="14">
        <v>519</v>
      </c>
      <c r="D412" s="14"/>
      <c r="E412" s="14">
        <v>2215</v>
      </c>
      <c r="F412" s="14"/>
      <c r="G412" s="14">
        <v>2861</v>
      </c>
      <c r="H412" s="31">
        <f t="shared" si="8"/>
        <v>519</v>
      </c>
      <c r="I412" s="111"/>
      <c r="J412" s="111"/>
      <c r="K412" s="12">
        <v>41</v>
      </c>
    </row>
    <row r="413" spans="1:11" x14ac:dyDescent="0.25">
      <c r="A413" s="13">
        <v>37181</v>
      </c>
      <c r="B413" s="14">
        <v>0</v>
      </c>
      <c r="C413" s="14">
        <v>696</v>
      </c>
      <c r="D413" s="14"/>
      <c r="E413" s="14">
        <v>1513</v>
      </c>
      <c r="F413" s="14"/>
      <c r="G413" s="14">
        <v>2808</v>
      </c>
      <c r="H413" s="31">
        <f t="shared" si="8"/>
        <v>696</v>
      </c>
      <c r="I413" s="111"/>
      <c r="J413" s="111"/>
      <c r="K413" s="12">
        <v>42</v>
      </c>
    </row>
    <row r="414" spans="1:11" x14ac:dyDescent="0.25">
      <c r="A414" s="13">
        <v>37188</v>
      </c>
      <c r="B414" s="14">
        <v>0</v>
      </c>
      <c r="C414" s="14">
        <v>1000</v>
      </c>
      <c r="D414" s="14"/>
      <c r="E414" s="14">
        <v>1368</v>
      </c>
      <c r="F414" s="14"/>
      <c r="G414" s="14">
        <v>3157</v>
      </c>
      <c r="H414" s="31">
        <f t="shared" si="8"/>
        <v>1000</v>
      </c>
      <c r="I414" s="111"/>
      <c r="J414" s="111"/>
      <c r="K414" s="12">
        <v>43</v>
      </c>
    </row>
    <row r="415" spans="1:11" x14ac:dyDescent="0.25">
      <c r="A415" s="13">
        <v>37195</v>
      </c>
      <c r="B415" s="14">
        <v>0</v>
      </c>
      <c r="C415" s="14">
        <v>1242</v>
      </c>
      <c r="D415" s="14"/>
      <c r="E415" s="14">
        <v>2228</v>
      </c>
      <c r="F415" s="14"/>
      <c r="G415" s="14">
        <v>3663</v>
      </c>
      <c r="H415" s="31">
        <f t="shared" si="8"/>
        <v>1242</v>
      </c>
      <c r="I415" s="111"/>
      <c r="J415" s="111"/>
      <c r="K415" s="12">
        <v>44</v>
      </c>
    </row>
    <row r="416" spans="1:11" x14ac:dyDescent="0.25">
      <c r="A416" s="13">
        <v>37202</v>
      </c>
      <c r="B416" s="14">
        <v>0</v>
      </c>
      <c r="C416" s="14">
        <v>533</v>
      </c>
      <c r="D416" s="14"/>
      <c r="E416" s="14">
        <v>1634</v>
      </c>
      <c r="F416" s="14"/>
      <c r="G416" s="14">
        <v>3336</v>
      </c>
      <c r="H416" s="31">
        <f t="shared" si="8"/>
        <v>533</v>
      </c>
      <c r="I416" s="111"/>
      <c r="J416" s="111"/>
      <c r="K416" s="12">
        <v>45</v>
      </c>
    </row>
    <row r="417" spans="1:11" x14ac:dyDescent="0.25">
      <c r="A417" s="13">
        <v>37209</v>
      </c>
      <c r="B417" s="14">
        <v>0</v>
      </c>
      <c r="C417" s="14">
        <v>313</v>
      </c>
      <c r="D417" s="14"/>
      <c r="E417" s="14">
        <v>2290</v>
      </c>
      <c r="F417" s="14"/>
      <c r="G417" s="14">
        <v>1954</v>
      </c>
      <c r="H417" s="31">
        <f t="shared" si="8"/>
        <v>313</v>
      </c>
      <c r="I417" s="111"/>
      <c r="J417" s="111"/>
      <c r="K417" s="12">
        <v>46</v>
      </c>
    </row>
    <row r="418" spans="1:11" x14ac:dyDescent="0.25">
      <c r="A418" s="13">
        <v>37216</v>
      </c>
      <c r="B418" s="14">
        <v>0</v>
      </c>
      <c r="C418" s="14">
        <v>949</v>
      </c>
      <c r="D418" s="14"/>
      <c r="E418" s="14">
        <v>2246</v>
      </c>
      <c r="F418" s="14"/>
      <c r="G418" s="14">
        <v>2377</v>
      </c>
      <c r="H418" s="31">
        <f t="shared" si="8"/>
        <v>949</v>
      </c>
      <c r="I418" s="111"/>
      <c r="J418" s="111"/>
      <c r="K418" s="12">
        <v>47</v>
      </c>
    </row>
    <row r="419" spans="1:11" x14ac:dyDescent="0.25">
      <c r="A419" s="13">
        <v>37223</v>
      </c>
      <c r="B419" s="14">
        <v>0</v>
      </c>
      <c r="C419" s="14">
        <v>535</v>
      </c>
      <c r="D419" s="14"/>
      <c r="E419" s="14">
        <v>1702</v>
      </c>
      <c r="F419" s="14"/>
      <c r="G419" s="14">
        <v>1638</v>
      </c>
      <c r="H419" s="31">
        <f t="shared" si="8"/>
        <v>535</v>
      </c>
      <c r="I419" s="111"/>
      <c r="J419" s="111"/>
      <c r="K419" s="12">
        <v>48</v>
      </c>
    </row>
    <row r="420" spans="1:11" x14ac:dyDescent="0.25">
      <c r="A420" s="13">
        <v>37230</v>
      </c>
      <c r="B420" s="14">
        <v>0</v>
      </c>
      <c r="C420" s="14">
        <v>605</v>
      </c>
      <c r="D420" s="14"/>
      <c r="E420" s="14">
        <v>2307</v>
      </c>
      <c r="F420" s="14"/>
      <c r="G420" s="14">
        <v>1717</v>
      </c>
      <c r="H420" s="31">
        <f t="shared" si="8"/>
        <v>605</v>
      </c>
      <c r="I420" s="111"/>
      <c r="J420" s="111"/>
      <c r="K420" s="12">
        <v>49</v>
      </c>
    </row>
    <row r="421" spans="1:11" x14ac:dyDescent="0.25">
      <c r="A421" s="13">
        <v>37237</v>
      </c>
      <c r="B421" s="14">
        <v>0</v>
      </c>
      <c r="C421" s="14">
        <v>643</v>
      </c>
      <c r="D421" s="14"/>
      <c r="E421" s="14">
        <v>2081</v>
      </c>
      <c r="F421" s="14"/>
      <c r="G421" s="14">
        <v>1523</v>
      </c>
      <c r="H421" s="31">
        <f t="shared" si="8"/>
        <v>643</v>
      </c>
      <c r="I421" s="111"/>
      <c r="J421" s="111"/>
      <c r="K421" s="12">
        <v>50</v>
      </c>
    </row>
    <row r="422" spans="1:11" x14ac:dyDescent="0.25">
      <c r="A422" s="13">
        <v>37244</v>
      </c>
      <c r="B422" s="14">
        <v>0</v>
      </c>
      <c r="C422" s="14">
        <v>507</v>
      </c>
      <c r="D422" s="14"/>
      <c r="E422" s="14">
        <v>1842</v>
      </c>
      <c r="F422" s="14"/>
      <c r="G422" s="14">
        <v>1953</v>
      </c>
      <c r="H422" s="31">
        <f t="shared" si="8"/>
        <v>507</v>
      </c>
      <c r="I422" s="111"/>
      <c r="J422" s="111"/>
      <c r="K422" s="12">
        <v>51</v>
      </c>
    </row>
    <row r="423" spans="1:11" x14ac:dyDescent="0.25">
      <c r="A423" s="13">
        <v>37251</v>
      </c>
      <c r="B423" s="14">
        <v>0</v>
      </c>
      <c r="C423" s="14">
        <v>586</v>
      </c>
      <c r="D423" s="14"/>
      <c r="E423" s="14">
        <v>1448</v>
      </c>
      <c r="F423" s="14"/>
      <c r="G423" s="14">
        <v>2309</v>
      </c>
      <c r="H423" s="31">
        <f t="shared" si="8"/>
        <v>586</v>
      </c>
      <c r="I423" s="111"/>
      <c r="J423" s="111"/>
      <c r="K423" s="12">
        <v>52</v>
      </c>
    </row>
    <row r="424" spans="1:11" x14ac:dyDescent="0.25">
      <c r="A424" s="34">
        <v>37258</v>
      </c>
      <c r="B424" s="14">
        <v>0</v>
      </c>
      <c r="C424" s="14">
        <v>717</v>
      </c>
      <c r="D424" s="14"/>
      <c r="E424" s="14">
        <v>1263</v>
      </c>
      <c r="F424" s="14">
        <v>287</v>
      </c>
      <c r="G424" s="14">
        <v>1137</v>
      </c>
      <c r="H424" s="31">
        <f t="shared" si="8"/>
        <v>717</v>
      </c>
      <c r="I424" s="111"/>
      <c r="J424" s="111"/>
      <c r="K424" s="12">
        <v>1</v>
      </c>
    </row>
    <row r="425" spans="1:11" x14ac:dyDescent="0.25">
      <c r="A425" s="13">
        <v>37265</v>
      </c>
      <c r="B425" s="14">
        <v>0</v>
      </c>
      <c r="C425" s="14">
        <v>966</v>
      </c>
      <c r="D425" s="14"/>
      <c r="E425" s="14">
        <v>2288</v>
      </c>
      <c r="F425" s="14">
        <v>613</v>
      </c>
      <c r="G425" s="14">
        <v>1928</v>
      </c>
      <c r="H425" s="31">
        <f t="shared" si="8"/>
        <v>966</v>
      </c>
      <c r="I425" s="111"/>
      <c r="J425" s="111"/>
      <c r="K425" s="12">
        <v>2</v>
      </c>
    </row>
    <row r="426" spans="1:11" x14ac:dyDescent="0.25">
      <c r="A426" s="13">
        <v>37272</v>
      </c>
      <c r="B426" s="14">
        <v>0</v>
      </c>
      <c r="C426" s="14">
        <v>1307</v>
      </c>
      <c r="D426" s="14"/>
      <c r="E426" s="14">
        <v>1787</v>
      </c>
      <c r="F426" s="14">
        <v>285</v>
      </c>
      <c r="G426" s="14">
        <v>1472</v>
      </c>
      <c r="H426" s="31">
        <f t="shared" si="8"/>
        <v>1307</v>
      </c>
      <c r="I426" s="111"/>
      <c r="J426" s="111"/>
      <c r="K426" s="12">
        <v>3</v>
      </c>
    </row>
    <row r="427" spans="1:11" x14ac:dyDescent="0.25">
      <c r="A427" s="13">
        <v>37279</v>
      </c>
      <c r="B427" s="14">
        <v>0</v>
      </c>
      <c r="C427" s="14">
        <v>965</v>
      </c>
      <c r="D427" s="14"/>
      <c r="E427" s="14">
        <v>1577</v>
      </c>
      <c r="F427" s="14">
        <v>651</v>
      </c>
      <c r="G427" s="14">
        <v>1379</v>
      </c>
      <c r="H427" s="31">
        <f t="shared" si="8"/>
        <v>965</v>
      </c>
      <c r="I427" s="111"/>
      <c r="J427" s="111"/>
      <c r="K427" s="12">
        <v>4</v>
      </c>
    </row>
    <row r="428" spans="1:11" x14ac:dyDescent="0.25">
      <c r="A428" s="13">
        <v>37286</v>
      </c>
      <c r="B428" s="14">
        <v>0</v>
      </c>
      <c r="C428" s="14">
        <v>873</v>
      </c>
      <c r="D428" s="14"/>
      <c r="E428" s="14">
        <v>2888</v>
      </c>
      <c r="F428" s="14">
        <v>552</v>
      </c>
      <c r="G428" s="14">
        <v>2275</v>
      </c>
      <c r="H428" s="31">
        <f t="shared" si="8"/>
        <v>873</v>
      </c>
      <c r="I428" s="111"/>
      <c r="J428" s="111"/>
      <c r="K428" s="12">
        <v>5</v>
      </c>
    </row>
    <row r="429" spans="1:11" x14ac:dyDescent="0.25">
      <c r="A429" s="13">
        <v>37293</v>
      </c>
      <c r="B429" s="14">
        <v>0</v>
      </c>
      <c r="C429" s="14">
        <v>663</v>
      </c>
      <c r="D429" s="14"/>
      <c r="E429" s="14">
        <v>1384</v>
      </c>
      <c r="F429" s="14">
        <v>621</v>
      </c>
      <c r="G429" s="14">
        <v>3435</v>
      </c>
      <c r="H429" s="31">
        <f t="shared" si="8"/>
        <v>663</v>
      </c>
      <c r="I429" s="111"/>
      <c r="J429" s="111"/>
      <c r="K429" s="12">
        <v>6</v>
      </c>
    </row>
    <row r="430" spans="1:11" x14ac:dyDescent="0.25">
      <c r="A430" s="13">
        <v>37300</v>
      </c>
      <c r="B430" s="14">
        <v>0</v>
      </c>
      <c r="C430" s="14">
        <v>497</v>
      </c>
      <c r="D430" s="14"/>
      <c r="E430" s="14">
        <v>3023</v>
      </c>
      <c r="F430" s="14">
        <v>275</v>
      </c>
      <c r="G430" s="14">
        <v>4316</v>
      </c>
      <c r="H430" s="31">
        <f t="shared" si="8"/>
        <v>497</v>
      </c>
      <c r="I430" s="111"/>
      <c r="J430" s="111"/>
      <c r="K430" s="12">
        <v>7</v>
      </c>
    </row>
    <row r="431" spans="1:11" x14ac:dyDescent="0.25">
      <c r="A431" s="13">
        <v>37307</v>
      </c>
      <c r="B431" s="14">
        <v>0</v>
      </c>
      <c r="C431" s="14">
        <v>603</v>
      </c>
      <c r="D431" s="14"/>
      <c r="E431" s="14">
        <v>2167</v>
      </c>
      <c r="F431" s="14">
        <v>434</v>
      </c>
      <c r="G431" s="14">
        <v>2546</v>
      </c>
      <c r="H431" s="31">
        <f t="shared" si="8"/>
        <v>603</v>
      </c>
      <c r="I431" s="111"/>
      <c r="J431" s="111"/>
      <c r="K431" s="12">
        <v>8</v>
      </c>
    </row>
    <row r="432" spans="1:11" x14ac:dyDescent="0.25">
      <c r="A432" s="13">
        <v>37314</v>
      </c>
      <c r="B432" s="14">
        <v>0</v>
      </c>
      <c r="C432" s="14">
        <v>875</v>
      </c>
      <c r="D432" s="14"/>
      <c r="E432" s="14">
        <v>1965</v>
      </c>
      <c r="F432" s="14">
        <v>550</v>
      </c>
      <c r="G432" s="14">
        <v>2518</v>
      </c>
      <c r="H432" s="31">
        <f t="shared" si="8"/>
        <v>875</v>
      </c>
      <c r="I432" s="111"/>
      <c r="J432" s="111"/>
      <c r="K432" s="12">
        <v>9</v>
      </c>
    </row>
    <row r="433" spans="1:11" x14ac:dyDescent="0.25">
      <c r="A433" s="13">
        <v>37321</v>
      </c>
      <c r="B433" s="14">
        <v>0</v>
      </c>
      <c r="C433" s="14">
        <v>380</v>
      </c>
      <c r="D433" s="14"/>
      <c r="E433" s="14">
        <v>2218</v>
      </c>
      <c r="F433" s="14">
        <v>1289</v>
      </c>
      <c r="G433" s="14">
        <v>2518</v>
      </c>
      <c r="H433" s="31">
        <f t="shared" si="8"/>
        <v>380</v>
      </c>
      <c r="I433" s="111"/>
      <c r="J433" s="111"/>
      <c r="K433" s="12">
        <v>10</v>
      </c>
    </row>
    <row r="434" spans="1:11" x14ac:dyDescent="0.25">
      <c r="A434" s="13">
        <v>37328</v>
      </c>
      <c r="B434" s="14">
        <v>0</v>
      </c>
      <c r="C434" s="14">
        <v>349</v>
      </c>
      <c r="D434" s="14"/>
      <c r="E434" s="14">
        <v>1753</v>
      </c>
      <c r="F434" s="14">
        <v>1447</v>
      </c>
      <c r="G434" s="14">
        <v>1864</v>
      </c>
      <c r="H434" s="31">
        <f t="shared" si="8"/>
        <v>349</v>
      </c>
      <c r="I434" s="111"/>
      <c r="J434" s="111"/>
      <c r="K434" s="12">
        <v>11</v>
      </c>
    </row>
    <row r="435" spans="1:11" x14ac:dyDescent="0.25">
      <c r="A435" s="13">
        <v>37335</v>
      </c>
      <c r="B435" s="14">
        <v>0</v>
      </c>
      <c r="C435" s="14">
        <v>279</v>
      </c>
      <c r="D435" s="14"/>
      <c r="E435" s="14">
        <v>1719</v>
      </c>
      <c r="F435" s="14">
        <v>1591</v>
      </c>
      <c r="G435" s="14">
        <v>1984</v>
      </c>
      <c r="H435" s="31">
        <f t="shared" si="8"/>
        <v>279</v>
      </c>
      <c r="I435" s="111"/>
      <c r="J435" s="111"/>
      <c r="K435" s="12">
        <v>12</v>
      </c>
    </row>
    <row r="436" spans="1:11" x14ac:dyDescent="0.25">
      <c r="A436" s="13">
        <v>37342</v>
      </c>
      <c r="B436" s="14">
        <v>0</v>
      </c>
      <c r="C436" s="14">
        <v>236</v>
      </c>
      <c r="D436" s="14"/>
      <c r="E436" s="14">
        <v>2123</v>
      </c>
      <c r="F436" s="14">
        <v>1087</v>
      </c>
      <c r="G436" s="14">
        <v>2027</v>
      </c>
      <c r="H436" s="31">
        <f t="shared" si="8"/>
        <v>236</v>
      </c>
      <c r="I436" s="111"/>
      <c r="J436" s="111"/>
      <c r="K436" s="12">
        <v>13</v>
      </c>
    </row>
    <row r="437" spans="1:11" x14ac:dyDescent="0.25">
      <c r="A437" s="13">
        <v>37349</v>
      </c>
      <c r="B437" s="14">
        <v>0</v>
      </c>
      <c r="C437" s="14">
        <v>638</v>
      </c>
      <c r="D437" s="14"/>
      <c r="E437" s="14">
        <v>1824</v>
      </c>
      <c r="F437" s="14">
        <v>1041</v>
      </c>
      <c r="G437" s="14">
        <v>1640</v>
      </c>
      <c r="H437" s="31">
        <f t="shared" si="8"/>
        <v>638</v>
      </c>
      <c r="I437" s="111"/>
      <c r="J437" s="111"/>
      <c r="K437" s="12">
        <v>14</v>
      </c>
    </row>
    <row r="438" spans="1:11" x14ac:dyDescent="0.25">
      <c r="A438" s="13">
        <v>37356</v>
      </c>
      <c r="B438" s="14">
        <v>0</v>
      </c>
      <c r="C438" s="14">
        <v>275</v>
      </c>
      <c r="D438" s="14"/>
      <c r="E438" s="14">
        <v>2524</v>
      </c>
      <c r="F438" s="14">
        <v>1063</v>
      </c>
      <c r="G438" s="14">
        <v>1127</v>
      </c>
      <c r="H438" s="31">
        <f t="shared" si="8"/>
        <v>275</v>
      </c>
      <c r="I438" s="111"/>
      <c r="J438" s="111"/>
      <c r="K438" s="12">
        <v>15</v>
      </c>
    </row>
    <row r="439" spans="1:11" x14ac:dyDescent="0.25">
      <c r="A439" s="13">
        <v>37363</v>
      </c>
      <c r="B439" s="14">
        <v>0</v>
      </c>
      <c r="C439" s="14">
        <v>18</v>
      </c>
      <c r="D439" s="14"/>
      <c r="E439" s="14">
        <v>1241</v>
      </c>
      <c r="F439" s="14">
        <v>1238</v>
      </c>
      <c r="G439" s="14">
        <v>1198</v>
      </c>
      <c r="H439" s="31">
        <f t="shared" si="8"/>
        <v>18</v>
      </c>
      <c r="I439" s="111"/>
      <c r="J439" s="111"/>
      <c r="K439" s="12">
        <v>16</v>
      </c>
    </row>
    <row r="440" spans="1:11" x14ac:dyDescent="0.25">
      <c r="A440" s="13">
        <v>37370</v>
      </c>
      <c r="B440" s="14">
        <v>0</v>
      </c>
      <c r="C440" s="14">
        <v>31</v>
      </c>
      <c r="D440" s="14"/>
      <c r="E440" s="14">
        <v>2037</v>
      </c>
      <c r="F440" s="14">
        <v>765</v>
      </c>
      <c r="G440" s="14">
        <v>1823</v>
      </c>
      <c r="H440" s="31">
        <f t="shared" si="8"/>
        <v>31</v>
      </c>
      <c r="I440" s="111"/>
      <c r="J440" s="111"/>
      <c r="K440" s="12">
        <v>17</v>
      </c>
    </row>
    <row r="441" spans="1:11" x14ac:dyDescent="0.25">
      <c r="A441" s="13">
        <v>37377</v>
      </c>
      <c r="B441" s="14">
        <v>0</v>
      </c>
      <c r="C441" s="14">
        <v>557</v>
      </c>
      <c r="D441" s="14"/>
      <c r="E441" s="14">
        <v>1548</v>
      </c>
      <c r="F441" s="14">
        <v>499</v>
      </c>
      <c r="G441" s="14">
        <v>1276</v>
      </c>
      <c r="H441" s="31">
        <f t="shared" si="8"/>
        <v>557</v>
      </c>
      <c r="I441" s="111"/>
      <c r="J441" s="111"/>
      <c r="K441" s="12">
        <v>18</v>
      </c>
    </row>
    <row r="442" spans="1:11" x14ac:dyDescent="0.25">
      <c r="A442" s="13">
        <v>37384</v>
      </c>
      <c r="B442" s="14">
        <v>0</v>
      </c>
      <c r="C442" s="14">
        <v>313</v>
      </c>
      <c r="D442" s="14"/>
      <c r="E442" s="14">
        <v>1774</v>
      </c>
      <c r="F442" s="14">
        <v>503</v>
      </c>
      <c r="G442" s="14">
        <v>1533</v>
      </c>
      <c r="H442" s="31">
        <f t="shared" si="8"/>
        <v>313</v>
      </c>
      <c r="I442" s="111"/>
      <c r="J442" s="111"/>
      <c r="K442" s="12">
        <v>19</v>
      </c>
    </row>
    <row r="443" spans="1:11" x14ac:dyDescent="0.25">
      <c r="A443" s="13">
        <v>37391</v>
      </c>
      <c r="B443" s="14">
        <v>0</v>
      </c>
      <c r="C443" s="14">
        <v>316</v>
      </c>
      <c r="D443" s="14"/>
      <c r="E443" s="14">
        <v>1377</v>
      </c>
      <c r="F443" s="14">
        <v>1009</v>
      </c>
      <c r="G443" s="14">
        <v>1903</v>
      </c>
      <c r="H443" s="31">
        <f t="shared" si="8"/>
        <v>316</v>
      </c>
      <c r="I443" s="111"/>
      <c r="J443" s="111"/>
      <c r="K443" s="12">
        <v>20</v>
      </c>
    </row>
    <row r="444" spans="1:11" x14ac:dyDescent="0.25">
      <c r="A444" s="13">
        <v>37398</v>
      </c>
      <c r="B444" s="14">
        <v>0</v>
      </c>
      <c r="C444" s="14">
        <v>138</v>
      </c>
      <c r="D444" s="14"/>
      <c r="E444" s="14">
        <v>1461</v>
      </c>
      <c r="F444" s="14">
        <v>863</v>
      </c>
      <c r="G444" s="14">
        <v>1709</v>
      </c>
      <c r="H444" s="31">
        <f t="shared" si="8"/>
        <v>138</v>
      </c>
      <c r="I444" s="111"/>
      <c r="J444" s="111"/>
      <c r="K444" s="12">
        <v>21</v>
      </c>
    </row>
    <row r="445" spans="1:11" x14ac:dyDescent="0.25">
      <c r="A445" s="13">
        <v>37405</v>
      </c>
      <c r="B445" s="14">
        <v>0</v>
      </c>
      <c r="C445" s="14">
        <v>406</v>
      </c>
      <c r="D445" s="14"/>
      <c r="E445" s="14">
        <v>1455</v>
      </c>
      <c r="F445" s="14">
        <v>468</v>
      </c>
      <c r="G445" s="14">
        <v>1742</v>
      </c>
      <c r="H445" s="31">
        <f t="shared" si="8"/>
        <v>406</v>
      </c>
      <c r="I445" s="111"/>
      <c r="J445" s="111"/>
      <c r="K445" s="12">
        <v>22</v>
      </c>
    </row>
    <row r="446" spans="1:11" x14ac:dyDescent="0.25">
      <c r="A446" s="13">
        <v>37412</v>
      </c>
      <c r="B446" s="14">
        <v>0</v>
      </c>
      <c r="C446" s="14">
        <v>528</v>
      </c>
      <c r="D446" s="14"/>
      <c r="E446" s="14">
        <v>1610</v>
      </c>
      <c r="F446" s="14">
        <v>1440</v>
      </c>
      <c r="G446" s="14">
        <v>1721</v>
      </c>
      <c r="H446" s="31">
        <f t="shared" si="8"/>
        <v>528</v>
      </c>
      <c r="I446" s="111"/>
      <c r="J446" s="111"/>
      <c r="K446" s="12">
        <v>23</v>
      </c>
    </row>
    <row r="447" spans="1:11" x14ac:dyDescent="0.25">
      <c r="A447" s="13">
        <v>37419</v>
      </c>
      <c r="B447" s="14">
        <v>0</v>
      </c>
      <c r="C447" s="14">
        <v>314</v>
      </c>
      <c r="D447" s="14"/>
      <c r="E447" s="14">
        <v>1395</v>
      </c>
      <c r="F447" s="14">
        <v>1464</v>
      </c>
      <c r="G447" s="14">
        <v>991</v>
      </c>
      <c r="H447" s="31">
        <f t="shared" si="8"/>
        <v>314</v>
      </c>
      <c r="I447" s="111"/>
      <c r="J447" s="111"/>
      <c r="K447" s="12">
        <v>24</v>
      </c>
    </row>
    <row r="448" spans="1:11" x14ac:dyDescent="0.25">
      <c r="A448" s="13">
        <v>37426</v>
      </c>
      <c r="B448" s="14">
        <v>0</v>
      </c>
      <c r="C448" s="14">
        <v>56</v>
      </c>
      <c r="D448" s="14"/>
      <c r="E448" s="14">
        <v>2060</v>
      </c>
      <c r="F448" s="14">
        <v>828</v>
      </c>
      <c r="G448" s="14">
        <v>1015</v>
      </c>
      <c r="H448" s="31">
        <f t="shared" si="8"/>
        <v>56</v>
      </c>
      <c r="I448" s="111"/>
      <c r="J448" s="111"/>
      <c r="K448" s="12">
        <v>25</v>
      </c>
    </row>
    <row r="449" spans="1:11" x14ac:dyDescent="0.25">
      <c r="A449" s="13">
        <v>37433</v>
      </c>
      <c r="B449" s="14">
        <v>0</v>
      </c>
      <c r="C449" s="14">
        <v>303</v>
      </c>
      <c r="D449" s="14"/>
      <c r="E449" s="14">
        <v>1771</v>
      </c>
      <c r="F449" s="14">
        <v>863</v>
      </c>
      <c r="G449" s="14">
        <v>2036</v>
      </c>
      <c r="H449" s="31">
        <f t="shared" si="8"/>
        <v>303</v>
      </c>
      <c r="I449" s="111"/>
      <c r="J449" s="111"/>
      <c r="K449" s="12">
        <v>26</v>
      </c>
    </row>
    <row r="450" spans="1:11" x14ac:dyDescent="0.25">
      <c r="A450" s="13">
        <v>37440</v>
      </c>
      <c r="B450" s="14">
        <v>0</v>
      </c>
      <c r="C450" s="14">
        <v>686</v>
      </c>
      <c r="D450" s="14"/>
      <c r="E450" s="14">
        <v>1942</v>
      </c>
      <c r="F450" s="14">
        <v>418</v>
      </c>
      <c r="G450" s="14">
        <v>2108</v>
      </c>
      <c r="H450" s="31">
        <f t="shared" si="8"/>
        <v>686</v>
      </c>
      <c r="I450" s="111"/>
      <c r="J450" s="111"/>
      <c r="K450" s="12">
        <v>27</v>
      </c>
    </row>
    <row r="451" spans="1:11" x14ac:dyDescent="0.25">
      <c r="A451" s="13">
        <v>37447</v>
      </c>
      <c r="B451" s="14">
        <v>0</v>
      </c>
      <c r="C451" s="14">
        <v>129</v>
      </c>
      <c r="D451" s="14"/>
      <c r="E451" s="14">
        <v>1645</v>
      </c>
      <c r="F451" s="14">
        <v>381</v>
      </c>
      <c r="G451" s="14">
        <v>2009</v>
      </c>
      <c r="H451" s="31">
        <f t="shared" si="8"/>
        <v>129</v>
      </c>
      <c r="I451" s="111"/>
      <c r="J451" s="111"/>
      <c r="K451" s="12">
        <v>28</v>
      </c>
    </row>
    <row r="452" spans="1:11" x14ac:dyDescent="0.25">
      <c r="A452" s="13">
        <v>37454</v>
      </c>
      <c r="B452" s="14">
        <v>0</v>
      </c>
      <c r="C452" s="14">
        <v>197</v>
      </c>
      <c r="D452" s="14"/>
      <c r="E452" s="14">
        <v>2389</v>
      </c>
      <c r="F452" s="14">
        <v>980</v>
      </c>
      <c r="G452" s="14">
        <v>1405</v>
      </c>
      <c r="H452" s="31">
        <f t="shared" si="8"/>
        <v>197</v>
      </c>
      <c r="I452" s="111"/>
      <c r="J452" s="111"/>
      <c r="K452" s="12">
        <v>29</v>
      </c>
    </row>
    <row r="453" spans="1:11" x14ac:dyDescent="0.25">
      <c r="A453" s="13">
        <v>37461</v>
      </c>
      <c r="B453" s="14">
        <v>0</v>
      </c>
      <c r="C453" s="14">
        <v>274</v>
      </c>
      <c r="D453" s="14"/>
      <c r="E453" s="14">
        <v>2103</v>
      </c>
      <c r="F453" s="14">
        <v>554</v>
      </c>
      <c r="G453" s="14">
        <v>2481</v>
      </c>
      <c r="H453" s="31">
        <f t="shared" si="8"/>
        <v>274</v>
      </c>
      <c r="I453" s="111"/>
      <c r="J453" s="111"/>
      <c r="K453" s="12">
        <v>30</v>
      </c>
    </row>
    <row r="454" spans="1:11" x14ac:dyDescent="0.25">
      <c r="A454" s="13">
        <v>37468</v>
      </c>
      <c r="B454" s="20">
        <v>0</v>
      </c>
      <c r="C454" s="20">
        <v>659</v>
      </c>
      <c r="D454" s="20"/>
      <c r="E454" s="20">
        <v>1806</v>
      </c>
      <c r="F454" s="20">
        <v>318</v>
      </c>
      <c r="G454" s="20">
        <v>2386</v>
      </c>
      <c r="H454" s="31">
        <f t="shared" si="8"/>
        <v>659</v>
      </c>
      <c r="I454" s="111"/>
      <c r="J454" s="111"/>
      <c r="K454" s="12">
        <v>31</v>
      </c>
    </row>
    <row r="455" spans="1:11" x14ac:dyDescent="0.25">
      <c r="A455" s="13">
        <v>37475</v>
      </c>
      <c r="B455" s="20">
        <v>0</v>
      </c>
      <c r="C455" s="14">
        <v>161</v>
      </c>
      <c r="D455" s="14"/>
      <c r="E455" s="14">
        <v>1281</v>
      </c>
      <c r="F455" s="14">
        <v>589</v>
      </c>
      <c r="G455" s="14">
        <v>1346</v>
      </c>
      <c r="H455" s="31">
        <f t="shared" si="8"/>
        <v>161</v>
      </c>
      <c r="I455" s="111"/>
      <c r="J455" s="111"/>
      <c r="K455" s="12">
        <v>32</v>
      </c>
    </row>
    <row r="456" spans="1:11" x14ac:dyDescent="0.25">
      <c r="A456" s="13">
        <v>37482</v>
      </c>
      <c r="B456" s="20">
        <v>0</v>
      </c>
      <c r="C456" s="14">
        <v>291</v>
      </c>
      <c r="D456" s="14"/>
      <c r="E456" s="14">
        <v>1906</v>
      </c>
      <c r="F456" s="14">
        <v>691</v>
      </c>
      <c r="G456" s="14">
        <v>1544</v>
      </c>
      <c r="H456" s="31">
        <f t="shared" ref="H456:H519" si="9">B456+C456</f>
        <v>291</v>
      </c>
      <c r="I456" s="111"/>
      <c r="J456" s="111"/>
      <c r="K456" s="12">
        <v>33</v>
      </c>
    </row>
    <row r="457" spans="1:11" x14ac:dyDescent="0.25">
      <c r="A457" s="13">
        <v>37489</v>
      </c>
      <c r="B457" s="14">
        <v>0</v>
      </c>
      <c r="C457" s="14">
        <v>400</v>
      </c>
      <c r="D457" s="14"/>
      <c r="E457" s="14">
        <v>1206</v>
      </c>
      <c r="F457" s="14">
        <v>535</v>
      </c>
      <c r="G457" s="14">
        <v>1456</v>
      </c>
      <c r="H457" s="31">
        <f t="shared" si="9"/>
        <v>400</v>
      </c>
      <c r="I457" s="111"/>
      <c r="J457" s="111"/>
      <c r="K457" s="12">
        <v>34</v>
      </c>
    </row>
    <row r="458" spans="1:11" x14ac:dyDescent="0.25">
      <c r="A458" s="13">
        <v>37496</v>
      </c>
      <c r="B458" s="14">
        <v>0</v>
      </c>
      <c r="C458" s="14">
        <v>2</v>
      </c>
      <c r="D458" s="14"/>
      <c r="E458" s="14">
        <v>1339</v>
      </c>
      <c r="F458" s="14">
        <v>917</v>
      </c>
      <c r="G458" s="14">
        <v>1348</v>
      </c>
      <c r="H458" s="31">
        <f t="shared" si="9"/>
        <v>2</v>
      </c>
      <c r="I458" s="111"/>
      <c r="J458" s="111"/>
      <c r="K458" s="12">
        <v>35</v>
      </c>
    </row>
    <row r="459" spans="1:11" x14ac:dyDescent="0.25">
      <c r="A459" s="13">
        <v>37503</v>
      </c>
      <c r="B459" s="14">
        <v>0</v>
      </c>
      <c r="C459" s="14">
        <v>11</v>
      </c>
      <c r="D459" s="14"/>
      <c r="E459" s="14">
        <v>1620</v>
      </c>
      <c r="F459" s="14">
        <v>355</v>
      </c>
      <c r="G459" s="14">
        <v>1695</v>
      </c>
      <c r="H459" s="31">
        <f t="shared" si="9"/>
        <v>11</v>
      </c>
      <c r="I459" s="111"/>
      <c r="J459" s="111"/>
      <c r="K459" s="12">
        <v>36</v>
      </c>
    </row>
    <row r="460" spans="1:11" x14ac:dyDescent="0.25">
      <c r="A460" s="13">
        <v>37510</v>
      </c>
      <c r="B460" s="14">
        <v>0</v>
      </c>
      <c r="C460" s="14">
        <v>0</v>
      </c>
      <c r="D460" s="14"/>
      <c r="E460" s="14">
        <v>1688</v>
      </c>
      <c r="F460" s="14">
        <v>709</v>
      </c>
      <c r="G460" s="14">
        <v>1225</v>
      </c>
      <c r="H460" s="31">
        <f t="shared" si="9"/>
        <v>0</v>
      </c>
      <c r="I460" s="111"/>
      <c r="J460" s="111"/>
      <c r="K460" s="12">
        <v>37</v>
      </c>
    </row>
    <row r="461" spans="1:11" x14ac:dyDescent="0.25">
      <c r="A461" s="13">
        <v>37517</v>
      </c>
      <c r="B461" s="14">
        <v>0</v>
      </c>
      <c r="C461" s="14">
        <v>0</v>
      </c>
      <c r="D461" s="14"/>
      <c r="E461" s="14">
        <v>1196</v>
      </c>
      <c r="F461" s="14">
        <v>638</v>
      </c>
      <c r="G461" s="14">
        <v>831</v>
      </c>
      <c r="H461" s="31">
        <f t="shared" si="9"/>
        <v>0</v>
      </c>
      <c r="I461" s="111"/>
      <c r="J461" s="111"/>
      <c r="K461" s="12">
        <v>38</v>
      </c>
    </row>
    <row r="462" spans="1:11" x14ac:dyDescent="0.25">
      <c r="A462" s="13">
        <v>37524</v>
      </c>
      <c r="B462" s="14">
        <v>0</v>
      </c>
      <c r="C462" s="14">
        <v>71</v>
      </c>
      <c r="D462" s="14"/>
      <c r="E462" s="14">
        <v>735</v>
      </c>
      <c r="F462" s="14">
        <v>521</v>
      </c>
      <c r="G462" s="14">
        <v>1671</v>
      </c>
      <c r="H462" s="31">
        <f t="shared" si="9"/>
        <v>71</v>
      </c>
      <c r="I462" s="111"/>
      <c r="J462" s="111"/>
      <c r="K462" s="12">
        <v>39</v>
      </c>
    </row>
    <row r="463" spans="1:11" x14ac:dyDescent="0.25">
      <c r="A463" s="13">
        <v>37531</v>
      </c>
      <c r="B463" s="14">
        <v>0</v>
      </c>
      <c r="C463" s="14">
        <v>55</v>
      </c>
      <c r="D463" s="14"/>
      <c r="E463" s="14">
        <v>1018</v>
      </c>
      <c r="F463" s="14">
        <v>479</v>
      </c>
      <c r="G463" s="14">
        <v>1908</v>
      </c>
      <c r="H463" s="31">
        <f t="shared" si="9"/>
        <v>55</v>
      </c>
      <c r="I463" s="111"/>
      <c r="J463" s="111"/>
      <c r="K463" s="12">
        <v>40</v>
      </c>
    </row>
    <row r="464" spans="1:11" x14ac:dyDescent="0.25">
      <c r="A464" s="13">
        <v>37538</v>
      </c>
      <c r="B464" s="14">
        <v>0</v>
      </c>
      <c r="C464" s="14">
        <v>78</v>
      </c>
      <c r="D464" s="14"/>
      <c r="E464" s="14">
        <v>703</v>
      </c>
      <c r="F464" s="14">
        <v>1311</v>
      </c>
      <c r="G464" s="14">
        <v>1364</v>
      </c>
      <c r="H464" s="31">
        <f t="shared" si="9"/>
        <v>78</v>
      </c>
      <c r="I464" s="111"/>
      <c r="J464" s="111"/>
      <c r="K464" s="12">
        <v>41</v>
      </c>
    </row>
    <row r="465" spans="1:11" x14ac:dyDescent="0.25">
      <c r="A465" s="13">
        <v>37545</v>
      </c>
      <c r="B465" s="14">
        <v>0</v>
      </c>
      <c r="C465" s="14">
        <v>351</v>
      </c>
      <c r="D465" s="14"/>
      <c r="E465" s="14">
        <v>1147</v>
      </c>
      <c r="F465" s="14">
        <v>1323</v>
      </c>
      <c r="G465" s="14">
        <v>3270</v>
      </c>
      <c r="H465" s="31">
        <f t="shared" si="9"/>
        <v>351</v>
      </c>
      <c r="I465" s="111"/>
      <c r="J465" s="111"/>
      <c r="K465" s="12">
        <v>42</v>
      </c>
    </row>
    <row r="466" spans="1:11" x14ac:dyDescent="0.25">
      <c r="A466" s="13">
        <v>37552</v>
      </c>
      <c r="B466" s="14">
        <v>0</v>
      </c>
      <c r="C466" s="14">
        <v>680</v>
      </c>
      <c r="D466" s="14"/>
      <c r="E466" s="14">
        <v>924</v>
      </c>
      <c r="F466" s="14">
        <v>771</v>
      </c>
      <c r="G466" s="14">
        <v>4271</v>
      </c>
      <c r="H466" s="31">
        <f t="shared" si="9"/>
        <v>680</v>
      </c>
      <c r="I466" s="111"/>
      <c r="J466" s="111"/>
      <c r="K466" s="12">
        <v>43</v>
      </c>
    </row>
    <row r="467" spans="1:11" x14ac:dyDescent="0.25">
      <c r="A467" s="13">
        <v>37559</v>
      </c>
      <c r="B467" s="14">
        <v>0</v>
      </c>
      <c r="C467" s="14">
        <v>739</v>
      </c>
      <c r="D467" s="14"/>
      <c r="E467" s="14">
        <v>1322</v>
      </c>
      <c r="F467" s="14">
        <v>852</v>
      </c>
      <c r="G467" s="14">
        <v>3647</v>
      </c>
      <c r="H467" s="31">
        <f t="shared" si="9"/>
        <v>739</v>
      </c>
      <c r="I467" s="111"/>
      <c r="J467" s="111"/>
      <c r="K467" s="12">
        <v>44</v>
      </c>
    </row>
    <row r="468" spans="1:11" x14ac:dyDescent="0.25">
      <c r="A468" s="13">
        <v>37566</v>
      </c>
      <c r="B468" s="14">
        <v>0</v>
      </c>
      <c r="C468" s="14">
        <v>557</v>
      </c>
      <c r="D468" s="14"/>
      <c r="E468" s="14">
        <v>1342</v>
      </c>
      <c r="F468" s="14">
        <v>763</v>
      </c>
      <c r="G468" s="14">
        <v>3749</v>
      </c>
      <c r="H468" s="31">
        <f t="shared" si="9"/>
        <v>557</v>
      </c>
      <c r="I468" s="111"/>
      <c r="J468" s="111"/>
      <c r="K468" s="12">
        <v>45</v>
      </c>
    </row>
    <row r="469" spans="1:11" x14ac:dyDescent="0.25">
      <c r="A469" s="13">
        <v>37573</v>
      </c>
      <c r="B469" s="14">
        <v>0</v>
      </c>
      <c r="C469" s="14">
        <v>498</v>
      </c>
      <c r="D469" s="14"/>
      <c r="E469" s="14">
        <v>1181</v>
      </c>
      <c r="F469" s="14">
        <v>861</v>
      </c>
      <c r="G469" s="14">
        <v>3531</v>
      </c>
      <c r="H469" s="31">
        <f t="shared" si="9"/>
        <v>498</v>
      </c>
      <c r="I469" s="111"/>
      <c r="J469" s="111"/>
      <c r="K469" s="12">
        <v>46</v>
      </c>
    </row>
    <row r="470" spans="1:11" x14ac:dyDescent="0.25">
      <c r="A470" s="13">
        <v>37580</v>
      </c>
      <c r="B470" s="14">
        <v>0</v>
      </c>
      <c r="C470" s="14">
        <v>504</v>
      </c>
      <c r="D470" s="14"/>
      <c r="E470" s="14">
        <v>1567</v>
      </c>
      <c r="F470" s="14">
        <v>734</v>
      </c>
      <c r="G470" s="14">
        <v>3864</v>
      </c>
      <c r="H470" s="31">
        <f t="shared" si="9"/>
        <v>504</v>
      </c>
      <c r="I470" s="111"/>
      <c r="J470" s="111"/>
      <c r="K470" s="12">
        <v>47</v>
      </c>
    </row>
    <row r="471" spans="1:11" x14ac:dyDescent="0.25">
      <c r="A471" s="13">
        <v>37587</v>
      </c>
      <c r="B471" s="14">
        <v>0</v>
      </c>
      <c r="C471" s="14">
        <v>99</v>
      </c>
      <c r="D471" s="14"/>
      <c r="E471" s="14">
        <v>1894</v>
      </c>
      <c r="F471" s="14">
        <v>626</v>
      </c>
      <c r="G471" s="14">
        <v>3796</v>
      </c>
      <c r="H471" s="31">
        <f t="shared" si="9"/>
        <v>99</v>
      </c>
      <c r="I471" s="111"/>
      <c r="J471" s="111"/>
      <c r="K471" s="12">
        <v>48</v>
      </c>
    </row>
    <row r="472" spans="1:11" x14ac:dyDescent="0.25">
      <c r="A472" s="13">
        <v>37594</v>
      </c>
      <c r="B472" s="14">
        <v>0</v>
      </c>
      <c r="C472" s="14">
        <v>411</v>
      </c>
      <c r="D472" s="14"/>
      <c r="E472" s="14">
        <v>1008</v>
      </c>
      <c r="F472" s="14">
        <v>921</v>
      </c>
      <c r="G472" s="14">
        <v>3052</v>
      </c>
      <c r="H472" s="31">
        <f t="shared" si="9"/>
        <v>411</v>
      </c>
      <c r="I472" s="111"/>
      <c r="J472" s="111"/>
      <c r="K472" s="12">
        <v>49</v>
      </c>
    </row>
    <row r="473" spans="1:11" x14ac:dyDescent="0.25">
      <c r="A473" s="13">
        <v>37601</v>
      </c>
      <c r="B473" s="14">
        <v>10</v>
      </c>
      <c r="C473" s="14">
        <v>160</v>
      </c>
      <c r="D473" s="14"/>
      <c r="E473" s="14">
        <v>772</v>
      </c>
      <c r="F473" s="14">
        <v>850</v>
      </c>
      <c r="G473" s="14">
        <v>2534</v>
      </c>
      <c r="H473" s="31">
        <f t="shared" si="9"/>
        <v>170</v>
      </c>
      <c r="I473" s="111"/>
      <c r="J473" s="111"/>
      <c r="K473" s="12">
        <v>50</v>
      </c>
    </row>
    <row r="474" spans="1:11" x14ac:dyDescent="0.25">
      <c r="A474" s="13">
        <v>37608</v>
      </c>
      <c r="B474" s="14">
        <v>50</v>
      </c>
      <c r="C474" s="14">
        <v>633</v>
      </c>
      <c r="D474" s="14"/>
      <c r="E474" s="14">
        <v>1053</v>
      </c>
      <c r="F474" s="14">
        <v>995</v>
      </c>
      <c r="G474" s="14">
        <v>2461</v>
      </c>
      <c r="H474" s="31">
        <f t="shared" si="9"/>
        <v>683</v>
      </c>
      <c r="I474" s="111"/>
      <c r="J474" s="111"/>
      <c r="K474" s="12">
        <v>51</v>
      </c>
    </row>
    <row r="475" spans="1:11" x14ac:dyDescent="0.25">
      <c r="A475" s="13">
        <v>37615</v>
      </c>
      <c r="B475" s="14">
        <v>0</v>
      </c>
      <c r="C475" s="14">
        <v>629</v>
      </c>
      <c r="D475" s="14"/>
      <c r="E475" s="14">
        <v>950</v>
      </c>
      <c r="F475" s="14">
        <v>1049</v>
      </c>
      <c r="G475" s="14">
        <v>2406</v>
      </c>
      <c r="H475" s="31">
        <f t="shared" si="9"/>
        <v>629</v>
      </c>
      <c r="I475" s="111"/>
      <c r="J475" s="111"/>
      <c r="K475" s="12">
        <v>52</v>
      </c>
    </row>
    <row r="476" spans="1:11" x14ac:dyDescent="0.25">
      <c r="A476" s="13">
        <v>37622</v>
      </c>
      <c r="B476" s="14">
        <v>85</v>
      </c>
      <c r="C476" s="14">
        <v>635</v>
      </c>
      <c r="D476" s="14"/>
      <c r="E476" s="14">
        <v>1195</v>
      </c>
      <c r="F476" s="14">
        <v>427</v>
      </c>
      <c r="G476" s="14">
        <v>2025</v>
      </c>
      <c r="H476" s="31">
        <f t="shared" si="9"/>
        <v>720</v>
      </c>
      <c r="I476" s="111"/>
      <c r="J476" s="111"/>
      <c r="K476" s="12">
        <v>1</v>
      </c>
    </row>
    <row r="477" spans="1:11" x14ac:dyDescent="0.25">
      <c r="A477" s="13">
        <v>37629</v>
      </c>
      <c r="B477" s="14">
        <v>0</v>
      </c>
      <c r="C477" s="14">
        <v>715</v>
      </c>
      <c r="D477" s="14"/>
      <c r="E477" s="14">
        <v>1484</v>
      </c>
      <c r="F477" s="14">
        <v>1123</v>
      </c>
      <c r="G477" s="14">
        <v>2372</v>
      </c>
      <c r="H477" s="31">
        <f t="shared" si="9"/>
        <v>715</v>
      </c>
      <c r="I477" s="111"/>
      <c r="J477" s="111"/>
      <c r="K477" s="12">
        <v>2</v>
      </c>
    </row>
    <row r="478" spans="1:11" x14ac:dyDescent="0.25">
      <c r="A478" s="13">
        <v>37636</v>
      </c>
      <c r="B478" s="14">
        <v>0</v>
      </c>
      <c r="C478" s="14">
        <v>596</v>
      </c>
      <c r="D478" s="14"/>
      <c r="E478" s="14">
        <v>845</v>
      </c>
      <c r="F478" s="14">
        <v>945</v>
      </c>
      <c r="G478" s="14">
        <v>2123</v>
      </c>
      <c r="H478" s="31">
        <f t="shared" si="9"/>
        <v>596</v>
      </c>
      <c r="I478" s="111"/>
      <c r="J478" s="111"/>
      <c r="K478" s="12">
        <v>3</v>
      </c>
    </row>
    <row r="479" spans="1:11" x14ac:dyDescent="0.25">
      <c r="A479" s="13">
        <v>37643</v>
      </c>
      <c r="B479" s="14">
        <v>0</v>
      </c>
      <c r="C479" s="14">
        <v>835</v>
      </c>
      <c r="D479" s="14"/>
      <c r="E479" s="14">
        <v>500</v>
      </c>
      <c r="F479" s="14">
        <v>1112</v>
      </c>
      <c r="G479" s="14">
        <v>3066</v>
      </c>
      <c r="H479" s="31">
        <f t="shared" si="9"/>
        <v>835</v>
      </c>
      <c r="I479" s="111"/>
      <c r="J479" s="111"/>
      <c r="K479" s="12">
        <v>4</v>
      </c>
    </row>
    <row r="480" spans="1:11" x14ac:dyDescent="0.25">
      <c r="A480" s="13">
        <v>37650</v>
      </c>
      <c r="B480" s="14">
        <v>200</v>
      </c>
      <c r="C480" s="14">
        <v>474</v>
      </c>
      <c r="D480" s="14"/>
      <c r="E480" s="14">
        <v>1284</v>
      </c>
      <c r="F480" s="14">
        <v>516</v>
      </c>
      <c r="G480" s="14">
        <v>3586</v>
      </c>
      <c r="H480" s="31">
        <f t="shared" si="9"/>
        <v>674</v>
      </c>
      <c r="I480" s="111"/>
      <c r="J480" s="111"/>
      <c r="K480" s="12">
        <v>5</v>
      </c>
    </row>
    <row r="481" spans="1:11" x14ac:dyDescent="0.25">
      <c r="A481" s="13">
        <v>37657</v>
      </c>
      <c r="B481" s="14">
        <v>100</v>
      </c>
      <c r="C481" s="14">
        <v>795</v>
      </c>
      <c r="D481" s="14"/>
      <c r="E481" s="14">
        <v>1462</v>
      </c>
      <c r="F481" s="14">
        <v>790</v>
      </c>
      <c r="G481" s="14">
        <v>3710</v>
      </c>
      <c r="H481" s="31">
        <f t="shared" si="9"/>
        <v>895</v>
      </c>
      <c r="I481" s="111"/>
      <c r="J481" s="111"/>
      <c r="K481" s="12">
        <v>6</v>
      </c>
    </row>
    <row r="482" spans="1:11" x14ac:dyDescent="0.25">
      <c r="A482" s="13">
        <v>37664</v>
      </c>
      <c r="B482" s="14">
        <v>200</v>
      </c>
      <c r="C482" s="14">
        <v>423</v>
      </c>
      <c r="D482" s="14"/>
      <c r="E482" s="14">
        <v>1481</v>
      </c>
      <c r="F482" s="14">
        <v>441</v>
      </c>
      <c r="G482" s="14">
        <v>4278</v>
      </c>
      <c r="H482" s="31">
        <f t="shared" si="9"/>
        <v>623</v>
      </c>
      <c r="I482" s="111"/>
      <c r="J482" s="111"/>
      <c r="K482" s="12">
        <v>7</v>
      </c>
    </row>
    <row r="483" spans="1:11" x14ac:dyDescent="0.25">
      <c r="A483" s="13">
        <v>37671</v>
      </c>
      <c r="B483" s="14">
        <v>0</v>
      </c>
      <c r="C483" s="14">
        <v>675</v>
      </c>
      <c r="D483" s="14"/>
      <c r="E483" s="14">
        <v>823</v>
      </c>
      <c r="F483" s="14">
        <v>937</v>
      </c>
      <c r="G483" s="14">
        <v>3130</v>
      </c>
      <c r="H483" s="31">
        <f t="shared" si="9"/>
        <v>675</v>
      </c>
      <c r="I483" s="111"/>
      <c r="J483" s="111"/>
      <c r="K483" s="12">
        <v>8</v>
      </c>
    </row>
    <row r="484" spans="1:11" x14ac:dyDescent="0.25">
      <c r="A484" s="13">
        <v>37678</v>
      </c>
      <c r="B484" s="14">
        <v>200</v>
      </c>
      <c r="C484" s="14">
        <v>666</v>
      </c>
      <c r="D484" s="14"/>
      <c r="E484" s="14">
        <v>1444</v>
      </c>
      <c r="F484" s="14">
        <v>475</v>
      </c>
      <c r="G484" s="14">
        <v>3392</v>
      </c>
      <c r="H484" s="31">
        <f t="shared" si="9"/>
        <v>866</v>
      </c>
      <c r="I484" s="111"/>
      <c r="J484" s="111"/>
      <c r="K484" s="12">
        <v>9</v>
      </c>
    </row>
    <row r="485" spans="1:11" x14ac:dyDescent="0.25">
      <c r="A485" s="13">
        <v>37685</v>
      </c>
      <c r="B485" s="14">
        <v>100</v>
      </c>
      <c r="C485" s="14">
        <v>293</v>
      </c>
      <c r="D485" s="14"/>
      <c r="E485" s="14">
        <v>945</v>
      </c>
      <c r="F485" s="14">
        <v>744</v>
      </c>
      <c r="G485" s="14">
        <v>4216</v>
      </c>
      <c r="H485" s="31">
        <f t="shared" si="9"/>
        <v>393</v>
      </c>
      <c r="I485" s="111"/>
      <c r="J485" s="111"/>
      <c r="K485" s="12">
        <v>10</v>
      </c>
    </row>
    <row r="486" spans="1:11" x14ac:dyDescent="0.25">
      <c r="A486" s="13">
        <v>37692</v>
      </c>
      <c r="B486" s="14">
        <v>50</v>
      </c>
      <c r="C486" s="14">
        <v>186</v>
      </c>
      <c r="D486" s="14"/>
      <c r="E486" s="14">
        <v>824</v>
      </c>
      <c r="F486" s="14">
        <v>966</v>
      </c>
      <c r="G486" s="14">
        <v>3173</v>
      </c>
      <c r="H486" s="31">
        <f t="shared" si="9"/>
        <v>236</v>
      </c>
      <c r="I486" s="111"/>
      <c r="J486" s="111"/>
      <c r="K486" s="12">
        <v>11</v>
      </c>
    </row>
    <row r="487" spans="1:11" x14ac:dyDescent="0.25">
      <c r="A487" s="13">
        <v>37699</v>
      </c>
      <c r="B487" s="14">
        <v>0</v>
      </c>
      <c r="C487" s="14">
        <v>682</v>
      </c>
      <c r="D487" s="14"/>
      <c r="E487" s="14">
        <v>726</v>
      </c>
      <c r="F487" s="14">
        <v>1424</v>
      </c>
      <c r="G487" s="14">
        <v>4211</v>
      </c>
      <c r="H487" s="31">
        <f t="shared" si="9"/>
        <v>682</v>
      </c>
      <c r="I487" s="111"/>
      <c r="J487" s="111"/>
      <c r="K487" s="12">
        <v>12</v>
      </c>
    </row>
    <row r="488" spans="1:11" x14ac:dyDescent="0.25">
      <c r="A488" s="13">
        <v>37706</v>
      </c>
      <c r="B488" s="14">
        <v>0</v>
      </c>
      <c r="C488" s="14">
        <v>305</v>
      </c>
      <c r="D488" s="14"/>
      <c r="E488" s="14">
        <v>1653</v>
      </c>
      <c r="F488" s="14">
        <v>1031</v>
      </c>
      <c r="G488" s="14">
        <v>4129</v>
      </c>
      <c r="H488" s="31">
        <f t="shared" si="9"/>
        <v>305</v>
      </c>
      <c r="I488" s="111"/>
      <c r="J488" s="111"/>
      <c r="K488" s="12">
        <v>13</v>
      </c>
    </row>
    <row r="489" spans="1:11" x14ac:dyDescent="0.25">
      <c r="A489" s="13">
        <v>37713</v>
      </c>
      <c r="B489" s="14">
        <v>0</v>
      </c>
      <c r="C489" s="14">
        <v>234</v>
      </c>
      <c r="D489" s="14"/>
      <c r="E489" s="14">
        <v>1442</v>
      </c>
      <c r="F489" s="14">
        <v>580</v>
      </c>
      <c r="G489" s="14">
        <v>4292</v>
      </c>
      <c r="H489" s="31">
        <f t="shared" si="9"/>
        <v>234</v>
      </c>
      <c r="I489" s="111"/>
      <c r="J489" s="111"/>
      <c r="K489" s="12">
        <v>14</v>
      </c>
    </row>
    <row r="490" spans="1:11" x14ac:dyDescent="0.25">
      <c r="A490" s="13">
        <v>37720</v>
      </c>
      <c r="B490" s="14">
        <v>0</v>
      </c>
      <c r="C490" s="14">
        <v>166</v>
      </c>
      <c r="D490" s="14"/>
      <c r="E490" s="14">
        <v>1520</v>
      </c>
      <c r="F490" s="14">
        <v>1338</v>
      </c>
      <c r="G490" s="14">
        <v>3866</v>
      </c>
      <c r="H490" s="31">
        <f t="shared" si="9"/>
        <v>166</v>
      </c>
      <c r="I490" s="111"/>
      <c r="J490" s="111"/>
      <c r="K490" s="12">
        <v>15</v>
      </c>
    </row>
    <row r="491" spans="1:11" x14ac:dyDescent="0.25">
      <c r="A491" s="13">
        <v>37727</v>
      </c>
      <c r="B491" s="14">
        <v>0</v>
      </c>
      <c r="C491" s="14">
        <v>285</v>
      </c>
      <c r="D491" s="14"/>
      <c r="E491" s="14">
        <v>1526</v>
      </c>
      <c r="F491" s="14">
        <v>1213</v>
      </c>
      <c r="G491" s="14">
        <v>2656</v>
      </c>
      <c r="H491" s="31">
        <f t="shared" si="9"/>
        <v>285</v>
      </c>
      <c r="I491" s="111"/>
      <c r="J491" s="111"/>
      <c r="K491" s="12">
        <v>16</v>
      </c>
    </row>
    <row r="492" spans="1:11" x14ac:dyDescent="0.25">
      <c r="A492" s="13">
        <v>37734</v>
      </c>
      <c r="B492" s="14">
        <v>0</v>
      </c>
      <c r="C492" s="14">
        <v>99</v>
      </c>
      <c r="D492" s="14"/>
      <c r="E492" s="14">
        <v>523</v>
      </c>
      <c r="F492" s="14">
        <v>972</v>
      </c>
      <c r="G492" s="14">
        <v>3016</v>
      </c>
      <c r="H492" s="31">
        <f t="shared" si="9"/>
        <v>99</v>
      </c>
      <c r="I492" s="111"/>
      <c r="J492" s="111"/>
      <c r="K492" s="12">
        <v>17</v>
      </c>
    </row>
    <row r="493" spans="1:11" x14ac:dyDescent="0.25">
      <c r="A493" s="13">
        <v>37741</v>
      </c>
      <c r="B493" s="14">
        <v>0</v>
      </c>
      <c r="C493" s="14">
        <v>286</v>
      </c>
      <c r="D493" s="14"/>
      <c r="E493" s="14">
        <v>711</v>
      </c>
      <c r="F493" s="14">
        <v>974</v>
      </c>
      <c r="G493" s="14">
        <v>2574</v>
      </c>
      <c r="H493" s="31">
        <f t="shared" si="9"/>
        <v>286</v>
      </c>
      <c r="I493" s="111"/>
      <c r="J493" s="111"/>
      <c r="K493" s="12">
        <v>18</v>
      </c>
    </row>
    <row r="494" spans="1:11" x14ac:dyDescent="0.25">
      <c r="A494" s="13">
        <v>37748</v>
      </c>
      <c r="B494" s="14">
        <v>0</v>
      </c>
      <c r="C494" s="14">
        <v>217</v>
      </c>
      <c r="D494" s="14"/>
      <c r="E494" s="14">
        <v>519</v>
      </c>
      <c r="F494" s="14">
        <v>1156</v>
      </c>
      <c r="G494" s="14">
        <v>2828</v>
      </c>
      <c r="H494" s="31">
        <f t="shared" si="9"/>
        <v>217</v>
      </c>
      <c r="I494" s="111"/>
      <c r="J494" s="111"/>
      <c r="K494" s="12">
        <v>19</v>
      </c>
    </row>
    <row r="495" spans="1:11" x14ac:dyDescent="0.25">
      <c r="A495" s="13">
        <v>37755</v>
      </c>
      <c r="B495" s="14">
        <v>0</v>
      </c>
      <c r="C495" s="14">
        <v>33</v>
      </c>
      <c r="D495" s="14"/>
      <c r="E495" s="14">
        <v>770</v>
      </c>
      <c r="F495" s="14">
        <v>950</v>
      </c>
      <c r="G495" s="14">
        <v>2008</v>
      </c>
      <c r="H495" s="31">
        <f t="shared" si="9"/>
        <v>33</v>
      </c>
      <c r="I495" s="111"/>
      <c r="J495" s="111"/>
      <c r="K495" s="12">
        <v>20</v>
      </c>
    </row>
    <row r="496" spans="1:11" x14ac:dyDescent="0.25">
      <c r="A496" s="13">
        <v>37762</v>
      </c>
      <c r="B496" s="14">
        <v>0</v>
      </c>
      <c r="C496" s="14">
        <v>61</v>
      </c>
      <c r="D496" s="14"/>
      <c r="E496" s="14">
        <v>1285</v>
      </c>
      <c r="F496" s="14">
        <v>853</v>
      </c>
      <c r="G496" s="14">
        <v>1604</v>
      </c>
      <c r="H496" s="31">
        <f t="shared" si="9"/>
        <v>61</v>
      </c>
      <c r="I496" s="111"/>
      <c r="J496" s="111"/>
      <c r="K496" s="12">
        <v>21</v>
      </c>
    </row>
    <row r="497" spans="1:11" x14ac:dyDescent="0.25">
      <c r="A497" s="13">
        <v>37769</v>
      </c>
      <c r="B497" s="14">
        <v>0</v>
      </c>
      <c r="C497" s="14">
        <v>94</v>
      </c>
      <c r="D497" s="14"/>
      <c r="E497" s="14">
        <v>1053</v>
      </c>
      <c r="F497" s="14">
        <v>831</v>
      </c>
      <c r="G497" s="14">
        <v>1774</v>
      </c>
      <c r="H497" s="31">
        <f t="shared" si="9"/>
        <v>94</v>
      </c>
      <c r="I497" s="111"/>
      <c r="J497" s="111"/>
      <c r="K497" s="12">
        <v>22</v>
      </c>
    </row>
    <row r="498" spans="1:11" x14ac:dyDescent="0.25">
      <c r="A498" s="13">
        <v>37776</v>
      </c>
      <c r="B498" s="14">
        <v>0</v>
      </c>
      <c r="C498" s="14">
        <v>178</v>
      </c>
      <c r="D498" s="14"/>
      <c r="E498" s="14">
        <v>1415</v>
      </c>
      <c r="F498" s="14">
        <v>714</v>
      </c>
      <c r="G498" s="14">
        <v>1683</v>
      </c>
      <c r="H498" s="31">
        <f t="shared" si="9"/>
        <v>178</v>
      </c>
      <c r="I498" s="111"/>
      <c r="J498" s="111"/>
      <c r="K498" s="12">
        <v>23</v>
      </c>
    </row>
    <row r="499" spans="1:11" x14ac:dyDescent="0.25">
      <c r="A499" s="13">
        <v>37783</v>
      </c>
      <c r="B499" s="14">
        <v>0</v>
      </c>
      <c r="C499" s="14">
        <v>87</v>
      </c>
      <c r="D499" s="14"/>
      <c r="E499" s="14">
        <v>2054</v>
      </c>
      <c r="F499" s="14">
        <v>842</v>
      </c>
      <c r="G499" s="14">
        <v>2062</v>
      </c>
      <c r="H499" s="31">
        <f t="shared" si="9"/>
        <v>87</v>
      </c>
      <c r="I499" s="111"/>
      <c r="J499" s="111"/>
      <c r="K499" s="12">
        <v>24</v>
      </c>
    </row>
    <row r="500" spans="1:11" x14ac:dyDescent="0.25">
      <c r="A500" s="13">
        <v>37790</v>
      </c>
      <c r="B500" s="14">
        <v>0</v>
      </c>
      <c r="C500" s="14">
        <v>162</v>
      </c>
      <c r="D500" s="14"/>
      <c r="E500" s="14">
        <v>1730</v>
      </c>
      <c r="F500" s="14">
        <v>559</v>
      </c>
      <c r="G500" s="14">
        <v>1333</v>
      </c>
      <c r="H500" s="31">
        <f t="shared" si="9"/>
        <v>162</v>
      </c>
      <c r="I500" s="111"/>
      <c r="J500" s="111"/>
      <c r="K500" s="12">
        <v>25</v>
      </c>
    </row>
    <row r="501" spans="1:11" x14ac:dyDescent="0.25">
      <c r="A501" s="13">
        <v>37797</v>
      </c>
      <c r="B501" s="14">
        <v>0</v>
      </c>
      <c r="C501" s="14">
        <v>146</v>
      </c>
      <c r="D501" s="14"/>
      <c r="E501" s="14">
        <v>1723</v>
      </c>
      <c r="F501" s="14">
        <v>646</v>
      </c>
      <c r="G501" s="14">
        <v>1879</v>
      </c>
      <c r="H501" s="31">
        <f t="shared" si="9"/>
        <v>146</v>
      </c>
      <c r="I501" s="111"/>
      <c r="J501" s="111"/>
      <c r="K501" s="12">
        <v>26</v>
      </c>
    </row>
    <row r="502" spans="1:11" x14ac:dyDescent="0.25">
      <c r="A502" s="13">
        <v>37804</v>
      </c>
      <c r="B502" s="14">
        <v>0</v>
      </c>
      <c r="C502" s="14">
        <v>512</v>
      </c>
      <c r="D502" s="14"/>
      <c r="E502" s="14">
        <v>2336</v>
      </c>
      <c r="F502" s="14">
        <v>496</v>
      </c>
      <c r="G502" s="14">
        <v>2052</v>
      </c>
      <c r="H502" s="31">
        <f t="shared" si="9"/>
        <v>512</v>
      </c>
      <c r="I502" s="111"/>
      <c r="J502" s="111"/>
      <c r="K502" s="12">
        <v>27</v>
      </c>
    </row>
    <row r="503" spans="1:11" x14ac:dyDescent="0.25">
      <c r="A503" s="13">
        <v>37811</v>
      </c>
      <c r="B503" s="14">
        <v>0</v>
      </c>
      <c r="C503" s="14">
        <v>216</v>
      </c>
      <c r="D503" s="14"/>
      <c r="E503" s="14">
        <v>1380</v>
      </c>
      <c r="F503" s="14">
        <v>819</v>
      </c>
      <c r="G503" s="14">
        <v>2071</v>
      </c>
      <c r="H503" s="31">
        <f t="shared" si="9"/>
        <v>216</v>
      </c>
      <c r="I503" s="111"/>
      <c r="J503" s="111"/>
      <c r="K503" s="12">
        <v>28</v>
      </c>
    </row>
    <row r="504" spans="1:11" x14ac:dyDescent="0.25">
      <c r="A504" s="13">
        <v>37818</v>
      </c>
      <c r="B504" s="14">
        <v>0</v>
      </c>
      <c r="C504" s="14">
        <v>152</v>
      </c>
      <c r="D504" s="14"/>
      <c r="E504" s="14">
        <v>1668</v>
      </c>
      <c r="F504" s="14">
        <v>736</v>
      </c>
      <c r="G504" s="14">
        <v>1876</v>
      </c>
      <c r="H504" s="31">
        <f t="shared" si="9"/>
        <v>152</v>
      </c>
      <c r="I504" s="111"/>
      <c r="J504" s="111"/>
      <c r="K504" s="12">
        <v>29</v>
      </c>
    </row>
    <row r="505" spans="1:11" x14ac:dyDescent="0.25">
      <c r="A505" s="13">
        <v>37825</v>
      </c>
      <c r="B505" s="14">
        <v>0</v>
      </c>
      <c r="C505" s="14">
        <v>119</v>
      </c>
      <c r="D505" s="14"/>
      <c r="E505" s="14">
        <v>1935</v>
      </c>
      <c r="F505" s="14">
        <v>647</v>
      </c>
      <c r="G505" s="14">
        <v>2148</v>
      </c>
      <c r="H505" s="31">
        <f t="shared" si="9"/>
        <v>119</v>
      </c>
      <c r="I505" s="111"/>
      <c r="J505" s="111"/>
      <c r="K505" s="12">
        <v>30</v>
      </c>
    </row>
    <row r="506" spans="1:11" x14ac:dyDescent="0.25">
      <c r="A506" s="13">
        <v>37832</v>
      </c>
      <c r="B506" s="14">
        <v>0</v>
      </c>
      <c r="C506" s="14">
        <v>153</v>
      </c>
      <c r="D506" s="14"/>
      <c r="E506" s="14">
        <v>1886</v>
      </c>
      <c r="F506" s="14">
        <v>700</v>
      </c>
      <c r="G506" s="14">
        <v>1663</v>
      </c>
      <c r="H506" s="31">
        <f t="shared" si="9"/>
        <v>153</v>
      </c>
      <c r="I506" s="111"/>
      <c r="J506" s="111"/>
      <c r="K506" s="12">
        <v>31</v>
      </c>
    </row>
    <row r="507" spans="1:11" x14ac:dyDescent="0.25">
      <c r="A507" s="13">
        <v>37839</v>
      </c>
      <c r="B507" s="14">
        <v>0</v>
      </c>
      <c r="C507" s="14">
        <v>104</v>
      </c>
      <c r="D507" s="14"/>
      <c r="E507" s="14">
        <v>2284</v>
      </c>
      <c r="F507" s="14">
        <v>829</v>
      </c>
      <c r="G507" s="14">
        <v>2641</v>
      </c>
      <c r="H507" s="31">
        <f t="shared" si="9"/>
        <v>104</v>
      </c>
      <c r="I507" s="111"/>
      <c r="J507" s="111"/>
      <c r="K507" s="12">
        <v>32</v>
      </c>
    </row>
    <row r="508" spans="1:11" x14ac:dyDescent="0.25">
      <c r="A508" s="13">
        <v>37846</v>
      </c>
      <c r="B508" s="14">
        <v>0</v>
      </c>
      <c r="C508" s="14">
        <v>128</v>
      </c>
      <c r="D508" s="14"/>
      <c r="E508" s="14">
        <v>2649</v>
      </c>
      <c r="F508" s="14">
        <v>710</v>
      </c>
      <c r="G508" s="14">
        <v>2081</v>
      </c>
      <c r="H508" s="31">
        <f t="shared" si="9"/>
        <v>128</v>
      </c>
      <c r="I508" s="111"/>
      <c r="J508" s="111"/>
      <c r="K508" s="12">
        <v>33</v>
      </c>
    </row>
    <row r="509" spans="1:11" x14ac:dyDescent="0.25">
      <c r="A509" s="13">
        <v>37853</v>
      </c>
      <c r="B509" s="14">
        <v>0</v>
      </c>
      <c r="C509" s="14">
        <v>164</v>
      </c>
      <c r="D509" s="14"/>
      <c r="E509" s="14">
        <v>2317</v>
      </c>
      <c r="F509" s="14">
        <v>1031</v>
      </c>
      <c r="G509" s="14">
        <v>1940</v>
      </c>
      <c r="H509" s="31">
        <f t="shared" si="9"/>
        <v>164</v>
      </c>
      <c r="I509" s="111"/>
      <c r="J509" s="111"/>
      <c r="K509" s="12">
        <v>34</v>
      </c>
    </row>
    <row r="510" spans="1:11" x14ac:dyDescent="0.25">
      <c r="A510" s="13">
        <v>37860</v>
      </c>
      <c r="B510" s="14">
        <v>0</v>
      </c>
      <c r="C510" s="14">
        <v>189</v>
      </c>
      <c r="D510" s="14"/>
      <c r="E510" s="14">
        <v>2731</v>
      </c>
      <c r="F510" s="14">
        <v>770</v>
      </c>
      <c r="G510" s="14">
        <v>2384</v>
      </c>
      <c r="H510" s="31">
        <f t="shared" si="9"/>
        <v>189</v>
      </c>
      <c r="I510" s="111"/>
      <c r="J510" s="111"/>
      <c r="K510" s="12">
        <v>35</v>
      </c>
    </row>
    <row r="511" spans="1:11" x14ac:dyDescent="0.25">
      <c r="A511" s="34">
        <v>37867</v>
      </c>
      <c r="B511" s="14">
        <v>0</v>
      </c>
      <c r="C511" s="14">
        <v>100</v>
      </c>
      <c r="D511" s="14"/>
      <c r="E511" s="14">
        <v>2754</v>
      </c>
      <c r="F511" s="14">
        <v>574</v>
      </c>
      <c r="G511" s="14">
        <v>2590</v>
      </c>
      <c r="H511" s="31">
        <f t="shared" si="9"/>
        <v>100</v>
      </c>
      <c r="I511" s="111"/>
      <c r="J511" s="111"/>
      <c r="K511" s="12">
        <v>36</v>
      </c>
    </row>
    <row r="512" spans="1:11" x14ac:dyDescent="0.25">
      <c r="A512" s="13">
        <v>37874</v>
      </c>
      <c r="B512" s="14">
        <v>0</v>
      </c>
      <c r="C512" s="14">
        <v>35</v>
      </c>
      <c r="D512" s="14"/>
      <c r="E512" s="14">
        <v>2817</v>
      </c>
      <c r="F512" s="14">
        <v>892</v>
      </c>
      <c r="G512" s="14">
        <v>2748</v>
      </c>
      <c r="H512" s="31">
        <f t="shared" si="9"/>
        <v>35</v>
      </c>
      <c r="I512" s="111"/>
      <c r="J512" s="111"/>
      <c r="K512" s="12">
        <v>37</v>
      </c>
    </row>
    <row r="513" spans="1:11" x14ac:dyDescent="0.25">
      <c r="A513" s="13">
        <v>37881</v>
      </c>
      <c r="B513" s="14">
        <v>0</v>
      </c>
      <c r="C513" s="14">
        <v>13</v>
      </c>
      <c r="D513" s="14"/>
      <c r="E513" s="14">
        <v>3103</v>
      </c>
      <c r="F513" s="14">
        <v>944</v>
      </c>
      <c r="G513" s="14">
        <v>2924</v>
      </c>
      <c r="H513" s="31">
        <f t="shared" si="9"/>
        <v>13</v>
      </c>
      <c r="I513" s="111"/>
      <c r="J513" s="111"/>
      <c r="K513" s="12">
        <v>38</v>
      </c>
    </row>
    <row r="514" spans="1:11" x14ac:dyDescent="0.25">
      <c r="A514" s="13">
        <v>37888</v>
      </c>
      <c r="B514" s="14">
        <v>0</v>
      </c>
      <c r="C514" s="14">
        <v>29</v>
      </c>
      <c r="D514" s="14"/>
      <c r="E514" s="14">
        <v>2520</v>
      </c>
      <c r="F514" s="14">
        <v>820</v>
      </c>
      <c r="G514" s="14">
        <v>2771</v>
      </c>
      <c r="H514" s="31">
        <f t="shared" si="9"/>
        <v>29</v>
      </c>
      <c r="I514" s="111"/>
      <c r="J514" s="111"/>
      <c r="K514" s="12">
        <v>39</v>
      </c>
    </row>
    <row r="515" spans="1:11" x14ac:dyDescent="0.25">
      <c r="A515" s="13">
        <v>37895</v>
      </c>
      <c r="B515" s="14">
        <v>0</v>
      </c>
      <c r="C515" s="14">
        <v>64</v>
      </c>
      <c r="D515" s="14"/>
      <c r="E515" s="14">
        <v>2652</v>
      </c>
      <c r="F515" s="14">
        <v>1339</v>
      </c>
      <c r="G515" s="14">
        <v>3987</v>
      </c>
      <c r="H515" s="31">
        <f t="shared" si="9"/>
        <v>64</v>
      </c>
      <c r="I515" s="111"/>
      <c r="J515" s="111"/>
      <c r="K515" s="12">
        <v>40</v>
      </c>
    </row>
    <row r="516" spans="1:11" x14ac:dyDescent="0.25">
      <c r="A516" s="13">
        <v>37902</v>
      </c>
      <c r="B516" s="14">
        <v>0</v>
      </c>
      <c r="C516" s="14">
        <v>21</v>
      </c>
      <c r="D516" s="14"/>
      <c r="E516" s="14">
        <v>2072</v>
      </c>
      <c r="F516" s="14">
        <v>727</v>
      </c>
      <c r="G516" s="14">
        <v>4774</v>
      </c>
      <c r="H516" s="31">
        <f t="shared" si="9"/>
        <v>21</v>
      </c>
      <c r="I516" s="111"/>
      <c r="J516" s="111"/>
      <c r="K516" s="12">
        <v>41</v>
      </c>
    </row>
    <row r="517" spans="1:11" x14ac:dyDescent="0.25">
      <c r="A517" s="13">
        <v>37909</v>
      </c>
      <c r="B517" s="14">
        <v>0</v>
      </c>
      <c r="C517" s="14">
        <v>148</v>
      </c>
      <c r="D517" s="14"/>
      <c r="E517" s="14">
        <v>1843</v>
      </c>
      <c r="F517" s="14">
        <v>1007</v>
      </c>
      <c r="G517" s="14">
        <v>4298</v>
      </c>
      <c r="H517" s="31">
        <f t="shared" si="9"/>
        <v>148</v>
      </c>
      <c r="I517" s="111"/>
      <c r="J517" s="111"/>
      <c r="K517" s="12">
        <v>42</v>
      </c>
    </row>
    <row r="518" spans="1:11" x14ac:dyDescent="0.25">
      <c r="A518" s="13">
        <v>37916</v>
      </c>
      <c r="B518" s="14">
        <v>0</v>
      </c>
      <c r="C518" s="14">
        <v>807</v>
      </c>
      <c r="D518" s="14"/>
      <c r="E518" s="14">
        <v>1236</v>
      </c>
      <c r="F518" s="14">
        <v>963</v>
      </c>
      <c r="G518" s="14">
        <v>4197</v>
      </c>
      <c r="H518" s="31">
        <f t="shared" si="9"/>
        <v>807</v>
      </c>
      <c r="I518" s="111"/>
      <c r="J518" s="111"/>
      <c r="K518" s="12">
        <v>43</v>
      </c>
    </row>
    <row r="519" spans="1:11" x14ac:dyDescent="0.25">
      <c r="A519" s="13">
        <v>37923</v>
      </c>
      <c r="B519" s="14">
        <v>0</v>
      </c>
      <c r="C519" s="14">
        <v>886</v>
      </c>
      <c r="D519" s="14"/>
      <c r="E519" s="14">
        <v>1405</v>
      </c>
      <c r="F519" s="14">
        <v>1468</v>
      </c>
      <c r="G519" s="14">
        <v>4229</v>
      </c>
      <c r="H519" s="31">
        <f t="shared" si="9"/>
        <v>886</v>
      </c>
      <c r="I519" s="111"/>
      <c r="J519" s="111"/>
      <c r="K519" s="12">
        <v>44</v>
      </c>
    </row>
    <row r="520" spans="1:11" x14ac:dyDescent="0.25">
      <c r="A520" s="13">
        <v>37930</v>
      </c>
      <c r="B520" s="14">
        <v>0</v>
      </c>
      <c r="C520" s="14">
        <v>1354</v>
      </c>
      <c r="D520" s="14"/>
      <c r="E520" s="14">
        <v>2250</v>
      </c>
      <c r="F520" s="14">
        <v>878</v>
      </c>
      <c r="G520" s="14">
        <v>3212</v>
      </c>
      <c r="H520" s="31">
        <f t="shared" ref="H520:H583" si="10">B520+C520</f>
        <v>1354</v>
      </c>
      <c r="I520" s="111"/>
      <c r="J520" s="111"/>
      <c r="K520" s="12">
        <v>45</v>
      </c>
    </row>
    <row r="521" spans="1:11" x14ac:dyDescent="0.25">
      <c r="A521" s="13">
        <v>37937</v>
      </c>
      <c r="B521" s="14">
        <v>300</v>
      </c>
      <c r="C521" s="14">
        <v>976</v>
      </c>
      <c r="D521" s="14"/>
      <c r="E521" s="14">
        <v>2683</v>
      </c>
      <c r="F521" s="14">
        <v>1132</v>
      </c>
      <c r="G521" s="14">
        <v>3998</v>
      </c>
      <c r="H521" s="31">
        <f t="shared" si="10"/>
        <v>1276</v>
      </c>
      <c r="I521" s="111"/>
      <c r="J521" s="111"/>
      <c r="K521" s="12">
        <v>46</v>
      </c>
    </row>
    <row r="522" spans="1:11" x14ac:dyDescent="0.25">
      <c r="A522" s="13">
        <v>37944</v>
      </c>
      <c r="B522" s="14">
        <v>0</v>
      </c>
      <c r="C522" s="14">
        <v>327</v>
      </c>
      <c r="D522" s="14"/>
      <c r="E522" s="14">
        <v>2283</v>
      </c>
      <c r="F522" s="14">
        <v>1559</v>
      </c>
      <c r="G522" s="14">
        <v>4627</v>
      </c>
      <c r="H522" s="31">
        <f t="shared" si="10"/>
        <v>327</v>
      </c>
      <c r="I522" s="111"/>
      <c r="J522" s="111"/>
      <c r="K522" s="12">
        <v>47</v>
      </c>
    </row>
    <row r="523" spans="1:11" x14ac:dyDescent="0.25">
      <c r="A523" s="13">
        <v>37951</v>
      </c>
      <c r="B523" s="14">
        <v>200</v>
      </c>
      <c r="C523" s="14">
        <v>899</v>
      </c>
      <c r="D523" s="14"/>
      <c r="E523" s="14">
        <v>1930</v>
      </c>
      <c r="F523" s="14">
        <v>974</v>
      </c>
      <c r="G523" s="14">
        <v>4766</v>
      </c>
      <c r="H523" s="31">
        <f t="shared" si="10"/>
        <v>1099</v>
      </c>
      <c r="I523" s="111"/>
      <c r="J523" s="111"/>
      <c r="K523" s="12">
        <v>48</v>
      </c>
    </row>
    <row r="524" spans="1:11" x14ac:dyDescent="0.25">
      <c r="A524" s="13">
        <v>37958</v>
      </c>
      <c r="B524" s="14">
        <v>100</v>
      </c>
      <c r="C524" s="14">
        <v>515</v>
      </c>
      <c r="D524" s="14"/>
      <c r="E524" s="14">
        <v>2329</v>
      </c>
      <c r="F524" s="14">
        <v>1506</v>
      </c>
      <c r="G524" s="14">
        <v>3201</v>
      </c>
      <c r="H524" s="31">
        <f t="shared" si="10"/>
        <v>615</v>
      </c>
      <c r="I524" s="111"/>
      <c r="J524" s="111"/>
      <c r="K524" s="12">
        <v>49</v>
      </c>
    </row>
    <row r="525" spans="1:11" x14ac:dyDescent="0.25">
      <c r="A525" s="13">
        <v>37965</v>
      </c>
      <c r="B525" s="14">
        <v>0</v>
      </c>
      <c r="C525" s="14">
        <v>415</v>
      </c>
      <c r="D525" s="14"/>
      <c r="E525" s="14">
        <v>2268</v>
      </c>
      <c r="F525" s="14">
        <v>1256</v>
      </c>
      <c r="G525" s="14">
        <v>3715</v>
      </c>
      <c r="H525" s="31">
        <f t="shared" si="10"/>
        <v>415</v>
      </c>
      <c r="I525" s="111"/>
      <c r="J525" s="111"/>
      <c r="K525" s="12">
        <v>50</v>
      </c>
    </row>
    <row r="526" spans="1:11" x14ac:dyDescent="0.25">
      <c r="A526" s="13">
        <v>37972</v>
      </c>
      <c r="B526" s="26">
        <v>150</v>
      </c>
      <c r="C526" s="26">
        <v>571</v>
      </c>
      <c r="D526" s="26"/>
      <c r="E526" s="26">
        <v>1489</v>
      </c>
      <c r="F526" s="26">
        <v>1817</v>
      </c>
      <c r="G526" s="26">
        <v>3430</v>
      </c>
      <c r="H526" s="31">
        <f t="shared" si="10"/>
        <v>721</v>
      </c>
      <c r="I526" s="111"/>
      <c r="J526" s="111"/>
      <c r="K526" s="12">
        <v>51</v>
      </c>
    </row>
    <row r="527" spans="1:11" x14ac:dyDescent="0.25">
      <c r="A527" s="13">
        <v>37979</v>
      </c>
      <c r="B527" s="30">
        <v>150</v>
      </c>
      <c r="C527" s="30">
        <v>449</v>
      </c>
      <c r="D527" s="30"/>
      <c r="E527" s="26">
        <v>2437</v>
      </c>
      <c r="F527" s="26">
        <v>1652</v>
      </c>
      <c r="G527" s="30">
        <v>3816</v>
      </c>
      <c r="H527" s="31">
        <f t="shared" si="10"/>
        <v>599</v>
      </c>
      <c r="I527" s="111"/>
      <c r="J527" s="111"/>
      <c r="K527" s="12">
        <v>52</v>
      </c>
    </row>
    <row r="528" spans="1:11" x14ac:dyDescent="0.25">
      <c r="A528" s="13">
        <v>37986</v>
      </c>
      <c r="B528" s="30">
        <v>50</v>
      </c>
      <c r="C528" s="30">
        <v>187</v>
      </c>
      <c r="D528" s="30"/>
      <c r="E528" s="26">
        <v>2433</v>
      </c>
      <c r="F528" s="26">
        <v>1157</v>
      </c>
      <c r="G528" s="26">
        <v>2621</v>
      </c>
      <c r="H528" s="31">
        <f t="shared" si="10"/>
        <v>237</v>
      </c>
      <c r="I528" s="111"/>
      <c r="J528" s="111"/>
      <c r="K528" s="12">
        <v>53</v>
      </c>
    </row>
    <row r="529" spans="1:11" x14ac:dyDescent="0.25">
      <c r="A529" s="13">
        <v>37993</v>
      </c>
      <c r="B529" s="30">
        <v>0</v>
      </c>
      <c r="C529" s="30">
        <v>155</v>
      </c>
      <c r="D529" s="62">
        <v>1305</v>
      </c>
      <c r="E529" s="30">
        <v>2374</v>
      </c>
      <c r="F529" s="30">
        <v>572</v>
      </c>
      <c r="G529" s="30">
        <v>2731</v>
      </c>
      <c r="H529" s="31">
        <f t="shared" si="10"/>
        <v>155</v>
      </c>
      <c r="I529" s="114">
        <f t="shared" ref="I529:I592" si="11">SUM(D529:H529)-F529</f>
        <v>6565</v>
      </c>
      <c r="J529" s="112"/>
      <c r="K529" s="12">
        <v>1</v>
      </c>
    </row>
    <row r="530" spans="1:11" x14ac:dyDescent="0.25">
      <c r="A530" s="13">
        <v>38000</v>
      </c>
      <c r="B530" s="30">
        <v>0</v>
      </c>
      <c r="C530" s="30">
        <v>450</v>
      </c>
      <c r="D530" s="62">
        <v>1365</v>
      </c>
      <c r="E530" s="30">
        <v>3870</v>
      </c>
      <c r="F530" s="30">
        <v>1251</v>
      </c>
      <c r="G530" s="30">
        <v>3527</v>
      </c>
      <c r="H530" s="31">
        <f t="shared" si="10"/>
        <v>450</v>
      </c>
      <c r="I530" s="114">
        <f t="shared" si="11"/>
        <v>9212</v>
      </c>
      <c r="J530" s="112"/>
      <c r="K530" s="12">
        <v>2</v>
      </c>
    </row>
    <row r="531" spans="1:11" x14ac:dyDescent="0.25">
      <c r="A531" s="13">
        <v>38007</v>
      </c>
      <c r="B531" s="30">
        <v>0</v>
      </c>
      <c r="C531" s="30">
        <v>452</v>
      </c>
      <c r="D531" s="62">
        <v>1552</v>
      </c>
      <c r="E531" s="30">
        <v>2679</v>
      </c>
      <c r="F531" s="30">
        <v>678</v>
      </c>
      <c r="G531" s="30">
        <v>3670</v>
      </c>
      <c r="H531" s="31">
        <f t="shared" si="10"/>
        <v>452</v>
      </c>
      <c r="I531" s="114">
        <f t="shared" si="11"/>
        <v>8353</v>
      </c>
      <c r="J531" s="112"/>
      <c r="K531" s="12">
        <v>3</v>
      </c>
    </row>
    <row r="532" spans="1:11" x14ac:dyDescent="0.25">
      <c r="A532" s="13">
        <v>38014</v>
      </c>
      <c r="B532" s="30">
        <v>0</v>
      </c>
      <c r="C532" s="30">
        <v>290</v>
      </c>
      <c r="D532" s="62">
        <v>956</v>
      </c>
      <c r="E532" s="30">
        <v>2564</v>
      </c>
      <c r="F532" s="30">
        <v>982</v>
      </c>
      <c r="G532" s="30">
        <v>4289</v>
      </c>
      <c r="H532" s="31">
        <f t="shared" si="10"/>
        <v>290</v>
      </c>
      <c r="I532" s="114">
        <f t="shared" si="11"/>
        <v>8099</v>
      </c>
      <c r="J532" s="112"/>
      <c r="K532" s="12">
        <v>4</v>
      </c>
    </row>
    <row r="533" spans="1:11" x14ac:dyDescent="0.25">
      <c r="A533" s="13">
        <v>38021</v>
      </c>
      <c r="B533" s="30">
        <v>0</v>
      </c>
      <c r="C533" s="30">
        <v>141</v>
      </c>
      <c r="D533" s="62">
        <v>1030</v>
      </c>
      <c r="E533" s="30">
        <v>2731</v>
      </c>
      <c r="F533" s="30">
        <v>561</v>
      </c>
      <c r="G533" s="30">
        <v>3573</v>
      </c>
      <c r="H533" s="31">
        <f t="shared" si="10"/>
        <v>141</v>
      </c>
      <c r="I533" s="114">
        <f t="shared" si="11"/>
        <v>7475</v>
      </c>
      <c r="J533" s="112"/>
      <c r="K533" s="12">
        <v>5</v>
      </c>
    </row>
    <row r="534" spans="1:11" x14ac:dyDescent="0.25">
      <c r="A534" s="13">
        <v>38028</v>
      </c>
      <c r="B534" s="30">
        <v>150</v>
      </c>
      <c r="C534" s="30">
        <v>501</v>
      </c>
      <c r="D534" s="62">
        <v>1077</v>
      </c>
      <c r="E534" s="30">
        <v>2332</v>
      </c>
      <c r="F534" s="30">
        <v>958</v>
      </c>
      <c r="G534" s="30">
        <v>4550</v>
      </c>
      <c r="H534" s="31">
        <f t="shared" si="10"/>
        <v>651</v>
      </c>
      <c r="I534" s="114">
        <f t="shared" si="11"/>
        <v>8610</v>
      </c>
      <c r="J534" s="112"/>
      <c r="K534" s="12">
        <v>6</v>
      </c>
    </row>
    <row r="535" spans="1:11" x14ac:dyDescent="0.25">
      <c r="A535" s="13">
        <v>38035</v>
      </c>
      <c r="B535" s="30">
        <v>150</v>
      </c>
      <c r="C535" s="30">
        <v>154</v>
      </c>
      <c r="D535" s="62">
        <v>1000</v>
      </c>
      <c r="E535" s="30">
        <v>1870</v>
      </c>
      <c r="F535" s="30">
        <v>849</v>
      </c>
      <c r="G535" s="30">
        <v>5340</v>
      </c>
      <c r="H535" s="32">
        <f t="shared" si="10"/>
        <v>304</v>
      </c>
      <c r="I535" s="114">
        <f t="shared" si="11"/>
        <v>8514</v>
      </c>
      <c r="J535" s="112"/>
      <c r="K535" s="12">
        <v>7</v>
      </c>
    </row>
    <row r="536" spans="1:11" x14ac:dyDescent="0.25">
      <c r="A536" s="13">
        <v>38042</v>
      </c>
      <c r="B536" s="30">
        <v>50</v>
      </c>
      <c r="C536" s="30">
        <v>166</v>
      </c>
      <c r="D536" s="62">
        <v>982</v>
      </c>
      <c r="E536" s="30">
        <v>2632</v>
      </c>
      <c r="F536" s="30">
        <v>934</v>
      </c>
      <c r="G536" s="30">
        <v>5089</v>
      </c>
      <c r="H536" s="32">
        <f t="shared" si="10"/>
        <v>216</v>
      </c>
      <c r="I536" s="114">
        <f t="shared" si="11"/>
        <v>8919</v>
      </c>
      <c r="J536" s="112"/>
      <c r="K536" s="12">
        <v>8</v>
      </c>
    </row>
    <row r="537" spans="1:11" x14ac:dyDescent="0.25">
      <c r="A537" s="13">
        <v>38049</v>
      </c>
      <c r="B537" s="30">
        <v>0</v>
      </c>
      <c r="C537" s="30">
        <v>52</v>
      </c>
      <c r="D537" s="62">
        <v>997</v>
      </c>
      <c r="E537" s="30">
        <v>2083</v>
      </c>
      <c r="F537" s="30">
        <v>1218</v>
      </c>
      <c r="G537" s="30">
        <v>4887</v>
      </c>
      <c r="H537" s="31">
        <f t="shared" si="10"/>
        <v>52</v>
      </c>
      <c r="I537" s="114">
        <f t="shared" si="11"/>
        <v>8019</v>
      </c>
      <c r="J537" s="112"/>
      <c r="K537" s="12">
        <v>9</v>
      </c>
    </row>
    <row r="538" spans="1:11" x14ac:dyDescent="0.25">
      <c r="A538" s="13">
        <v>38056</v>
      </c>
      <c r="B538" s="30">
        <v>0</v>
      </c>
      <c r="C538" s="30">
        <v>88</v>
      </c>
      <c r="D538" s="62">
        <v>620</v>
      </c>
      <c r="E538" s="30">
        <v>2835</v>
      </c>
      <c r="F538" s="30">
        <v>628</v>
      </c>
      <c r="G538" s="30">
        <v>5078</v>
      </c>
      <c r="H538" s="31">
        <f t="shared" si="10"/>
        <v>88</v>
      </c>
      <c r="I538" s="114">
        <f t="shared" si="11"/>
        <v>8621</v>
      </c>
      <c r="J538" s="112"/>
      <c r="K538" s="12">
        <v>10</v>
      </c>
    </row>
    <row r="539" spans="1:11" x14ac:dyDescent="0.25">
      <c r="A539" s="13">
        <v>38063</v>
      </c>
      <c r="B539" s="30">
        <v>0</v>
      </c>
      <c r="C539" s="30">
        <v>406</v>
      </c>
      <c r="D539" s="62">
        <v>936</v>
      </c>
      <c r="E539" s="30">
        <v>2135</v>
      </c>
      <c r="F539" s="30">
        <v>729</v>
      </c>
      <c r="G539" s="30">
        <v>4625</v>
      </c>
      <c r="H539" s="31">
        <f t="shared" si="10"/>
        <v>406</v>
      </c>
      <c r="I539" s="114">
        <f t="shared" si="11"/>
        <v>8102</v>
      </c>
      <c r="J539" s="112"/>
      <c r="K539" s="12">
        <v>11</v>
      </c>
    </row>
    <row r="540" spans="1:11" x14ac:dyDescent="0.25">
      <c r="A540" s="13">
        <v>38070</v>
      </c>
      <c r="B540" s="30">
        <v>45</v>
      </c>
      <c r="C540" s="30">
        <v>31</v>
      </c>
      <c r="D540" s="62">
        <v>678</v>
      </c>
      <c r="E540" s="30">
        <v>2118</v>
      </c>
      <c r="F540" s="30">
        <v>731</v>
      </c>
      <c r="G540" s="30">
        <v>5113</v>
      </c>
      <c r="H540" s="31">
        <f t="shared" si="10"/>
        <v>76</v>
      </c>
      <c r="I540" s="114">
        <f t="shared" si="11"/>
        <v>7985</v>
      </c>
      <c r="J540" s="112"/>
      <c r="K540" s="12">
        <v>12</v>
      </c>
    </row>
    <row r="541" spans="1:11" x14ac:dyDescent="0.25">
      <c r="A541" s="13">
        <v>38077</v>
      </c>
      <c r="B541" s="30">
        <v>0</v>
      </c>
      <c r="C541" s="30">
        <v>46</v>
      </c>
      <c r="D541" s="62">
        <v>368</v>
      </c>
      <c r="E541" s="30">
        <v>2469</v>
      </c>
      <c r="F541" s="30">
        <v>1025</v>
      </c>
      <c r="G541" s="30">
        <v>4045</v>
      </c>
      <c r="H541" s="31">
        <f t="shared" si="10"/>
        <v>46</v>
      </c>
      <c r="I541" s="114">
        <f t="shared" si="11"/>
        <v>6928</v>
      </c>
      <c r="J541" s="112"/>
      <c r="K541" s="12">
        <v>13</v>
      </c>
    </row>
    <row r="542" spans="1:11" x14ac:dyDescent="0.25">
      <c r="A542" s="13">
        <v>38084</v>
      </c>
      <c r="B542" s="30">
        <v>0</v>
      </c>
      <c r="C542" s="30">
        <v>0</v>
      </c>
      <c r="D542" s="62">
        <v>639</v>
      </c>
      <c r="E542" s="30">
        <v>1851</v>
      </c>
      <c r="F542" s="30">
        <v>930</v>
      </c>
      <c r="G542" s="30">
        <v>4047</v>
      </c>
      <c r="H542" s="31">
        <f t="shared" si="10"/>
        <v>0</v>
      </c>
      <c r="I542" s="114">
        <f t="shared" si="11"/>
        <v>6537</v>
      </c>
      <c r="J542" s="112"/>
      <c r="K542" s="12">
        <v>14</v>
      </c>
    </row>
    <row r="543" spans="1:11" x14ac:dyDescent="0.25">
      <c r="A543" s="13">
        <v>38091</v>
      </c>
      <c r="B543" s="30">
        <v>0</v>
      </c>
      <c r="C543" s="30">
        <v>60</v>
      </c>
      <c r="D543" s="62">
        <v>952</v>
      </c>
      <c r="E543" s="30">
        <v>2329</v>
      </c>
      <c r="F543" s="30">
        <v>1059</v>
      </c>
      <c r="G543" s="30">
        <v>2732</v>
      </c>
      <c r="H543" s="31">
        <f t="shared" si="10"/>
        <v>60</v>
      </c>
      <c r="I543" s="114">
        <f t="shared" si="11"/>
        <v>6073</v>
      </c>
      <c r="J543" s="112"/>
      <c r="K543" s="12">
        <v>15</v>
      </c>
    </row>
    <row r="544" spans="1:11" x14ac:dyDescent="0.25">
      <c r="A544" s="13">
        <v>38098</v>
      </c>
      <c r="B544" s="30">
        <v>0</v>
      </c>
      <c r="C544" s="30">
        <v>0</v>
      </c>
      <c r="D544" s="62">
        <v>453</v>
      </c>
      <c r="E544" s="30">
        <v>1666</v>
      </c>
      <c r="F544" s="30">
        <v>1242</v>
      </c>
      <c r="G544" s="30">
        <v>3387</v>
      </c>
      <c r="H544" s="31">
        <f t="shared" si="10"/>
        <v>0</v>
      </c>
      <c r="I544" s="114">
        <f t="shared" si="11"/>
        <v>5506</v>
      </c>
      <c r="J544" s="112"/>
      <c r="K544" s="12">
        <v>16</v>
      </c>
    </row>
    <row r="545" spans="1:11" x14ac:dyDescent="0.25">
      <c r="A545" s="13">
        <v>38105</v>
      </c>
      <c r="B545" s="30">
        <v>0</v>
      </c>
      <c r="C545" s="30">
        <v>19</v>
      </c>
      <c r="D545" s="62">
        <v>245</v>
      </c>
      <c r="E545" s="30">
        <v>1396</v>
      </c>
      <c r="F545" s="30">
        <v>1996</v>
      </c>
      <c r="G545" s="30">
        <v>4743</v>
      </c>
      <c r="H545" s="31">
        <f t="shared" si="10"/>
        <v>19</v>
      </c>
      <c r="I545" s="114">
        <f t="shared" si="11"/>
        <v>6403</v>
      </c>
      <c r="J545" s="112"/>
      <c r="K545" s="12">
        <v>17</v>
      </c>
    </row>
    <row r="546" spans="1:11" x14ac:dyDescent="0.25">
      <c r="A546" s="13">
        <v>38112</v>
      </c>
      <c r="B546" s="30">
        <v>0</v>
      </c>
      <c r="C546" s="30">
        <v>65</v>
      </c>
      <c r="D546" s="62">
        <v>518</v>
      </c>
      <c r="E546" s="30">
        <v>2061</v>
      </c>
      <c r="F546" s="30">
        <v>1395</v>
      </c>
      <c r="G546" s="30">
        <v>4471</v>
      </c>
      <c r="H546" s="31">
        <f t="shared" si="10"/>
        <v>65</v>
      </c>
      <c r="I546" s="114">
        <f t="shared" si="11"/>
        <v>7115</v>
      </c>
      <c r="J546" s="112"/>
      <c r="K546" s="12">
        <v>18</v>
      </c>
    </row>
    <row r="547" spans="1:11" x14ac:dyDescent="0.25">
      <c r="A547" s="13">
        <v>38119</v>
      </c>
      <c r="B547" s="30">
        <v>0</v>
      </c>
      <c r="C547" s="30">
        <v>14</v>
      </c>
      <c r="D547" s="62">
        <v>278</v>
      </c>
      <c r="E547" s="30">
        <v>2181</v>
      </c>
      <c r="F547" s="30">
        <v>1441</v>
      </c>
      <c r="G547" s="30">
        <v>4106</v>
      </c>
      <c r="H547" s="31">
        <f t="shared" si="10"/>
        <v>14</v>
      </c>
      <c r="I547" s="114">
        <f t="shared" si="11"/>
        <v>6579</v>
      </c>
      <c r="J547" s="112"/>
      <c r="K547" s="12">
        <v>19</v>
      </c>
    </row>
    <row r="548" spans="1:11" x14ac:dyDescent="0.25">
      <c r="A548" s="13">
        <v>38126</v>
      </c>
      <c r="B548" s="30">
        <v>0</v>
      </c>
      <c r="C548" s="30">
        <v>148</v>
      </c>
      <c r="D548" s="62">
        <v>238</v>
      </c>
      <c r="E548" s="30">
        <v>1648</v>
      </c>
      <c r="F548" s="30">
        <v>1092</v>
      </c>
      <c r="G548" s="30">
        <v>4060</v>
      </c>
      <c r="H548" s="31">
        <f t="shared" si="10"/>
        <v>148</v>
      </c>
      <c r="I548" s="114">
        <f t="shared" si="11"/>
        <v>6094</v>
      </c>
      <c r="J548" s="112"/>
      <c r="K548" s="12">
        <v>20</v>
      </c>
    </row>
    <row r="549" spans="1:11" x14ac:dyDescent="0.25">
      <c r="A549" s="13">
        <v>38133</v>
      </c>
      <c r="B549" s="30">
        <v>0</v>
      </c>
      <c r="C549" s="30">
        <v>170</v>
      </c>
      <c r="D549" s="62">
        <v>418</v>
      </c>
      <c r="E549" s="30">
        <v>1707</v>
      </c>
      <c r="F549" s="30">
        <v>1221</v>
      </c>
      <c r="G549" s="30">
        <v>4392</v>
      </c>
      <c r="H549" s="31">
        <f t="shared" si="10"/>
        <v>170</v>
      </c>
      <c r="I549" s="114">
        <f t="shared" si="11"/>
        <v>6687</v>
      </c>
      <c r="J549" s="112"/>
      <c r="K549" s="12">
        <v>21</v>
      </c>
    </row>
    <row r="550" spans="1:11" x14ac:dyDescent="0.25">
      <c r="A550" s="13">
        <v>38140</v>
      </c>
      <c r="B550" s="30">
        <v>0</v>
      </c>
      <c r="C550" s="30">
        <v>1</v>
      </c>
      <c r="D550" s="62">
        <v>483</v>
      </c>
      <c r="E550" s="30">
        <v>1732</v>
      </c>
      <c r="F550" s="30">
        <v>765</v>
      </c>
      <c r="G550" s="30">
        <v>5078</v>
      </c>
      <c r="H550" s="31">
        <f t="shared" si="10"/>
        <v>1</v>
      </c>
      <c r="I550" s="114">
        <f t="shared" si="11"/>
        <v>7294</v>
      </c>
      <c r="J550" s="112"/>
      <c r="K550" s="12">
        <v>22</v>
      </c>
    </row>
    <row r="551" spans="1:11" x14ac:dyDescent="0.25">
      <c r="A551" s="13">
        <v>38147</v>
      </c>
      <c r="B551" s="30">
        <v>0</v>
      </c>
      <c r="C551" s="30">
        <v>28</v>
      </c>
      <c r="D551" s="62">
        <v>497</v>
      </c>
      <c r="E551" s="30">
        <v>2536</v>
      </c>
      <c r="F551" s="30">
        <v>972</v>
      </c>
      <c r="G551" s="30">
        <v>3883</v>
      </c>
      <c r="H551" s="31">
        <f t="shared" si="10"/>
        <v>28</v>
      </c>
      <c r="I551" s="114">
        <f t="shared" si="11"/>
        <v>6944</v>
      </c>
      <c r="J551" s="112"/>
      <c r="K551" s="12">
        <v>23</v>
      </c>
    </row>
    <row r="552" spans="1:11" x14ac:dyDescent="0.25">
      <c r="A552" s="13">
        <v>38154</v>
      </c>
      <c r="B552" s="30">
        <v>0</v>
      </c>
      <c r="C552" s="30">
        <v>106</v>
      </c>
      <c r="D552" s="62">
        <v>232</v>
      </c>
      <c r="E552" s="30">
        <v>1830</v>
      </c>
      <c r="F552" s="30">
        <v>880</v>
      </c>
      <c r="G552" s="30">
        <v>4608</v>
      </c>
      <c r="H552" s="31">
        <f t="shared" si="10"/>
        <v>106</v>
      </c>
      <c r="I552" s="114">
        <f t="shared" si="11"/>
        <v>6776</v>
      </c>
      <c r="J552" s="112"/>
      <c r="K552" s="12">
        <v>24</v>
      </c>
    </row>
    <row r="553" spans="1:11" x14ac:dyDescent="0.25">
      <c r="A553" s="13">
        <v>38161</v>
      </c>
      <c r="B553" s="30">
        <v>0</v>
      </c>
      <c r="C553" s="30">
        <v>130</v>
      </c>
      <c r="D553" s="62">
        <v>407</v>
      </c>
      <c r="E553" s="30">
        <v>1783</v>
      </c>
      <c r="F553" s="30">
        <v>512</v>
      </c>
      <c r="G553" s="30">
        <v>3300</v>
      </c>
      <c r="H553" s="31">
        <f t="shared" si="10"/>
        <v>130</v>
      </c>
      <c r="I553" s="114">
        <f t="shared" si="11"/>
        <v>5620</v>
      </c>
      <c r="J553" s="112"/>
      <c r="K553" s="12">
        <v>25</v>
      </c>
    </row>
    <row r="554" spans="1:11" x14ac:dyDescent="0.25">
      <c r="A554" s="13">
        <v>38168</v>
      </c>
      <c r="B554" s="30">
        <v>0</v>
      </c>
      <c r="C554" s="30">
        <v>53</v>
      </c>
      <c r="D554" s="62">
        <v>105</v>
      </c>
      <c r="E554" s="30">
        <v>2089</v>
      </c>
      <c r="F554" s="30">
        <v>1038</v>
      </c>
      <c r="G554" s="30">
        <v>3479</v>
      </c>
      <c r="H554" s="31">
        <f t="shared" si="10"/>
        <v>53</v>
      </c>
      <c r="I554" s="114">
        <f t="shared" si="11"/>
        <v>5726</v>
      </c>
      <c r="J554" s="112"/>
      <c r="K554" s="12">
        <v>26</v>
      </c>
    </row>
    <row r="555" spans="1:11" x14ac:dyDescent="0.25">
      <c r="A555" s="13">
        <v>38175</v>
      </c>
      <c r="B555" s="30">
        <v>0</v>
      </c>
      <c r="C555" s="30">
        <v>132</v>
      </c>
      <c r="D555" s="62">
        <v>273</v>
      </c>
      <c r="E555" s="30">
        <v>1786</v>
      </c>
      <c r="F555" s="30">
        <v>464</v>
      </c>
      <c r="G555" s="30">
        <v>3446</v>
      </c>
      <c r="H555" s="31">
        <f t="shared" si="10"/>
        <v>132</v>
      </c>
      <c r="I555" s="114">
        <f t="shared" si="11"/>
        <v>5637</v>
      </c>
      <c r="J555" s="112"/>
      <c r="K555" s="12">
        <v>27</v>
      </c>
    </row>
    <row r="556" spans="1:11" x14ac:dyDescent="0.25">
      <c r="A556" s="13">
        <v>38182</v>
      </c>
      <c r="B556" s="30">
        <v>0</v>
      </c>
      <c r="C556" s="30">
        <v>83</v>
      </c>
      <c r="D556" s="62">
        <v>329</v>
      </c>
      <c r="E556" s="30">
        <v>1352</v>
      </c>
      <c r="F556" s="30">
        <v>986</v>
      </c>
      <c r="G556" s="30">
        <v>3397</v>
      </c>
      <c r="H556" s="31">
        <f t="shared" si="10"/>
        <v>83</v>
      </c>
      <c r="I556" s="114">
        <f t="shared" si="11"/>
        <v>5161</v>
      </c>
      <c r="J556" s="112"/>
      <c r="K556" s="12">
        <v>28</v>
      </c>
    </row>
    <row r="557" spans="1:11" x14ac:dyDescent="0.25">
      <c r="A557" s="13">
        <v>38189</v>
      </c>
      <c r="B557" s="30">
        <v>0</v>
      </c>
      <c r="C557" s="30">
        <v>13</v>
      </c>
      <c r="D557" s="62">
        <v>372</v>
      </c>
      <c r="E557" s="30">
        <v>1261</v>
      </c>
      <c r="F557" s="30">
        <v>844</v>
      </c>
      <c r="G557" s="30">
        <v>3651</v>
      </c>
      <c r="H557" s="31">
        <f t="shared" si="10"/>
        <v>13</v>
      </c>
      <c r="I557" s="114">
        <f t="shared" si="11"/>
        <v>5297</v>
      </c>
      <c r="J557" s="112"/>
      <c r="K557" s="12">
        <v>29</v>
      </c>
    </row>
    <row r="558" spans="1:11" x14ac:dyDescent="0.25">
      <c r="A558" s="13">
        <v>38196</v>
      </c>
      <c r="B558" s="30">
        <v>0</v>
      </c>
      <c r="C558" s="30">
        <v>205</v>
      </c>
      <c r="D558" s="62">
        <v>199</v>
      </c>
      <c r="E558" s="30">
        <v>1524</v>
      </c>
      <c r="F558" s="30">
        <v>1370</v>
      </c>
      <c r="G558" s="30">
        <v>2956</v>
      </c>
      <c r="H558" s="31">
        <f t="shared" si="10"/>
        <v>205</v>
      </c>
      <c r="I558" s="114">
        <f t="shared" si="11"/>
        <v>4884</v>
      </c>
      <c r="J558" s="112"/>
      <c r="K558" s="12">
        <v>30</v>
      </c>
    </row>
    <row r="559" spans="1:11" x14ac:dyDescent="0.25">
      <c r="A559" s="13">
        <v>38203</v>
      </c>
      <c r="B559" s="30">
        <v>0</v>
      </c>
      <c r="C559" s="30">
        <v>15</v>
      </c>
      <c r="D559" s="62">
        <v>265</v>
      </c>
      <c r="E559" s="30">
        <v>1397</v>
      </c>
      <c r="F559" s="30">
        <v>999</v>
      </c>
      <c r="G559" s="30">
        <v>2380</v>
      </c>
      <c r="H559" s="31">
        <f t="shared" si="10"/>
        <v>15</v>
      </c>
      <c r="I559" s="114">
        <f t="shared" si="11"/>
        <v>4057</v>
      </c>
      <c r="J559" s="112"/>
      <c r="K559" s="12">
        <v>31</v>
      </c>
    </row>
    <row r="560" spans="1:11" x14ac:dyDescent="0.25">
      <c r="A560" s="13">
        <v>38210</v>
      </c>
      <c r="B560" s="30">
        <v>0</v>
      </c>
      <c r="C560" s="30">
        <v>170</v>
      </c>
      <c r="D560" s="62">
        <v>593</v>
      </c>
      <c r="E560" s="30">
        <v>1282</v>
      </c>
      <c r="F560" s="30">
        <v>793</v>
      </c>
      <c r="G560" s="30">
        <v>2346</v>
      </c>
      <c r="H560" s="31">
        <f t="shared" si="10"/>
        <v>170</v>
      </c>
      <c r="I560" s="114">
        <f t="shared" si="11"/>
        <v>4391</v>
      </c>
      <c r="J560" s="112"/>
      <c r="K560" s="12">
        <v>32</v>
      </c>
    </row>
    <row r="561" spans="1:11" x14ac:dyDescent="0.25">
      <c r="A561" s="13">
        <v>38217</v>
      </c>
      <c r="B561" s="30">
        <v>0</v>
      </c>
      <c r="C561" s="30">
        <v>113</v>
      </c>
      <c r="D561" s="62">
        <v>767</v>
      </c>
      <c r="E561" s="30">
        <v>1345</v>
      </c>
      <c r="F561" s="30">
        <v>871</v>
      </c>
      <c r="G561" s="30">
        <v>2731</v>
      </c>
      <c r="H561" s="31">
        <f t="shared" si="10"/>
        <v>113</v>
      </c>
      <c r="I561" s="114">
        <f t="shared" si="11"/>
        <v>4956</v>
      </c>
      <c r="J561" s="112"/>
      <c r="K561" s="12">
        <v>33</v>
      </c>
    </row>
    <row r="562" spans="1:11" x14ac:dyDescent="0.25">
      <c r="A562" s="13">
        <v>38224</v>
      </c>
      <c r="B562" s="30">
        <v>30</v>
      </c>
      <c r="C562" s="30">
        <v>2</v>
      </c>
      <c r="D562" s="62">
        <v>686</v>
      </c>
      <c r="E562" s="30">
        <v>1183</v>
      </c>
      <c r="F562" s="30">
        <v>784</v>
      </c>
      <c r="G562" s="30">
        <v>3071</v>
      </c>
      <c r="H562" s="32">
        <f t="shared" si="10"/>
        <v>32</v>
      </c>
      <c r="I562" s="114">
        <f t="shared" si="11"/>
        <v>4972</v>
      </c>
      <c r="J562" s="112"/>
      <c r="K562" s="12">
        <v>34</v>
      </c>
    </row>
    <row r="563" spans="1:11" x14ac:dyDescent="0.25">
      <c r="A563" s="13">
        <v>38231</v>
      </c>
      <c r="B563" s="30">
        <v>0</v>
      </c>
      <c r="C563" s="30">
        <v>28</v>
      </c>
      <c r="D563" s="62">
        <v>639</v>
      </c>
      <c r="E563" s="30">
        <v>1128</v>
      </c>
      <c r="F563" s="30">
        <v>1322</v>
      </c>
      <c r="G563" s="30">
        <v>3869</v>
      </c>
      <c r="H563" s="32">
        <f t="shared" si="10"/>
        <v>28</v>
      </c>
      <c r="I563" s="114">
        <f t="shared" si="11"/>
        <v>5664</v>
      </c>
      <c r="J563" s="112"/>
      <c r="K563" s="12">
        <v>35</v>
      </c>
    </row>
    <row r="564" spans="1:11" x14ac:dyDescent="0.25">
      <c r="A564" s="13">
        <v>38238</v>
      </c>
      <c r="B564" s="30">
        <v>0</v>
      </c>
      <c r="C564" s="30">
        <v>57</v>
      </c>
      <c r="D564" s="62">
        <v>624</v>
      </c>
      <c r="E564" s="30">
        <v>1175</v>
      </c>
      <c r="F564" s="30">
        <v>833</v>
      </c>
      <c r="G564" s="30">
        <v>3123</v>
      </c>
      <c r="H564" s="32">
        <f t="shared" si="10"/>
        <v>57</v>
      </c>
      <c r="I564" s="114">
        <f t="shared" si="11"/>
        <v>4979</v>
      </c>
      <c r="J564" s="112"/>
      <c r="K564" s="12">
        <v>36</v>
      </c>
    </row>
    <row r="565" spans="1:11" x14ac:dyDescent="0.25">
      <c r="A565" s="13">
        <v>38245</v>
      </c>
      <c r="B565" s="30">
        <v>0</v>
      </c>
      <c r="C565" s="30">
        <v>149</v>
      </c>
      <c r="D565" s="62">
        <v>783</v>
      </c>
      <c r="E565" s="30">
        <v>1565</v>
      </c>
      <c r="F565" s="30">
        <v>916</v>
      </c>
      <c r="G565" s="30">
        <v>2909</v>
      </c>
      <c r="H565" s="32">
        <f t="shared" si="10"/>
        <v>149</v>
      </c>
      <c r="I565" s="114">
        <f t="shared" si="11"/>
        <v>5406</v>
      </c>
      <c r="J565" s="112"/>
      <c r="K565" s="12">
        <v>37</v>
      </c>
    </row>
    <row r="566" spans="1:11" x14ac:dyDescent="0.25">
      <c r="A566" s="13">
        <v>38252</v>
      </c>
      <c r="B566" s="30">
        <v>0</v>
      </c>
      <c r="C566" s="30">
        <v>22</v>
      </c>
      <c r="D566" s="62">
        <v>550</v>
      </c>
      <c r="E566" s="30">
        <v>831</v>
      </c>
      <c r="F566" s="30">
        <v>1247</v>
      </c>
      <c r="G566" s="30">
        <v>2654</v>
      </c>
      <c r="H566" s="32">
        <f t="shared" si="10"/>
        <v>22</v>
      </c>
      <c r="I566" s="114">
        <f t="shared" si="11"/>
        <v>4057</v>
      </c>
      <c r="J566" s="112"/>
      <c r="K566" s="12">
        <v>38</v>
      </c>
    </row>
    <row r="567" spans="1:11" x14ac:dyDescent="0.25">
      <c r="A567" s="13">
        <v>38259</v>
      </c>
      <c r="B567" s="30">
        <v>0</v>
      </c>
      <c r="C567" s="30">
        <v>170</v>
      </c>
      <c r="D567" s="62">
        <v>1183</v>
      </c>
      <c r="E567" s="30">
        <v>1271</v>
      </c>
      <c r="F567" s="30">
        <v>967</v>
      </c>
      <c r="G567" s="30">
        <v>3169</v>
      </c>
      <c r="H567" s="32">
        <f t="shared" si="10"/>
        <v>170</v>
      </c>
      <c r="I567" s="114">
        <f t="shared" si="11"/>
        <v>5793</v>
      </c>
      <c r="J567" s="112"/>
      <c r="K567" s="12">
        <v>39</v>
      </c>
    </row>
    <row r="568" spans="1:11" x14ac:dyDescent="0.25">
      <c r="A568" s="13">
        <v>38266</v>
      </c>
      <c r="B568" s="30">
        <v>0</v>
      </c>
      <c r="C568" s="30">
        <v>144</v>
      </c>
      <c r="D568" s="62">
        <v>1160</v>
      </c>
      <c r="E568" s="30">
        <v>1703</v>
      </c>
      <c r="F568" s="30">
        <v>1246</v>
      </c>
      <c r="G568" s="30">
        <v>3908</v>
      </c>
      <c r="H568" s="32">
        <f t="shared" si="10"/>
        <v>144</v>
      </c>
      <c r="I568" s="114">
        <f t="shared" si="11"/>
        <v>6915</v>
      </c>
      <c r="J568" s="112"/>
      <c r="K568" s="12">
        <v>40</v>
      </c>
    </row>
    <row r="569" spans="1:11" x14ac:dyDescent="0.25">
      <c r="A569" s="13">
        <v>38273</v>
      </c>
      <c r="B569" s="30">
        <v>0</v>
      </c>
      <c r="C569" s="30">
        <v>270</v>
      </c>
      <c r="D569" s="62">
        <v>1858</v>
      </c>
      <c r="E569" s="30">
        <v>954</v>
      </c>
      <c r="F569" s="30">
        <v>1785</v>
      </c>
      <c r="G569" s="30">
        <v>5467</v>
      </c>
      <c r="H569" s="32">
        <f t="shared" si="10"/>
        <v>270</v>
      </c>
      <c r="I569" s="114">
        <f t="shared" si="11"/>
        <v>8549</v>
      </c>
      <c r="J569" s="112"/>
      <c r="K569" s="12">
        <v>41</v>
      </c>
    </row>
    <row r="570" spans="1:11" x14ac:dyDescent="0.25">
      <c r="A570" s="13">
        <v>38280</v>
      </c>
      <c r="B570" s="30">
        <v>0</v>
      </c>
      <c r="C570" s="30">
        <v>205</v>
      </c>
      <c r="D570" s="62">
        <v>1864</v>
      </c>
      <c r="E570" s="30">
        <v>1133</v>
      </c>
      <c r="F570" s="30">
        <v>1274</v>
      </c>
      <c r="G570" s="30">
        <v>5349</v>
      </c>
      <c r="H570" s="30">
        <f t="shared" si="10"/>
        <v>205</v>
      </c>
      <c r="I570" s="114">
        <f t="shared" si="11"/>
        <v>8551</v>
      </c>
      <c r="J570" s="112"/>
      <c r="K570" s="12">
        <v>42</v>
      </c>
    </row>
    <row r="571" spans="1:11" x14ac:dyDescent="0.25">
      <c r="A571" s="13">
        <v>38287</v>
      </c>
      <c r="B571" s="30">
        <v>0</v>
      </c>
      <c r="C571" s="30">
        <v>534</v>
      </c>
      <c r="D571" s="62">
        <v>1446</v>
      </c>
      <c r="E571" s="30">
        <v>1588</v>
      </c>
      <c r="F571" s="30">
        <v>1177</v>
      </c>
      <c r="G571" s="30">
        <v>5104</v>
      </c>
      <c r="H571" s="30">
        <f t="shared" si="10"/>
        <v>534</v>
      </c>
      <c r="I571" s="114">
        <f t="shared" si="11"/>
        <v>8672</v>
      </c>
      <c r="J571" s="112"/>
      <c r="K571" s="12">
        <v>43</v>
      </c>
    </row>
    <row r="572" spans="1:11" x14ac:dyDescent="0.25">
      <c r="A572" s="13">
        <v>38294</v>
      </c>
      <c r="B572" s="30">
        <v>50</v>
      </c>
      <c r="C572" s="30">
        <v>428</v>
      </c>
      <c r="D572" s="62">
        <v>1328</v>
      </c>
      <c r="E572" s="30">
        <v>1205</v>
      </c>
      <c r="F572" s="30">
        <v>1254</v>
      </c>
      <c r="G572" s="30">
        <v>4501</v>
      </c>
      <c r="H572" s="30">
        <f t="shared" si="10"/>
        <v>478</v>
      </c>
      <c r="I572" s="114">
        <f t="shared" si="11"/>
        <v>7512</v>
      </c>
      <c r="J572" s="112"/>
      <c r="K572" s="12">
        <v>44</v>
      </c>
    </row>
    <row r="573" spans="1:11" x14ac:dyDescent="0.25">
      <c r="A573" s="13">
        <v>38301</v>
      </c>
      <c r="B573" s="30">
        <v>150</v>
      </c>
      <c r="C573" s="30">
        <v>649</v>
      </c>
      <c r="D573" s="62">
        <v>1284</v>
      </c>
      <c r="E573" s="30">
        <v>786</v>
      </c>
      <c r="F573" s="30">
        <v>1637</v>
      </c>
      <c r="G573" s="30">
        <v>6003</v>
      </c>
      <c r="H573" s="30">
        <f t="shared" si="10"/>
        <v>799</v>
      </c>
      <c r="I573" s="114">
        <f t="shared" si="11"/>
        <v>8872</v>
      </c>
      <c r="J573" s="112"/>
      <c r="K573" s="12">
        <v>45</v>
      </c>
    </row>
    <row r="574" spans="1:11" x14ac:dyDescent="0.25">
      <c r="A574" s="13">
        <v>38308</v>
      </c>
      <c r="B574" s="30">
        <v>130</v>
      </c>
      <c r="C574" s="30">
        <v>696</v>
      </c>
      <c r="D574" s="62">
        <v>1526</v>
      </c>
      <c r="E574" s="30">
        <v>1425</v>
      </c>
      <c r="F574" s="30">
        <v>1384</v>
      </c>
      <c r="G574" s="30">
        <v>4586</v>
      </c>
      <c r="H574" s="30">
        <f t="shared" si="10"/>
        <v>826</v>
      </c>
      <c r="I574" s="114">
        <f t="shared" si="11"/>
        <v>8363</v>
      </c>
      <c r="J574" s="112"/>
      <c r="K574" s="12">
        <v>46</v>
      </c>
    </row>
    <row r="575" spans="1:11" x14ac:dyDescent="0.25">
      <c r="A575" s="13">
        <v>38315</v>
      </c>
      <c r="B575" s="30">
        <v>100</v>
      </c>
      <c r="C575" s="30">
        <v>231</v>
      </c>
      <c r="D575" s="62">
        <v>1689</v>
      </c>
      <c r="E575" s="30">
        <v>1439</v>
      </c>
      <c r="F575" s="30">
        <v>1897</v>
      </c>
      <c r="G575" s="30">
        <v>4747</v>
      </c>
      <c r="H575" s="30">
        <f t="shared" si="10"/>
        <v>331</v>
      </c>
      <c r="I575" s="114">
        <f t="shared" si="11"/>
        <v>8206</v>
      </c>
      <c r="J575" s="112"/>
      <c r="K575" s="12">
        <v>47</v>
      </c>
    </row>
    <row r="576" spans="1:11" x14ac:dyDescent="0.25">
      <c r="A576" s="13">
        <v>38322</v>
      </c>
      <c r="B576" s="30">
        <v>100</v>
      </c>
      <c r="C576" s="30">
        <v>396</v>
      </c>
      <c r="D576" s="62">
        <v>864</v>
      </c>
      <c r="E576" s="30">
        <v>1681</v>
      </c>
      <c r="F576" s="30">
        <v>2036</v>
      </c>
      <c r="G576" s="30">
        <v>4512</v>
      </c>
      <c r="H576" s="30">
        <f t="shared" si="10"/>
        <v>496</v>
      </c>
      <c r="I576" s="114">
        <f t="shared" si="11"/>
        <v>7553</v>
      </c>
      <c r="J576" s="112"/>
      <c r="K576" s="12">
        <v>48</v>
      </c>
    </row>
    <row r="577" spans="1:11" x14ac:dyDescent="0.25">
      <c r="A577" s="13">
        <v>38329</v>
      </c>
      <c r="B577" s="30">
        <v>100</v>
      </c>
      <c r="C577" s="30">
        <v>237</v>
      </c>
      <c r="D577" s="62">
        <v>1139</v>
      </c>
      <c r="E577" s="30">
        <v>1210</v>
      </c>
      <c r="F577" s="30">
        <v>1840</v>
      </c>
      <c r="G577" s="30">
        <v>3833</v>
      </c>
      <c r="H577" s="30">
        <f t="shared" si="10"/>
        <v>337</v>
      </c>
      <c r="I577" s="114">
        <f t="shared" si="11"/>
        <v>6519</v>
      </c>
      <c r="J577" s="112"/>
      <c r="K577" s="12">
        <v>49</v>
      </c>
    </row>
    <row r="578" spans="1:11" x14ac:dyDescent="0.25">
      <c r="A578" s="13">
        <v>38336</v>
      </c>
      <c r="B578" s="30">
        <v>20</v>
      </c>
      <c r="C578" s="30">
        <v>448</v>
      </c>
      <c r="D578" s="62">
        <v>1213</v>
      </c>
      <c r="E578" s="30">
        <v>1866</v>
      </c>
      <c r="F578" s="30">
        <v>1907</v>
      </c>
      <c r="G578" s="30">
        <v>4089</v>
      </c>
      <c r="H578" s="30">
        <f t="shared" si="10"/>
        <v>468</v>
      </c>
      <c r="I578" s="114">
        <f t="shared" si="11"/>
        <v>7636</v>
      </c>
      <c r="J578" s="112"/>
      <c r="K578" s="12">
        <v>50</v>
      </c>
    </row>
    <row r="579" spans="1:11" x14ac:dyDescent="0.25">
      <c r="A579" s="13">
        <v>38343</v>
      </c>
      <c r="B579" s="30">
        <v>80</v>
      </c>
      <c r="C579" s="30">
        <v>442</v>
      </c>
      <c r="D579" s="62">
        <v>992</v>
      </c>
      <c r="E579" s="30">
        <v>1476</v>
      </c>
      <c r="F579" s="30">
        <v>2194</v>
      </c>
      <c r="G579" s="30">
        <v>5109</v>
      </c>
      <c r="H579" s="30">
        <f t="shared" si="10"/>
        <v>522</v>
      </c>
      <c r="I579" s="114">
        <f t="shared" si="11"/>
        <v>8099</v>
      </c>
      <c r="J579" s="112"/>
      <c r="K579" s="12">
        <v>51</v>
      </c>
    </row>
    <row r="580" spans="1:11" x14ac:dyDescent="0.25">
      <c r="A580" s="13">
        <v>38350</v>
      </c>
      <c r="B580" s="30">
        <v>200</v>
      </c>
      <c r="C580" s="30">
        <v>66</v>
      </c>
      <c r="D580" s="62">
        <v>1145</v>
      </c>
      <c r="E580" s="30">
        <v>1006</v>
      </c>
      <c r="F580" s="30">
        <v>1416</v>
      </c>
      <c r="G580" s="30">
        <v>3912</v>
      </c>
      <c r="H580" s="30">
        <f t="shared" si="10"/>
        <v>266</v>
      </c>
      <c r="I580" s="114">
        <f t="shared" si="11"/>
        <v>6329</v>
      </c>
      <c r="J580" s="112"/>
      <c r="K580" s="12">
        <v>52</v>
      </c>
    </row>
    <row r="581" spans="1:11" x14ac:dyDescent="0.25">
      <c r="A581" s="13">
        <v>38357</v>
      </c>
      <c r="B581" s="30">
        <v>120</v>
      </c>
      <c r="C581" s="30">
        <v>233</v>
      </c>
      <c r="D581" s="62">
        <v>1185</v>
      </c>
      <c r="E581" s="30">
        <v>1432</v>
      </c>
      <c r="F581" s="30">
        <v>2085</v>
      </c>
      <c r="G581" s="30">
        <v>3515</v>
      </c>
      <c r="H581" s="30">
        <f t="shared" si="10"/>
        <v>353</v>
      </c>
      <c r="I581" s="114">
        <f t="shared" si="11"/>
        <v>6485</v>
      </c>
      <c r="J581" s="112"/>
      <c r="K581" s="12">
        <v>1</v>
      </c>
    </row>
    <row r="582" spans="1:11" x14ac:dyDescent="0.25">
      <c r="A582" s="13">
        <v>38364</v>
      </c>
      <c r="B582" s="30">
        <v>100</v>
      </c>
      <c r="C582" s="30">
        <v>454</v>
      </c>
      <c r="D582" s="62">
        <v>1378</v>
      </c>
      <c r="E582" s="30">
        <v>1174</v>
      </c>
      <c r="F582" s="30">
        <v>991</v>
      </c>
      <c r="G582" s="30">
        <v>3883</v>
      </c>
      <c r="H582" s="30">
        <f t="shared" si="10"/>
        <v>554</v>
      </c>
      <c r="I582" s="114">
        <f t="shared" si="11"/>
        <v>6989</v>
      </c>
      <c r="J582" s="112"/>
      <c r="K582" s="12">
        <v>2</v>
      </c>
    </row>
    <row r="583" spans="1:11" x14ac:dyDescent="0.25">
      <c r="A583" s="13">
        <v>38371</v>
      </c>
      <c r="B583" s="30">
        <v>230</v>
      </c>
      <c r="C583" s="30">
        <v>414</v>
      </c>
      <c r="D583" s="62">
        <v>1833</v>
      </c>
      <c r="E583" s="30">
        <v>1467</v>
      </c>
      <c r="F583" s="30">
        <v>1085</v>
      </c>
      <c r="G583" s="30">
        <v>4120</v>
      </c>
      <c r="H583" s="30">
        <f t="shared" si="10"/>
        <v>644</v>
      </c>
      <c r="I583" s="114">
        <f t="shared" si="11"/>
        <v>8064</v>
      </c>
      <c r="J583" s="112"/>
      <c r="K583" s="12">
        <v>3</v>
      </c>
    </row>
    <row r="584" spans="1:11" x14ac:dyDescent="0.25">
      <c r="A584" s="13">
        <v>38378</v>
      </c>
      <c r="B584" s="30">
        <v>180</v>
      </c>
      <c r="C584" s="30">
        <v>278</v>
      </c>
      <c r="D584" s="62">
        <v>2061</v>
      </c>
      <c r="E584" s="30">
        <v>2236</v>
      </c>
      <c r="F584" s="30">
        <v>932</v>
      </c>
      <c r="G584" s="30">
        <v>4834</v>
      </c>
      <c r="H584" s="30">
        <f t="shared" ref="H584:H647" si="12">B584+C584</f>
        <v>458</v>
      </c>
      <c r="I584" s="114">
        <f t="shared" si="11"/>
        <v>9589</v>
      </c>
      <c r="J584" s="112"/>
      <c r="K584" s="12">
        <v>4</v>
      </c>
    </row>
    <row r="585" spans="1:11" x14ac:dyDescent="0.25">
      <c r="A585" s="13">
        <v>38385</v>
      </c>
      <c r="B585" s="30">
        <v>240</v>
      </c>
      <c r="C585" s="30">
        <v>208</v>
      </c>
      <c r="D585" s="62">
        <v>1444</v>
      </c>
      <c r="E585" s="30">
        <v>1793</v>
      </c>
      <c r="F585" s="30">
        <v>1165</v>
      </c>
      <c r="G585" s="30">
        <v>4822</v>
      </c>
      <c r="H585" s="30">
        <f t="shared" si="12"/>
        <v>448</v>
      </c>
      <c r="I585" s="114">
        <f t="shared" si="11"/>
        <v>8507</v>
      </c>
      <c r="J585" s="112"/>
      <c r="K585" s="12">
        <v>5</v>
      </c>
    </row>
    <row r="586" spans="1:11" x14ac:dyDescent="0.25">
      <c r="A586" s="13">
        <v>38392</v>
      </c>
      <c r="B586" s="30">
        <v>180</v>
      </c>
      <c r="C586" s="30">
        <v>314</v>
      </c>
      <c r="D586" s="62">
        <v>1455</v>
      </c>
      <c r="E586" s="30">
        <v>1531</v>
      </c>
      <c r="F586" s="30">
        <v>1179</v>
      </c>
      <c r="G586" s="30">
        <v>5026</v>
      </c>
      <c r="H586" s="30">
        <f t="shared" si="12"/>
        <v>494</v>
      </c>
      <c r="I586" s="114">
        <f t="shared" si="11"/>
        <v>8506</v>
      </c>
      <c r="J586" s="112"/>
      <c r="K586" s="12">
        <v>6</v>
      </c>
    </row>
    <row r="587" spans="1:11" x14ac:dyDescent="0.25">
      <c r="A587" s="13">
        <v>38399</v>
      </c>
      <c r="B587" s="30">
        <v>150</v>
      </c>
      <c r="C587" s="30">
        <v>510</v>
      </c>
      <c r="D587" s="62">
        <v>1456</v>
      </c>
      <c r="E587" s="30">
        <v>1770</v>
      </c>
      <c r="F587" s="30">
        <v>877</v>
      </c>
      <c r="G587" s="30">
        <v>5384</v>
      </c>
      <c r="H587" s="30">
        <f t="shared" si="12"/>
        <v>660</v>
      </c>
      <c r="I587" s="114">
        <f t="shared" si="11"/>
        <v>9270</v>
      </c>
      <c r="J587" s="112"/>
      <c r="K587" s="12">
        <v>7</v>
      </c>
    </row>
    <row r="588" spans="1:11" x14ac:dyDescent="0.25">
      <c r="A588" s="13">
        <v>38406</v>
      </c>
      <c r="B588" s="30">
        <v>190</v>
      </c>
      <c r="C588" s="30">
        <v>308</v>
      </c>
      <c r="D588" s="62">
        <v>1425</v>
      </c>
      <c r="E588" s="30">
        <v>2196</v>
      </c>
      <c r="F588" s="30">
        <v>1255</v>
      </c>
      <c r="G588" s="30">
        <v>5199</v>
      </c>
      <c r="H588" s="30">
        <f t="shared" si="12"/>
        <v>498</v>
      </c>
      <c r="I588" s="114">
        <f t="shared" si="11"/>
        <v>9318</v>
      </c>
      <c r="J588" s="112"/>
      <c r="K588" s="12">
        <v>8</v>
      </c>
    </row>
    <row r="589" spans="1:11" x14ac:dyDescent="0.25">
      <c r="A589" s="13">
        <v>38413</v>
      </c>
      <c r="B589" s="30">
        <v>138</v>
      </c>
      <c r="C589" s="30">
        <v>351</v>
      </c>
      <c r="D589" s="62">
        <v>1221</v>
      </c>
      <c r="E589" s="30">
        <v>2245</v>
      </c>
      <c r="F589" s="30">
        <v>1677</v>
      </c>
      <c r="G589" s="30">
        <v>4818</v>
      </c>
      <c r="H589" s="30">
        <f t="shared" si="12"/>
        <v>489</v>
      </c>
      <c r="I589" s="114">
        <f t="shared" si="11"/>
        <v>8773</v>
      </c>
      <c r="J589" s="112"/>
      <c r="K589" s="12">
        <v>9</v>
      </c>
    </row>
    <row r="590" spans="1:11" x14ac:dyDescent="0.25">
      <c r="A590" s="13">
        <v>38420</v>
      </c>
      <c r="B590" s="30">
        <v>120</v>
      </c>
      <c r="C590" s="30">
        <v>341</v>
      </c>
      <c r="D590" s="62">
        <v>1411</v>
      </c>
      <c r="E590" s="30">
        <v>2128</v>
      </c>
      <c r="F590" s="30">
        <v>1455</v>
      </c>
      <c r="G590" s="30">
        <v>5397</v>
      </c>
      <c r="H590" s="30">
        <f t="shared" si="12"/>
        <v>461</v>
      </c>
      <c r="I590" s="114">
        <f t="shared" si="11"/>
        <v>9397</v>
      </c>
      <c r="J590" s="112"/>
      <c r="K590" s="12">
        <v>10</v>
      </c>
    </row>
    <row r="591" spans="1:11" x14ac:dyDescent="0.25">
      <c r="A591" s="13">
        <v>38427</v>
      </c>
      <c r="B591" s="30">
        <v>225</v>
      </c>
      <c r="C591" s="30">
        <v>307</v>
      </c>
      <c r="D591" s="62">
        <v>664</v>
      </c>
      <c r="E591" s="30">
        <v>2374</v>
      </c>
      <c r="F591" s="30">
        <v>1206</v>
      </c>
      <c r="G591" s="30">
        <v>5014</v>
      </c>
      <c r="H591" s="30">
        <f t="shared" si="12"/>
        <v>532</v>
      </c>
      <c r="I591" s="114">
        <f t="shared" si="11"/>
        <v>8584</v>
      </c>
      <c r="J591" s="112"/>
      <c r="K591" s="12">
        <v>11</v>
      </c>
    </row>
    <row r="592" spans="1:11" x14ac:dyDescent="0.25">
      <c r="A592" s="13">
        <v>38434</v>
      </c>
      <c r="B592" s="30">
        <v>60</v>
      </c>
      <c r="C592" s="30">
        <v>235</v>
      </c>
      <c r="D592" s="62">
        <v>1491</v>
      </c>
      <c r="E592" s="30">
        <v>1532</v>
      </c>
      <c r="F592" s="30">
        <v>1811</v>
      </c>
      <c r="G592" s="30">
        <v>3525</v>
      </c>
      <c r="H592" s="30">
        <f t="shared" si="12"/>
        <v>295</v>
      </c>
      <c r="I592" s="114">
        <f t="shared" si="11"/>
        <v>6843</v>
      </c>
      <c r="J592" s="112"/>
      <c r="K592" s="12">
        <v>12</v>
      </c>
    </row>
    <row r="593" spans="1:11" x14ac:dyDescent="0.25">
      <c r="A593" s="13">
        <v>38441</v>
      </c>
      <c r="B593" s="30">
        <v>50</v>
      </c>
      <c r="C593" s="30">
        <v>211</v>
      </c>
      <c r="D593" s="62">
        <v>984</v>
      </c>
      <c r="E593" s="30">
        <v>1793</v>
      </c>
      <c r="F593" s="30">
        <v>1734</v>
      </c>
      <c r="G593" s="30">
        <v>3904</v>
      </c>
      <c r="H593" s="30">
        <f t="shared" si="12"/>
        <v>261</v>
      </c>
      <c r="I593" s="114">
        <f t="shared" ref="I593:I656" si="13">SUM(D593:H593)-F593</f>
        <v>6942</v>
      </c>
      <c r="J593" s="112"/>
      <c r="K593" s="12">
        <v>13</v>
      </c>
    </row>
    <row r="594" spans="1:11" x14ac:dyDescent="0.25">
      <c r="A594" s="13">
        <v>38448</v>
      </c>
      <c r="B594" s="30">
        <v>45</v>
      </c>
      <c r="C594" s="30">
        <v>151</v>
      </c>
      <c r="D594" s="62">
        <v>925</v>
      </c>
      <c r="E594" s="30">
        <v>1685</v>
      </c>
      <c r="F594" s="30">
        <v>1234</v>
      </c>
      <c r="G594" s="30">
        <v>4393</v>
      </c>
      <c r="H594" s="30">
        <f t="shared" si="12"/>
        <v>196</v>
      </c>
      <c r="I594" s="114">
        <f t="shared" si="13"/>
        <v>7199</v>
      </c>
      <c r="J594" s="112"/>
      <c r="K594" s="12">
        <v>14</v>
      </c>
    </row>
    <row r="595" spans="1:11" x14ac:dyDescent="0.25">
      <c r="A595" s="13">
        <v>38455</v>
      </c>
      <c r="B595" s="30">
        <v>30</v>
      </c>
      <c r="C595" s="30">
        <v>78</v>
      </c>
      <c r="D595" s="62">
        <v>1151</v>
      </c>
      <c r="E595" s="30">
        <v>1434</v>
      </c>
      <c r="F595" s="30">
        <v>1766</v>
      </c>
      <c r="G595" s="30">
        <v>4521</v>
      </c>
      <c r="H595" s="30">
        <f t="shared" si="12"/>
        <v>108</v>
      </c>
      <c r="I595" s="114">
        <f t="shared" si="13"/>
        <v>7214</v>
      </c>
      <c r="J595" s="112"/>
      <c r="K595" s="12">
        <v>15</v>
      </c>
    </row>
    <row r="596" spans="1:11" x14ac:dyDescent="0.25">
      <c r="A596" s="13">
        <v>38462</v>
      </c>
      <c r="B596" s="30">
        <v>45</v>
      </c>
      <c r="C596" s="30">
        <v>210</v>
      </c>
      <c r="D596" s="62">
        <v>459</v>
      </c>
      <c r="E596" s="30">
        <v>1621</v>
      </c>
      <c r="F596" s="30">
        <v>1461</v>
      </c>
      <c r="G596" s="63">
        <v>4049</v>
      </c>
      <c r="H596" s="30">
        <f t="shared" si="12"/>
        <v>255</v>
      </c>
      <c r="I596" s="114">
        <f t="shared" si="13"/>
        <v>6384</v>
      </c>
      <c r="J596" s="112"/>
      <c r="K596" s="12">
        <v>16</v>
      </c>
    </row>
    <row r="597" spans="1:11" x14ac:dyDescent="0.25">
      <c r="A597" s="13">
        <v>38469</v>
      </c>
      <c r="B597" s="30">
        <v>30</v>
      </c>
      <c r="C597" s="30">
        <v>73</v>
      </c>
      <c r="D597" s="62">
        <v>475</v>
      </c>
      <c r="E597" s="30">
        <v>1206</v>
      </c>
      <c r="F597" s="30">
        <v>1706</v>
      </c>
      <c r="G597" s="30">
        <v>4668</v>
      </c>
      <c r="H597" s="30">
        <f t="shared" si="12"/>
        <v>103</v>
      </c>
      <c r="I597" s="114">
        <f t="shared" si="13"/>
        <v>6452</v>
      </c>
      <c r="J597" s="112"/>
      <c r="K597" s="12">
        <v>17</v>
      </c>
    </row>
    <row r="598" spans="1:11" x14ac:dyDescent="0.25">
      <c r="A598" s="13">
        <v>38476</v>
      </c>
      <c r="B598" s="30">
        <v>20</v>
      </c>
      <c r="C598" s="30">
        <v>28</v>
      </c>
      <c r="D598" s="62">
        <v>481</v>
      </c>
      <c r="E598" s="30">
        <v>1828</v>
      </c>
      <c r="F598" s="30">
        <v>1880</v>
      </c>
      <c r="G598" s="30">
        <v>4169</v>
      </c>
      <c r="H598" s="30">
        <f t="shared" si="12"/>
        <v>48</v>
      </c>
      <c r="I598" s="114">
        <f t="shared" si="13"/>
        <v>6526</v>
      </c>
      <c r="J598" s="112"/>
      <c r="K598" s="12">
        <v>18</v>
      </c>
    </row>
    <row r="599" spans="1:11" x14ac:dyDescent="0.25">
      <c r="A599" s="13">
        <v>38483</v>
      </c>
      <c r="B599" s="30">
        <v>20</v>
      </c>
      <c r="C599" s="30">
        <v>54</v>
      </c>
      <c r="D599" s="62">
        <v>941</v>
      </c>
      <c r="E599" s="30">
        <v>1076</v>
      </c>
      <c r="F599" s="30">
        <v>911</v>
      </c>
      <c r="G599" s="30">
        <v>4479</v>
      </c>
      <c r="H599" s="30">
        <f t="shared" si="12"/>
        <v>74</v>
      </c>
      <c r="I599" s="114">
        <f t="shared" si="13"/>
        <v>6570</v>
      </c>
      <c r="J599" s="112"/>
      <c r="K599" s="12">
        <v>19</v>
      </c>
    </row>
    <row r="600" spans="1:11" x14ac:dyDescent="0.25">
      <c r="A600" s="13">
        <v>38490</v>
      </c>
      <c r="B600" s="30">
        <v>10</v>
      </c>
      <c r="C600" s="30">
        <v>131</v>
      </c>
      <c r="D600" s="62">
        <v>433</v>
      </c>
      <c r="E600" s="30">
        <v>1149</v>
      </c>
      <c r="F600" s="30">
        <v>1682</v>
      </c>
      <c r="G600" s="30">
        <v>4364</v>
      </c>
      <c r="H600" s="30">
        <f t="shared" si="12"/>
        <v>141</v>
      </c>
      <c r="I600" s="114">
        <f t="shared" si="13"/>
        <v>6087</v>
      </c>
      <c r="J600" s="112"/>
      <c r="K600" s="12">
        <v>20</v>
      </c>
    </row>
    <row r="601" spans="1:11" x14ac:dyDescent="0.25">
      <c r="A601" s="13">
        <v>38497</v>
      </c>
      <c r="B601" s="30">
        <v>0</v>
      </c>
      <c r="C601" s="30">
        <v>78</v>
      </c>
      <c r="D601" s="62">
        <v>444</v>
      </c>
      <c r="E601" s="30">
        <v>1301</v>
      </c>
      <c r="F601" s="30">
        <v>402</v>
      </c>
      <c r="G601" s="30">
        <v>4464</v>
      </c>
      <c r="H601" s="30">
        <f t="shared" si="12"/>
        <v>78</v>
      </c>
      <c r="I601" s="114">
        <f t="shared" si="13"/>
        <v>6287</v>
      </c>
      <c r="J601" s="112"/>
      <c r="K601" s="12">
        <v>21</v>
      </c>
    </row>
    <row r="602" spans="1:11" x14ac:dyDescent="0.25">
      <c r="A602" s="13">
        <v>38504</v>
      </c>
      <c r="B602" s="30">
        <v>0</v>
      </c>
      <c r="C602" s="30">
        <v>0</v>
      </c>
      <c r="D602" s="62">
        <v>703</v>
      </c>
      <c r="E602" s="30">
        <v>1010</v>
      </c>
      <c r="F602" s="30">
        <v>1122</v>
      </c>
      <c r="G602" s="30">
        <v>4579</v>
      </c>
      <c r="H602" s="30">
        <f t="shared" si="12"/>
        <v>0</v>
      </c>
      <c r="I602" s="114">
        <f t="shared" si="13"/>
        <v>6292</v>
      </c>
      <c r="J602" s="112"/>
      <c r="K602" s="12">
        <v>22</v>
      </c>
    </row>
    <row r="603" spans="1:11" x14ac:dyDescent="0.25">
      <c r="A603" s="13">
        <v>38511</v>
      </c>
      <c r="B603" s="30">
        <v>0</v>
      </c>
      <c r="C603" s="30">
        <v>17</v>
      </c>
      <c r="D603" s="62">
        <v>448</v>
      </c>
      <c r="E603" s="30">
        <v>1643</v>
      </c>
      <c r="F603" s="30">
        <v>1167</v>
      </c>
      <c r="G603" s="30">
        <v>3260</v>
      </c>
      <c r="H603" s="30">
        <f t="shared" si="12"/>
        <v>17</v>
      </c>
      <c r="I603" s="114">
        <f t="shared" si="13"/>
        <v>5368</v>
      </c>
      <c r="J603" s="112"/>
      <c r="K603" s="12">
        <v>23</v>
      </c>
    </row>
    <row r="604" spans="1:11" x14ac:dyDescent="0.25">
      <c r="A604" s="13">
        <v>38518</v>
      </c>
      <c r="B604" s="30">
        <v>0</v>
      </c>
      <c r="C604" s="30">
        <v>37</v>
      </c>
      <c r="D604" s="62">
        <v>643</v>
      </c>
      <c r="E604" s="30">
        <v>1594</v>
      </c>
      <c r="F604" s="30">
        <v>709</v>
      </c>
      <c r="G604" s="30">
        <v>3343</v>
      </c>
      <c r="H604" s="30">
        <f t="shared" si="12"/>
        <v>37</v>
      </c>
      <c r="I604" s="114">
        <f t="shared" si="13"/>
        <v>5617</v>
      </c>
      <c r="J604" s="112"/>
      <c r="K604" s="12">
        <v>24</v>
      </c>
    </row>
    <row r="605" spans="1:11" x14ac:dyDescent="0.25">
      <c r="A605" s="13">
        <v>38525</v>
      </c>
      <c r="B605" s="30">
        <v>0</v>
      </c>
      <c r="C605" s="38">
        <v>153</v>
      </c>
      <c r="D605" s="62">
        <v>291</v>
      </c>
      <c r="E605" s="30">
        <v>1515</v>
      </c>
      <c r="F605" s="30">
        <v>794</v>
      </c>
      <c r="G605" s="30">
        <v>3836</v>
      </c>
      <c r="H605" s="38">
        <f t="shared" si="12"/>
        <v>153</v>
      </c>
      <c r="I605" s="114">
        <f t="shared" si="13"/>
        <v>5795</v>
      </c>
      <c r="J605" s="112"/>
      <c r="K605" s="12">
        <v>25</v>
      </c>
    </row>
    <row r="606" spans="1:11" x14ac:dyDescent="0.25">
      <c r="A606" s="13">
        <v>38532</v>
      </c>
      <c r="B606" s="30">
        <v>60</v>
      </c>
      <c r="C606" s="38">
        <v>16</v>
      </c>
      <c r="D606" s="62">
        <v>327</v>
      </c>
      <c r="E606" s="30">
        <v>1802</v>
      </c>
      <c r="F606" s="30">
        <v>1080</v>
      </c>
      <c r="G606" s="30">
        <v>4394</v>
      </c>
      <c r="H606" s="38">
        <f t="shared" si="12"/>
        <v>76</v>
      </c>
      <c r="I606" s="114">
        <f t="shared" si="13"/>
        <v>6599</v>
      </c>
      <c r="J606" s="112"/>
      <c r="K606" s="12">
        <v>26</v>
      </c>
    </row>
    <row r="607" spans="1:11" x14ac:dyDescent="0.25">
      <c r="A607" s="13">
        <v>38539</v>
      </c>
      <c r="B607" s="30">
        <v>0</v>
      </c>
      <c r="C607" s="38">
        <v>85</v>
      </c>
      <c r="D607" s="62">
        <v>435</v>
      </c>
      <c r="E607" s="30">
        <v>1944</v>
      </c>
      <c r="F607" s="30">
        <v>1363</v>
      </c>
      <c r="G607" s="30">
        <v>3267</v>
      </c>
      <c r="H607" s="38">
        <f t="shared" si="12"/>
        <v>85</v>
      </c>
      <c r="I607" s="114">
        <f t="shared" si="13"/>
        <v>5731</v>
      </c>
      <c r="J607" s="112"/>
      <c r="K607" s="12">
        <v>27</v>
      </c>
    </row>
    <row r="608" spans="1:11" x14ac:dyDescent="0.25">
      <c r="A608" s="13">
        <v>38546</v>
      </c>
      <c r="B608" s="30">
        <v>30</v>
      </c>
      <c r="C608" s="38">
        <v>104</v>
      </c>
      <c r="D608" s="62">
        <v>224</v>
      </c>
      <c r="E608" s="30">
        <v>2067</v>
      </c>
      <c r="F608" s="30">
        <v>1137</v>
      </c>
      <c r="G608" s="30">
        <v>2757</v>
      </c>
      <c r="H608" s="38">
        <f t="shared" si="12"/>
        <v>134</v>
      </c>
      <c r="I608" s="114">
        <f t="shared" si="13"/>
        <v>5182</v>
      </c>
      <c r="J608" s="112"/>
      <c r="K608" s="12">
        <v>28</v>
      </c>
    </row>
    <row r="609" spans="1:11" x14ac:dyDescent="0.25">
      <c r="A609" s="13">
        <v>38553</v>
      </c>
      <c r="B609" s="30">
        <v>0</v>
      </c>
      <c r="C609" s="38">
        <v>78</v>
      </c>
      <c r="D609" s="62">
        <v>706</v>
      </c>
      <c r="E609" s="30">
        <v>1819</v>
      </c>
      <c r="F609" s="30">
        <v>1028</v>
      </c>
      <c r="G609" s="30">
        <v>3660</v>
      </c>
      <c r="H609" s="38">
        <f t="shared" si="12"/>
        <v>78</v>
      </c>
      <c r="I609" s="114">
        <f t="shared" si="13"/>
        <v>6263</v>
      </c>
      <c r="J609" s="112"/>
      <c r="K609" s="12">
        <v>29</v>
      </c>
    </row>
    <row r="610" spans="1:11" x14ac:dyDescent="0.25">
      <c r="A610" s="13">
        <v>38560</v>
      </c>
      <c r="B610" s="30">
        <v>0</v>
      </c>
      <c r="C610" s="38">
        <v>34</v>
      </c>
      <c r="D610" s="62">
        <v>249</v>
      </c>
      <c r="E610" s="30">
        <v>2002</v>
      </c>
      <c r="F610" s="30">
        <v>862</v>
      </c>
      <c r="G610" s="30">
        <v>3071</v>
      </c>
      <c r="H610" s="38">
        <f t="shared" si="12"/>
        <v>34</v>
      </c>
      <c r="I610" s="114">
        <f t="shared" si="13"/>
        <v>5356</v>
      </c>
      <c r="J610" s="112"/>
      <c r="K610" s="12">
        <v>30</v>
      </c>
    </row>
    <row r="611" spans="1:11" x14ac:dyDescent="0.25">
      <c r="A611" s="13">
        <v>38567</v>
      </c>
      <c r="B611" s="30">
        <v>0</v>
      </c>
      <c r="C611" s="38">
        <v>115</v>
      </c>
      <c r="D611" s="62">
        <v>119</v>
      </c>
      <c r="E611" s="30">
        <v>2518</v>
      </c>
      <c r="F611" s="30">
        <v>921</v>
      </c>
      <c r="G611" s="30">
        <v>3983</v>
      </c>
      <c r="H611" s="38">
        <f t="shared" si="12"/>
        <v>115</v>
      </c>
      <c r="I611" s="114">
        <f t="shared" si="13"/>
        <v>6735</v>
      </c>
      <c r="J611" s="112"/>
      <c r="K611" s="12">
        <v>31</v>
      </c>
    </row>
    <row r="612" spans="1:11" x14ac:dyDescent="0.25">
      <c r="A612" s="13">
        <v>38574</v>
      </c>
      <c r="B612" s="30">
        <v>0</v>
      </c>
      <c r="C612" s="38">
        <v>19</v>
      </c>
      <c r="D612" s="62">
        <v>507</v>
      </c>
      <c r="E612" s="30">
        <v>2481</v>
      </c>
      <c r="F612" s="30">
        <v>1024</v>
      </c>
      <c r="G612" s="30">
        <v>3322</v>
      </c>
      <c r="H612" s="38">
        <f t="shared" si="12"/>
        <v>19</v>
      </c>
      <c r="I612" s="114">
        <f t="shared" si="13"/>
        <v>6329</v>
      </c>
      <c r="J612" s="112"/>
      <c r="K612" s="12">
        <v>32</v>
      </c>
    </row>
    <row r="613" spans="1:11" x14ac:dyDescent="0.25">
      <c r="A613" s="13">
        <v>38581</v>
      </c>
      <c r="B613" s="30">
        <v>0</v>
      </c>
      <c r="C613" s="38">
        <v>40</v>
      </c>
      <c r="D613" s="62">
        <v>416</v>
      </c>
      <c r="E613" s="30">
        <v>2433</v>
      </c>
      <c r="F613" s="30">
        <v>706</v>
      </c>
      <c r="G613" s="30">
        <v>3888</v>
      </c>
      <c r="H613" s="38">
        <f t="shared" si="12"/>
        <v>40</v>
      </c>
      <c r="I613" s="114">
        <f t="shared" si="13"/>
        <v>6777</v>
      </c>
      <c r="J613" s="112"/>
      <c r="K613" s="12">
        <v>33</v>
      </c>
    </row>
    <row r="614" spans="1:11" x14ac:dyDescent="0.25">
      <c r="A614" s="13">
        <v>38588</v>
      </c>
      <c r="B614" s="30">
        <v>0</v>
      </c>
      <c r="C614" s="38">
        <v>20</v>
      </c>
      <c r="D614" s="62">
        <v>442</v>
      </c>
      <c r="E614" s="30">
        <v>2022</v>
      </c>
      <c r="F614" s="30">
        <v>264</v>
      </c>
      <c r="G614" s="30">
        <v>3850</v>
      </c>
      <c r="H614" s="38">
        <f t="shared" si="12"/>
        <v>20</v>
      </c>
      <c r="I614" s="114">
        <f t="shared" si="13"/>
        <v>6334</v>
      </c>
      <c r="J614" s="112"/>
      <c r="K614" s="12">
        <v>34</v>
      </c>
    </row>
    <row r="615" spans="1:11" x14ac:dyDescent="0.25">
      <c r="A615" s="13">
        <v>38595</v>
      </c>
      <c r="B615" s="30">
        <v>65</v>
      </c>
      <c r="C615" s="38">
        <v>7</v>
      </c>
      <c r="D615" s="62">
        <v>323</v>
      </c>
      <c r="E615" s="30">
        <v>2151</v>
      </c>
      <c r="F615" s="30">
        <v>749</v>
      </c>
      <c r="G615" s="30">
        <v>4404</v>
      </c>
      <c r="H615" s="38">
        <f t="shared" si="12"/>
        <v>72</v>
      </c>
      <c r="I615" s="114">
        <f t="shared" si="13"/>
        <v>6950</v>
      </c>
      <c r="J615" s="112"/>
      <c r="K615" s="12">
        <v>35</v>
      </c>
    </row>
    <row r="616" spans="1:11" x14ac:dyDescent="0.25">
      <c r="A616" s="13">
        <v>38602</v>
      </c>
      <c r="B616" s="30">
        <v>0</v>
      </c>
      <c r="C616" s="38">
        <v>75</v>
      </c>
      <c r="D616" s="62">
        <v>23</v>
      </c>
      <c r="E616" s="30">
        <v>2095</v>
      </c>
      <c r="F616" s="30">
        <v>911</v>
      </c>
      <c r="G616" s="30">
        <v>3918</v>
      </c>
      <c r="H616" s="38">
        <f t="shared" si="12"/>
        <v>75</v>
      </c>
      <c r="I616" s="114">
        <f t="shared" si="13"/>
        <v>6111</v>
      </c>
      <c r="J616" s="112"/>
      <c r="K616" s="12">
        <v>36</v>
      </c>
    </row>
    <row r="617" spans="1:11" x14ac:dyDescent="0.25">
      <c r="A617" s="13">
        <v>38609</v>
      </c>
      <c r="B617" s="48">
        <v>0</v>
      </c>
      <c r="C617" s="48">
        <v>190</v>
      </c>
      <c r="D617" s="62">
        <v>186</v>
      </c>
      <c r="E617" s="48">
        <v>3059</v>
      </c>
      <c r="F617" s="48">
        <v>839</v>
      </c>
      <c r="G617" s="48">
        <v>4364</v>
      </c>
      <c r="H617" s="48">
        <f t="shared" si="12"/>
        <v>190</v>
      </c>
      <c r="I617" s="114">
        <f t="shared" si="13"/>
        <v>7799</v>
      </c>
      <c r="J617" s="112"/>
      <c r="K617" s="47">
        <v>37</v>
      </c>
    </row>
    <row r="618" spans="1:11" x14ac:dyDescent="0.25">
      <c r="A618" s="13">
        <v>38616</v>
      </c>
      <c r="B618" s="48">
        <v>0</v>
      </c>
      <c r="C618" s="48">
        <v>409</v>
      </c>
      <c r="D618" s="62">
        <v>1000</v>
      </c>
      <c r="E618" s="48">
        <v>2512</v>
      </c>
      <c r="F618" s="48">
        <v>1182</v>
      </c>
      <c r="G618" s="48">
        <v>3044</v>
      </c>
      <c r="H618" s="48">
        <f t="shared" si="12"/>
        <v>409</v>
      </c>
      <c r="I618" s="114">
        <f t="shared" si="13"/>
        <v>6965</v>
      </c>
      <c r="J618" s="112"/>
      <c r="K618" s="47">
        <v>38</v>
      </c>
    </row>
    <row r="619" spans="1:11" x14ac:dyDescent="0.25">
      <c r="A619" s="13">
        <v>38623</v>
      </c>
      <c r="B619" s="48">
        <v>0</v>
      </c>
      <c r="C619" s="48">
        <v>359</v>
      </c>
      <c r="D619" s="62">
        <v>1393</v>
      </c>
      <c r="E619" s="48">
        <v>1049</v>
      </c>
      <c r="F619" s="48">
        <v>745</v>
      </c>
      <c r="G619" s="48">
        <v>4732</v>
      </c>
      <c r="H619" s="48">
        <f t="shared" si="12"/>
        <v>359</v>
      </c>
      <c r="I619" s="114">
        <f t="shared" si="13"/>
        <v>7533</v>
      </c>
      <c r="J619" s="112"/>
      <c r="K619" s="47">
        <v>39</v>
      </c>
    </row>
    <row r="620" spans="1:11" x14ac:dyDescent="0.25">
      <c r="A620" s="13">
        <v>38630</v>
      </c>
      <c r="B620" s="48">
        <v>100</v>
      </c>
      <c r="C620" s="48">
        <v>340</v>
      </c>
      <c r="D620" s="62">
        <v>1282</v>
      </c>
      <c r="E620" s="48">
        <v>3271</v>
      </c>
      <c r="F620" s="48">
        <v>870</v>
      </c>
      <c r="G620" s="48">
        <v>5019</v>
      </c>
      <c r="H620" s="48">
        <f t="shared" si="12"/>
        <v>440</v>
      </c>
      <c r="I620" s="114">
        <f t="shared" si="13"/>
        <v>10012</v>
      </c>
      <c r="J620" s="112"/>
      <c r="K620" s="47">
        <v>40</v>
      </c>
    </row>
    <row r="621" spans="1:11" x14ac:dyDescent="0.25">
      <c r="A621" s="13">
        <v>38637</v>
      </c>
      <c r="B621" s="48">
        <v>125</v>
      </c>
      <c r="C621" s="48">
        <v>647</v>
      </c>
      <c r="D621" s="62">
        <v>1638</v>
      </c>
      <c r="E621" s="48">
        <v>2398</v>
      </c>
      <c r="F621" s="48">
        <v>1447</v>
      </c>
      <c r="G621" s="48">
        <v>5879</v>
      </c>
      <c r="H621" s="48">
        <f t="shared" si="12"/>
        <v>772</v>
      </c>
      <c r="I621" s="114">
        <f t="shared" si="13"/>
        <v>10687</v>
      </c>
      <c r="J621" s="112"/>
      <c r="K621" s="47">
        <v>41</v>
      </c>
    </row>
    <row r="622" spans="1:11" x14ac:dyDescent="0.25">
      <c r="A622" s="13">
        <v>38644</v>
      </c>
      <c r="B622" s="48">
        <v>200</v>
      </c>
      <c r="C622" s="48">
        <v>224</v>
      </c>
      <c r="D622" s="62">
        <v>1286</v>
      </c>
      <c r="E622" s="48">
        <v>2189</v>
      </c>
      <c r="F622" s="48">
        <v>1361</v>
      </c>
      <c r="G622" s="48">
        <v>5612</v>
      </c>
      <c r="H622" s="48">
        <f t="shared" si="12"/>
        <v>424</v>
      </c>
      <c r="I622" s="114">
        <f t="shared" si="13"/>
        <v>9511</v>
      </c>
      <c r="J622" s="112"/>
      <c r="K622" s="47">
        <v>42</v>
      </c>
    </row>
    <row r="623" spans="1:11" x14ac:dyDescent="0.25">
      <c r="A623" s="13">
        <v>38651</v>
      </c>
      <c r="B623" s="48">
        <v>285</v>
      </c>
      <c r="C623" s="48">
        <v>369</v>
      </c>
      <c r="D623" s="48">
        <v>2102</v>
      </c>
      <c r="E623" s="48">
        <v>2754</v>
      </c>
      <c r="F623" s="48">
        <v>1438</v>
      </c>
      <c r="G623" s="48">
        <v>5430</v>
      </c>
      <c r="H623" s="48">
        <f t="shared" si="12"/>
        <v>654</v>
      </c>
      <c r="I623" s="114">
        <f t="shared" si="13"/>
        <v>10940</v>
      </c>
      <c r="J623" s="112"/>
      <c r="K623" s="47">
        <v>43</v>
      </c>
    </row>
    <row r="624" spans="1:11" x14ac:dyDescent="0.25">
      <c r="A624" s="13">
        <v>38658</v>
      </c>
      <c r="B624" s="48">
        <v>300</v>
      </c>
      <c r="C624" s="48">
        <v>334</v>
      </c>
      <c r="D624" s="48">
        <v>2165</v>
      </c>
      <c r="E624" s="48">
        <v>1716</v>
      </c>
      <c r="F624" s="48">
        <v>1689</v>
      </c>
      <c r="G624" s="48">
        <v>4969</v>
      </c>
      <c r="H624" s="48">
        <f t="shared" si="12"/>
        <v>634</v>
      </c>
      <c r="I624" s="114">
        <f t="shared" si="13"/>
        <v>9484</v>
      </c>
      <c r="J624" s="112"/>
      <c r="K624" s="47">
        <v>44</v>
      </c>
    </row>
    <row r="625" spans="1:11" x14ac:dyDescent="0.25">
      <c r="A625" s="13">
        <v>38665</v>
      </c>
      <c r="B625" s="48">
        <v>330</v>
      </c>
      <c r="C625" s="48">
        <v>267</v>
      </c>
      <c r="D625" s="48">
        <v>1702</v>
      </c>
      <c r="E625" s="48">
        <v>2270</v>
      </c>
      <c r="F625" s="48">
        <v>1246</v>
      </c>
      <c r="G625" s="48">
        <v>4028</v>
      </c>
      <c r="H625" s="48">
        <f t="shared" si="12"/>
        <v>597</v>
      </c>
      <c r="I625" s="114">
        <f t="shared" si="13"/>
        <v>8597</v>
      </c>
      <c r="J625" s="112"/>
      <c r="K625" s="47">
        <v>45</v>
      </c>
    </row>
    <row r="626" spans="1:11" x14ac:dyDescent="0.25">
      <c r="A626" s="13">
        <v>38672</v>
      </c>
      <c r="B626" s="48">
        <v>269</v>
      </c>
      <c r="C626" s="48">
        <v>438</v>
      </c>
      <c r="D626" s="48">
        <v>1110</v>
      </c>
      <c r="E626" s="48">
        <v>1786</v>
      </c>
      <c r="F626" s="48">
        <v>607</v>
      </c>
      <c r="G626" s="48">
        <v>4754</v>
      </c>
      <c r="H626" s="48">
        <f t="shared" si="12"/>
        <v>707</v>
      </c>
      <c r="I626" s="114">
        <f t="shared" si="13"/>
        <v>8357</v>
      </c>
      <c r="J626" s="112"/>
      <c r="K626" s="47">
        <v>46</v>
      </c>
    </row>
    <row r="627" spans="1:11" x14ac:dyDescent="0.25">
      <c r="A627" s="13">
        <v>38679</v>
      </c>
      <c r="B627" s="49">
        <v>400</v>
      </c>
      <c r="C627" s="49">
        <v>189</v>
      </c>
      <c r="D627" s="49">
        <v>1511</v>
      </c>
      <c r="E627" s="49">
        <v>2352</v>
      </c>
      <c r="F627" s="49">
        <v>815</v>
      </c>
      <c r="G627" s="49">
        <v>4684</v>
      </c>
      <c r="H627" s="49">
        <f t="shared" si="12"/>
        <v>589</v>
      </c>
      <c r="I627" s="114">
        <f t="shared" si="13"/>
        <v>9136</v>
      </c>
      <c r="J627" s="113"/>
      <c r="K627" s="47">
        <v>47</v>
      </c>
    </row>
    <row r="628" spans="1:11" x14ac:dyDescent="0.25">
      <c r="A628" s="13">
        <v>38686</v>
      </c>
      <c r="B628" s="49">
        <v>157</v>
      </c>
      <c r="C628" s="49">
        <v>372</v>
      </c>
      <c r="D628" s="49">
        <v>1022</v>
      </c>
      <c r="E628" s="49">
        <v>2516</v>
      </c>
      <c r="F628" s="49">
        <v>1428</v>
      </c>
      <c r="G628" s="49">
        <v>4188</v>
      </c>
      <c r="H628" s="49">
        <f t="shared" si="12"/>
        <v>529</v>
      </c>
      <c r="I628" s="114">
        <f t="shared" si="13"/>
        <v>8255</v>
      </c>
      <c r="J628" s="113"/>
      <c r="K628" s="47">
        <v>48</v>
      </c>
    </row>
    <row r="629" spans="1:11" x14ac:dyDescent="0.25">
      <c r="A629" s="13">
        <v>38693</v>
      </c>
      <c r="B629" s="47">
        <v>164</v>
      </c>
      <c r="C629" s="47">
        <v>216</v>
      </c>
      <c r="D629" s="49">
        <v>1410</v>
      </c>
      <c r="E629" s="49">
        <v>2193</v>
      </c>
      <c r="F629" s="49">
        <v>1282</v>
      </c>
      <c r="G629" s="49">
        <v>4129</v>
      </c>
      <c r="H629" s="47">
        <f t="shared" si="12"/>
        <v>380</v>
      </c>
      <c r="I629" s="114">
        <f t="shared" si="13"/>
        <v>8112</v>
      </c>
      <c r="J629" s="113"/>
      <c r="K629" s="47">
        <v>49</v>
      </c>
    </row>
    <row r="630" spans="1:11" x14ac:dyDescent="0.25">
      <c r="A630" s="13">
        <v>38700</v>
      </c>
      <c r="B630" s="47">
        <v>189</v>
      </c>
      <c r="C630" s="47">
        <v>145</v>
      </c>
      <c r="D630" s="49">
        <v>1066</v>
      </c>
      <c r="E630" s="49">
        <v>1615</v>
      </c>
      <c r="F630" s="49">
        <v>1077</v>
      </c>
      <c r="G630" s="49">
        <v>4746</v>
      </c>
      <c r="H630" s="47">
        <f t="shared" si="12"/>
        <v>334</v>
      </c>
      <c r="I630" s="114">
        <f t="shared" si="13"/>
        <v>7761</v>
      </c>
      <c r="J630" s="113"/>
      <c r="K630" s="47">
        <v>50</v>
      </c>
    </row>
    <row r="631" spans="1:11" x14ac:dyDescent="0.25">
      <c r="A631" s="13">
        <v>38707</v>
      </c>
      <c r="B631" s="47">
        <v>166</v>
      </c>
      <c r="C631" s="47">
        <v>135</v>
      </c>
      <c r="D631" s="49">
        <v>1505</v>
      </c>
      <c r="E631" s="49">
        <v>2326</v>
      </c>
      <c r="F631" s="49">
        <v>1378</v>
      </c>
      <c r="G631" s="49">
        <v>4509</v>
      </c>
      <c r="H631" s="49">
        <f t="shared" si="12"/>
        <v>301</v>
      </c>
      <c r="I631" s="114">
        <f t="shared" si="13"/>
        <v>8641</v>
      </c>
      <c r="J631" s="113"/>
      <c r="K631" s="47">
        <v>51</v>
      </c>
    </row>
    <row r="632" spans="1:11" x14ac:dyDescent="0.25">
      <c r="A632" s="13">
        <v>38714</v>
      </c>
      <c r="B632" s="47">
        <v>159</v>
      </c>
      <c r="C632" s="47">
        <v>169</v>
      </c>
      <c r="D632" s="49">
        <v>1126</v>
      </c>
      <c r="E632" s="49">
        <v>1791</v>
      </c>
      <c r="F632" s="49">
        <v>1144</v>
      </c>
      <c r="G632" s="49">
        <v>3161</v>
      </c>
      <c r="H632" s="49">
        <f t="shared" si="12"/>
        <v>328</v>
      </c>
      <c r="I632" s="114">
        <f t="shared" si="13"/>
        <v>6406</v>
      </c>
      <c r="J632" s="113"/>
      <c r="K632" s="47">
        <v>52</v>
      </c>
    </row>
    <row r="633" spans="1:11" x14ac:dyDescent="0.25">
      <c r="A633" s="13">
        <v>38721</v>
      </c>
      <c r="B633" s="49">
        <v>233</v>
      </c>
      <c r="C633" s="49">
        <v>287</v>
      </c>
      <c r="D633" s="49">
        <v>1312</v>
      </c>
      <c r="E633" s="49">
        <v>2438</v>
      </c>
      <c r="F633" s="49">
        <v>706</v>
      </c>
      <c r="G633" s="49">
        <v>4134</v>
      </c>
      <c r="H633" s="49">
        <f t="shared" si="12"/>
        <v>520</v>
      </c>
      <c r="I633" s="114">
        <f t="shared" si="13"/>
        <v>8404</v>
      </c>
      <c r="J633" s="113"/>
      <c r="K633" s="47">
        <v>1</v>
      </c>
    </row>
    <row r="634" spans="1:11" x14ac:dyDescent="0.25">
      <c r="A634" s="13">
        <v>38728</v>
      </c>
      <c r="B634" s="47">
        <v>332</v>
      </c>
      <c r="C634" s="47">
        <v>336</v>
      </c>
      <c r="D634" s="49">
        <v>1238</v>
      </c>
      <c r="E634" s="49">
        <v>2444</v>
      </c>
      <c r="F634" s="49">
        <v>246</v>
      </c>
      <c r="G634" s="49">
        <v>3981</v>
      </c>
      <c r="H634" s="49">
        <f t="shared" si="12"/>
        <v>668</v>
      </c>
      <c r="I634" s="114">
        <f t="shared" si="13"/>
        <v>8331</v>
      </c>
      <c r="J634" s="113"/>
      <c r="K634" s="47">
        <v>2</v>
      </c>
    </row>
    <row r="635" spans="1:11" x14ac:dyDescent="0.25">
      <c r="A635" s="13">
        <v>38735</v>
      </c>
      <c r="B635" s="49">
        <v>199</v>
      </c>
      <c r="C635" s="49">
        <v>10</v>
      </c>
      <c r="D635" s="49">
        <v>2097</v>
      </c>
      <c r="E635" s="49">
        <v>2026</v>
      </c>
      <c r="F635" s="49">
        <v>988</v>
      </c>
      <c r="G635" s="49">
        <v>3908</v>
      </c>
      <c r="H635" s="49">
        <f t="shared" si="12"/>
        <v>209</v>
      </c>
      <c r="I635" s="114">
        <f t="shared" si="13"/>
        <v>8240</v>
      </c>
      <c r="J635" s="113"/>
      <c r="K635" s="47">
        <v>3</v>
      </c>
    </row>
    <row r="636" spans="1:11" x14ac:dyDescent="0.25">
      <c r="A636" s="13">
        <v>38742</v>
      </c>
      <c r="B636" s="49">
        <v>317</v>
      </c>
      <c r="C636" s="49">
        <v>327</v>
      </c>
      <c r="D636" s="49">
        <v>2581</v>
      </c>
      <c r="E636" s="49">
        <v>1865</v>
      </c>
      <c r="F636" s="104">
        <v>724</v>
      </c>
      <c r="G636" s="49">
        <v>4547</v>
      </c>
      <c r="H636" s="49">
        <f t="shared" si="12"/>
        <v>644</v>
      </c>
      <c r="I636" s="114">
        <f t="shared" si="13"/>
        <v>9637</v>
      </c>
      <c r="J636" s="113"/>
      <c r="K636" s="47">
        <v>4</v>
      </c>
    </row>
    <row r="637" spans="1:11" x14ac:dyDescent="0.25">
      <c r="A637" s="13">
        <v>38749</v>
      </c>
      <c r="B637" s="49">
        <v>306</v>
      </c>
      <c r="C637" s="49">
        <v>229</v>
      </c>
      <c r="D637" s="49">
        <v>1736</v>
      </c>
      <c r="E637" s="49">
        <v>2862</v>
      </c>
      <c r="F637" s="104">
        <v>318</v>
      </c>
      <c r="G637" s="49">
        <v>4322</v>
      </c>
      <c r="H637" s="49">
        <f t="shared" si="12"/>
        <v>535</v>
      </c>
      <c r="I637" s="114">
        <f t="shared" si="13"/>
        <v>9455</v>
      </c>
      <c r="J637" s="113"/>
      <c r="K637" s="47">
        <v>5</v>
      </c>
    </row>
    <row r="638" spans="1:11" x14ac:dyDescent="0.25">
      <c r="A638" s="13">
        <v>38756</v>
      </c>
      <c r="B638" s="49">
        <v>111</v>
      </c>
      <c r="C638" s="49">
        <v>167</v>
      </c>
      <c r="D638" s="49">
        <v>2622</v>
      </c>
      <c r="E638" s="49">
        <v>2435</v>
      </c>
      <c r="F638" s="104">
        <v>351</v>
      </c>
      <c r="G638" s="49">
        <v>3828</v>
      </c>
      <c r="H638" s="49">
        <f t="shared" si="12"/>
        <v>278</v>
      </c>
      <c r="I638" s="114">
        <f t="shared" si="13"/>
        <v>9163</v>
      </c>
      <c r="J638" s="113"/>
      <c r="K638" s="47">
        <v>6</v>
      </c>
    </row>
    <row r="639" spans="1:11" x14ac:dyDescent="0.25">
      <c r="A639" s="13">
        <v>38763</v>
      </c>
      <c r="B639" s="49">
        <v>225</v>
      </c>
      <c r="C639" s="49">
        <v>340</v>
      </c>
      <c r="D639" s="49">
        <v>2414</v>
      </c>
      <c r="E639" s="49">
        <v>2705</v>
      </c>
      <c r="F639" s="104">
        <v>841</v>
      </c>
      <c r="G639" s="49">
        <v>4615</v>
      </c>
      <c r="H639" s="49">
        <f t="shared" si="12"/>
        <v>565</v>
      </c>
      <c r="I639" s="114">
        <f t="shared" si="13"/>
        <v>10299</v>
      </c>
      <c r="J639" s="113"/>
      <c r="K639" s="47">
        <v>7</v>
      </c>
    </row>
    <row r="640" spans="1:11" x14ac:dyDescent="0.25">
      <c r="A640" s="13">
        <v>38770</v>
      </c>
      <c r="B640" s="49">
        <v>174</v>
      </c>
      <c r="C640" s="49">
        <v>386</v>
      </c>
      <c r="D640" s="49">
        <v>2500</v>
      </c>
      <c r="E640" s="49">
        <v>2518</v>
      </c>
      <c r="F640" s="104">
        <v>646</v>
      </c>
      <c r="G640" s="49">
        <v>3910</v>
      </c>
      <c r="H640" s="49">
        <f t="shared" si="12"/>
        <v>560</v>
      </c>
      <c r="I640" s="114">
        <f t="shared" si="13"/>
        <v>9488</v>
      </c>
      <c r="J640" s="113"/>
      <c r="K640" s="47">
        <v>8</v>
      </c>
    </row>
    <row r="641" spans="1:11" x14ac:dyDescent="0.25">
      <c r="A641" s="13">
        <v>38777</v>
      </c>
      <c r="B641" s="49">
        <v>222</v>
      </c>
      <c r="C641" s="49">
        <v>407</v>
      </c>
      <c r="D641" s="49">
        <v>2305</v>
      </c>
      <c r="E641" s="49">
        <v>1628</v>
      </c>
      <c r="F641" s="104">
        <v>1276</v>
      </c>
      <c r="G641" s="49">
        <v>4269</v>
      </c>
      <c r="H641" s="49">
        <f t="shared" si="12"/>
        <v>629</v>
      </c>
      <c r="I641" s="114">
        <f t="shared" si="13"/>
        <v>8831</v>
      </c>
      <c r="J641" s="113"/>
      <c r="K641" s="47">
        <v>9</v>
      </c>
    </row>
    <row r="642" spans="1:11" x14ac:dyDescent="0.25">
      <c r="A642" s="13">
        <v>38784</v>
      </c>
      <c r="B642" s="49">
        <v>331</v>
      </c>
      <c r="C642" s="49">
        <v>391</v>
      </c>
      <c r="D642" s="49">
        <v>2956</v>
      </c>
      <c r="E642" s="49">
        <v>2155</v>
      </c>
      <c r="F642" s="104">
        <v>1120</v>
      </c>
      <c r="G642" s="49">
        <v>4265</v>
      </c>
      <c r="H642" s="49">
        <f t="shared" si="12"/>
        <v>722</v>
      </c>
      <c r="I642" s="114">
        <f t="shared" si="13"/>
        <v>10098</v>
      </c>
      <c r="J642" s="113"/>
      <c r="K642" s="47">
        <v>10</v>
      </c>
    </row>
    <row r="643" spans="1:11" x14ac:dyDescent="0.25">
      <c r="A643" s="13">
        <v>38791</v>
      </c>
      <c r="B643" s="49">
        <v>216</v>
      </c>
      <c r="C643" s="49">
        <v>303</v>
      </c>
      <c r="D643" s="49">
        <v>2222</v>
      </c>
      <c r="E643" s="49">
        <v>2035</v>
      </c>
      <c r="F643" s="104">
        <v>1029</v>
      </c>
      <c r="G643" s="49">
        <v>5068</v>
      </c>
      <c r="H643" s="49">
        <f t="shared" si="12"/>
        <v>519</v>
      </c>
      <c r="I643" s="114">
        <f t="shared" si="13"/>
        <v>9844</v>
      </c>
      <c r="J643" s="113"/>
      <c r="K643" s="47">
        <v>11</v>
      </c>
    </row>
    <row r="644" spans="1:11" x14ac:dyDescent="0.25">
      <c r="A644" s="13">
        <v>38798</v>
      </c>
      <c r="B644" s="49">
        <v>269</v>
      </c>
      <c r="C644" s="49">
        <v>325</v>
      </c>
      <c r="D644" s="49">
        <v>1806</v>
      </c>
      <c r="E644" s="49">
        <v>2619</v>
      </c>
      <c r="F644" s="104">
        <v>1243</v>
      </c>
      <c r="G644" s="49">
        <v>4462</v>
      </c>
      <c r="H644" s="49">
        <f t="shared" si="12"/>
        <v>594</v>
      </c>
      <c r="I644" s="114">
        <f t="shared" si="13"/>
        <v>9481</v>
      </c>
      <c r="J644" s="113"/>
      <c r="K644" s="47">
        <v>12</v>
      </c>
    </row>
    <row r="645" spans="1:11" x14ac:dyDescent="0.25">
      <c r="A645" s="13">
        <v>38805</v>
      </c>
      <c r="B645" s="49">
        <v>331</v>
      </c>
      <c r="C645" s="49">
        <v>251</v>
      </c>
      <c r="D645" s="49">
        <v>1125</v>
      </c>
      <c r="E645" s="49">
        <v>2578</v>
      </c>
      <c r="F645" s="104">
        <v>866</v>
      </c>
      <c r="G645" s="49">
        <v>3996</v>
      </c>
      <c r="H645" s="49">
        <f t="shared" si="12"/>
        <v>582</v>
      </c>
      <c r="I645" s="114">
        <f t="shared" si="13"/>
        <v>8281</v>
      </c>
      <c r="J645" s="113"/>
      <c r="K645" s="47">
        <v>13</v>
      </c>
    </row>
    <row r="646" spans="1:11" x14ac:dyDescent="0.25">
      <c r="A646" s="13">
        <v>38812</v>
      </c>
      <c r="B646" s="49">
        <v>237</v>
      </c>
      <c r="C646" s="49">
        <v>306</v>
      </c>
      <c r="D646" s="49">
        <v>1639</v>
      </c>
      <c r="E646" s="49">
        <v>2223</v>
      </c>
      <c r="F646" s="104">
        <v>1524</v>
      </c>
      <c r="G646" s="49">
        <v>4130</v>
      </c>
      <c r="H646" s="49">
        <f t="shared" si="12"/>
        <v>543</v>
      </c>
      <c r="I646" s="114">
        <f t="shared" si="13"/>
        <v>8535</v>
      </c>
      <c r="J646" s="113"/>
      <c r="K646" s="47">
        <v>14</v>
      </c>
    </row>
    <row r="647" spans="1:11" x14ac:dyDescent="0.25">
      <c r="A647" s="13">
        <v>38819</v>
      </c>
      <c r="B647" s="49">
        <v>235</v>
      </c>
      <c r="C647" s="49">
        <v>50</v>
      </c>
      <c r="D647" s="49">
        <v>1267</v>
      </c>
      <c r="E647" s="49">
        <v>1571</v>
      </c>
      <c r="F647" s="104">
        <v>1069</v>
      </c>
      <c r="G647" s="49">
        <v>3569</v>
      </c>
      <c r="H647" s="49">
        <f t="shared" si="12"/>
        <v>285</v>
      </c>
      <c r="I647" s="114">
        <f t="shared" si="13"/>
        <v>6692</v>
      </c>
      <c r="J647" s="113"/>
      <c r="K647" s="47">
        <v>15</v>
      </c>
    </row>
    <row r="648" spans="1:11" x14ac:dyDescent="0.25">
      <c r="A648" s="13">
        <v>38826</v>
      </c>
      <c r="B648" s="49">
        <v>106</v>
      </c>
      <c r="C648" s="49">
        <v>109</v>
      </c>
      <c r="D648" s="49">
        <v>502</v>
      </c>
      <c r="E648" s="49">
        <v>2143</v>
      </c>
      <c r="F648" s="104">
        <v>717</v>
      </c>
      <c r="G648" s="49">
        <v>4181</v>
      </c>
      <c r="H648" s="49">
        <f t="shared" ref="H648:H711" si="14">B648+C648</f>
        <v>215</v>
      </c>
      <c r="I648" s="114">
        <f t="shared" si="13"/>
        <v>7041</v>
      </c>
      <c r="J648" s="113"/>
      <c r="K648" s="47">
        <v>16</v>
      </c>
    </row>
    <row r="649" spans="1:11" x14ac:dyDescent="0.25">
      <c r="A649" s="13">
        <v>38833</v>
      </c>
      <c r="B649" s="49">
        <v>123</v>
      </c>
      <c r="C649" s="49">
        <v>295</v>
      </c>
      <c r="D649" s="49">
        <v>1114</v>
      </c>
      <c r="E649" s="49">
        <v>2781</v>
      </c>
      <c r="F649" s="104">
        <v>995</v>
      </c>
      <c r="G649" s="49">
        <v>3974</v>
      </c>
      <c r="H649" s="49">
        <f t="shared" si="14"/>
        <v>418</v>
      </c>
      <c r="I649" s="114">
        <f t="shared" si="13"/>
        <v>8287</v>
      </c>
      <c r="J649" s="113"/>
      <c r="K649" s="47">
        <v>17</v>
      </c>
    </row>
    <row r="650" spans="1:11" x14ac:dyDescent="0.25">
      <c r="A650" s="13">
        <v>38840</v>
      </c>
      <c r="B650" s="49">
        <v>293</v>
      </c>
      <c r="C650" s="49">
        <v>167</v>
      </c>
      <c r="D650" s="49">
        <v>828</v>
      </c>
      <c r="E650" s="49">
        <v>2351</v>
      </c>
      <c r="F650" s="104">
        <v>1870</v>
      </c>
      <c r="G650" s="49">
        <v>3513</v>
      </c>
      <c r="H650" s="49">
        <f t="shared" si="14"/>
        <v>460</v>
      </c>
      <c r="I650" s="114">
        <f t="shared" si="13"/>
        <v>7152</v>
      </c>
      <c r="J650" s="113"/>
      <c r="K650" s="47">
        <v>18</v>
      </c>
    </row>
    <row r="651" spans="1:11" x14ac:dyDescent="0.25">
      <c r="A651" s="13">
        <v>38847</v>
      </c>
      <c r="B651" s="49">
        <v>238</v>
      </c>
      <c r="C651" s="49">
        <v>253</v>
      </c>
      <c r="D651" s="49">
        <v>868</v>
      </c>
      <c r="E651" s="49">
        <v>1954</v>
      </c>
      <c r="F651" s="104">
        <v>807</v>
      </c>
      <c r="G651" s="49">
        <v>3214</v>
      </c>
      <c r="H651" s="49">
        <f t="shared" si="14"/>
        <v>491</v>
      </c>
      <c r="I651" s="114">
        <f t="shared" si="13"/>
        <v>6527</v>
      </c>
      <c r="J651" s="113"/>
      <c r="K651" s="47">
        <v>19</v>
      </c>
    </row>
    <row r="652" spans="1:11" x14ac:dyDescent="0.25">
      <c r="A652" s="13">
        <v>38854</v>
      </c>
      <c r="B652" s="49">
        <v>270</v>
      </c>
      <c r="C652" s="49">
        <v>105</v>
      </c>
      <c r="D652" s="49">
        <v>729</v>
      </c>
      <c r="E652" s="49">
        <v>1781</v>
      </c>
      <c r="F652" s="104">
        <v>939</v>
      </c>
      <c r="G652" s="49">
        <v>4036</v>
      </c>
      <c r="H652" s="49">
        <f t="shared" si="14"/>
        <v>375</v>
      </c>
      <c r="I652" s="114">
        <f t="shared" si="13"/>
        <v>6921</v>
      </c>
      <c r="J652" s="113"/>
      <c r="K652" s="47">
        <v>20</v>
      </c>
    </row>
    <row r="653" spans="1:11" x14ac:dyDescent="0.25">
      <c r="A653" s="13">
        <v>38861</v>
      </c>
      <c r="B653" s="49">
        <v>207</v>
      </c>
      <c r="C653" s="49">
        <v>219</v>
      </c>
      <c r="D653" s="49">
        <v>768</v>
      </c>
      <c r="E653" s="49">
        <v>2132</v>
      </c>
      <c r="F653" s="104">
        <v>886</v>
      </c>
      <c r="G653" s="49">
        <v>4418</v>
      </c>
      <c r="H653" s="49">
        <f t="shared" si="14"/>
        <v>426</v>
      </c>
      <c r="I653" s="114">
        <f t="shared" si="13"/>
        <v>7744</v>
      </c>
      <c r="J653" s="113"/>
      <c r="K653" s="47">
        <v>21</v>
      </c>
    </row>
    <row r="654" spans="1:11" x14ac:dyDescent="0.25">
      <c r="A654" s="13">
        <v>38868</v>
      </c>
      <c r="B654" s="49">
        <v>222</v>
      </c>
      <c r="C654" s="49">
        <v>72</v>
      </c>
      <c r="D654" s="49">
        <v>1122</v>
      </c>
      <c r="E654" s="49">
        <v>2095</v>
      </c>
      <c r="F654" s="104">
        <v>1104</v>
      </c>
      <c r="G654" s="49">
        <v>4323</v>
      </c>
      <c r="H654" s="49">
        <f t="shared" si="14"/>
        <v>294</v>
      </c>
      <c r="I654" s="114">
        <f t="shared" si="13"/>
        <v>7834</v>
      </c>
      <c r="J654" s="113"/>
      <c r="K654" s="47">
        <v>22</v>
      </c>
    </row>
    <row r="655" spans="1:11" x14ac:dyDescent="0.25">
      <c r="A655" s="13">
        <v>38875</v>
      </c>
      <c r="B655" s="49">
        <v>225</v>
      </c>
      <c r="C655" s="49">
        <v>6</v>
      </c>
      <c r="D655" s="49">
        <v>737</v>
      </c>
      <c r="E655" s="49">
        <v>1197</v>
      </c>
      <c r="F655" s="104">
        <v>843</v>
      </c>
      <c r="G655" s="49">
        <v>3950</v>
      </c>
      <c r="H655" s="49">
        <f t="shared" si="14"/>
        <v>231</v>
      </c>
      <c r="I655" s="114">
        <f t="shared" si="13"/>
        <v>6115</v>
      </c>
      <c r="J655" s="113"/>
      <c r="K655" s="47">
        <v>23</v>
      </c>
    </row>
    <row r="656" spans="1:11" x14ac:dyDescent="0.25">
      <c r="A656" s="13">
        <v>38882</v>
      </c>
      <c r="B656" s="49">
        <v>305</v>
      </c>
      <c r="C656" s="49">
        <v>2</v>
      </c>
      <c r="D656" s="49">
        <v>952</v>
      </c>
      <c r="E656" s="49">
        <v>2714</v>
      </c>
      <c r="F656" s="104">
        <v>673</v>
      </c>
      <c r="G656" s="49">
        <v>3474</v>
      </c>
      <c r="H656" s="49">
        <f t="shared" si="14"/>
        <v>307</v>
      </c>
      <c r="I656" s="114">
        <f t="shared" si="13"/>
        <v>7447</v>
      </c>
      <c r="J656" s="113"/>
      <c r="K656" s="47">
        <v>24</v>
      </c>
    </row>
    <row r="657" spans="1:11" x14ac:dyDescent="0.25">
      <c r="A657" s="13">
        <v>38889</v>
      </c>
      <c r="B657" s="49">
        <v>184</v>
      </c>
      <c r="C657" s="49">
        <v>133</v>
      </c>
      <c r="D657" s="49">
        <v>969</v>
      </c>
      <c r="E657" s="49">
        <v>1256</v>
      </c>
      <c r="F657" s="104">
        <v>541</v>
      </c>
      <c r="G657" s="49">
        <v>4282</v>
      </c>
      <c r="H657" s="49">
        <f t="shared" si="14"/>
        <v>317</v>
      </c>
      <c r="I657" s="114">
        <f t="shared" ref="I657:I720" si="15">SUM(D657:H657)-F657</f>
        <v>6824</v>
      </c>
      <c r="J657" s="113"/>
      <c r="K657" s="47">
        <v>25</v>
      </c>
    </row>
    <row r="658" spans="1:11" x14ac:dyDescent="0.25">
      <c r="A658" s="13">
        <v>38896</v>
      </c>
      <c r="B658" s="49">
        <v>109</v>
      </c>
      <c r="C658" s="49">
        <v>5</v>
      </c>
      <c r="D658" s="49">
        <v>1227</v>
      </c>
      <c r="E658" s="49">
        <v>1831</v>
      </c>
      <c r="F658" s="104">
        <v>650</v>
      </c>
      <c r="G658" s="49">
        <v>4221</v>
      </c>
      <c r="H658" s="49">
        <f t="shared" si="14"/>
        <v>114</v>
      </c>
      <c r="I658" s="114">
        <f t="shared" si="15"/>
        <v>7393</v>
      </c>
      <c r="J658" s="113"/>
      <c r="K658" s="47">
        <v>26</v>
      </c>
    </row>
    <row r="659" spans="1:11" x14ac:dyDescent="0.25">
      <c r="A659" s="13">
        <v>38903</v>
      </c>
      <c r="B659" s="49">
        <v>209</v>
      </c>
      <c r="C659" s="49">
        <v>232</v>
      </c>
      <c r="D659" s="49">
        <v>1252</v>
      </c>
      <c r="E659" s="49">
        <v>1307</v>
      </c>
      <c r="F659" s="104">
        <v>468</v>
      </c>
      <c r="G659" s="49">
        <v>2820</v>
      </c>
      <c r="H659" s="49">
        <f t="shared" si="14"/>
        <v>441</v>
      </c>
      <c r="I659" s="114">
        <f t="shared" si="15"/>
        <v>5820</v>
      </c>
      <c r="J659" s="113"/>
      <c r="K659" s="47">
        <v>27</v>
      </c>
    </row>
    <row r="660" spans="1:11" x14ac:dyDescent="0.25">
      <c r="A660" s="13">
        <v>38910</v>
      </c>
      <c r="B660" s="49">
        <v>284</v>
      </c>
      <c r="C660" s="49">
        <v>127</v>
      </c>
      <c r="D660" s="49">
        <v>1463</v>
      </c>
      <c r="E660" s="49">
        <v>1742</v>
      </c>
      <c r="F660" s="104">
        <v>1171</v>
      </c>
      <c r="G660" s="49">
        <v>4600</v>
      </c>
      <c r="H660" s="49">
        <f t="shared" si="14"/>
        <v>411</v>
      </c>
      <c r="I660" s="114">
        <f t="shared" si="15"/>
        <v>8216</v>
      </c>
      <c r="J660" s="113"/>
      <c r="K660" s="47">
        <v>28</v>
      </c>
    </row>
    <row r="661" spans="1:11" x14ac:dyDescent="0.25">
      <c r="A661" s="13">
        <v>38917</v>
      </c>
      <c r="B661" s="49">
        <v>285</v>
      </c>
      <c r="C661" s="49">
        <v>127</v>
      </c>
      <c r="D661" s="49">
        <v>1646</v>
      </c>
      <c r="E661" s="49">
        <v>1322</v>
      </c>
      <c r="F661" s="104">
        <v>672</v>
      </c>
      <c r="G661" s="49">
        <v>3769</v>
      </c>
      <c r="H661" s="49">
        <f t="shared" si="14"/>
        <v>412</v>
      </c>
      <c r="I661" s="114">
        <f t="shared" si="15"/>
        <v>7149</v>
      </c>
      <c r="J661" s="113"/>
      <c r="K661" s="47">
        <v>29</v>
      </c>
    </row>
    <row r="662" spans="1:11" x14ac:dyDescent="0.25">
      <c r="A662" s="13">
        <v>38924</v>
      </c>
      <c r="B662" s="49">
        <v>103</v>
      </c>
      <c r="C662" s="49">
        <v>199</v>
      </c>
      <c r="D662" s="49">
        <v>1799</v>
      </c>
      <c r="E662" s="49">
        <v>1275</v>
      </c>
      <c r="F662" s="104">
        <v>646</v>
      </c>
      <c r="G662" s="49">
        <v>3654</v>
      </c>
      <c r="H662" s="49">
        <f t="shared" si="14"/>
        <v>302</v>
      </c>
      <c r="I662" s="114">
        <f t="shared" si="15"/>
        <v>7030</v>
      </c>
      <c r="J662" s="113"/>
      <c r="K662" s="47">
        <v>30</v>
      </c>
    </row>
    <row r="663" spans="1:11" x14ac:dyDescent="0.25">
      <c r="A663" s="13">
        <v>38931</v>
      </c>
      <c r="B663" s="49">
        <v>153</v>
      </c>
      <c r="C663" s="49">
        <v>318</v>
      </c>
      <c r="D663" s="49">
        <v>1538</v>
      </c>
      <c r="E663" s="49">
        <v>982</v>
      </c>
      <c r="F663" s="104">
        <v>338</v>
      </c>
      <c r="G663" s="49">
        <v>4603</v>
      </c>
      <c r="H663" s="49">
        <f t="shared" si="14"/>
        <v>471</v>
      </c>
      <c r="I663" s="114">
        <f t="shared" si="15"/>
        <v>7594</v>
      </c>
      <c r="J663" s="113"/>
      <c r="K663" s="47">
        <v>31</v>
      </c>
    </row>
    <row r="664" spans="1:11" x14ac:dyDescent="0.25">
      <c r="A664" s="13">
        <v>38938</v>
      </c>
      <c r="B664" s="49">
        <v>172</v>
      </c>
      <c r="C664" s="49">
        <v>452</v>
      </c>
      <c r="D664" s="49">
        <v>2446</v>
      </c>
      <c r="E664" s="49">
        <v>1386</v>
      </c>
      <c r="F664" s="104">
        <v>490</v>
      </c>
      <c r="G664" s="49">
        <v>4070</v>
      </c>
      <c r="H664" s="49">
        <f t="shared" si="14"/>
        <v>624</v>
      </c>
      <c r="I664" s="114">
        <f t="shared" si="15"/>
        <v>8526</v>
      </c>
      <c r="J664" s="113"/>
      <c r="K664" s="47">
        <v>32</v>
      </c>
    </row>
    <row r="665" spans="1:11" x14ac:dyDescent="0.25">
      <c r="A665" s="13">
        <v>38945</v>
      </c>
      <c r="B665" s="49">
        <v>15</v>
      </c>
      <c r="C665" s="49">
        <v>532</v>
      </c>
      <c r="D665" s="49">
        <v>1631</v>
      </c>
      <c r="E665" s="49">
        <v>2056</v>
      </c>
      <c r="F665" s="104">
        <v>769</v>
      </c>
      <c r="G665" s="49">
        <v>3996</v>
      </c>
      <c r="H665" s="49">
        <f t="shared" si="14"/>
        <v>547</v>
      </c>
      <c r="I665" s="114">
        <f t="shared" si="15"/>
        <v>8230</v>
      </c>
      <c r="J665" s="113"/>
      <c r="K665" s="47">
        <v>33</v>
      </c>
    </row>
    <row r="666" spans="1:11" x14ac:dyDescent="0.25">
      <c r="A666" s="13">
        <v>38952</v>
      </c>
      <c r="B666" s="49">
        <v>84</v>
      </c>
      <c r="C666" s="49">
        <v>265</v>
      </c>
      <c r="D666" s="49">
        <v>2372</v>
      </c>
      <c r="E666" s="49">
        <v>2140</v>
      </c>
      <c r="F666" s="104">
        <v>1189</v>
      </c>
      <c r="G666" s="49">
        <v>3685</v>
      </c>
      <c r="H666" s="49">
        <f t="shared" si="14"/>
        <v>349</v>
      </c>
      <c r="I666" s="114">
        <f t="shared" si="15"/>
        <v>8546</v>
      </c>
      <c r="J666" s="113"/>
      <c r="K666" s="47">
        <v>34</v>
      </c>
    </row>
    <row r="667" spans="1:11" x14ac:dyDescent="0.25">
      <c r="A667" s="13">
        <v>38959</v>
      </c>
      <c r="B667" s="49">
        <v>200</v>
      </c>
      <c r="C667" s="49">
        <v>654</v>
      </c>
      <c r="D667" s="49">
        <v>2180</v>
      </c>
      <c r="E667" s="49">
        <v>1277</v>
      </c>
      <c r="F667" s="104">
        <v>624</v>
      </c>
      <c r="G667" s="49">
        <v>4281</v>
      </c>
      <c r="H667" s="49">
        <f t="shared" si="14"/>
        <v>854</v>
      </c>
      <c r="I667" s="114">
        <f t="shared" si="15"/>
        <v>8592</v>
      </c>
      <c r="J667" s="113"/>
      <c r="K667" s="47">
        <v>35</v>
      </c>
    </row>
    <row r="668" spans="1:11" x14ac:dyDescent="0.25">
      <c r="A668" s="13">
        <v>38966</v>
      </c>
      <c r="B668" s="49">
        <v>63</v>
      </c>
      <c r="C668" s="49">
        <v>424</v>
      </c>
      <c r="D668" s="49">
        <v>1512</v>
      </c>
      <c r="E668" s="49">
        <v>1740</v>
      </c>
      <c r="F668" s="104">
        <v>1125</v>
      </c>
      <c r="G668" s="49">
        <v>3784</v>
      </c>
      <c r="H668" s="49">
        <f t="shared" si="14"/>
        <v>487</v>
      </c>
      <c r="I668" s="114">
        <f t="shared" si="15"/>
        <v>7523</v>
      </c>
      <c r="J668" s="113"/>
      <c r="K668" s="47">
        <v>36</v>
      </c>
    </row>
    <row r="669" spans="1:11" x14ac:dyDescent="0.25">
      <c r="A669" s="13">
        <v>38973</v>
      </c>
      <c r="B669" s="49">
        <v>173</v>
      </c>
      <c r="C669" s="49">
        <v>659</v>
      </c>
      <c r="D669" s="49">
        <v>2703</v>
      </c>
      <c r="E669" s="49">
        <v>1725</v>
      </c>
      <c r="F669" s="104">
        <v>1059</v>
      </c>
      <c r="G669" s="49">
        <v>3393</v>
      </c>
      <c r="H669" s="49">
        <f t="shared" si="14"/>
        <v>832</v>
      </c>
      <c r="I669" s="114">
        <f t="shared" si="15"/>
        <v>8653</v>
      </c>
      <c r="J669" s="113"/>
      <c r="K669" s="47">
        <v>37</v>
      </c>
    </row>
    <row r="670" spans="1:11" x14ac:dyDescent="0.25">
      <c r="A670" s="13">
        <v>38980</v>
      </c>
      <c r="B670" s="49">
        <v>260</v>
      </c>
      <c r="C670" s="49">
        <v>427</v>
      </c>
      <c r="D670" s="49">
        <v>2786</v>
      </c>
      <c r="E670" s="49">
        <v>1930</v>
      </c>
      <c r="F670" s="104">
        <v>1188</v>
      </c>
      <c r="G670" s="49">
        <v>3847</v>
      </c>
      <c r="H670" s="49">
        <f t="shared" si="14"/>
        <v>687</v>
      </c>
      <c r="I670" s="114">
        <f t="shared" si="15"/>
        <v>9250</v>
      </c>
      <c r="J670" s="113"/>
      <c r="K670" s="47">
        <v>38</v>
      </c>
    </row>
    <row r="671" spans="1:11" x14ac:dyDescent="0.25">
      <c r="A671" s="13">
        <v>38987</v>
      </c>
      <c r="B671" s="49">
        <v>192</v>
      </c>
      <c r="C671" s="49">
        <v>473</v>
      </c>
      <c r="D671" s="92">
        <v>2133</v>
      </c>
      <c r="E671" s="49">
        <v>1721</v>
      </c>
      <c r="F671" s="104">
        <v>1081</v>
      </c>
      <c r="G671" s="49">
        <v>3609</v>
      </c>
      <c r="H671" s="49">
        <f t="shared" si="14"/>
        <v>665</v>
      </c>
      <c r="I671" s="114">
        <f t="shared" si="15"/>
        <v>8128</v>
      </c>
      <c r="J671" s="113"/>
      <c r="K671" s="47">
        <v>39</v>
      </c>
    </row>
    <row r="672" spans="1:11" x14ac:dyDescent="0.25">
      <c r="A672" s="13">
        <v>38994</v>
      </c>
      <c r="B672" s="49">
        <v>179</v>
      </c>
      <c r="C672" s="49">
        <v>661</v>
      </c>
      <c r="D672" s="49">
        <v>3186</v>
      </c>
      <c r="E672" s="49">
        <v>1321</v>
      </c>
      <c r="F672" s="104">
        <v>1531</v>
      </c>
      <c r="G672" s="49">
        <v>3603</v>
      </c>
      <c r="H672" s="49">
        <f t="shared" si="14"/>
        <v>840</v>
      </c>
      <c r="I672" s="114">
        <f t="shared" si="15"/>
        <v>8950</v>
      </c>
      <c r="J672" s="113"/>
      <c r="K672" s="47">
        <v>40</v>
      </c>
    </row>
    <row r="673" spans="1:11" x14ac:dyDescent="0.25">
      <c r="A673" s="13">
        <v>39001</v>
      </c>
      <c r="B673" s="49">
        <v>288</v>
      </c>
      <c r="C673" s="49">
        <v>551</v>
      </c>
      <c r="D673" s="49">
        <v>3176</v>
      </c>
      <c r="E673" s="49">
        <v>2184</v>
      </c>
      <c r="F673" s="104">
        <v>1272</v>
      </c>
      <c r="G673" s="49">
        <v>4974</v>
      </c>
      <c r="H673" s="49">
        <f t="shared" si="14"/>
        <v>839</v>
      </c>
      <c r="I673" s="114">
        <f t="shared" si="15"/>
        <v>11173</v>
      </c>
      <c r="J673" s="113"/>
      <c r="K673" s="47">
        <v>41</v>
      </c>
    </row>
    <row r="674" spans="1:11" x14ac:dyDescent="0.25">
      <c r="A674" s="13">
        <v>39008</v>
      </c>
      <c r="B674" s="49">
        <v>357</v>
      </c>
      <c r="C674" s="49">
        <v>695</v>
      </c>
      <c r="D674" s="49">
        <v>2947</v>
      </c>
      <c r="E674" s="49">
        <v>1321</v>
      </c>
      <c r="F674" s="104">
        <v>1269</v>
      </c>
      <c r="G674" s="49">
        <v>5208</v>
      </c>
      <c r="H674" s="49">
        <f t="shared" si="14"/>
        <v>1052</v>
      </c>
      <c r="I674" s="114">
        <f t="shared" si="15"/>
        <v>10528</v>
      </c>
      <c r="J674" s="113"/>
      <c r="K674" s="47">
        <v>42</v>
      </c>
    </row>
    <row r="675" spans="1:11" x14ac:dyDescent="0.25">
      <c r="A675" s="13">
        <v>39015</v>
      </c>
      <c r="B675" s="49">
        <v>288</v>
      </c>
      <c r="C675" s="49">
        <v>892</v>
      </c>
      <c r="D675" s="49">
        <v>2493</v>
      </c>
      <c r="E675" s="49">
        <v>1485</v>
      </c>
      <c r="F675" s="104">
        <v>508</v>
      </c>
      <c r="G675" s="49">
        <v>4684</v>
      </c>
      <c r="H675" s="49">
        <f t="shared" si="14"/>
        <v>1180</v>
      </c>
      <c r="I675" s="114">
        <f t="shared" si="15"/>
        <v>9842</v>
      </c>
      <c r="J675" s="113"/>
      <c r="K675" s="47">
        <v>43</v>
      </c>
    </row>
    <row r="676" spans="1:11" x14ac:dyDescent="0.25">
      <c r="A676" s="13">
        <v>39022</v>
      </c>
      <c r="B676" s="49">
        <v>281</v>
      </c>
      <c r="C676" s="49">
        <v>863</v>
      </c>
      <c r="D676" s="49">
        <v>2297</v>
      </c>
      <c r="E676" s="49">
        <v>1351</v>
      </c>
      <c r="F676" s="104">
        <v>735</v>
      </c>
      <c r="G676" s="49">
        <v>5288</v>
      </c>
      <c r="H676" s="49">
        <f t="shared" si="14"/>
        <v>1144</v>
      </c>
      <c r="I676" s="114">
        <f t="shared" si="15"/>
        <v>10080</v>
      </c>
      <c r="J676" s="113"/>
      <c r="K676" s="47">
        <v>44</v>
      </c>
    </row>
    <row r="677" spans="1:11" x14ac:dyDescent="0.25">
      <c r="A677" s="13">
        <v>39029</v>
      </c>
      <c r="B677" s="49">
        <v>207</v>
      </c>
      <c r="C677" s="49">
        <v>885</v>
      </c>
      <c r="D677" s="49">
        <v>2509</v>
      </c>
      <c r="E677" s="49">
        <v>1976</v>
      </c>
      <c r="F677" s="104">
        <v>952</v>
      </c>
      <c r="G677" s="49">
        <v>3782</v>
      </c>
      <c r="H677" s="49">
        <f t="shared" si="14"/>
        <v>1092</v>
      </c>
      <c r="I677" s="114">
        <f t="shared" si="15"/>
        <v>9359</v>
      </c>
      <c r="J677" s="113"/>
      <c r="K677" s="47">
        <v>45</v>
      </c>
    </row>
    <row r="678" spans="1:11" x14ac:dyDescent="0.25">
      <c r="A678" s="13">
        <v>39036</v>
      </c>
      <c r="B678" s="49">
        <v>324</v>
      </c>
      <c r="C678" s="49">
        <v>597</v>
      </c>
      <c r="D678" s="49">
        <v>2930</v>
      </c>
      <c r="E678" s="49">
        <v>1717</v>
      </c>
      <c r="F678" s="104">
        <v>782</v>
      </c>
      <c r="G678" s="49">
        <v>3784</v>
      </c>
      <c r="H678" s="49">
        <f t="shared" si="14"/>
        <v>921</v>
      </c>
      <c r="I678" s="114">
        <f t="shared" si="15"/>
        <v>9352</v>
      </c>
      <c r="J678" s="113"/>
      <c r="K678" s="47">
        <v>46</v>
      </c>
    </row>
    <row r="679" spans="1:11" x14ac:dyDescent="0.25">
      <c r="A679" s="13">
        <v>39043</v>
      </c>
      <c r="B679" s="49">
        <v>260</v>
      </c>
      <c r="C679" s="49">
        <v>208</v>
      </c>
      <c r="D679" s="49">
        <v>2053</v>
      </c>
      <c r="E679" s="49">
        <v>1973</v>
      </c>
      <c r="F679" s="104">
        <v>504</v>
      </c>
      <c r="G679" s="49">
        <v>5456</v>
      </c>
      <c r="H679" s="49">
        <f t="shared" si="14"/>
        <v>468</v>
      </c>
      <c r="I679" s="114">
        <f t="shared" si="15"/>
        <v>9950</v>
      </c>
      <c r="J679" s="113"/>
      <c r="K679" s="47">
        <v>47</v>
      </c>
    </row>
    <row r="680" spans="1:11" x14ac:dyDescent="0.25">
      <c r="A680" s="13">
        <v>39050</v>
      </c>
      <c r="B680" s="49">
        <v>189</v>
      </c>
      <c r="C680" s="49">
        <v>639</v>
      </c>
      <c r="D680" s="49">
        <v>1674</v>
      </c>
      <c r="E680" s="49">
        <v>2239</v>
      </c>
      <c r="F680" s="104">
        <v>488</v>
      </c>
      <c r="G680" s="49">
        <v>2843</v>
      </c>
      <c r="H680" s="49">
        <f t="shared" si="14"/>
        <v>828</v>
      </c>
      <c r="I680" s="114">
        <f t="shared" si="15"/>
        <v>7584</v>
      </c>
      <c r="J680" s="113"/>
      <c r="K680" s="47">
        <v>48</v>
      </c>
    </row>
    <row r="681" spans="1:11" x14ac:dyDescent="0.25">
      <c r="A681" s="13">
        <v>39057</v>
      </c>
      <c r="B681" s="49">
        <v>207</v>
      </c>
      <c r="C681" s="49">
        <v>602</v>
      </c>
      <c r="D681" s="49">
        <v>2366</v>
      </c>
      <c r="E681" s="49">
        <v>1561</v>
      </c>
      <c r="F681" s="104">
        <v>997</v>
      </c>
      <c r="G681" s="49">
        <v>4432</v>
      </c>
      <c r="H681" s="49">
        <f t="shared" si="14"/>
        <v>809</v>
      </c>
      <c r="I681" s="114">
        <f t="shared" si="15"/>
        <v>9168</v>
      </c>
      <c r="J681" s="113"/>
      <c r="K681" s="47">
        <v>49</v>
      </c>
    </row>
    <row r="682" spans="1:11" x14ac:dyDescent="0.25">
      <c r="A682" s="13">
        <v>39064</v>
      </c>
      <c r="B682" s="49">
        <v>248</v>
      </c>
      <c r="C682" s="49">
        <v>478</v>
      </c>
      <c r="D682" s="49">
        <v>2119</v>
      </c>
      <c r="E682" s="49">
        <v>2321</v>
      </c>
      <c r="F682" s="104">
        <v>1281</v>
      </c>
      <c r="G682" s="49">
        <v>4747</v>
      </c>
      <c r="H682" s="49">
        <f t="shared" si="14"/>
        <v>726</v>
      </c>
      <c r="I682" s="114">
        <f t="shared" si="15"/>
        <v>9913</v>
      </c>
      <c r="J682" s="113"/>
      <c r="K682" s="47">
        <v>50</v>
      </c>
    </row>
    <row r="683" spans="1:11" x14ac:dyDescent="0.25">
      <c r="A683" s="13">
        <v>39071</v>
      </c>
      <c r="B683" s="49">
        <v>141</v>
      </c>
      <c r="C683" s="49">
        <v>270</v>
      </c>
      <c r="D683" s="49">
        <v>2002</v>
      </c>
      <c r="E683" s="49">
        <v>1951</v>
      </c>
      <c r="F683" s="104">
        <v>858</v>
      </c>
      <c r="G683" s="49">
        <v>4681</v>
      </c>
      <c r="H683" s="49">
        <f t="shared" si="14"/>
        <v>411</v>
      </c>
      <c r="I683" s="114">
        <f t="shared" si="15"/>
        <v>9045</v>
      </c>
      <c r="J683" s="113"/>
      <c r="K683" s="47">
        <v>51</v>
      </c>
    </row>
    <row r="684" spans="1:11" x14ac:dyDescent="0.25">
      <c r="A684" s="13">
        <v>39078</v>
      </c>
      <c r="B684" s="49">
        <v>225</v>
      </c>
      <c r="C684" s="49">
        <v>216</v>
      </c>
      <c r="D684" s="49">
        <v>1744</v>
      </c>
      <c r="E684" s="49">
        <v>1526</v>
      </c>
      <c r="F684" s="104">
        <v>743</v>
      </c>
      <c r="G684" s="49">
        <v>3499</v>
      </c>
      <c r="H684" s="49">
        <f t="shared" si="14"/>
        <v>441</v>
      </c>
      <c r="I684" s="114">
        <f t="shared" si="15"/>
        <v>7210</v>
      </c>
      <c r="J684" s="113"/>
      <c r="K684" s="47">
        <v>52</v>
      </c>
    </row>
    <row r="685" spans="1:11" x14ac:dyDescent="0.25">
      <c r="A685" s="13">
        <v>39085</v>
      </c>
      <c r="B685" s="49">
        <v>227</v>
      </c>
      <c r="C685" s="49">
        <v>380</v>
      </c>
      <c r="D685" s="49">
        <v>1656</v>
      </c>
      <c r="E685" s="49">
        <v>2170</v>
      </c>
      <c r="F685" s="104">
        <v>445</v>
      </c>
      <c r="G685" s="49">
        <v>4340</v>
      </c>
      <c r="H685" s="49">
        <f t="shared" si="14"/>
        <v>607</v>
      </c>
      <c r="I685" s="114">
        <f t="shared" si="15"/>
        <v>8773</v>
      </c>
      <c r="J685" s="113"/>
      <c r="K685" s="47">
        <v>1</v>
      </c>
    </row>
    <row r="686" spans="1:11" x14ac:dyDescent="0.25">
      <c r="A686" s="13">
        <v>39092</v>
      </c>
      <c r="B686" s="49">
        <v>274</v>
      </c>
      <c r="C686" s="49">
        <v>688</v>
      </c>
      <c r="D686" s="49">
        <v>2137</v>
      </c>
      <c r="E686" s="49">
        <v>1506</v>
      </c>
      <c r="F686" s="104">
        <v>309</v>
      </c>
      <c r="G686" s="49">
        <v>5066</v>
      </c>
      <c r="H686" s="49">
        <f t="shared" si="14"/>
        <v>962</v>
      </c>
      <c r="I686" s="114">
        <f t="shared" si="15"/>
        <v>9671</v>
      </c>
      <c r="J686" s="113"/>
      <c r="K686" s="47">
        <v>2</v>
      </c>
    </row>
    <row r="687" spans="1:11" x14ac:dyDescent="0.25">
      <c r="A687" s="13">
        <v>39099</v>
      </c>
      <c r="B687" s="49">
        <v>204</v>
      </c>
      <c r="C687" s="49">
        <v>155</v>
      </c>
      <c r="D687" s="49">
        <v>2320</v>
      </c>
      <c r="E687" s="49">
        <v>766</v>
      </c>
      <c r="F687" s="104">
        <v>390</v>
      </c>
      <c r="G687" s="49">
        <v>4488</v>
      </c>
      <c r="H687" s="49">
        <f t="shared" si="14"/>
        <v>359</v>
      </c>
      <c r="I687" s="114">
        <f t="shared" si="15"/>
        <v>7933</v>
      </c>
      <c r="J687" s="113"/>
      <c r="K687" s="47">
        <v>3</v>
      </c>
    </row>
    <row r="688" spans="1:11" x14ac:dyDescent="0.25">
      <c r="A688" s="13">
        <v>39106</v>
      </c>
      <c r="B688" s="49">
        <v>154</v>
      </c>
      <c r="C688" s="49">
        <v>445</v>
      </c>
      <c r="D688" s="49">
        <v>1630</v>
      </c>
      <c r="E688" s="49">
        <v>1786</v>
      </c>
      <c r="F688" s="104">
        <v>980</v>
      </c>
      <c r="G688" s="49">
        <v>5439</v>
      </c>
      <c r="H688" s="49">
        <f t="shared" si="14"/>
        <v>599</v>
      </c>
      <c r="I688" s="114">
        <f t="shared" si="15"/>
        <v>9454</v>
      </c>
      <c r="J688" s="113"/>
      <c r="K688" s="47">
        <v>4</v>
      </c>
    </row>
    <row r="689" spans="1:11" x14ac:dyDescent="0.25">
      <c r="A689" s="13">
        <v>39113</v>
      </c>
      <c r="B689" s="49">
        <v>360</v>
      </c>
      <c r="C689" s="49">
        <v>556</v>
      </c>
      <c r="D689" s="49">
        <v>2006</v>
      </c>
      <c r="E689" s="49">
        <v>1571</v>
      </c>
      <c r="F689" s="104">
        <v>679</v>
      </c>
      <c r="G689" s="49">
        <v>4874</v>
      </c>
      <c r="H689" s="49">
        <f t="shared" si="14"/>
        <v>916</v>
      </c>
      <c r="I689" s="114">
        <f t="shared" si="15"/>
        <v>9367</v>
      </c>
      <c r="J689" s="113"/>
      <c r="K689" s="47">
        <v>5</v>
      </c>
    </row>
    <row r="690" spans="1:11" x14ac:dyDescent="0.25">
      <c r="A690" s="13">
        <v>39120</v>
      </c>
      <c r="B690" s="49">
        <v>225</v>
      </c>
      <c r="C690" s="49">
        <v>84</v>
      </c>
      <c r="D690" s="49">
        <v>1359</v>
      </c>
      <c r="E690" s="49">
        <v>1303</v>
      </c>
      <c r="F690" s="104">
        <v>552</v>
      </c>
      <c r="G690" s="49">
        <v>4193</v>
      </c>
      <c r="H690" s="49">
        <f t="shared" si="14"/>
        <v>309</v>
      </c>
      <c r="I690" s="114">
        <f t="shared" si="15"/>
        <v>7164</v>
      </c>
      <c r="J690" s="113"/>
      <c r="K690" s="47">
        <v>6</v>
      </c>
    </row>
    <row r="691" spans="1:11" x14ac:dyDescent="0.25">
      <c r="A691" s="13">
        <v>39127</v>
      </c>
      <c r="B691" s="49">
        <v>338</v>
      </c>
      <c r="C691" s="49">
        <v>314</v>
      </c>
      <c r="D691" s="49">
        <v>1628</v>
      </c>
      <c r="E691" s="49">
        <v>1492</v>
      </c>
      <c r="F691" s="104">
        <v>1191</v>
      </c>
      <c r="G691" s="49">
        <v>5571</v>
      </c>
      <c r="H691" s="49">
        <f t="shared" si="14"/>
        <v>652</v>
      </c>
      <c r="I691" s="114">
        <f t="shared" si="15"/>
        <v>9343</v>
      </c>
      <c r="J691" s="113"/>
      <c r="K691" s="47">
        <v>7</v>
      </c>
    </row>
    <row r="692" spans="1:11" x14ac:dyDescent="0.25">
      <c r="A692" s="13">
        <v>39134</v>
      </c>
      <c r="B692" s="49">
        <v>239</v>
      </c>
      <c r="C692" s="49">
        <v>134</v>
      </c>
      <c r="D692" s="49">
        <v>1063</v>
      </c>
      <c r="E692" s="49">
        <v>1383</v>
      </c>
      <c r="F692" s="104">
        <v>223</v>
      </c>
      <c r="G692" s="49">
        <v>3507</v>
      </c>
      <c r="H692" s="49">
        <f t="shared" si="14"/>
        <v>373</v>
      </c>
      <c r="I692" s="114">
        <f t="shared" si="15"/>
        <v>6326</v>
      </c>
      <c r="J692" s="113"/>
      <c r="K692" s="47">
        <v>8</v>
      </c>
    </row>
    <row r="693" spans="1:11" x14ac:dyDescent="0.25">
      <c r="A693" s="13">
        <v>39141</v>
      </c>
      <c r="B693" s="49">
        <v>243</v>
      </c>
      <c r="C693" s="49">
        <v>300</v>
      </c>
      <c r="D693" s="49">
        <v>1471</v>
      </c>
      <c r="E693" s="49">
        <v>2143</v>
      </c>
      <c r="F693" s="104">
        <v>1107</v>
      </c>
      <c r="G693" s="49">
        <v>4840</v>
      </c>
      <c r="H693" s="49">
        <f t="shared" si="14"/>
        <v>543</v>
      </c>
      <c r="I693" s="114">
        <f t="shared" si="15"/>
        <v>8997</v>
      </c>
      <c r="J693" s="113"/>
      <c r="K693" s="47">
        <v>9</v>
      </c>
    </row>
    <row r="694" spans="1:11" x14ac:dyDescent="0.25">
      <c r="A694" s="13">
        <v>39148</v>
      </c>
      <c r="B694" s="49">
        <v>253</v>
      </c>
      <c r="C694" s="49">
        <v>179</v>
      </c>
      <c r="D694" s="49">
        <v>1225</v>
      </c>
      <c r="E694" s="49">
        <v>1665</v>
      </c>
      <c r="F694" s="104">
        <v>1160</v>
      </c>
      <c r="G694" s="49">
        <v>4194</v>
      </c>
      <c r="H694" s="49">
        <f t="shared" si="14"/>
        <v>432</v>
      </c>
      <c r="I694" s="114">
        <f t="shared" si="15"/>
        <v>7516</v>
      </c>
      <c r="J694" s="113"/>
      <c r="K694" s="47">
        <v>10</v>
      </c>
    </row>
    <row r="695" spans="1:11" x14ac:dyDescent="0.25">
      <c r="A695" s="13">
        <v>39155</v>
      </c>
      <c r="B695" s="49">
        <v>190</v>
      </c>
      <c r="C695" s="49">
        <v>129</v>
      </c>
      <c r="D695" s="49">
        <v>1317</v>
      </c>
      <c r="E695" s="49">
        <v>2113</v>
      </c>
      <c r="F695" s="104">
        <v>707</v>
      </c>
      <c r="G695" s="92">
        <v>4441</v>
      </c>
      <c r="H695" s="49">
        <f t="shared" si="14"/>
        <v>319</v>
      </c>
      <c r="I695" s="114">
        <f t="shared" si="15"/>
        <v>8190</v>
      </c>
      <c r="J695" s="113"/>
      <c r="K695" s="47">
        <v>11</v>
      </c>
    </row>
    <row r="696" spans="1:11" x14ac:dyDescent="0.25">
      <c r="A696" s="13">
        <v>39162</v>
      </c>
      <c r="B696" s="49">
        <v>133</v>
      </c>
      <c r="C696" s="49">
        <v>225</v>
      </c>
      <c r="D696" s="49">
        <v>1071</v>
      </c>
      <c r="E696" s="49">
        <v>1456</v>
      </c>
      <c r="F696" s="104">
        <v>1091</v>
      </c>
      <c r="G696" s="49">
        <v>4710</v>
      </c>
      <c r="H696" s="49">
        <f t="shared" si="14"/>
        <v>358</v>
      </c>
      <c r="I696" s="114">
        <f t="shared" si="15"/>
        <v>7595</v>
      </c>
      <c r="J696" s="113"/>
      <c r="K696" s="47">
        <v>12</v>
      </c>
    </row>
    <row r="697" spans="1:11" x14ac:dyDescent="0.25">
      <c r="A697" s="13">
        <v>39169</v>
      </c>
      <c r="B697" s="49">
        <v>215</v>
      </c>
      <c r="C697" s="49">
        <v>231</v>
      </c>
      <c r="D697" s="49">
        <v>806</v>
      </c>
      <c r="E697" s="49">
        <v>1290</v>
      </c>
      <c r="F697" s="104">
        <v>932</v>
      </c>
      <c r="G697" s="49">
        <v>5936</v>
      </c>
      <c r="H697" s="49">
        <f t="shared" si="14"/>
        <v>446</v>
      </c>
      <c r="I697" s="114">
        <f t="shared" si="15"/>
        <v>8478</v>
      </c>
      <c r="J697" s="113"/>
      <c r="K697" s="47">
        <v>13</v>
      </c>
    </row>
    <row r="698" spans="1:11" x14ac:dyDescent="0.25">
      <c r="A698" s="13">
        <v>39176</v>
      </c>
      <c r="B698" s="49">
        <v>225</v>
      </c>
      <c r="C698" s="49">
        <v>219</v>
      </c>
      <c r="D698" s="49">
        <v>652</v>
      </c>
      <c r="E698" s="49">
        <v>1135</v>
      </c>
      <c r="F698" s="104">
        <v>1010</v>
      </c>
      <c r="G698" s="49">
        <v>4583</v>
      </c>
      <c r="H698" s="49">
        <f t="shared" si="14"/>
        <v>444</v>
      </c>
      <c r="I698" s="114">
        <f t="shared" si="15"/>
        <v>6814</v>
      </c>
      <c r="J698" s="113"/>
      <c r="K698" s="47">
        <v>14</v>
      </c>
    </row>
    <row r="699" spans="1:11" x14ac:dyDescent="0.25">
      <c r="A699" s="13">
        <v>39183</v>
      </c>
      <c r="B699" s="49">
        <v>237</v>
      </c>
      <c r="C699" s="49">
        <v>221</v>
      </c>
      <c r="D699" s="49">
        <v>511</v>
      </c>
      <c r="E699" s="49">
        <v>1695</v>
      </c>
      <c r="F699" s="104">
        <v>676</v>
      </c>
      <c r="G699" s="49">
        <v>4555</v>
      </c>
      <c r="H699" s="49">
        <f t="shared" si="14"/>
        <v>458</v>
      </c>
      <c r="I699" s="114">
        <f t="shared" si="15"/>
        <v>7219</v>
      </c>
      <c r="J699" s="113"/>
      <c r="K699" s="47">
        <v>15</v>
      </c>
    </row>
    <row r="700" spans="1:11" x14ac:dyDescent="0.25">
      <c r="A700" s="13">
        <v>39190</v>
      </c>
      <c r="B700" s="49">
        <v>267</v>
      </c>
      <c r="C700" s="49">
        <v>176</v>
      </c>
      <c r="D700" s="49">
        <v>623</v>
      </c>
      <c r="E700" s="49">
        <v>1722</v>
      </c>
      <c r="F700" s="104">
        <v>1126</v>
      </c>
      <c r="G700" s="49">
        <v>4398</v>
      </c>
      <c r="H700" s="49">
        <f t="shared" si="14"/>
        <v>443</v>
      </c>
      <c r="I700" s="114">
        <f t="shared" si="15"/>
        <v>7186</v>
      </c>
      <c r="J700" s="113"/>
      <c r="K700" s="47">
        <v>16</v>
      </c>
    </row>
    <row r="701" spans="1:11" x14ac:dyDescent="0.25">
      <c r="A701" s="13">
        <v>39197</v>
      </c>
      <c r="B701" s="49">
        <v>206</v>
      </c>
      <c r="C701" s="49">
        <v>206</v>
      </c>
      <c r="D701" s="49">
        <v>565</v>
      </c>
      <c r="E701" s="49">
        <v>1075</v>
      </c>
      <c r="F701" s="104">
        <v>1367</v>
      </c>
      <c r="G701" s="49">
        <v>4634</v>
      </c>
      <c r="H701" s="49">
        <f t="shared" si="14"/>
        <v>412</v>
      </c>
      <c r="I701" s="114">
        <f t="shared" si="15"/>
        <v>6686</v>
      </c>
      <c r="J701" s="113"/>
      <c r="K701" s="47">
        <v>17</v>
      </c>
    </row>
    <row r="702" spans="1:11" x14ac:dyDescent="0.25">
      <c r="A702" s="13">
        <v>39204</v>
      </c>
      <c r="B702" s="49">
        <v>227</v>
      </c>
      <c r="C702" s="49">
        <v>151</v>
      </c>
      <c r="D702" s="49">
        <v>693</v>
      </c>
      <c r="E702" s="49">
        <v>1545</v>
      </c>
      <c r="F702" s="104">
        <v>1175</v>
      </c>
      <c r="G702" s="49">
        <v>3979</v>
      </c>
      <c r="H702" s="49">
        <f t="shared" si="14"/>
        <v>378</v>
      </c>
      <c r="I702" s="114">
        <f t="shared" si="15"/>
        <v>6595</v>
      </c>
      <c r="J702" s="113"/>
      <c r="K702" s="47">
        <v>18</v>
      </c>
    </row>
    <row r="703" spans="1:11" x14ac:dyDescent="0.25">
      <c r="A703" s="13">
        <v>39211</v>
      </c>
      <c r="B703" s="49">
        <v>161</v>
      </c>
      <c r="C703" s="49">
        <v>80</v>
      </c>
      <c r="D703" s="49">
        <v>496</v>
      </c>
      <c r="E703" s="49">
        <v>1064</v>
      </c>
      <c r="F703" s="104">
        <v>953</v>
      </c>
      <c r="G703" s="49">
        <v>4655</v>
      </c>
      <c r="H703" s="49">
        <f t="shared" si="14"/>
        <v>241</v>
      </c>
      <c r="I703" s="114">
        <f t="shared" si="15"/>
        <v>6456</v>
      </c>
      <c r="J703" s="113"/>
      <c r="K703" s="47">
        <v>19</v>
      </c>
    </row>
    <row r="704" spans="1:11" x14ac:dyDescent="0.25">
      <c r="A704" s="13">
        <v>39218</v>
      </c>
      <c r="B704" s="49">
        <v>69</v>
      </c>
      <c r="C704" s="49">
        <v>230</v>
      </c>
      <c r="D704" s="49">
        <v>421</v>
      </c>
      <c r="E704" s="92">
        <v>1308</v>
      </c>
      <c r="F704" s="104">
        <v>1112</v>
      </c>
      <c r="G704" s="49">
        <v>3231</v>
      </c>
      <c r="H704" s="49">
        <f t="shared" si="14"/>
        <v>299</v>
      </c>
      <c r="I704" s="114">
        <f t="shared" si="15"/>
        <v>5259</v>
      </c>
      <c r="J704" s="113"/>
      <c r="K704" s="47">
        <v>20</v>
      </c>
    </row>
    <row r="705" spans="1:11" x14ac:dyDescent="0.25">
      <c r="A705" s="13">
        <v>39225</v>
      </c>
      <c r="B705" s="49">
        <v>224</v>
      </c>
      <c r="C705" s="49">
        <v>51</v>
      </c>
      <c r="D705" s="49">
        <v>208</v>
      </c>
      <c r="E705" s="49">
        <v>1552</v>
      </c>
      <c r="F705" s="104">
        <v>1482</v>
      </c>
      <c r="G705" s="49">
        <v>3934</v>
      </c>
      <c r="H705" s="49">
        <f t="shared" si="14"/>
        <v>275</v>
      </c>
      <c r="I705" s="114">
        <f t="shared" si="15"/>
        <v>5969</v>
      </c>
      <c r="J705" s="113"/>
      <c r="K705" s="47">
        <v>21</v>
      </c>
    </row>
    <row r="706" spans="1:11" x14ac:dyDescent="0.25">
      <c r="A706" s="13">
        <v>39232</v>
      </c>
      <c r="B706" s="49">
        <v>153</v>
      </c>
      <c r="C706" s="49">
        <v>133</v>
      </c>
      <c r="D706" s="49">
        <v>130</v>
      </c>
      <c r="E706" s="49">
        <v>358</v>
      </c>
      <c r="F706" s="104">
        <v>1167</v>
      </c>
      <c r="G706" s="49">
        <v>3403</v>
      </c>
      <c r="H706" s="49">
        <f t="shared" si="14"/>
        <v>286</v>
      </c>
      <c r="I706" s="114">
        <f t="shared" si="15"/>
        <v>4177</v>
      </c>
      <c r="J706" s="113"/>
      <c r="K706" s="47">
        <v>22</v>
      </c>
    </row>
    <row r="707" spans="1:11" x14ac:dyDescent="0.25">
      <c r="A707" s="13">
        <v>39239</v>
      </c>
      <c r="B707" s="49">
        <v>0</v>
      </c>
      <c r="C707" s="49">
        <v>67</v>
      </c>
      <c r="D707" s="49">
        <v>737</v>
      </c>
      <c r="E707" s="49">
        <v>925</v>
      </c>
      <c r="F707" s="104">
        <v>1144</v>
      </c>
      <c r="G707" s="49">
        <v>3315</v>
      </c>
      <c r="H707" s="49">
        <f t="shared" si="14"/>
        <v>67</v>
      </c>
      <c r="I707" s="114">
        <f t="shared" si="15"/>
        <v>5044</v>
      </c>
      <c r="J707" s="113"/>
      <c r="K707" s="47">
        <v>23</v>
      </c>
    </row>
    <row r="708" spans="1:11" x14ac:dyDescent="0.25">
      <c r="A708" s="13">
        <v>39246</v>
      </c>
      <c r="B708" s="49">
        <v>158</v>
      </c>
      <c r="C708" s="49">
        <v>201</v>
      </c>
      <c r="D708" s="49">
        <v>236</v>
      </c>
      <c r="E708" s="49">
        <v>2409</v>
      </c>
      <c r="F708" s="104">
        <v>119</v>
      </c>
      <c r="G708" s="49">
        <v>3653</v>
      </c>
      <c r="H708" s="49">
        <f t="shared" si="14"/>
        <v>359</v>
      </c>
      <c r="I708" s="114">
        <f t="shared" si="15"/>
        <v>6657</v>
      </c>
      <c r="J708" s="113"/>
      <c r="K708" s="47">
        <v>24</v>
      </c>
    </row>
    <row r="709" spans="1:11" x14ac:dyDescent="0.25">
      <c r="A709" s="13">
        <v>39253</v>
      </c>
      <c r="B709" s="49">
        <v>239</v>
      </c>
      <c r="C709" s="49">
        <v>73</v>
      </c>
      <c r="D709" s="49">
        <v>340</v>
      </c>
      <c r="E709" s="49">
        <v>1603</v>
      </c>
      <c r="F709" s="104">
        <v>1109</v>
      </c>
      <c r="G709" s="49">
        <v>3282</v>
      </c>
      <c r="H709" s="49">
        <f t="shared" si="14"/>
        <v>312</v>
      </c>
      <c r="I709" s="114">
        <f t="shared" si="15"/>
        <v>5537</v>
      </c>
      <c r="J709" s="113"/>
      <c r="K709" s="47">
        <v>25</v>
      </c>
    </row>
    <row r="710" spans="1:11" x14ac:dyDescent="0.25">
      <c r="A710" s="13">
        <v>39260</v>
      </c>
      <c r="B710" s="49">
        <v>275</v>
      </c>
      <c r="C710" s="49">
        <v>66</v>
      </c>
      <c r="D710" s="49">
        <v>133</v>
      </c>
      <c r="E710" s="49">
        <v>2431</v>
      </c>
      <c r="F710" s="104">
        <v>446</v>
      </c>
      <c r="G710" s="49">
        <v>3797</v>
      </c>
      <c r="H710" s="49">
        <f t="shared" si="14"/>
        <v>341</v>
      </c>
      <c r="I710" s="114">
        <f t="shared" si="15"/>
        <v>6702</v>
      </c>
      <c r="J710" s="113"/>
      <c r="K710" s="47">
        <v>26</v>
      </c>
    </row>
    <row r="711" spans="1:11" x14ac:dyDescent="0.25">
      <c r="A711" s="13">
        <v>39267</v>
      </c>
      <c r="B711" s="49">
        <v>136</v>
      </c>
      <c r="C711" s="49">
        <v>36</v>
      </c>
      <c r="D711" s="49">
        <v>206</v>
      </c>
      <c r="E711" s="49">
        <v>1565</v>
      </c>
      <c r="F711" s="104">
        <v>794</v>
      </c>
      <c r="G711" s="49">
        <v>2692</v>
      </c>
      <c r="H711" s="49">
        <f t="shared" si="14"/>
        <v>172</v>
      </c>
      <c r="I711" s="114">
        <f t="shared" si="15"/>
        <v>4635</v>
      </c>
      <c r="J711" s="113"/>
      <c r="K711" s="47">
        <v>27</v>
      </c>
    </row>
    <row r="712" spans="1:11" x14ac:dyDescent="0.25">
      <c r="A712" s="13">
        <v>39274</v>
      </c>
      <c r="B712" s="92">
        <v>139</v>
      </c>
      <c r="C712" s="49">
        <v>64</v>
      </c>
      <c r="D712" s="49">
        <v>221</v>
      </c>
      <c r="E712" s="49">
        <v>2003</v>
      </c>
      <c r="F712" s="104">
        <v>1123</v>
      </c>
      <c r="G712" s="92">
        <v>3302</v>
      </c>
      <c r="H712" s="49">
        <f t="shared" ref="H712:H775" si="16">B712+C712</f>
        <v>203</v>
      </c>
      <c r="I712" s="114">
        <f t="shared" si="15"/>
        <v>5729</v>
      </c>
      <c r="J712" s="113"/>
      <c r="K712" s="47">
        <v>28</v>
      </c>
    </row>
    <row r="713" spans="1:11" x14ac:dyDescent="0.25">
      <c r="A713" s="13">
        <v>39281</v>
      </c>
      <c r="B713" s="49">
        <v>235</v>
      </c>
      <c r="C713" s="49">
        <v>51</v>
      </c>
      <c r="D713" s="49">
        <v>529</v>
      </c>
      <c r="E713" s="49">
        <v>1760</v>
      </c>
      <c r="F713" s="104">
        <v>476</v>
      </c>
      <c r="G713" s="49">
        <v>2724</v>
      </c>
      <c r="H713" s="49">
        <f t="shared" si="16"/>
        <v>286</v>
      </c>
      <c r="I713" s="114">
        <f t="shared" si="15"/>
        <v>5299</v>
      </c>
      <c r="J713" s="113"/>
      <c r="K713" s="47">
        <v>29</v>
      </c>
    </row>
    <row r="714" spans="1:11" x14ac:dyDescent="0.25">
      <c r="A714" s="13">
        <v>39288</v>
      </c>
      <c r="B714" s="49">
        <v>274</v>
      </c>
      <c r="C714" s="49">
        <v>121</v>
      </c>
      <c r="D714" s="49">
        <v>685</v>
      </c>
      <c r="E714" s="49">
        <v>1272</v>
      </c>
      <c r="F714" s="104">
        <v>726</v>
      </c>
      <c r="G714" s="49">
        <v>2484</v>
      </c>
      <c r="H714" s="49">
        <f t="shared" si="16"/>
        <v>395</v>
      </c>
      <c r="I714" s="114">
        <f t="shared" si="15"/>
        <v>4836</v>
      </c>
      <c r="J714" s="113"/>
      <c r="K714" s="47">
        <v>30</v>
      </c>
    </row>
    <row r="715" spans="1:11" x14ac:dyDescent="0.25">
      <c r="A715" s="13">
        <v>39295</v>
      </c>
      <c r="B715" s="49">
        <v>0</v>
      </c>
      <c r="C715" s="49">
        <v>98</v>
      </c>
      <c r="D715" s="49">
        <v>520</v>
      </c>
      <c r="E715" s="49">
        <v>2481</v>
      </c>
      <c r="F715" s="104">
        <v>415</v>
      </c>
      <c r="G715" s="92">
        <v>3270</v>
      </c>
      <c r="H715" s="49">
        <f t="shared" si="16"/>
        <v>98</v>
      </c>
      <c r="I715" s="114">
        <f t="shared" si="15"/>
        <v>6369</v>
      </c>
      <c r="J715" s="113"/>
      <c r="K715" s="47">
        <v>31</v>
      </c>
    </row>
    <row r="716" spans="1:11" x14ac:dyDescent="0.25">
      <c r="A716" s="13">
        <v>39302</v>
      </c>
      <c r="B716" s="49">
        <v>202</v>
      </c>
      <c r="C716" s="49">
        <v>210</v>
      </c>
      <c r="D716" s="49">
        <v>645</v>
      </c>
      <c r="E716" s="49">
        <v>2437</v>
      </c>
      <c r="F716" s="104">
        <v>809</v>
      </c>
      <c r="G716" s="49">
        <v>3973</v>
      </c>
      <c r="H716" s="49">
        <f t="shared" si="16"/>
        <v>412</v>
      </c>
      <c r="I716" s="114">
        <f t="shared" si="15"/>
        <v>7467</v>
      </c>
      <c r="J716" s="113"/>
      <c r="K716" s="47">
        <v>32</v>
      </c>
    </row>
    <row r="717" spans="1:11" x14ac:dyDescent="0.25">
      <c r="A717" s="13">
        <v>39309</v>
      </c>
      <c r="B717" s="49">
        <v>249</v>
      </c>
      <c r="C717" s="49">
        <v>215</v>
      </c>
      <c r="D717" s="49">
        <v>797</v>
      </c>
      <c r="E717" s="49">
        <v>2857</v>
      </c>
      <c r="F717" s="104">
        <v>608</v>
      </c>
      <c r="G717" s="49">
        <v>4259</v>
      </c>
      <c r="H717" s="49">
        <f t="shared" si="16"/>
        <v>464</v>
      </c>
      <c r="I717" s="114">
        <f t="shared" si="15"/>
        <v>8377</v>
      </c>
      <c r="J717" s="113"/>
      <c r="K717" s="47">
        <v>33</v>
      </c>
    </row>
    <row r="718" spans="1:11" x14ac:dyDescent="0.25">
      <c r="A718" s="13">
        <v>39316</v>
      </c>
      <c r="B718" s="62">
        <v>116</v>
      </c>
      <c r="C718" s="62">
        <v>290</v>
      </c>
      <c r="D718" s="62">
        <v>854</v>
      </c>
      <c r="E718" s="98">
        <v>2847</v>
      </c>
      <c r="F718" s="104">
        <v>467</v>
      </c>
      <c r="G718" s="49">
        <v>5799</v>
      </c>
      <c r="H718" s="49">
        <f t="shared" si="16"/>
        <v>406</v>
      </c>
      <c r="I718" s="114">
        <f t="shared" si="15"/>
        <v>9906</v>
      </c>
      <c r="J718" s="113"/>
      <c r="K718" s="47">
        <v>34</v>
      </c>
    </row>
    <row r="719" spans="1:11" x14ac:dyDescent="0.25">
      <c r="A719" s="13">
        <v>39323</v>
      </c>
      <c r="B719" s="49">
        <v>442</v>
      </c>
      <c r="C719" s="49">
        <v>471</v>
      </c>
      <c r="D719" s="92">
        <v>1332</v>
      </c>
      <c r="E719" s="49">
        <v>3258</v>
      </c>
      <c r="F719" s="104">
        <v>666</v>
      </c>
      <c r="G719" s="49">
        <v>3888</v>
      </c>
      <c r="H719" s="49">
        <f t="shared" si="16"/>
        <v>913</v>
      </c>
      <c r="I719" s="114">
        <f t="shared" si="15"/>
        <v>9391</v>
      </c>
      <c r="J719" s="113"/>
      <c r="K719" s="47">
        <v>35</v>
      </c>
    </row>
    <row r="720" spans="1:11" x14ac:dyDescent="0.25">
      <c r="A720" s="13">
        <v>39330</v>
      </c>
      <c r="B720" s="49">
        <v>324</v>
      </c>
      <c r="C720" s="49">
        <v>123</v>
      </c>
      <c r="D720" s="49">
        <v>1285</v>
      </c>
      <c r="E720" s="49">
        <v>3565</v>
      </c>
      <c r="F720" s="104">
        <v>819</v>
      </c>
      <c r="G720" s="49">
        <v>3170</v>
      </c>
      <c r="H720" s="49">
        <f t="shared" si="16"/>
        <v>447</v>
      </c>
      <c r="I720" s="114">
        <f t="shared" si="15"/>
        <v>8467</v>
      </c>
      <c r="J720" s="113"/>
      <c r="K720" s="47">
        <v>36</v>
      </c>
    </row>
    <row r="721" spans="1:11" x14ac:dyDescent="0.25">
      <c r="A721" s="13">
        <v>39337</v>
      </c>
      <c r="B721" s="49">
        <v>288</v>
      </c>
      <c r="C721" s="49">
        <v>340</v>
      </c>
      <c r="D721" s="92">
        <v>1417</v>
      </c>
      <c r="E721" s="49">
        <v>4097</v>
      </c>
      <c r="F721" s="104">
        <v>491</v>
      </c>
      <c r="G721" s="49">
        <v>2509</v>
      </c>
      <c r="H721" s="49">
        <f t="shared" si="16"/>
        <v>628</v>
      </c>
      <c r="I721" s="114">
        <f t="shared" ref="I721:I784" si="17">SUM(D721:H721)-F721</f>
        <v>8651</v>
      </c>
      <c r="J721" s="113"/>
      <c r="K721" s="47">
        <v>37</v>
      </c>
    </row>
    <row r="722" spans="1:11" x14ac:dyDescent="0.25">
      <c r="A722" s="13">
        <v>39344</v>
      </c>
      <c r="B722" s="49">
        <v>207</v>
      </c>
      <c r="C722" s="49">
        <v>339</v>
      </c>
      <c r="D722" s="49">
        <v>1564</v>
      </c>
      <c r="E722" s="49">
        <v>4193</v>
      </c>
      <c r="F722" s="104">
        <v>1199</v>
      </c>
      <c r="G722" s="49">
        <v>3369</v>
      </c>
      <c r="H722" s="49">
        <f t="shared" si="16"/>
        <v>546</v>
      </c>
      <c r="I722" s="114">
        <f t="shared" si="17"/>
        <v>9672</v>
      </c>
      <c r="J722" s="113"/>
      <c r="K722" s="47">
        <v>38</v>
      </c>
    </row>
    <row r="723" spans="1:11" x14ac:dyDescent="0.25">
      <c r="A723" s="13">
        <v>39351</v>
      </c>
      <c r="B723" s="49">
        <v>329</v>
      </c>
      <c r="C723" s="49">
        <v>601</v>
      </c>
      <c r="D723" s="92">
        <v>2123</v>
      </c>
      <c r="E723" s="49">
        <v>4376</v>
      </c>
      <c r="F723" s="104">
        <v>1092</v>
      </c>
      <c r="G723" s="49">
        <v>2822</v>
      </c>
      <c r="H723" s="49">
        <f t="shared" si="16"/>
        <v>930</v>
      </c>
      <c r="I723" s="114">
        <f t="shared" si="17"/>
        <v>10251</v>
      </c>
      <c r="J723" s="113"/>
      <c r="K723" s="47">
        <v>39</v>
      </c>
    </row>
    <row r="724" spans="1:11" x14ac:dyDescent="0.25">
      <c r="A724" s="13">
        <v>39358</v>
      </c>
      <c r="B724" s="49">
        <v>406</v>
      </c>
      <c r="C724" s="49">
        <v>773</v>
      </c>
      <c r="D724" s="49">
        <v>2212</v>
      </c>
      <c r="E724" s="49">
        <v>3040</v>
      </c>
      <c r="F724" s="104">
        <v>828</v>
      </c>
      <c r="G724" s="49">
        <v>4363</v>
      </c>
      <c r="H724" s="49">
        <f t="shared" si="16"/>
        <v>1179</v>
      </c>
      <c r="I724" s="114">
        <f t="shared" si="17"/>
        <v>10794</v>
      </c>
      <c r="J724" s="113"/>
      <c r="K724" s="47">
        <v>40</v>
      </c>
    </row>
    <row r="725" spans="1:11" x14ac:dyDescent="0.25">
      <c r="A725" s="13">
        <v>39365</v>
      </c>
      <c r="B725" s="49">
        <v>371</v>
      </c>
      <c r="C725" s="49">
        <v>632</v>
      </c>
      <c r="D725" s="49">
        <v>2653</v>
      </c>
      <c r="E725" s="49">
        <v>3125</v>
      </c>
      <c r="F725" s="104">
        <v>194</v>
      </c>
      <c r="G725" s="49">
        <v>4994</v>
      </c>
      <c r="H725" s="49">
        <f t="shared" si="16"/>
        <v>1003</v>
      </c>
      <c r="I725" s="114">
        <f t="shared" si="17"/>
        <v>11775</v>
      </c>
      <c r="J725" s="113"/>
      <c r="K725" s="47">
        <v>41</v>
      </c>
    </row>
    <row r="726" spans="1:11" x14ac:dyDescent="0.25">
      <c r="A726" s="13">
        <v>39372</v>
      </c>
      <c r="B726" s="49">
        <v>203</v>
      </c>
      <c r="C726" s="49">
        <v>768</v>
      </c>
      <c r="D726" s="49">
        <v>2960</v>
      </c>
      <c r="E726" s="49">
        <v>3199</v>
      </c>
      <c r="F726" s="104">
        <v>1200</v>
      </c>
      <c r="G726" s="49">
        <v>6491</v>
      </c>
      <c r="H726" s="49">
        <f t="shared" si="16"/>
        <v>971</v>
      </c>
      <c r="I726" s="114">
        <f t="shared" si="17"/>
        <v>13621</v>
      </c>
      <c r="J726" s="113"/>
      <c r="K726" s="47">
        <v>42</v>
      </c>
    </row>
    <row r="727" spans="1:11" x14ac:dyDescent="0.25">
      <c r="A727" s="13">
        <v>39379</v>
      </c>
      <c r="B727" s="49">
        <v>322</v>
      </c>
      <c r="C727" s="49">
        <v>674</v>
      </c>
      <c r="D727" s="49">
        <v>2165</v>
      </c>
      <c r="E727" s="49">
        <v>3200</v>
      </c>
      <c r="F727" s="104">
        <v>712</v>
      </c>
      <c r="G727" s="49">
        <v>5384</v>
      </c>
      <c r="H727" s="49">
        <f t="shared" si="16"/>
        <v>996</v>
      </c>
      <c r="I727" s="114">
        <f t="shared" si="17"/>
        <v>11745</v>
      </c>
      <c r="J727" s="113"/>
      <c r="K727" s="47">
        <v>43</v>
      </c>
    </row>
    <row r="728" spans="1:11" x14ac:dyDescent="0.25">
      <c r="A728" s="13">
        <v>39386</v>
      </c>
      <c r="B728" s="49">
        <v>295</v>
      </c>
      <c r="C728" s="49">
        <v>781</v>
      </c>
      <c r="D728" s="49">
        <v>1911</v>
      </c>
      <c r="E728" s="49">
        <v>4344</v>
      </c>
      <c r="F728" s="104">
        <v>979</v>
      </c>
      <c r="G728" s="49">
        <v>6816</v>
      </c>
      <c r="H728" s="49">
        <f t="shared" si="16"/>
        <v>1076</v>
      </c>
      <c r="I728" s="114">
        <f t="shared" si="17"/>
        <v>14147</v>
      </c>
      <c r="J728" s="113"/>
      <c r="K728" s="47">
        <v>44</v>
      </c>
    </row>
    <row r="729" spans="1:11" x14ac:dyDescent="0.25">
      <c r="A729" s="13">
        <v>39393</v>
      </c>
      <c r="B729" s="49">
        <v>143</v>
      </c>
      <c r="C729" s="49">
        <v>890</v>
      </c>
      <c r="D729" s="49">
        <v>1563</v>
      </c>
      <c r="E729" s="49">
        <v>3590</v>
      </c>
      <c r="F729" s="104">
        <v>1057</v>
      </c>
      <c r="G729" s="49">
        <v>5945</v>
      </c>
      <c r="H729" s="49">
        <f t="shared" si="16"/>
        <v>1033</v>
      </c>
      <c r="I729" s="114">
        <f t="shared" si="17"/>
        <v>12131</v>
      </c>
      <c r="J729" s="113"/>
      <c r="K729" s="47">
        <v>45</v>
      </c>
    </row>
    <row r="730" spans="1:11" x14ac:dyDescent="0.25">
      <c r="A730" s="13">
        <v>39400</v>
      </c>
      <c r="B730" s="49">
        <v>341</v>
      </c>
      <c r="C730" s="49">
        <v>1084</v>
      </c>
      <c r="D730" s="49">
        <v>1515</v>
      </c>
      <c r="E730" s="49">
        <v>3481</v>
      </c>
      <c r="F730" s="104">
        <v>749</v>
      </c>
      <c r="G730" s="49">
        <v>5084</v>
      </c>
      <c r="H730" s="49">
        <f t="shared" si="16"/>
        <v>1425</v>
      </c>
      <c r="I730" s="114">
        <f t="shared" si="17"/>
        <v>11505</v>
      </c>
      <c r="J730" s="113"/>
      <c r="K730" s="47">
        <v>46</v>
      </c>
    </row>
    <row r="731" spans="1:11" x14ac:dyDescent="0.25">
      <c r="A731" s="13">
        <v>39407</v>
      </c>
      <c r="B731" s="49">
        <v>366</v>
      </c>
      <c r="C731" s="49">
        <v>1239</v>
      </c>
      <c r="D731" s="49">
        <v>1285</v>
      </c>
      <c r="E731" s="49">
        <v>2736</v>
      </c>
      <c r="F731" s="104">
        <v>634</v>
      </c>
      <c r="G731" s="49">
        <v>6033</v>
      </c>
      <c r="H731" s="49">
        <f t="shared" si="16"/>
        <v>1605</v>
      </c>
      <c r="I731" s="114">
        <f t="shared" si="17"/>
        <v>11659</v>
      </c>
      <c r="J731" s="113"/>
      <c r="K731" s="47">
        <v>47</v>
      </c>
    </row>
    <row r="732" spans="1:11" x14ac:dyDescent="0.25">
      <c r="A732" s="13">
        <v>39414</v>
      </c>
      <c r="B732" s="49">
        <v>364</v>
      </c>
      <c r="C732" s="49">
        <v>788</v>
      </c>
      <c r="D732" s="49">
        <v>1914</v>
      </c>
      <c r="E732" s="49">
        <v>2260</v>
      </c>
      <c r="F732" s="104">
        <v>649</v>
      </c>
      <c r="G732" s="49">
        <v>5063</v>
      </c>
      <c r="H732" s="49">
        <f t="shared" si="16"/>
        <v>1152</v>
      </c>
      <c r="I732" s="114">
        <f t="shared" si="17"/>
        <v>10389</v>
      </c>
      <c r="J732" s="113"/>
      <c r="K732" s="47">
        <v>48</v>
      </c>
    </row>
    <row r="733" spans="1:11" x14ac:dyDescent="0.25">
      <c r="A733" s="13">
        <v>39421</v>
      </c>
      <c r="B733" s="49">
        <v>290</v>
      </c>
      <c r="C733" s="49">
        <v>1100</v>
      </c>
      <c r="D733" s="49">
        <v>1826</v>
      </c>
      <c r="E733" s="49">
        <v>2573</v>
      </c>
      <c r="F733" s="104">
        <v>508</v>
      </c>
      <c r="G733" s="49">
        <v>4361</v>
      </c>
      <c r="H733" s="49">
        <f t="shared" si="16"/>
        <v>1390</v>
      </c>
      <c r="I733" s="114">
        <f t="shared" si="17"/>
        <v>10150</v>
      </c>
      <c r="J733" s="113"/>
      <c r="K733" s="47">
        <v>49</v>
      </c>
    </row>
    <row r="734" spans="1:11" x14ac:dyDescent="0.25">
      <c r="A734" s="13">
        <v>39428</v>
      </c>
      <c r="B734" s="49">
        <v>331</v>
      </c>
      <c r="C734" s="49">
        <v>768</v>
      </c>
      <c r="D734" s="49">
        <v>1736</v>
      </c>
      <c r="E734" s="49">
        <v>1979</v>
      </c>
      <c r="F734" s="104">
        <v>407</v>
      </c>
      <c r="G734" s="49">
        <v>6597</v>
      </c>
      <c r="H734" s="49">
        <f t="shared" si="16"/>
        <v>1099</v>
      </c>
      <c r="I734" s="114">
        <f t="shared" si="17"/>
        <v>11411</v>
      </c>
      <c r="J734" s="113"/>
      <c r="K734" s="47">
        <v>50</v>
      </c>
    </row>
    <row r="735" spans="1:11" x14ac:dyDescent="0.25">
      <c r="A735" s="13">
        <v>39435</v>
      </c>
      <c r="B735" s="49">
        <v>297</v>
      </c>
      <c r="C735" s="49">
        <v>26</v>
      </c>
      <c r="D735" s="49">
        <v>1243</v>
      </c>
      <c r="E735" s="49">
        <v>2266</v>
      </c>
      <c r="F735" s="104">
        <v>139</v>
      </c>
      <c r="G735" s="49">
        <v>5245</v>
      </c>
      <c r="H735" s="49">
        <f t="shared" si="16"/>
        <v>323</v>
      </c>
      <c r="I735" s="114">
        <f t="shared" si="17"/>
        <v>9077</v>
      </c>
      <c r="J735" s="113"/>
      <c r="K735" s="47">
        <v>51</v>
      </c>
    </row>
    <row r="736" spans="1:11" x14ac:dyDescent="0.25">
      <c r="A736" s="13">
        <v>39442</v>
      </c>
      <c r="B736" s="49">
        <v>285</v>
      </c>
      <c r="C736" s="49">
        <v>742</v>
      </c>
      <c r="D736" s="49">
        <v>1574</v>
      </c>
      <c r="E736" s="49">
        <v>1760</v>
      </c>
      <c r="F736" s="104">
        <v>569</v>
      </c>
      <c r="G736" s="49">
        <v>4315</v>
      </c>
      <c r="H736" s="49">
        <f t="shared" si="16"/>
        <v>1027</v>
      </c>
      <c r="I736" s="114">
        <f t="shared" si="17"/>
        <v>8676</v>
      </c>
      <c r="J736" s="113"/>
      <c r="K736" s="47">
        <v>52</v>
      </c>
    </row>
    <row r="737" spans="1:11" x14ac:dyDescent="0.25">
      <c r="A737" s="13">
        <v>39449</v>
      </c>
      <c r="B737" s="49">
        <v>312</v>
      </c>
      <c r="C737" s="49">
        <v>581</v>
      </c>
      <c r="D737" s="49">
        <v>844</v>
      </c>
      <c r="E737" s="49">
        <v>2067</v>
      </c>
      <c r="F737" s="104">
        <v>222</v>
      </c>
      <c r="G737" s="49">
        <v>4144</v>
      </c>
      <c r="H737" s="49">
        <f t="shared" si="16"/>
        <v>893</v>
      </c>
      <c r="I737" s="114">
        <f t="shared" si="17"/>
        <v>7948</v>
      </c>
      <c r="J737" s="113"/>
      <c r="K737" s="47">
        <v>1</v>
      </c>
    </row>
    <row r="738" spans="1:11" x14ac:dyDescent="0.25">
      <c r="A738" s="13">
        <v>39456</v>
      </c>
      <c r="B738" s="49">
        <v>374</v>
      </c>
      <c r="C738" s="49">
        <v>795</v>
      </c>
      <c r="D738" s="49">
        <v>1559</v>
      </c>
      <c r="E738" s="49">
        <v>3198</v>
      </c>
      <c r="F738" s="104">
        <v>990</v>
      </c>
      <c r="G738" s="49">
        <v>5086</v>
      </c>
      <c r="H738" s="49">
        <f t="shared" si="16"/>
        <v>1169</v>
      </c>
      <c r="I738" s="114">
        <f t="shared" si="17"/>
        <v>11012</v>
      </c>
      <c r="J738" s="113"/>
      <c r="K738" s="47">
        <v>2</v>
      </c>
    </row>
    <row r="739" spans="1:11" x14ac:dyDescent="0.25">
      <c r="A739" s="13">
        <v>39463</v>
      </c>
      <c r="B739" s="49">
        <v>487</v>
      </c>
      <c r="C739" s="49">
        <v>716</v>
      </c>
      <c r="D739" s="49">
        <v>1956</v>
      </c>
      <c r="E739" s="92">
        <v>3026</v>
      </c>
      <c r="F739" s="104">
        <v>384</v>
      </c>
      <c r="G739" s="49">
        <v>5523</v>
      </c>
      <c r="H739" s="49">
        <f t="shared" si="16"/>
        <v>1203</v>
      </c>
      <c r="I739" s="114">
        <f t="shared" si="17"/>
        <v>11708</v>
      </c>
      <c r="J739" s="113"/>
      <c r="K739" s="47">
        <v>3</v>
      </c>
    </row>
    <row r="740" spans="1:11" x14ac:dyDescent="0.25">
      <c r="A740" s="13">
        <v>39470</v>
      </c>
      <c r="B740" s="49">
        <v>273</v>
      </c>
      <c r="C740" s="49">
        <v>847</v>
      </c>
      <c r="D740" s="49">
        <v>1888</v>
      </c>
      <c r="E740" s="49">
        <v>2787</v>
      </c>
      <c r="F740" s="104">
        <v>701</v>
      </c>
      <c r="G740" s="49">
        <v>5416</v>
      </c>
      <c r="H740" s="49">
        <f t="shared" si="16"/>
        <v>1120</v>
      </c>
      <c r="I740" s="114">
        <f t="shared" si="17"/>
        <v>11211</v>
      </c>
      <c r="J740" s="113"/>
      <c r="K740" s="47">
        <v>4</v>
      </c>
    </row>
    <row r="741" spans="1:11" x14ac:dyDescent="0.25">
      <c r="A741" s="13">
        <v>39477</v>
      </c>
      <c r="B741" s="49">
        <v>468</v>
      </c>
      <c r="C741" s="49">
        <v>960</v>
      </c>
      <c r="D741" s="49">
        <v>1493</v>
      </c>
      <c r="E741" s="49">
        <v>2602</v>
      </c>
      <c r="F741" s="104">
        <v>365</v>
      </c>
      <c r="G741" s="49">
        <v>4877</v>
      </c>
      <c r="H741" s="49">
        <f t="shared" si="16"/>
        <v>1428</v>
      </c>
      <c r="I741" s="114">
        <f t="shared" si="17"/>
        <v>10400</v>
      </c>
      <c r="J741" s="113"/>
      <c r="K741" s="47">
        <v>5</v>
      </c>
    </row>
    <row r="742" spans="1:11" x14ac:dyDescent="0.25">
      <c r="A742" s="13">
        <v>39484</v>
      </c>
      <c r="B742" s="49">
        <v>357</v>
      </c>
      <c r="C742" s="49">
        <v>732</v>
      </c>
      <c r="D742" s="49">
        <v>1395</v>
      </c>
      <c r="E742" s="49">
        <v>1926</v>
      </c>
      <c r="F742" s="104">
        <v>572</v>
      </c>
      <c r="G742" s="49">
        <v>5009</v>
      </c>
      <c r="H742" s="49">
        <f t="shared" si="16"/>
        <v>1089</v>
      </c>
      <c r="I742" s="114">
        <f t="shared" si="17"/>
        <v>9419</v>
      </c>
      <c r="J742" s="113"/>
      <c r="K742" s="47">
        <v>6</v>
      </c>
    </row>
    <row r="743" spans="1:11" x14ac:dyDescent="0.25">
      <c r="A743" s="13">
        <v>39491</v>
      </c>
      <c r="B743" s="49">
        <v>326</v>
      </c>
      <c r="C743" s="49">
        <v>503</v>
      </c>
      <c r="D743" s="49">
        <v>1479</v>
      </c>
      <c r="E743" s="49">
        <v>2888</v>
      </c>
      <c r="F743" s="104">
        <v>588</v>
      </c>
      <c r="G743" s="49">
        <v>4679</v>
      </c>
      <c r="H743" s="49">
        <f t="shared" si="16"/>
        <v>829</v>
      </c>
      <c r="I743" s="114">
        <f t="shared" si="17"/>
        <v>9875</v>
      </c>
      <c r="J743" s="113"/>
      <c r="K743" s="47">
        <v>7</v>
      </c>
    </row>
    <row r="744" spans="1:11" x14ac:dyDescent="0.25">
      <c r="A744" s="13">
        <v>39498</v>
      </c>
      <c r="B744" s="49">
        <v>411</v>
      </c>
      <c r="C744" s="49">
        <v>455</v>
      </c>
      <c r="D744" s="49">
        <v>1799</v>
      </c>
      <c r="E744" s="49">
        <v>3247</v>
      </c>
      <c r="F744" s="104">
        <v>526</v>
      </c>
      <c r="G744" s="49">
        <v>5137</v>
      </c>
      <c r="H744" s="49">
        <f t="shared" si="16"/>
        <v>866</v>
      </c>
      <c r="I744" s="114">
        <f t="shared" si="17"/>
        <v>11049</v>
      </c>
      <c r="J744" s="113"/>
      <c r="K744" s="47">
        <v>8</v>
      </c>
    </row>
    <row r="745" spans="1:11" x14ac:dyDescent="0.25">
      <c r="A745" s="13">
        <v>39505</v>
      </c>
      <c r="B745" s="49">
        <v>286</v>
      </c>
      <c r="C745" s="49">
        <v>1014</v>
      </c>
      <c r="D745" s="49">
        <v>723</v>
      </c>
      <c r="E745" s="49">
        <v>2155</v>
      </c>
      <c r="F745" s="104">
        <v>539</v>
      </c>
      <c r="G745" s="49">
        <v>6205</v>
      </c>
      <c r="H745" s="49">
        <f t="shared" si="16"/>
        <v>1300</v>
      </c>
      <c r="I745" s="114">
        <f t="shared" si="17"/>
        <v>10383</v>
      </c>
      <c r="J745" s="113"/>
      <c r="K745" s="47">
        <v>9</v>
      </c>
    </row>
    <row r="746" spans="1:11" x14ac:dyDescent="0.25">
      <c r="A746" s="13">
        <v>39512</v>
      </c>
      <c r="B746" s="49">
        <v>281</v>
      </c>
      <c r="C746" s="49">
        <v>733</v>
      </c>
      <c r="D746" s="49">
        <v>1840</v>
      </c>
      <c r="E746" s="49">
        <v>2957</v>
      </c>
      <c r="F746" s="104">
        <v>494</v>
      </c>
      <c r="G746" s="49">
        <v>7094</v>
      </c>
      <c r="H746" s="49">
        <f t="shared" si="16"/>
        <v>1014</v>
      </c>
      <c r="I746" s="114">
        <f t="shared" si="17"/>
        <v>12905</v>
      </c>
      <c r="J746" s="113"/>
      <c r="K746" s="47">
        <v>10</v>
      </c>
    </row>
    <row r="747" spans="1:11" x14ac:dyDescent="0.25">
      <c r="A747" s="13">
        <v>39519</v>
      </c>
      <c r="B747" s="49">
        <v>440</v>
      </c>
      <c r="C747" s="49">
        <v>775</v>
      </c>
      <c r="D747" s="49">
        <v>1725</v>
      </c>
      <c r="E747" s="49">
        <v>2576</v>
      </c>
      <c r="F747" s="104">
        <v>706</v>
      </c>
      <c r="G747" s="49">
        <v>5685</v>
      </c>
      <c r="H747" s="49">
        <f t="shared" si="16"/>
        <v>1215</v>
      </c>
      <c r="I747" s="114">
        <f t="shared" si="17"/>
        <v>11201</v>
      </c>
      <c r="J747" s="113"/>
      <c r="K747" s="47">
        <v>11</v>
      </c>
    </row>
    <row r="748" spans="1:11" x14ac:dyDescent="0.25">
      <c r="A748" s="13">
        <v>39526</v>
      </c>
      <c r="B748" s="49">
        <v>413</v>
      </c>
      <c r="C748" s="49">
        <v>808</v>
      </c>
      <c r="D748" s="49">
        <v>1685</v>
      </c>
      <c r="E748" s="49">
        <v>2374</v>
      </c>
      <c r="F748" s="104">
        <v>128</v>
      </c>
      <c r="G748" s="49">
        <v>5742</v>
      </c>
      <c r="H748" s="49">
        <f t="shared" si="16"/>
        <v>1221</v>
      </c>
      <c r="I748" s="114">
        <f t="shared" si="17"/>
        <v>11022</v>
      </c>
      <c r="J748" s="113"/>
      <c r="K748" s="47">
        <v>12</v>
      </c>
    </row>
    <row r="749" spans="1:11" x14ac:dyDescent="0.25">
      <c r="A749" s="13">
        <v>39533</v>
      </c>
      <c r="B749" s="49">
        <v>361</v>
      </c>
      <c r="C749" s="49">
        <v>622</v>
      </c>
      <c r="D749" s="49">
        <v>1317</v>
      </c>
      <c r="E749" s="49">
        <v>1878</v>
      </c>
      <c r="F749" s="104">
        <v>749</v>
      </c>
      <c r="G749" s="49">
        <v>6333</v>
      </c>
      <c r="H749" s="49">
        <f t="shared" si="16"/>
        <v>983</v>
      </c>
      <c r="I749" s="114">
        <f t="shared" si="17"/>
        <v>10511</v>
      </c>
      <c r="J749" s="113"/>
      <c r="K749" s="47">
        <v>13</v>
      </c>
    </row>
    <row r="750" spans="1:11" x14ac:dyDescent="0.25">
      <c r="A750" s="13">
        <v>39540</v>
      </c>
      <c r="B750" s="49">
        <v>371</v>
      </c>
      <c r="C750" s="49">
        <v>394</v>
      </c>
      <c r="D750" s="49">
        <v>1403</v>
      </c>
      <c r="E750" s="49">
        <v>2491</v>
      </c>
      <c r="F750" s="104">
        <v>811</v>
      </c>
      <c r="G750" s="49">
        <v>5944</v>
      </c>
      <c r="H750" s="49">
        <f t="shared" si="16"/>
        <v>765</v>
      </c>
      <c r="I750" s="114">
        <f t="shared" si="17"/>
        <v>10603</v>
      </c>
      <c r="J750" s="113"/>
      <c r="K750" s="47">
        <v>14</v>
      </c>
    </row>
    <row r="751" spans="1:11" x14ac:dyDescent="0.25">
      <c r="A751" s="13">
        <v>39547</v>
      </c>
      <c r="B751" s="49">
        <v>400</v>
      </c>
      <c r="C751" s="49">
        <v>384</v>
      </c>
      <c r="D751" s="92">
        <v>1310</v>
      </c>
      <c r="E751" s="49">
        <v>2509</v>
      </c>
      <c r="F751" s="104">
        <v>834</v>
      </c>
      <c r="G751" s="49">
        <v>5496</v>
      </c>
      <c r="H751" s="49">
        <f t="shared" si="16"/>
        <v>784</v>
      </c>
      <c r="I751" s="114">
        <f t="shared" si="17"/>
        <v>10099</v>
      </c>
      <c r="J751" s="113"/>
      <c r="K751" s="47">
        <v>15</v>
      </c>
    </row>
    <row r="752" spans="1:11" x14ac:dyDescent="0.25">
      <c r="A752" s="13">
        <v>39554</v>
      </c>
      <c r="B752" s="49">
        <v>261</v>
      </c>
      <c r="C752" s="49">
        <v>292</v>
      </c>
      <c r="D752" s="49">
        <v>2280</v>
      </c>
      <c r="E752" s="49">
        <v>2770</v>
      </c>
      <c r="F752" s="104">
        <v>533</v>
      </c>
      <c r="G752" s="49">
        <v>6118</v>
      </c>
      <c r="H752" s="49">
        <f t="shared" si="16"/>
        <v>553</v>
      </c>
      <c r="I752" s="114">
        <f t="shared" si="17"/>
        <v>11721</v>
      </c>
      <c r="J752" s="113"/>
      <c r="K752" s="47">
        <v>16</v>
      </c>
    </row>
    <row r="753" spans="1:11" x14ac:dyDescent="0.25">
      <c r="A753" s="13">
        <v>39561</v>
      </c>
      <c r="B753" s="49">
        <v>339</v>
      </c>
      <c r="C753" s="49">
        <v>136</v>
      </c>
      <c r="D753" s="49">
        <v>1209</v>
      </c>
      <c r="E753" s="49">
        <v>1702</v>
      </c>
      <c r="F753" s="104">
        <v>885</v>
      </c>
      <c r="G753" s="49">
        <v>5808</v>
      </c>
      <c r="H753" s="49">
        <f t="shared" si="16"/>
        <v>475</v>
      </c>
      <c r="I753" s="114">
        <f t="shared" si="17"/>
        <v>9194</v>
      </c>
      <c r="J753" s="113"/>
      <c r="K753" s="47">
        <v>17</v>
      </c>
    </row>
    <row r="754" spans="1:11" x14ac:dyDescent="0.25">
      <c r="A754" s="13">
        <v>39568</v>
      </c>
      <c r="B754" s="49">
        <v>384</v>
      </c>
      <c r="C754" s="49">
        <v>327</v>
      </c>
      <c r="D754" s="49">
        <v>1078</v>
      </c>
      <c r="E754" s="49">
        <v>1934</v>
      </c>
      <c r="F754" s="104">
        <v>709</v>
      </c>
      <c r="G754" s="49">
        <v>6069</v>
      </c>
      <c r="H754" s="49">
        <f t="shared" si="16"/>
        <v>711</v>
      </c>
      <c r="I754" s="114">
        <f t="shared" si="17"/>
        <v>9792</v>
      </c>
      <c r="J754" s="113"/>
      <c r="K754" s="47">
        <v>18</v>
      </c>
    </row>
    <row r="755" spans="1:11" x14ac:dyDescent="0.25">
      <c r="A755" s="13">
        <v>39575</v>
      </c>
      <c r="B755" s="49">
        <v>367</v>
      </c>
      <c r="C755" s="49">
        <v>697</v>
      </c>
      <c r="D755" s="49">
        <v>763</v>
      </c>
      <c r="E755" s="49">
        <v>2382</v>
      </c>
      <c r="F755" s="104">
        <v>440</v>
      </c>
      <c r="G755" s="49">
        <v>6214</v>
      </c>
      <c r="H755" s="49">
        <f t="shared" si="16"/>
        <v>1064</v>
      </c>
      <c r="I755" s="114">
        <f t="shared" si="17"/>
        <v>10423</v>
      </c>
      <c r="J755" s="113"/>
      <c r="K755" s="47">
        <v>19</v>
      </c>
    </row>
    <row r="756" spans="1:11" x14ac:dyDescent="0.25">
      <c r="A756" s="13">
        <v>39582</v>
      </c>
      <c r="B756" s="49">
        <v>143</v>
      </c>
      <c r="C756" s="49">
        <v>392</v>
      </c>
      <c r="D756" s="49">
        <v>1139</v>
      </c>
      <c r="E756" s="49">
        <v>1567</v>
      </c>
      <c r="F756" s="104">
        <v>779</v>
      </c>
      <c r="G756" s="49">
        <v>5062</v>
      </c>
      <c r="H756" s="49">
        <f t="shared" si="16"/>
        <v>535</v>
      </c>
      <c r="I756" s="114">
        <f t="shared" si="17"/>
        <v>8303</v>
      </c>
      <c r="J756" s="113"/>
      <c r="K756" s="47">
        <v>20</v>
      </c>
    </row>
    <row r="757" spans="1:11" x14ac:dyDescent="0.25">
      <c r="A757" s="13">
        <v>39589</v>
      </c>
      <c r="B757" s="49">
        <v>0</v>
      </c>
      <c r="C757" s="49">
        <v>378</v>
      </c>
      <c r="D757" s="49">
        <v>879</v>
      </c>
      <c r="E757" s="49">
        <v>1117</v>
      </c>
      <c r="F757" s="104">
        <v>596</v>
      </c>
      <c r="G757" s="49">
        <v>5564</v>
      </c>
      <c r="H757" s="49">
        <f t="shared" si="16"/>
        <v>378</v>
      </c>
      <c r="I757" s="114">
        <f t="shared" si="17"/>
        <v>7938</v>
      </c>
      <c r="J757" s="113"/>
      <c r="K757" s="47">
        <v>21</v>
      </c>
    </row>
    <row r="758" spans="1:11" x14ac:dyDescent="0.25">
      <c r="A758" s="13">
        <v>39596</v>
      </c>
      <c r="B758" s="49">
        <v>50</v>
      </c>
      <c r="C758" s="49">
        <v>235</v>
      </c>
      <c r="D758" s="49">
        <v>828</v>
      </c>
      <c r="E758" s="49">
        <v>1359</v>
      </c>
      <c r="F758" s="104">
        <v>918</v>
      </c>
      <c r="G758" s="49">
        <v>6118</v>
      </c>
      <c r="H758" s="49">
        <f t="shared" si="16"/>
        <v>285</v>
      </c>
      <c r="I758" s="114">
        <f t="shared" si="17"/>
        <v>8590</v>
      </c>
      <c r="J758" s="113"/>
      <c r="K758" s="47">
        <v>22</v>
      </c>
    </row>
    <row r="759" spans="1:11" x14ac:dyDescent="0.25">
      <c r="A759" s="13">
        <v>39603</v>
      </c>
      <c r="B759" s="49">
        <v>165</v>
      </c>
      <c r="C759" s="49">
        <v>21</v>
      </c>
      <c r="D759" s="49">
        <v>494</v>
      </c>
      <c r="E759" s="92">
        <v>2373</v>
      </c>
      <c r="F759" s="104">
        <v>600</v>
      </c>
      <c r="G759" s="49">
        <v>5324</v>
      </c>
      <c r="H759" s="49">
        <f t="shared" si="16"/>
        <v>186</v>
      </c>
      <c r="I759" s="114">
        <f t="shared" si="17"/>
        <v>8377</v>
      </c>
      <c r="J759" s="113"/>
      <c r="K759" s="47">
        <v>23</v>
      </c>
    </row>
    <row r="760" spans="1:11" x14ac:dyDescent="0.25">
      <c r="A760" s="13">
        <v>39610</v>
      </c>
      <c r="B760" s="49">
        <v>160</v>
      </c>
      <c r="C760" s="49">
        <v>13</v>
      </c>
      <c r="D760" s="49">
        <v>359</v>
      </c>
      <c r="E760" s="49">
        <v>2344</v>
      </c>
      <c r="F760" s="104">
        <v>169</v>
      </c>
      <c r="G760" s="49">
        <v>5597</v>
      </c>
      <c r="H760" s="49">
        <f t="shared" si="16"/>
        <v>173</v>
      </c>
      <c r="I760" s="114">
        <f t="shared" si="17"/>
        <v>8473</v>
      </c>
      <c r="J760" s="113"/>
      <c r="K760" s="47">
        <v>24</v>
      </c>
    </row>
    <row r="761" spans="1:11" x14ac:dyDescent="0.25">
      <c r="A761" s="13">
        <v>39617</v>
      </c>
      <c r="B761" s="49">
        <v>1</v>
      </c>
      <c r="C761" s="49">
        <v>32</v>
      </c>
      <c r="D761" s="49">
        <v>509</v>
      </c>
      <c r="E761" s="92">
        <v>1758</v>
      </c>
      <c r="F761" s="104">
        <v>484</v>
      </c>
      <c r="G761" s="49">
        <v>4735</v>
      </c>
      <c r="H761" s="49">
        <f t="shared" si="16"/>
        <v>33</v>
      </c>
      <c r="I761" s="114">
        <f t="shared" si="17"/>
        <v>7035</v>
      </c>
      <c r="J761" s="113"/>
      <c r="K761" s="47">
        <v>25</v>
      </c>
    </row>
    <row r="762" spans="1:11" x14ac:dyDescent="0.25">
      <c r="A762" s="13">
        <v>39624</v>
      </c>
      <c r="B762" s="49">
        <v>111</v>
      </c>
      <c r="C762" s="49">
        <v>72</v>
      </c>
      <c r="D762" s="49">
        <v>933</v>
      </c>
      <c r="E762" s="49">
        <v>2186</v>
      </c>
      <c r="F762" s="104">
        <v>236</v>
      </c>
      <c r="G762" s="92">
        <v>5687</v>
      </c>
      <c r="H762" s="49">
        <f t="shared" si="16"/>
        <v>183</v>
      </c>
      <c r="I762" s="114">
        <f t="shared" si="17"/>
        <v>8989</v>
      </c>
      <c r="J762" s="113"/>
      <c r="K762" s="47">
        <v>26</v>
      </c>
    </row>
    <row r="763" spans="1:11" x14ac:dyDescent="0.25">
      <c r="A763" s="13">
        <v>39631</v>
      </c>
      <c r="B763" s="49">
        <v>0</v>
      </c>
      <c r="C763" s="49">
        <v>520</v>
      </c>
      <c r="D763" s="92">
        <v>1580</v>
      </c>
      <c r="E763" s="92">
        <v>2482</v>
      </c>
      <c r="F763" s="104">
        <v>684</v>
      </c>
      <c r="G763" s="92">
        <v>4618</v>
      </c>
      <c r="H763" s="92">
        <f t="shared" si="16"/>
        <v>520</v>
      </c>
      <c r="I763" s="114">
        <f t="shared" si="17"/>
        <v>9200</v>
      </c>
      <c r="J763" s="113"/>
      <c r="K763" s="47">
        <v>27</v>
      </c>
    </row>
    <row r="764" spans="1:11" x14ac:dyDescent="0.25">
      <c r="A764" s="13">
        <v>39638</v>
      </c>
      <c r="B764" s="49">
        <v>105</v>
      </c>
      <c r="C764" s="49">
        <v>217</v>
      </c>
      <c r="D764" s="49">
        <v>1388</v>
      </c>
      <c r="E764" s="49">
        <v>3419</v>
      </c>
      <c r="F764" s="104">
        <v>471</v>
      </c>
      <c r="G764" s="49">
        <v>4254</v>
      </c>
      <c r="H764" s="49">
        <f t="shared" si="16"/>
        <v>322</v>
      </c>
      <c r="I764" s="114">
        <f t="shared" si="17"/>
        <v>9383</v>
      </c>
      <c r="J764" s="113"/>
      <c r="K764" s="47">
        <v>28</v>
      </c>
    </row>
    <row r="765" spans="1:11" x14ac:dyDescent="0.25">
      <c r="A765" s="13">
        <v>39645</v>
      </c>
      <c r="B765" s="49">
        <v>157</v>
      </c>
      <c r="C765" s="49">
        <v>512</v>
      </c>
      <c r="D765" s="49">
        <v>1579</v>
      </c>
      <c r="E765" s="49">
        <v>3153</v>
      </c>
      <c r="F765" s="104">
        <v>263</v>
      </c>
      <c r="G765" s="49">
        <v>4670</v>
      </c>
      <c r="H765" s="49">
        <f t="shared" si="16"/>
        <v>669</v>
      </c>
      <c r="I765" s="114">
        <f t="shared" si="17"/>
        <v>10071</v>
      </c>
      <c r="J765" s="113"/>
      <c r="K765" s="47">
        <v>29</v>
      </c>
    </row>
    <row r="766" spans="1:11" x14ac:dyDescent="0.25">
      <c r="A766" s="13">
        <v>39652</v>
      </c>
      <c r="B766" s="49">
        <v>122</v>
      </c>
      <c r="C766" s="49">
        <v>420</v>
      </c>
      <c r="D766" s="49">
        <v>1625</v>
      </c>
      <c r="E766" s="49">
        <v>3384</v>
      </c>
      <c r="F766" s="104">
        <v>782</v>
      </c>
      <c r="G766" s="49">
        <v>5498</v>
      </c>
      <c r="H766" s="49">
        <f t="shared" si="16"/>
        <v>542</v>
      </c>
      <c r="I766" s="114">
        <f t="shared" si="17"/>
        <v>11049</v>
      </c>
      <c r="J766" s="113"/>
      <c r="K766" s="47">
        <v>30</v>
      </c>
    </row>
    <row r="767" spans="1:11" x14ac:dyDescent="0.25">
      <c r="A767" s="13">
        <v>39659</v>
      </c>
      <c r="B767" s="49">
        <v>109</v>
      </c>
      <c r="C767" s="49">
        <v>16</v>
      </c>
      <c r="D767" s="49">
        <v>1055</v>
      </c>
      <c r="E767" s="49">
        <v>2889</v>
      </c>
      <c r="F767" s="104">
        <v>258</v>
      </c>
      <c r="G767" s="49">
        <v>5036</v>
      </c>
      <c r="H767" s="49">
        <f t="shared" si="16"/>
        <v>125</v>
      </c>
      <c r="I767" s="114">
        <f t="shared" si="17"/>
        <v>9105</v>
      </c>
      <c r="J767" s="113"/>
      <c r="K767" s="47">
        <v>31</v>
      </c>
    </row>
    <row r="768" spans="1:11" x14ac:dyDescent="0.25">
      <c r="A768" s="13">
        <v>39666</v>
      </c>
      <c r="B768" s="49">
        <v>0</v>
      </c>
      <c r="C768" s="49">
        <v>131</v>
      </c>
      <c r="D768" s="92">
        <v>960</v>
      </c>
      <c r="E768" s="49">
        <v>2642</v>
      </c>
      <c r="F768" s="104">
        <v>959</v>
      </c>
      <c r="G768" s="49">
        <v>3381</v>
      </c>
      <c r="H768" s="49">
        <f t="shared" si="16"/>
        <v>131</v>
      </c>
      <c r="I768" s="114">
        <f t="shared" si="17"/>
        <v>7114</v>
      </c>
      <c r="J768" s="113"/>
      <c r="K768" s="47">
        <v>32</v>
      </c>
    </row>
    <row r="769" spans="1:12" x14ac:dyDescent="0.25">
      <c r="A769" s="13">
        <v>39673</v>
      </c>
      <c r="B769" s="49">
        <v>0</v>
      </c>
      <c r="C769" s="49">
        <v>66</v>
      </c>
      <c r="D769" s="49">
        <v>1292</v>
      </c>
      <c r="E769" s="49">
        <v>3637</v>
      </c>
      <c r="F769" s="104">
        <v>504</v>
      </c>
      <c r="G769" s="49">
        <v>3121</v>
      </c>
      <c r="H769" s="49">
        <f t="shared" si="16"/>
        <v>66</v>
      </c>
      <c r="I769" s="114">
        <f t="shared" si="17"/>
        <v>8116</v>
      </c>
      <c r="J769" s="113"/>
      <c r="K769" s="47">
        <v>33</v>
      </c>
    </row>
    <row r="770" spans="1:12" x14ac:dyDescent="0.25">
      <c r="A770" s="13">
        <v>39680</v>
      </c>
      <c r="B770" s="49">
        <v>38</v>
      </c>
      <c r="C770" s="49">
        <v>137</v>
      </c>
      <c r="D770" s="49">
        <v>934</v>
      </c>
      <c r="E770" s="49">
        <v>3003</v>
      </c>
      <c r="F770" s="104">
        <v>749</v>
      </c>
      <c r="G770" s="49">
        <v>2139</v>
      </c>
      <c r="H770" s="49">
        <f t="shared" si="16"/>
        <v>175</v>
      </c>
      <c r="I770" s="114">
        <f t="shared" si="17"/>
        <v>6251</v>
      </c>
      <c r="J770" s="113"/>
      <c r="K770" s="47">
        <v>34</v>
      </c>
    </row>
    <row r="771" spans="1:12" x14ac:dyDescent="0.25">
      <c r="A771" s="13">
        <v>39687</v>
      </c>
      <c r="B771" s="49">
        <v>66</v>
      </c>
      <c r="C771" s="49">
        <v>130</v>
      </c>
      <c r="D771" s="49">
        <v>1028</v>
      </c>
      <c r="E771" s="49">
        <v>2634</v>
      </c>
      <c r="F771" s="104">
        <v>631</v>
      </c>
      <c r="G771" s="49">
        <v>3849</v>
      </c>
      <c r="H771" s="49">
        <f t="shared" si="16"/>
        <v>196</v>
      </c>
      <c r="I771" s="114">
        <f t="shared" si="17"/>
        <v>7707</v>
      </c>
      <c r="J771" s="113"/>
      <c r="K771" s="47">
        <v>35</v>
      </c>
    </row>
    <row r="772" spans="1:12" x14ac:dyDescent="0.25">
      <c r="A772" s="13">
        <v>39694</v>
      </c>
      <c r="B772" s="49">
        <v>45</v>
      </c>
      <c r="C772" s="49">
        <v>255</v>
      </c>
      <c r="D772" s="49">
        <v>1352</v>
      </c>
      <c r="E772" s="49">
        <v>1475</v>
      </c>
      <c r="F772" s="104">
        <v>479</v>
      </c>
      <c r="G772" s="49">
        <v>3780</v>
      </c>
      <c r="H772" s="49">
        <f t="shared" si="16"/>
        <v>300</v>
      </c>
      <c r="I772" s="114">
        <f t="shared" si="17"/>
        <v>6907</v>
      </c>
      <c r="J772" s="113"/>
      <c r="K772" s="47">
        <v>36</v>
      </c>
    </row>
    <row r="773" spans="1:12" x14ac:dyDescent="0.25">
      <c r="A773" s="13">
        <v>39701</v>
      </c>
      <c r="B773" s="49">
        <v>45</v>
      </c>
      <c r="C773" s="49">
        <v>357</v>
      </c>
      <c r="D773" s="49">
        <v>505</v>
      </c>
      <c r="E773" s="49">
        <v>1878</v>
      </c>
      <c r="F773" s="104">
        <v>247</v>
      </c>
      <c r="G773" s="49">
        <v>4931</v>
      </c>
      <c r="H773" s="49">
        <f t="shared" si="16"/>
        <v>402</v>
      </c>
      <c r="I773" s="114">
        <f t="shared" si="17"/>
        <v>7716</v>
      </c>
      <c r="J773" s="113"/>
      <c r="K773" s="47">
        <v>37</v>
      </c>
    </row>
    <row r="774" spans="1:12" x14ac:dyDescent="0.25">
      <c r="A774" s="13">
        <v>39708</v>
      </c>
      <c r="B774" s="49">
        <v>76</v>
      </c>
      <c r="C774" s="49">
        <v>240</v>
      </c>
      <c r="D774" s="49">
        <v>775</v>
      </c>
      <c r="E774" s="49">
        <v>615</v>
      </c>
      <c r="F774" s="104">
        <v>337</v>
      </c>
      <c r="G774" s="49">
        <v>4609</v>
      </c>
      <c r="H774" s="49">
        <f t="shared" si="16"/>
        <v>316</v>
      </c>
      <c r="I774" s="114">
        <f t="shared" si="17"/>
        <v>6315</v>
      </c>
      <c r="J774" s="113"/>
      <c r="K774" s="47">
        <v>38</v>
      </c>
    </row>
    <row r="775" spans="1:12" x14ac:dyDescent="0.25">
      <c r="A775" s="13">
        <v>39715</v>
      </c>
      <c r="B775" s="49">
        <v>144</v>
      </c>
      <c r="C775" s="49">
        <v>374</v>
      </c>
      <c r="D775" s="92">
        <v>1138</v>
      </c>
      <c r="E775" s="49">
        <v>1615</v>
      </c>
      <c r="F775" s="104">
        <v>1172</v>
      </c>
      <c r="G775" s="49">
        <v>4375</v>
      </c>
      <c r="H775" s="49">
        <f t="shared" si="16"/>
        <v>518</v>
      </c>
      <c r="I775" s="114">
        <f t="shared" si="17"/>
        <v>7646</v>
      </c>
      <c r="J775" s="113"/>
      <c r="K775" s="47">
        <v>39</v>
      </c>
    </row>
    <row r="776" spans="1:12" x14ac:dyDescent="0.25">
      <c r="A776" s="13">
        <v>39722</v>
      </c>
      <c r="B776" s="49">
        <v>219</v>
      </c>
      <c r="C776" s="49">
        <v>0</v>
      </c>
      <c r="D776" s="49">
        <v>1122</v>
      </c>
      <c r="E776" s="49">
        <v>2278</v>
      </c>
      <c r="F776" s="104">
        <v>552</v>
      </c>
      <c r="G776" s="49">
        <v>4232</v>
      </c>
      <c r="H776" s="49">
        <f t="shared" ref="H776:H840" si="18">B776+C776</f>
        <v>219</v>
      </c>
      <c r="I776" s="114">
        <f t="shared" si="17"/>
        <v>7851</v>
      </c>
      <c r="J776" s="113"/>
      <c r="K776" s="47">
        <v>40</v>
      </c>
    </row>
    <row r="777" spans="1:12" x14ac:dyDescent="0.25">
      <c r="A777" s="13">
        <v>39729</v>
      </c>
      <c r="B777" s="49">
        <v>274</v>
      </c>
      <c r="C777" s="49">
        <v>201</v>
      </c>
      <c r="D777" s="49">
        <v>1689</v>
      </c>
      <c r="E777" s="49">
        <v>1364</v>
      </c>
      <c r="F777" s="104">
        <v>905</v>
      </c>
      <c r="G777" s="49">
        <v>4224</v>
      </c>
      <c r="H777" s="49">
        <f t="shared" si="18"/>
        <v>475</v>
      </c>
      <c r="I777" s="114">
        <f t="shared" si="17"/>
        <v>7752</v>
      </c>
      <c r="J777" s="208">
        <v>2414</v>
      </c>
      <c r="K777" s="47">
        <v>41</v>
      </c>
      <c r="L777" s="218">
        <v>39725</v>
      </c>
    </row>
    <row r="778" spans="1:12" x14ac:dyDescent="0.25">
      <c r="A778" s="13">
        <v>39736</v>
      </c>
      <c r="B778" s="49">
        <v>159</v>
      </c>
      <c r="C778" s="49">
        <v>576</v>
      </c>
      <c r="D778" s="49">
        <v>2785</v>
      </c>
      <c r="E778" s="49">
        <v>1360</v>
      </c>
      <c r="F778" s="104">
        <v>1163</v>
      </c>
      <c r="G778" s="49">
        <v>6194</v>
      </c>
      <c r="H778" s="49">
        <f t="shared" si="18"/>
        <v>735</v>
      </c>
      <c r="I778" s="114">
        <f t="shared" si="17"/>
        <v>11074</v>
      </c>
      <c r="J778" s="208">
        <v>2899.35</v>
      </c>
      <c r="K778" s="47">
        <v>42</v>
      </c>
      <c r="L778" s="219">
        <f t="shared" ref="L778:L841" si="19">L777+7</f>
        <v>39732</v>
      </c>
    </row>
    <row r="779" spans="1:12" x14ac:dyDescent="0.25">
      <c r="A779" s="13">
        <v>39743</v>
      </c>
      <c r="B779" s="49">
        <v>193</v>
      </c>
      <c r="C779" s="49">
        <v>518</v>
      </c>
      <c r="D779" s="49">
        <v>2540</v>
      </c>
      <c r="E779" s="49">
        <v>685</v>
      </c>
      <c r="F779" s="104">
        <v>742</v>
      </c>
      <c r="G779" s="49">
        <v>5892</v>
      </c>
      <c r="H779" s="49">
        <f t="shared" si="18"/>
        <v>711</v>
      </c>
      <c r="I779" s="114">
        <f t="shared" si="17"/>
        <v>9828</v>
      </c>
      <c r="J779" s="208">
        <v>2689.4</v>
      </c>
      <c r="K779" s="47">
        <v>43</v>
      </c>
      <c r="L779" s="219">
        <f t="shared" si="19"/>
        <v>39739</v>
      </c>
    </row>
    <row r="780" spans="1:12" x14ac:dyDescent="0.25">
      <c r="A780" s="13">
        <v>39750</v>
      </c>
      <c r="B780" s="49">
        <v>200</v>
      </c>
      <c r="C780" s="49">
        <v>502</v>
      </c>
      <c r="D780" s="49">
        <v>2659</v>
      </c>
      <c r="E780" s="49">
        <v>840</v>
      </c>
      <c r="F780" s="104">
        <v>1536</v>
      </c>
      <c r="G780" s="49">
        <v>4808</v>
      </c>
      <c r="H780" s="49">
        <f t="shared" si="18"/>
        <v>702</v>
      </c>
      <c r="I780" s="114">
        <f t="shared" si="17"/>
        <v>9009</v>
      </c>
      <c r="J780" s="208">
        <v>2816.0499999999997</v>
      </c>
      <c r="K780" s="47">
        <v>44</v>
      </c>
      <c r="L780" s="219">
        <f t="shared" si="19"/>
        <v>39746</v>
      </c>
    </row>
    <row r="781" spans="1:12" x14ac:dyDescent="0.25">
      <c r="A781" s="13">
        <v>39757</v>
      </c>
      <c r="B781" s="49">
        <v>293</v>
      </c>
      <c r="C781" s="49">
        <v>453</v>
      </c>
      <c r="D781" s="49">
        <v>1675</v>
      </c>
      <c r="E781" s="49">
        <v>573</v>
      </c>
      <c r="F781" s="104">
        <v>2213</v>
      </c>
      <c r="G781" s="49">
        <v>4869</v>
      </c>
      <c r="H781" s="49">
        <f t="shared" si="18"/>
        <v>746</v>
      </c>
      <c r="I781" s="114">
        <f t="shared" si="17"/>
        <v>7863</v>
      </c>
      <c r="J781" s="208">
        <v>1905.7</v>
      </c>
      <c r="K781" s="47">
        <v>45</v>
      </c>
      <c r="L781" s="219">
        <f t="shared" si="19"/>
        <v>39753</v>
      </c>
    </row>
    <row r="782" spans="1:12" x14ac:dyDescent="0.25">
      <c r="A782" s="13">
        <v>39764</v>
      </c>
      <c r="B782" s="49">
        <v>69</v>
      </c>
      <c r="C782" s="49">
        <v>333</v>
      </c>
      <c r="D782" s="49">
        <v>1375</v>
      </c>
      <c r="E782" s="49">
        <v>982</v>
      </c>
      <c r="F782" s="104">
        <v>984</v>
      </c>
      <c r="G782" s="49">
        <v>3103</v>
      </c>
      <c r="H782" s="49">
        <f t="shared" si="18"/>
        <v>402</v>
      </c>
      <c r="I782" s="114">
        <f t="shared" si="17"/>
        <v>5862</v>
      </c>
      <c r="J782" s="208">
        <v>2415.6999999999998</v>
      </c>
      <c r="K782" s="47">
        <v>46</v>
      </c>
      <c r="L782" s="219">
        <f t="shared" si="19"/>
        <v>39760</v>
      </c>
    </row>
    <row r="783" spans="1:12" x14ac:dyDescent="0.25">
      <c r="A783" s="13">
        <v>39771</v>
      </c>
      <c r="B783" s="49">
        <v>113</v>
      </c>
      <c r="C783" s="49">
        <v>1017</v>
      </c>
      <c r="D783" s="49">
        <v>1073</v>
      </c>
      <c r="E783" s="49">
        <v>902</v>
      </c>
      <c r="F783" s="104">
        <v>1459</v>
      </c>
      <c r="G783" s="49">
        <v>3988</v>
      </c>
      <c r="H783" s="49">
        <f t="shared" si="18"/>
        <v>1130</v>
      </c>
      <c r="I783" s="114">
        <f t="shared" si="17"/>
        <v>7093</v>
      </c>
      <c r="J783" s="208">
        <v>2061.25</v>
      </c>
      <c r="K783" s="47">
        <v>47</v>
      </c>
      <c r="L783" s="219">
        <f t="shared" si="19"/>
        <v>39767</v>
      </c>
    </row>
    <row r="784" spans="1:12" x14ac:dyDescent="0.25">
      <c r="A784" s="13">
        <v>39778</v>
      </c>
      <c r="B784" s="49">
        <v>127</v>
      </c>
      <c r="C784" s="49">
        <v>412</v>
      </c>
      <c r="D784" s="49">
        <v>1261</v>
      </c>
      <c r="E784" s="49">
        <v>1304</v>
      </c>
      <c r="F784" s="104">
        <v>1105</v>
      </c>
      <c r="G784" s="49">
        <v>3757</v>
      </c>
      <c r="H784" s="49">
        <f t="shared" si="18"/>
        <v>539</v>
      </c>
      <c r="I784" s="114">
        <f t="shared" si="17"/>
        <v>6861</v>
      </c>
      <c r="J784" s="208">
        <v>2119.9</v>
      </c>
      <c r="K784" s="47">
        <v>48</v>
      </c>
      <c r="L784" s="219">
        <f t="shared" si="19"/>
        <v>39774</v>
      </c>
    </row>
    <row r="785" spans="1:12" x14ac:dyDescent="0.25">
      <c r="A785" s="13">
        <v>39785</v>
      </c>
      <c r="B785" s="49">
        <v>126</v>
      </c>
      <c r="C785" s="49">
        <v>324</v>
      </c>
      <c r="D785" s="49">
        <v>1134</v>
      </c>
      <c r="E785" s="49">
        <v>1011</v>
      </c>
      <c r="F785" s="104">
        <v>1264</v>
      </c>
      <c r="G785" s="49">
        <v>4500</v>
      </c>
      <c r="H785" s="49">
        <f t="shared" si="18"/>
        <v>450</v>
      </c>
      <c r="I785" s="114">
        <f t="shared" ref="I785:I848" si="20">SUM(D785:H785)-F785</f>
        <v>7095</v>
      </c>
      <c r="J785" s="208">
        <v>1609.05</v>
      </c>
      <c r="K785" s="47">
        <v>49</v>
      </c>
      <c r="L785" s="219">
        <f t="shared" si="19"/>
        <v>39781</v>
      </c>
    </row>
    <row r="786" spans="1:12" x14ac:dyDescent="0.25">
      <c r="A786" s="13">
        <v>39792</v>
      </c>
      <c r="B786" s="49">
        <v>128</v>
      </c>
      <c r="C786" s="49">
        <v>660</v>
      </c>
      <c r="D786" s="49">
        <v>1093</v>
      </c>
      <c r="E786" s="49">
        <v>785</v>
      </c>
      <c r="F786" s="104">
        <v>903</v>
      </c>
      <c r="G786" s="49">
        <v>4069</v>
      </c>
      <c r="H786" s="49">
        <f t="shared" si="18"/>
        <v>788</v>
      </c>
      <c r="I786" s="114">
        <f t="shared" si="20"/>
        <v>6735</v>
      </c>
      <c r="J786" s="208">
        <v>1495.1499999999999</v>
      </c>
      <c r="K786" s="47">
        <v>50</v>
      </c>
      <c r="L786" s="219">
        <f t="shared" si="19"/>
        <v>39788</v>
      </c>
    </row>
    <row r="787" spans="1:12" x14ac:dyDescent="0.25">
      <c r="A787" s="13">
        <v>39799</v>
      </c>
      <c r="B787" s="49">
        <v>206</v>
      </c>
      <c r="C787" s="49">
        <v>496</v>
      </c>
      <c r="D787" s="49">
        <v>769</v>
      </c>
      <c r="E787" s="49">
        <v>743</v>
      </c>
      <c r="F787" s="104">
        <v>629</v>
      </c>
      <c r="G787" s="49">
        <v>2873</v>
      </c>
      <c r="H787" s="49">
        <f t="shared" si="18"/>
        <v>702</v>
      </c>
      <c r="I787" s="114">
        <f t="shared" si="20"/>
        <v>5087</v>
      </c>
      <c r="J787" s="208">
        <v>1535.95</v>
      </c>
      <c r="K787" s="47">
        <v>51</v>
      </c>
      <c r="L787" s="219">
        <f t="shared" si="19"/>
        <v>39795</v>
      </c>
    </row>
    <row r="788" spans="1:12" x14ac:dyDescent="0.25">
      <c r="A788" s="13">
        <v>39806</v>
      </c>
      <c r="B788" s="49">
        <v>196</v>
      </c>
      <c r="C788" s="49">
        <v>208</v>
      </c>
      <c r="D788" s="49">
        <v>868</v>
      </c>
      <c r="E788" s="49">
        <v>609</v>
      </c>
      <c r="F788" s="104">
        <v>1079</v>
      </c>
      <c r="G788" s="49">
        <v>2049</v>
      </c>
      <c r="H788" s="49">
        <f t="shared" si="18"/>
        <v>404</v>
      </c>
      <c r="I788" s="114">
        <f t="shared" si="20"/>
        <v>3930</v>
      </c>
      <c r="J788" s="208">
        <v>1155.1499999999999</v>
      </c>
      <c r="K788" s="47">
        <v>52</v>
      </c>
      <c r="L788" s="219">
        <f t="shared" si="19"/>
        <v>39802</v>
      </c>
    </row>
    <row r="789" spans="1:12" x14ac:dyDescent="0.25">
      <c r="A789" s="13">
        <v>39813</v>
      </c>
      <c r="B789" s="49">
        <v>222</v>
      </c>
      <c r="C789" s="49">
        <v>66</v>
      </c>
      <c r="D789" s="49">
        <v>627</v>
      </c>
      <c r="E789" s="49">
        <v>1107</v>
      </c>
      <c r="F789" s="104">
        <v>463</v>
      </c>
      <c r="G789" s="49">
        <v>2367</v>
      </c>
      <c r="H789" s="49">
        <f t="shared" si="18"/>
        <v>288</v>
      </c>
      <c r="I789" s="114">
        <f t="shared" si="20"/>
        <v>4389</v>
      </c>
      <c r="J789" s="208">
        <v>1412.7</v>
      </c>
      <c r="K789" s="47">
        <v>53</v>
      </c>
      <c r="L789" s="219">
        <f t="shared" si="19"/>
        <v>39809</v>
      </c>
    </row>
    <row r="790" spans="1:12" x14ac:dyDescent="0.25">
      <c r="A790" s="13">
        <v>39820</v>
      </c>
      <c r="B790" s="49">
        <v>210</v>
      </c>
      <c r="C790" s="49">
        <v>300</v>
      </c>
      <c r="D790" s="49">
        <v>764</v>
      </c>
      <c r="E790" s="49">
        <v>797</v>
      </c>
      <c r="F790" s="104">
        <v>992</v>
      </c>
      <c r="G790" s="49">
        <v>1702</v>
      </c>
      <c r="H790" s="49">
        <f t="shared" si="18"/>
        <v>510</v>
      </c>
      <c r="I790" s="114">
        <f t="shared" si="20"/>
        <v>3773</v>
      </c>
      <c r="J790" s="208">
        <v>1072.7</v>
      </c>
      <c r="K790" s="47">
        <v>1</v>
      </c>
      <c r="L790" s="220">
        <f t="shared" si="19"/>
        <v>39816</v>
      </c>
    </row>
    <row r="791" spans="1:12" x14ac:dyDescent="0.25">
      <c r="A791" s="13">
        <v>39827</v>
      </c>
      <c r="B791" s="49">
        <v>254</v>
      </c>
      <c r="C791" s="49">
        <v>342</v>
      </c>
      <c r="D791" s="92">
        <v>883</v>
      </c>
      <c r="E791" s="49">
        <v>655</v>
      </c>
      <c r="F791" s="104">
        <v>648</v>
      </c>
      <c r="G791" s="49">
        <v>2998</v>
      </c>
      <c r="H791" s="49">
        <f t="shared" si="18"/>
        <v>596</v>
      </c>
      <c r="I791" s="114">
        <f t="shared" si="20"/>
        <v>5132</v>
      </c>
      <c r="J791" s="224">
        <v>1795.8107130940782</v>
      </c>
      <c r="K791" s="47">
        <v>2</v>
      </c>
      <c r="L791" s="218">
        <f t="shared" si="19"/>
        <v>39823</v>
      </c>
    </row>
    <row r="792" spans="1:12" x14ac:dyDescent="0.25">
      <c r="A792" s="13">
        <v>39834</v>
      </c>
      <c r="B792" s="49">
        <v>291</v>
      </c>
      <c r="C792" s="49">
        <v>224</v>
      </c>
      <c r="D792" s="49">
        <v>915</v>
      </c>
      <c r="E792" s="49">
        <v>886</v>
      </c>
      <c r="F792" s="104">
        <v>593</v>
      </c>
      <c r="G792" s="49">
        <v>3462</v>
      </c>
      <c r="H792" s="49">
        <f t="shared" si="18"/>
        <v>515</v>
      </c>
      <c r="I792" s="114">
        <f t="shared" si="20"/>
        <v>5778</v>
      </c>
      <c r="J792" s="224">
        <v>1109.5724752092035</v>
      </c>
      <c r="K792" s="47">
        <v>3</v>
      </c>
      <c r="L792" s="219">
        <f t="shared" si="19"/>
        <v>39830</v>
      </c>
    </row>
    <row r="793" spans="1:12" x14ac:dyDescent="0.25">
      <c r="A793" s="13">
        <v>39841</v>
      </c>
      <c r="B793" s="49">
        <v>364</v>
      </c>
      <c r="C793" s="49">
        <v>333</v>
      </c>
      <c r="D793" s="49">
        <v>1051</v>
      </c>
      <c r="E793" s="49">
        <v>588</v>
      </c>
      <c r="F793" s="104">
        <v>1175</v>
      </c>
      <c r="G793" s="49">
        <v>3373</v>
      </c>
      <c r="H793" s="49">
        <f t="shared" si="18"/>
        <v>697</v>
      </c>
      <c r="I793" s="114">
        <f t="shared" si="20"/>
        <v>5709</v>
      </c>
      <c r="J793" s="224">
        <v>1215.4060345402859</v>
      </c>
      <c r="K793" s="47">
        <v>4</v>
      </c>
      <c r="L793" s="219">
        <f t="shared" si="19"/>
        <v>39837</v>
      </c>
    </row>
    <row r="794" spans="1:12" x14ac:dyDescent="0.25">
      <c r="A794" s="13">
        <v>39848</v>
      </c>
      <c r="B794" s="49">
        <v>284</v>
      </c>
      <c r="C794" s="49">
        <v>403</v>
      </c>
      <c r="D794" s="49">
        <v>1084</v>
      </c>
      <c r="E794" s="49">
        <v>1587</v>
      </c>
      <c r="F794" s="104">
        <v>464</v>
      </c>
      <c r="G794" s="49">
        <v>4435</v>
      </c>
      <c r="H794" s="49">
        <f t="shared" si="18"/>
        <v>687</v>
      </c>
      <c r="I794" s="114">
        <f t="shared" si="20"/>
        <v>7793</v>
      </c>
      <c r="J794" s="224">
        <v>1408.5942777636901</v>
      </c>
      <c r="K794" s="47">
        <v>5</v>
      </c>
      <c r="L794" s="219">
        <f t="shared" si="19"/>
        <v>39844</v>
      </c>
    </row>
    <row r="795" spans="1:12" x14ac:dyDescent="0.25">
      <c r="A795" s="13">
        <v>39855</v>
      </c>
      <c r="B795" s="49">
        <v>224</v>
      </c>
      <c r="C795" s="49">
        <v>582</v>
      </c>
      <c r="D795" s="49">
        <v>1267</v>
      </c>
      <c r="E795" s="49">
        <v>1529</v>
      </c>
      <c r="F795" s="104">
        <v>895</v>
      </c>
      <c r="G795" s="49">
        <v>3855</v>
      </c>
      <c r="H795" s="49">
        <f t="shared" si="18"/>
        <v>806</v>
      </c>
      <c r="I795" s="114">
        <f t="shared" si="20"/>
        <v>7457</v>
      </c>
      <c r="J795" s="224">
        <v>781.99241061299665</v>
      </c>
      <c r="K795" s="47">
        <v>6</v>
      </c>
      <c r="L795" s="219">
        <f t="shared" si="19"/>
        <v>39851</v>
      </c>
    </row>
    <row r="796" spans="1:12" x14ac:dyDescent="0.25">
      <c r="A796" s="13">
        <v>39862</v>
      </c>
      <c r="B796" s="49">
        <v>372</v>
      </c>
      <c r="C796" s="49">
        <v>356</v>
      </c>
      <c r="D796" s="49">
        <v>1410</v>
      </c>
      <c r="E796" s="49">
        <v>1061</v>
      </c>
      <c r="F796" s="104">
        <v>619</v>
      </c>
      <c r="G796" s="49">
        <v>3306</v>
      </c>
      <c r="H796" s="49">
        <f t="shared" si="18"/>
        <v>728</v>
      </c>
      <c r="I796" s="114">
        <f t="shared" si="20"/>
        <v>6505</v>
      </c>
      <c r="J796" s="224">
        <v>1562.3049234588332</v>
      </c>
      <c r="K796" s="47">
        <v>7</v>
      </c>
      <c r="L796" s="219">
        <f t="shared" si="19"/>
        <v>39858</v>
      </c>
    </row>
    <row r="797" spans="1:12" x14ac:dyDescent="0.25">
      <c r="A797" s="13">
        <v>39869</v>
      </c>
      <c r="B797" s="49">
        <v>268</v>
      </c>
      <c r="C797" s="49">
        <v>325</v>
      </c>
      <c r="D797" s="49">
        <v>913</v>
      </c>
      <c r="E797" s="49">
        <v>837</v>
      </c>
      <c r="F797" s="104">
        <v>1200</v>
      </c>
      <c r="G797" s="49">
        <v>3714</v>
      </c>
      <c r="H797" s="49">
        <f t="shared" si="18"/>
        <v>593</v>
      </c>
      <c r="I797" s="114">
        <f t="shared" si="20"/>
        <v>6057</v>
      </c>
      <c r="J797" s="224">
        <v>1277.5622519252072</v>
      </c>
      <c r="K797" s="47">
        <v>8</v>
      </c>
      <c r="L797" s="219">
        <f t="shared" si="19"/>
        <v>39865</v>
      </c>
    </row>
    <row r="798" spans="1:12" x14ac:dyDescent="0.25">
      <c r="A798" s="13">
        <v>39876</v>
      </c>
      <c r="B798" s="49">
        <v>235</v>
      </c>
      <c r="C798" s="49">
        <v>520</v>
      </c>
      <c r="D798" s="49">
        <v>1261</v>
      </c>
      <c r="E798" s="49">
        <v>1254</v>
      </c>
      <c r="F798" s="104">
        <v>834</v>
      </c>
      <c r="G798" s="49">
        <v>3462</v>
      </c>
      <c r="H798" s="49">
        <f t="shared" si="18"/>
        <v>755</v>
      </c>
      <c r="I798" s="114">
        <f t="shared" si="20"/>
        <v>6732</v>
      </c>
      <c r="J798" s="224">
        <v>1869.7262148491197</v>
      </c>
      <c r="K798" s="47">
        <v>9</v>
      </c>
      <c r="L798" s="219">
        <f t="shared" si="19"/>
        <v>39872</v>
      </c>
    </row>
    <row r="799" spans="1:12" x14ac:dyDescent="0.25">
      <c r="A799" s="13">
        <v>39883</v>
      </c>
      <c r="B799" s="49">
        <v>235</v>
      </c>
      <c r="C799" s="49">
        <v>468</v>
      </c>
      <c r="D799" s="49">
        <v>849</v>
      </c>
      <c r="E799" s="49">
        <v>1118</v>
      </c>
      <c r="F799" s="104">
        <v>1325</v>
      </c>
      <c r="G799" s="49">
        <v>3772</v>
      </c>
      <c r="H799" s="49">
        <f t="shared" si="18"/>
        <v>703</v>
      </c>
      <c r="I799" s="114">
        <f t="shared" si="20"/>
        <v>6442</v>
      </c>
      <c r="J799" s="224">
        <v>1662.2588406048553</v>
      </c>
      <c r="K799" s="47">
        <v>10</v>
      </c>
      <c r="L799" s="219">
        <f t="shared" si="19"/>
        <v>39879</v>
      </c>
    </row>
    <row r="800" spans="1:12" x14ac:dyDescent="0.25">
      <c r="A800" s="13">
        <v>39890</v>
      </c>
      <c r="B800" s="49">
        <v>208</v>
      </c>
      <c r="C800" s="49">
        <v>277</v>
      </c>
      <c r="D800" s="49">
        <v>269</v>
      </c>
      <c r="E800" s="49">
        <v>1095</v>
      </c>
      <c r="F800" s="104">
        <v>345</v>
      </c>
      <c r="G800" s="49">
        <v>3028</v>
      </c>
      <c r="H800" s="49">
        <f t="shared" si="18"/>
        <v>485</v>
      </c>
      <c r="I800" s="114">
        <f t="shared" si="20"/>
        <v>4877</v>
      </c>
      <c r="J800" s="224">
        <v>1280.9220474595272</v>
      </c>
      <c r="K800" s="47">
        <v>11</v>
      </c>
      <c r="L800" s="219">
        <f t="shared" si="19"/>
        <v>39886</v>
      </c>
    </row>
    <row r="801" spans="1:12" x14ac:dyDescent="0.25">
      <c r="A801" s="13">
        <v>39897</v>
      </c>
      <c r="B801" s="49">
        <v>320</v>
      </c>
      <c r="C801" s="49">
        <v>408</v>
      </c>
      <c r="D801" s="49">
        <v>125</v>
      </c>
      <c r="E801" s="49">
        <v>711</v>
      </c>
      <c r="F801" s="104">
        <v>957</v>
      </c>
      <c r="G801" s="49">
        <v>4022</v>
      </c>
      <c r="H801" s="49">
        <f t="shared" si="18"/>
        <v>728</v>
      </c>
      <c r="I801" s="114">
        <f t="shared" si="20"/>
        <v>5586</v>
      </c>
      <c r="J801" s="224">
        <v>999.53917146022127</v>
      </c>
      <c r="K801" s="47">
        <v>12</v>
      </c>
      <c r="L801" s="219">
        <f t="shared" si="19"/>
        <v>39893</v>
      </c>
    </row>
    <row r="802" spans="1:12" x14ac:dyDescent="0.25">
      <c r="A802" s="13">
        <v>39904</v>
      </c>
      <c r="B802" s="49">
        <v>280</v>
      </c>
      <c r="C802" s="49">
        <v>425</v>
      </c>
      <c r="D802" s="49">
        <v>332</v>
      </c>
      <c r="E802" s="49">
        <v>1361</v>
      </c>
      <c r="F802" s="104">
        <v>441</v>
      </c>
      <c r="G802" s="49">
        <v>3355</v>
      </c>
      <c r="H802" s="49">
        <f t="shared" si="18"/>
        <v>705</v>
      </c>
      <c r="I802" s="114">
        <f t="shared" si="20"/>
        <v>5753</v>
      </c>
      <c r="J802" s="224">
        <v>952.5020339797403</v>
      </c>
      <c r="K802" s="47">
        <v>13</v>
      </c>
      <c r="L802" s="219">
        <f t="shared" si="19"/>
        <v>39900</v>
      </c>
    </row>
    <row r="803" spans="1:12" x14ac:dyDescent="0.25">
      <c r="A803" s="13">
        <v>39911</v>
      </c>
      <c r="B803" s="49">
        <v>178</v>
      </c>
      <c r="C803" s="49">
        <v>206</v>
      </c>
      <c r="D803" s="49">
        <v>305</v>
      </c>
      <c r="E803" s="49">
        <v>657</v>
      </c>
      <c r="F803" s="104">
        <v>1000</v>
      </c>
      <c r="G803" s="49">
        <v>3911</v>
      </c>
      <c r="H803" s="49">
        <f t="shared" si="18"/>
        <v>384</v>
      </c>
      <c r="I803" s="114">
        <f t="shared" si="20"/>
        <v>5257</v>
      </c>
      <c r="J803" s="224">
        <v>1392.6352489756696</v>
      </c>
      <c r="K803" s="47">
        <v>14</v>
      </c>
      <c r="L803" s="219">
        <f t="shared" si="19"/>
        <v>39907</v>
      </c>
    </row>
    <row r="804" spans="1:12" x14ac:dyDescent="0.25">
      <c r="A804" s="13">
        <f t="shared" ref="A804:A835" si="21">A803+7</f>
        <v>39918</v>
      </c>
      <c r="B804" s="49">
        <v>212</v>
      </c>
      <c r="C804" s="49">
        <v>382</v>
      </c>
      <c r="D804" s="49">
        <v>198</v>
      </c>
      <c r="E804" s="49">
        <v>390</v>
      </c>
      <c r="F804" s="104">
        <v>665</v>
      </c>
      <c r="G804" s="49">
        <v>4229</v>
      </c>
      <c r="H804" s="49">
        <f t="shared" si="18"/>
        <v>594</v>
      </c>
      <c r="I804" s="114">
        <f t="shared" si="20"/>
        <v>5411</v>
      </c>
      <c r="J804" s="224">
        <v>730.75552871461559</v>
      </c>
      <c r="K804" s="47">
        <f t="shared" ref="K804:K841" si="22">K803+1</f>
        <v>15</v>
      </c>
      <c r="L804" s="218">
        <f t="shared" si="19"/>
        <v>39914</v>
      </c>
    </row>
    <row r="805" spans="1:12" x14ac:dyDescent="0.25">
      <c r="A805" s="13">
        <f t="shared" si="21"/>
        <v>39925</v>
      </c>
      <c r="B805" s="49">
        <v>183</v>
      </c>
      <c r="C805" s="49">
        <v>95</v>
      </c>
      <c r="D805" s="49">
        <v>161</v>
      </c>
      <c r="E805" s="49">
        <v>450</v>
      </c>
      <c r="F805" s="104">
        <v>645</v>
      </c>
      <c r="G805" s="49">
        <v>3338</v>
      </c>
      <c r="H805" s="49">
        <f t="shared" si="18"/>
        <v>278</v>
      </c>
      <c r="I805" s="114">
        <f t="shared" si="20"/>
        <v>4227</v>
      </c>
      <c r="J805" s="224">
        <v>847.508423532238</v>
      </c>
      <c r="K805" s="47">
        <f t="shared" si="22"/>
        <v>16</v>
      </c>
      <c r="L805" s="219">
        <f t="shared" si="19"/>
        <v>39921</v>
      </c>
    </row>
    <row r="806" spans="1:12" x14ac:dyDescent="0.25">
      <c r="A806" s="13">
        <f t="shared" si="21"/>
        <v>39932</v>
      </c>
      <c r="B806" s="49">
        <v>202</v>
      </c>
      <c r="C806" s="49">
        <v>1</v>
      </c>
      <c r="D806" s="49">
        <v>2</v>
      </c>
      <c r="E806" s="49">
        <v>806</v>
      </c>
      <c r="F806" s="104">
        <v>712</v>
      </c>
      <c r="G806" s="49">
        <v>3890</v>
      </c>
      <c r="H806" s="49">
        <f t="shared" si="18"/>
        <v>203</v>
      </c>
      <c r="I806" s="114">
        <f t="shared" si="20"/>
        <v>4901</v>
      </c>
      <c r="J806" s="224">
        <v>1693.3369492973159</v>
      </c>
      <c r="K806" s="47">
        <f t="shared" si="22"/>
        <v>17</v>
      </c>
      <c r="L806" s="219">
        <f t="shared" si="19"/>
        <v>39928</v>
      </c>
    </row>
    <row r="807" spans="1:12" x14ac:dyDescent="0.25">
      <c r="A807" s="13">
        <f t="shared" si="21"/>
        <v>39939</v>
      </c>
      <c r="B807" s="49">
        <v>226</v>
      </c>
      <c r="C807" s="49">
        <v>339</v>
      </c>
      <c r="D807" s="49">
        <v>132</v>
      </c>
      <c r="E807" s="49">
        <v>1360</v>
      </c>
      <c r="F807" s="104">
        <v>659</v>
      </c>
      <c r="G807" s="49">
        <v>2894</v>
      </c>
      <c r="H807" s="49">
        <f t="shared" si="18"/>
        <v>565</v>
      </c>
      <c r="I807" s="114">
        <f t="shared" si="20"/>
        <v>4951</v>
      </c>
      <c r="J807" s="224">
        <v>973.50075606924077</v>
      </c>
      <c r="K807" s="47">
        <f t="shared" si="22"/>
        <v>18</v>
      </c>
      <c r="L807" s="219">
        <f t="shared" si="19"/>
        <v>39935</v>
      </c>
    </row>
    <row r="808" spans="1:12" x14ac:dyDescent="0.25">
      <c r="A808" s="13">
        <f t="shared" si="21"/>
        <v>39946</v>
      </c>
      <c r="B808" s="49">
        <v>89</v>
      </c>
      <c r="C808" s="49">
        <v>38</v>
      </c>
      <c r="D808" s="92">
        <v>258</v>
      </c>
      <c r="E808" s="49">
        <v>114</v>
      </c>
      <c r="F808" s="104">
        <v>1272</v>
      </c>
      <c r="G808" s="49">
        <v>2561</v>
      </c>
      <c r="H808" s="49">
        <f t="shared" si="18"/>
        <v>127</v>
      </c>
      <c r="I808" s="114">
        <f t="shared" si="20"/>
        <v>3060</v>
      </c>
      <c r="J808" s="224">
        <v>1049.0961555914423</v>
      </c>
      <c r="K808" s="47">
        <f t="shared" si="22"/>
        <v>19</v>
      </c>
      <c r="L808" s="219">
        <f t="shared" si="19"/>
        <v>39942</v>
      </c>
    </row>
    <row r="809" spans="1:12" x14ac:dyDescent="0.25">
      <c r="A809" s="13">
        <f t="shared" si="21"/>
        <v>39953</v>
      </c>
      <c r="B809" s="49">
        <v>97</v>
      </c>
      <c r="C809" s="49">
        <v>144</v>
      </c>
      <c r="D809" s="92">
        <v>152</v>
      </c>
      <c r="E809" s="49">
        <v>510</v>
      </c>
      <c r="F809" s="104">
        <v>669</v>
      </c>
      <c r="G809" s="49">
        <v>1989</v>
      </c>
      <c r="H809" s="49">
        <f t="shared" si="18"/>
        <v>241</v>
      </c>
      <c r="I809" s="114">
        <f t="shared" si="20"/>
        <v>2892</v>
      </c>
      <c r="J809" s="224">
        <v>1656.3791984197953</v>
      </c>
      <c r="K809" s="47">
        <f t="shared" si="22"/>
        <v>20</v>
      </c>
      <c r="L809" s="219">
        <f t="shared" si="19"/>
        <v>39949</v>
      </c>
    </row>
    <row r="810" spans="1:12" x14ac:dyDescent="0.25">
      <c r="A810" s="13">
        <f t="shared" si="21"/>
        <v>39960</v>
      </c>
      <c r="B810" s="98">
        <v>163</v>
      </c>
      <c r="C810" s="98">
        <v>253</v>
      </c>
      <c r="D810" s="98">
        <v>291</v>
      </c>
      <c r="E810" s="98">
        <v>771</v>
      </c>
      <c r="F810" s="104">
        <v>545</v>
      </c>
      <c r="G810" s="98">
        <v>2117</v>
      </c>
      <c r="H810" s="49">
        <f t="shared" si="18"/>
        <v>416</v>
      </c>
      <c r="I810" s="114">
        <f t="shared" si="20"/>
        <v>3595</v>
      </c>
      <c r="J810" s="224">
        <v>2149.429193081266</v>
      </c>
      <c r="K810" s="47">
        <f t="shared" si="22"/>
        <v>21</v>
      </c>
      <c r="L810" s="219">
        <f t="shared" si="19"/>
        <v>39956</v>
      </c>
    </row>
    <row r="811" spans="1:12" x14ac:dyDescent="0.25">
      <c r="A811" s="13">
        <f t="shared" si="21"/>
        <v>39967</v>
      </c>
      <c r="B811" s="49">
        <v>0</v>
      </c>
      <c r="C811" s="49">
        <v>467</v>
      </c>
      <c r="D811" s="49">
        <v>406</v>
      </c>
      <c r="E811" s="49">
        <v>1325</v>
      </c>
      <c r="F811" s="104">
        <v>1070</v>
      </c>
      <c r="G811" s="49">
        <v>1897</v>
      </c>
      <c r="H811" s="49">
        <f t="shared" si="18"/>
        <v>467</v>
      </c>
      <c r="I811" s="114">
        <f t="shared" si="20"/>
        <v>4095</v>
      </c>
      <c r="J811" s="224">
        <v>1309.4803095012478</v>
      </c>
      <c r="K811" s="47">
        <f t="shared" si="22"/>
        <v>22</v>
      </c>
      <c r="L811" s="219">
        <f t="shared" si="19"/>
        <v>39963</v>
      </c>
    </row>
    <row r="812" spans="1:12" x14ac:dyDescent="0.25">
      <c r="A812" s="13">
        <f t="shared" si="21"/>
        <v>39974</v>
      </c>
      <c r="B812" s="49">
        <v>65</v>
      </c>
      <c r="C812" s="49">
        <v>336</v>
      </c>
      <c r="D812" s="49">
        <v>0</v>
      </c>
      <c r="E812" s="49">
        <v>388</v>
      </c>
      <c r="F812" s="104">
        <v>859</v>
      </c>
      <c r="G812" s="49">
        <v>1402</v>
      </c>
      <c r="H812" s="49">
        <f t="shared" si="18"/>
        <v>401</v>
      </c>
      <c r="I812" s="114">
        <f t="shared" si="20"/>
        <v>2191</v>
      </c>
      <c r="J812" s="224">
        <v>1838.648106156659</v>
      </c>
      <c r="K812" s="47">
        <f t="shared" si="22"/>
        <v>23</v>
      </c>
      <c r="L812" s="219">
        <f t="shared" si="19"/>
        <v>39970</v>
      </c>
    </row>
    <row r="813" spans="1:12" x14ac:dyDescent="0.25">
      <c r="A813" s="13">
        <f t="shared" si="21"/>
        <v>39981</v>
      </c>
      <c r="B813" s="49">
        <v>208</v>
      </c>
      <c r="C813" s="49">
        <v>247</v>
      </c>
      <c r="D813" s="49">
        <v>0</v>
      </c>
      <c r="E813" s="49">
        <v>666</v>
      </c>
      <c r="F813" s="104">
        <v>732</v>
      </c>
      <c r="G813" s="49">
        <v>1887</v>
      </c>
      <c r="H813" s="49">
        <f t="shared" si="18"/>
        <v>455</v>
      </c>
      <c r="I813" s="114">
        <f t="shared" si="20"/>
        <v>3008</v>
      </c>
      <c r="J813" s="224">
        <v>1931.042483350461</v>
      </c>
      <c r="K813" s="47">
        <f t="shared" si="22"/>
        <v>24</v>
      </c>
      <c r="L813" s="219">
        <f t="shared" si="19"/>
        <v>39977</v>
      </c>
    </row>
    <row r="814" spans="1:12" x14ac:dyDescent="0.25">
      <c r="A814" s="13">
        <f t="shared" si="21"/>
        <v>39988</v>
      </c>
      <c r="B814" s="49">
        <v>151</v>
      </c>
      <c r="C814" s="49">
        <v>178</v>
      </c>
      <c r="D814" s="92">
        <v>244</v>
      </c>
      <c r="E814" s="49">
        <v>400</v>
      </c>
      <c r="F814" s="49">
        <v>1042</v>
      </c>
      <c r="G814" s="49">
        <v>3086</v>
      </c>
      <c r="H814" s="49">
        <f t="shared" si="18"/>
        <v>329</v>
      </c>
      <c r="I814" s="114">
        <f t="shared" si="20"/>
        <v>4059</v>
      </c>
      <c r="J814" s="224">
        <v>1102.8528841405634</v>
      </c>
      <c r="K814" s="47">
        <f t="shared" si="22"/>
        <v>25</v>
      </c>
      <c r="L814" s="219">
        <f t="shared" si="19"/>
        <v>39984</v>
      </c>
    </row>
    <row r="815" spans="1:12" x14ac:dyDescent="0.25">
      <c r="A815" s="13">
        <f t="shared" si="21"/>
        <v>39995</v>
      </c>
      <c r="B815" s="49">
        <v>48</v>
      </c>
      <c r="C815" s="49">
        <v>231</v>
      </c>
      <c r="D815" s="49">
        <v>55</v>
      </c>
      <c r="E815" s="49">
        <v>301</v>
      </c>
      <c r="F815" s="49">
        <v>625</v>
      </c>
      <c r="G815" s="49">
        <v>3271</v>
      </c>
      <c r="H815" s="49">
        <f t="shared" si="18"/>
        <v>279</v>
      </c>
      <c r="I815" s="114">
        <f t="shared" si="20"/>
        <v>3906</v>
      </c>
      <c r="J815" s="224">
        <v>1679.0578182764557</v>
      </c>
      <c r="K815" s="47">
        <f t="shared" si="22"/>
        <v>26</v>
      </c>
      <c r="L815" s="219">
        <f t="shared" si="19"/>
        <v>39991</v>
      </c>
    </row>
    <row r="816" spans="1:12" x14ac:dyDescent="0.25">
      <c r="A816" s="13">
        <f t="shared" si="21"/>
        <v>40002</v>
      </c>
      <c r="B816" s="49">
        <v>171</v>
      </c>
      <c r="C816" s="49">
        <v>307</v>
      </c>
      <c r="D816" s="49">
        <v>74</v>
      </c>
      <c r="E816" s="49">
        <v>822</v>
      </c>
      <c r="F816" s="49">
        <v>713</v>
      </c>
      <c r="G816" s="49">
        <v>2692</v>
      </c>
      <c r="H816" s="49">
        <f t="shared" si="18"/>
        <v>478</v>
      </c>
      <c r="I816" s="114">
        <f t="shared" si="20"/>
        <v>4066</v>
      </c>
      <c r="J816" s="224">
        <v>1455.631415244171</v>
      </c>
      <c r="K816" s="47">
        <f t="shared" si="22"/>
        <v>27</v>
      </c>
      <c r="L816" s="219">
        <f t="shared" si="19"/>
        <v>39998</v>
      </c>
    </row>
    <row r="817" spans="1:12" x14ac:dyDescent="0.25">
      <c r="A817" s="13">
        <f t="shared" si="21"/>
        <v>40009</v>
      </c>
      <c r="B817" s="49">
        <v>277</v>
      </c>
      <c r="C817" s="49">
        <v>211</v>
      </c>
      <c r="D817" s="49">
        <v>3</v>
      </c>
      <c r="E817" s="49">
        <v>717</v>
      </c>
      <c r="F817" s="49">
        <v>457</v>
      </c>
      <c r="G817" s="49">
        <v>3706</v>
      </c>
      <c r="H817" s="49">
        <f t="shared" si="18"/>
        <v>488</v>
      </c>
      <c r="I817" s="114">
        <f t="shared" si="20"/>
        <v>4914</v>
      </c>
      <c r="J817" s="224">
        <v>1044.8964111735422</v>
      </c>
      <c r="K817" s="47">
        <f t="shared" si="22"/>
        <v>28</v>
      </c>
      <c r="L817" s="221">
        <f t="shared" si="19"/>
        <v>40005</v>
      </c>
    </row>
    <row r="818" spans="1:12" x14ac:dyDescent="0.25">
      <c r="A818" s="13">
        <f t="shared" si="21"/>
        <v>40016</v>
      </c>
      <c r="B818" s="49">
        <v>199</v>
      </c>
      <c r="C818" s="49">
        <v>0</v>
      </c>
      <c r="D818" s="49">
        <v>385</v>
      </c>
      <c r="E818" s="49">
        <v>546</v>
      </c>
      <c r="F818" s="49">
        <v>646</v>
      </c>
      <c r="G818" s="49">
        <v>3739</v>
      </c>
      <c r="H818" s="49">
        <f t="shared" si="18"/>
        <v>199</v>
      </c>
      <c r="I818" s="114">
        <f t="shared" si="20"/>
        <v>4869</v>
      </c>
      <c r="J818" s="224">
        <v>1500.1487060739119</v>
      </c>
      <c r="K818" s="47">
        <f t="shared" si="22"/>
        <v>29</v>
      </c>
      <c r="L818" s="219">
        <f t="shared" si="19"/>
        <v>40012</v>
      </c>
    </row>
    <row r="819" spans="1:12" x14ac:dyDescent="0.25">
      <c r="A819" s="13">
        <f t="shared" si="21"/>
        <v>40023</v>
      </c>
      <c r="B819" s="49">
        <v>94</v>
      </c>
      <c r="C819" s="49">
        <v>1</v>
      </c>
      <c r="D819" s="49">
        <v>439</v>
      </c>
      <c r="E819" s="49">
        <v>778</v>
      </c>
      <c r="F819" s="49">
        <v>673</v>
      </c>
      <c r="G819" s="49">
        <v>3490</v>
      </c>
      <c r="H819" s="49">
        <f t="shared" si="18"/>
        <v>95</v>
      </c>
      <c r="I819" s="114">
        <f t="shared" si="20"/>
        <v>4802</v>
      </c>
      <c r="J819" s="224">
        <v>1540.4662524857526</v>
      </c>
      <c r="K819" s="47">
        <f t="shared" si="22"/>
        <v>30</v>
      </c>
      <c r="L819" s="219">
        <f t="shared" si="19"/>
        <v>40019</v>
      </c>
    </row>
    <row r="820" spans="1:12" x14ac:dyDescent="0.25">
      <c r="A820" s="13">
        <f t="shared" si="21"/>
        <v>40030</v>
      </c>
      <c r="B820" s="49">
        <v>146</v>
      </c>
      <c r="C820" s="49">
        <v>98</v>
      </c>
      <c r="D820" s="49">
        <v>96</v>
      </c>
      <c r="E820" s="49">
        <v>825</v>
      </c>
      <c r="F820" s="49">
        <v>564</v>
      </c>
      <c r="G820" s="49">
        <v>2662</v>
      </c>
      <c r="H820" s="49">
        <f t="shared" si="18"/>
        <v>244</v>
      </c>
      <c r="I820" s="114">
        <f t="shared" si="20"/>
        <v>3827</v>
      </c>
      <c r="J820" s="224">
        <v>1430.4329487367704</v>
      </c>
      <c r="K820" s="47">
        <f t="shared" si="22"/>
        <v>31</v>
      </c>
      <c r="L820" s="219">
        <f t="shared" si="19"/>
        <v>40026</v>
      </c>
    </row>
    <row r="821" spans="1:12" x14ac:dyDescent="0.25">
      <c r="A821" s="13">
        <f t="shared" si="21"/>
        <v>40037</v>
      </c>
      <c r="B821" s="49">
        <v>117</v>
      </c>
      <c r="C821" s="49">
        <v>110</v>
      </c>
      <c r="D821" s="49">
        <v>452</v>
      </c>
      <c r="E821" s="49">
        <v>554</v>
      </c>
      <c r="F821" s="49">
        <v>642</v>
      </c>
      <c r="G821" s="49">
        <v>4188</v>
      </c>
      <c r="H821" s="49">
        <f t="shared" si="18"/>
        <v>227</v>
      </c>
      <c r="I821" s="114">
        <f t="shared" si="20"/>
        <v>5421</v>
      </c>
      <c r="J821" s="224">
        <v>1090.2536508868632</v>
      </c>
      <c r="K821" s="47">
        <f t="shared" si="22"/>
        <v>32</v>
      </c>
      <c r="L821" s="219">
        <f t="shared" si="19"/>
        <v>40033</v>
      </c>
    </row>
    <row r="822" spans="1:12" x14ac:dyDescent="0.25">
      <c r="A822" s="13">
        <f t="shared" si="21"/>
        <v>40044</v>
      </c>
      <c r="B822" s="49">
        <v>130</v>
      </c>
      <c r="C822" s="49">
        <v>0</v>
      </c>
      <c r="D822" s="49">
        <v>98</v>
      </c>
      <c r="E822" s="49">
        <v>971</v>
      </c>
      <c r="F822" s="49">
        <v>737</v>
      </c>
      <c r="G822" s="49">
        <v>2981</v>
      </c>
      <c r="H822" s="49">
        <f t="shared" si="18"/>
        <v>130</v>
      </c>
      <c r="I822" s="114">
        <f t="shared" si="20"/>
        <v>4180</v>
      </c>
      <c r="J822" s="224">
        <v>1390.9553512085095</v>
      </c>
      <c r="K822" s="47">
        <f t="shared" si="22"/>
        <v>33</v>
      </c>
      <c r="L822" s="219">
        <f t="shared" si="19"/>
        <v>40040</v>
      </c>
    </row>
    <row r="823" spans="1:12" x14ac:dyDescent="0.25">
      <c r="A823" s="13">
        <f t="shared" si="21"/>
        <v>40051</v>
      </c>
      <c r="B823" s="49">
        <v>293</v>
      </c>
      <c r="C823" s="49">
        <v>2</v>
      </c>
      <c r="D823" s="49">
        <v>476</v>
      </c>
      <c r="E823" s="49">
        <v>949</v>
      </c>
      <c r="F823" s="49">
        <v>738</v>
      </c>
      <c r="G823" s="49">
        <v>2607</v>
      </c>
      <c r="H823" s="49">
        <f t="shared" si="18"/>
        <v>295</v>
      </c>
      <c r="I823" s="114">
        <f t="shared" si="20"/>
        <v>4327</v>
      </c>
      <c r="J823" s="224">
        <v>1532.9067125335328</v>
      </c>
      <c r="K823" s="47">
        <f t="shared" si="22"/>
        <v>34</v>
      </c>
      <c r="L823" s="219">
        <f t="shared" si="19"/>
        <v>40047</v>
      </c>
    </row>
    <row r="824" spans="1:12" x14ac:dyDescent="0.25">
      <c r="A824" s="13">
        <f t="shared" si="21"/>
        <v>40058</v>
      </c>
      <c r="B824" s="49">
        <v>280</v>
      </c>
      <c r="C824" s="49">
        <v>1</v>
      </c>
      <c r="D824" s="49">
        <v>487</v>
      </c>
      <c r="E824" s="49">
        <v>981</v>
      </c>
      <c r="F824" s="49">
        <v>305</v>
      </c>
      <c r="G824" s="49">
        <v>3005</v>
      </c>
      <c r="H824" s="49">
        <f t="shared" si="18"/>
        <v>281</v>
      </c>
      <c r="I824" s="114">
        <f t="shared" si="20"/>
        <v>4754</v>
      </c>
      <c r="J824" s="224">
        <v>1743.733882312117</v>
      </c>
      <c r="K824" s="47">
        <f t="shared" si="22"/>
        <v>35</v>
      </c>
      <c r="L824" s="219">
        <f t="shared" si="19"/>
        <v>40054</v>
      </c>
    </row>
    <row r="825" spans="1:12" x14ac:dyDescent="0.25">
      <c r="A825" s="13">
        <f t="shared" si="21"/>
        <v>40065</v>
      </c>
      <c r="B825" s="49">
        <v>231</v>
      </c>
      <c r="C825" s="49">
        <v>137</v>
      </c>
      <c r="D825" s="49">
        <v>391</v>
      </c>
      <c r="E825" s="49">
        <v>954</v>
      </c>
      <c r="F825" s="49">
        <v>708</v>
      </c>
      <c r="G825" s="49">
        <v>3126</v>
      </c>
      <c r="H825" s="49">
        <f t="shared" si="18"/>
        <v>368</v>
      </c>
      <c r="I825" s="114">
        <f t="shared" si="20"/>
        <v>4839</v>
      </c>
      <c r="J825" s="224">
        <v>1411.9540732980099</v>
      </c>
      <c r="K825" s="47">
        <f t="shared" si="22"/>
        <v>36</v>
      </c>
      <c r="L825" s="219">
        <f t="shared" si="19"/>
        <v>40061</v>
      </c>
    </row>
    <row r="826" spans="1:12" x14ac:dyDescent="0.25">
      <c r="A826" s="13">
        <f t="shared" si="21"/>
        <v>40072</v>
      </c>
      <c r="B826" s="49">
        <v>286</v>
      </c>
      <c r="C826" s="49">
        <v>20</v>
      </c>
      <c r="D826" s="49">
        <v>296</v>
      </c>
      <c r="E826" s="49">
        <v>998</v>
      </c>
      <c r="F826" s="49">
        <v>337</v>
      </c>
      <c r="G826" s="49">
        <v>3579</v>
      </c>
      <c r="H826" s="49">
        <f t="shared" si="18"/>
        <v>306</v>
      </c>
      <c r="I826" s="114">
        <f t="shared" si="20"/>
        <v>5179</v>
      </c>
      <c r="J826" s="224">
        <v>1124.6915551136437</v>
      </c>
      <c r="K826" s="47">
        <f t="shared" si="22"/>
        <v>37</v>
      </c>
      <c r="L826" s="219">
        <f t="shared" si="19"/>
        <v>40068</v>
      </c>
    </row>
    <row r="827" spans="1:12" x14ac:dyDescent="0.25">
      <c r="A827" s="13">
        <f t="shared" si="21"/>
        <v>40079</v>
      </c>
      <c r="B827" s="49">
        <v>209</v>
      </c>
      <c r="C827" s="49">
        <v>20</v>
      </c>
      <c r="D827" s="49">
        <v>218</v>
      </c>
      <c r="E827" s="49">
        <v>1511</v>
      </c>
      <c r="F827" s="49">
        <v>683</v>
      </c>
      <c r="G827" s="49">
        <v>2944</v>
      </c>
      <c r="H827" s="49">
        <f t="shared" si="18"/>
        <v>229</v>
      </c>
      <c r="I827" s="114">
        <f t="shared" si="20"/>
        <v>4902</v>
      </c>
      <c r="J827" s="224">
        <v>1044.8964111735422</v>
      </c>
      <c r="K827" s="47">
        <f t="shared" si="22"/>
        <v>38</v>
      </c>
      <c r="L827" s="219">
        <f t="shared" si="19"/>
        <v>40075</v>
      </c>
    </row>
    <row r="828" spans="1:12" x14ac:dyDescent="0.25">
      <c r="A828" s="13">
        <f t="shared" si="21"/>
        <v>40086</v>
      </c>
      <c r="B828" s="49">
        <v>254</v>
      </c>
      <c r="C828" s="49">
        <v>5</v>
      </c>
      <c r="D828" s="49">
        <v>433</v>
      </c>
      <c r="E828" s="49">
        <v>411</v>
      </c>
      <c r="F828" s="49">
        <v>661</v>
      </c>
      <c r="G828" s="49">
        <v>2808</v>
      </c>
      <c r="H828" s="49">
        <f t="shared" si="18"/>
        <v>259</v>
      </c>
      <c r="I828" s="114">
        <f t="shared" si="20"/>
        <v>3911</v>
      </c>
      <c r="J828" s="224">
        <v>1123.8516062300639</v>
      </c>
      <c r="K828" s="47">
        <f t="shared" si="22"/>
        <v>39</v>
      </c>
      <c r="L828" s="219">
        <f t="shared" si="19"/>
        <v>40082</v>
      </c>
    </row>
    <row r="829" spans="1:12" x14ac:dyDescent="0.25">
      <c r="A829" s="13">
        <f t="shared" si="21"/>
        <v>40093</v>
      </c>
      <c r="B829" s="49">
        <v>353</v>
      </c>
      <c r="C829" s="49">
        <v>69</v>
      </c>
      <c r="D829" s="49">
        <v>784</v>
      </c>
      <c r="E829" s="49">
        <v>1895</v>
      </c>
      <c r="F829" s="49">
        <v>553</v>
      </c>
      <c r="G829" s="49">
        <v>3748</v>
      </c>
      <c r="H829" s="49">
        <f t="shared" si="18"/>
        <v>422</v>
      </c>
      <c r="I829" s="114">
        <f t="shared" si="20"/>
        <v>6849</v>
      </c>
      <c r="J829" s="224">
        <v>983.58014267220096</v>
      </c>
      <c r="K829" s="47">
        <f t="shared" si="22"/>
        <v>40</v>
      </c>
      <c r="L829" s="219">
        <f t="shared" si="19"/>
        <v>40089</v>
      </c>
    </row>
    <row r="830" spans="1:12" x14ac:dyDescent="0.25">
      <c r="A830" s="13">
        <f t="shared" si="21"/>
        <v>40100</v>
      </c>
      <c r="B830" s="49">
        <v>459</v>
      </c>
      <c r="C830" s="49">
        <v>364</v>
      </c>
      <c r="D830" s="49">
        <v>1350</v>
      </c>
      <c r="E830" s="49">
        <v>1850</v>
      </c>
      <c r="F830" s="49">
        <v>580</v>
      </c>
      <c r="G830" s="49">
        <v>4800</v>
      </c>
      <c r="H830" s="49">
        <f t="shared" si="18"/>
        <v>823</v>
      </c>
      <c r="I830" s="114">
        <f t="shared" si="20"/>
        <v>8823</v>
      </c>
      <c r="J830" s="224">
        <v>1792.450917559758</v>
      </c>
      <c r="K830" s="47">
        <f t="shared" si="22"/>
        <v>41</v>
      </c>
      <c r="L830" s="221">
        <f t="shared" si="19"/>
        <v>40096</v>
      </c>
    </row>
    <row r="831" spans="1:12" x14ac:dyDescent="0.25">
      <c r="A831" s="13">
        <f t="shared" si="21"/>
        <v>40107</v>
      </c>
      <c r="B831" s="49">
        <v>344</v>
      </c>
      <c r="C831" s="49">
        <v>741</v>
      </c>
      <c r="D831" s="49">
        <v>1453</v>
      </c>
      <c r="E831" s="49">
        <v>1639</v>
      </c>
      <c r="F831" s="49">
        <v>621</v>
      </c>
      <c r="G831" s="49">
        <v>4805</v>
      </c>
      <c r="H831" s="49">
        <f t="shared" si="18"/>
        <v>1085</v>
      </c>
      <c r="I831" s="114">
        <f t="shared" si="20"/>
        <v>8982</v>
      </c>
      <c r="J831" s="224">
        <v>1779.0117354224778</v>
      </c>
      <c r="K831" s="47">
        <f t="shared" si="22"/>
        <v>42</v>
      </c>
      <c r="L831" s="219">
        <f t="shared" si="19"/>
        <v>40103</v>
      </c>
    </row>
    <row r="832" spans="1:12" x14ac:dyDescent="0.25">
      <c r="A832" s="13">
        <f t="shared" si="21"/>
        <v>40114</v>
      </c>
      <c r="B832" s="49">
        <v>368</v>
      </c>
      <c r="C832" s="49">
        <v>406</v>
      </c>
      <c r="D832" s="49">
        <v>2002</v>
      </c>
      <c r="E832" s="49">
        <v>1646</v>
      </c>
      <c r="F832" s="92">
        <v>668</v>
      </c>
      <c r="G832" s="49">
        <v>4010</v>
      </c>
      <c r="H832" s="49">
        <f t="shared" si="18"/>
        <v>774</v>
      </c>
      <c r="I832" s="114">
        <f t="shared" si="20"/>
        <v>8432</v>
      </c>
      <c r="J832" s="224">
        <v>1581.6237477811737</v>
      </c>
      <c r="K832" s="47">
        <f t="shared" si="22"/>
        <v>43</v>
      </c>
      <c r="L832" s="219">
        <f t="shared" si="19"/>
        <v>40110</v>
      </c>
    </row>
    <row r="833" spans="1:12" x14ac:dyDescent="0.25">
      <c r="A833" s="13">
        <f t="shared" si="21"/>
        <v>40121</v>
      </c>
      <c r="B833" s="49">
        <v>335</v>
      </c>
      <c r="C833" s="49">
        <v>786</v>
      </c>
      <c r="D833" s="49">
        <v>1525</v>
      </c>
      <c r="E833" s="49">
        <v>2481</v>
      </c>
      <c r="F833" s="49">
        <v>574</v>
      </c>
      <c r="G833" s="49">
        <v>5083</v>
      </c>
      <c r="H833" s="49">
        <f t="shared" si="18"/>
        <v>1121</v>
      </c>
      <c r="I833" s="114">
        <f t="shared" si="20"/>
        <v>10210</v>
      </c>
      <c r="J833" s="224">
        <v>1506.8682971425519</v>
      </c>
      <c r="K833" s="47">
        <f t="shared" si="22"/>
        <v>44</v>
      </c>
      <c r="L833" s="219">
        <f t="shared" si="19"/>
        <v>40117</v>
      </c>
    </row>
    <row r="834" spans="1:12" x14ac:dyDescent="0.25">
      <c r="A834" s="13">
        <f t="shared" si="21"/>
        <v>40128</v>
      </c>
      <c r="B834" s="49">
        <v>503</v>
      </c>
      <c r="C834" s="49">
        <v>645</v>
      </c>
      <c r="D834" s="49">
        <v>1837</v>
      </c>
      <c r="E834" s="49">
        <v>2832</v>
      </c>
      <c r="F834" s="49">
        <v>842</v>
      </c>
      <c r="G834" s="92">
        <v>4051</v>
      </c>
      <c r="H834" s="49">
        <f t="shared" si="18"/>
        <v>1148</v>
      </c>
      <c r="I834" s="114">
        <f t="shared" si="20"/>
        <v>9868</v>
      </c>
      <c r="J834" s="224">
        <v>1847.8875438760394</v>
      </c>
      <c r="K834" s="47">
        <f t="shared" si="22"/>
        <v>45</v>
      </c>
      <c r="L834" s="219">
        <f t="shared" si="19"/>
        <v>40124</v>
      </c>
    </row>
    <row r="835" spans="1:12" x14ac:dyDescent="0.25">
      <c r="A835" s="13">
        <f t="shared" si="21"/>
        <v>40135</v>
      </c>
      <c r="B835" s="49">
        <v>351</v>
      </c>
      <c r="C835" s="49">
        <v>795</v>
      </c>
      <c r="D835" s="49">
        <v>1523</v>
      </c>
      <c r="E835" s="49">
        <v>3079</v>
      </c>
      <c r="F835" s="49">
        <v>312</v>
      </c>
      <c r="G835" s="49">
        <v>3890</v>
      </c>
      <c r="H835" s="49">
        <f t="shared" si="18"/>
        <v>1146</v>
      </c>
      <c r="I835" s="114">
        <f t="shared" si="20"/>
        <v>9638</v>
      </c>
      <c r="J835" s="224">
        <v>2212.4253593497674</v>
      </c>
      <c r="K835" s="47">
        <f t="shared" si="22"/>
        <v>46</v>
      </c>
      <c r="L835" s="219">
        <f t="shared" si="19"/>
        <v>40131</v>
      </c>
    </row>
    <row r="836" spans="1:12" x14ac:dyDescent="0.25">
      <c r="A836" s="13">
        <f t="shared" ref="A836:A899" si="23">A835+7</f>
        <v>40142</v>
      </c>
      <c r="B836" s="49">
        <v>438</v>
      </c>
      <c r="C836" s="49">
        <v>911</v>
      </c>
      <c r="D836" s="49">
        <v>1825</v>
      </c>
      <c r="E836" s="49">
        <v>2716</v>
      </c>
      <c r="F836" s="49">
        <v>687</v>
      </c>
      <c r="G836" s="49">
        <v>3874</v>
      </c>
      <c r="H836" s="49">
        <f t="shared" si="18"/>
        <v>1349</v>
      </c>
      <c r="I836" s="114">
        <f t="shared" si="20"/>
        <v>9764</v>
      </c>
      <c r="J836" s="224">
        <v>1731.974597941997</v>
      </c>
      <c r="K836" s="47">
        <f t="shared" si="22"/>
        <v>47</v>
      </c>
      <c r="L836" s="219">
        <f t="shared" si="19"/>
        <v>40138</v>
      </c>
    </row>
    <row r="837" spans="1:12" x14ac:dyDescent="0.25">
      <c r="A837" s="13">
        <f t="shared" si="23"/>
        <v>40149</v>
      </c>
      <c r="B837" s="49">
        <v>405</v>
      </c>
      <c r="C837" s="49">
        <v>695</v>
      </c>
      <c r="D837" s="49">
        <v>1431</v>
      </c>
      <c r="E837" s="49">
        <v>1545</v>
      </c>
      <c r="F837" s="49">
        <v>415</v>
      </c>
      <c r="G837" s="49">
        <v>4502</v>
      </c>
      <c r="H837" s="49">
        <f t="shared" si="18"/>
        <v>1100</v>
      </c>
      <c r="I837" s="114">
        <f t="shared" si="20"/>
        <v>8578</v>
      </c>
      <c r="J837" s="224">
        <v>1521.9873770469924</v>
      </c>
      <c r="K837" s="47">
        <f t="shared" si="22"/>
        <v>48</v>
      </c>
      <c r="L837" s="219">
        <f t="shared" si="19"/>
        <v>40145</v>
      </c>
    </row>
    <row r="838" spans="1:12" x14ac:dyDescent="0.25">
      <c r="A838" s="13">
        <f t="shared" si="23"/>
        <v>40156</v>
      </c>
      <c r="B838" s="49">
        <v>551</v>
      </c>
      <c r="C838" s="49">
        <v>715</v>
      </c>
      <c r="D838" s="92">
        <v>984</v>
      </c>
      <c r="E838" s="49">
        <v>1342</v>
      </c>
      <c r="F838" s="49">
        <v>1164</v>
      </c>
      <c r="G838" s="49">
        <v>4361</v>
      </c>
      <c r="H838" s="49">
        <f t="shared" si="18"/>
        <v>1266</v>
      </c>
      <c r="I838" s="114">
        <f t="shared" si="20"/>
        <v>7953</v>
      </c>
      <c r="J838" s="224">
        <v>1212.0462390059658</v>
      </c>
      <c r="K838" s="47">
        <f t="shared" si="22"/>
        <v>49</v>
      </c>
      <c r="L838" s="219">
        <f t="shared" si="19"/>
        <v>40152</v>
      </c>
    </row>
    <row r="839" spans="1:12" x14ac:dyDescent="0.25">
      <c r="A839" s="13">
        <f t="shared" si="23"/>
        <v>40163</v>
      </c>
      <c r="B839" s="49">
        <v>407</v>
      </c>
      <c r="C839" s="49">
        <v>853</v>
      </c>
      <c r="D839" s="49">
        <v>840</v>
      </c>
      <c r="E839" s="49">
        <v>1589</v>
      </c>
      <c r="F839" s="49">
        <v>448</v>
      </c>
      <c r="G839" s="92">
        <v>3634</v>
      </c>
      <c r="H839" s="49">
        <f t="shared" si="18"/>
        <v>1260</v>
      </c>
      <c r="I839" s="114">
        <f t="shared" si="20"/>
        <v>7323</v>
      </c>
      <c r="J839" s="224">
        <v>1987.3190585503223</v>
      </c>
      <c r="K839" s="47">
        <f t="shared" si="22"/>
        <v>50</v>
      </c>
      <c r="L839" s="219">
        <f t="shared" si="19"/>
        <v>40159</v>
      </c>
    </row>
    <row r="840" spans="1:12" x14ac:dyDescent="0.25">
      <c r="A840" s="13">
        <f t="shared" si="23"/>
        <v>40170</v>
      </c>
      <c r="B840" s="49">
        <v>482</v>
      </c>
      <c r="C840" s="49">
        <v>847</v>
      </c>
      <c r="D840" s="49">
        <v>417</v>
      </c>
      <c r="E840" s="49">
        <v>1330</v>
      </c>
      <c r="F840" s="49">
        <v>727</v>
      </c>
      <c r="G840" s="49">
        <v>4329</v>
      </c>
      <c r="H840" s="49">
        <f t="shared" si="18"/>
        <v>1329</v>
      </c>
      <c r="I840" s="114">
        <f t="shared" si="20"/>
        <v>7405</v>
      </c>
      <c r="J840" s="224">
        <v>1355.6774980981488</v>
      </c>
      <c r="K840" s="47">
        <f t="shared" si="22"/>
        <v>51</v>
      </c>
      <c r="L840" s="219">
        <f t="shared" si="19"/>
        <v>40166</v>
      </c>
    </row>
    <row r="841" spans="1:12" x14ac:dyDescent="0.25">
      <c r="A841" s="13">
        <f t="shared" si="23"/>
        <v>40177</v>
      </c>
      <c r="B841" s="49">
        <v>155</v>
      </c>
      <c r="C841" s="49">
        <v>504</v>
      </c>
      <c r="D841" s="49">
        <v>277</v>
      </c>
      <c r="E841" s="49">
        <v>1068</v>
      </c>
      <c r="F841" s="49">
        <v>300</v>
      </c>
      <c r="G841" s="49">
        <v>2395</v>
      </c>
      <c r="H841" s="49">
        <f t="shared" ref="H841:H848" si="24">B841+C841</f>
        <v>659</v>
      </c>
      <c r="I841" s="114">
        <f t="shared" si="20"/>
        <v>4399</v>
      </c>
      <c r="J841" s="224">
        <v>1476.6301373336714</v>
      </c>
      <c r="K841" s="47">
        <f t="shared" si="22"/>
        <v>52</v>
      </c>
      <c r="L841" s="219">
        <f t="shared" si="19"/>
        <v>40173</v>
      </c>
    </row>
    <row r="842" spans="1:12" x14ac:dyDescent="0.25">
      <c r="A842" s="13">
        <f t="shared" si="23"/>
        <v>40184</v>
      </c>
      <c r="B842" s="49">
        <v>223</v>
      </c>
      <c r="C842" s="49">
        <v>776</v>
      </c>
      <c r="D842" s="49">
        <v>490</v>
      </c>
      <c r="E842" s="49">
        <v>1429</v>
      </c>
      <c r="F842" s="92">
        <v>829</v>
      </c>
      <c r="G842" s="49">
        <v>2772</v>
      </c>
      <c r="H842" s="49">
        <f t="shared" si="24"/>
        <v>999</v>
      </c>
      <c r="I842" s="114">
        <f t="shared" si="20"/>
        <v>5690</v>
      </c>
      <c r="J842" s="224">
        <v>1346.4380603787686</v>
      </c>
      <c r="K842" s="47">
        <v>1</v>
      </c>
      <c r="L842" s="219">
        <f t="shared" ref="L842:L854" si="25">L841+7</f>
        <v>40180</v>
      </c>
    </row>
    <row r="843" spans="1:12" x14ac:dyDescent="0.25">
      <c r="A843" s="13">
        <f t="shared" si="23"/>
        <v>40191</v>
      </c>
      <c r="B843" s="49">
        <v>620</v>
      </c>
      <c r="C843" s="49">
        <v>1098</v>
      </c>
      <c r="D843" s="49">
        <v>278</v>
      </c>
      <c r="E843" s="49">
        <v>1088</v>
      </c>
      <c r="F843" s="92">
        <v>535</v>
      </c>
      <c r="G843" s="49">
        <v>2661</v>
      </c>
      <c r="H843" s="49">
        <f t="shared" si="24"/>
        <v>1718</v>
      </c>
      <c r="I843" s="114">
        <f t="shared" si="20"/>
        <v>5745</v>
      </c>
      <c r="J843" s="224">
        <v>2038.9540536641664</v>
      </c>
      <c r="K843" s="47">
        <v>2</v>
      </c>
      <c r="L843" s="221">
        <f t="shared" si="25"/>
        <v>40187</v>
      </c>
    </row>
    <row r="844" spans="1:12" x14ac:dyDescent="0.25">
      <c r="A844" s="13">
        <f t="shared" si="23"/>
        <v>40198</v>
      </c>
      <c r="B844" s="49">
        <v>440</v>
      </c>
      <c r="C844" s="49">
        <v>699</v>
      </c>
      <c r="D844" s="49">
        <v>570</v>
      </c>
      <c r="E844" s="49">
        <v>1138</v>
      </c>
      <c r="F844" s="92">
        <v>688</v>
      </c>
      <c r="G844" s="49">
        <v>3748</v>
      </c>
      <c r="H844" s="49">
        <f t="shared" si="24"/>
        <v>1139</v>
      </c>
      <c r="I844" s="114">
        <f t="shared" si="20"/>
        <v>6595</v>
      </c>
      <c r="J844" s="224">
        <v>1205.6808568955569</v>
      </c>
      <c r="K844" s="47">
        <v>3</v>
      </c>
      <c r="L844" s="219">
        <f t="shared" si="25"/>
        <v>40194</v>
      </c>
    </row>
    <row r="845" spans="1:12" x14ac:dyDescent="0.25">
      <c r="A845" s="13">
        <f t="shared" si="23"/>
        <v>40205</v>
      </c>
      <c r="B845" s="49">
        <v>447</v>
      </c>
      <c r="C845" s="49">
        <v>666</v>
      </c>
      <c r="D845" s="49">
        <v>716</v>
      </c>
      <c r="E845" s="49">
        <v>1807</v>
      </c>
      <c r="F845" s="92">
        <v>442</v>
      </c>
      <c r="G845" s="49">
        <v>3975</v>
      </c>
      <c r="H845" s="49">
        <f t="shared" si="24"/>
        <v>1113</v>
      </c>
      <c r="I845" s="114">
        <f t="shared" si="20"/>
        <v>7611</v>
      </c>
      <c r="J845" s="224">
        <v>2065.4914166185808</v>
      </c>
      <c r="K845" s="47">
        <v>4</v>
      </c>
      <c r="L845" s="219">
        <f t="shared" si="25"/>
        <v>40201</v>
      </c>
    </row>
    <row r="846" spans="1:12" x14ac:dyDescent="0.25">
      <c r="A846" s="13">
        <f t="shared" si="23"/>
        <v>40212</v>
      </c>
      <c r="B846" s="92">
        <v>431</v>
      </c>
      <c r="C846" s="92">
        <v>815</v>
      </c>
      <c r="D846" s="92">
        <v>589</v>
      </c>
      <c r="E846" s="92">
        <v>2122</v>
      </c>
      <c r="F846" s="92">
        <v>672</v>
      </c>
      <c r="G846" s="92">
        <v>2627</v>
      </c>
      <c r="H846" s="92">
        <f t="shared" si="24"/>
        <v>1246</v>
      </c>
      <c r="I846" s="114">
        <f t="shared" si="20"/>
        <v>6584</v>
      </c>
      <c r="J846" s="224">
        <v>1293.2541546451243</v>
      </c>
      <c r="K846" s="47">
        <v>5</v>
      </c>
      <c r="L846" s="219">
        <f t="shared" si="25"/>
        <v>40208</v>
      </c>
    </row>
    <row r="847" spans="1:12" x14ac:dyDescent="0.25">
      <c r="A847" s="13">
        <f t="shared" si="23"/>
        <v>40219</v>
      </c>
      <c r="B847" s="49">
        <v>337</v>
      </c>
      <c r="C847" s="49">
        <v>725</v>
      </c>
      <c r="D847" s="49">
        <v>783</v>
      </c>
      <c r="E847" s="49">
        <v>2143</v>
      </c>
      <c r="F847" s="92">
        <v>949</v>
      </c>
      <c r="G847" s="49">
        <v>3481</v>
      </c>
      <c r="H847" s="49">
        <f t="shared" si="24"/>
        <v>1062</v>
      </c>
      <c r="I847" s="114">
        <f t="shared" si="20"/>
        <v>7469</v>
      </c>
      <c r="J847" s="224">
        <v>1653.2777120600115</v>
      </c>
      <c r="K847" s="47">
        <v>6</v>
      </c>
      <c r="L847" s="219">
        <f t="shared" si="25"/>
        <v>40215</v>
      </c>
    </row>
    <row r="848" spans="1:12" x14ac:dyDescent="0.25">
      <c r="A848" s="13">
        <f t="shared" si="23"/>
        <v>40226</v>
      </c>
      <c r="B848" s="49">
        <v>287</v>
      </c>
      <c r="C848" s="49">
        <v>692</v>
      </c>
      <c r="D848" s="49">
        <v>367</v>
      </c>
      <c r="E848" s="49">
        <v>1656</v>
      </c>
      <c r="F848" s="92">
        <v>962</v>
      </c>
      <c r="G848" s="49">
        <v>3387</v>
      </c>
      <c r="H848" s="49">
        <f t="shared" si="24"/>
        <v>979</v>
      </c>
      <c r="I848" s="114">
        <f t="shared" si="20"/>
        <v>6389</v>
      </c>
      <c r="J848" s="224">
        <v>1939.8812319676863</v>
      </c>
      <c r="K848" s="47">
        <v>7</v>
      </c>
      <c r="L848" s="219">
        <f t="shared" si="25"/>
        <v>40222</v>
      </c>
    </row>
    <row r="849" spans="1:12" x14ac:dyDescent="0.25">
      <c r="A849" s="13">
        <f t="shared" si="23"/>
        <v>40233</v>
      </c>
      <c r="B849" s="49">
        <v>250</v>
      </c>
      <c r="C849" s="49">
        <v>784</v>
      </c>
      <c r="D849" s="49">
        <v>230</v>
      </c>
      <c r="E849" s="49">
        <v>1419</v>
      </c>
      <c r="F849" s="92">
        <v>1172</v>
      </c>
      <c r="G849" s="49">
        <v>3665</v>
      </c>
      <c r="H849" s="49">
        <f t="shared" ref="H849:H874" si="26">B849+C849</f>
        <v>1034</v>
      </c>
      <c r="I849" s="114">
        <f t="shared" ref="I849:I912" si="27">SUM(D849:H849)-F849</f>
        <v>6348</v>
      </c>
      <c r="J849" s="224">
        <v>1249.9097951529141</v>
      </c>
      <c r="K849" s="47">
        <v>8</v>
      </c>
      <c r="L849" s="219">
        <f t="shared" si="25"/>
        <v>40229</v>
      </c>
    </row>
    <row r="850" spans="1:12" x14ac:dyDescent="0.25">
      <c r="A850" s="13">
        <f t="shared" si="23"/>
        <v>40240</v>
      </c>
      <c r="B850" s="49">
        <v>469</v>
      </c>
      <c r="C850" s="49">
        <v>867</v>
      </c>
      <c r="D850" s="49">
        <v>504</v>
      </c>
      <c r="E850" s="92">
        <v>1090</v>
      </c>
      <c r="F850" s="92">
        <v>1150</v>
      </c>
      <c r="G850" s="49">
        <v>3721</v>
      </c>
      <c r="H850" s="49">
        <f t="shared" si="26"/>
        <v>1336</v>
      </c>
      <c r="I850" s="114">
        <f t="shared" si="27"/>
        <v>6651</v>
      </c>
      <c r="J850" s="224">
        <v>1892.1139786497404</v>
      </c>
      <c r="K850" s="47">
        <v>9</v>
      </c>
      <c r="L850" s="219">
        <f t="shared" si="25"/>
        <v>40236</v>
      </c>
    </row>
    <row r="851" spans="1:12" x14ac:dyDescent="0.25">
      <c r="A851" s="13">
        <f t="shared" si="23"/>
        <v>40247</v>
      </c>
      <c r="B851" s="49">
        <v>286</v>
      </c>
      <c r="C851" s="49">
        <v>644</v>
      </c>
      <c r="D851" s="49">
        <v>555</v>
      </c>
      <c r="E851" s="49">
        <v>2221</v>
      </c>
      <c r="F851" s="92">
        <v>1160</v>
      </c>
      <c r="G851" s="49">
        <v>4125</v>
      </c>
      <c r="H851" s="49">
        <f t="shared" si="26"/>
        <v>930</v>
      </c>
      <c r="I851" s="114">
        <f t="shared" si="27"/>
        <v>7831</v>
      </c>
      <c r="J851" s="224">
        <v>2154.8338718984423</v>
      </c>
      <c r="K851" s="47">
        <v>10</v>
      </c>
      <c r="L851" s="219">
        <f t="shared" si="25"/>
        <v>40243</v>
      </c>
    </row>
    <row r="852" spans="1:12" x14ac:dyDescent="0.25">
      <c r="A852" s="13">
        <f t="shared" si="23"/>
        <v>40254</v>
      </c>
      <c r="B852" s="49">
        <v>385</v>
      </c>
      <c r="C852" s="49">
        <v>372</v>
      </c>
      <c r="D852" s="49">
        <v>226</v>
      </c>
      <c r="E852" s="92">
        <v>1580</v>
      </c>
      <c r="F852" s="92">
        <v>1165</v>
      </c>
      <c r="G852" s="49">
        <v>3230</v>
      </c>
      <c r="H852" s="49">
        <f t="shared" si="26"/>
        <v>757</v>
      </c>
      <c r="I852" s="114">
        <f t="shared" si="27"/>
        <v>5793</v>
      </c>
      <c r="J852" s="224">
        <v>2375.9785631852283</v>
      </c>
      <c r="K852" s="47">
        <v>11</v>
      </c>
      <c r="L852" s="219">
        <f t="shared" si="25"/>
        <v>40250</v>
      </c>
    </row>
    <row r="853" spans="1:12" x14ac:dyDescent="0.25">
      <c r="A853" s="13">
        <f t="shared" si="23"/>
        <v>40261</v>
      </c>
      <c r="B853" s="49">
        <v>377</v>
      </c>
      <c r="C853" s="49">
        <v>727</v>
      </c>
      <c r="D853" s="49">
        <v>594</v>
      </c>
      <c r="E853" s="49">
        <v>1169</v>
      </c>
      <c r="F853" s="92">
        <v>1117</v>
      </c>
      <c r="G853" s="49">
        <v>4147</v>
      </c>
      <c r="H853" s="49">
        <f t="shared" si="26"/>
        <v>1104</v>
      </c>
      <c r="I853" s="114">
        <f t="shared" si="27"/>
        <v>7014</v>
      </c>
      <c r="J853" s="224">
        <v>2100.8745672244663</v>
      </c>
      <c r="K853" s="47">
        <v>12</v>
      </c>
      <c r="L853" s="219">
        <f t="shared" si="25"/>
        <v>40257</v>
      </c>
    </row>
    <row r="854" spans="1:12" x14ac:dyDescent="0.25">
      <c r="A854" s="13">
        <f t="shared" si="23"/>
        <v>40268</v>
      </c>
      <c r="B854" s="49">
        <v>407</v>
      </c>
      <c r="C854" s="49">
        <v>100</v>
      </c>
      <c r="D854" s="49">
        <v>84</v>
      </c>
      <c r="E854" s="49">
        <v>1822</v>
      </c>
      <c r="F854" s="92">
        <v>552</v>
      </c>
      <c r="G854" s="49">
        <v>2804</v>
      </c>
      <c r="H854" s="49">
        <f t="shared" si="26"/>
        <v>507</v>
      </c>
      <c r="I854" s="114">
        <f t="shared" si="27"/>
        <v>5217</v>
      </c>
      <c r="J854" s="224">
        <v>2475.9359636468557</v>
      </c>
      <c r="K854" s="47">
        <v>13</v>
      </c>
      <c r="L854" s="219">
        <f t="shared" si="25"/>
        <v>40264</v>
      </c>
    </row>
    <row r="855" spans="1:12" x14ac:dyDescent="0.25">
      <c r="A855" s="13">
        <f t="shared" si="23"/>
        <v>40275</v>
      </c>
      <c r="B855" s="49">
        <v>198</v>
      </c>
      <c r="C855" s="49">
        <v>428</v>
      </c>
      <c r="D855" s="49">
        <v>200</v>
      </c>
      <c r="E855" s="49">
        <v>1616</v>
      </c>
      <c r="F855" s="92">
        <v>865</v>
      </c>
      <c r="G855" s="49">
        <v>3724</v>
      </c>
      <c r="H855" s="49">
        <f t="shared" si="26"/>
        <v>626</v>
      </c>
      <c r="I855" s="114">
        <f t="shared" si="27"/>
        <v>6166</v>
      </c>
      <c r="J855" s="224">
        <v>2030.1082660126949</v>
      </c>
      <c r="K855" s="47">
        <v>14</v>
      </c>
      <c r="L855" s="219">
        <f>L854+7</f>
        <v>40271</v>
      </c>
    </row>
    <row r="856" spans="1:12" x14ac:dyDescent="0.25">
      <c r="A856" s="13">
        <f t="shared" si="23"/>
        <v>40282</v>
      </c>
      <c r="B856" s="49">
        <v>263</v>
      </c>
      <c r="C856" s="49">
        <v>181</v>
      </c>
      <c r="D856" s="49">
        <v>222</v>
      </c>
      <c r="E856" s="49">
        <v>928</v>
      </c>
      <c r="F856" s="92">
        <v>1305</v>
      </c>
      <c r="G856" s="49">
        <v>3263</v>
      </c>
      <c r="H856" s="49">
        <f t="shared" si="26"/>
        <v>444</v>
      </c>
      <c r="I856" s="114">
        <f t="shared" si="27"/>
        <v>4857</v>
      </c>
      <c r="J856" s="224">
        <v>1954.0344922100405</v>
      </c>
      <c r="K856" s="47">
        <f>K855+1</f>
        <v>15</v>
      </c>
      <c r="L856" s="221">
        <f t="shared" ref="L856:L918" si="28">L855+7</f>
        <v>40278</v>
      </c>
    </row>
    <row r="857" spans="1:12" x14ac:dyDescent="0.25">
      <c r="A857" s="13">
        <f t="shared" si="23"/>
        <v>40289</v>
      </c>
      <c r="B857" s="49">
        <v>237</v>
      </c>
      <c r="C857" s="49">
        <v>217</v>
      </c>
      <c r="D857" s="49">
        <v>100</v>
      </c>
      <c r="E857" s="49">
        <v>1148</v>
      </c>
      <c r="F857" s="92">
        <v>1248</v>
      </c>
      <c r="G857" s="49">
        <v>3429</v>
      </c>
      <c r="H857" s="49">
        <f t="shared" si="26"/>
        <v>454</v>
      </c>
      <c r="I857" s="114">
        <f t="shared" si="27"/>
        <v>5131</v>
      </c>
      <c r="J857" s="224">
        <v>2096.4516733987307</v>
      </c>
      <c r="K857" s="47">
        <f t="shared" ref="K857:K893" si="29">K856+1</f>
        <v>16</v>
      </c>
      <c r="L857" s="219">
        <f t="shared" si="28"/>
        <v>40285</v>
      </c>
    </row>
    <row r="858" spans="1:12" x14ac:dyDescent="0.25">
      <c r="A858" s="13">
        <f t="shared" si="23"/>
        <v>40296</v>
      </c>
      <c r="B858" s="49">
        <v>205</v>
      </c>
      <c r="C858" s="49">
        <v>65</v>
      </c>
      <c r="D858" s="49">
        <v>198</v>
      </c>
      <c r="E858" s="49">
        <v>1033</v>
      </c>
      <c r="F858" s="92">
        <v>891</v>
      </c>
      <c r="G858" s="49">
        <v>2908</v>
      </c>
      <c r="H858" s="49">
        <f t="shared" si="26"/>
        <v>270</v>
      </c>
      <c r="I858" s="114">
        <f t="shared" si="27"/>
        <v>4409</v>
      </c>
      <c r="J858" s="224">
        <v>2782.0002163877671</v>
      </c>
      <c r="K858" s="47">
        <f t="shared" si="29"/>
        <v>17</v>
      </c>
      <c r="L858" s="219">
        <f t="shared" si="28"/>
        <v>40292</v>
      </c>
    </row>
    <row r="859" spans="1:12" x14ac:dyDescent="0.25">
      <c r="A859" s="13">
        <f t="shared" si="23"/>
        <v>40303</v>
      </c>
      <c r="B859" s="49">
        <v>127</v>
      </c>
      <c r="C859" s="49">
        <v>164</v>
      </c>
      <c r="D859" s="49">
        <v>107</v>
      </c>
      <c r="E859" s="49">
        <v>1190</v>
      </c>
      <c r="F859" s="92">
        <v>884</v>
      </c>
      <c r="G859" s="49">
        <v>3697</v>
      </c>
      <c r="H859" s="49">
        <f t="shared" si="26"/>
        <v>291</v>
      </c>
      <c r="I859" s="114">
        <f t="shared" si="27"/>
        <v>5285</v>
      </c>
      <c r="J859" s="224">
        <v>2059.2993652625505</v>
      </c>
      <c r="K859" s="47">
        <f t="shared" si="29"/>
        <v>18</v>
      </c>
      <c r="L859" s="219">
        <f t="shared" si="28"/>
        <v>40299</v>
      </c>
    </row>
    <row r="860" spans="1:12" x14ac:dyDescent="0.25">
      <c r="A860" s="13">
        <f t="shared" si="23"/>
        <v>40310</v>
      </c>
      <c r="B860" s="49">
        <v>212</v>
      </c>
      <c r="C860" s="49">
        <v>198</v>
      </c>
      <c r="D860" s="49">
        <v>108</v>
      </c>
      <c r="E860" s="49">
        <v>962</v>
      </c>
      <c r="F860" s="92">
        <v>1036</v>
      </c>
      <c r="G860" s="49">
        <v>2727</v>
      </c>
      <c r="H860" s="49">
        <f t="shared" si="26"/>
        <v>410</v>
      </c>
      <c r="I860" s="114">
        <f t="shared" si="27"/>
        <v>4207</v>
      </c>
      <c r="J860" s="224">
        <v>2029.2236872475478</v>
      </c>
      <c r="K860" s="47">
        <f t="shared" si="29"/>
        <v>19</v>
      </c>
      <c r="L860" s="219">
        <f t="shared" si="28"/>
        <v>40306</v>
      </c>
    </row>
    <row r="861" spans="1:12" x14ac:dyDescent="0.25">
      <c r="A861" s="13">
        <f t="shared" si="23"/>
        <v>40317</v>
      </c>
      <c r="B861" s="49">
        <v>121</v>
      </c>
      <c r="C861" s="49">
        <v>6</v>
      </c>
      <c r="D861" s="49">
        <v>198</v>
      </c>
      <c r="E861" s="49">
        <v>1055</v>
      </c>
      <c r="F861" s="92">
        <v>1129</v>
      </c>
      <c r="G861" s="49">
        <v>3521</v>
      </c>
      <c r="H861" s="49">
        <f t="shared" si="26"/>
        <v>127</v>
      </c>
      <c r="I861" s="114">
        <f t="shared" si="27"/>
        <v>4901</v>
      </c>
      <c r="J861" s="224">
        <v>2061.0685227928452</v>
      </c>
      <c r="K861" s="47">
        <f t="shared" si="29"/>
        <v>20</v>
      </c>
      <c r="L861" s="219">
        <f t="shared" si="28"/>
        <v>40313</v>
      </c>
    </row>
    <row r="862" spans="1:12" x14ac:dyDescent="0.25">
      <c r="A862" s="13">
        <f t="shared" si="23"/>
        <v>40324</v>
      </c>
      <c r="B862" s="49">
        <v>59</v>
      </c>
      <c r="C862" s="49">
        <v>77</v>
      </c>
      <c r="D862" s="49">
        <v>201</v>
      </c>
      <c r="E862" s="49">
        <v>784</v>
      </c>
      <c r="F862" s="92">
        <v>979</v>
      </c>
      <c r="G862" s="49">
        <v>3216</v>
      </c>
      <c r="H862" s="49">
        <f t="shared" si="26"/>
        <v>136</v>
      </c>
      <c r="I862" s="114">
        <f t="shared" si="27"/>
        <v>4337</v>
      </c>
      <c r="J862" s="224">
        <v>2295.481895556838</v>
      </c>
      <c r="K862" s="47">
        <f t="shared" si="29"/>
        <v>21</v>
      </c>
      <c r="L862" s="219">
        <f t="shared" si="28"/>
        <v>40320</v>
      </c>
    </row>
    <row r="863" spans="1:12" x14ac:dyDescent="0.25">
      <c r="A863" s="13">
        <f t="shared" si="23"/>
        <v>40331</v>
      </c>
      <c r="B863" s="49">
        <v>63</v>
      </c>
      <c r="C863" s="49">
        <v>189</v>
      </c>
      <c r="D863" s="49">
        <v>208</v>
      </c>
      <c r="E863" s="92">
        <v>715</v>
      </c>
      <c r="F863" s="92">
        <v>616</v>
      </c>
      <c r="G863" s="49">
        <v>3154</v>
      </c>
      <c r="H863" s="49">
        <f t="shared" si="26"/>
        <v>252</v>
      </c>
      <c r="I863" s="114">
        <f t="shared" si="27"/>
        <v>4329</v>
      </c>
      <c r="J863" s="224">
        <v>2083.1829919215238</v>
      </c>
      <c r="K863" s="47">
        <f t="shared" si="29"/>
        <v>22</v>
      </c>
      <c r="L863" s="219">
        <f t="shared" si="28"/>
        <v>40327</v>
      </c>
    </row>
    <row r="864" spans="1:12" x14ac:dyDescent="0.25">
      <c r="A864" s="13">
        <f t="shared" si="23"/>
        <v>40338</v>
      </c>
      <c r="B864" s="49">
        <v>0</v>
      </c>
      <c r="C864" s="49">
        <v>136</v>
      </c>
      <c r="D864" s="49">
        <v>0</v>
      </c>
      <c r="E864" s="49">
        <v>1031</v>
      </c>
      <c r="F864" s="92">
        <v>930</v>
      </c>
      <c r="G864" s="49">
        <v>3147</v>
      </c>
      <c r="H864" s="49">
        <f t="shared" si="26"/>
        <v>136</v>
      </c>
      <c r="I864" s="114">
        <f t="shared" si="27"/>
        <v>4314</v>
      </c>
      <c r="J864" s="224">
        <v>2410.4771350259666</v>
      </c>
      <c r="K864" s="47">
        <f t="shared" si="29"/>
        <v>23</v>
      </c>
      <c r="L864" s="219">
        <f t="shared" si="28"/>
        <v>40334</v>
      </c>
    </row>
    <row r="865" spans="1:12" x14ac:dyDescent="0.25">
      <c r="A865" s="13">
        <f t="shared" si="23"/>
        <v>40345</v>
      </c>
      <c r="B865" s="108">
        <v>19</v>
      </c>
      <c r="C865" s="108">
        <v>84</v>
      </c>
      <c r="D865" s="108">
        <v>430</v>
      </c>
      <c r="E865" s="108">
        <v>856</v>
      </c>
      <c r="F865" s="125">
        <v>984</v>
      </c>
      <c r="G865" s="108">
        <v>2528</v>
      </c>
      <c r="H865" s="108">
        <f t="shared" si="26"/>
        <v>103</v>
      </c>
      <c r="I865" s="114">
        <f t="shared" si="27"/>
        <v>3917</v>
      </c>
      <c r="J865" s="225">
        <v>2163.6796595499136</v>
      </c>
      <c r="K865" s="47">
        <f t="shared" si="29"/>
        <v>24</v>
      </c>
      <c r="L865" s="219">
        <f t="shared" si="28"/>
        <v>40341</v>
      </c>
    </row>
    <row r="866" spans="1:12" x14ac:dyDescent="0.25">
      <c r="A866" s="13">
        <f t="shared" si="23"/>
        <v>40352</v>
      </c>
      <c r="B866" s="49">
        <v>28</v>
      </c>
      <c r="C866" s="49">
        <v>11</v>
      </c>
      <c r="D866" s="49">
        <v>158</v>
      </c>
      <c r="E866" s="49">
        <v>1061</v>
      </c>
      <c r="F866" s="92">
        <v>1041</v>
      </c>
      <c r="G866" s="49">
        <v>2614</v>
      </c>
      <c r="H866" s="108">
        <f t="shared" si="26"/>
        <v>39</v>
      </c>
      <c r="I866" s="114">
        <f t="shared" si="27"/>
        <v>3872</v>
      </c>
      <c r="J866" s="225">
        <v>1720.5056982111946</v>
      </c>
      <c r="K866" s="47">
        <f t="shared" si="29"/>
        <v>25</v>
      </c>
      <c r="L866" s="219">
        <f t="shared" si="28"/>
        <v>40348</v>
      </c>
    </row>
    <row r="867" spans="1:12" x14ac:dyDescent="0.25">
      <c r="A867" s="13">
        <f t="shared" si="23"/>
        <v>40359</v>
      </c>
      <c r="B867" s="49">
        <v>169</v>
      </c>
      <c r="C867" s="49">
        <v>16</v>
      </c>
      <c r="D867" s="49">
        <v>214</v>
      </c>
      <c r="E867" s="49">
        <v>1018</v>
      </c>
      <c r="F867" s="92">
        <v>809</v>
      </c>
      <c r="G867" s="49">
        <v>3031</v>
      </c>
      <c r="H867" s="49">
        <f t="shared" si="26"/>
        <v>185</v>
      </c>
      <c r="I867" s="114">
        <f t="shared" si="27"/>
        <v>4448</v>
      </c>
      <c r="J867" s="225">
        <v>2306.9814195037507</v>
      </c>
      <c r="K867" s="47">
        <f t="shared" si="29"/>
        <v>26</v>
      </c>
      <c r="L867" s="219">
        <f t="shared" si="28"/>
        <v>40355</v>
      </c>
    </row>
    <row r="868" spans="1:12" x14ac:dyDescent="0.25">
      <c r="A868" s="13">
        <f t="shared" si="23"/>
        <v>40366</v>
      </c>
      <c r="B868" s="49">
        <v>79</v>
      </c>
      <c r="C868" s="49">
        <v>14</v>
      </c>
      <c r="D868" s="49">
        <v>5</v>
      </c>
      <c r="E868" s="49">
        <v>1445</v>
      </c>
      <c r="F868" s="92">
        <v>394</v>
      </c>
      <c r="G868" s="49">
        <v>2541</v>
      </c>
      <c r="H868" s="49">
        <f t="shared" si="26"/>
        <v>93</v>
      </c>
      <c r="I868" s="114">
        <f t="shared" si="27"/>
        <v>4084</v>
      </c>
      <c r="J868" s="225">
        <v>1330.4064627813041</v>
      </c>
      <c r="K868" s="47">
        <f t="shared" si="29"/>
        <v>27</v>
      </c>
      <c r="L868" s="219">
        <f t="shared" si="28"/>
        <v>40362</v>
      </c>
    </row>
    <row r="869" spans="1:12" x14ac:dyDescent="0.25">
      <c r="A869" s="13">
        <f t="shared" si="23"/>
        <v>40373</v>
      </c>
      <c r="B869" s="49">
        <v>173</v>
      </c>
      <c r="C869" s="49">
        <v>21</v>
      </c>
      <c r="D869" s="49">
        <v>105</v>
      </c>
      <c r="E869" s="49">
        <v>1401</v>
      </c>
      <c r="F869" s="92">
        <v>1406</v>
      </c>
      <c r="G869" s="49">
        <v>3875</v>
      </c>
      <c r="H869" s="49">
        <f t="shared" si="26"/>
        <v>194</v>
      </c>
      <c r="I869" s="114">
        <f t="shared" si="27"/>
        <v>5575</v>
      </c>
      <c r="J869" s="225">
        <v>1233.1027986151182</v>
      </c>
      <c r="K869" s="47">
        <f t="shared" si="29"/>
        <v>28</v>
      </c>
      <c r="L869" s="218">
        <f t="shared" si="28"/>
        <v>40369</v>
      </c>
    </row>
    <row r="870" spans="1:12" x14ac:dyDescent="0.25">
      <c r="A870" s="13">
        <f t="shared" si="23"/>
        <v>40380</v>
      </c>
      <c r="B870" s="49">
        <v>119</v>
      </c>
      <c r="C870" s="49">
        <v>74</v>
      </c>
      <c r="D870" s="49">
        <v>231</v>
      </c>
      <c r="E870" s="49">
        <v>1049</v>
      </c>
      <c r="F870" s="92">
        <v>209</v>
      </c>
      <c r="G870" s="49">
        <v>4315</v>
      </c>
      <c r="H870" s="49">
        <f t="shared" si="26"/>
        <v>193</v>
      </c>
      <c r="I870" s="114">
        <f t="shared" si="27"/>
        <v>5788</v>
      </c>
      <c r="J870" s="225">
        <v>1350.7517743796886</v>
      </c>
      <c r="K870" s="47">
        <f t="shared" si="29"/>
        <v>29</v>
      </c>
      <c r="L870" s="219">
        <f t="shared" si="28"/>
        <v>40376</v>
      </c>
    </row>
    <row r="871" spans="1:12" x14ac:dyDescent="0.25">
      <c r="A871" s="13">
        <f t="shared" si="23"/>
        <v>40387</v>
      </c>
      <c r="B871" s="49">
        <v>47</v>
      </c>
      <c r="C871" s="49">
        <v>13</v>
      </c>
      <c r="D871" s="49">
        <v>442</v>
      </c>
      <c r="E871" s="49">
        <v>1761</v>
      </c>
      <c r="F871" s="92">
        <v>1532</v>
      </c>
      <c r="G871" s="49">
        <v>4041</v>
      </c>
      <c r="H871" s="49">
        <f t="shared" si="26"/>
        <v>60</v>
      </c>
      <c r="I871" s="114">
        <f t="shared" si="27"/>
        <v>6304</v>
      </c>
      <c r="J871" s="225">
        <v>1638.2398730525103</v>
      </c>
      <c r="K871" s="47">
        <f t="shared" si="29"/>
        <v>30</v>
      </c>
      <c r="L871" s="219">
        <f t="shared" si="28"/>
        <v>40383</v>
      </c>
    </row>
    <row r="872" spans="1:12" x14ac:dyDescent="0.25">
      <c r="A872" s="13">
        <f t="shared" si="23"/>
        <v>40394</v>
      </c>
      <c r="B872" s="49">
        <v>90</v>
      </c>
      <c r="C872" s="49">
        <v>9</v>
      </c>
      <c r="D872" s="49">
        <v>101</v>
      </c>
      <c r="E872" s="49">
        <v>1299</v>
      </c>
      <c r="F872" s="92">
        <v>421</v>
      </c>
      <c r="G872" s="49">
        <v>3245</v>
      </c>
      <c r="H872" s="49">
        <f t="shared" si="26"/>
        <v>99</v>
      </c>
      <c r="I872" s="114">
        <f t="shared" si="27"/>
        <v>4744</v>
      </c>
      <c r="J872" s="225">
        <v>2374.209405654934</v>
      </c>
      <c r="K872" s="47">
        <f t="shared" si="29"/>
        <v>31</v>
      </c>
      <c r="L872" s="219">
        <f t="shared" si="28"/>
        <v>40390</v>
      </c>
    </row>
    <row r="873" spans="1:12" x14ac:dyDescent="0.25">
      <c r="A873" s="13">
        <f t="shared" si="23"/>
        <v>40401</v>
      </c>
      <c r="B873" s="49">
        <v>62</v>
      </c>
      <c r="C873" s="49">
        <v>3</v>
      </c>
      <c r="D873" s="49">
        <v>262</v>
      </c>
      <c r="E873" s="49">
        <v>1428</v>
      </c>
      <c r="F873" s="92">
        <v>1001</v>
      </c>
      <c r="G873" s="49">
        <v>3587</v>
      </c>
      <c r="H873" s="49">
        <f t="shared" si="26"/>
        <v>65</v>
      </c>
      <c r="I873" s="114">
        <f t="shared" si="27"/>
        <v>5342</v>
      </c>
      <c r="J873" s="225">
        <v>1095.1085112521639</v>
      </c>
      <c r="K873" s="47">
        <f t="shared" si="29"/>
        <v>32</v>
      </c>
      <c r="L873" s="219">
        <f t="shared" si="28"/>
        <v>40397</v>
      </c>
    </row>
    <row r="874" spans="1:12" x14ac:dyDescent="0.25">
      <c r="A874" s="13">
        <f t="shared" si="23"/>
        <v>40408</v>
      </c>
      <c r="B874" s="49">
        <v>177</v>
      </c>
      <c r="C874" s="49">
        <v>0</v>
      </c>
      <c r="D874" s="49">
        <v>393</v>
      </c>
      <c r="E874" s="49">
        <v>1610</v>
      </c>
      <c r="F874" s="92">
        <v>586</v>
      </c>
      <c r="G874" s="49">
        <v>2891</v>
      </c>
      <c r="H874" s="49">
        <f t="shared" si="26"/>
        <v>177</v>
      </c>
      <c r="I874" s="114">
        <f t="shared" si="27"/>
        <v>5071</v>
      </c>
      <c r="J874" s="225">
        <v>1375.5199798038086</v>
      </c>
      <c r="K874" s="47">
        <f t="shared" si="29"/>
        <v>33</v>
      </c>
      <c r="L874" s="219">
        <f t="shared" si="28"/>
        <v>40404</v>
      </c>
    </row>
    <row r="875" spans="1:12" x14ac:dyDescent="0.25">
      <c r="A875" s="13">
        <f t="shared" si="23"/>
        <v>40415</v>
      </c>
      <c r="B875" s="49">
        <v>160</v>
      </c>
      <c r="C875" s="49">
        <v>10</v>
      </c>
      <c r="D875" s="49">
        <v>494</v>
      </c>
      <c r="E875" s="49">
        <v>1540</v>
      </c>
      <c r="F875" s="92">
        <v>725</v>
      </c>
      <c r="G875" s="49">
        <v>3677</v>
      </c>
      <c r="H875" s="49">
        <f t="shared" ref="H875:H892" si="30">B875+C875</f>
        <v>170</v>
      </c>
      <c r="I875" s="114">
        <f t="shared" si="27"/>
        <v>5881</v>
      </c>
      <c r="J875" s="225">
        <v>1709.8907530294289</v>
      </c>
      <c r="K875" s="47">
        <f t="shared" si="29"/>
        <v>34</v>
      </c>
      <c r="L875" s="219">
        <f t="shared" si="28"/>
        <v>40411</v>
      </c>
    </row>
    <row r="876" spans="1:12" x14ac:dyDescent="0.25">
      <c r="A876" s="13">
        <f t="shared" si="23"/>
        <v>40422</v>
      </c>
      <c r="B876" s="49">
        <v>122</v>
      </c>
      <c r="C876" s="49">
        <v>15</v>
      </c>
      <c r="D876" s="49">
        <v>372</v>
      </c>
      <c r="E876" s="49">
        <v>1925</v>
      </c>
      <c r="F876" s="92">
        <v>565</v>
      </c>
      <c r="G876" s="49">
        <v>2664</v>
      </c>
      <c r="H876" s="49">
        <f t="shared" si="30"/>
        <v>137</v>
      </c>
      <c r="I876" s="114">
        <f t="shared" si="27"/>
        <v>5098</v>
      </c>
      <c r="J876" s="225">
        <v>1034.0725764570111</v>
      </c>
      <c r="K876" s="47">
        <f t="shared" si="29"/>
        <v>35</v>
      </c>
      <c r="L876" s="219">
        <f t="shared" si="28"/>
        <v>40418</v>
      </c>
    </row>
    <row r="877" spans="1:12" x14ac:dyDescent="0.25">
      <c r="A877" s="13">
        <f t="shared" si="23"/>
        <v>40429</v>
      </c>
      <c r="B877" s="49">
        <v>186</v>
      </c>
      <c r="C877" s="49">
        <v>68</v>
      </c>
      <c r="D877" s="49">
        <v>757</v>
      </c>
      <c r="E877" s="49">
        <v>2500</v>
      </c>
      <c r="F877" s="92">
        <v>544</v>
      </c>
      <c r="G877" s="49">
        <v>2823</v>
      </c>
      <c r="H877" s="49">
        <f t="shared" si="30"/>
        <v>254</v>
      </c>
      <c r="I877" s="114">
        <f t="shared" si="27"/>
        <v>6334</v>
      </c>
      <c r="J877" s="225">
        <v>2053.1073139065206</v>
      </c>
      <c r="K877" s="47">
        <f t="shared" si="29"/>
        <v>36</v>
      </c>
      <c r="L877" s="219">
        <f t="shared" si="28"/>
        <v>40425</v>
      </c>
    </row>
    <row r="878" spans="1:12" x14ac:dyDescent="0.25">
      <c r="A878" s="13">
        <f t="shared" si="23"/>
        <v>40436</v>
      </c>
      <c r="B878" s="49">
        <v>174</v>
      </c>
      <c r="C878" s="49">
        <v>0</v>
      </c>
      <c r="D878" s="49">
        <v>884</v>
      </c>
      <c r="E878" s="49">
        <v>2773</v>
      </c>
      <c r="F878" s="92">
        <v>964</v>
      </c>
      <c r="G878" s="49">
        <v>1305</v>
      </c>
      <c r="H878" s="49">
        <f t="shared" si="30"/>
        <v>174</v>
      </c>
      <c r="I878" s="114">
        <f t="shared" si="27"/>
        <v>5136</v>
      </c>
      <c r="J878" s="224">
        <v>948.268436237738</v>
      </c>
      <c r="K878" s="47">
        <f t="shared" si="29"/>
        <v>37</v>
      </c>
      <c r="L878" s="219">
        <f t="shared" si="28"/>
        <v>40432</v>
      </c>
    </row>
    <row r="879" spans="1:12" x14ac:dyDescent="0.25">
      <c r="A879" s="13">
        <f t="shared" si="23"/>
        <v>40443</v>
      </c>
      <c r="B879" s="49">
        <v>218</v>
      </c>
      <c r="C879" s="49">
        <v>191</v>
      </c>
      <c r="D879" s="49">
        <v>1288</v>
      </c>
      <c r="E879" s="49">
        <v>1768</v>
      </c>
      <c r="F879" s="92">
        <v>522</v>
      </c>
      <c r="G879" s="49">
        <v>1155</v>
      </c>
      <c r="H879" s="49">
        <f t="shared" si="30"/>
        <v>409</v>
      </c>
      <c r="I879" s="114">
        <f t="shared" si="27"/>
        <v>4620</v>
      </c>
      <c r="J879" s="225">
        <v>1770.9266878245819</v>
      </c>
      <c r="K879" s="47">
        <f t="shared" si="29"/>
        <v>38</v>
      </c>
      <c r="L879" s="219">
        <f t="shared" si="28"/>
        <v>40439</v>
      </c>
    </row>
    <row r="880" spans="1:12" x14ac:dyDescent="0.25">
      <c r="A880" s="13">
        <f t="shared" si="23"/>
        <v>40450</v>
      </c>
      <c r="B880" s="49">
        <v>169</v>
      </c>
      <c r="C880" s="49">
        <v>654</v>
      </c>
      <c r="D880" s="49">
        <v>849</v>
      </c>
      <c r="E880" s="49">
        <v>1929</v>
      </c>
      <c r="F880" s="92">
        <v>828</v>
      </c>
      <c r="G880" s="49">
        <v>2082</v>
      </c>
      <c r="H880" s="49">
        <f t="shared" si="30"/>
        <v>823</v>
      </c>
      <c r="I880" s="114">
        <f t="shared" si="27"/>
        <v>5683</v>
      </c>
      <c r="J880" s="225">
        <v>1210.1037507212927</v>
      </c>
      <c r="K880" s="47">
        <f t="shared" si="29"/>
        <v>39</v>
      </c>
      <c r="L880" s="219">
        <f t="shared" si="28"/>
        <v>40446</v>
      </c>
    </row>
    <row r="881" spans="1:25" x14ac:dyDescent="0.25">
      <c r="A881" s="13">
        <f t="shared" si="23"/>
        <v>40457</v>
      </c>
      <c r="B881" s="49">
        <v>258</v>
      </c>
      <c r="C881" s="49">
        <v>478</v>
      </c>
      <c r="D881" s="49">
        <v>1458</v>
      </c>
      <c r="E881" s="49">
        <v>1793</v>
      </c>
      <c r="F881" s="92">
        <v>464</v>
      </c>
      <c r="G881" s="49">
        <v>2746</v>
      </c>
      <c r="H881" s="49">
        <f t="shared" si="30"/>
        <v>736</v>
      </c>
      <c r="I881" s="114">
        <f t="shared" si="27"/>
        <v>6733</v>
      </c>
      <c r="J881" s="224">
        <v>1392.3269763416042</v>
      </c>
      <c r="K881" s="47">
        <f t="shared" si="29"/>
        <v>40</v>
      </c>
      <c r="L881" s="219">
        <f t="shared" si="28"/>
        <v>40453</v>
      </c>
    </row>
    <row r="882" spans="1:25" x14ac:dyDescent="0.25">
      <c r="A882" s="13">
        <f t="shared" si="23"/>
        <v>40464</v>
      </c>
      <c r="B882" s="49">
        <v>483</v>
      </c>
      <c r="C882" s="49">
        <v>443</v>
      </c>
      <c r="D882" s="49">
        <v>1548</v>
      </c>
      <c r="E882" s="49">
        <v>2413</v>
      </c>
      <c r="F882" s="92">
        <v>501</v>
      </c>
      <c r="G882" s="49">
        <v>5633</v>
      </c>
      <c r="H882" s="49">
        <f t="shared" si="30"/>
        <v>926</v>
      </c>
      <c r="I882" s="114">
        <f t="shared" si="27"/>
        <v>10520</v>
      </c>
      <c r="J882" s="224">
        <v>1644.4319244085402</v>
      </c>
      <c r="K882" s="47">
        <f t="shared" si="29"/>
        <v>41</v>
      </c>
      <c r="L882" s="218">
        <f t="shared" si="28"/>
        <v>40460</v>
      </c>
    </row>
    <row r="883" spans="1:25" x14ac:dyDescent="0.25">
      <c r="A883" s="13">
        <f t="shared" si="23"/>
        <v>40471</v>
      </c>
      <c r="B883" s="49">
        <v>338</v>
      </c>
      <c r="C883" s="49">
        <v>783</v>
      </c>
      <c r="D883" s="49">
        <v>2094</v>
      </c>
      <c r="E883" s="49">
        <v>2261</v>
      </c>
      <c r="F883" s="92">
        <v>678</v>
      </c>
      <c r="G883" s="49">
        <v>4667</v>
      </c>
      <c r="H883" s="49">
        <f t="shared" si="30"/>
        <v>1121</v>
      </c>
      <c r="I883" s="114">
        <f t="shared" si="27"/>
        <v>10143</v>
      </c>
      <c r="J883" s="224">
        <v>1681.5842325447202</v>
      </c>
      <c r="K883" s="47">
        <f t="shared" si="29"/>
        <v>42</v>
      </c>
      <c r="L883" s="219">
        <f t="shared" si="28"/>
        <v>40467</v>
      </c>
    </row>
    <row r="884" spans="1:25" x14ac:dyDescent="0.25">
      <c r="A884" s="13">
        <f t="shared" si="23"/>
        <v>40478</v>
      </c>
      <c r="B884" s="49">
        <v>416</v>
      </c>
      <c r="C884" s="49">
        <v>677</v>
      </c>
      <c r="D884" s="49">
        <v>1583</v>
      </c>
      <c r="E884" s="49">
        <v>1949</v>
      </c>
      <c r="F884" s="92">
        <v>1091</v>
      </c>
      <c r="G884" s="49">
        <v>4566</v>
      </c>
      <c r="H884" s="49">
        <f t="shared" si="30"/>
        <v>1093</v>
      </c>
      <c r="I884" s="114">
        <f t="shared" si="27"/>
        <v>9191</v>
      </c>
      <c r="J884" s="224">
        <v>1823.1168349682632</v>
      </c>
      <c r="K884" s="47">
        <f t="shared" si="29"/>
        <v>43</v>
      </c>
      <c r="L884" s="219">
        <f t="shared" si="28"/>
        <v>40474</v>
      </c>
    </row>
    <row r="885" spans="1:25" x14ac:dyDescent="0.25">
      <c r="A885" s="13">
        <f t="shared" si="23"/>
        <v>40485</v>
      </c>
      <c r="B885" s="49">
        <v>413</v>
      </c>
      <c r="C885" s="49">
        <v>720</v>
      </c>
      <c r="D885" s="49">
        <v>1904</v>
      </c>
      <c r="E885" s="49">
        <v>1902</v>
      </c>
      <c r="F885" s="92">
        <v>615</v>
      </c>
      <c r="G885" s="49">
        <v>4794</v>
      </c>
      <c r="H885" s="49">
        <f t="shared" si="30"/>
        <v>1133</v>
      </c>
      <c r="I885" s="114">
        <f t="shared" si="27"/>
        <v>9733</v>
      </c>
      <c r="J885" s="224">
        <v>1943.419547028275</v>
      </c>
      <c r="K885" s="47">
        <f t="shared" si="29"/>
        <v>44</v>
      </c>
      <c r="L885" s="219">
        <f t="shared" si="28"/>
        <v>40481</v>
      </c>
    </row>
    <row r="886" spans="1:25" x14ac:dyDescent="0.25">
      <c r="A886" s="13">
        <f t="shared" si="23"/>
        <v>40492</v>
      </c>
      <c r="B886" s="49">
        <v>370</v>
      </c>
      <c r="C886" s="49">
        <v>577</v>
      </c>
      <c r="D886" s="92">
        <v>1776</v>
      </c>
      <c r="E886" s="49">
        <v>2528</v>
      </c>
      <c r="F886" s="92">
        <v>782</v>
      </c>
      <c r="G886" s="49">
        <v>4574</v>
      </c>
      <c r="H886" s="49">
        <f t="shared" si="30"/>
        <v>947</v>
      </c>
      <c r="I886" s="114">
        <f t="shared" si="27"/>
        <v>9825</v>
      </c>
      <c r="J886" s="224">
        <v>1582.5114108482401</v>
      </c>
      <c r="K886" s="47">
        <f t="shared" si="29"/>
        <v>45</v>
      </c>
      <c r="L886" s="219">
        <f t="shared" si="28"/>
        <v>40488</v>
      </c>
      <c r="N886" s="133"/>
    </row>
    <row r="887" spans="1:25" x14ac:dyDescent="0.25">
      <c r="A887" s="13">
        <f t="shared" si="23"/>
        <v>40499</v>
      </c>
      <c r="B887" s="49">
        <v>479</v>
      </c>
      <c r="C887" s="49">
        <v>948</v>
      </c>
      <c r="D887" s="49">
        <v>1644</v>
      </c>
      <c r="E887" s="92">
        <v>2604</v>
      </c>
      <c r="F887" s="92">
        <v>562</v>
      </c>
      <c r="G887" s="92">
        <v>4821</v>
      </c>
      <c r="H887" s="49">
        <f t="shared" si="30"/>
        <v>1427</v>
      </c>
      <c r="I887" s="114">
        <f t="shared" si="27"/>
        <v>10496</v>
      </c>
      <c r="J887" s="224">
        <v>1360.482140796307</v>
      </c>
      <c r="K887" s="47">
        <f t="shared" si="29"/>
        <v>46</v>
      </c>
      <c r="L887" s="219">
        <f t="shared" si="28"/>
        <v>40495</v>
      </c>
    </row>
    <row r="888" spans="1:25" x14ac:dyDescent="0.25">
      <c r="A888" s="13">
        <f>A887+7</f>
        <v>40506</v>
      </c>
      <c r="B888" s="122">
        <v>518</v>
      </c>
      <c r="C888" s="122">
        <v>875</v>
      </c>
      <c r="D888" s="122">
        <v>1123</v>
      </c>
      <c r="E888" s="122">
        <v>2421</v>
      </c>
      <c r="F888" s="126">
        <v>1104</v>
      </c>
      <c r="G888" s="122">
        <v>3196</v>
      </c>
      <c r="H888" s="122">
        <f t="shared" si="30"/>
        <v>1393</v>
      </c>
      <c r="I888" s="114">
        <f t="shared" si="27"/>
        <v>8133</v>
      </c>
      <c r="J888" s="224">
        <v>1488.746061742643</v>
      </c>
      <c r="K888" s="47">
        <f>K887+1</f>
        <v>47</v>
      </c>
      <c r="L888" s="219">
        <f t="shared" si="28"/>
        <v>40502</v>
      </c>
    </row>
    <row r="889" spans="1:25" x14ac:dyDescent="0.25">
      <c r="A889" s="13">
        <f>A888+7</f>
        <v>40513</v>
      </c>
      <c r="B889" s="49">
        <v>456</v>
      </c>
      <c r="C889" s="49">
        <v>417</v>
      </c>
      <c r="D889" s="49">
        <v>1316</v>
      </c>
      <c r="E889" s="92">
        <v>1808</v>
      </c>
      <c r="F889" s="92">
        <v>629</v>
      </c>
      <c r="G889" s="92">
        <v>3663</v>
      </c>
      <c r="H889" s="49">
        <f t="shared" si="30"/>
        <v>873</v>
      </c>
      <c r="I889" s="114">
        <f t="shared" si="27"/>
        <v>7660</v>
      </c>
      <c r="J889" s="224">
        <v>1372.8662435083672</v>
      </c>
      <c r="K889" s="47">
        <f>K888+1</f>
        <v>48</v>
      </c>
      <c r="L889" s="219">
        <f t="shared" si="28"/>
        <v>40509</v>
      </c>
      <c r="O889" s="123"/>
      <c r="P889" s="127"/>
      <c r="Q889" s="127"/>
      <c r="R889" s="127"/>
      <c r="S889" s="127"/>
      <c r="T889" s="127"/>
      <c r="U889" s="127"/>
      <c r="V889" s="128"/>
      <c r="W889" s="128"/>
      <c r="X889" s="128"/>
      <c r="Y889" s="129"/>
    </row>
    <row r="890" spans="1:25" x14ac:dyDescent="0.25">
      <c r="A890" s="13">
        <f t="shared" si="23"/>
        <v>40520</v>
      </c>
      <c r="B890" s="49">
        <v>398</v>
      </c>
      <c r="C890" s="49">
        <v>478</v>
      </c>
      <c r="D890" s="49">
        <v>1735</v>
      </c>
      <c r="E890" s="92">
        <v>1637</v>
      </c>
      <c r="F890" s="92">
        <v>809</v>
      </c>
      <c r="G890" s="92">
        <v>4788</v>
      </c>
      <c r="H890" s="49">
        <f t="shared" si="30"/>
        <v>876</v>
      </c>
      <c r="I890" s="114">
        <f t="shared" si="27"/>
        <v>9036</v>
      </c>
      <c r="J890" s="224">
        <v>1156.1444460473169</v>
      </c>
      <c r="K890" s="47">
        <f t="shared" si="29"/>
        <v>49</v>
      </c>
      <c r="L890" s="219">
        <f t="shared" si="28"/>
        <v>40516</v>
      </c>
      <c r="O890" s="124"/>
      <c r="P890" s="130"/>
      <c r="Q890" s="130"/>
      <c r="R890" s="130"/>
      <c r="S890" s="130"/>
      <c r="T890" s="130"/>
      <c r="U890" s="130"/>
      <c r="V890" s="131"/>
      <c r="W890" s="132"/>
      <c r="X890" s="132"/>
      <c r="Y890" s="129"/>
    </row>
    <row r="891" spans="1:25" x14ac:dyDescent="0.25">
      <c r="A891" s="13">
        <f t="shared" si="23"/>
        <v>40527</v>
      </c>
      <c r="B891" s="49">
        <v>401</v>
      </c>
      <c r="C891" s="49">
        <v>195</v>
      </c>
      <c r="D891" s="49">
        <v>1075</v>
      </c>
      <c r="E891" s="92">
        <v>1911</v>
      </c>
      <c r="F891" s="92">
        <v>500</v>
      </c>
      <c r="G891" s="92">
        <v>3894</v>
      </c>
      <c r="H891" s="49">
        <f t="shared" si="30"/>
        <v>596</v>
      </c>
      <c r="I891" s="114">
        <f t="shared" si="27"/>
        <v>7476</v>
      </c>
      <c r="J891" s="224">
        <v>1780.6570542412003</v>
      </c>
      <c r="K891" s="47">
        <f t="shared" si="29"/>
        <v>50</v>
      </c>
      <c r="L891" s="219">
        <f t="shared" si="28"/>
        <v>40523</v>
      </c>
    </row>
    <row r="892" spans="1:25" x14ac:dyDescent="0.25">
      <c r="A892" s="13">
        <f t="shared" si="23"/>
        <v>40534</v>
      </c>
      <c r="B892" s="49">
        <v>283</v>
      </c>
      <c r="C892" s="49">
        <v>695</v>
      </c>
      <c r="D892" s="49">
        <v>1110</v>
      </c>
      <c r="E892" s="92">
        <v>2130</v>
      </c>
      <c r="F892" s="92">
        <v>678</v>
      </c>
      <c r="G892" s="92">
        <v>3872</v>
      </c>
      <c r="H892" s="49">
        <f t="shared" si="30"/>
        <v>978</v>
      </c>
      <c r="I892" s="114">
        <f t="shared" si="27"/>
        <v>8090</v>
      </c>
      <c r="J892" s="224">
        <v>1184.4509665320254</v>
      </c>
      <c r="K892" s="47">
        <f t="shared" si="29"/>
        <v>51</v>
      </c>
      <c r="L892" s="219">
        <f t="shared" si="28"/>
        <v>40530</v>
      </c>
    </row>
    <row r="893" spans="1:25" x14ac:dyDescent="0.25">
      <c r="A893" s="13">
        <f t="shared" si="23"/>
        <v>40541</v>
      </c>
      <c r="B893" s="49">
        <v>122</v>
      </c>
      <c r="C893" s="49">
        <v>314</v>
      </c>
      <c r="D893" s="49">
        <v>1092</v>
      </c>
      <c r="E893" s="92">
        <v>1626</v>
      </c>
      <c r="F893" s="92">
        <v>574</v>
      </c>
      <c r="G893" s="92">
        <v>3179</v>
      </c>
      <c r="H893" s="49">
        <f t="shared" ref="H893:H902" si="31">B893+C893</f>
        <v>436</v>
      </c>
      <c r="I893" s="114">
        <f t="shared" si="27"/>
        <v>6333</v>
      </c>
      <c r="J893" s="224">
        <v>1270.2551067512984</v>
      </c>
      <c r="K893" s="47">
        <f t="shared" si="29"/>
        <v>52</v>
      </c>
      <c r="L893" s="219">
        <f t="shared" si="28"/>
        <v>40537</v>
      </c>
      <c r="M893" s="134"/>
      <c r="O893" s="135"/>
    </row>
    <row r="894" spans="1:25" x14ac:dyDescent="0.25">
      <c r="A894" s="13">
        <f t="shared" si="23"/>
        <v>40548</v>
      </c>
      <c r="B894" s="49">
        <v>366</v>
      </c>
      <c r="C894" s="49">
        <v>395</v>
      </c>
      <c r="D894" s="49">
        <v>1100</v>
      </c>
      <c r="E894" s="92">
        <v>1678</v>
      </c>
      <c r="F894" s="49">
        <v>468</v>
      </c>
      <c r="G894" s="92">
        <v>3421</v>
      </c>
      <c r="H894" s="49">
        <f t="shared" si="31"/>
        <v>761</v>
      </c>
      <c r="I894" s="114">
        <f t="shared" si="27"/>
        <v>6960</v>
      </c>
      <c r="J894" s="224">
        <v>931.46143969994239</v>
      </c>
      <c r="K894" s="47">
        <v>1</v>
      </c>
      <c r="L894" s="219">
        <f>L893+7</f>
        <v>40544</v>
      </c>
      <c r="M894" s="136"/>
      <c r="N894" s="137"/>
      <c r="O894" s="137"/>
      <c r="P894" s="137"/>
      <c r="Q894" s="137"/>
      <c r="R894" s="137"/>
      <c r="S894" s="138"/>
      <c r="T894" s="137"/>
    </row>
    <row r="895" spans="1:25" x14ac:dyDescent="0.25">
      <c r="A895" s="13">
        <f t="shared" si="23"/>
        <v>40555</v>
      </c>
      <c r="B895" s="49">
        <v>461</v>
      </c>
      <c r="C895" s="49">
        <v>380</v>
      </c>
      <c r="D895" s="49">
        <v>853</v>
      </c>
      <c r="E895" s="92">
        <v>2191</v>
      </c>
      <c r="F895" s="49">
        <v>450</v>
      </c>
      <c r="G895" s="92">
        <v>3575</v>
      </c>
      <c r="H895" s="49">
        <f t="shared" si="31"/>
        <v>841</v>
      </c>
      <c r="I895" s="114">
        <f t="shared" si="27"/>
        <v>7460</v>
      </c>
      <c r="J895" s="224">
        <v>1430.6980186743169</v>
      </c>
      <c r="K895" s="47">
        <f>K894+1</f>
        <v>2</v>
      </c>
      <c r="L895" s="221">
        <f t="shared" si="28"/>
        <v>40551</v>
      </c>
      <c r="N895" s="39"/>
      <c r="O895" s="39"/>
      <c r="P895" s="39"/>
      <c r="Q895" s="39"/>
      <c r="R895" s="39"/>
      <c r="S895" s="39"/>
      <c r="T895" s="39"/>
    </row>
    <row r="896" spans="1:25" x14ac:dyDescent="0.25">
      <c r="A896" s="13">
        <f t="shared" si="23"/>
        <v>40562</v>
      </c>
      <c r="B896" s="49">
        <v>456</v>
      </c>
      <c r="C896" s="49">
        <v>551</v>
      </c>
      <c r="D896" s="49">
        <v>1403</v>
      </c>
      <c r="E896" s="92">
        <v>2604</v>
      </c>
      <c r="F896" s="49">
        <v>599</v>
      </c>
      <c r="G896" s="92">
        <v>3739</v>
      </c>
      <c r="H896" s="49">
        <f t="shared" si="31"/>
        <v>1007</v>
      </c>
      <c r="I896" s="114">
        <f t="shared" si="27"/>
        <v>8753</v>
      </c>
      <c r="J896" s="224">
        <v>1480.3688736313918</v>
      </c>
      <c r="K896" s="47">
        <f t="shared" ref="K896:K959" si="32">K895+1</f>
        <v>3</v>
      </c>
      <c r="L896" s="219">
        <f t="shared" si="28"/>
        <v>40558</v>
      </c>
      <c r="N896" s="39"/>
      <c r="O896" s="39"/>
      <c r="P896" s="39"/>
      <c r="Q896" s="39"/>
      <c r="R896" s="39"/>
      <c r="S896" s="39"/>
      <c r="T896" s="39"/>
    </row>
    <row r="897" spans="1:22" x14ac:dyDescent="0.25">
      <c r="A897" s="13">
        <f t="shared" si="23"/>
        <v>40569</v>
      </c>
      <c r="B897" s="49">
        <v>423</v>
      </c>
      <c r="C897" s="49">
        <v>369</v>
      </c>
      <c r="D897" s="49">
        <v>1200</v>
      </c>
      <c r="E897" s="92">
        <v>1847</v>
      </c>
      <c r="F897" s="49">
        <v>460</v>
      </c>
      <c r="G897" s="92">
        <v>4716</v>
      </c>
      <c r="H897" s="49">
        <f t="shared" si="31"/>
        <v>792</v>
      </c>
      <c r="I897" s="114">
        <f t="shared" si="27"/>
        <v>8555</v>
      </c>
      <c r="J897" s="224">
        <v>1564.631931147858</v>
      </c>
      <c r="K897" s="47">
        <f t="shared" si="32"/>
        <v>4</v>
      </c>
      <c r="L897" s="219">
        <f t="shared" si="28"/>
        <v>40565</v>
      </c>
      <c r="N897" s="39"/>
      <c r="O897" s="39"/>
      <c r="P897" s="39"/>
      <c r="Q897" s="39"/>
      <c r="R897" s="39"/>
      <c r="S897" s="39"/>
      <c r="T897" s="39"/>
    </row>
    <row r="898" spans="1:22" x14ac:dyDescent="0.25">
      <c r="A898" s="13">
        <f t="shared" si="23"/>
        <v>40576</v>
      </c>
      <c r="B898" s="49">
        <v>424</v>
      </c>
      <c r="C898" s="49">
        <v>184</v>
      </c>
      <c r="D898" s="49">
        <v>940</v>
      </c>
      <c r="E898" s="92">
        <v>2303</v>
      </c>
      <c r="F898" s="49">
        <v>755</v>
      </c>
      <c r="G898" s="92">
        <v>4575</v>
      </c>
      <c r="H898" s="49">
        <f t="shared" si="31"/>
        <v>608</v>
      </c>
      <c r="I898" s="114">
        <f t="shared" si="27"/>
        <v>8426</v>
      </c>
      <c r="J898" s="224">
        <v>1429.8110391215121</v>
      </c>
      <c r="K898" s="47">
        <f t="shared" si="32"/>
        <v>5</v>
      </c>
      <c r="L898" s="219">
        <f t="shared" si="28"/>
        <v>40572</v>
      </c>
      <c r="M898" s="139"/>
      <c r="N898" s="137"/>
      <c r="O898" s="137"/>
      <c r="P898" s="137"/>
      <c r="Q898" s="137"/>
      <c r="R898" s="137"/>
      <c r="S898" s="138"/>
      <c r="T898" s="137"/>
      <c r="U898" s="140"/>
      <c r="V898" s="138"/>
    </row>
    <row r="899" spans="1:22" x14ac:dyDescent="0.25">
      <c r="A899" s="13">
        <f t="shared" si="23"/>
        <v>40583</v>
      </c>
      <c r="B899" s="49">
        <v>417</v>
      </c>
      <c r="C899" s="49">
        <v>378</v>
      </c>
      <c r="D899" s="49">
        <v>728</v>
      </c>
      <c r="E899" s="92">
        <v>1986</v>
      </c>
      <c r="F899" s="49">
        <v>1023</v>
      </c>
      <c r="G899" s="92">
        <v>3628</v>
      </c>
      <c r="H899" s="49">
        <f t="shared" si="31"/>
        <v>795</v>
      </c>
      <c r="I899" s="114">
        <f t="shared" si="27"/>
        <v>7137</v>
      </c>
      <c r="J899" s="224">
        <v>1143.3166435655266</v>
      </c>
      <c r="K899" s="47">
        <f t="shared" si="32"/>
        <v>6</v>
      </c>
      <c r="L899" s="219">
        <f t="shared" si="28"/>
        <v>40579</v>
      </c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spans="1:22" x14ac:dyDescent="0.25">
      <c r="A900" s="13">
        <f>A899+7</f>
        <v>40590</v>
      </c>
      <c r="B900" s="49">
        <v>377</v>
      </c>
      <c r="C900" s="49">
        <v>119</v>
      </c>
      <c r="D900" s="49">
        <v>1208</v>
      </c>
      <c r="E900" s="92">
        <v>2484</v>
      </c>
      <c r="F900" s="49">
        <v>285</v>
      </c>
      <c r="G900" s="92">
        <v>4110</v>
      </c>
      <c r="H900" s="49">
        <f t="shared" si="31"/>
        <v>496</v>
      </c>
      <c r="I900" s="114">
        <f t="shared" si="27"/>
        <v>8298</v>
      </c>
      <c r="J900" s="224">
        <v>869.23996174881006</v>
      </c>
      <c r="K900" s="47">
        <f t="shared" si="32"/>
        <v>7</v>
      </c>
      <c r="L900" s="219">
        <f t="shared" si="28"/>
        <v>40586</v>
      </c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spans="1:22" x14ac:dyDescent="0.25">
      <c r="A901" s="13">
        <f>A900+7</f>
        <v>40597</v>
      </c>
      <c r="B901" s="49">
        <v>460</v>
      </c>
      <c r="C901" s="49">
        <v>350</v>
      </c>
      <c r="D901" s="49">
        <v>1036</v>
      </c>
      <c r="E901" s="92">
        <v>2054</v>
      </c>
      <c r="F901" s="49">
        <v>558</v>
      </c>
      <c r="G901" s="92">
        <v>4176</v>
      </c>
      <c r="H901" s="49">
        <f t="shared" si="31"/>
        <v>810</v>
      </c>
      <c r="I901" s="114">
        <f t="shared" si="27"/>
        <v>8076</v>
      </c>
      <c r="J901" s="224">
        <v>1730.4971075223759</v>
      </c>
      <c r="K901" s="47">
        <f t="shared" si="32"/>
        <v>8</v>
      </c>
      <c r="L901" s="219">
        <f t="shared" si="28"/>
        <v>40593</v>
      </c>
      <c r="M901" s="39"/>
      <c r="N901" s="141"/>
      <c r="O901" s="39"/>
      <c r="P901" s="39"/>
      <c r="Q901" s="39"/>
      <c r="R901" s="39"/>
      <c r="S901" s="39"/>
      <c r="T901" s="39"/>
      <c r="U901" s="39"/>
      <c r="V901" s="39"/>
    </row>
    <row r="902" spans="1:22" x14ac:dyDescent="0.25">
      <c r="A902" s="13">
        <f>A901+7</f>
        <v>40604</v>
      </c>
      <c r="B902" s="49">
        <v>344</v>
      </c>
      <c r="C902" s="49">
        <v>478</v>
      </c>
      <c r="D902" s="49">
        <v>1147</v>
      </c>
      <c r="E902" s="92">
        <v>2086</v>
      </c>
      <c r="F902" s="49">
        <v>374</v>
      </c>
      <c r="G902" s="92">
        <v>3054</v>
      </c>
      <c r="H902" s="49">
        <f t="shared" si="31"/>
        <v>822</v>
      </c>
      <c r="I902" s="114">
        <f t="shared" si="27"/>
        <v>7109</v>
      </c>
      <c r="J902" s="224">
        <v>1294.9901470951661</v>
      </c>
      <c r="K902" s="47">
        <f t="shared" si="32"/>
        <v>9</v>
      </c>
      <c r="L902" s="219">
        <f t="shared" si="28"/>
        <v>40600</v>
      </c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spans="1:22" x14ac:dyDescent="0.25">
      <c r="A903" s="13">
        <f t="shared" ref="A903:A966" si="33">A902+7</f>
        <v>40611</v>
      </c>
      <c r="B903" s="137">
        <v>447</v>
      </c>
      <c r="C903" s="137">
        <v>301</v>
      </c>
      <c r="D903" s="137">
        <v>1113</v>
      </c>
      <c r="E903" s="137">
        <v>2866</v>
      </c>
      <c r="F903" s="49">
        <v>969</v>
      </c>
      <c r="G903" s="92">
        <v>3614</v>
      </c>
      <c r="H903" s="49">
        <f t="shared" ref="H903:H988" si="34">B903+C903</f>
        <v>748</v>
      </c>
      <c r="I903" s="114">
        <f t="shared" si="27"/>
        <v>8341</v>
      </c>
      <c r="J903" s="224">
        <v>1124.6900729566237</v>
      </c>
      <c r="K903" s="47">
        <f t="shared" si="32"/>
        <v>10</v>
      </c>
      <c r="L903" s="219">
        <f t="shared" si="28"/>
        <v>40607</v>
      </c>
      <c r="M903" s="139"/>
      <c r="N903" s="137"/>
      <c r="O903" s="137"/>
      <c r="P903" s="137"/>
      <c r="Q903" s="137"/>
      <c r="R903" s="137"/>
      <c r="S903" s="138"/>
      <c r="T903" s="137"/>
      <c r="U903" s="140"/>
      <c r="V903" s="138"/>
    </row>
    <row r="904" spans="1:22" x14ac:dyDescent="0.25">
      <c r="A904" s="13">
        <f t="shared" si="33"/>
        <v>40618</v>
      </c>
      <c r="B904" s="142">
        <v>317</v>
      </c>
      <c r="C904" s="142">
        <v>318</v>
      </c>
      <c r="D904" s="142">
        <v>1111</v>
      </c>
      <c r="E904" s="142">
        <v>2276</v>
      </c>
      <c r="F904" s="142">
        <v>671</v>
      </c>
      <c r="G904" s="92">
        <v>3840</v>
      </c>
      <c r="H904" s="49">
        <f t="shared" si="34"/>
        <v>635</v>
      </c>
      <c r="I904" s="114">
        <f t="shared" si="27"/>
        <v>7862</v>
      </c>
      <c r="J904" s="224">
        <v>2244.0582685964177</v>
      </c>
      <c r="K904" s="47">
        <f t="shared" si="32"/>
        <v>11</v>
      </c>
      <c r="L904" s="219">
        <f t="shared" si="28"/>
        <v>40614</v>
      </c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spans="1:22" x14ac:dyDescent="0.25">
      <c r="A905" s="13">
        <f t="shared" si="33"/>
        <v>40625</v>
      </c>
      <c r="B905" s="142">
        <v>381</v>
      </c>
      <c r="C905" s="142">
        <v>456</v>
      </c>
      <c r="D905" s="142">
        <v>1706</v>
      </c>
      <c r="E905" s="142">
        <v>2367</v>
      </c>
      <c r="F905" s="142">
        <v>881</v>
      </c>
      <c r="G905" s="92">
        <v>4731</v>
      </c>
      <c r="H905" s="49">
        <f t="shared" si="34"/>
        <v>837</v>
      </c>
      <c r="I905" s="114">
        <f t="shared" si="27"/>
        <v>9641</v>
      </c>
      <c r="J905" s="224">
        <v>1528.265769482857</v>
      </c>
      <c r="K905" s="47">
        <f>K904+1</f>
        <v>12</v>
      </c>
      <c r="L905" s="219">
        <f t="shared" si="28"/>
        <v>40621</v>
      </c>
      <c r="M905" s="146"/>
      <c r="N905" s="146"/>
      <c r="O905" s="146"/>
      <c r="P905" s="146"/>
      <c r="Q905" s="146"/>
      <c r="R905" s="146"/>
      <c r="S905" s="146"/>
      <c r="T905" s="146"/>
      <c r="U905" s="146"/>
      <c r="V905" s="39"/>
    </row>
    <row r="906" spans="1:22" x14ac:dyDescent="0.25">
      <c r="A906" s="13">
        <f t="shared" si="33"/>
        <v>40632</v>
      </c>
      <c r="B906" s="142">
        <v>298</v>
      </c>
      <c r="C906" s="142">
        <v>429</v>
      </c>
      <c r="D906" s="142">
        <v>1282</v>
      </c>
      <c r="E906" s="142">
        <v>2407</v>
      </c>
      <c r="F906" s="142">
        <v>1318</v>
      </c>
      <c r="G906" s="92">
        <v>4923</v>
      </c>
      <c r="H906" s="49">
        <f t="shared" si="34"/>
        <v>727</v>
      </c>
      <c r="I906" s="114">
        <f t="shared" si="27"/>
        <v>9339</v>
      </c>
      <c r="J906" s="224">
        <v>2275.9895324973945</v>
      </c>
      <c r="K906" s="47">
        <f t="shared" si="32"/>
        <v>13</v>
      </c>
      <c r="L906" s="219">
        <f t="shared" si="28"/>
        <v>40628</v>
      </c>
      <c r="M906" s="146"/>
      <c r="N906" s="146"/>
      <c r="O906" s="146"/>
      <c r="P906" s="146"/>
      <c r="Q906" s="146"/>
      <c r="R906" s="146"/>
      <c r="S906" s="146"/>
      <c r="T906" s="146"/>
      <c r="U906" s="146"/>
      <c r="V906" s="39"/>
    </row>
    <row r="907" spans="1:22" x14ac:dyDescent="0.25">
      <c r="A907" s="13">
        <f t="shared" si="33"/>
        <v>40639</v>
      </c>
      <c r="B907" s="142">
        <v>409</v>
      </c>
      <c r="C907" s="142">
        <v>191</v>
      </c>
      <c r="D907" s="142">
        <v>1104</v>
      </c>
      <c r="E907" s="142">
        <v>2965</v>
      </c>
      <c r="F907" s="142">
        <v>1557</v>
      </c>
      <c r="G907" s="92">
        <v>3868</v>
      </c>
      <c r="H907" s="49">
        <f t="shared" si="34"/>
        <v>600</v>
      </c>
      <c r="I907" s="114">
        <f t="shared" si="27"/>
        <v>8537</v>
      </c>
      <c r="J907" s="224">
        <v>1790.8117171131096</v>
      </c>
      <c r="K907" s="47">
        <f t="shared" si="32"/>
        <v>14</v>
      </c>
      <c r="L907" s="219">
        <f t="shared" si="28"/>
        <v>40635</v>
      </c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</row>
    <row r="908" spans="1:22" x14ac:dyDescent="0.25">
      <c r="A908" s="13">
        <f t="shared" si="33"/>
        <v>40646</v>
      </c>
      <c r="B908" s="142">
        <v>333</v>
      </c>
      <c r="C908" s="142">
        <v>206</v>
      </c>
      <c r="D908" s="142">
        <v>703</v>
      </c>
      <c r="E908" s="142">
        <v>2654</v>
      </c>
      <c r="F908" s="142">
        <v>1116</v>
      </c>
      <c r="G908" s="92">
        <v>3990</v>
      </c>
      <c r="H908" s="49">
        <f t="shared" si="34"/>
        <v>539</v>
      </c>
      <c r="I908" s="114">
        <f t="shared" si="27"/>
        <v>7886</v>
      </c>
      <c r="J908" s="224">
        <v>3952.380887298671</v>
      </c>
      <c r="K908" s="47">
        <f t="shared" si="32"/>
        <v>15</v>
      </c>
      <c r="L908" s="221">
        <f t="shared" si="28"/>
        <v>40642</v>
      </c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</row>
    <row r="909" spans="1:22" x14ac:dyDescent="0.25">
      <c r="A909" s="13">
        <f t="shared" si="33"/>
        <v>40653</v>
      </c>
      <c r="B909" s="142">
        <v>390</v>
      </c>
      <c r="C909" s="142">
        <v>174</v>
      </c>
      <c r="D909" s="142">
        <v>228</v>
      </c>
      <c r="E909" s="142">
        <v>2213</v>
      </c>
      <c r="F909" s="142">
        <v>1390</v>
      </c>
      <c r="G909" s="92">
        <v>4116</v>
      </c>
      <c r="H909" s="49">
        <f t="shared" si="34"/>
        <v>564</v>
      </c>
      <c r="I909" s="114">
        <f t="shared" si="27"/>
        <v>7121</v>
      </c>
      <c r="J909" s="224">
        <v>2763.8282865400943</v>
      </c>
      <c r="K909" s="47">
        <f>K908+1</f>
        <v>16</v>
      </c>
      <c r="L909" s="219">
        <f t="shared" si="28"/>
        <v>40649</v>
      </c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</row>
    <row r="910" spans="1:22" x14ac:dyDescent="0.25">
      <c r="A910" s="13">
        <f t="shared" si="33"/>
        <v>40660</v>
      </c>
      <c r="B910" s="142">
        <v>370</v>
      </c>
      <c r="C910" s="142">
        <v>256</v>
      </c>
      <c r="D910" s="142">
        <v>482</v>
      </c>
      <c r="E910" s="142">
        <v>2492</v>
      </c>
      <c r="F910" s="142">
        <v>1188</v>
      </c>
      <c r="G910" s="92">
        <v>3936</v>
      </c>
      <c r="H910" s="49">
        <f t="shared" si="34"/>
        <v>626</v>
      </c>
      <c r="I910" s="114">
        <f t="shared" si="27"/>
        <v>7536</v>
      </c>
      <c r="J910" s="224">
        <v>2627.2334354081381</v>
      </c>
      <c r="K910" s="47">
        <f t="shared" si="32"/>
        <v>17</v>
      </c>
      <c r="L910" s="219">
        <f t="shared" si="28"/>
        <v>40656</v>
      </c>
      <c r="M910" s="147"/>
      <c r="N910" s="148"/>
      <c r="O910" s="148"/>
      <c r="P910" s="148"/>
      <c r="Q910" s="148"/>
      <c r="R910" s="148"/>
      <c r="S910" s="149"/>
      <c r="T910" s="148"/>
      <c r="U910" s="150"/>
      <c r="V910" s="149"/>
    </row>
    <row r="911" spans="1:22" x14ac:dyDescent="0.25">
      <c r="A911" s="13">
        <f t="shared" si="33"/>
        <v>40667</v>
      </c>
      <c r="B911" s="142">
        <v>388</v>
      </c>
      <c r="C911" s="142">
        <v>3</v>
      </c>
      <c r="D911" s="142">
        <v>404</v>
      </c>
      <c r="E911" s="142">
        <v>2508</v>
      </c>
      <c r="F911" s="142">
        <v>1090</v>
      </c>
      <c r="G911" s="92">
        <v>3219</v>
      </c>
      <c r="H911" s="49">
        <f t="shared" si="34"/>
        <v>391</v>
      </c>
      <c r="I911" s="114">
        <f t="shared" si="27"/>
        <v>6522</v>
      </c>
      <c r="J911" s="224">
        <v>2400.1666698900817</v>
      </c>
      <c r="K911" s="47">
        <f t="shared" si="32"/>
        <v>18</v>
      </c>
      <c r="L911" s="219">
        <f t="shared" si="28"/>
        <v>40663</v>
      </c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</row>
    <row r="912" spans="1:22" x14ac:dyDescent="0.25">
      <c r="A912" s="13">
        <f t="shared" si="33"/>
        <v>40674</v>
      </c>
      <c r="B912" s="142">
        <v>478</v>
      </c>
      <c r="C912" s="142">
        <v>151</v>
      </c>
      <c r="D912" s="142">
        <v>778</v>
      </c>
      <c r="E912" s="142">
        <v>2099</v>
      </c>
      <c r="F912" s="142">
        <v>1095</v>
      </c>
      <c r="G912" s="92">
        <v>3979</v>
      </c>
      <c r="H912" s="49">
        <f t="shared" si="34"/>
        <v>629</v>
      </c>
      <c r="I912" s="114">
        <f t="shared" si="27"/>
        <v>7485</v>
      </c>
      <c r="J912" s="224">
        <v>2620.1375989856992</v>
      </c>
      <c r="K912" s="47">
        <f t="shared" si="32"/>
        <v>19</v>
      </c>
      <c r="L912" s="219">
        <f t="shared" si="28"/>
        <v>40670</v>
      </c>
      <c r="M912" s="152"/>
      <c r="N912" s="152"/>
      <c r="O912" s="152"/>
      <c r="P912" s="152"/>
      <c r="Q912" s="152"/>
      <c r="R912" s="153"/>
      <c r="S912" s="152"/>
      <c r="T912" s="154"/>
      <c r="U912" s="153"/>
      <c r="V912" s="146"/>
    </row>
    <row r="913" spans="1:22" x14ac:dyDescent="0.25">
      <c r="A913" s="13">
        <f t="shared" si="33"/>
        <v>40681</v>
      </c>
      <c r="B913" s="142">
        <v>402</v>
      </c>
      <c r="C913" s="142">
        <v>8</v>
      </c>
      <c r="D913" s="142">
        <v>537</v>
      </c>
      <c r="E913" s="142">
        <v>1596</v>
      </c>
      <c r="F913" s="142">
        <v>1152</v>
      </c>
      <c r="G913" s="92">
        <v>3797</v>
      </c>
      <c r="H913" s="49">
        <f t="shared" si="34"/>
        <v>410</v>
      </c>
      <c r="I913" s="114">
        <f t="shared" ref="I913:I976" si="35">SUM(D913:H913)-F913</f>
        <v>6340</v>
      </c>
      <c r="J913" s="224">
        <v>1298.5380653063855</v>
      </c>
      <c r="K913" s="47">
        <f t="shared" si="32"/>
        <v>20</v>
      </c>
      <c r="L913" s="219">
        <f t="shared" si="28"/>
        <v>40677</v>
      </c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</row>
    <row r="914" spans="1:22" x14ac:dyDescent="0.25">
      <c r="A914" s="13">
        <f t="shared" si="33"/>
        <v>40688</v>
      </c>
      <c r="B914" s="47">
        <v>433</v>
      </c>
      <c r="C914" s="155">
        <v>0</v>
      </c>
      <c r="D914" s="47">
        <v>554</v>
      </c>
      <c r="E914" s="151">
        <v>1854</v>
      </c>
      <c r="F914" s="151">
        <v>1338</v>
      </c>
      <c r="G914" s="151">
        <v>4341</v>
      </c>
      <c r="H914" s="49">
        <f t="shared" si="34"/>
        <v>433</v>
      </c>
      <c r="I914" s="114">
        <f t="shared" si="35"/>
        <v>7182</v>
      </c>
      <c r="J914" s="224">
        <v>2380.6531197283739</v>
      </c>
      <c r="K914" s="47">
        <f t="shared" si="32"/>
        <v>21</v>
      </c>
      <c r="L914" s="219">
        <f t="shared" si="28"/>
        <v>40684</v>
      </c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</row>
    <row r="915" spans="1:22" x14ac:dyDescent="0.25">
      <c r="A915" s="13">
        <f t="shared" si="33"/>
        <v>40695</v>
      </c>
      <c r="B915" s="142">
        <v>0</v>
      </c>
      <c r="C915" s="142">
        <v>169</v>
      </c>
      <c r="D915" s="142">
        <v>435</v>
      </c>
      <c r="E915" s="142">
        <v>2323</v>
      </c>
      <c r="F915" s="142">
        <v>1427</v>
      </c>
      <c r="G915" s="92">
        <v>3225</v>
      </c>
      <c r="H915" s="49">
        <f t="shared" si="34"/>
        <v>169</v>
      </c>
      <c r="I915" s="114">
        <f t="shared" si="35"/>
        <v>6152</v>
      </c>
      <c r="J915" s="224">
        <v>2103.0285197004373</v>
      </c>
      <c r="K915" s="47">
        <f t="shared" si="32"/>
        <v>22</v>
      </c>
      <c r="L915" s="219">
        <f t="shared" si="28"/>
        <v>40691</v>
      </c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</row>
    <row r="916" spans="1:22" x14ac:dyDescent="0.25">
      <c r="A916" s="13">
        <f t="shared" si="33"/>
        <v>40702</v>
      </c>
      <c r="B916" s="142">
        <v>21</v>
      </c>
      <c r="C916" s="142">
        <v>61</v>
      </c>
      <c r="D916" s="142">
        <v>373</v>
      </c>
      <c r="E916" s="142">
        <v>1636</v>
      </c>
      <c r="F916" s="142">
        <v>1117</v>
      </c>
      <c r="G916" s="92">
        <v>3684</v>
      </c>
      <c r="H916" s="49">
        <f t="shared" si="34"/>
        <v>82</v>
      </c>
      <c r="I916" s="114">
        <f t="shared" si="35"/>
        <v>5775</v>
      </c>
      <c r="J916" s="224">
        <v>1577.0496448871268</v>
      </c>
      <c r="K916" s="47">
        <f t="shared" si="32"/>
        <v>23</v>
      </c>
      <c r="L916" s="219">
        <f t="shared" si="28"/>
        <v>40698</v>
      </c>
      <c r="M916" s="156"/>
      <c r="N916" s="157"/>
      <c r="O916" s="157"/>
      <c r="P916" s="157"/>
      <c r="Q916" s="157"/>
      <c r="R916" s="157"/>
      <c r="S916" s="158"/>
      <c r="T916" s="157"/>
      <c r="U916" s="159"/>
      <c r="V916" s="158"/>
    </row>
    <row r="917" spans="1:22" x14ac:dyDescent="0.25">
      <c r="A917" s="13">
        <f t="shared" si="33"/>
        <v>40709</v>
      </c>
      <c r="B917" s="142">
        <v>267</v>
      </c>
      <c r="C917" s="142">
        <v>7</v>
      </c>
      <c r="D917" s="142">
        <v>156</v>
      </c>
      <c r="E917" s="142">
        <v>1198</v>
      </c>
      <c r="F917" s="142">
        <v>322</v>
      </c>
      <c r="G917" s="92">
        <v>3251</v>
      </c>
      <c r="H917" s="49">
        <f t="shared" si="34"/>
        <v>274</v>
      </c>
      <c r="I917" s="114">
        <f t="shared" si="35"/>
        <v>4879</v>
      </c>
      <c r="J917" s="224">
        <v>2460.4812794808158</v>
      </c>
      <c r="K917" s="47">
        <f t="shared" si="32"/>
        <v>24</v>
      </c>
      <c r="L917" s="219">
        <f t="shared" si="28"/>
        <v>40705</v>
      </c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</row>
    <row r="918" spans="1:22" x14ac:dyDescent="0.25">
      <c r="A918" s="13">
        <f t="shared" si="33"/>
        <v>40716</v>
      </c>
      <c r="B918" s="142">
        <v>200</v>
      </c>
      <c r="C918" s="142">
        <v>201</v>
      </c>
      <c r="D918" s="142">
        <v>231</v>
      </c>
      <c r="E918" s="142">
        <v>1284</v>
      </c>
      <c r="F918" s="142">
        <v>1016</v>
      </c>
      <c r="G918" s="92">
        <v>3771</v>
      </c>
      <c r="H918" s="49">
        <f t="shared" si="34"/>
        <v>401</v>
      </c>
      <c r="I918" s="114">
        <f t="shared" si="35"/>
        <v>5687</v>
      </c>
      <c r="J918" s="224">
        <v>1577.9366244399316</v>
      </c>
      <c r="K918" s="47">
        <f t="shared" si="32"/>
        <v>25</v>
      </c>
      <c r="L918" s="219">
        <f t="shared" si="28"/>
        <v>40712</v>
      </c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</row>
    <row r="919" spans="1:22" x14ac:dyDescent="0.25">
      <c r="A919" s="13">
        <f t="shared" si="33"/>
        <v>40723</v>
      </c>
      <c r="B919" s="142">
        <v>188</v>
      </c>
      <c r="C919" s="142">
        <v>10</v>
      </c>
      <c r="D919" s="142">
        <v>218</v>
      </c>
      <c r="E919" s="142">
        <v>958</v>
      </c>
      <c r="F919" s="142">
        <v>664</v>
      </c>
      <c r="G919" s="92">
        <v>3221</v>
      </c>
      <c r="H919" s="49">
        <f t="shared" si="34"/>
        <v>198</v>
      </c>
      <c r="I919" s="114">
        <f t="shared" si="35"/>
        <v>4595</v>
      </c>
      <c r="J919" s="224">
        <v>2746.9756750368006</v>
      </c>
      <c r="K919" s="47">
        <f>K918+1</f>
        <v>26</v>
      </c>
      <c r="L919" s="219">
        <f>L918+7</f>
        <v>40719</v>
      </c>
      <c r="M919" s="162"/>
      <c r="N919" s="162"/>
      <c r="O919" s="162"/>
      <c r="P919" s="162"/>
      <c r="Q919" s="162"/>
      <c r="R919" s="161"/>
      <c r="S919" s="162"/>
      <c r="T919" s="163"/>
      <c r="U919" s="161"/>
      <c r="V919" s="160"/>
    </row>
    <row r="920" spans="1:22" x14ac:dyDescent="0.25">
      <c r="A920" s="13">
        <f t="shared" si="33"/>
        <v>40730</v>
      </c>
      <c r="B920" s="142">
        <v>167</v>
      </c>
      <c r="C920" s="142">
        <v>15</v>
      </c>
      <c r="D920" s="142">
        <v>209</v>
      </c>
      <c r="E920" s="142">
        <v>1054</v>
      </c>
      <c r="F920" s="142">
        <v>1467</v>
      </c>
      <c r="G920" s="92">
        <v>2316</v>
      </c>
      <c r="H920" s="49">
        <f t="shared" si="34"/>
        <v>182</v>
      </c>
      <c r="I920" s="114">
        <f t="shared" si="35"/>
        <v>3761</v>
      </c>
      <c r="J920" s="224">
        <v>2379.7661401755686</v>
      </c>
      <c r="K920" s="47">
        <f t="shared" si="32"/>
        <v>27</v>
      </c>
      <c r="L920" s="219">
        <f t="shared" ref="L920:L982" si="36">L919+7</f>
        <v>40726</v>
      </c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</row>
    <row r="921" spans="1:22" x14ac:dyDescent="0.25">
      <c r="A921" s="13">
        <f t="shared" si="33"/>
        <v>40737</v>
      </c>
      <c r="B921" s="142">
        <v>279</v>
      </c>
      <c r="C921" s="142">
        <v>4</v>
      </c>
      <c r="D921" s="142">
        <v>167</v>
      </c>
      <c r="E921" s="142">
        <v>1298</v>
      </c>
      <c r="F921" s="142">
        <v>988</v>
      </c>
      <c r="G921" s="92">
        <v>3756</v>
      </c>
      <c r="H921" s="49">
        <f t="shared" si="34"/>
        <v>283</v>
      </c>
      <c r="I921" s="114">
        <f t="shared" si="35"/>
        <v>5504</v>
      </c>
      <c r="J921" s="224">
        <v>1954.0159548292129</v>
      </c>
      <c r="K921" s="47">
        <f t="shared" si="32"/>
        <v>28</v>
      </c>
      <c r="L921" s="218">
        <f t="shared" si="36"/>
        <v>40733</v>
      </c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</row>
    <row r="922" spans="1:22" x14ac:dyDescent="0.25">
      <c r="A922" s="13">
        <f t="shared" si="33"/>
        <v>40744</v>
      </c>
      <c r="B922" s="142">
        <v>171</v>
      </c>
      <c r="C922" s="142">
        <v>6</v>
      </c>
      <c r="D922" s="142">
        <v>3</v>
      </c>
      <c r="E922" s="142">
        <v>627</v>
      </c>
      <c r="F922" s="142">
        <v>1381</v>
      </c>
      <c r="G922" s="92">
        <v>3653</v>
      </c>
      <c r="H922" s="49">
        <f t="shared" si="34"/>
        <v>177</v>
      </c>
      <c r="I922" s="114">
        <f t="shared" si="35"/>
        <v>4460</v>
      </c>
      <c r="J922" s="224">
        <v>2024.0873395008007</v>
      </c>
      <c r="K922" s="47">
        <f>K921+1</f>
        <v>29</v>
      </c>
      <c r="L922" s="219">
        <f t="shared" si="36"/>
        <v>40740</v>
      </c>
      <c r="M922" s="168"/>
      <c r="N922" s="170"/>
      <c r="O922" s="170"/>
      <c r="P922" s="170"/>
      <c r="Q922" s="170"/>
      <c r="R922" s="170"/>
      <c r="S922" s="169"/>
      <c r="T922" s="170"/>
      <c r="U922" s="171"/>
      <c r="V922" s="169"/>
    </row>
    <row r="923" spans="1:22" x14ac:dyDescent="0.25">
      <c r="A923" s="13">
        <f t="shared" si="33"/>
        <v>40751</v>
      </c>
      <c r="B923" s="142">
        <v>248</v>
      </c>
      <c r="C923" s="142">
        <v>7</v>
      </c>
      <c r="D923" s="142">
        <v>111</v>
      </c>
      <c r="E923" s="142">
        <v>653</v>
      </c>
      <c r="F923" s="142">
        <v>901</v>
      </c>
      <c r="G923" s="92">
        <v>3562</v>
      </c>
      <c r="H923" s="49">
        <f t="shared" si="34"/>
        <v>255</v>
      </c>
      <c r="I923" s="114">
        <f t="shared" si="35"/>
        <v>4581</v>
      </c>
      <c r="J923" s="224">
        <v>1504.3173215571244</v>
      </c>
      <c r="K923" s="47">
        <f t="shared" si="32"/>
        <v>30</v>
      </c>
      <c r="L923" s="219">
        <f t="shared" si="36"/>
        <v>40747</v>
      </c>
      <c r="M923" s="156"/>
      <c r="N923" s="157"/>
      <c r="O923" s="157"/>
      <c r="P923" s="157"/>
      <c r="Q923" s="157"/>
      <c r="R923" s="157"/>
      <c r="S923" s="158"/>
      <c r="T923" s="157"/>
      <c r="U923" s="159"/>
      <c r="V923" s="158"/>
    </row>
    <row r="924" spans="1:22" x14ac:dyDescent="0.25">
      <c r="A924" s="13">
        <f t="shared" si="33"/>
        <v>40758</v>
      </c>
      <c r="B924" s="142">
        <v>185</v>
      </c>
      <c r="C924" s="142">
        <v>10</v>
      </c>
      <c r="D924" s="142">
        <v>206</v>
      </c>
      <c r="E924" s="142">
        <v>1172</v>
      </c>
      <c r="F924" s="142">
        <v>833</v>
      </c>
      <c r="G924" s="92">
        <v>3932</v>
      </c>
      <c r="H924" s="49">
        <f t="shared" si="34"/>
        <v>195</v>
      </c>
      <c r="I924" s="114">
        <f t="shared" si="35"/>
        <v>5505</v>
      </c>
      <c r="J924" s="224">
        <v>1946.9201184067736</v>
      </c>
      <c r="K924" s="47">
        <f t="shared" si="32"/>
        <v>31</v>
      </c>
      <c r="L924" s="219">
        <f t="shared" si="36"/>
        <v>40754</v>
      </c>
      <c r="M924" s="146"/>
      <c r="N924" s="146"/>
      <c r="O924" s="146"/>
      <c r="P924" s="146"/>
      <c r="Q924" s="146"/>
      <c r="R924" s="146"/>
      <c r="S924" s="146"/>
      <c r="T924" s="146"/>
      <c r="U924" s="146"/>
      <c r="V924" s="160"/>
    </row>
    <row r="925" spans="1:22" x14ac:dyDescent="0.25">
      <c r="A925" s="13">
        <f t="shared" si="33"/>
        <v>40765</v>
      </c>
      <c r="B925" s="142">
        <v>252</v>
      </c>
      <c r="C925" s="142">
        <v>80</v>
      </c>
      <c r="D925" s="142">
        <v>0</v>
      </c>
      <c r="E925" s="142">
        <v>771</v>
      </c>
      <c r="F925" s="142">
        <v>1161</v>
      </c>
      <c r="G925" s="92">
        <v>2281</v>
      </c>
      <c r="H925" s="49">
        <f t="shared" si="34"/>
        <v>332</v>
      </c>
      <c r="I925" s="114">
        <f t="shared" si="35"/>
        <v>3384</v>
      </c>
      <c r="J925" s="224">
        <v>1728.723148416766</v>
      </c>
      <c r="K925" s="47">
        <f t="shared" si="32"/>
        <v>32</v>
      </c>
      <c r="L925" s="219">
        <f t="shared" si="36"/>
        <v>40761</v>
      </c>
      <c r="M925" s="146"/>
      <c r="N925" s="146"/>
      <c r="O925" s="146"/>
      <c r="P925" s="146"/>
      <c r="Q925" s="146"/>
      <c r="R925" s="146"/>
      <c r="S925" s="146"/>
      <c r="T925" s="146"/>
      <c r="U925" s="146"/>
      <c r="V925" s="160"/>
    </row>
    <row r="926" spans="1:22" x14ac:dyDescent="0.25">
      <c r="A926" s="13">
        <f t="shared" si="33"/>
        <v>40772</v>
      </c>
      <c r="B926" s="142">
        <v>165</v>
      </c>
      <c r="C926" s="142">
        <v>3</v>
      </c>
      <c r="D926" s="142">
        <v>128</v>
      </c>
      <c r="E926" s="142">
        <v>1491</v>
      </c>
      <c r="F926" s="142">
        <v>798</v>
      </c>
      <c r="G926" s="92">
        <v>2068</v>
      </c>
      <c r="H926" s="49">
        <f t="shared" si="34"/>
        <v>168</v>
      </c>
      <c r="I926" s="114">
        <f t="shared" si="35"/>
        <v>3855</v>
      </c>
      <c r="J926" s="224">
        <v>1342.0000633938262</v>
      </c>
      <c r="K926" s="47">
        <f t="shared" si="32"/>
        <v>33</v>
      </c>
      <c r="L926" s="219">
        <f t="shared" si="36"/>
        <v>40768</v>
      </c>
      <c r="M926" s="164"/>
      <c r="N926" s="164"/>
      <c r="O926" s="164"/>
      <c r="P926" s="164"/>
      <c r="Q926" s="164"/>
      <c r="R926" s="165"/>
      <c r="S926" s="164"/>
      <c r="T926" s="166"/>
      <c r="U926" s="165"/>
      <c r="V926" s="160"/>
    </row>
    <row r="927" spans="1:22" x14ac:dyDescent="0.25">
      <c r="A927" s="13">
        <f t="shared" si="33"/>
        <v>40779</v>
      </c>
      <c r="B927" s="142">
        <v>95</v>
      </c>
      <c r="C927" s="142">
        <v>0</v>
      </c>
      <c r="D927" s="142">
        <v>108</v>
      </c>
      <c r="E927" s="142">
        <v>897</v>
      </c>
      <c r="F927" s="142">
        <v>651</v>
      </c>
      <c r="G927" s="92">
        <v>3092</v>
      </c>
      <c r="H927" s="49">
        <f t="shared" si="34"/>
        <v>95</v>
      </c>
      <c r="I927" s="114">
        <f t="shared" si="35"/>
        <v>4192</v>
      </c>
      <c r="J927" s="224">
        <v>1663.9736410620078</v>
      </c>
      <c r="K927" s="47">
        <f t="shared" si="32"/>
        <v>34</v>
      </c>
      <c r="L927" s="219">
        <f t="shared" si="36"/>
        <v>40775</v>
      </c>
      <c r="M927" s="146"/>
      <c r="N927" s="146"/>
      <c r="O927" s="146"/>
      <c r="P927" s="146"/>
      <c r="Q927" s="146"/>
      <c r="R927" s="146"/>
      <c r="S927" s="146"/>
      <c r="T927" s="146"/>
      <c r="U927" s="146"/>
      <c r="V927" s="160"/>
    </row>
    <row r="928" spans="1:22" x14ac:dyDescent="0.25">
      <c r="A928" s="13">
        <f t="shared" si="33"/>
        <v>40786</v>
      </c>
      <c r="B928" s="142">
        <v>0</v>
      </c>
      <c r="C928" s="142">
        <v>0</v>
      </c>
      <c r="D928" s="142">
        <v>1</v>
      </c>
      <c r="E928" s="142">
        <v>700</v>
      </c>
      <c r="F928" s="142">
        <v>601</v>
      </c>
      <c r="G928" s="92">
        <v>3056</v>
      </c>
      <c r="H928" s="49">
        <f t="shared" si="34"/>
        <v>0</v>
      </c>
      <c r="I928" s="114">
        <f t="shared" si="35"/>
        <v>3757</v>
      </c>
      <c r="J928" s="224">
        <v>1771.2981669514018</v>
      </c>
      <c r="K928" s="47">
        <f t="shared" si="32"/>
        <v>35</v>
      </c>
      <c r="L928" s="219">
        <f t="shared" si="36"/>
        <v>40782</v>
      </c>
      <c r="M928" s="146"/>
      <c r="N928" s="146"/>
      <c r="O928" s="146"/>
      <c r="P928" s="146"/>
      <c r="Q928" s="146"/>
      <c r="R928" s="146"/>
      <c r="S928" s="146"/>
      <c r="T928" s="146"/>
      <c r="U928" s="146"/>
      <c r="V928" s="160"/>
    </row>
    <row r="929" spans="1:22" x14ac:dyDescent="0.25">
      <c r="A929" s="13">
        <f t="shared" si="33"/>
        <v>40793</v>
      </c>
      <c r="B929" s="142">
        <v>34</v>
      </c>
      <c r="C929" s="142">
        <v>0</v>
      </c>
      <c r="D929" s="142">
        <v>120</v>
      </c>
      <c r="E929" s="142">
        <v>839</v>
      </c>
      <c r="F929" s="142">
        <v>624</v>
      </c>
      <c r="G929" s="92">
        <v>2777</v>
      </c>
      <c r="H929" s="49">
        <f t="shared" si="34"/>
        <v>34</v>
      </c>
      <c r="I929" s="114">
        <f t="shared" si="35"/>
        <v>3770</v>
      </c>
      <c r="J929" s="224">
        <v>1302.0859835176052</v>
      </c>
      <c r="K929" s="47">
        <f t="shared" si="32"/>
        <v>36</v>
      </c>
      <c r="L929" s="219">
        <f t="shared" si="36"/>
        <v>40789</v>
      </c>
      <c r="M929" s="168"/>
      <c r="N929" s="170"/>
      <c r="O929" s="170"/>
      <c r="P929" s="170"/>
      <c r="Q929" s="170"/>
      <c r="R929" s="170"/>
      <c r="S929" s="169"/>
      <c r="T929" s="170"/>
      <c r="U929" s="171"/>
      <c r="V929" s="169"/>
    </row>
    <row r="930" spans="1:22" x14ac:dyDescent="0.25">
      <c r="A930" s="13">
        <f t="shared" si="33"/>
        <v>40800</v>
      </c>
      <c r="B930" s="142">
        <v>32</v>
      </c>
      <c r="C930" s="142">
        <v>0</v>
      </c>
      <c r="D930" s="142">
        <v>110</v>
      </c>
      <c r="E930" s="142">
        <v>1654</v>
      </c>
      <c r="F930" s="142">
        <v>1270</v>
      </c>
      <c r="G930" s="92">
        <v>1986</v>
      </c>
      <c r="H930" s="49">
        <f t="shared" si="34"/>
        <v>32</v>
      </c>
      <c r="I930" s="114">
        <f t="shared" si="35"/>
        <v>3782</v>
      </c>
      <c r="J930" s="224">
        <v>1754.4455554481085</v>
      </c>
      <c r="K930" s="47">
        <f t="shared" si="32"/>
        <v>37</v>
      </c>
      <c r="L930" s="219">
        <f t="shared" si="36"/>
        <v>40796</v>
      </c>
      <c r="M930" s="147"/>
      <c r="N930" s="148"/>
      <c r="O930" s="148"/>
      <c r="P930" s="148"/>
      <c r="Q930" s="148"/>
      <c r="R930" s="148"/>
      <c r="S930" s="149"/>
      <c r="T930" s="148"/>
      <c r="U930" s="150"/>
      <c r="V930" s="158"/>
    </row>
    <row r="931" spans="1:22" x14ac:dyDescent="0.25">
      <c r="A931" s="13">
        <f t="shared" si="33"/>
        <v>40807</v>
      </c>
      <c r="B931" s="142">
        <v>82</v>
      </c>
      <c r="C931" s="142">
        <v>0</v>
      </c>
      <c r="D931" s="142">
        <v>149</v>
      </c>
      <c r="E931" s="142">
        <v>1421</v>
      </c>
      <c r="F931" s="142">
        <v>748</v>
      </c>
      <c r="G931" s="92">
        <v>2399</v>
      </c>
      <c r="H931" s="49">
        <f t="shared" si="34"/>
        <v>82</v>
      </c>
      <c r="I931" s="114">
        <f t="shared" si="35"/>
        <v>4051</v>
      </c>
      <c r="J931" s="224">
        <v>2130.5248858373898</v>
      </c>
      <c r="K931" s="47">
        <f t="shared" si="32"/>
        <v>38</v>
      </c>
      <c r="L931" s="219">
        <f t="shared" si="36"/>
        <v>40803</v>
      </c>
      <c r="M931" s="146"/>
      <c r="N931" s="146"/>
      <c r="O931" s="146"/>
      <c r="P931" s="146"/>
      <c r="Q931" s="146"/>
      <c r="R931" s="146"/>
      <c r="S931" s="146"/>
      <c r="T931" s="146"/>
      <c r="U931" s="146"/>
      <c r="V931" s="160"/>
    </row>
    <row r="932" spans="1:22" x14ac:dyDescent="0.25">
      <c r="A932" s="13">
        <f t="shared" si="33"/>
        <v>40814</v>
      </c>
      <c r="B932" s="142">
        <v>104</v>
      </c>
      <c r="C932" s="142">
        <v>90</v>
      </c>
      <c r="D932" s="142">
        <v>617</v>
      </c>
      <c r="E932" s="142">
        <v>1508</v>
      </c>
      <c r="F932" s="142">
        <v>662</v>
      </c>
      <c r="G932" s="92">
        <v>1707</v>
      </c>
      <c r="H932" s="49">
        <f t="shared" si="34"/>
        <v>194</v>
      </c>
      <c r="I932" s="114">
        <f t="shared" si="35"/>
        <v>4026</v>
      </c>
      <c r="J932" s="224">
        <v>1231.1276192932125</v>
      </c>
      <c r="K932" s="47">
        <f t="shared" si="32"/>
        <v>39</v>
      </c>
      <c r="L932" s="219">
        <f t="shared" si="36"/>
        <v>40810</v>
      </c>
      <c r="M932" s="146"/>
      <c r="N932" s="146"/>
      <c r="O932" s="146"/>
      <c r="P932" s="146"/>
      <c r="Q932" s="146"/>
      <c r="R932" s="146"/>
      <c r="S932" s="146"/>
      <c r="T932" s="146"/>
      <c r="U932" s="146"/>
    </row>
    <row r="933" spans="1:22" x14ac:dyDescent="0.25">
      <c r="A933" s="13">
        <f t="shared" si="33"/>
        <v>40821</v>
      </c>
      <c r="B933" s="142">
        <v>13</v>
      </c>
      <c r="C933" s="142">
        <v>157</v>
      </c>
      <c r="D933" s="142">
        <v>479</v>
      </c>
      <c r="E933" s="142">
        <v>978</v>
      </c>
      <c r="F933" s="142">
        <v>512</v>
      </c>
      <c r="G933" s="92">
        <v>2136</v>
      </c>
      <c r="H933" s="49">
        <f t="shared" si="34"/>
        <v>170</v>
      </c>
      <c r="I933" s="114">
        <f t="shared" si="35"/>
        <v>3763</v>
      </c>
      <c r="J933" s="224">
        <v>1653.3298864283488</v>
      </c>
      <c r="K933" s="47">
        <f t="shared" si="32"/>
        <v>40</v>
      </c>
      <c r="L933" s="219">
        <f t="shared" si="36"/>
        <v>40817</v>
      </c>
      <c r="M933" s="162"/>
      <c r="N933" s="162"/>
      <c r="O933" s="162"/>
      <c r="P933" s="162"/>
      <c r="Q933" s="162"/>
      <c r="R933" s="161"/>
      <c r="S933" s="162"/>
      <c r="T933" s="163"/>
      <c r="U933" s="161"/>
    </row>
    <row r="934" spans="1:22" x14ac:dyDescent="0.25">
      <c r="A934" s="13">
        <f t="shared" si="33"/>
        <v>40828</v>
      </c>
      <c r="B934" s="142">
        <v>135</v>
      </c>
      <c r="C934" s="142">
        <v>78</v>
      </c>
      <c r="D934" s="142">
        <v>279</v>
      </c>
      <c r="E934" s="142">
        <v>1060</v>
      </c>
      <c r="F934" s="142">
        <v>615</v>
      </c>
      <c r="G934" s="92">
        <v>3997</v>
      </c>
      <c r="H934" s="49">
        <f t="shared" si="34"/>
        <v>213</v>
      </c>
      <c r="I934" s="114">
        <f t="shared" si="35"/>
        <v>5549</v>
      </c>
      <c r="J934" s="224">
        <v>2056.0186034017775</v>
      </c>
      <c r="K934" s="47">
        <f t="shared" si="32"/>
        <v>41</v>
      </c>
      <c r="L934" s="222">
        <f t="shared" si="36"/>
        <v>40824</v>
      </c>
    </row>
    <row r="935" spans="1:22" x14ac:dyDescent="0.25">
      <c r="A935" s="13">
        <f t="shared" si="33"/>
        <v>40835</v>
      </c>
      <c r="B935" s="142">
        <v>159</v>
      </c>
      <c r="C935" s="142">
        <v>261</v>
      </c>
      <c r="D935" s="142">
        <v>791</v>
      </c>
      <c r="E935" s="142">
        <v>567</v>
      </c>
      <c r="F935" s="142">
        <v>1553</v>
      </c>
      <c r="G935" s="92">
        <v>4277</v>
      </c>
      <c r="H935" s="49">
        <f t="shared" si="34"/>
        <v>420</v>
      </c>
      <c r="I935" s="114">
        <f t="shared" si="35"/>
        <v>6055</v>
      </c>
      <c r="J935" s="224">
        <v>1076.7931771051585</v>
      </c>
      <c r="K935" s="47">
        <f t="shared" si="32"/>
        <v>42</v>
      </c>
      <c r="L935" s="219">
        <f t="shared" si="36"/>
        <v>40831</v>
      </c>
    </row>
    <row r="936" spans="1:22" x14ac:dyDescent="0.25">
      <c r="A936" s="13">
        <f t="shared" si="33"/>
        <v>40842</v>
      </c>
      <c r="B936" s="142">
        <v>351</v>
      </c>
      <c r="C936" s="142">
        <v>368</v>
      </c>
      <c r="D936" s="142">
        <v>891</v>
      </c>
      <c r="E936" s="142">
        <v>459</v>
      </c>
      <c r="F936" s="142">
        <v>1898</v>
      </c>
      <c r="G936" s="92">
        <v>4247</v>
      </c>
      <c r="H936" s="49">
        <f t="shared" si="34"/>
        <v>719</v>
      </c>
      <c r="I936" s="114">
        <f t="shared" si="35"/>
        <v>6316</v>
      </c>
      <c r="J936" s="224">
        <v>2381.5400992811788</v>
      </c>
      <c r="K936" s="47">
        <f t="shared" si="32"/>
        <v>43</v>
      </c>
      <c r="L936" s="219">
        <f t="shared" si="36"/>
        <v>40838</v>
      </c>
      <c r="M936" s="168"/>
      <c r="N936" s="170"/>
      <c r="O936" s="170"/>
      <c r="P936" s="170"/>
      <c r="Q936" s="170"/>
      <c r="R936" s="170"/>
      <c r="S936" s="169"/>
      <c r="T936" s="170"/>
      <c r="U936" s="171"/>
      <c r="V936" s="169"/>
    </row>
    <row r="937" spans="1:22" x14ac:dyDescent="0.25">
      <c r="A937" s="13">
        <f t="shared" si="33"/>
        <v>40849</v>
      </c>
      <c r="B937" s="142">
        <v>337</v>
      </c>
      <c r="C937" s="142">
        <v>211</v>
      </c>
      <c r="D937" s="142">
        <v>533</v>
      </c>
      <c r="E937" s="142">
        <v>121</v>
      </c>
      <c r="F937" s="142">
        <v>1221</v>
      </c>
      <c r="G937" s="92">
        <v>4027</v>
      </c>
      <c r="H937" s="49">
        <f t="shared" si="34"/>
        <v>548</v>
      </c>
      <c r="I937" s="114">
        <f t="shared" si="35"/>
        <v>5229</v>
      </c>
      <c r="J937" s="224">
        <v>1962.8857503572619</v>
      </c>
      <c r="K937" s="47">
        <f t="shared" si="32"/>
        <v>44</v>
      </c>
      <c r="L937" s="219">
        <f t="shared" si="36"/>
        <v>40845</v>
      </c>
    </row>
    <row r="938" spans="1:22" x14ac:dyDescent="0.25">
      <c r="A938" s="13">
        <f t="shared" si="33"/>
        <v>40856</v>
      </c>
      <c r="B938" s="142">
        <v>393</v>
      </c>
      <c r="C938" s="142">
        <v>464</v>
      </c>
      <c r="D938" s="142">
        <v>532</v>
      </c>
      <c r="E938" s="142">
        <v>302</v>
      </c>
      <c r="F938" s="142">
        <v>1031</v>
      </c>
      <c r="G938" s="92">
        <v>4041</v>
      </c>
      <c r="H938" s="49">
        <f t="shared" si="34"/>
        <v>857</v>
      </c>
      <c r="I938" s="114">
        <f t="shared" si="35"/>
        <v>5732</v>
      </c>
      <c r="J938" s="224">
        <v>2228.9796161987342</v>
      </c>
      <c r="K938" s="47">
        <f t="shared" si="32"/>
        <v>45</v>
      </c>
      <c r="L938" s="219">
        <f t="shared" si="36"/>
        <v>40852</v>
      </c>
    </row>
    <row r="939" spans="1:22" x14ac:dyDescent="0.25">
      <c r="A939" s="13">
        <f t="shared" si="33"/>
        <v>40863</v>
      </c>
      <c r="B939" s="142">
        <v>354</v>
      </c>
      <c r="C939" s="142">
        <v>378</v>
      </c>
      <c r="D939" s="142">
        <v>76</v>
      </c>
      <c r="E939" s="142">
        <v>644</v>
      </c>
      <c r="F939" s="142">
        <v>1298</v>
      </c>
      <c r="G939" s="92">
        <v>3623</v>
      </c>
      <c r="H939" s="49">
        <f t="shared" si="34"/>
        <v>732</v>
      </c>
      <c r="I939" s="114">
        <f t="shared" si="35"/>
        <v>5075</v>
      </c>
      <c r="J939" s="224">
        <v>1907.0060385305528</v>
      </c>
      <c r="K939" s="47">
        <f t="shared" si="32"/>
        <v>46</v>
      </c>
      <c r="L939" s="219">
        <f t="shared" si="36"/>
        <v>40859</v>
      </c>
    </row>
    <row r="940" spans="1:22" x14ac:dyDescent="0.25">
      <c r="A940" s="13">
        <f t="shared" si="33"/>
        <v>40870</v>
      </c>
      <c r="B940" s="142">
        <v>385</v>
      </c>
      <c r="C940" s="142">
        <v>308</v>
      </c>
      <c r="D940" s="142">
        <v>405</v>
      </c>
      <c r="E940" s="142">
        <v>1091</v>
      </c>
      <c r="F940" s="142">
        <v>862</v>
      </c>
      <c r="G940" s="92">
        <v>3507</v>
      </c>
      <c r="H940" s="49">
        <f t="shared" si="34"/>
        <v>693</v>
      </c>
      <c r="I940" s="114">
        <f t="shared" si="35"/>
        <v>5696</v>
      </c>
      <c r="J940" s="224">
        <v>1834.2737152005502</v>
      </c>
      <c r="K940" s="47">
        <f t="shared" si="32"/>
        <v>47</v>
      </c>
      <c r="L940" s="219">
        <f t="shared" si="36"/>
        <v>40866</v>
      </c>
    </row>
    <row r="941" spans="1:22" x14ac:dyDescent="0.25">
      <c r="A941" s="13">
        <f t="shared" si="33"/>
        <v>40877</v>
      </c>
      <c r="B941" s="142">
        <v>138</v>
      </c>
      <c r="C941" s="142">
        <v>256</v>
      </c>
      <c r="D941" s="142">
        <v>125</v>
      </c>
      <c r="E941" s="142">
        <v>992</v>
      </c>
      <c r="F941" s="142">
        <v>768</v>
      </c>
      <c r="G941" s="92">
        <v>3991</v>
      </c>
      <c r="H941" s="49">
        <f t="shared" si="34"/>
        <v>394</v>
      </c>
      <c r="I941" s="114">
        <f t="shared" si="35"/>
        <v>5502</v>
      </c>
      <c r="J941" s="224">
        <v>1569.9538084646877</v>
      </c>
      <c r="K941" s="47">
        <f t="shared" si="32"/>
        <v>48</v>
      </c>
      <c r="L941" s="219">
        <f t="shared" si="36"/>
        <v>40873</v>
      </c>
    </row>
    <row r="942" spans="1:22" x14ac:dyDescent="0.25">
      <c r="A942" s="13">
        <f t="shared" si="33"/>
        <v>40884</v>
      </c>
      <c r="B942" s="142">
        <v>317</v>
      </c>
      <c r="C942" s="142">
        <v>272</v>
      </c>
      <c r="D942" s="142">
        <v>111</v>
      </c>
      <c r="E942" s="142">
        <v>634</v>
      </c>
      <c r="F942" s="142">
        <v>778</v>
      </c>
      <c r="G942" s="92">
        <v>4152</v>
      </c>
      <c r="H942" s="49">
        <f t="shared" si="34"/>
        <v>589</v>
      </c>
      <c r="I942" s="114">
        <f t="shared" si="35"/>
        <v>5486</v>
      </c>
      <c r="J942" s="224">
        <v>1812.0992263804276</v>
      </c>
      <c r="K942" s="47">
        <f t="shared" si="32"/>
        <v>49</v>
      </c>
      <c r="L942" s="219">
        <f t="shared" si="36"/>
        <v>40880</v>
      </c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 spans="1:22" x14ac:dyDescent="0.25">
      <c r="A943" s="13">
        <f t="shared" si="33"/>
        <v>40891</v>
      </c>
      <c r="B943" s="142">
        <v>282</v>
      </c>
      <c r="C943" s="142">
        <v>296</v>
      </c>
      <c r="D943" s="142">
        <v>117</v>
      </c>
      <c r="E943" s="142">
        <v>790</v>
      </c>
      <c r="F943" s="142">
        <v>1197</v>
      </c>
      <c r="G943" s="92">
        <v>6272</v>
      </c>
      <c r="H943" s="49">
        <f t="shared" si="34"/>
        <v>578</v>
      </c>
      <c r="I943" s="114">
        <f t="shared" si="35"/>
        <v>7757</v>
      </c>
      <c r="J943" s="224">
        <v>1247.980230796506</v>
      </c>
      <c r="K943" s="47">
        <f t="shared" si="32"/>
        <v>50</v>
      </c>
      <c r="L943" s="219">
        <f t="shared" si="36"/>
        <v>40887</v>
      </c>
    </row>
    <row r="944" spans="1:22" x14ac:dyDescent="0.25">
      <c r="A944" s="13">
        <f t="shared" si="33"/>
        <v>40898</v>
      </c>
      <c r="B944" s="142">
        <v>431</v>
      </c>
      <c r="C944" s="142">
        <v>68</v>
      </c>
      <c r="D944" s="142">
        <v>56</v>
      </c>
      <c r="E944" s="142">
        <v>626</v>
      </c>
      <c r="F944" s="142">
        <v>708</v>
      </c>
      <c r="G944" s="92">
        <v>5674</v>
      </c>
      <c r="H944" s="49">
        <f t="shared" si="34"/>
        <v>499</v>
      </c>
      <c r="I944" s="114">
        <f t="shared" si="35"/>
        <v>6855</v>
      </c>
      <c r="J944" s="224">
        <v>1532.7006672468815</v>
      </c>
      <c r="K944" s="47">
        <f t="shared" si="32"/>
        <v>51</v>
      </c>
      <c r="L944" s="219">
        <f t="shared" si="36"/>
        <v>40894</v>
      </c>
    </row>
    <row r="945" spans="1:21" x14ac:dyDescent="0.25">
      <c r="A945" s="13">
        <f t="shared" si="33"/>
        <v>40905</v>
      </c>
      <c r="B945" s="142">
        <v>315</v>
      </c>
      <c r="C945" s="142">
        <v>137</v>
      </c>
      <c r="D945" s="142">
        <v>4</v>
      </c>
      <c r="E945" s="142">
        <v>237</v>
      </c>
      <c r="F945" s="142">
        <v>973</v>
      </c>
      <c r="G945" s="92">
        <v>4158</v>
      </c>
      <c r="H945" s="49">
        <f t="shared" si="34"/>
        <v>452</v>
      </c>
      <c r="I945" s="114">
        <f t="shared" si="35"/>
        <v>4851</v>
      </c>
      <c r="J945" s="224">
        <v>3069.8362322577873</v>
      </c>
      <c r="K945" s="47">
        <f t="shared" si="32"/>
        <v>52</v>
      </c>
      <c r="L945" s="219">
        <f t="shared" si="36"/>
        <v>40901</v>
      </c>
    </row>
    <row r="946" spans="1:21" x14ac:dyDescent="0.25">
      <c r="A946" s="13">
        <f>A945+7</f>
        <v>40912</v>
      </c>
      <c r="B946" s="142">
        <v>278</v>
      </c>
      <c r="C946" s="142">
        <v>70</v>
      </c>
      <c r="D946" s="142">
        <v>25</v>
      </c>
      <c r="E946" s="142">
        <v>995</v>
      </c>
      <c r="F946" s="142">
        <v>793</v>
      </c>
      <c r="G946" s="92">
        <v>4668</v>
      </c>
      <c r="H946" s="49">
        <f t="shared" si="34"/>
        <v>348</v>
      </c>
      <c r="I946" s="114">
        <f t="shared" si="35"/>
        <v>6036</v>
      </c>
      <c r="J946" s="224">
        <v>1635.5902953722507</v>
      </c>
      <c r="K946" s="47">
        <v>1</v>
      </c>
      <c r="L946" s="219">
        <f>L945+7</f>
        <v>40908</v>
      </c>
    </row>
    <row r="947" spans="1:21" x14ac:dyDescent="0.25">
      <c r="A947" s="13">
        <f t="shared" si="33"/>
        <v>40919</v>
      </c>
      <c r="B947" s="48">
        <v>323</v>
      </c>
      <c r="C947" s="48">
        <v>64</v>
      </c>
      <c r="D947" s="48">
        <v>148</v>
      </c>
      <c r="E947" s="48">
        <v>616</v>
      </c>
      <c r="F947" s="48">
        <v>918</v>
      </c>
      <c r="G947" s="175">
        <v>4889</v>
      </c>
      <c r="H947" s="49">
        <f t="shared" si="34"/>
        <v>387</v>
      </c>
      <c r="I947" s="114">
        <f t="shared" si="35"/>
        <v>6040</v>
      </c>
      <c r="J947" s="224">
        <v>2585.6999999999998</v>
      </c>
      <c r="K947" s="47">
        <f t="shared" si="32"/>
        <v>2</v>
      </c>
      <c r="L947" s="221">
        <f>L946+7</f>
        <v>40915</v>
      </c>
    </row>
    <row r="948" spans="1:21" x14ac:dyDescent="0.25">
      <c r="A948" s="13">
        <f t="shared" si="33"/>
        <v>40926</v>
      </c>
      <c r="B948" s="48">
        <v>395</v>
      </c>
      <c r="C948" s="48">
        <v>64</v>
      </c>
      <c r="D948" s="48">
        <v>0</v>
      </c>
      <c r="E948" s="48">
        <v>697</v>
      </c>
      <c r="F948" s="48">
        <v>951</v>
      </c>
      <c r="G948" s="175">
        <v>4242</v>
      </c>
      <c r="H948" s="49">
        <f t="shared" si="34"/>
        <v>459</v>
      </c>
      <c r="I948" s="114">
        <f t="shared" si="35"/>
        <v>5398</v>
      </c>
      <c r="J948" s="224">
        <v>2079.9499999999998</v>
      </c>
      <c r="K948" s="47">
        <f t="shared" si="32"/>
        <v>3</v>
      </c>
      <c r="L948" s="219">
        <f t="shared" si="36"/>
        <v>40922</v>
      </c>
    </row>
    <row r="949" spans="1:21" x14ac:dyDescent="0.25">
      <c r="A949" s="13">
        <f t="shared" si="33"/>
        <v>40933</v>
      </c>
      <c r="B949" s="48">
        <v>334</v>
      </c>
      <c r="C949" s="48">
        <v>119</v>
      </c>
      <c r="D949" s="48">
        <v>25</v>
      </c>
      <c r="E949" s="48">
        <v>755</v>
      </c>
      <c r="F949" s="48">
        <v>1480</v>
      </c>
      <c r="G949" s="175">
        <v>3201</v>
      </c>
      <c r="H949" s="49">
        <f t="shared" si="34"/>
        <v>453</v>
      </c>
      <c r="I949" s="114">
        <f t="shared" si="35"/>
        <v>4434</v>
      </c>
      <c r="J949" s="224">
        <v>1711.8999999999999</v>
      </c>
      <c r="K949" s="47">
        <f t="shared" si="32"/>
        <v>4</v>
      </c>
      <c r="L949" s="219">
        <f t="shared" si="36"/>
        <v>40929</v>
      </c>
      <c r="M949" s="173"/>
      <c r="N949" s="66"/>
      <c r="O949" s="66"/>
      <c r="P949" s="66"/>
      <c r="Q949" s="66"/>
      <c r="R949" s="66"/>
      <c r="S949" s="66"/>
      <c r="T949" s="66"/>
      <c r="U949" s="66"/>
    </row>
    <row r="950" spans="1:21" x14ac:dyDescent="0.25">
      <c r="A950" s="13">
        <f t="shared" si="33"/>
        <v>40940</v>
      </c>
      <c r="B950" s="48">
        <v>317</v>
      </c>
      <c r="C950" s="48">
        <v>270</v>
      </c>
      <c r="D950" s="48">
        <v>449</v>
      </c>
      <c r="E950" s="48">
        <v>800</v>
      </c>
      <c r="F950" s="48">
        <v>603</v>
      </c>
      <c r="G950" s="175">
        <v>4134</v>
      </c>
      <c r="H950" s="49">
        <f t="shared" si="34"/>
        <v>587</v>
      </c>
      <c r="I950" s="114">
        <f t="shared" si="35"/>
        <v>5970</v>
      </c>
      <c r="J950" s="224">
        <v>1967.75</v>
      </c>
      <c r="K950" s="47">
        <f t="shared" si="32"/>
        <v>5</v>
      </c>
      <c r="L950" s="219">
        <f t="shared" si="36"/>
        <v>40936</v>
      </c>
      <c r="M950" s="66"/>
      <c r="N950" s="66"/>
      <c r="O950" s="66"/>
      <c r="P950" s="66"/>
      <c r="Q950" s="66"/>
      <c r="R950" s="66"/>
      <c r="S950" s="66"/>
      <c r="T950" s="66"/>
      <c r="U950" s="66"/>
    </row>
    <row r="951" spans="1:21" x14ac:dyDescent="0.25">
      <c r="A951" s="13">
        <f t="shared" si="33"/>
        <v>40947</v>
      </c>
      <c r="B951" s="48">
        <v>171</v>
      </c>
      <c r="C951" s="48">
        <v>231</v>
      </c>
      <c r="D951" s="48">
        <v>144</v>
      </c>
      <c r="E951" s="48">
        <v>706</v>
      </c>
      <c r="F951" s="48">
        <v>1184</v>
      </c>
      <c r="G951" s="175">
        <v>5447</v>
      </c>
      <c r="H951" s="49">
        <f t="shared" si="34"/>
        <v>402</v>
      </c>
      <c r="I951" s="114">
        <f t="shared" si="35"/>
        <v>6699</v>
      </c>
      <c r="J951" s="224">
        <v>1332.8</v>
      </c>
      <c r="K951" s="47">
        <f t="shared" si="32"/>
        <v>6</v>
      </c>
      <c r="L951" s="219">
        <f t="shared" si="36"/>
        <v>40943</v>
      </c>
      <c r="M951" s="66"/>
      <c r="N951" s="66"/>
      <c r="O951" s="66"/>
      <c r="P951" s="66"/>
      <c r="Q951" s="66"/>
      <c r="R951" s="66"/>
      <c r="S951" s="66"/>
      <c r="T951" s="66"/>
      <c r="U951" s="66"/>
    </row>
    <row r="952" spans="1:21" x14ac:dyDescent="0.25">
      <c r="A952" s="13">
        <f t="shared" si="33"/>
        <v>40954</v>
      </c>
      <c r="B952" s="48">
        <v>311</v>
      </c>
      <c r="C952" s="48">
        <v>534</v>
      </c>
      <c r="D952" s="48">
        <v>630</v>
      </c>
      <c r="E952" s="175">
        <v>662</v>
      </c>
      <c r="F952" s="48">
        <v>930</v>
      </c>
      <c r="G952" s="175">
        <v>4597</v>
      </c>
      <c r="H952" s="49">
        <f t="shared" si="34"/>
        <v>845</v>
      </c>
      <c r="I952" s="114">
        <f t="shared" si="35"/>
        <v>6734</v>
      </c>
      <c r="J952" s="224">
        <v>2272.9</v>
      </c>
      <c r="K952" s="47">
        <f t="shared" si="32"/>
        <v>7</v>
      </c>
      <c r="L952" s="219">
        <f t="shared" si="36"/>
        <v>40950</v>
      </c>
      <c r="M952" s="66"/>
      <c r="N952" s="66"/>
      <c r="O952" s="66"/>
      <c r="P952" s="66"/>
      <c r="Q952" s="66"/>
      <c r="R952" s="66"/>
      <c r="S952" s="66"/>
      <c r="T952" s="66"/>
      <c r="U952" s="66"/>
    </row>
    <row r="953" spans="1:21" x14ac:dyDescent="0.25">
      <c r="A953" s="13">
        <f t="shared" si="33"/>
        <v>40961</v>
      </c>
      <c r="B953" s="48">
        <v>237</v>
      </c>
      <c r="C953" s="48">
        <v>364</v>
      </c>
      <c r="D953" s="48">
        <v>567</v>
      </c>
      <c r="E953" s="48">
        <v>251</v>
      </c>
      <c r="F953" s="48">
        <v>1504</v>
      </c>
      <c r="G953" s="175">
        <v>5172</v>
      </c>
      <c r="H953" s="49">
        <f t="shared" si="34"/>
        <v>601</v>
      </c>
      <c r="I953" s="114">
        <f t="shared" si="35"/>
        <v>6591</v>
      </c>
      <c r="J953" s="224">
        <v>1933.75</v>
      </c>
      <c r="K953" s="47">
        <f t="shared" si="32"/>
        <v>8</v>
      </c>
      <c r="L953" s="223">
        <f t="shared" si="36"/>
        <v>40957</v>
      </c>
      <c r="M953" s="66"/>
      <c r="N953" s="66"/>
      <c r="O953" s="66"/>
      <c r="P953" s="66"/>
      <c r="Q953" s="66"/>
      <c r="R953" s="66"/>
      <c r="S953" s="66"/>
      <c r="T953" s="66"/>
      <c r="U953" s="66"/>
    </row>
    <row r="954" spans="1:21" x14ac:dyDescent="0.25">
      <c r="A954" s="13">
        <f t="shared" si="33"/>
        <v>40968</v>
      </c>
      <c r="B954" s="48">
        <v>337</v>
      </c>
      <c r="C954" s="48">
        <v>134</v>
      </c>
      <c r="D954" s="48">
        <v>433</v>
      </c>
      <c r="E954" s="48">
        <v>575</v>
      </c>
      <c r="F954" s="48">
        <v>1317</v>
      </c>
      <c r="G954" s="175">
        <v>4661</v>
      </c>
      <c r="H954" s="49">
        <f t="shared" si="34"/>
        <v>471</v>
      </c>
      <c r="I954" s="114">
        <f t="shared" si="35"/>
        <v>6140</v>
      </c>
      <c r="J954" s="224">
        <v>1984.75</v>
      </c>
      <c r="K954" s="47">
        <f t="shared" si="32"/>
        <v>9</v>
      </c>
      <c r="L954" s="219">
        <f t="shared" si="36"/>
        <v>40964</v>
      </c>
      <c r="M954" s="66"/>
      <c r="N954" s="66"/>
      <c r="O954" s="66"/>
      <c r="P954" s="66"/>
      <c r="Q954" s="66"/>
      <c r="R954" s="66"/>
      <c r="S954" s="66"/>
      <c r="T954" s="66"/>
      <c r="U954" s="66"/>
    </row>
    <row r="955" spans="1:21" x14ac:dyDescent="0.25">
      <c r="A955" s="13">
        <f t="shared" si="33"/>
        <v>40975</v>
      </c>
      <c r="B955" s="48">
        <v>230</v>
      </c>
      <c r="C955" s="48">
        <v>272</v>
      </c>
      <c r="D955" s="48">
        <v>359</v>
      </c>
      <c r="E955" s="48">
        <v>848</v>
      </c>
      <c r="F955" s="48">
        <v>1164</v>
      </c>
      <c r="G955" s="175">
        <v>4920</v>
      </c>
      <c r="H955" s="49">
        <f t="shared" si="34"/>
        <v>502</v>
      </c>
      <c r="I955" s="114">
        <f t="shared" si="35"/>
        <v>6629</v>
      </c>
      <c r="J955" s="224">
        <v>2217.65</v>
      </c>
      <c r="K955" s="47">
        <f t="shared" si="32"/>
        <v>10</v>
      </c>
      <c r="L955" s="219">
        <f t="shared" si="36"/>
        <v>40971</v>
      </c>
      <c r="M955" s="66"/>
      <c r="N955" s="66"/>
      <c r="O955" s="66"/>
      <c r="P955" s="66"/>
      <c r="Q955" s="66"/>
      <c r="R955" s="66"/>
      <c r="S955" s="66"/>
      <c r="T955" s="66"/>
      <c r="U955" s="66"/>
    </row>
    <row r="956" spans="1:21" x14ac:dyDescent="0.25">
      <c r="A956" s="13">
        <f t="shared" si="33"/>
        <v>40982</v>
      </c>
      <c r="B956" s="48">
        <v>285</v>
      </c>
      <c r="C956" s="48">
        <v>134</v>
      </c>
      <c r="D956" s="48">
        <v>328</v>
      </c>
      <c r="E956" s="48">
        <v>687</v>
      </c>
      <c r="F956" s="48">
        <v>1403</v>
      </c>
      <c r="G956" s="175">
        <v>4846</v>
      </c>
      <c r="H956" s="49">
        <f t="shared" si="34"/>
        <v>419</v>
      </c>
      <c r="I956" s="114">
        <f t="shared" si="35"/>
        <v>6280</v>
      </c>
      <c r="J956" s="224">
        <v>2775.25</v>
      </c>
      <c r="K956" s="47">
        <f t="shared" si="32"/>
        <v>11</v>
      </c>
      <c r="L956" s="219">
        <f t="shared" si="36"/>
        <v>40978</v>
      </c>
      <c r="M956" s="173"/>
      <c r="N956" s="66"/>
      <c r="O956" s="66"/>
      <c r="P956" s="66"/>
      <c r="Q956" s="66"/>
      <c r="R956" s="66"/>
      <c r="S956" s="66"/>
      <c r="T956" s="66"/>
      <c r="U956" s="66"/>
    </row>
    <row r="957" spans="1:21" x14ac:dyDescent="0.25">
      <c r="A957" s="13">
        <f t="shared" si="33"/>
        <v>40989</v>
      </c>
      <c r="B957" s="48">
        <v>428</v>
      </c>
      <c r="C957" s="48">
        <v>205</v>
      </c>
      <c r="D957" s="48">
        <v>68</v>
      </c>
      <c r="E957" s="175">
        <v>668</v>
      </c>
      <c r="F957" s="48">
        <v>1197</v>
      </c>
      <c r="G957" s="175">
        <v>4353</v>
      </c>
      <c r="H957" s="49">
        <f t="shared" si="34"/>
        <v>633</v>
      </c>
      <c r="I957" s="114">
        <f t="shared" si="35"/>
        <v>5722</v>
      </c>
      <c r="J957" s="224">
        <v>2050.1999999999998</v>
      </c>
      <c r="K957" s="47">
        <f t="shared" si="32"/>
        <v>12</v>
      </c>
      <c r="L957" s="219">
        <f t="shared" si="36"/>
        <v>40985</v>
      </c>
      <c r="M957" s="66"/>
      <c r="N957" s="66"/>
      <c r="O957" s="66"/>
      <c r="P957" s="66"/>
      <c r="Q957" s="66"/>
      <c r="R957" s="66"/>
      <c r="S957" s="66"/>
      <c r="T957" s="66"/>
      <c r="U957" s="66"/>
    </row>
    <row r="958" spans="1:21" x14ac:dyDescent="0.25">
      <c r="A958" s="13">
        <f t="shared" si="33"/>
        <v>40996</v>
      </c>
      <c r="B958" s="48">
        <v>305</v>
      </c>
      <c r="C958" s="48">
        <v>236</v>
      </c>
      <c r="D958" s="48">
        <v>6</v>
      </c>
      <c r="E958" s="175">
        <v>980</v>
      </c>
      <c r="F958" s="48">
        <v>1494</v>
      </c>
      <c r="G958" s="175">
        <v>4823</v>
      </c>
      <c r="H958" s="49">
        <f t="shared" si="34"/>
        <v>541</v>
      </c>
      <c r="I958" s="114">
        <f t="shared" si="35"/>
        <v>6350</v>
      </c>
      <c r="J958" s="224">
        <v>2154.75</v>
      </c>
      <c r="K958" s="47">
        <f t="shared" si="32"/>
        <v>13</v>
      </c>
      <c r="L958" s="219">
        <f t="shared" si="36"/>
        <v>40992</v>
      </c>
      <c r="M958" s="66"/>
      <c r="N958" s="66"/>
      <c r="O958" s="66"/>
      <c r="P958" s="66"/>
      <c r="Q958" s="66"/>
      <c r="R958" s="66"/>
      <c r="S958" s="66"/>
      <c r="T958" s="66"/>
      <c r="U958" s="66"/>
    </row>
    <row r="959" spans="1:21" x14ac:dyDescent="0.25">
      <c r="A959" s="13">
        <f t="shared" si="33"/>
        <v>41003</v>
      </c>
      <c r="B959" s="48">
        <v>199</v>
      </c>
      <c r="C959" s="48">
        <v>189</v>
      </c>
      <c r="D959" s="48">
        <v>235</v>
      </c>
      <c r="E959" s="175">
        <v>580</v>
      </c>
      <c r="F959" s="48">
        <v>2194</v>
      </c>
      <c r="G959" s="175">
        <v>4586</v>
      </c>
      <c r="H959" s="49">
        <f t="shared" si="34"/>
        <v>388</v>
      </c>
      <c r="I959" s="114">
        <f t="shared" si="35"/>
        <v>5789</v>
      </c>
      <c r="J959" s="224">
        <v>2855.15</v>
      </c>
      <c r="K959" s="47">
        <f t="shared" si="32"/>
        <v>14</v>
      </c>
      <c r="L959" s="223">
        <f t="shared" si="36"/>
        <v>40999</v>
      </c>
      <c r="M959" s="66"/>
      <c r="N959" s="66"/>
      <c r="O959" s="66"/>
      <c r="P959" s="66"/>
      <c r="Q959" s="66"/>
      <c r="R959" s="66"/>
      <c r="S959" s="66"/>
      <c r="T959" s="66"/>
      <c r="U959" s="66"/>
    </row>
    <row r="960" spans="1:21" x14ac:dyDescent="0.25">
      <c r="A960" s="13">
        <f t="shared" si="33"/>
        <v>41010</v>
      </c>
      <c r="B960" s="48">
        <v>255</v>
      </c>
      <c r="C960" s="48">
        <v>132</v>
      </c>
      <c r="D960" s="48">
        <v>71</v>
      </c>
      <c r="E960" s="175">
        <v>542</v>
      </c>
      <c r="F960" s="48">
        <v>1021</v>
      </c>
      <c r="G960" s="175">
        <v>3607</v>
      </c>
      <c r="H960" s="49">
        <f t="shared" si="34"/>
        <v>387</v>
      </c>
      <c r="I960" s="114">
        <f t="shared" si="35"/>
        <v>4607</v>
      </c>
      <c r="J960" s="224">
        <v>2762.5</v>
      </c>
      <c r="K960" s="47">
        <f t="shared" ref="K960:K1023" si="37">K959+1</f>
        <v>15</v>
      </c>
      <c r="L960" s="222">
        <f t="shared" si="36"/>
        <v>41006</v>
      </c>
      <c r="M960" s="66"/>
      <c r="N960" s="66"/>
      <c r="O960" s="66"/>
      <c r="P960" s="66"/>
      <c r="Q960" s="66"/>
      <c r="R960" s="66"/>
      <c r="S960" s="66"/>
      <c r="T960" s="66"/>
      <c r="U960" s="66"/>
    </row>
    <row r="961" spans="1:22" x14ac:dyDescent="0.25">
      <c r="A961" s="13">
        <f t="shared" si="33"/>
        <v>41017</v>
      </c>
      <c r="B961" s="48">
        <v>198</v>
      </c>
      <c r="C961" s="48">
        <v>150</v>
      </c>
      <c r="D961" s="48">
        <v>0</v>
      </c>
      <c r="E961" s="175">
        <v>864</v>
      </c>
      <c r="F961" s="48">
        <v>1577</v>
      </c>
      <c r="G961" s="175">
        <v>3977</v>
      </c>
      <c r="H961" s="49">
        <f t="shared" si="34"/>
        <v>348</v>
      </c>
      <c r="I961" s="114">
        <f t="shared" si="35"/>
        <v>5189</v>
      </c>
      <c r="J961" s="224">
        <v>2330.6999999999998</v>
      </c>
      <c r="K961" s="47">
        <f t="shared" si="37"/>
        <v>16</v>
      </c>
      <c r="L961" s="219">
        <f t="shared" si="36"/>
        <v>41013</v>
      </c>
      <c r="M961" s="66"/>
      <c r="N961" s="66"/>
      <c r="O961" s="66"/>
      <c r="P961" s="66"/>
      <c r="Q961" s="66"/>
      <c r="R961" s="66"/>
      <c r="S961" s="66"/>
      <c r="T961" s="66"/>
      <c r="U961" s="66"/>
    </row>
    <row r="962" spans="1:22" x14ac:dyDescent="0.25">
      <c r="A962" s="13">
        <f t="shared" si="33"/>
        <v>41024</v>
      </c>
      <c r="B962" s="48">
        <v>217</v>
      </c>
      <c r="C962" s="48">
        <v>160</v>
      </c>
      <c r="D962" s="48">
        <v>52</v>
      </c>
      <c r="E962" s="175">
        <v>535</v>
      </c>
      <c r="F962" s="48">
        <v>1039</v>
      </c>
      <c r="G962" s="175">
        <v>2988</v>
      </c>
      <c r="H962" s="49">
        <f t="shared" si="34"/>
        <v>377</v>
      </c>
      <c r="I962" s="114">
        <f t="shared" si="35"/>
        <v>3952</v>
      </c>
      <c r="J962" s="224">
        <v>2417.4</v>
      </c>
      <c r="K962" s="47">
        <f t="shared" si="37"/>
        <v>17</v>
      </c>
      <c r="L962" s="219">
        <f t="shared" si="36"/>
        <v>41020</v>
      </c>
      <c r="M962" s="66"/>
      <c r="N962" s="66"/>
      <c r="O962" s="66"/>
      <c r="P962" s="66"/>
      <c r="Q962" s="66"/>
      <c r="R962" s="66"/>
      <c r="S962" s="66"/>
      <c r="T962" s="66"/>
      <c r="U962" s="66"/>
    </row>
    <row r="963" spans="1:22" x14ac:dyDescent="0.25">
      <c r="A963" s="13">
        <f t="shared" si="33"/>
        <v>41031</v>
      </c>
      <c r="B963" s="48">
        <v>215</v>
      </c>
      <c r="C963" s="48">
        <v>144</v>
      </c>
      <c r="D963" s="48">
        <v>25</v>
      </c>
      <c r="E963" s="175">
        <v>641</v>
      </c>
      <c r="F963" s="48">
        <v>1761</v>
      </c>
      <c r="G963" s="175">
        <v>3840</v>
      </c>
      <c r="H963" s="49">
        <f t="shared" si="34"/>
        <v>359</v>
      </c>
      <c r="I963" s="114">
        <f t="shared" si="35"/>
        <v>4865</v>
      </c>
      <c r="J963" s="224">
        <v>2244.85</v>
      </c>
      <c r="K963" s="47">
        <f t="shared" si="37"/>
        <v>18</v>
      </c>
      <c r="L963" s="219">
        <f t="shared" si="36"/>
        <v>41027</v>
      </c>
      <c r="M963" s="137"/>
      <c r="N963" s="137"/>
      <c r="O963" s="137"/>
      <c r="P963" s="137"/>
      <c r="Q963" s="137"/>
      <c r="R963" s="138"/>
      <c r="S963" s="137"/>
      <c r="T963" s="140"/>
      <c r="U963" s="138"/>
    </row>
    <row r="964" spans="1:22" x14ac:dyDescent="0.25">
      <c r="A964" s="13">
        <f t="shared" si="33"/>
        <v>41038</v>
      </c>
      <c r="B964" s="48">
        <v>234</v>
      </c>
      <c r="C964" s="48">
        <v>49</v>
      </c>
      <c r="D964" s="48">
        <v>20</v>
      </c>
      <c r="E964" s="175">
        <v>82</v>
      </c>
      <c r="F964" s="48">
        <v>1376</v>
      </c>
      <c r="G964" s="175">
        <v>4030</v>
      </c>
      <c r="H964" s="49">
        <f t="shared" si="34"/>
        <v>283</v>
      </c>
      <c r="I964" s="114">
        <f t="shared" si="35"/>
        <v>4415</v>
      </c>
      <c r="J964" s="224">
        <v>2546.6</v>
      </c>
      <c r="K964" s="47">
        <f t="shared" si="37"/>
        <v>19</v>
      </c>
      <c r="L964" s="219">
        <f t="shared" si="36"/>
        <v>41034</v>
      </c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2" x14ac:dyDescent="0.25">
      <c r="A965" s="13">
        <f t="shared" si="33"/>
        <v>41045</v>
      </c>
      <c r="B965" s="48">
        <v>160</v>
      </c>
      <c r="C965" s="48">
        <v>178</v>
      </c>
      <c r="D965" s="48">
        <v>0</v>
      </c>
      <c r="E965" s="175">
        <v>409</v>
      </c>
      <c r="F965" s="48">
        <v>1160</v>
      </c>
      <c r="G965" s="175">
        <v>3482</v>
      </c>
      <c r="H965" s="49">
        <f t="shared" si="34"/>
        <v>338</v>
      </c>
      <c r="I965" s="114">
        <f t="shared" si="35"/>
        <v>4229</v>
      </c>
      <c r="J965" s="224">
        <v>2471.7999999999997</v>
      </c>
      <c r="K965" s="47">
        <f t="shared" si="37"/>
        <v>20</v>
      </c>
      <c r="L965" s="223">
        <f t="shared" si="36"/>
        <v>41041</v>
      </c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2" x14ac:dyDescent="0.25">
      <c r="A966" s="13">
        <f t="shared" si="33"/>
        <v>41052</v>
      </c>
      <c r="B966" s="48">
        <v>264</v>
      </c>
      <c r="C966" s="48">
        <v>100</v>
      </c>
      <c r="D966" s="48">
        <v>0</v>
      </c>
      <c r="E966" s="175">
        <v>1015</v>
      </c>
      <c r="F966" s="48">
        <v>1070</v>
      </c>
      <c r="G966" s="175">
        <v>3948</v>
      </c>
      <c r="H966" s="49">
        <f t="shared" si="34"/>
        <v>364</v>
      </c>
      <c r="I966" s="114">
        <f t="shared" si="35"/>
        <v>5327</v>
      </c>
      <c r="J966" s="224">
        <v>2001.75</v>
      </c>
      <c r="K966" s="47">
        <f t="shared" si="37"/>
        <v>21</v>
      </c>
      <c r="L966" s="219">
        <f t="shared" si="36"/>
        <v>41048</v>
      </c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2" x14ac:dyDescent="0.25">
      <c r="A967" s="13">
        <f t="shared" ref="A967:A1030" si="38">A966+7</f>
        <v>41059</v>
      </c>
      <c r="B967" s="48">
        <v>112</v>
      </c>
      <c r="C967" s="48">
        <v>78</v>
      </c>
      <c r="D967" s="48">
        <v>19</v>
      </c>
      <c r="E967" s="175">
        <v>1684</v>
      </c>
      <c r="F967" s="48">
        <v>1246</v>
      </c>
      <c r="G967" s="175">
        <v>3717</v>
      </c>
      <c r="H967" s="49">
        <f t="shared" si="34"/>
        <v>190</v>
      </c>
      <c r="I967" s="114">
        <f t="shared" si="35"/>
        <v>5610</v>
      </c>
      <c r="J967" s="224">
        <v>2037.45</v>
      </c>
      <c r="K967" s="47">
        <f t="shared" si="37"/>
        <v>22</v>
      </c>
      <c r="L967" s="219">
        <f t="shared" si="36"/>
        <v>41055</v>
      </c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spans="1:22" x14ac:dyDescent="0.25">
      <c r="A968" s="13">
        <f t="shared" si="38"/>
        <v>41066</v>
      </c>
      <c r="B968" s="155">
        <v>0</v>
      </c>
      <c r="C968" s="155">
        <v>105</v>
      </c>
      <c r="D968" s="47">
        <v>215</v>
      </c>
      <c r="E968" s="155">
        <v>1562</v>
      </c>
      <c r="F968" s="48">
        <v>1073</v>
      </c>
      <c r="G968" s="175">
        <v>2972</v>
      </c>
      <c r="H968" s="49">
        <f t="shared" si="34"/>
        <v>105</v>
      </c>
      <c r="I968" s="114">
        <f t="shared" si="35"/>
        <v>4854</v>
      </c>
      <c r="J968" s="224">
        <v>2132.65</v>
      </c>
      <c r="K968" s="47">
        <f t="shared" si="37"/>
        <v>23</v>
      </c>
      <c r="L968" s="219">
        <f t="shared" si="36"/>
        <v>41062</v>
      </c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spans="1:22" x14ac:dyDescent="0.25">
      <c r="A969" s="13">
        <f t="shared" si="38"/>
        <v>41073</v>
      </c>
      <c r="B969" s="47">
        <v>138</v>
      </c>
      <c r="C969" s="47">
        <v>65</v>
      </c>
      <c r="D969" s="47">
        <v>110</v>
      </c>
      <c r="E969" s="47">
        <v>921</v>
      </c>
      <c r="F969" s="182">
        <v>1021</v>
      </c>
      <c r="G969" s="182">
        <v>3446</v>
      </c>
      <c r="H969" s="47">
        <f t="shared" si="34"/>
        <v>203</v>
      </c>
      <c r="I969" s="114">
        <f t="shared" si="35"/>
        <v>4680</v>
      </c>
      <c r="J969" s="224">
        <v>1608.2</v>
      </c>
      <c r="K969" s="47">
        <f t="shared" si="37"/>
        <v>24</v>
      </c>
      <c r="L969" s="219">
        <f t="shared" si="36"/>
        <v>41069</v>
      </c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spans="1:22" x14ac:dyDescent="0.25">
      <c r="A970" s="13">
        <f t="shared" si="38"/>
        <v>41080</v>
      </c>
      <c r="B970" s="47">
        <v>123</v>
      </c>
      <c r="C970" s="47">
        <v>66</v>
      </c>
      <c r="D970" s="47">
        <v>0</v>
      </c>
      <c r="E970" s="47">
        <v>792</v>
      </c>
      <c r="F970" s="182">
        <v>641</v>
      </c>
      <c r="G970" s="183">
        <v>2876</v>
      </c>
      <c r="H970" s="47">
        <f t="shared" si="34"/>
        <v>189</v>
      </c>
      <c r="I970" s="114">
        <f t="shared" si="35"/>
        <v>3857</v>
      </c>
      <c r="J970" s="224">
        <v>1576.75</v>
      </c>
      <c r="K970" s="47">
        <f t="shared" si="37"/>
        <v>25</v>
      </c>
      <c r="L970" s="219">
        <f t="shared" si="36"/>
        <v>41076</v>
      </c>
      <c r="M970" s="137"/>
      <c r="N970" s="137"/>
      <c r="O970" s="137"/>
      <c r="P970" s="137"/>
      <c r="Q970" s="137"/>
      <c r="R970" s="138"/>
      <c r="S970" s="137"/>
      <c r="T970" s="140"/>
      <c r="U970" s="138"/>
      <c r="V970" s="39"/>
    </row>
    <row r="971" spans="1:22" x14ac:dyDescent="0.25">
      <c r="A971" s="13">
        <f t="shared" si="38"/>
        <v>41087</v>
      </c>
      <c r="B971" s="47">
        <v>141</v>
      </c>
      <c r="C971" s="47">
        <v>47</v>
      </c>
      <c r="D971" s="47">
        <v>0</v>
      </c>
      <c r="E971" s="47">
        <v>1147</v>
      </c>
      <c r="F971" s="182">
        <v>762</v>
      </c>
      <c r="G971" s="182">
        <v>3406</v>
      </c>
      <c r="H971" s="47">
        <f t="shared" si="34"/>
        <v>188</v>
      </c>
      <c r="I971" s="114">
        <f t="shared" si="35"/>
        <v>4741</v>
      </c>
      <c r="J971" s="224">
        <v>1408.45</v>
      </c>
      <c r="K971" s="47">
        <f t="shared" si="37"/>
        <v>26</v>
      </c>
      <c r="L971" s="223">
        <f t="shared" si="36"/>
        <v>41083</v>
      </c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spans="1:22" x14ac:dyDescent="0.25">
      <c r="A972" s="13">
        <f t="shared" si="38"/>
        <v>41094</v>
      </c>
      <c r="B972" s="47">
        <v>123</v>
      </c>
      <c r="C972" s="47">
        <v>85</v>
      </c>
      <c r="D972" s="47">
        <v>110</v>
      </c>
      <c r="E972" s="108">
        <v>587</v>
      </c>
      <c r="F972" s="182">
        <v>713</v>
      </c>
      <c r="G972" s="182">
        <v>3297</v>
      </c>
      <c r="H972" s="47">
        <f t="shared" si="34"/>
        <v>208</v>
      </c>
      <c r="I972" s="114">
        <f t="shared" si="35"/>
        <v>4202</v>
      </c>
      <c r="J972" s="224">
        <v>1292.8499999999999</v>
      </c>
      <c r="K972" s="47">
        <f t="shared" si="37"/>
        <v>27</v>
      </c>
      <c r="L972" s="219">
        <f t="shared" si="36"/>
        <v>41090</v>
      </c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spans="1:22" x14ac:dyDescent="0.25">
      <c r="A973" s="13">
        <f t="shared" si="38"/>
        <v>41101</v>
      </c>
      <c r="B973" s="47">
        <v>110</v>
      </c>
      <c r="C973" s="47">
        <v>0</v>
      </c>
      <c r="D973" s="47">
        <v>0</v>
      </c>
      <c r="E973" s="108">
        <v>661</v>
      </c>
      <c r="F973" s="182">
        <v>650</v>
      </c>
      <c r="G973" s="182">
        <v>3045</v>
      </c>
      <c r="H973" s="47">
        <f t="shared" si="34"/>
        <v>110</v>
      </c>
      <c r="I973" s="114">
        <f t="shared" si="35"/>
        <v>3816</v>
      </c>
      <c r="J973" s="224">
        <v>1296.25</v>
      </c>
      <c r="K973" s="47">
        <f t="shared" si="37"/>
        <v>28</v>
      </c>
      <c r="L973" s="219">
        <f t="shared" si="36"/>
        <v>41097</v>
      </c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spans="1:22" x14ac:dyDescent="0.25">
      <c r="A974" s="13">
        <f t="shared" si="38"/>
        <v>41108</v>
      </c>
      <c r="B974" s="47">
        <v>110</v>
      </c>
      <c r="C974" s="47">
        <v>21</v>
      </c>
      <c r="D974" s="47">
        <v>504</v>
      </c>
      <c r="E974" s="108">
        <v>445</v>
      </c>
      <c r="F974" s="182">
        <v>1200</v>
      </c>
      <c r="G974" s="182">
        <v>2514</v>
      </c>
      <c r="H974" s="47">
        <f t="shared" si="34"/>
        <v>131</v>
      </c>
      <c r="I974" s="114">
        <f t="shared" si="35"/>
        <v>3594</v>
      </c>
      <c r="J974" s="224">
        <v>1642.2</v>
      </c>
      <c r="K974" s="47">
        <f t="shared" si="37"/>
        <v>29</v>
      </c>
      <c r="L974" s="219">
        <f t="shared" si="36"/>
        <v>41104</v>
      </c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spans="1:22" x14ac:dyDescent="0.25">
      <c r="A975" s="13">
        <f t="shared" si="38"/>
        <v>41115</v>
      </c>
      <c r="B975" s="47">
        <v>106</v>
      </c>
      <c r="C975" s="47">
        <v>113</v>
      </c>
      <c r="D975" s="47">
        <v>280</v>
      </c>
      <c r="E975" s="108">
        <v>979</v>
      </c>
      <c r="F975" s="182">
        <v>662</v>
      </c>
      <c r="G975" s="182">
        <v>3389</v>
      </c>
      <c r="H975" s="47">
        <f t="shared" si="34"/>
        <v>219</v>
      </c>
      <c r="I975" s="114">
        <f t="shared" si="35"/>
        <v>4867</v>
      </c>
      <c r="J975" s="224">
        <v>1316.6499999999999</v>
      </c>
      <c r="K975" s="47">
        <f t="shared" si="37"/>
        <v>30</v>
      </c>
      <c r="L975" s="219">
        <f t="shared" si="36"/>
        <v>41111</v>
      </c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spans="1:22" x14ac:dyDescent="0.25">
      <c r="A976" s="13">
        <f t="shared" si="38"/>
        <v>41122</v>
      </c>
      <c r="B976" s="47">
        <v>47</v>
      </c>
      <c r="C976" s="47">
        <v>62</v>
      </c>
      <c r="D976" s="241">
        <v>393</v>
      </c>
      <c r="E976" s="108">
        <v>367</v>
      </c>
      <c r="F976" s="182">
        <v>952</v>
      </c>
      <c r="G976" s="183">
        <v>2476</v>
      </c>
      <c r="H976" s="47">
        <f t="shared" si="34"/>
        <v>109</v>
      </c>
      <c r="I976" s="114">
        <f t="shared" si="35"/>
        <v>3345</v>
      </c>
      <c r="J976" s="224">
        <v>911.19999999999993</v>
      </c>
      <c r="K976" s="47">
        <f t="shared" si="37"/>
        <v>31</v>
      </c>
      <c r="L976" s="219">
        <f t="shared" si="36"/>
        <v>41118</v>
      </c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spans="1:22" x14ac:dyDescent="0.25">
      <c r="A977" s="13">
        <f t="shared" si="38"/>
        <v>41129</v>
      </c>
      <c r="B977" s="47">
        <v>16</v>
      </c>
      <c r="C977" s="47">
        <v>16</v>
      </c>
      <c r="D977" s="241">
        <v>791</v>
      </c>
      <c r="E977" s="125">
        <v>770</v>
      </c>
      <c r="F977" s="182">
        <v>492</v>
      </c>
      <c r="G977" s="183">
        <v>3753</v>
      </c>
      <c r="H977" s="47">
        <f t="shared" si="34"/>
        <v>32</v>
      </c>
      <c r="I977" s="114">
        <f t="shared" ref="I977:I988" si="39">SUM(D977:H977)-F977</f>
        <v>5346</v>
      </c>
      <c r="J977" s="224">
        <v>1687.25</v>
      </c>
      <c r="K977" s="47">
        <f t="shared" si="37"/>
        <v>32</v>
      </c>
      <c r="L977" s="223">
        <f t="shared" si="36"/>
        <v>41125</v>
      </c>
      <c r="M977" s="137"/>
      <c r="N977" s="137"/>
      <c r="O977" s="137"/>
      <c r="P977" s="137"/>
      <c r="Q977" s="137"/>
      <c r="R977" s="138"/>
      <c r="S977" s="137"/>
      <c r="T977" s="140"/>
      <c r="U977" s="138"/>
      <c r="V977" s="39"/>
    </row>
    <row r="978" spans="1:22" x14ac:dyDescent="0.25">
      <c r="A978" s="13">
        <f t="shared" si="38"/>
        <v>41136</v>
      </c>
      <c r="B978" s="47">
        <v>110</v>
      </c>
      <c r="C978" s="47">
        <v>16</v>
      </c>
      <c r="D978" s="241">
        <v>257</v>
      </c>
      <c r="E978" s="125">
        <v>660</v>
      </c>
      <c r="F978" s="183">
        <v>662</v>
      </c>
      <c r="G978" s="183">
        <v>4119</v>
      </c>
      <c r="H978" s="47">
        <f t="shared" si="34"/>
        <v>126</v>
      </c>
      <c r="I978" s="114">
        <f t="shared" si="39"/>
        <v>5162</v>
      </c>
      <c r="J978" s="224">
        <v>2023.85</v>
      </c>
      <c r="K978" s="47">
        <f t="shared" si="37"/>
        <v>33</v>
      </c>
      <c r="L978" s="219">
        <f t="shared" si="36"/>
        <v>41132</v>
      </c>
      <c r="M978" s="178"/>
      <c r="N978" s="180"/>
      <c r="O978" s="180"/>
      <c r="P978" s="180"/>
      <c r="Q978" s="180"/>
      <c r="R978" s="180"/>
      <c r="S978" s="179"/>
      <c r="T978" s="180"/>
      <c r="U978" s="181"/>
      <c r="V978" s="39"/>
    </row>
    <row r="979" spans="1:22" x14ac:dyDescent="0.25">
      <c r="A979" s="13">
        <f t="shared" si="38"/>
        <v>41143</v>
      </c>
      <c r="B979" s="47">
        <v>233</v>
      </c>
      <c r="C979" s="47">
        <v>13</v>
      </c>
      <c r="D979" s="241">
        <v>629</v>
      </c>
      <c r="E979" s="125">
        <v>578</v>
      </c>
      <c r="F979" s="183">
        <v>558</v>
      </c>
      <c r="G979" s="183">
        <v>4312</v>
      </c>
      <c r="H979" s="47">
        <f t="shared" si="34"/>
        <v>246</v>
      </c>
      <c r="I979" s="114">
        <f t="shared" si="39"/>
        <v>5765</v>
      </c>
      <c r="J979" s="224">
        <v>1572.5</v>
      </c>
      <c r="K979" s="47">
        <f t="shared" si="37"/>
        <v>34</v>
      </c>
      <c r="L979" s="219">
        <f t="shared" si="36"/>
        <v>41139</v>
      </c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spans="1:22" x14ac:dyDescent="0.25">
      <c r="A980" s="13">
        <f t="shared" si="38"/>
        <v>41150</v>
      </c>
      <c r="B980" s="47">
        <v>14</v>
      </c>
      <c r="C980" s="47">
        <v>25</v>
      </c>
      <c r="D980" s="241">
        <v>1</v>
      </c>
      <c r="E980" s="125">
        <v>1072</v>
      </c>
      <c r="F980" s="183">
        <v>560</v>
      </c>
      <c r="G980" s="183">
        <v>3289</v>
      </c>
      <c r="H980" s="47">
        <f t="shared" si="34"/>
        <v>39</v>
      </c>
      <c r="I980" s="114">
        <f t="shared" si="39"/>
        <v>4401</v>
      </c>
      <c r="J980" s="224">
        <v>1025.95</v>
      </c>
      <c r="K980" s="47">
        <f t="shared" si="37"/>
        <v>35</v>
      </c>
      <c r="L980" s="219">
        <f t="shared" si="36"/>
        <v>41146</v>
      </c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spans="1:22" x14ac:dyDescent="0.25">
      <c r="A981" s="13">
        <f t="shared" si="38"/>
        <v>41157</v>
      </c>
      <c r="B981" s="47">
        <v>74</v>
      </c>
      <c r="C981" s="47">
        <v>1</v>
      </c>
      <c r="D981" s="241">
        <v>74</v>
      </c>
      <c r="E981" s="125">
        <v>796</v>
      </c>
      <c r="F981" s="183">
        <v>277</v>
      </c>
      <c r="G981" s="182">
        <v>2603</v>
      </c>
      <c r="H981" s="47">
        <f t="shared" si="34"/>
        <v>75</v>
      </c>
      <c r="I981" s="114">
        <f t="shared" si="39"/>
        <v>3548</v>
      </c>
      <c r="J981" s="224">
        <v>1367.6499999999999</v>
      </c>
      <c r="K981" s="47">
        <f t="shared" si="37"/>
        <v>36</v>
      </c>
      <c r="L981" s="219">
        <f t="shared" si="36"/>
        <v>41153</v>
      </c>
      <c r="M981" s="177"/>
      <c r="N981" s="39"/>
      <c r="O981" s="39"/>
      <c r="P981" s="39"/>
      <c r="Q981" s="39"/>
      <c r="R981" s="39"/>
      <c r="S981" s="39"/>
      <c r="T981" s="39"/>
      <c r="U981" s="39"/>
      <c r="V981" s="39"/>
    </row>
    <row r="982" spans="1:22" x14ac:dyDescent="0.25">
      <c r="A982" s="13">
        <f t="shared" si="38"/>
        <v>41164</v>
      </c>
      <c r="B982" s="47">
        <v>120</v>
      </c>
      <c r="C982" s="47">
        <v>37</v>
      </c>
      <c r="D982" s="241">
        <v>50</v>
      </c>
      <c r="E982" s="125">
        <v>1330</v>
      </c>
      <c r="F982" s="183">
        <v>818</v>
      </c>
      <c r="G982" s="182">
        <v>2380</v>
      </c>
      <c r="H982" s="47">
        <f t="shared" si="34"/>
        <v>157</v>
      </c>
      <c r="I982" s="114">
        <f t="shared" si="39"/>
        <v>3917</v>
      </c>
      <c r="J982" s="224">
        <v>1201.8999999999999</v>
      </c>
      <c r="K982" s="47">
        <f t="shared" si="37"/>
        <v>37</v>
      </c>
      <c r="L982" s="219">
        <f t="shared" si="36"/>
        <v>41160</v>
      </c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spans="1:22" x14ac:dyDescent="0.25">
      <c r="A983" s="13">
        <f t="shared" si="38"/>
        <v>41171</v>
      </c>
      <c r="B983" s="47">
        <v>140</v>
      </c>
      <c r="C983" s="47">
        <v>94</v>
      </c>
      <c r="D983" s="241">
        <v>333</v>
      </c>
      <c r="E983" s="125">
        <v>1328</v>
      </c>
      <c r="F983" s="183">
        <v>660</v>
      </c>
      <c r="G983" s="182">
        <v>2944</v>
      </c>
      <c r="H983" s="47">
        <f t="shared" si="34"/>
        <v>234</v>
      </c>
      <c r="I983" s="114">
        <f t="shared" si="39"/>
        <v>4839</v>
      </c>
      <c r="J983" s="224">
        <v>1301.3499999999999</v>
      </c>
      <c r="K983" s="47">
        <f t="shared" si="37"/>
        <v>38</v>
      </c>
      <c r="L983" s="223">
        <f>L982+7</f>
        <v>41167</v>
      </c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spans="1:22" x14ac:dyDescent="0.25">
      <c r="A984" s="13">
        <f t="shared" si="38"/>
        <v>41178</v>
      </c>
      <c r="B984" s="47">
        <v>229</v>
      </c>
      <c r="C984" s="47">
        <v>32</v>
      </c>
      <c r="D984" s="241">
        <v>506</v>
      </c>
      <c r="E984" s="125">
        <v>1521</v>
      </c>
      <c r="F984" s="183">
        <v>374</v>
      </c>
      <c r="G984" s="182">
        <v>4246</v>
      </c>
      <c r="H984" s="47">
        <f t="shared" si="34"/>
        <v>261</v>
      </c>
      <c r="I984" s="114">
        <f t="shared" si="39"/>
        <v>6534</v>
      </c>
      <c r="J984" s="224">
        <v>1612.45</v>
      </c>
      <c r="K984" s="47">
        <f t="shared" si="37"/>
        <v>39</v>
      </c>
      <c r="L984" s="219">
        <f t="shared" ref="L984:L1047" si="40">L983+7</f>
        <v>41174</v>
      </c>
    </row>
    <row r="985" spans="1:22" x14ac:dyDescent="0.25">
      <c r="A985" s="13">
        <f t="shared" si="38"/>
        <v>41185</v>
      </c>
      <c r="B985" s="47">
        <v>144</v>
      </c>
      <c r="C985" s="47">
        <v>131</v>
      </c>
      <c r="D985" s="241">
        <v>1218</v>
      </c>
      <c r="E985" s="125">
        <v>958</v>
      </c>
      <c r="F985" s="228">
        <v>677</v>
      </c>
      <c r="G985" s="184">
        <v>4395</v>
      </c>
      <c r="H985" s="47">
        <f t="shared" si="34"/>
        <v>275</v>
      </c>
      <c r="I985" s="114">
        <f t="shared" si="39"/>
        <v>6846</v>
      </c>
      <c r="J985" s="224">
        <v>1341.3</v>
      </c>
      <c r="K985" s="47">
        <f t="shared" si="37"/>
        <v>40</v>
      </c>
      <c r="L985" s="219">
        <f t="shared" si="40"/>
        <v>41181</v>
      </c>
      <c r="M985" s="178"/>
      <c r="N985" s="180"/>
      <c r="O985" s="180"/>
      <c r="P985" s="180"/>
      <c r="Q985" s="180"/>
      <c r="R985" s="180"/>
      <c r="S985" s="179"/>
      <c r="T985" s="180"/>
      <c r="U985" s="181"/>
    </row>
    <row r="986" spans="1:22" x14ac:dyDescent="0.25">
      <c r="A986" s="13">
        <f t="shared" si="38"/>
        <v>41192</v>
      </c>
      <c r="B986" s="47">
        <v>402</v>
      </c>
      <c r="C986" s="47">
        <v>454</v>
      </c>
      <c r="D986" s="241">
        <v>1439</v>
      </c>
      <c r="E986" s="125">
        <v>740</v>
      </c>
      <c r="F986" s="228">
        <v>432</v>
      </c>
      <c r="G986" s="184">
        <v>4682</v>
      </c>
      <c r="H986" s="47">
        <f t="shared" si="34"/>
        <v>856</v>
      </c>
      <c r="I986" s="114">
        <f t="shared" si="39"/>
        <v>7717</v>
      </c>
      <c r="J986" s="224">
        <v>2303.5</v>
      </c>
      <c r="K986" s="47">
        <f t="shared" si="37"/>
        <v>41</v>
      </c>
      <c r="L986" s="222">
        <f t="shared" si="40"/>
        <v>41188</v>
      </c>
    </row>
    <row r="987" spans="1:22" x14ac:dyDescent="0.25">
      <c r="A987" s="13">
        <f t="shared" si="38"/>
        <v>41199</v>
      </c>
      <c r="B987" s="47">
        <v>395</v>
      </c>
      <c r="C987" s="47">
        <v>371</v>
      </c>
      <c r="D987" s="241">
        <v>1905</v>
      </c>
      <c r="E987" s="125">
        <v>737</v>
      </c>
      <c r="F987" s="228">
        <v>102</v>
      </c>
      <c r="G987" s="184">
        <v>3366</v>
      </c>
      <c r="H987" s="47">
        <f t="shared" si="34"/>
        <v>766</v>
      </c>
      <c r="I987" s="114">
        <f t="shared" si="39"/>
        <v>6774</v>
      </c>
      <c r="J987" s="224">
        <v>1376.1499999999999</v>
      </c>
      <c r="K987" s="47">
        <f t="shared" si="37"/>
        <v>42</v>
      </c>
      <c r="L987" s="219">
        <f t="shared" si="40"/>
        <v>41195</v>
      </c>
    </row>
    <row r="988" spans="1:22" x14ac:dyDescent="0.25">
      <c r="A988" s="13">
        <f t="shared" si="38"/>
        <v>41206</v>
      </c>
      <c r="B988" s="185">
        <v>486</v>
      </c>
      <c r="C988" s="185">
        <v>918</v>
      </c>
      <c r="D988" s="241">
        <v>631</v>
      </c>
      <c r="E988" s="186">
        <v>638</v>
      </c>
      <c r="F988" s="186">
        <v>93</v>
      </c>
      <c r="G988" s="185">
        <v>3293</v>
      </c>
      <c r="H988" s="185">
        <f t="shared" si="34"/>
        <v>1404</v>
      </c>
      <c r="I988" s="114">
        <f t="shared" si="39"/>
        <v>5966</v>
      </c>
      <c r="J988" s="224">
        <v>1558.05</v>
      </c>
      <c r="K988" s="47">
        <f t="shared" si="37"/>
        <v>43</v>
      </c>
      <c r="L988" s="219">
        <f t="shared" si="40"/>
        <v>41202</v>
      </c>
    </row>
    <row r="989" spans="1:22" x14ac:dyDescent="0.25">
      <c r="A989" s="13">
        <f t="shared" si="38"/>
        <v>41213</v>
      </c>
      <c r="B989" s="185">
        <v>456</v>
      </c>
      <c r="C989" s="185">
        <v>762</v>
      </c>
      <c r="D989" s="241">
        <v>539</v>
      </c>
      <c r="E989" s="185">
        <v>920</v>
      </c>
      <c r="F989" s="186">
        <v>319</v>
      </c>
      <c r="G989" s="185">
        <v>4311</v>
      </c>
      <c r="H989" s="185">
        <f t="shared" ref="H989:H1010" si="41">B989+C989</f>
        <v>1218</v>
      </c>
      <c r="I989" s="114">
        <f t="shared" ref="I989:I1010" si="42">SUM(D989:H989)-F989</f>
        <v>6988</v>
      </c>
      <c r="J989" s="224">
        <v>1761.2</v>
      </c>
      <c r="K989" s="47">
        <f t="shared" si="37"/>
        <v>44</v>
      </c>
      <c r="L989" s="223">
        <f t="shared" si="40"/>
        <v>41209</v>
      </c>
    </row>
    <row r="990" spans="1:22" x14ac:dyDescent="0.25">
      <c r="A990" s="13">
        <f t="shared" si="38"/>
        <v>41220</v>
      </c>
      <c r="B990" s="30">
        <v>340</v>
      </c>
      <c r="C990" s="30">
        <v>683</v>
      </c>
      <c r="D990" s="241">
        <v>694</v>
      </c>
      <c r="E990" s="30">
        <v>761</v>
      </c>
      <c r="F990" s="229">
        <v>180</v>
      </c>
      <c r="G990" s="227">
        <v>3896</v>
      </c>
      <c r="H990" s="30">
        <f t="shared" si="41"/>
        <v>1023</v>
      </c>
      <c r="I990" s="114">
        <f t="shared" si="42"/>
        <v>6374</v>
      </c>
      <c r="J990" s="224">
        <v>1420</v>
      </c>
      <c r="K990" s="47">
        <f t="shared" si="37"/>
        <v>45</v>
      </c>
      <c r="L990" s="223">
        <f t="shared" si="40"/>
        <v>41216</v>
      </c>
    </row>
    <row r="991" spans="1:22" x14ac:dyDescent="0.25">
      <c r="A991" s="239">
        <f t="shared" si="38"/>
        <v>41227</v>
      </c>
      <c r="B991" s="232">
        <v>470</v>
      </c>
      <c r="C991" s="232">
        <v>664</v>
      </c>
      <c r="D991" s="241">
        <v>641</v>
      </c>
      <c r="E991" s="232">
        <v>572</v>
      </c>
      <c r="F991" s="231" t="s">
        <v>34</v>
      </c>
      <c r="G991" s="151">
        <v>3548</v>
      </c>
      <c r="H991" s="30">
        <f t="shared" si="41"/>
        <v>1134</v>
      </c>
      <c r="I991" s="114">
        <f t="shared" si="42"/>
        <v>5895</v>
      </c>
      <c r="J991" s="224">
        <v>1669</v>
      </c>
      <c r="K991" s="47">
        <f t="shared" si="37"/>
        <v>46</v>
      </c>
      <c r="L991" s="223">
        <f t="shared" si="40"/>
        <v>41223</v>
      </c>
    </row>
    <row r="992" spans="1:22" x14ac:dyDescent="0.25">
      <c r="A992" s="13">
        <f t="shared" si="38"/>
        <v>41234</v>
      </c>
      <c r="B992" s="232">
        <v>491</v>
      </c>
      <c r="C992" s="232">
        <v>474</v>
      </c>
      <c r="D992" s="241">
        <v>1127</v>
      </c>
      <c r="E992" s="232">
        <v>569</v>
      </c>
      <c r="F992" s="231" t="s">
        <v>34</v>
      </c>
      <c r="G992" s="151">
        <v>4201</v>
      </c>
      <c r="H992" s="30">
        <f t="shared" si="41"/>
        <v>965</v>
      </c>
      <c r="I992" s="114">
        <f t="shared" si="42"/>
        <v>6862</v>
      </c>
      <c r="J992" s="224">
        <v>1504</v>
      </c>
      <c r="K992" s="47">
        <f t="shared" si="37"/>
        <v>47</v>
      </c>
      <c r="L992" s="223">
        <f t="shared" si="40"/>
        <v>41230</v>
      </c>
      <c r="M992" s="178"/>
      <c r="N992" s="180"/>
      <c r="O992" s="180"/>
      <c r="P992" s="180"/>
      <c r="Q992" s="180"/>
      <c r="R992" s="180"/>
      <c r="S992" s="179"/>
      <c r="T992" s="180"/>
      <c r="U992" s="181"/>
    </row>
    <row r="993" spans="1:12" x14ac:dyDescent="0.25">
      <c r="A993" s="13">
        <f t="shared" si="38"/>
        <v>41241</v>
      </c>
      <c r="B993" s="232">
        <v>353</v>
      </c>
      <c r="C993" s="232">
        <v>483</v>
      </c>
      <c r="D993" s="241">
        <v>1311</v>
      </c>
      <c r="E993" s="232">
        <v>842</v>
      </c>
      <c r="F993" s="231" t="s">
        <v>34</v>
      </c>
      <c r="G993" s="151">
        <v>4580</v>
      </c>
      <c r="H993" s="30">
        <f t="shared" si="41"/>
        <v>836</v>
      </c>
      <c r="I993" s="114">
        <f t="shared" si="42"/>
        <v>7569</v>
      </c>
      <c r="J993" s="224">
        <v>1147</v>
      </c>
      <c r="K993" s="47">
        <f t="shared" si="37"/>
        <v>48</v>
      </c>
      <c r="L993" s="223">
        <f t="shared" si="40"/>
        <v>41237</v>
      </c>
    </row>
    <row r="994" spans="1:12" x14ac:dyDescent="0.25">
      <c r="A994" s="13">
        <f t="shared" si="38"/>
        <v>41248</v>
      </c>
      <c r="B994" s="232">
        <v>351</v>
      </c>
      <c r="C994" s="232">
        <v>777</v>
      </c>
      <c r="D994" s="241">
        <v>1365</v>
      </c>
      <c r="E994" s="232">
        <v>928</v>
      </c>
      <c r="F994" s="231" t="s">
        <v>34</v>
      </c>
      <c r="G994" s="151">
        <v>3170</v>
      </c>
      <c r="H994" s="30">
        <f t="shared" si="41"/>
        <v>1128</v>
      </c>
      <c r="I994" s="114">
        <f t="shared" si="42"/>
        <v>6591</v>
      </c>
      <c r="J994" s="224">
        <v>1122</v>
      </c>
      <c r="K994" s="47">
        <f t="shared" si="37"/>
        <v>49</v>
      </c>
      <c r="L994" s="223">
        <f t="shared" si="40"/>
        <v>41244</v>
      </c>
    </row>
    <row r="995" spans="1:12" x14ac:dyDescent="0.25">
      <c r="A995" s="13">
        <f t="shared" si="38"/>
        <v>41255</v>
      </c>
      <c r="B995" s="232">
        <v>499</v>
      </c>
      <c r="C995" s="232">
        <v>695</v>
      </c>
      <c r="D995" s="241">
        <v>1027</v>
      </c>
      <c r="E995" s="232">
        <v>620</v>
      </c>
      <c r="F995" s="231" t="s">
        <v>34</v>
      </c>
      <c r="G995" s="151">
        <v>3011</v>
      </c>
      <c r="H995" s="30">
        <f t="shared" si="41"/>
        <v>1194</v>
      </c>
      <c r="I995" s="114">
        <f t="shared" si="42"/>
        <v>5852</v>
      </c>
      <c r="J995" s="224">
        <v>1306</v>
      </c>
      <c r="K995" s="47">
        <f t="shared" si="37"/>
        <v>50</v>
      </c>
      <c r="L995" s="223">
        <f t="shared" si="40"/>
        <v>41251</v>
      </c>
    </row>
    <row r="996" spans="1:12" x14ac:dyDescent="0.25">
      <c r="A996" s="13">
        <f t="shared" si="38"/>
        <v>41262</v>
      </c>
      <c r="B996" s="232">
        <v>381</v>
      </c>
      <c r="C996" s="232">
        <v>362</v>
      </c>
      <c r="D996" s="241">
        <v>1448</v>
      </c>
      <c r="E996" s="232">
        <v>877</v>
      </c>
      <c r="F996" s="231" t="s">
        <v>34</v>
      </c>
      <c r="G996" s="151">
        <v>3950</v>
      </c>
      <c r="H996" s="30">
        <f t="shared" si="41"/>
        <v>743</v>
      </c>
      <c r="I996" s="114">
        <f t="shared" si="42"/>
        <v>7018</v>
      </c>
      <c r="J996" s="224">
        <v>964</v>
      </c>
      <c r="K996" s="47">
        <f t="shared" si="37"/>
        <v>51</v>
      </c>
      <c r="L996" s="223">
        <f t="shared" si="40"/>
        <v>41258</v>
      </c>
    </row>
    <row r="997" spans="1:12" x14ac:dyDescent="0.25">
      <c r="A997" s="13">
        <f t="shared" si="38"/>
        <v>41269</v>
      </c>
      <c r="B997" s="232">
        <v>351</v>
      </c>
      <c r="C997" s="232">
        <v>452</v>
      </c>
      <c r="D997" s="241">
        <v>1402</v>
      </c>
      <c r="E997" s="232">
        <v>510</v>
      </c>
      <c r="F997" s="231" t="s">
        <v>34</v>
      </c>
      <c r="G997" s="151">
        <v>3821</v>
      </c>
      <c r="H997" s="30">
        <f t="shared" si="41"/>
        <v>803</v>
      </c>
      <c r="I997" s="114">
        <f t="shared" si="42"/>
        <v>6536</v>
      </c>
      <c r="J997" s="224">
        <v>1187</v>
      </c>
      <c r="K997" s="47">
        <f t="shared" si="37"/>
        <v>52</v>
      </c>
      <c r="L997" s="223">
        <f t="shared" si="40"/>
        <v>41265</v>
      </c>
    </row>
    <row r="998" spans="1:12" x14ac:dyDescent="0.25">
      <c r="A998" s="13">
        <f>A997+7</f>
        <v>41276</v>
      </c>
      <c r="B998" s="232">
        <v>289</v>
      </c>
      <c r="C998" s="232">
        <v>604</v>
      </c>
      <c r="D998" s="241">
        <v>1015</v>
      </c>
      <c r="E998" s="232">
        <v>816</v>
      </c>
      <c r="F998" s="231" t="s">
        <v>34</v>
      </c>
      <c r="G998" s="151">
        <v>3690</v>
      </c>
      <c r="H998" s="30">
        <f t="shared" si="41"/>
        <v>893</v>
      </c>
      <c r="I998" s="114">
        <f t="shared" si="42"/>
        <v>6414</v>
      </c>
      <c r="J998" s="224">
        <v>856</v>
      </c>
      <c r="K998" s="47">
        <v>1</v>
      </c>
      <c r="L998" s="223">
        <f>L997+7</f>
        <v>41272</v>
      </c>
    </row>
    <row r="999" spans="1:12" x14ac:dyDescent="0.25">
      <c r="A999" s="13">
        <f t="shared" si="38"/>
        <v>41283</v>
      </c>
      <c r="B999" s="240">
        <v>182</v>
      </c>
      <c r="C999" s="240">
        <v>527</v>
      </c>
      <c r="D999" s="242">
        <v>1199</v>
      </c>
      <c r="E999" s="240">
        <v>640</v>
      </c>
      <c r="F999" s="231" t="s">
        <v>34</v>
      </c>
      <c r="G999" s="151">
        <v>4523</v>
      </c>
      <c r="H999" s="30">
        <f t="shared" si="41"/>
        <v>709</v>
      </c>
      <c r="I999" s="114">
        <f t="shared" si="42"/>
        <v>7071</v>
      </c>
      <c r="J999" s="224">
        <v>916</v>
      </c>
      <c r="K999" s="47">
        <f t="shared" si="37"/>
        <v>2</v>
      </c>
      <c r="L999" s="223">
        <f t="shared" si="40"/>
        <v>41279</v>
      </c>
    </row>
    <row r="1000" spans="1:12" x14ac:dyDescent="0.25">
      <c r="A1000" s="13">
        <f t="shared" si="38"/>
        <v>41290</v>
      </c>
      <c r="B1000" s="243">
        <v>193</v>
      </c>
      <c r="C1000" s="243">
        <v>295</v>
      </c>
      <c r="D1000" s="243">
        <v>1018</v>
      </c>
      <c r="E1000" s="243">
        <v>676</v>
      </c>
      <c r="F1000" s="231" t="s">
        <v>34</v>
      </c>
      <c r="G1000" s="151">
        <v>4724</v>
      </c>
      <c r="H1000" s="30">
        <f t="shared" si="41"/>
        <v>488</v>
      </c>
      <c r="I1000" s="114">
        <f t="shared" si="42"/>
        <v>6906</v>
      </c>
      <c r="J1000" s="224">
        <v>1324</v>
      </c>
      <c r="K1000" s="47">
        <f t="shared" si="37"/>
        <v>3</v>
      </c>
      <c r="L1000" s="223">
        <f t="shared" si="40"/>
        <v>41286</v>
      </c>
    </row>
    <row r="1001" spans="1:12" x14ac:dyDescent="0.25">
      <c r="A1001" s="13">
        <f t="shared" si="38"/>
        <v>41297</v>
      </c>
      <c r="B1001" s="243">
        <v>414</v>
      </c>
      <c r="C1001" s="108">
        <v>593</v>
      </c>
      <c r="D1001" s="244">
        <v>965</v>
      </c>
      <c r="E1001" s="108">
        <v>652</v>
      </c>
      <c r="F1001" s="231" t="s">
        <v>34</v>
      </c>
      <c r="G1001" s="151">
        <v>4500</v>
      </c>
      <c r="H1001" s="30">
        <f t="shared" si="41"/>
        <v>1007</v>
      </c>
      <c r="I1001" s="114">
        <f t="shared" si="42"/>
        <v>7124</v>
      </c>
      <c r="J1001" s="224">
        <v>939</v>
      </c>
      <c r="K1001" s="47">
        <f t="shared" si="37"/>
        <v>4</v>
      </c>
      <c r="L1001" s="223">
        <f t="shared" si="40"/>
        <v>41293</v>
      </c>
    </row>
    <row r="1002" spans="1:12" x14ac:dyDescent="0.25">
      <c r="A1002" s="13">
        <f t="shared" si="38"/>
        <v>41304</v>
      </c>
      <c r="B1002" s="245">
        <v>361</v>
      </c>
      <c r="C1002" s="245">
        <v>215</v>
      </c>
      <c r="D1002" s="245">
        <v>1049</v>
      </c>
      <c r="E1002" s="245">
        <v>813</v>
      </c>
      <c r="F1002" s="231" t="s">
        <v>34</v>
      </c>
      <c r="G1002" s="246">
        <v>4477</v>
      </c>
      <c r="H1002" s="30">
        <f t="shared" si="41"/>
        <v>576</v>
      </c>
      <c r="I1002" s="114">
        <f t="shared" si="42"/>
        <v>6915</v>
      </c>
      <c r="J1002" s="224">
        <v>1081</v>
      </c>
      <c r="K1002" s="47">
        <f t="shared" si="37"/>
        <v>5</v>
      </c>
      <c r="L1002" s="223">
        <f t="shared" si="40"/>
        <v>41300</v>
      </c>
    </row>
    <row r="1003" spans="1:12" x14ac:dyDescent="0.25">
      <c r="A1003" s="13">
        <f t="shared" si="38"/>
        <v>41311</v>
      </c>
      <c r="B1003" s="247">
        <v>329</v>
      </c>
      <c r="C1003" s="247">
        <v>506</v>
      </c>
      <c r="D1003" s="247">
        <v>1020</v>
      </c>
      <c r="E1003" s="247">
        <v>390</v>
      </c>
      <c r="F1003" s="231" t="s">
        <v>34</v>
      </c>
      <c r="G1003" s="246">
        <v>3754</v>
      </c>
      <c r="H1003" s="30">
        <f t="shared" si="41"/>
        <v>835</v>
      </c>
      <c r="I1003" s="114">
        <f t="shared" si="42"/>
        <v>5999</v>
      </c>
      <c r="J1003" s="224">
        <v>1301</v>
      </c>
      <c r="K1003" s="47">
        <f t="shared" si="37"/>
        <v>6</v>
      </c>
      <c r="L1003" s="223">
        <f t="shared" si="40"/>
        <v>41307</v>
      </c>
    </row>
    <row r="1004" spans="1:12" x14ac:dyDescent="0.25">
      <c r="A1004" s="13">
        <f t="shared" si="38"/>
        <v>41318</v>
      </c>
      <c r="B1004" s="248">
        <v>226</v>
      </c>
      <c r="C1004" s="248">
        <v>924</v>
      </c>
      <c r="D1004" s="248">
        <v>703</v>
      </c>
      <c r="E1004" s="248">
        <v>876</v>
      </c>
      <c r="F1004" s="231" t="s">
        <v>34</v>
      </c>
      <c r="G1004" s="247">
        <v>4356</v>
      </c>
      <c r="H1004" s="30">
        <f t="shared" si="41"/>
        <v>1150</v>
      </c>
      <c r="I1004" s="114">
        <f t="shared" si="42"/>
        <v>7085</v>
      </c>
      <c r="J1004" s="224">
        <v>1116</v>
      </c>
      <c r="K1004" s="47">
        <f t="shared" si="37"/>
        <v>7</v>
      </c>
      <c r="L1004" s="223">
        <f t="shared" si="40"/>
        <v>41314</v>
      </c>
    </row>
    <row r="1005" spans="1:12" x14ac:dyDescent="0.25">
      <c r="A1005" s="13">
        <f t="shared" si="38"/>
        <v>41325</v>
      </c>
      <c r="B1005" s="248">
        <v>378</v>
      </c>
      <c r="C1005" s="248">
        <v>192</v>
      </c>
      <c r="D1005" s="248">
        <v>249</v>
      </c>
      <c r="E1005" s="248">
        <v>1195</v>
      </c>
      <c r="F1005" s="231" t="s">
        <v>34</v>
      </c>
      <c r="G1005" s="246">
        <v>4889</v>
      </c>
      <c r="H1005" s="30">
        <f t="shared" si="41"/>
        <v>570</v>
      </c>
      <c r="I1005" s="114">
        <f t="shared" si="42"/>
        <v>6903</v>
      </c>
      <c r="J1005" s="224">
        <v>1002</v>
      </c>
      <c r="K1005" s="47">
        <f t="shared" si="37"/>
        <v>8</v>
      </c>
      <c r="L1005" s="223">
        <f t="shared" si="40"/>
        <v>41321</v>
      </c>
    </row>
    <row r="1006" spans="1:12" x14ac:dyDescent="0.25">
      <c r="A1006" s="13">
        <f t="shared" si="38"/>
        <v>41332</v>
      </c>
      <c r="B1006" s="248">
        <v>283</v>
      </c>
      <c r="C1006" s="248">
        <v>219</v>
      </c>
      <c r="D1006" s="248">
        <v>168</v>
      </c>
      <c r="E1006" s="249">
        <v>872</v>
      </c>
      <c r="F1006" s="231" t="s">
        <v>34</v>
      </c>
      <c r="G1006" s="246">
        <v>3705</v>
      </c>
      <c r="H1006" s="30">
        <f t="shared" si="41"/>
        <v>502</v>
      </c>
      <c r="I1006" s="114">
        <f t="shared" si="42"/>
        <v>5247</v>
      </c>
      <c r="J1006" s="224">
        <v>1195</v>
      </c>
      <c r="K1006" s="47">
        <f t="shared" si="37"/>
        <v>9</v>
      </c>
      <c r="L1006" s="223">
        <f t="shared" si="40"/>
        <v>41328</v>
      </c>
    </row>
    <row r="1007" spans="1:12" x14ac:dyDescent="0.25">
      <c r="A1007" s="13">
        <f t="shared" si="38"/>
        <v>41339</v>
      </c>
      <c r="B1007" s="248">
        <v>302</v>
      </c>
      <c r="C1007" s="248">
        <v>163</v>
      </c>
      <c r="D1007" s="248">
        <v>47</v>
      </c>
      <c r="E1007" s="249">
        <v>932</v>
      </c>
      <c r="F1007" s="231" t="s">
        <v>34</v>
      </c>
      <c r="G1007" s="246">
        <v>4194</v>
      </c>
      <c r="H1007" s="30">
        <f t="shared" si="41"/>
        <v>465</v>
      </c>
      <c r="I1007" s="114">
        <f t="shared" si="42"/>
        <v>5638</v>
      </c>
      <c r="J1007" s="224">
        <v>839</v>
      </c>
      <c r="K1007" s="47">
        <f t="shared" si="37"/>
        <v>10</v>
      </c>
      <c r="L1007" s="223">
        <f t="shared" si="40"/>
        <v>41335</v>
      </c>
    </row>
    <row r="1008" spans="1:12" x14ac:dyDescent="0.25">
      <c r="A1008" s="13">
        <f t="shared" si="38"/>
        <v>41346</v>
      </c>
      <c r="B1008" s="248">
        <v>297</v>
      </c>
      <c r="C1008" s="248">
        <v>42</v>
      </c>
      <c r="D1008" s="248">
        <v>0</v>
      </c>
      <c r="E1008" s="249">
        <v>998</v>
      </c>
      <c r="F1008" s="231" t="s">
        <v>34</v>
      </c>
      <c r="G1008" s="246">
        <v>3843</v>
      </c>
      <c r="H1008" s="30">
        <f t="shared" si="41"/>
        <v>339</v>
      </c>
      <c r="I1008" s="114">
        <f t="shared" si="42"/>
        <v>5180</v>
      </c>
      <c r="J1008" s="224">
        <v>1358</v>
      </c>
      <c r="K1008" s="47">
        <f t="shared" si="37"/>
        <v>11</v>
      </c>
      <c r="L1008" s="223">
        <f t="shared" si="40"/>
        <v>41342</v>
      </c>
    </row>
    <row r="1009" spans="1:12" x14ac:dyDescent="0.25">
      <c r="A1009" s="13">
        <f t="shared" si="38"/>
        <v>41353</v>
      </c>
      <c r="B1009" s="248">
        <v>55</v>
      </c>
      <c r="C1009" s="248">
        <v>127</v>
      </c>
      <c r="D1009" s="248">
        <v>148</v>
      </c>
      <c r="E1009" s="249">
        <v>1252</v>
      </c>
      <c r="F1009" s="231" t="s">
        <v>34</v>
      </c>
      <c r="G1009" s="246">
        <v>3470</v>
      </c>
      <c r="H1009" s="30">
        <f t="shared" si="41"/>
        <v>182</v>
      </c>
      <c r="I1009" s="114">
        <f t="shared" si="42"/>
        <v>5052</v>
      </c>
      <c r="J1009" s="224">
        <v>1011</v>
      </c>
      <c r="K1009" s="47">
        <f t="shared" si="37"/>
        <v>12</v>
      </c>
      <c r="L1009" s="223">
        <f t="shared" si="40"/>
        <v>41349</v>
      </c>
    </row>
    <row r="1010" spans="1:12" x14ac:dyDescent="0.25">
      <c r="A1010" s="13">
        <f t="shared" si="38"/>
        <v>41360</v>
      </c>
      <c r="B1010" s="248">
        <v>112</v>
      </c>
      <c r="C1010" s="248">
        <v>37</v>
      </c>
      <c r="D1010" s="248">
        <v>1</v>
      </c>
      <c r="E1010" s="249">
        <v>1386</v>
      </c>
      <c r="F1010" s="231" t="s">
        <v>34</v>
      </c>
      <c r="G1010" s="246">
        <v>3597</v>
      </c>
      <c r="H1010" s="30">
        <f t="shared" si="41"/>
        <v>149</v>
      </c>
      <c r="I1010" s="114">
        <f t="shared" si="42"/>
        <v>5133</v>
      </c>
      <c r="J1010" s="224">
        <v>1493</v>
      </c>
      <c r="K1010" s="47">
        <f t="shared" si="37"/>
        <v>13</v>
      </c>
      <c r="L1010" s="223">
        <f t="shared" si="40"/>
        <v>41356</v>
      </c>
    </row>
    <row r="1011" spans="1:12" x14ac:dyDescent="0.25">
      <c r="A1011" s="13">
        <f t="shared" si="38"/>
        <v>41367</v>
      </c>
      <c r="B1011" s="247">
        <v>122</v>
      </c>
      <c r="C1011" s="247">
        <v>2</v>
      </c>
      <c r="D1011" s="247">
        <v>185</v>
      </c>
      <c r="E1011" s="247">
        <v>1819</v>
      </c>
      <c r="F1011" s="231" t="s">
        <v>34</v>
      </c>
      <c r="G1011" s="246">
        <v>2899</v>
      </c>
      <c r="H1011" s="30">
        <f t="shared" ref="H1011:H1045" si="43">B1011+C1011</f>
        <v>124</v>
      </c>
      <c r="I1011" s="114">
        <f t="shared" ref="I1011:I1045" si="44">SUM(D1011:H1011)-F1011</f>
        <v>5027</v>
      </c>
      <c r="J1011" s="224">
        <v>1303</v>
      </c>
      <c r="K1011" s="47">
        <f t="shared" si="37"/>
        <v>14</v>
      </c>
      <c r="L1011" s="223">
        <f t="shared" si="40"/>
        <v>41363</v>
      </c>
    </row>
    <row r="1012" spans="1:12" x14ac:dyDescent="0.25">
      <c r="A1012" s="13">
        <f t="shared" si="38"/>
        <v>41374</v>
      </c>
      <c r="B1012" s="247">
        <v>113</v>
      </c>
      <c r="C1012" s="247">
        <v>1</v>
      </c>
      <c r="D1012" s="247">
        <v>122</v>
      </c>
      <c r="E1012" s="247">
        <v>1121</v>
      </c>
      <c r="F1012" s="231" t="s">
        <v>34</v>
      </c>
      <c r="G1012" s="246">
        <v>1582</v>
      </c>
      <c r="H1012" s="30">
        <f t="shared" si="43"/>
        <v>114</v>
      </c>
      <c r="I1012" s="114">
        <f t="shared" si="44"/>
        <v>2939</v>
      </c>
      <c r="J1012" s="224">
        <v>1432</v>
      </c>
      <c r="K1012" s="47">
        <f t="shared" si="37"/>
        <v>15</v>
      </c>
      <c r="L1012" s="223">
        <f t="shared" si="40"/>
        <v>41370</v>
      </c>
    </row>
    <row r="1013" spans="1:12" x14ac:dyDescent="0.25">
      <c r="A1013" s="13">
        <f t="shared" si="38"/>
        <v>41381</v>
      </c>
      <c r="B1013" s="247">
        <v>29</v>
      </c>
      <c r="C1013" s="247">
        <v>0</v>
      </c>
      <c r="D1013" s="247">
        <v>1</v>
      </c>
      <c r="E1013" s="247">
        <v>1683</v>
      </c>
      <c r="F1013" s="231" t="s">
        <v>34</v>
      </c>
      <c r="G1013" s="246">
        <v>1359</v>
      </c>
      <c r="H1013" s="30">
        <f t="shared" si="43"/>
        <v>29</v>
      </c>
      <c r="I1013" s="114">
        <f t="shared" si="44"/>
        <v>3072</v>
      </c>
      <c r="J1013" s="224">
        <v>1254</v>
      </c>
      <c r="K1013" s="47">
        <f t="shared" si="37"/>
        <v>16</v>
      </c>
      <c r="L1013" s="223">
        <f t="shared" si="40"/>
        <v>41377</v>
      </c>
    </row>
    <row r="1014" spans="1:12" x14ac:dyDescent="0.25">
      <c r="A1014" s="13">
        <f t="shared" si="38"/>
        <v>41388</v>
      </c>
      <c r="B1014" s="247">
        <v>176</v>
      </c>
      <c r="C1014" s="247">
        <v>179</v>
      </c>
      <c r="D1014" s="247">
        <v>0</v>
      </c>
      <c r="E1014" s="247">
        <v>1389</v>
      </c>
      <c r="F1014" s="231" t="s">
        <v>34</v>
      </c>
      <c r="G1014" s="246">
        <v>1685</v>
      </c>
      <c r="H1014" s="30">
        <f t="shared" si="43"/>
        <v>355</v>
      </c>
      <c r="I1014" s="114">
        <f t="shared" si="44"/>
        <v>3429</v>
      </c>
      <c r="J1014" s="224">
        <v>1172</v>
      </c>
      <c r="K1014" s="47">
        <f t="shared" si="37"/>
        <v>17</v>
      </c>
      <c r="L1014" s="223">
        <f t="shared" si="40"/>
        <v>41384</v>
      </c>
    </row>
    <row r="1015" spans="1:12" x14ac:dyDescent="0.25">
      <c r="A1015" s="13">
        <f t="shared" si="38"/>
        <v>41395</v>
      </c>
      <c r="B1015" s="247">
        <v>0</v>
      </c>
      <c r="C1015" s="247">
        <v>91</v>
      </c>
      <c r="D1015" s="247">
        <v>155</v>
      </c>
      <c r="E1015" s="247">
        <v>1607</v>
      </c>
      <c r="F1015" s="231" t="s">
        <v>34</v>
      </c>
      <c r="G1015" s="246">
        <v>1502</v>
      </c>
      <c r="H1015" s="30">
        <f t="shared" si="43"/>
        <v>91</v>
      </c>
      <c r="I1015" s="114">
        <f t="shared" si="44"/>
        <v>3355</v>
      </c>
      <c r="J1015" s="224">
        <v>1428</v>
      </c>
      <c r="K1015" s="47">
        <f t="shared" si="37"/>
        <v>18</v>
      </c>
      <c r="L1015" s="223">
        <f t="shared" si="40"/>
        <v>41391</v>
      </c>
    </row>
    <row r="1016" spans="1:12" x14ac:dyDescent="0.25">
      <c r="A1016" s="13">
        <f t="shared" si="38"/>
        <v>41402</v>
      </c>
      <c r="B1016" s="247">
        <v>44</v>
      </c>
      <c r="C1016" s="247">
        <v>66</v>
      </c>
      <c r="D1016" s="247">
        <v>3</v>
      </c>
      <c r="E1016" s="247">
        <v>1717</v>
      </c>
      <c r="F1016" s="231" t="s">
        <v>34</v>
      </c>
      <c r="G1016" s="246">
        <v>1106</v>
      </c>
      <c r="H1016" s="30">
        <f t="shared" si="43"/>
        <v>110</v>
      </c>
      <c r="I1016" s="114">
        <f t="shared" si="44"/>
        <v>2936</v>
      </c>
      <c r="J1016" s="224">
        <v>1187</v>
      </c>
      <c r="K1016" s="47">
        <f t="shared" si="37"/>
        <v>19</v>
      </c>
      <c r="L1016" s="223">
        <f t="shared" si="40"/>
        <v>41398</v>
      </c>
    </row>
    <row r="1017" spans="1:12" x14ac:dyDescent="0.25">
      <c r="A1017" s="13">
        <f t="shared" si="38"/>
        <v>41409</v>
      </c>
      <c r="B1017" s="247">
        <v>149</v>
      </c>
      <c r="C1017" s="247">
        <v>89</v>
      </c>
      <c r="D1017" s="247">
        <v>122</v>
      </c>
      <c r="E1017" s="247">
        <v>1132</v>
      </c>
      <c r="F1017" s="231" t="s">
        <v>34</v>
      </c>
      <c r="G1017" s="246">
        <v>914</v>
      </c>
      <c r="H1017" s="30">
        <f t="shared" si="43"/>
        <v>238</v>
      </c>
      <c r="I1017" s="114">
        <f t="shared" si="44"/>
        <v>2406</v>
      </c>
      <c r="J1017" s="224">
        <v>1178</v>
      </c>
      <c r="K1017" s="47">
        <f t="shared" si="37"/>
        <v>20</v>
      </c>
      <c r="L1017" s="223">
        <f t="shared" si="40"/>
        <v>41405</v>
      </c>
    </row>
    <row r="1018" spans="1:12" x14ac:dyDescent="0.25">
      <c r="A1018" s="13">
        <f t="shared" si="38"/>
        <v>41416</v>
      </c>
      <c r="B1018" s="247">
        <v>120</v>
      </c>
      <c r="C1018" s="247">
        <v>0</v>
      </c>
      <c r="D1018" s="247">
        <v>211</v>
      </c>
      <c r="E1018" s="247">
        <v>1322</v>
      </c>
      <c r="F1018" s="231" t="s">
        <v>34</v>
      </c>
      <c r="G1018" s="246">
        <v>688</v>
      </c>
      <c r="H1018" s="30">
        <f t="shared" si="43"/>
        <v>120</v>
      </c>
      <c r="I1018" s="114">
        <f t="shared" si="44"/>
        <v>2341</v>
      </c>
      <c r="J1018" s="224">
        <v>1102</v>
      </c>
      <c r="K1018" s="47">
        <f t="shared" si="37"/>
        <v>21</v>
      </c>
      <c r="L1018" s="223">
        <f t="shared" si="40"/>
        <v>41412</v>
      </c>
    </row>
    <row r="1019" spans="1:12" x14ac:dyDescent="0.25">
      <c r="A1019" s="13">
        <f t="shared" si="38"/>
        <v>41423</v>
      </c>
      <c r="B1019" s="247">
        <v>19</v>
      </c>
      <c r="C1019" s="247">
        <v>0</v>
      </c>
      <c r="D1019" s="247">
        <v>403</v>
      </c>
      <c r="E1019" s="250">
        <v>1900</v>
      </c>
      <c r="F1019" s="231" t="s">
        <v>34</v>
      </c>
      <c r="G1019" s="246">
        <v>814</v>
      </c>
      <c r="H1019" s="30">
        <f t="shared" si="43"/>
        <v>19</v>
      </c>
      <c r="I1019" s="114">
        <f t="shared" si="44"/>
        <v>3136</v>
      </c>
      <c r="J1019" s="224">
        <v>1155</v>
      </c>
      <c r="K1019" s="47">
        <f t="shared" si="37"/>
        <v>22</v>
      </c>
      <c r="L1019" s="223">
        <f t="shared" si="40"/>
        <v>41419</v>
      </c>
    </row>
    <row r="1020" spans="1:12" x14ac:dyDescent="0.25">
      <c r="A1020" s="13">
        <f t="shared" si="38"/>
        <v>41430</v>
      </c>
      <c r="B1020" s="247">
        <v>88</v>
      </c>
      <c r="C1020" s="247">
        <v>0</v>
      </c>
      <c r="D1020" s="247">
        <v>104</v>
      </c>
      <c r="E1020" s="250">
        <v>2096</v>
      </c>
      <c r="F1020" s="231" t="s">
        <v>34</v>
      </c>
      <c r="G1020" s="246">
        <v>982</v>
      </c>
      <c r="H1020" s="30">
        <f t="shared" si="43"/>
        <v>88</v>
      </c>
      <c r="I1020" s="114">
        <f t="shared" si="44"/>
        <v>3270</v>
      </c>
      <c r="J1020" s="224">
        <v>1407</v>
      </c>
      <c r="K1020" s="47">
        <f t="shared" si="37"/>
        <v>23</v>
      </c>
      <c r="L1020" s="223">
        <f t="shared" si="40"/>
        <v>41426</v>
      </c>
    </row>
    <row r="1021" spans="1:12" x14ac:dyDescent="0.25">
      <c r="A1021" s="13">
        <f t="shared" si="38"/>
        <v>41437</v>
      </c>
      <c r="B1021" s="247">
        <v>0</v>
      </c>
      <c r="C1021" s="247">
        <v>0</v>
      </c>
      <c r="D1021" s="247">
        <v>0</v>
      </c>
      <c r="E1021" s="240">
        <v>1272</v>
      </c>
      <c r="F1021" s="231" t="s">
        <v>34</v>
      </c>
      <c r="G1021" s="246">
        <v>1391</v>
      </c>
      <c r="H1021" s="30">
        <f t="shared" si="43"/>
        <v>0</v>
      </c>
      <c r="I1021" s="114">
        <f t="shared" si="44"/>
        <v>2663</v>
      </c>
      <c r="J1021" s="224">
        <v>868</v>
      </c>
      <c r="K1021" s="47">
        <f t="shared" si="37"/>
        <v>24</v>
      </c>
      <c r="L1021" s="223">
        <f t="shared" si="40"/>
        <v>41433</v>
      </c>
    </row>
    <row r="1022" spans="1:12" x14ac:dyDescent="0.25">
      <c r="A1022" s="13">
        <f t="shared" si="38"/>
        <v>41444</v>
      </c>
      <c r="B1022" s="247">
        <v>0</v>
      </c>
      <c r="C1022" s="240">
        <v>0</v>
      </c>
      <c r="D1022" s="240">
        <v>4</v>
      </c>
      <c r="E1022" s="250">
        <v>1191</v>
      </c>
      <c r="F1022" s="231" t="s">
        <v>34</v>
      </c>
      <c r="G1022" s="246">
        <v>619</v>
      </c>
      <c r="H1022" s="30">
        <f t="shared" si="43"/>
        <v>0</v>
      </c>
      <c r="I1022" s="114">
        <f t="shared" si="44"/>
        <v>1814</v>
      </c>
      <c r="J1022" s="224">
        <v>862</v>
      </c>
      <c r="K1022" s="47">
        <f t="shared" si="37"/>
        <v>25</v>
      </c>
      <c r="L1022" s="223">
        <f t="shared" si="40"/>
        <v>41440</v>
      </c>
    </row>
    <row r="1023" spans="1:12" x14ac:dyDescent="0.25">
      <c r="A1023" s="13">
        <f t="shared" si="38"/>
        <v>41451</v>
      </c>
      <c r="B1023" s="247">
        <v>28</v>
      </c>
      <c r="C1023" s="247">
        <v>38</v>
      </c>
      <c r="D1023" s="247">
        <v>269</v>
      </c>
      <c r="E1023" s="250">
        <v>1526</v>
      </c>
      <c r="F1023" s="231" t="s">
        <v>34</v>
      </c>
      <c r="G1023" s="246">
        <v>1466</v>
      </c>
      <c r="H1023" s="30">
        <f t="shared" si="43"/>
        <v>66</v>
      </c>
      <c r="I1023" s="114">
        <f t="shared" si="44"/>
        <v>3327</v>
      </c>
      <c r="J1023" s="224">
        <v>1146</v>
      </c>
      <c r="K1023" s="47">
        <f t="shared" si="37"/>
        <v>26</v>
      </c>
      <c r="L1023" s="223">
        <f t="shared" si="40"/>
        <v>41447</v>
      </c>
    </row>
    <row r="1024" spans="1:12" x14ac:dyDescent="0.25">
      <c r="A1024" s="13">
        <f t="shared" si="38"/>
        <v>41458</v>
      </c>
      <c r="B1024" s="247">
        <v>13</v>
      </c>
      <c r="C1024" s="247">
        <v>83</v>
      </c>
      <c r="D1024" s="247">
        <v>145</v>
      </c>
      <c r="E1024" s="250">
        <v>1511</v>
      </c>
      <c r="F1024" s="231" t="s">
        <v>34</v>
      </c>
      <c r="G1024" s="246">
        <v>1486</v>
      </c>
      <c r="H1024" s="30">
        <f t="shared" si="43"/>
        <v>96</v>
      </c>
      <c r="I1024" s="114">
        <f t="shared" si="44"/>
        <v>3238</v>
      </c>
      <c r="J1024" s="224">
        <v>1473</v>
      </c>
      <c r="K1024" s="47">
        <f t="shared" ref="K1024:K1068" si="45">K1023+1</f>
        <v>27</v>
      </c>
      <c r="L1024" s="223">
        <f t="shared" si="40"/>
        <v>41454</v>
      </c>
    </row>
    <row r="1025" spans="1:12" x14ac:dyDescent="0.25">
      <c r="A1025" s="13">
        <f t="shared" si="38"/>
        <v>41465</v>
      </c>
      <c r="B1025" s="247">
        <v>61</v>
      </c>
      <c r="C1025" s="247">
        <v>132</v>
      </c>
      <c r="D1025" s="247">
        <v>314</v>
      </c>
      <c r="E1025" s="250">
        <v>1387</v>
      </c>
      <c r="F1025" s="231" t="s">
        <v>34</v>
      </c>
      <c r="G1025" s="246">
        <v>1075</v>
      </c>
      <c r="H1025" s="30">
        <f t="shared" si="43"/>
        <v>193</v>
      </c>
      <c r="I1025" s="114">
        <f t="shared" si="44"/>
        <v>2969</v>
      </c>
      <c r="J1025" s="224">
        <v>1075</v>
      </c>
      <c r="K1025" s="47">
        <f t="shared" si="45"/>
        <v>28</v>
      </c>
      <c r="L1025" s="223">
        <f t="shared" si="40"/>
        <v>41461</v>
      </c>
    </row>
    <row r="1026" spans="1:12" x14ac:dyDescent="0.25">
      <c r="A1026" s="13">
        <f t="shared" si="38"/>
        <v>41472</v>
      </c>
      <c r="B1026" s="247">
        <v>65</v>
      </c>
      <c r="C1026" s="247">
        <v>93</v>
      </c>
      <c r="D1026" s="247">
        <v>137</v>
      </c>
      <c r="E1026" s="250">
        <v>1357</v>
      </c>
      <c r="F1026" s="231" t="s">
        <v>34</v>
      </c>
      <c r="G1026" s="246">
        <v>668</v>
      </c>
      <c r="H1026" s="30">
        <f t="shared" si="43"/>
        <v>158</v>
      </c>
      <c r="I1026" s="114">
        <f t="shared" si="44"/>
        <v>2320</v>
      </c>
      <c r="J1026" s="224">
        <v>1737</v>
      </c>
      <c r="K1026" s="47">
        <f t="shared" si="45"/>
        <v>29</v>
      </c>
      <c r="L1026" s="223">
        <f t="shared" si="40"/>
        <v>41468</v>
      </c>
    </row>
    <row r="1027" spans="1:12" x14ac:dyDescent="0.25">
      <c r="A1027" s="13">
        <f t="shared" si="38"/>
        <v>41479</v>
      </c>
      <c r="B1027" s="251">
        <v>57</v>
      </c>
      <c r="C1027" s="251">
        <v>180</v>
      </c>
      <c r="D1027" s="251">
        <v>114</v>
      </c>
      <c r="E1027" s="251">
        <v>1187</v>
      </c>
      <c r="F1027" s="231" t="s">
        <v>34</v>
      </c>
      <c r="G1027" s="246">
        <v>800</v>
      </c>
      <c r="H1027" s="30">
        <f t="shared" si="43"/>
        <v>237</v>
      </c>
      <c r="I1027" s="114">
        <f t="shared" si="44"/>
        <v>2338</v>
      </c>
      <c r="J1027" s="224">
        <v>1213</v>
      </c>
      <c r="K1027" s="47">
        <f t="shared" si="45"/>
        <v>30</v>
      </c>
      <c r="L1027" s="223">
        <f t="shared" si="40"/>
        <v>41475</v>
      </c>
    </row>
    <row r="1028" spans="1:12" x14ac:dyDescent="0.25">
      <c r="A1028" s="13">
        <f t="shared" si="38"/>
        <v>41486</v>
      </c>
      <c r="B1028" s="247">
        <v>3</v>
      </c>
      <c r="C1028" s="247">
        <v>40</v>
      </c>
      <c r="D1028" s="247">
        <v>1</v>
      </c>
      <c r="E1028" s="250">
        <v>1656</v>
      </c>
      <c r="F1028" s="231" t="s">
        <v>34</v>
      </c>
      <c r="G1028" s="246">
        <v>1222</v>
      </c>
      <c r="H1028" s="30">
        <f t="shared" si="43"/>
        <v>43</v>
      </c>
      <c r="I1028" s="114">
        <f t="shared" si="44"/>
        <v>2922</v>
      </c>
      <c r="J1028" s="224">
        <v>1037</v>
      </c>
      <c r="K1028" s="47">
        <f t="shared" si="45"/>
        <v>31</v>
      </c>
      <c r="L1028" s="223">
        <f t="shared" si="40"/>
        <v>41482</v>
      </c>
    </row>
    <row r="1029" spans="1:12" x14ac:dyDescent="0.25">
      <c r="A1029" s="13">
        <f t="shared" si="38"/>
        <v>41493</v>
      </c>
      <c r="B1029" s="247">
        <v>4</v>
      </c>
      <c r="C1029" s="247">
        <v>28</v>
      </c>
      <c r="D1029" s="247">
        <v>0</v>
      </c>
      <c r="E1029" s="250">
        <v>2368</v>
      </c>
      <c r="F1029" s="231" t="s">
        <v>34</v>
      </c>
      <c r="G1029" s="246">
        <v>1003</v>
      </c>
      <c r="H1029" s="30">
        <f t="shared" si="43"/>
        <v>32</v>
      </c>
      <c r="I1029" s="114">
        <f t="shared" si="44"/>
        <v>3403</v>
      </c>
      <c r="J1029" s="224">
        <v>1514</v>
      </c>
      <c r="K1029" s="47">
        <f t="shared" si="45"/>
        <v>32</v>
      </c>
      <c r="L1029" s="223">
        <f t="shared" si="40"/>
        <v>41489</v>
      </c>
    </row>
    <row r="1030" spans="1:12" x14ac:dyDescent="0.25">
      <c r="A1030" s="13">
        <f t="shared" si="38"/>
        <v>41500</v>
      </c>
      <c r="B1030" s="247">
        <v>18</v>
      </c>
      <c r="C1030" s="247">
        <v>26</v>
      </c>
      <c r="D1030" s="247">
        <v>0</v>
      </c>
      <c r="E1030" s="250">
        <v>1490</v>
      </c>
      <c r="F1030" s="231" t="s">
        <v>34</v>
      </c>
      <c r="G1030" s="246">
        <v>1988</v>
      </c>
      <c r="H1030" s="30">
        <f t="shared" si="43"/>
        <v>44</v>
      </c>
      <c r="I1030" s="114">
        <f t="shared" si="44"/>
        <v>3522</v>
      </c>
      <c r="J1030" s="224">
        <v>1110</v>
      </c>
      <c r="K1030" s="47">
        <f t="shared" si="45"/>
        <v>33</v>
      </c>
      <c r="L1030" s="223">
        <f t="shared" si="40"/>
        <v>41496</v>
      </c>
    </row>
    <row r="1031" spans="1:12" x14ac:dyDescent="0.25">
      <c r="A1031" s="13">
        <f t="shared" ref="A1031:A1075" si="46">A1030+7</f>
        <v>41507</v>
      </c>
      <c r="B1031" s="247">
        <v>0</v>
      </c>
      <c r="C1031" s="247">
        <v>0</v>
      </c>
      <c r="D1031" s="247">
        <v>5</v>
      </c>
      <c r="E1031" s="250">
        <v>2357</v>
      </c>
      <c r="F1031" s="231" t="s">
        <v>34</v>
      </c>
      <c r="G1031" s="246">
        <v>2222</v>
      </c>
      <c r="H1031" s="30">
        <f t="shared" si="43"/>
        <v>0</v>
      </c>
      <c r="I1031" s="114">
        <f t="shared" si="44"/>
        <v>4584</v>
      </c>
      <c r="J1031" s="224">
        <v>1289</v>
      </c>
      <c r="K1031" s="47">
        <f t="shared" si="45"/>
        <v>34</v>
      </c>
      <c r="L1031" s="223">
        <f t="shared" si="40"/>
        <v>41503</v>
      </c>
    </row>
    <row r="1032" spans="1:12" x14ac:dyDescent="0.25">
      <c r="A1032" s="13">
        <f t="shared" si="46"/>
        <v>41514</v>
      </c>
      <c r="B1032" s="247">
        <v>48</v>
      </c>
      <c r="C1032" s="247">
        <v>0</v>
      </c>
      <c r="D1032" s="247">
        <v>111</v>
      </c>
      <c r="E1032" s="250">
        <v>2126</v>
      </c>
      <c r="F1032" s="231" t="s">
        <v>34</v>
      </c>
      <c r="G1032" s="246">
        <v>2697</v>
      </c>
      <c r="H1032" s="30">
        <f t="shared" si="43"/>
        <v>48</v>
      </c>
      <c r="I1032" s="114">
        <f t="shared" si="44"/>
        <v>4982</v>
      </c>
      <c r="J1032" s="224">
        <v>1046</v>
      </c>
      <c r="K1032" s="47">
        <f t="shared" si="45"/>
        <v>35</v>
      </c>
      <c r="L1032" s="223">
        <f t="shared" si="40"/>
        <v>41510</v>
      </c>
    </row>
    <row r="1033" spans="1:12" x14ac:dyDescent="0.25">
      <c r="A1033" s="13">
        <f t="shared" si="46"/>
        <v>41521</v>
      </c>
      <c r="B1033" s="240">
        <v>114</v>
      </c>
      <c r="C1033" s="247">
        <v>51</v>
      </c>
      <c r="D1033" s="247">
        <v>33</v>
      </c>
      <c r="E1033" s="250">
        <v>2166</v>
      </c>
      <c r="F1033" s="231" t="s">
        <v>34</v>
      </c>
      <c r="G1033" s="246">
        <v>3096</v>
      </c>
      <c r="H1033" s="30">
        <f t="shared" si="43"/>
        <v>165</v>
      </c>
      <c r="I1033" s="114">
        <f t="shared" si="44"/>
        <v>5460</v>
      </c>
      <c r="J1033" s="224">
        <v>1329</v>
      </c>
      <c r="K1033" s="47">
        <f t="shared" si="45"/>
        <v>36</v>
      </c>
      <c r="L1033" s="223">
        <f t="shared" si="40"/>
        <v>41517</v>
      </c>
    </row>
    <row r="1034" spans="1:12" x14ac:dyDescent="0.25">
      <c r="A1034" s="13">
        <f t="shared" si="46"/>
        <v>41528</v>
      </c>
      <c r="B1034" s="247">
        <v>31</v>
      </c>
      <c r="C1034" s="247">
        <v>0</v>
      </c>
      <c r="D1034" s="247">
        <v>0</v>
      </c>
      <c r="E1034" s="250">
        <v>2484</v>
      </c>
      <c r="F1034" s="231" t="s">
        <v>34</v>
      </c>
      <c r="G1034" s="246">
        <v>2915</v>
      </c>
      <c r="H1034" s="30">
        <f t="shared" si="43"/>
        <v>31</v>
      </c>
      <c r="I1034" s="114">
        <f t="shared" si="44"/>
        <v>5430</v>
      </c>
      <c r="J1034" s="224">
        <v>1018</v>
      </c>
      <c r="K1034" s="47">
        <f t="shared" si="45"/>
        <v>37</v>
      </c>
      <c r="L1034" s="223">
        <f t="shared" si="40"/>
        <v>41524</v>
      </c>
    </row>
    <row r="1035" spans="1:12" x14ac:dyDescent="0.25">
      <c r="A1035" s="13">
        <f t="shared" si="46"/>
        <v>41535</v>
      </c>
      <c r="B1035" s="247">
        <v>36</v>
      </c>
      <c r="C1035" s="247">
        <v>32</v>
      </c>
      <c r="D1035" s="247">
        <v>110</v>
      </c>
      <c r="E1035" s="250">
        <v>2663</v>
      </c>
      <c r="F1035" s="231" t="s">
        <v>34</v>
      </c>
      <c r="G1035" s="246">
        <v>3067</v>
      </c>
      <c r="H1035" s="30">
        <f t="shared" si="43"/>
        <v>68</v>
      </c>
      <c r="I1035" s="114">
        <f t="shared" si="44"/>
        <v>5908</v>
      </c>
      <c r="J1035" s="224">
        <v>1540</v>
      </c>
      <c r="K1035" s="47">
        <f t="shared" si="45"/>
        <v>38</v>
      </c>
      <c r="L1035" s="223">
        <f t="shared" si="40"/>
        <v>41531</v>
      </c>
    </row>
    <row r="1036" spans="1:12" x14ac:dyDescent="0.25">
      <c r="A1036" s="13">
        <f t="shared" si="46"/>
        <v>41542</v>
      </c>
      <c r="B1036" s="247">
        <v>26</v>
      </c>
      <c r="C1036" s="247">
        <v>0</v>
      </c>
      <c r="D1036" s="247">
        <v>0</v>
      </c>
      <c r="E1036" s="250">
        <v>1988</v>
      </c>
      <c r="F1036" s="231" t="s">
        <v>34</v>
      </c>
      <c r="G1036" s="246">
        <v>1893</v>
      </c>
      <c r="H1036" s="30">
        <f t="shared" si="43"/>
        <v>26</v>
      </c>
      <c r="I1036" s="114">
        <f t="shared" si="44"/>
        <v>3907</v>
      </c>
      <c r="J1036" s="224">
        <v>1755</v>
      </c>
      <c r="K1036" s="47">
        <f t="shared" si="45"/>
        <v>39</v>
      </c>
      <c r="L1036" s="223">
        <f t="shared" si="40"/>
        <v>41538</v>
      </c>
    </row>
    <row r="1037" spans="1:12" x14ac:dyDescent="0.25">
      <c r="A1037" s="13">
        <f t="shared" si="46"/>
        <v>41549</v>
      </c>
      <c r="B1037" s="247">
        <v>128</v>
      </c>
      <c r="C1037" s="247">
        <v>55</v>
      </c>
      <c r="D1037" s="247">
        <v>191</v>
      </c>
      <c r="E1037" s="250">
        <v>1619</v>
      </c>
      <c r="F1037" s="231" t="s">
        <v>34</v>
      </c>
      <c r="G1037" s="246">
        <v>2712</v>
      </c>
      <c r="H1037" s="30">
        <f t="shared" si="43"/>
        <v>183</v>
      </c>
      <c r="I1037" s="114">
        <f t="shared" si="44"/>
        <v>4705</v>
      </c>
      <c r="J1037" s="224">
        <v>1430</v>
      </c>
      <c r="K1037" s="47">
        <f t="shared" si="45"/>
        <v>40</v>
      </c>
      <c r="L1037" s="223">
        <f t="shared" si="40"/>
        <v>41545</v>
      </c>
    </row>
    <row r="1038" spans="1:12" x14ac:dyDescent="0.25">
      <c r="A1038" s="13">
        <f t="shared" si="46"/>
        <v>41556</v>
      </c>
      <c r="B1038" s="247">
        <v>454</v>
      </c>
      <c r="C1038" s="247">
        <v>690</v>
      </c>
      <c r="D1038" s="247">
        <v>1571</v>
      </c>
      <c r="E1038" s="250">
        <v>1717</v>
      </c>
      <c r="F1038" s="231" t="s">
        <v>34</v>
      </c>
      <c r="G1038" s="246">
        <v>5686</v>
      </c>
      <c r="H1038" s="30">
        <f t="shared" si="43"/>
        <v>1144</v>
      </c>
      <c r="I1038" s="114">
        <f t="shared" si="44"/>
        <v>10118</v>
      </c>
      <c r="J1038" s="224">
        <v>1794</v>
      </c>
      <c r="K1038" s="47">
        <f t="shared" si="45"/>
        <v>41</v>
      </c>
      <c r="L1038" s="223">
        <f t="shared" si="40"/>
        <v>41552</v>
      </c>
    </row>
    <row r="1039" spans="1:12" x14ac:dyDescent="0.25">
      <c r="A1039" s="13">
        <f t="shared" si="46"/>
        <v>41563</v>
      </c>
      <c r="B1039" s="247">
        <v>402</v>
      </c>
      <c r="C1039" s="247">
        <v>944</v>
      </c>
      <c r="D1039" s="247">
        <v>1929</v>
      </c>
      <c r="E1039" s="250">
        <v>1130</v>
      </c>
      <c r="F1039" s="231" t="s">
        <v>34</v>
      </c>
      <c r="G1039" s="246">
        <v>5482</v>
      </c>
      <c r="H1039" s="30">
        <f t="shared" si="43"/>
        <v>1346</v>
      </c>
      <c r="I1039" s="114">
        <f t="shared" si="44"/>
        <v>9887</v>
      </c>
      <c r="J1039" s="224">
        <v>1990</v>
      </c>
      <c r="K1039" s="47">
        <f t="shared" si="45"/>
        <v>42</v>
      </c>
      <c r="L1039" s="223">
        <f t="shared" si="40"/>
        <v>41559</v>
      </c>
    </row>
    <row r="1040" spans="1:12" x14ac:dyDescent="0.25">
      <c r="A1040" s="13">
        <f t="shared" si="46"/>
        <v>41570</v>
      </c>
      <c r="B1040" s="247">
        <v>593</v>
      </c>
      <c r="C1040" s="247">
        <v>772</v>
      </c>
      <c r="D1040" s="247">
        <v>1880</v>
      </c>
      <c r="E1040" s="250">
        <v>1211</v>
      </c>
      <c r="F1040" s="231" t="s">
        <v>34</v>
      </c>
      <c r="G1040" s="246">
        <v>5978</v>
      </c>
      <c r="H1040" s="30">
        <f t="shared" si="43"/>
        <v>1365</v>
      </c>
      <c r="I1040" s="114">
        <f t="shared" si="44"/>
        <v>10434</v>
      </c>
      <c r="J1040" s="224">
        <v>1799</v>
      </c>
      <c r="K1040" s="47">
        <f t="shared" si="45"/>
        <v>43</v>
      </c>
      <c r="L1040" s="223">
        <f t="shared" si="40"/>
        <v>41566</v>
      </c>
    </row>
    <row r="1041" spans="1:12" x14ac:dyDescent="0.25">
      <c r="A1041" s="13">
        <f t="shared" si="46"/>
        <v>41577</v>
      </c>
      <c r="B1041" s="247">
        <v>573</v>
      </c>
      <c r="C1041" s="247">
        <v>755</v>
      </c>
      <c r="D1041" s="247">
        <v>1786</v>
      </c>
      <c r="E1041" s="250">
        <v>766</v>
      </c>
      <c r="F1041" s="231" t="s">
        <v>34</v>
      </c>
      <c r="G1041" s="246">
        <v>6523</v>
      </c>
      <c r="H1041" s="30">
        <f t="shared" si="43"/>
        <v>1328</v>
      </c>
      <c r="I1041" s="114">
        <f t="shared" si="44"/>
        <v>10403</v>
      </c>
      <c r="J1041" s="224">
        <v>2226</v>
      </c>
      <c r="K1041" s="47">
        <f t="shared" si="45"/>
        <v>44</v>
      </c>
      <c r="L1041" s="223">
        <f t="shared" si="40"/>
        <v>41573</v>
      </c>
    </row>
    <row r="1042" spans="1:12" x14ac:dyDescent="0.25">
      <c r="A1042" s="13">
        <f t="shared" si="46"/>
        <v>41584</v>
      </c>
      <c r="B1042" s="247">
        <v>584</v>
      </c>
      <c r="C1042" s="247">
        <v>803</v>
      </c>
      <c r="D1042" s="247">
        <v>1955</v>
      </c>
      <c r="E1042" s="250">
        <v>1080</v>
      </c>
      <c r="F1042" s="231" t="s">
        <v>34</v>
      </c>
      <c r="G1042" s="246">
        <v>5837</v>
      </c>
      <c r="H1042" s="30">
        <f t="shared" si="43"/>
        <v>1387</v>
      </c>
      <c r="I1042" s="114">
        <f t="shared" si="44"/>
        <v>10259</v>
      </c>
      <c r="J1042" s="224">
        <v>1340</v>
      </c>
      <c r="K1042" s="47">
        <f t="shared" si="45"/>
        <v>45</v>
      </c>
      <c r="L1042" s="223">
        <f t="shared" si="40"/>
        <v>41580</v>
      </c>
    </row>
    <row r="1043" spans="1:12" x14ac:dyDescent="0.25">
      <c r="A1043" s="13">
        <f t="shared" si="46"/>
        <v>41591</v>
      </c>
      <c r="B1043" s="247">
        <v>501</v>
      </c>
      <c r="C1043" s="247">
        <v>708</v>
      </c>
      <c r="D1043" s="247">
        <v>1949</v>
      </c>
      <c r="E1043" s="250">
        <v>1060</v>
      </c>
      <c r="F1043" s="231" t="s">
        <v>34</v>
      </c>
      <c r="G1043" s="246">
        <v>7558</v>
      </c>
      <c r="H1043" s="30">
        <f t="shared" si="43"/>
        <v>1209</v>
      </c>
      <c r="I1043" s="114">
        <f t="shared" si="44"/>
        <v>11776</v>
      </c>
      <c r="J1043" s="224">
        <v>2095</v>
      </c>
      <c r="K1043" s="47">
        <f t="shared" si="45"/>
        <v>46</v>
      </c>
      <c r="L1043" s="223">
        <f t="shared" si="40"/>
        <v>41587</v>
      </c>
    </row>
    <row r="1044" spans="1:12" x14ac:dyDescent="0.25">
      <c r="A1044" s="13">
        <f t="shared" si="46"/>
        <v>41598</v>
      </c>
      <c r="B1044" s="247">
        <v>477</v>
      </c>
      <c r="C1044" s="250">
        <v>801</v>
      </c>
      <c r="D1044" s="247">
        <v>2314</v>
      </c>
      <c r="E1044" s="250">
        <v>1074</v>
      </c>
      <c r="F1044" s="231" t="s">
        <v>34</v>
      </c>
      <c r="G1044" s="246">
        <v>7285</v>
      </c>
      <c r="H1044" s="30">
        <f t="shared" si="43"/>
        <v>1278</v>
      </c>
      <c r="I1044" s="114">
        <f t="shared" si="44"/>
        <v>11951</v>
      </c>
      <c r="J1044" s="224">
        <v>2345</v>
      </c>
      <c r="K1044" s="47">
        <f t="shared" si="45"/>
        <v>47</v>
      </c>
      <c r="L1044" s="223">
        <f t="shared" si="40"/>
        <v>41594</v>
      </c>
    </row>
    <row r="1045" spans="1:12" x14ac:dyDescent="0.25">
      <c r="A1045" s="13">
        <f t="shared" si="46"/>
        <v>41605</v>
      </c>
      <c r="B1045" s="247">
        <v>528</v>
      </c>
      <c r="C1045" s="250">
        <v>683</v>
      </c>
      <c r="D1045" s="247">
        <v>2001</v>
      </c>
      <c r="E1045" s="250">
        <v>1648</v>
      </c>
      <c r="F1045" s="231" t="s">
        <v>34</v>
      </c>
      <c r="G1045" s="246">
        <v>6480</v>
      </c>
      <c r="H1045" s="30">
        <f t="shared" si="43"/>
        <v>1211</v>
      </c>
      <c r="I1045" s="114">
        <f t="shared" si="44"/>
        <v>11340</v>
      </c>
      <c r="J1045" s="224">
        <v>1420</v>
      </c>
      <c r="K1045" s="47">
        <f t="shared" si="45"/>
        <v>48</v>
      </c>
      <c r="L1045" s="223">
        <f t="shared" si="40"/>
        <v>41601</v>
      </c>
    </row>
    <row r="1046" spans="1:12" x14ac:dyDescent="0.25">
      <c r="A1046" s="13">
        <f t="shared" si="46"/>
        <v>41612</v>
      </c>
      <c r="F1046" s="231" t="s">
        <v>34</v>
      </c>
      <c r="I1046" s="103"/>
      <c r="J1046" s="145"/>
      <c r="K1046" s="47">
        <f t="shared" si="45"/>
        <v>49</v>
      </c>
      <c r="L1046" s="223">
        <f t="shared" si="40"/>
        <v>41608</v>
      </c>
    </row>
    <row r="1047" spans="1:12" x14ac:dyDescent="0.25">
      <c r="A1047" s="13">
        <f t="shared" si="46"/>
        <v>41619</v>
      </c>
      <c r="F1047" s="231" t="s">
        <v>34</v>
      </c>
      <c r="I1047" s="103"/>
      <c r="J1047" s="145"/>
      <c r="K1047" s="47">
        <f t="shared" si="45"/>
        <v>50</v>
      </c>
      <c r="L1047" s="223">
        <f t="shared" si="40"/>
        <v>41615</v>
      </c>
    </row>
    <row r="1048" spans="1:12" x14ac:dyDescent="0.25">
      <c r="A1048" s="13">
        <f t="shared" si="46"/>
        <v>41626</v>
      </c>
      <c r="F1048" s="231" t="s">
        <v>34</v>
      </c>
      <c r="I1048" s="103"/>
      <c r="J1048" s="145"/>
      <c r="K1048" s="47">
        <f t="shared" si="45"/>
        <v>51</v>
      </c>
      <c r="L1048" s="223">
        <f>L1047+7</f>
        <v>41622</v>
      </c>
    </row>
    <row r="1049" spans="1:12" x14ac:dyDescent="0.25">
      <c r="A1049" s="13">
        <f t="shared" si="46"/>
        <v>41633</v>
      </c>
      <c r="F1049" s="231" t="s">
        <v>34</v>
      </c>
      <c r="I1049" s="103"/>
      <c r="J1049" s="145"/>
      <c r="K1049" s="47">
        <f t="shared" si="45"/>
        <v>52</v>
      </c>
      <c r="L1049" s="223">
        <f>L1048+7</f>
        <v>41629</v>
      </c>
    </row>
    <row r="1050" spans="1:12" x14ac:dyDescent="0.25">
      <c r="A1050" s="13">
        <f t="shared" si="46"/>
        <v>41640</v>
      </c>
      <c r="F1050" s="231" t="s">
        <v>34</v>
      </c>
      <c r="I1050" s="103"/>
      <c r="J1050" s="145"/>
      <c r="K1050" s="47">
        <v>1</v>
      </c>
      <c r="L1050" s="223">
        <f t="shared" ref="L1050:L1068" si="47">L1049+7</f>
        <v>41636</v>
      </c>
    </row>
    <row r="1051" spans="1:12" x14ac:dyDescent="0.25">
      <c r="A1051" s="13">
        <f t="shared" si="46"/>
        <v>41647</v>
      </c>
      <c r="F1051" s="231" t="s">
        <v>34</v>
      </c>
      <c r="I1051" s="103"/>
      <c r="J1051" s="145"/>
      <c r="K1051" s="47">
        <f t="shared" si="45"/>
        <v>2</v>
      </c>
      <c r="L1051" s="223">
        <f t="shared" si="47"/>
        <v>41643</v>
      </c>
    </row>
    <row r="1052" spans="1:12" x14ac:dyDescent="0.25">
      <c r="A1052" s="13">
        <f t="shared" si="46"/>
        <v>41654</v>
      </c>
      <c r="F1052" s="231" t="s">
        <v>34</v>
      </c>
      <c r="I1052" s="103"/>
      <c r="J1052" s="145"/>
      <c r="K1052" s="47">
        <f t="shared" si="45"/>
        <v>3</v>
      </c>
      <c r="L1052" s="223">
        <f t="shared" si="47"/>
        <v>41650</v>
      </c>
    </row>
    <row r="1053" spans="1:12" x14ac:dyDescent="0.25">
      <c r="A1053" s="13">
        <f t="shared" si="46"/>
        <v>41661</v>
      </c>
      <c r="F1053" s="231" t="s">
        <v>34</v>
      </c>
      <c r="I1053" s="103"/>
      <c r="J1053" s="145"/>
      <c r="K1053" s="47">
        <f t="shared" si="45"/>
        <v>4</v>
      </c>
      <c r="L1053" s="223">
        <f t="shared" si="47"/>
        <v>41657</v>
      </c>
    </row>
    <row r="1054" spans="1:12" x14ac:dyDescent="0.25">
      <c r="A1054" s="13">
        <f t="shared" si="46"/>
        <v>41668</v>
      </c>
      <c r="F1054" s="231" t="s">
        <v>34</v>
      </c>
      <c r="I1054" s="103"/>
      <c r="J1054" s="145"/>
      <c r="K1054" s="47">
        <f t="shared" si="45"/>
        <v>5</v>
      </c>
      <c r="L1054" s="223">
        <f t="shared" si="47"/>
        <v>41664</v>
      </c>
    </row>
    <row r="1055" spans="1:12" x14ac:dyDescent="0.25">
      <c r="A1055" s="13">
        <f t="shared" si="46"/>
        <v>41675</v>
      </c>
      <c r="F1055" s="231" t="s">
        <v>34</v>
      </c>
      <c r="I1055" s="103"/>
      <c r="J1055" s="145"/>
      <c r="K1055" s="47">
        <f t="shared" si="45"/>
        <v>6</v>
      </c>
      <c r="L1055" s="223">
        <f t="shared" si="47"/>
        <v>41671</v>
      </c>
    </row>
    <row r="1056" spans="1:12" x14ac:dyDescent="0.25">
      <c r="A1056" s="13">
        <f t="shared" si="46"/>
        <v>41682</v>
      </c>
      <c r="F1056" s="231" t="s">
        <v>34</v>
      </c>
      <c r="I1056" s="103"/>
      <c r="J1056" s="145"/>
      <c r="K1056" s="47">
        <f t="shared" si="45"/>
        <v>7</v>
      </c>
      <c r="L1056" s="223">
        <f t="shared" si="47"/>
        <v>41678</v>
      </c>
    </row>
    <row r="1057" spans="1:12" x14ac:dyDescent="0.25">
      <c r="A1057" s="13">
        <f t="shared" si="46"/>
        <v>41689</v>
      </c>
      <c r="F1057" s="231" t="s">
        <v>34</v>
      </c>
      <c r="I1057" s="103"/>
      <c r="J1057" s="145"/>
      <c r="K1057" s="47">
        <f t="shared" si="45"/>
        <v>8</v>
      </c>
      <c r="L1057" s="223">
        <f t="shared" si="47"/>
        <v>41685</v>
      </c>
    </row>
    <row r="1058" spans="1:12" x14ac:dyDescent="0.25">
      <c r="A1058" s="13">
        <f t="shared" si="46"/>
        <v>41696</v>
      </c>
      <c r="F1058" s="231" t="s">
        <v>34</v>
      </c>
      <c r="I1058" s="103"/>
      <c r="J1058" s="145"/>
      <c r="K1058" s="47">
        <f t="shared" si="45"/>
        <v>9</v>
      </c>
      <c r="L1058" s="223">
        <f t="shared" si="47"/>
        <v>41692</v>
      </c>
    </row>
    <row r="1059" spans="1:12" x14ac:dyDescent="0.25">
      <c r="A1059" s="13">
        <f t="shared" si="46"/>
        <v>41703</v>
      </c>
      <c r="F1059" s="231" t="s">
        <v>34</v>
      </c>
      <c r="I1059" s="103"/>
      <c r="J1059" s="145"/>
      <c r="K1059" s="47">
        <f t="shared" si="45"/>
        <v>10</v>
      </c>
      <c r="L1059" s="223">
        <f t="shared" si="47"/>
        <v>41699</v>
      </c>
    </row>
    <row r="1060" spans="1:12" x14ac:dyDescent="0.25">
      <c r="A1060" s="13">
        <f t="shared" si="46"/>
        <v>41710</v>
      </c>
      <c r="F1060" s="231" t="s">
        <v>34</v>
      </c>
      <c r="I1060" s="103"/>
      <c r="J1060" s="145"/>
      <c r="K1060" s="47">
        <f t="shared" si="45"/>
        <v>11</v>
      </c>
      <c r="L1060" s="223">
        <f t="shared" si="47"/>
        <v>41706</v>
      </c>
    </row>
    <row r="1061" spans="1:12" x14ac:dyDescent="0.25">
      <c r="A1061" s="13">
        <f t="shared" si="46"/>
        <v>41717</v>
      </c>
      <c r="F1061" s="231" t="s">
        <v>34</v>
      </c>
      <c r="I1061" s="103"/>
      <c r="J1061" s="145"/>
      <c r="K1061" s="47">
        <f t="shared" si="45"/>
        <v>12</v>
      </c>
      <c r="L1061" s="223">
        <f t="shared" si="47"/>
        <v>41713</v>
      </c>
    </row>
    <row r="1062" spans="1:12" x14ac:dyDescent="0.25">
      <c r="A1062" s="13">
        <f t="shared" si="46"/>
        <v>41724</v>
      </c>
      <c r="F1062" s="231" t="s">
        <v>34</v>
      </c>
      <c r="I1062" s="103"/>
      <c r="J1062" s="145"/>
      <c r="K1062" s="47">
        <f t="shared" si="45"/>
        <v>13</v>
      </c>
      <c r="L1062" s="223">
        <f t="shared" si="47"/>
        <v>41720</v>
      </c>
    </row>
    <row r="1063" spans="1:12" x14ac:dyDescent="0.25">
      <c r="A1063" s="13">
        <f t="shared" si="46"/>
        <v>41731</v>
      </c>
      <c r="F1063" s="231" t="s">
        <v>34</v>
      </c>
      <c r="I1063" s="103"/>
      <c r="J1063" s="145"/>
      <c r="K1063" s="47">
        <f t="shared" si="45"/>
        <v>14</v>
      </c>
      <c r="L1063" s="223">
        <f t="shared" si="47"/>
        <v>41727</v>
      </c>
    </row>
    <row r="1064" spans="1:12" x14ac:dyDescent="0.25">
      <c r="A1064" s="13">
        <f t="shared" si="46"/>
        <v>41738</v>
      </c>
      <c r="F1064" s="231" t="s">
        <v>34</v>
      </c>
      <c r="I1064" s="103"/>
      <c r="J1064" s="145"/>
      <c r="K1064" s="47">
        <f t="shared" si="45"/>
        <v>15</v>
      </c>
      <c r="L1064" s="223">
        <f t="shared" si="47"/>
        <v>41734</v>
      </c>
    </row>
    <row r="1065" spans="1:12" x14ac:dyDescent="0.25">
      <c r="A1065" s="13">
        <f t="shared" si="46"/>
        <v>41745</v>
      </c>
      <c r="F1065" s="231" t="s">
        <v>34</v>
      </c>
      <c r="I1065" s="103"/>
      <c r="J1065" s="145"/>
      <c r="K1065" s="47">
        <f t="shared" si="45"/>
        <v>16</v>
      </c>
      <c r="L1065" s="223">
        <f t="shared" si="47"/>
        <v>41741</v>
      </c>
    </row>
    <row r="1066" spans="1:12" x14ac:dyDescent="0.25">
      <c r="A1066" s="13">
        <f t="shared" si="46"/>
        <v>41752</v>
      </c>
      <c r="F1066" s="231" t="s">
        <v>34</v>
      </c>
      <c r="I1066" s="103"/>
      <c r="J1066" s="145"/>
      <c r="K1066" s="47">
        <f t="shared" si="45"/>
        <v>17</v>
      </c>
      <c r="L1066" s="223">
        <f t="shared" si="47"/>
        <v>41748</v>
      </c>
    </row>
    <row r="1067" spans="1:12" x14ac:dyDescent="0.25">
      <c r="A1067" s="13">
        <f t="shared" si="46"/>
        <v>41759</v>
      </c>
      <c r="F1067" s="231" t="s">
        <v>34</v>
      </c>
      <c r="I1067" s="103"/>
      <c r="J1067" s="145"/>
      <c r="K1067" s="47">
        <f t="shared" si="45"/>
        <v>18</v>
      </c>
      <c r="L1067" s="223">
        <f t="shared" si="47"/>
        <v>41755</v>
      </c>
    </row>
    <row r="1068" spans="1:12" x14ac:dyDescent="0.25">
      <c r="A1068" s="13">
        <f t="shared" si="46"/>
        <v>41766</v>
      </c>
      <c r="F1068" s="231" t="s">
        <v>34</v>
      </c>
      <c r="I1068" s="103"/>
      <c r="J1068" s="145"/>
      <c r="K1068" s="47">
        <f t="shared" si="45"/>
        <v>19</v>
      </c>
      <c r="L1068" s="223">
        <f t="shared" si="47"/>
        <v>41762</v>
      </c>
    </row>
    <row r="1069" spans="1:12" x14ac:dyDescent="0.25">
      <c r="A1069" s="13">
        <f t="shared" si="46"/>
        <v>41773</v>
      </c>
    </row>
    <row r="1070" spans="1:12" x14ac:dyDescent="0.25">
      <c r="A1070" s="13">
        <f t="shared" si="46"/>
        <v>41780</v>
      </c>
    </row>
    <row r="1071" spans="1:12" x14ac:dyDescent="0.25">
      <c r="A1071" s="13">
        <f t="shared" si="46"/>
        <v>41787</v>
      </c>
    </row>
    <row r="1072" spans="1:12" x14ac:dyDescent="0.25">
      <c r="A1072" s="13">
        <f t="shared" si="46"/>
        <v>41794</v>
      </c>
    </row>
    <row r="1073" spans="1:1" x14ac:dyDescent="0.25">
      <c r="A1073" s="13">
        <f t="shared" si="46"/>
        <v>41801</v>
      </c>
    </row>
    <row r="1074" spans="1:1" x14ac:dyDescent="0.25">
      <c r="A1074" s="13">
        <f t="shared" si="46"/>
        <v>41808</v>
      </c>
    </row>
    <row r="1075" spans="1:1" x14ac:dyDescent="0.25">
      <c r="A1075" s="13">
        <f t="shared" si="46"/>
        <v>41815</v>
      </c>
    </row>
  </sheetData>
  <phoneticPr fontId="9" type="noConversion"/>
  <pageMargins left="0.5" right="0.5" top="0.5" bottom="0.5" header="0.5" footer="0.5"/>
  <pageSetup scale="90" orientation="landscape" r:id="rId1"/>
  <headerFooter alignWithMargins="0">
    <oddFooter>&amp;C ^, &amp;D&amp;R</oddFooter>
  </headerFooter>
  <rowBreaks count="9" manualBreakCount="9">
    <brk id="47" max="16383" man="1"/>
    <brk id="95" max="16383" man="1"/>
    <brk id="143" max="16383" man="1"/>
    <brk id="191" max="16383" man="1"/>
    <brk id="239" max="16383" man="1"/>
    <brk id="287" max="16383" man="1"/>
    <brk id="335" max="16383" man="1"/>
    <brk id="383" max="16383" man="1"/>
    <brk id="431" max="16383" man="1"/>
  </rowBreaks>
  <colBreaks count="4" manualBreakCount="4">
    <brk id="11" max="1048575" man="1"/>
    <brk id="28" max="1048575" man="1"/>
    <brk id="35" max="1048575" man="1"/>
    <brk id="4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097"/>
  <sheetViews>
    <sheetView workbookViewId="0">
      <pane xSplit="1" ySplit="8" topLeftCell="B1035" activePane="bottomRight" state="frozen"/>
      <selection pane="topRight" activeCell="B1" sqref="B1"/>
      <selection pane="bottomLeft" activeCell="A8" sqref="A8"/>
      <selection pane="bottomRight" activeCell="E1053" sqref="E1053"/>
    </sheetView>
  </sheetViews>
  <sheetFormatPr defaultRowHeight="15" x14ac:dyDescent="0.25"/>
  <cols>
    <col min="1" max="1" width="16.54296875" customWidth="1"/>
    <col min="2" max="2" width="7.90625" customWidth="1"/>
    <col min="3" max="3" width="9.08984375" customWidth="1"/>
    <col min="4" max="7" width="9.81640625" customWidth="1"/>
    <col min="8" max="8" width="13" customWidth="1"/>
    <col min="9" max="9" width="3.90625" customWidth="1"/>
    <col min="10" max="12" width="9.81640625" customWidth="1"/>
    <col min="13" max="13" width="9.6328125" customWidth="1"/>
    <col min="14" max="15" width="9.81640625" customWidth="1"/>
    <col min="16" max="16" width="12.453125" customWidth="1"/>
    <col min="17" max="17" width="1.81640625" customWidth="1"/>
    <col min="18" max="18" width="9.6328125" customWidth="1"/>
    <col min="19" max="20" width="9.81640625" customWidth="1"/>
    <col min="21" max="21" width="9.54296875" customWidth="1"/>
    <col min="22" max="24" width="9.81640625" customWidth="1"/>
    <col min="25" max="25" width="11.36328125" customWidth="1"/>
    <col min="26" max="26" width="1.81640625" customWidth="1"/>
    <col min="27" max="28" width="9.81640625" customWidth="1"/>
    <col min="29" max="29" width="1.81640625" customWidth="1"/>
    <col min="30" max="31" width="9.81640625" customWidth="1"/>
    <col min="32" max="32" width="1.81640625" customWidth="1"/>
  </cols>
  <sheetData>
    <row r="2" spans="1:34" x14ac:dyDescent="0.25">
      <c r="A2" s="39" t="s">
        <v>53</v>
      </c>
      <c r="B2" s="143"/>
      <c r="C2" s="144"/>
      <c r="D2" s="145"/>
      <c r="E2" s="145"/>
      <c r="F2" s="66"/>
      <c r="G2" s="66"/>
      <c r="H2" s="66"/>
      <c r="I2" s="66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</row>
    <row r="3" spans="1:34" x14ac:dyDescent="0.25">
      <c r="A3" s="7"/>
      <c r="B3" s="8"/>
      <c r="C3" s="5"/>
      <c r="D3" s="5"/>
      <c r="E3" s="5"/>
      <c r="F3" s="5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</row>
    <row r="4" spans="1:34" ht="16.2" thickBot="1" x14ac:dyDescent="0.35">
      <c r="A4" s="10"/>
      <c r="B4" s="53" t="s">
        <v>25</v>
      </c>
      <c r="C4" s="9"/>
      <c r="D4" s="9"/>
      <c r="E4" s="9"/>
      <c r="F4" s="9"/>
      <c r="G4" s="50"/>
      <c r="H4" s="50"/>
      <c r="I4" s="50"/>
      <c r="J4" s="50"/>
      <c r="K4" s="50"/>
      <c r="L4" s="81"/>
      <c r="M4" s="84"/>
      <c r="N4" s="50"/>
      <c r="O4" s="50"/>
      <c r="P4" s="50"/>
      <c r="Q4" s="6"/>
      <c r="R4" s="41"/>
      <c r="S4" s="254"/>
      <c r="T4" s="254"/>
      <c r="U4" s="6"/>
      <c r="V4" s="254"/>
      <c r="W4" s="254"/>
      <c r="X4" s="254"/>
      <c r="Y4" s="254"/>
      <c r="AA4" s="254"/>
      <c r="AB4" s="254"/>
      <c r="AD4" s="254"/>
      <c r="AE4" s="254"/>
      <c r="AG4" s="254"/>
      <c r="AH4" s="254"/>
    </row>
    <row r="5" spans="1:34" ht="15.6" x14ac:dyDescent="0.3">
      <c r="A5" s="10"/>
      <c r="B5" s="53" t="s">
        <v>26</v>
      </c>
      <c r="C5" s="12"/>
      <c r="D5" s="12"/>
      <c r="E5" s="12"/>
      <c r="F5" s="6"/>
      <c r="G5" s="45"/>
      <c r="H5" s="45"/>
      <c r="I5" s="45"/>
      <c r="J5" s="93" t="s">
        <v>43</v>
      </c>
      <c r="K5" s="45"/>
      <c r="L5" s="45"/>
      <c r="M5" s="45"/>
      <c r="N5" s="45"/>
      <c r="O5" s="93" t="s">
        <v>43</v>
      </c>
      <c r="P5" s="93"/>
      <c r="Q5" s="6"/>
      <c r="R5" s="41"/>
      <c r="S5" s="93" t="s">
        <v>43</v>
      </c>
      <c r="T5" s="41"/>
      <c r="U5" s="41"/>
      <c r="V5" s="41"/>
      <c r="W5" s="41"/>
      <c r="X5" s="93" t="s">
        <v>43</v>
      </c>
      <c r="Y5" s="41"/>
      <c r="AA5" s="41"/>
      <c r="AB5" s="41"/>
      <c r="AD5" s="41"/>
      <c r="AE5" s="41"/>
      <c r="AG5" s="41"/>
      <c r="AH5" s="41"/>
    </row>
    <row r="6" spans="1:34" ht="16.2" thickBot="1" x14ac:dyDescent="0.35">
      <c r="A6" s="10"/>
      <c r="B6" s="54" t="s">
        <v>1</v>
      </c>
      <c r="C6" s="12" t="s">
        <v>4</v>
      </c>
      <c r="D6" s="12" t="s">
        <v>21</v>
      </c>
      <c r="E6" s="12" t="s">
        <v>5</v>
      </c>
      <c r="F6" s="12" t="s">
        <v>2</v>
      </c>
      <c r="G6" s="45"/>
      <c r="H6" s="188" t="s">
        <v>21</v>
      </c>
      <c r="I6" s="45"/>
      <c r="J6" s="254" t="s">
        <v>40</v>
      </c>
      <c r="K6" s="254"/>
      <c r="L6" s="254"/>
      <c r="M6" s="254"/>
      <c r="N6" s="254"/>
      <c r="O6" s="254"/>
      <c r="P6" s="188" t="s">
        <v>21</v>
      </c>
      <c r="Q6" s="6"/>
      <c r="S6" s="254" t="s">
        <v>41</v>
      </c>
      <c r="T6" s="254"/>
      <c r="U6" s="254"/>
      <c r="V6" s="254"/>
      <c r="W6" s="254"/>
      <c r="X6" s="254"/>
      <c r="Y6" s="188" t="s">
        <v>21</v>
      </c>
      <c r="AA6" s="41"/>
      <c r="AB6" s="41"/>
      <c r="AD6" s="41"/>
      <c r="AE6" s="41"/>
      <c r="AG6" s="41"/>
      <c r="AH6" s="41"/>
    </row>
    <row r="7" spans="1:34" ht="15.6" x14ac:dyDescent="0.3">
      <c r="A7" s="10"/>
      <c r="B7" s="55" t="s">
        <v>50</v>
      </c>
      <c r="C7" s="14" t="s">
        <v>14</v>
      </c>
      <c r="D7" s="14" t="s">
        <v>17</v>
      </c>
      <c r="E7" s="14" t="s">
        <v>13</v>
      </c>
      <c r="F7" s="14" t="s">
        <v>6</v>
      </c>
      <c r="G7" s="45" t="s">
        <v>7</v>
      </c>
      <c r="H7" s="192" t="s">
        <v>61</v>
      </c>
      <c r="I7" s="45"/>
      <c r="J7" s="45" t="s">
        <v>1</v>
      </c>
      <c r="K7" s="12" t="s">
        <v>4</v>
      </c>
      <c r="L7" s="82" t="s">
        <v>21</v>
      </c>
      <c r="M7" s="12" t="s">
        <v>5</v>
      </c>
      <c r="N7" s="12" t="s">
        <v>2</v>
      </c>
      <c r="O7" s="12"/>
      <c r="P7" s="192" t="s">
        <v>61</v>
      </c>
      <c r="Q7" s="6"/>
      <c r="S7" s="45" t="s">
        <v>1</v>
      </c>
      <c r="T7" s="12" t="s">
        <v>4</v>
      </c>
      <c r="U7" s="82" t="s">
        <v>21</v>
      </c>
      <c r="V7" s="12" t="s">
        <v>5</v>
      </c>
      <c r="W7" s="12" t="s">
        <v>2</v>
      </c>
      <c r="X7" s="12"/>
      <c r="Y7" s="192" t="s">
        <v>61</v>
      </c>
      <c r="AA7" s="41"/>
      <c r="AB7" s="41"/>
      <c r="AD7" s="41"/>
      <c r="AE7" s="41"/>
      <c r="AG7" s="41"/>
      <c r="AH7" s="41"/>
    </row>
    <row r="8" spans="1:34" ht="16.2" thickBot="1" x14ac:dyDescent="0.35">
      <c r="A8" s="10"/>
      <c r="B8" s="56"/>
      <c r="C8" s="17"/>
      <c r="D8" s="17"/>
      <c r="E8" s="17"/>
      <c r="F8" s="17"/>
      <c r="G8" s="17"/>
      <c r="H8" s="189"/>
      <c r="I8" s="46"/>
      <c r="J8" s="51" t="s">
        <v>35</v>
      </c>
      <c r="K8" s="51" t="s">
        <v>14</v>
      </c>
      <c r="L8" s="83" t="s">
        <v>17</v>
      </c>
      <c r="M8" s="51" t="s">
        <v>13</v>
      </c>
      <c r="N8" s="51" t="s">
        <v>6</v>
      </c>
      <c r="O8" s="51" t="s">
        <v>7</v>
      </c>
      <c r="P8" s="189"/>
      <c r="Q8" s="6"/>
      <c r="S8" s="51" t="s">
        <v>35</v>
      </c>
      <c r="T8" s="51" t="s">
        <v>14</v>
      </c>
      <c r="U8" s="83" t="s">
        <v>17</v>
      </c>
      <c r="V8" s="51" t="s">
        <v>13</v>
      </c>
      <c r="W8" s="51" t="s">
        <v>6</v>
      </c>
      <c r="X8" s="51" t="s">
        <v>7</v>
      </c>
      <c r="Y8" s="189"/>
      <c r="AA8" s="41"/>
      <c r="AB8" s="41"/>
      <c r="AD8" s="41"/>
      <c r="AE8" s="41"/>
      <c r="AG8" s="41"/>
      <c r="AH8" s="41"/>
    </row>
    <row r="9" spans="1:34" x14ac:dyDescent="0.25">
      <c r="A9" s="18"/>
      <c r="B9" s="12"/>
      <c r="C9" s="12"/>
      <c r="D9" s="12" t="s">
        <v>21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6"/>
      <c r="R9" s="6"/>
      <c r="S9" s="9"/>
      <c r="T9" s="9"/>
      <c r="U9" s="9"/>
      <c r="V9" s="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 spans="1:34" x14ac:dyDescent="0.25">
      <c r="A10" s="18"/>
      <c r="B10" s="14"/>
      <c r="C10" s="14" t="s">
        <v>4</v>
      </c>
      <c r="D10" s="14" t="s">
        <v>17</v>
      </c>
      <c r="E10" s="14" t="s">
        <v>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6"/>
      <c r="R10" s="6"/>
      <c r="S10" s="9"/>
      <c r="T10" s="9"/>
      <c r="U10" s="9"/>
      <c r="V10" s="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x14ac:dyDescent="0.25">
      <c r="A11" s="105">
        <v>34367</v>
      </c>
      <c r="B11" s="16"/>
      <c r="C11" s="16">
        <f>SUM('Weekly Data'!E8:E11)/4</f>
        <v>1744.25</v>
      </c>
      <c r="D11" s="16"/>
      <c r="E11" s="16">
        <f>SUM('Weekly Data'!G8:G11)/4</f>
        <v>2710.5</v>
      </c>
      <c r="F11" s="16">
        <f>SUM('Weekly Data'!H8:H11)/4</f>
        <v>79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9"/>
      <c r="R11" s="13">
        <v>34367</v>
      </c>
      <c r="S11" s="9"/>
      <c r="T11" s="9"/>
      <c r="U11" s="19"/>
      <c r="V11" s="1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 spans="1:34" x14ac:dyDescent="0.25">
      <c r="A12" s="105">
        <f>A11+7</f>
        <v>34374</v>
      </c>
      <c r="B12" s="16"/>
      <c r="C12" s="16">
        <f>SUM('Weekly Data'!E9:E12)/4</f>
        <v>1942.25</v>
      </c>
      <c r="D12" s="16"/>
      <c r="E12" s="16">
        <f>SUM('Weekly Data'!G9:G12)/4</f>
        <v>3063.5</v>
      </c>
      <c r="F12" s="16">
        <f>SUM('Weekly Data'!H9:H12)/4</f>
        <v>96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9"/>
      <c r="R12" s="13">
        <v>34374</v>
      </c>
      <c r="S12" s="9"/>
      <c r="T12" s="9"/>
      <c r="U12" s="19"/>
      <c r="V12" s="1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 spans="1:34" x14ac:dyDescent="0.25">
      <c r="A13" s="105">
        <f t="shared" ref="A13:A76" si="0">A12+7</f>
        <v>34381</v>
      </c>
      <c r="B13" s="16"/>
      <c r="C13" s="16">
        <f>SUM('Weekly Data'!E10:E13)/4</f>
        <v>1797.25</v>
      </c>
      <c r="D13" s="16"/>
      <c r="E13" s="16">
        <f>SUM('Weekly Data'!G10:G13)/4</f>
        <v>2626.5</v>
      </c>
      <c r="F13" s="16">
        <f>SUM('Weekly Data'!H10:H13)/4</f>
        <v>86.75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9"/>
      <c r="R13" s="13">
        <v>34381</v>
      </c>
      <c r="S13" s="9"/>
      <c r="T13" s="9"/>
      <c r="U13" s="19"/>
      <c r="V13" s="1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spans="1:34" x14ac:dyDescent="0.25">
      <c r="A14" s="105">
        <f t="shared" si="0"/>
        <v>34388</v>
      </c>
      <c r="B14" s="16"/>
      <c r="C14" s="16">
        <f>SUM('Weekly Data'!E11:E14)/4</f>
        <v>1800.75</v>
      </c>
      <c r="D14" s="16"/>
      <c r="E14" s="16">
        <f>SUM('Weekly Data'!G11:G14)/4</f>
        <v>2412.75</v>
      </c>
      <c r="F14" s="16">
        <f>SUM('Weekly Data'!H11:H14)/4</f>
        <v>73.25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9"/>
      <c r="R14" s="13">
        <v>34388</v>
      </c>
      <c r="S14" s="9"/>
      <c r="T14" s="9"/>
      <c r="U14" s="19"/>
      <c r="V14" s="1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x14ac:dyDescent="0.25">
      <c r="A15" s="105">
        <f t="shared" si="0"/>
        <v>34395</v>
      </c>
      <c r="B15" s="16"/>
      <c r="C15" s="16">
        <f>SUM('Weekly Data'!E12:E15)/4</f>
        <v>1749</v>
      </c>
      <c r="D15" s="16"/>
      <c r="E15" s="16">
        <f>SUM('Weekly Data'!G12:G15)/4</f>
        <v>2398.75</v>
      </c>
      <c r="F15" s="16">
        <f>SUM('Weekly Data'!H12:H15)/4</f>
        <v>87.75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9"/>
      <c r="R15" s="13">
        <v>34395</v>
      </c>
      <c r="S15" s="9"/>
      <c r="T15" s="9"/>
      <c r="U15" s="19"/>
      <c r="V15" s="1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spans="1:34" x14ac:dyDescent="0.25">
      <c r="A16" s="105">
        <f t="shared" si="0"/>
        <v>34402</v>
      </c>
      <c r="B16" s="16"/>
      <c r="C16" s="16">
        <f>SUM('Weekly Data'!E13:E16)/4</f>
        <v>1609.5</v>
      </c>
      <c r="D16" s="16"/>
      <c r="E16" s="16">
        <f>SUM('Weekly Data'!G13:G16)/4</f>
        <v>2467</v>
      </c>
      <c r="F16" s="16">
        <f>SUM('Weekly Data'!H13:H16)/4</f>
        <v>118.5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9"/>
      <c r="R16" s="13">
        <v>34402</v>
      </c>
      <c r="S16" s="9"/>
      <c r="T16" s="9"/>
      <c r="U16" s="19"/>
      <c r="V16" s="1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x14ac:dyDescent="0.25">
      <c r="A17" s="105">
        <f t="shared" si="0"/>
        <v>34409</v>
      </c>
      <c r="B17" s="16"/>
      <c r="C17" s="16">
        <f>SUM('Weekly Data'!E14:E17)/4</f>
        <v>1574</v>
      </c>
      <c r="D17" s="16"/>
      <c r="E17" s="16">
        <f>SUM('Weekly Data'!G14:G17)/4</f>
        <v>2824</v>
      </c>
      <c r="F17" s="16">
        <f>SUM('Weekly Data'!H14:H17)/4</f>
        <v>136.5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9"/>
      <c r="R17" s="13">
        <v>34409</v>
      </c>
      <c r="S17" s="9"/>
      <c r="T17" s="9"/>
      <c r="U17" s="19"/>
      <c r="V17" s="1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x14ac:dyDescent="0.25">
      <c r="A18" s="105">
        <f t="shared" si="0"/>
        <v>34416</v>
      </c>
      <c r="B18" s="16"/>
      <c r="C18" s="16">
        <f>SUM('Weekly Data'!E15:E18)/4</f>
        <v>1557.5</v>
      </c>
      <c r="D18" s="16"/>
      <c r="E18" s="16">
        <f>SUM('Weekly Data'!G15:G18)/4</f>
        <v>3005.75</v>
      </c>
      <c r="F18" s="16">
        <f>SUM('Weekly Data'!H15:H18)/4</f>
        <v>180.75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9"/>
      <c r="R18" s="13">
        <v>34416</v>
      </c>
      <c r="S18" s="9"/>
      <c r="T18" s="9"/>
      <c r="U18" s="19"/>
      <c r="V18" s="1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x14ac:dyDescent="0.25">
      <c r="A19" s="105">
        <f t="shared" si="0"/>
        <v>34423</v>
      </c>
      <c r="B19" s="16"/>
      <c r="C19" s="16">
        <f>SUM('Weekly Data'!E16:E19)/4</f>
        <v>1478</v>
      </c>
      <c r="D19" s="16"/>
      <c r="E19" s="16">
        <f>SUM('Weekly Data'!G16:G19)/4</f>
        <v>3068.5</v>
      </c>
      <c r="F19" s="16">
        <f>SUM('Weekly Data'!H16:H19)/4</f>
        <v>179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9"/>
      <c r="R19" s="13">
        <v>34423</v>
      </c>
      <c r="S19" s="9"/>
      <c r="T19" s="9"/>
      <c r="U19" s="19"/>
      <c r="V19" s="1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x14ac:dyDescent="0.25">
      <c r="A20" s="105">
        <f t="shared" si="0"/>
        <v>34430</v>
      </c>
      <c r="B20" s="16"/>
      <c r="C20" s="16">
        <f>SUM('Weekly Data'!E17:E20)/4</f>
        <v>1532.5</v>
      </c>
      <c r="D20" s="16"/>
      <c r="E20" s="16">
        <f>SUM('Weekly Data'!G17:G20)/4</f>
        <v>3096.75</v>
      </c>
      <c r="F20" s="16">
        <f>SUM('Weekly Data'!H17:H20)/4</f>
        <v>179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9"/>
      <c r="R20" s="13">
        <v>34430</v>
      </c>
      <c r="S20" s="9"/>
      <c r="T20" s="9"/>
      <c r="U20" s="19"/>
      <c r="V20" s="1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x14ac:dyDescent="0.25">
      <c r="A21" s="105">
        <f t="shared" si="0"/>
        <v>34437</v>
      </c>
      <c r="B21" s="16"/>
      <c r="C21" s="16">
        <f>SUM('Weekly Data'!E18:E21)/4</f>
        <v>1530.5</v>
      </c>
      <c r="D21" s="16"/>
      <c r="E21" s="16">
        <f>SUM('Weekly Data'!G18:G21)/4</f>
        <v>2854</v>
      </c>
      <c r="F21" s="16">
        <f>SUM('Weekly Data'!H18:H21)/4</f>
        <v>178.5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/>
      <c r="R21" s="13">
        <v>34437</v>
      </c>
      <c r="S21" s="9"/>
      <c r="T21" s="9"/>
      <c r="U21" s="19"/>
      <c r="V21" s="1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x14ac:dyDescent="0.25">
      <c r="A22" s="105">
        <f t="shared" si="0"/>
        <v>34444</v>
      </c>
      <c r="B22" s="16"/>
      <c r="C22" s="16">
        <f>SUM('Weekly Data'!E19:E22)/4</f>
        <v>1374.75</v>
      </c>
      <c r="D22" s="16"/>
      <c r="E22" s="16">
        <f>SUM('Weekly Data'!G19:G22)/4</f>
        <v>2645.75</v>
      </c>
      <c r="F22" s="16">
        <f>SUM('Weekly Data'!H19:H22)/4</f>
        <v>138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9"/>
      <c r="R22" s="13">
        <v>34444</v>
      </c>
      <c r="S22" s="9"/>
      <c r="T22" s="9"/>
      <c r="U22" s="19"/>
      <c r="V22" s="1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x14ac:dyDescent="0.25">
      <c r="A23" s="105">
        <f t="shared" si="0"/>
        <v>34451</v>
      </c>
      <c r="B23" s="16"/>
      <c r="C23" s="16">
        <f>SUM('Weekly Data'!E20:E23)/4</f>
        <v>1506.5</v>
      </c>
      <c r="D23" s="16"/>
      <c r="E23" s="16">
        <f>SUM('Weekly Data'!G20:G23)/4</f>
        <v>2434</v>
      </c>
      <c r="F23" s="16">
        <f>SUM('Weekly Data'!H20:H23)/4</f>
        <v>125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9"/>
      <c r="R23" s="13">
        <v>34451</v>
      </c>
      <c r="S23" s="9"/>
      <c r="T23" s="9"/>
      <c r="U23" s="19"/>
      <c r="V23" s="1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spans="1:34" x14ac:dyDescent="0.25">
      <c r="A24" s="105">
        <f t="shared" si="0"/>
        <v>34458</v>
      </c>
      <c r="B24" s="16"/>
      <c r="C24" s="16">
        <f>SUM('Weekly Data'!E21:E24)/4</f>
        <v>1574.75</v>
      </c>
      <c r="D24" s="16"/>
      <c r="E24" s="16">
        <f>SUM('Weekly Data'!G21:G24)/4</f>
        <v>2326</v>
      </c>
      <c r="F24" s="16">
        <f>SUM('Weekly Data'!H21:H24)/4</f>
        <v>99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9"/>
      <c r="R24" s="13">
        <v>34458</v>
      </c>
      <c r="S24" s="9"/>
      <c r="T24" s="9"/>
      <c r="U24" s="19"/>
      <c r="V24" s="1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x14ac:dyDescent="0.25">
      <c r="A25" s="105">
        <f t="shared" si="0"/>
        <v>34465</v>
      </c>
      <c r="B25" s="16"/>
      <c r="C25" s="16">
        <f>SUM('Weekly Data'!E22:E25)/4</f>
        <v>1552</v>
      </c>
      <c r="D25" s="16"/>
      <c r="E25" s="16">
        <f>SUM('Weekly Data'!G22:G25)/4</f>
        <v>2351.25</v>
      </c>
      <c r="F25" s="16">
        <f>SUM('Weekly Data'!H22:H25)/4</f>
        <v>71.75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9"/>
      <c r="R25" s="13">
        <v>34465</v>
      </c>
      <c r="S25" s="9"/>
      <c r="T25" s="9"/>
      <c r="U25" s="19"/>
      <c r="V25" s="1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spans="1:34" x14ac:dyDescent="0.25">
      <c r="A26" s="105">
        <f t="shared" si="0"/>
        <v>34472</v>
      </c>
      <c r="B26" s="16"/>
      <c r="C26" s="16">
        <f>SUM('Weekly Data'!E23:E26)/4</f>
        <v>1697</v>
      </c>
      <c r="D26" s="16"/>
      <c r="E26" s="16">
        <f>SUM('Weekly Data'!G23:G26)/4</f>
        <v>2162</v>
      </c>
      <c r="F26" s="16">
        <f>SUM('Weekly Data'!H23:H26)/4</f>
        <v>104.25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9"/>
      <c r="R26" s="13">
        <v>34472</v>
      </c>
      <c r="S26" s="9"/>
      <c r="T26" s="9"/>
      <c r="U26" s="19"/>
      <c r="V26" s="1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spans="1:34" x14ac:dyDescent="0.25">
      <c r="A27" s="105">
        <f t="shared" si="0"/>
        <v>34479</v>
      </c>
      <c r="B27" s="16"/>
      <c r="C27" s="16">
        <f>SUM('Weekly Data'!E24:E27)/4</f>
        <v>1533.25</v>
      </c>
      <c r="D27" s="16"/>
      <c r="E27" s="16">
        <f>SUM('Weekly Data'!G24:G27)/4</f>
        <v>2156.5</v>
      </c>
      <c r="F27" s="16">
        <f>SUM('Weekly Data'!H24:H27)/4</f>
        <v>138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9"/>
      <c r="R27" s="13">
        <v>34479</v>
      </c>
      <c r="S27" s="9"/>
      <c r="T27" s="9"/>
      <c r="U27" s="19"/>
      <c r="V27" s="1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spans="1:34" x14ac:dyDescent="0.25">
      <c r="A28" s="105">
        <f t="shared" si="0"/>
        <v>34486</v>
      </c>
      <c r="B28" s="16"/>
      <c r="C28" s="16">
        <f>SUM('Weekly Data'!E25:E28)/4</f>
        <v>1529.5</v>
      </c>
      <c r="D28" s="16"/>
      <c r="E28" s="16">
        <f>SUM('Weekly Data'!G25:G28)/4</f>
        <v>1985.5</v>
      </c>
      <c r="F28" s="16">
        <f>SUM('Weekly Data'!H25:H28)/4</f>
        <v>139.5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9"/>
      <c r="R28" s="13">
        <v>34486</v>
      </c>
      <c r="S28" s="9"/>
      <c r="T28" s="9"/>
      <c r="U28" s="19"/>
      <c r="V28" s="1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x14ac:dyDescent="0.25">
      <c r="A29" s="105">
        <f t="shared" si="0"/>
        <v>34493</v>
      </c>
      <c r="B29" s="16"/>
      <c r="C29" s="16">
        <f>SUM('Weekly Data'!E26:E29)/4</f>
        <v>1364</v>
      </c>
      <c r="D29" s="16"/>
      <c r="E29" s="16">
        <f>SUM('Weekly Data'!G26:G29)/4</f>
        <v>1860</v>
      </c>
      <c r="F29" s="16">
        <f>SUM('Weekly Data'!H26:H29)/4</f>
        <v>133.25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9"/>
      <c r="R29" s="13">
        <v>34493</v>
      </c>
      <c r="S29" s="9"/>
      <c r="T29" s="9"/>
      <c r="U29" s="19"/>
      <c r="V29" s="1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spans="1:34" x14ac:dyDescent="0.25">
      <c r="A30" s="105">
        <f t="shared" si="0"/>
        <v>34500</v>
      </c>
      <c r="B30" s="16"/>
      <c r="C30" s="16">
        <f>SUM('Weekly Data'!E27:E30)/4</f>
        <v>1321.75</v>
      </c>
      <c r="D30" s="16"/>
      <c r="E30" s="16">
        <f>SUM('Weekly Data'!G27:G30)/4</f>
        <v>1928.5</v>
      </c>
      <c r="F30" s="16">
        <f>SUM('Weekly Data'!H27:H30)/4</f>
        <v>129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9"/>
      <c r="R30" s="13">
        <v>34500</v>
      </c>
      <c r="S30" s="9"/>
      <c r="T30" s="9"/>
      <c r="U30" s="19"/>
      <c r="V30" s="1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x14ac:dyDescent="0.25">
      <c r="A31" s="105">
        <f t="shared" si="0"/>
        <v>34507</v>
      </c>
      <c r="B31" s="16"/>
      <c r="C31" s="16">
        <f>SUM('Weekly Data'!E28:E31)/4</f>
        <v>1387.5</v>
      </c>
      <c r="D31" s="16"/>
      <c r="E31" s="16">
        <f>SUM('Weekly Data'!G28:G31)/4</f>
        <v>1821.5</v>
      </c>
      <c r="F31" s="16">
        <f>SUM('Weekly Data'!H28:H31)/4</f>
        <v>114.25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9"/>
      <c r="R31" s="13">
        <v>34507</v>
      </c>
      <c r="S31" s="9"/>
      <c r="T31" s="9"/>
      <c r="U31" s="19"/>
      <c r="V31" s="1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34" x14ac:dyDescent="0.25">
      <c r="A32" s="105">
        <f t="shared" si="0"/>
        <v>34514</v>
      </c>
      <c r="B32" s="16"/>
      <c r="C32" s="16">
        <f>SUM('Weekly Data'!E29:E32)/4</f>
        <v>1349.75</v>
      </c>
      <c r="D32" s="16"/>
      <c r="E32" s="16">
        <f>SUM('Weekly Data'!G29:G32)/4</f>
        <v>1874</v>
      </c>
      <c r="F32" s="16">
        <f>SUM('Weekly Data'!H29:H32)/4</f>
        <v>119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9"/>
      <c r="R32" s="13">
        <v>34514</v>
      </c>
      <c r="S32" s="9"/>
      <c r="T32" s="9"/>
      <c r="U32" s="19"/>
      <c r="V32" s="1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34" x14ac:dyDescent="0.25">
      <c r="A33" s="105">
        <f t="shared" si="0"/>
        <v>34521</v>
      </c>
      <c r="B33" s="16"/>
      <c r="C33" s="16">
        <f>SUM('Weekly Data'!E30:E33)/4</f>
        <v>1532.75</v>
      </c>
      <c r="D33" s="16"/>
      <c r="E33" s="16">
        <f>SUM('Weekly Data'!G30:G33)/4</f>
        <v>1858.25</v>
      </c>
      <c r="F33" s="16">
        <f>SUM('Weekly Data'!H30:H33)/4</f>
        <v>149.75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9"/>
      <c r="R33" s="13">
        <v>34521</v>
      </c>
      <c r="S33" s="9"/>
      <c r="T33" s="9"/>
      <c r="U33" s="19"/>
      <c r="V33" s="1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x14ac:dyDescent="0.25">
      <c r="A34" s="105">
        <f t="shared" si="0"/>
        <v>34528</v>
      </c>
      <c r="B34" s="16"/>
      <c r="C34" s="16">
        <f>SUM('Weekly Data'!E31:E34)/4</f>
        <v>1577.25</v>
      </c>
      <c r="D34" s="16"/>
      <c r="E34" s="16">
        <f>SUM('Weekly Data'!G31:G34)/4</f>
        <v>1603.5</v>
      </c>
      <c r="F34" s="16">
        <f>SUM('Weekly Data'!H31:H34)/4</f>
        <v>158.75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9"/>
      <c r="R34" s="13">
        <v>34528</v>
      </c>
      <c r="S34" s="9"/>
      <c r="T34" s="9"/>
      <c r="U34" s="19"/>
      <c r="V34" s="1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x14ac:dyDescent="0.25">
      <c r="A35" s="105">
        <f t="shared" si="0"/>
        <v>34535</v>
      </c>
      <c r="B35" s="16"/>
      <c r="C35" s="16">
        <f>SUM('Weekly Data'!E32:E35)/4</f>
        <v>1576.75</v>
      </c>
      <c r="D35" s="16"/>
      <c r="E35" s="16">
        <f>SUM('Weekly Data'!G32:G35)/4</f>
        <v>1445.75</v>
      </c>
      <c r="F35" s="16">
        <f>SUM('Weekly Data'!H32:H35)/4</f>
        <v>164.25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9"/>
      <c r="R35" s="13">
        <v>34535</v>
      </c>
      <c r="S35" s="9"/>
      <c r="T35" s="9"/>
      <c r="U35" s="19"/>
      <c r="V35" s="1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spans="1:34" x14ac:dyDescent="0.25">
      <c r="A36" s="105">
        <f t="shared" si="0"/>
        <v>34542</v>
      </c>
      <c r="B36" s="16"/>
      <c r="C36" s="16">
        <f>SUM('Weekly Data'!E33:E36)/4</f>
        <v>1821.5</v>
      </c>
      <c r="D36" s="16"/>
      <c r="E36" s="16">
        <f>SUM('Weekly Data'!G33:G36)/4</f>
        <v>1304.75</v>
      </c>
      <c r="F36" s="16">
        <f>SUM('Weekly Data'!H33:H36)/4</f>
        <v>175.75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9"/>
      <c r="R36" s="13">
        <v>34542</v>
      </c>
      <c r="S36" s="9"/>
      <c r="T36" s="9"/>
      <c r="U36" s="19"/>
      <c r="V36" s="1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1:34" x14ac:dyDescent="0.25">
      <c r="A37" s="105">
        <f t="shared" si="0"/>
        <v>34549</v>
      </c>
      <c r="B37" s="16"/>
      <c r="C37" s="16">
        <f>SUM('Weekly Data'!E34:E37)/4</f>
        <v>2052.75</v>
      </c>
      <c r="D37" s="16"/>
      <c r="E37" s="16">
        <f>SUM('Weekly Data'!G34:G37)/4</f>
        <v>1302.25</v>
      </c>
      <c r="F37" s="16">
        <f>SUM('Weekly Data'!H34:H37)/4</f>
        <v>185.25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9"/>
      <c r="R37" s="13">
        <v>34549</v>
      </c>
      <c r="S37" s="9"/>
      <c r="T37" s="9"/>
      <c r="U37" s="19"/>
      <c r="V37" s="1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1:34" x14ac:dyDescent="0.25">
      <c r="A38" s="105">
        <f t="shared" si="0"/>
        <v>34556</v>
      </c>
      <c r="B38" s="16"/>
      <c r="C38" s="16">
        <f>SUM('Weekly Data'!E35:E38)/4</f>
        <v>2253.75</v>
      </c>
      <c r="D38" s="16"/>
      <c r="E38" s="16">
        <f>SUM('Weekly Data'!G35:G38)/4</f>
        <v>1517</v>
      </c>
      <c r="F38" s="16">
        <f>SUM('Weekly Data'!H35:H38)/4</f>
        <v>173.75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9"/>
      <c r="R38" s="13">
        <v>34556</v>
      </c>
      <c r="S38" s="9"/>
      <c r="T38" s="9"/>
      <c r="U38" s="19"/>
      <c r="V38" s="1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34" x14ac:dyDescent="0.25">
      <c r="A39" s="105">
        <f t="shared" si="0"/>
        <v>34563</v>
      </c>
      <c r="B39" s="16"/>
      <c r="C39" s="16">
        <f>SUM('Weekly Data'!E36:E39)/4</f>
        <v>2477.25</v>
      </c>
      <c r="D39" s="16"/>
      <c r="E39" s="16">
        <f>SUM('Weekly Data'!G36:G39)/4</f>
        <v>1661.75</v>
      </c>
      <c r="F39" s="16">
        <f>SUM('Weekly Data'!H36:H39)/4</f>
        <v>197.5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9"/>
      <c r="R39" s="13">
        <v>34563</v>
      </c>
      <c r="S39" s="9"/>
      <c r="T39" s="9"/>
      <c r="U39" s="19"/>
      <c r="V39" s="1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34" x14ac:dyDescent="0.25">
      <c r="A40" s="105">
        <f t="shared" si="0"/>
        <v>34570</v>
      </c>
      <c r="B40" s="16"/>
      <c r="C40" s="16">
        <f>SUM('Weekly Data'!E37:E40)/4</f>
        <v>2293.5</v>
      </c>
      <c r="D40" s="16"/>
      <c r="E40" s="16">
        <f>SUM('Weekly Data'!G37:G40)/4</f>
        <v>1792.25</v>
      </c>
      <c r="F40" s="16">
        <f>SUM('Weekly Data'!H37:H40)/4</f>
        <v>209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9"/>
      <c r="R40" s="13">
        <v>34570</v>
      </c>
      <c r="S40" s="9"/>
      <c r="T40" s="9"/>
      <c r="U40" s="19"/>
      <c r="V40" s="1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34" x14ac:dyDescent="0.25">
      <c r="A41" s="105">
        <f t="shared" si="0"/>
        <v>34577</v>
      </c>
      <c r="B41" s="16"/>
      <c r="C41" s="16">
        <f>SUM('Weekly Data'!E38:E41)/4</f>
        <v>2290</v>
      </c>
      <c r="D41" s="16"/>
      <c r="E41" s="16">
        <f>SUM('Weekly Data'!G38:G41)/4</f>
        <v>1902.75</v>
      </c>
      <c r="F41" s="16">
        <f>SUM('Weekly Data'!H38:H41)/4</f>
        <v>209.75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/>
      <c r="R41" s="13">
        <v>34577</v>
      </c>
      <c r="S41" s="9"/>
      <c r="T41" s="9"/>
      <c r="U41" s="19"/>
      <c r="V41" s="1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34" x14ac:dyDescent="0.25">
      <c r="A42" s="105">
        <f t="shared" si="0"/>
        <v>34584</v>
      </c>
      <c r="B42" s="16"/>
      <c r="C42" s="16">
        <f>SUM('Weekly Data'!E39:E42)/4</f>
        <v>2136.25</v>
      </c>
      <c r="D42" s="16"/>
      <c r="E42" s="16">
        <f>SUM('Weekly Data'!G39:G42)/4</f>
        <v>1961</v>
      </c>
      <c r="F42" s="16">
        <f>SUM('Weekly Data'!H39:H42)/4</f>
        <v>226.25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9"/>
      <c r="R42" s="13">
        <v>34584</v>
      </c>
      <c r="S42" s="9"/>
      <c r="T42" s="9"/>
      <c r="U42" s="19"/>
      <c r="V42" s="1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34" x14ac:dyDescent="0.25">
      <c r="A43" s="105">
        <f t="shared" si="0"/>
        <v>34591</v>
      </c>
      <c r="B43" s="16"/>
      <c r="C43" s="16">
        <f>SUM('Weekly Data'!E40:E43)/4</f>
        <v>1852</v>
      </c>
      <c r="D43" s="16"/>
      <c r="E43" s="16">
        <f>SUM('Weekly Data'!G40:G43)/4</f>
        <v>2040.5</v>
      </c>
      <c r="F43" s="16">
        <f>SUM('Weekly Data'!H40:H43)/4</f>
        <v>211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9"/>
      <c r="R43" s="13">
        <v>34591</v>
      </c>
      <c r="S43" s="9"/>
      <c r="T43" s="9"/>
      <c r="U43" s="19"/>
      <c r="V43" s="1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34" x14ac:dyDescent="0.25">
      <c r="A44" s="105">
        <f t="shared" si="0"/>
        <v>34598</v>
      </c>
      <c r="B44" s="16"/>
      <c r="C44" s="16">
        <f>SUM('Weekly Data'!E41:E44)/4</f>
        <v>1933.75</v>
      </c>
      <c r="D44" s="16"/>
      <c r="E44" s="16">
        <f>SUM('Weekly Data'!G41:G44)/4</f>
        <v>2329.25</v>
      </c>
      <c r="F44" s="16">
        <f>SUM('Weekly Data'!H41:H44)/4</f>
        <v>165.75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9"/>
      <c r="R44" s="13">
        <v>34598</v>
      </c>
      <c r="S44" s="9"/>
      <c r="T44" s="9"/>
      <c r="U44" s="19"/>
      <c r="V44" s="1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34" x14ac:dyDescent="0.25">
      <c r="A45" s="105">
        <f t="shared" si="0"/>
        <v>34605</v>
      </c>
      <c r="B45" s="16"/>
      <c r="C45" s="16">
        <f>SUM('Weekly Data'!E42:E45)/4</f>
        <v>1912.5</v>
      </c>
      <c r="D45" s="16"/>
      <c r="E45" s="16">
        <f>SUM('Weekly Data'!G42:G45)/4</f>
        <v>2553.5</v>
      </c>
      <c r="F45" s="16">
        <f>SUM('Weekly Data'!H42:H45)/4</f>
        <v>130.5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9"/>
      <c r="R45" s="13">
        <v>34605</v>
      </c>
      <c r="S45" s="9"/>
      <c r="T45" s="9"/>
      <c r="U45" s="19"/>
      <c r="V45" s="1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34" x14ac:dyDescent="0.25">
      <c r="A46" s="105">
        <f t="shared" si="0"/>
        <v>34612</v>
      </c>
      <c r="B46" s="16"/>
      <c r="C46" s="16">
        <f>SUM('Weekly Data'!E43:E46)/4</f>
        <v>2062.5</v>
      </c>
      <c r="D46" s="16"/>
      <c r="E46" s="16">
        <f>SUM('Weekly Data'!G43:G46)/4</f>
        <v>2711.25</v>
      </c>
      <c r="F46" s="16">
        <f>SUM('Weekly Data'!H43:H46)/4</f>
        <v>162.5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9"/>
      <c r="R46" s="13">
        <v>34612</v>
      </c>
      <c r="S46" s="9"/>
      <c r="T46" s="9"/>
      <c r="U46" s="19"/>
      <c r="V46" s="1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34" x14ac:dyDescent="0.25">
      <c r="A47" s="105">
        <f t="shared" si="0"/>
        <v>34619</v>
      </c>
      <c r="B47" s="16"/>
      <c r="C47" s="16">
        <f>SUM('Weekly Data'!E44:E47)/4</f>
        <v>2258.75</v>
      </c>
      <c r="D47" s="16"/>
      <c r="E47" s="16">
        <f>SUM('Weekly Data'!G44:G47)/4</f>
        <v>3033.75</v>
      </c>
      <c r="F47" s="16">
        <f>SUM('Weekly Data'!H44:H47)/4</f>
        <v>271.25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9"/>
      <c r="R47" s="13">
        <v>34619</v>
      </c>
      <c r="S47" s="9"/>
      <c r="T47" s="9"/>
      <c r="U47" s="19"/>
      <c r="V47" s="1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34" x14ac:dyDescent="0.25">
      <c r="A48" s="105">
        <f t="shared" si="0"/>
        <v>34626</v>
      </c>
      <c r="B48" s="16"/>
      <c r="C48" s="16">
        <f>SUM('Weekly Data'!E45:E48)/4</f>
        <v>2262.75</v>
      </c>
      <c r="D48" s="16"/>
      <c r="E48" s="16">
        <f>SUM('Weekly Data'!G45:G48)/4</f>
        <v>3261.25</v>
      </c>
      <c r="F48" s="16">
        <f>SUM('Weekly Data'!H45:H48)/4</f>
        <v>457.75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9"/>
      <c r="R48" s="13">
        <v>34626</v>
      </c>
      <c r="S48" s="9"/>
      <c r="T48" s="9"/>
      <c r="U48" s="19"/>
      <c r="V48" s="1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x14ac:dyDescent="0.25">
      <c r="A49" s="105">
        <f t="shared" si="0"/>
        <v>34633</v>
      </c>
      <c r="B49" s="16"/>
      <c r="C49" s="16">
        <f>SUM('Weekly Data'!E46:E49)/4</f>
        <v>2155</v>
      </c>
      <c r="D49" s="16"/>
      <c r="E49" s="16">
        <f>SUM('Weekly Data'!G46:G49)/4</f>
        <v>3493</v>
      </c>
      <c r="F49" s="16">
        <f>SUM('Weekly Data'!H46:H49)/4</f>
        <v>605.75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9"/>
      <c r="R49" s="13">
        <v>34633</v>
      </c>
      <c r="S49" s="9"/>
      <c r="T49" s="9"/>
      <c r="U49" s="19"/>
      <c r="V49" s="1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spans="1:34" x14ac:dyDescent="0.25">
      <c r="A50" s="105">
        <f t="shared" si="0"/>
        <v>34640</v>
      </c>
      <c r="B50" s="16"/>
      <c r="C50" s="16">
        <f>SUM('Weekly Data'!E47:E50)/4</f>
        <v>1778</v>
      </c>
      <c r="D50" s="16"/>
      <c r="E50" s="16">
        <f>SUM('Weekly Data'!G47:G50)/4</f>
        <v>3953.5</v>
      </c>
      <c r="F50" s="16">
        <f>SUM('Weekly Data'!H47:H50)/4</f>
        <v>757.25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/>
      <c r="R50" s="13">
        <v>34640</v>
      </c>
      <c r="S50" s="9"/>
      <c r="T50" s="9"/>
      <c r="U50" s="19"/>
      <c r="V50" s="1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spans="1:34" x14ac:dyDescent="0.25">
      <c r="A51" s="105">
        <f t="shared" si="0"/>
        <v>34647</v>
      </c>
      <c r="B51" s="16"/>
      <c r="C51" s="16">
        <f>SUM('Weekly Data'!E48:E51)/4</f>
        <v>1589.5</v>
      </c>
      <c r="D51" s="16"/>
      <c r="E51" s="16">
        <f>SUM('Weekly Data'!G48:G51)/4</f>
        <v>4336</v>
      </c>
      <c r="F51" s="16">
        <f>SUM('Weekly Data'!H48:H51)/4</f>
        <v>733.5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9"/>
      <c r="R51" s="13">
        <v>34647</v>
      </c>
      <c r="S51" s="9"/>
      <c r="T51" s="9"/>
      <c r="U51" s="19"/>
      <c r="V51" s="1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 x14ac:dyDescent="0.25">
      <c r="A52" s="105">
        <f t="shared" si="0"/>
        <v>34654</v>
      </c>
      <c r="B52" s="16"/>
      <c r="C52" s="16">
        <f>SUM('Weekly Data'!E49:E52)/4</f>
        <v>1437</v>
      </c>
      <c r="D52" s="16"/>
      <c r="E52" s="16">
        <f>SUM('Weekly Data'!G49:G52)/4</f>
        <v>4243.25</v>
      </c>
      <c r="F52" s="16">
        <f>SUM('Weekly Data'!H49:H52)/4</f>
        <v>690.25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9"/>
      <c r="R52" s="13">
        <v>34654</v>
      </c>
      <c r="S52" s="9"/>
      <c r="T52" s="9"/>
      <c r="U52" s="19"/>
      <c r="V52" s="1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spans="1:34" x14ac:dyDescent="0.25">
      <c r="A53" s="105">
        <f t="shared" si="0"/>
        <v>34661</v>
      </c>
      <c r="B53" s="16"/>
      <c r="C53" s="16">
        <f>SUM('Weekly Data'!E50:E53)/4</f>
        <v>1304.75</v>
      </c>
      <c r="D53" s="16"/>
      <c r="E53" s="16">
        <f>SUM('Weekly Data'!G50:G53)/4</f>
        <v>4513.75</v>
      </c>
      <c r="F53" s="16">
        <f>SUM('Weekly Data'!H50:H53)/4</f>
        <v>674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/>
      <c r="R53" s="13">
        <v>34661</v>
      </c>
      <c r="S53" s="9"/>
      <c r="T53" s="9"/>
      <c r="U53" s="19"/>
      <c r="V53" s="1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spans="1:34" x14ac:dyDescent="0.25">
      <c r="A54" s="105">
        <f t="shared" si="0"/>
        <v>34668</v>
      </c>
      <c r="B54" s="16"/>
      <c r="C54" s="16">
        <f>SUM('Weekly Data'!E51:E54)/4</f>
        <v>1435.5</v>
      </c>
      <c r="D54" s="16"/>
      <c r="E54" s="16">
        <f>SUM('Weekly Data'!G51:G54)/4</f>
        <v>4565</v>
      </c>
      <c r="F54" s="16">
        <f>SUM('Weekly Data'!H51:H54)/4</f>
        <v>602.75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9"/>
      <c r="R54" s="13">
        <v>34668</v>
      </c>
      <c r="S54" s="9"/>
      <c r="T54" s="9"/>
      <c r="U54" s="19"/>
      <c r="V54" s="1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spans="1:34" x14ac:dyDescent="0.25">
      <c r="A55" s="105">
        <f t="shared" si="0"/>
        <v>34675</v>
      </c>
      <c r="B55" s="16"/>
      <c r="C55" s="16">
        <f>SUM('Weekly Data'!E52:E55)/4</f>
        <v>1455.25</v>
      </c>
      <c r="D55" s="16"/>
      <c r="E55" s="16">
        <f>SUM('Weekly Data'!G52:G55)/4</f>
        <v>4740.75</v>
      </c>
      <c r="F55" s="16">
        <f>SUM('Weekly Data'!H52:H55)/4</f>
        <v>599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9"/>
      <c r="R55" s="13">
        <v>34675</v>
      </c>
      <c r="S55" s="9"/>
      <c r="T55" s="9"/>
      <c r="U55" s="19"/>
      <c r="V55" s="1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spans="1:34" x14ac:dyDescent="0.25">
      <c r="A56" s="105">
        <f t="shared" si="0"/>
        <v>34682</v>
      </c>
      <c r="B56" s="16"/>
      <c r="C56" s="16">
        <f>SUM('Weekly Data'!E53:E56)/4</f>
        <v>1361.25</v>
      </c>
      <c r="D56" s="16"/>
      <c r="E56" s="16">
        <f>SUM('Weekly Data'!G53:G56)/4</f>
        <v>5100.25</v>
      </c>
      <c r="F56" s="16">
        <f>SUM('Weekly Data'!H53:H56)/4</f>
        <v>526.5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9"/>
      <c r="R56" s="13">
        <v>34682</v>
      </c>
      <c r="S56" s="9"/>
      <c r="T56" s="9"/>
      <c r="U56" s="19"/>
      <c r="V56" s="1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x14ac:dyDescent="0.25">
      <c r="A57" s="105">
        <f t="shared" si="0"/>
        <v>34689</v>
      </c>
      <c r="B57" s="16"/>
      <c r="C57" s="16">
        <f>SUM('Weekly Data'!E54:E57)/4</f>
        <v>1447.75</v>
      </c>
      <c r="D57" s="16"/>
      <c r="E57" s="16">
        <f>SUM('Weekly Data'!G54:G57)/4</f>
        <v>4825.25</v>
      </c>
      <c r="F57" s="16">
        <f>SUM('Weekly Data'!H54:H57)/4</f>
        <v>497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9"/>
      <c r="R57" s="13">
        <v>34689</v>
      </c>
      <c r="S57" s="9"/>
      <c r="T57" s="9"/>
      <c r="U57" s="19"/>
      <c r="V57" s="1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1:34" x14ac:dyDescent="0.25">
      <c r="A58" s="105">
        <f t="shared" si="0"/>
        <v>34696</v>
      </c>
      <c r="B58" s="16"/>
      <c r="C58" s="16">
        <f>SUM('Weekly Data'!E55:E58)/4</f>
        <v>1563.5</v>
      </c>
      <c r="D58" s="16"/>
      <c r="E58" s="16">
        <f>SUM('Weekly Data'!G55:G58)/4</f>
        <v>4825.5</v>
      </c>
      <c r="F58" s="16">
        <f>SUM('Weekly Data'!H55:H58)/4</f>
        <v>368.5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9"/>
      <c r="R58" s="13">
        <v>34696</v>
      </c>
      <c r="S58" s="9"/>
      <c r="T58" s="9"/>
      <c r="U58" s="19"/>
      <c r="V58" s="1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1:34" x14ac:dyDescent="0.25">
      <c r="A59" s="105">
        <f t="shared" si="0"/>
        <v>34703</v>
      </c>
      <c r="B59" s="16"/>
      <c r="C59" s="16">
        <f>SUM('Weekly Data'!E56:E59)/4</f>
        <v>1608.25</v>
      </c>
      <c r="D59" s="16"/>
      <c r="E59" s="16">
        <f>SUM('Weekly Data'!G56:G59)/4</f>
        <v>4496</v>
      </c>
      <c r="F59" s="16">
        <f>SUM('Weekly Data'!H56:H59)/4</f>
        <v>332.25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9"/>
      <c r="R59" s="13">
        <v>34703</v>
      </c>
      <c r="S59" s="9"/>
      <c r="T59" s="9"/>
      <c r="U59" s="19"/>
      <c r="V59" s="1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spans="1:34" x14ac:dyDescent="0.25">
      <c r="A60" s="105">
        <f t="shared" si="0"/>
        <v>34710</v>
      </c>
      <c r="B60" s="16"/>
      <c r="C60" s="16">
        <f>SUM('Weekly Data'!E57:E60)/4</f>
        <v>1837</v>
      </c>
      <c r="D60" s="16"/>
      <c r="E60" s="16">
        <f>SUM('Weekly Data'!G57:G60)/4</f>
        <v>4349.75</v>
      </c>
      <c r="F60" s="16">
        <f>SUM('Weekly Data'!H57:H60)/4</f>
        <v>325.75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9"/>
      <c r="R60" s="13">
        <v>34710</v>
      </c>
      <c r="S60" s="9"/>
      <c r="T60" s="9"/>
      <c r="U60" s="19"/>
      <c r="V60" s="1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x14ac:dyDescent="0.25">
      <c r="A61" s="105">
        <f t="shared" si="0"/>
        <v>34717</v>
      </c>
      <c r="B61" s="16"/>
      <c r="C61" s="16">
        <f>SUM('Weekly Data'!E58:E61)/4</f>
        <v>1904</v>
      </c>
      <c r="D61" s="16"/>
      <c r="E61" s="16">
        <f>SUM('Weekly Data'!G58:G61)/4</f>
        <v>4702.25</v>
      </c>
      <c r="F61" s="16">
        <f>SUM('Weekly Data'!H58:H61)/4</f>
        <v>309.25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9"/>
      <c r="R61" s="13">
        <v>34717</v>
      </c>
      <c r="S61" s="9"/>
      <c r="T61" s="9"/>
      <c r="U61" s="19"/>
      <c r="V61" s="1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spans="1:34" x14ac:dyDescent="0.25">
      <c r="A62" s="105">
        <f t="shared" si="0"/>
        <v>34724</v>
      </c>
      <c r="B62" s="16"/>
      <c r="C62" s="16">
        <f>SUM('Weekly Data'!E59:E62)/4</f>
        <v>1936.75</v>
      </c>
      <c r="D62" s="16"/>
      <c r="E62" s="16">
        <f>SUM('Weekly Data'!G59:G62)/4</f>
        <v>4980</v>
      </c>
      <c r="F62" s="16">
        <f>SUM('Weekly Data'!H59:H62)/4</f>
        <v>354.25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9"/>
      <c r="R62" s="13">
        <v>34724</v>
      </c>
      <c r="S62" s="9"/>
      <c r="T62" s="9"/>
      <c r="U62" s="19"/>
      <c r="V62" s="1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spans="1:34" x14ac:dyDescent="0.25">
      <c r="A63" s="105">
        <f t="shared" si="0"/>
        <v>34731</v>
      </c>
      <c r="B63" s="16"/>
      <c r="C63" s="16">
        <f>SUM('Weekly Data'!E60:E63)/4</f>
        <v>2130</v>
      </c>
      <c r="D63" s="16"/>
      <c r="E63" s="16">
        <f>SUM('Weekly Data'!G60:G63)/4</f>
        <v>4785.5</v>
      </c>
      <c r="F63" s="16">
        <f>SUM('Weekly Data'!H60:H63)/4</f>
        <v>415.75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9"/>
      <c r="R63" s="13">
        <v>34731</v>
      </c>
      <c r="S63" s="44"/>
      <c r="T63" s="9"/>
      <c r="U63" s="19"/>
      <c r="V63" s="44"/>
      <c r="W63" s="39"/>
      <c r="X63" s="39"/>
      <c r="Y63" s="39"/>
      <c r="Z63" s="39"/>
      <c r="AA63" s="40"/>
      <c r="AB63" s="39"/>
      <c r="AC63" s="39"/>
      <c r="AD63" s="40"/>
      <c r="AE63" s="39"/>
      <c r="AF63" s="39"/>
      <c r="AG63" s="40"/>
      <c r="AH63" s="39"/>
    </row>
    <row r="64" spans="1:34" x14ac:dyDescent="0.25">
      <c r="A64" s="105">
        <f t="shared" si="0"/>
        <v>34738</v>
      </c>
      <c r="B64" s="16"/>
      <c r="C64" s="16">
        <f>SUM('Weekly Data'!E61:E64)/4</f>
        <v>2184.75</v>
      </c>
      <c r="D64" s="16"/>
      <c r="E64" s="16">
        <f>SUM('Weekly Data'!G61:G64)/4</f>
        <v>4780.25</v>
      </c>
      <c r="F64" s="16">
        <f>SUM('Weekly Data'!H61:H64)/4</f>
        <v>435.5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9"/>
      <c r="R64" s="13">
        <v>34738</v>
      </c>
      <c r="S64" s="44"/>
      <c r="T64" s="9"/>
      <c r="U64" s="19"/>
      <c r="V64" s="44"/>
      <c r="W64" s="39"/>
      <c r="X64" s="39"/>
      <c r="Y64" s="39"/>
      <c r="Z64" s="39"/>
      <c r="AA64" s="40"/>
      <c r="AB64" s="39"/>
      <c r="AC64" s="39"/>
      <c r="AD64" s="40"/>
      <c r="AE64" s="39"/>
      <c r="AF64" s="39"/>
      <c r="AG64" s="40"/>
      <c r="AH64" s="39"/>
    </row>
    <row r="65" spans="1:34" x14ac:dyDescent="0.25">
      <c r="A65" s="105">
        <f t="shared" si="0"/>
        <v>34745</v>
      </c>
      <c r="B65" s="16"/>
      <c r="C65" s="16">
        <f>SUM('Weekly Data'!E62:E65)/4</f>
        <v>2296.75</v>
      </c>
      <c r="D65" s="16"/>
      <c r="E65" s="16">
        <f>SUM('Weekly Data'!G62:G65)/4</f>
        <v>4863.75</v>
      </c>
      <c r="F65" s="16">
        <f>SUM('Weekly Data'!H62:H65)/4</f>
        <v>399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9"/>
      <c r="R65" s="13">
        <v>34745</v>
      </c>
      <c r="S65" s="44"/>
      <c r="T65" s="9"/>
      <c r="U65" s="19"/>
      <c r="V65" s="44"/>
      <c r="W65" s="39"/>
      <c r="X65" s="39"/>
      <c r="Y65" s="39"/>
      <c r="Z65" s="39"/>
      <c r="AA65" s="40"/>
      <c r="AB65" s="39"/>
      <c r="AC65" s="39"/>
      <c r="AD65" s="40"/>
      <c r="AE65" s="39"/>
      <c r="AF65" s="39"/>
      <c r="AG65" s="40"/>
      <c r="AH65" s="39"/>
    </row>
    <row r="66" spans="1:34" x14ac:dyDescent="0.25">
      <c r="A66" s="105">
        <f t="shared" si="0"/>
        <v>34752</v>
      </c>
      <c r="B66" s="16"/>
      <c r="C66" s="16">
        <f>SUM('Weekly Data'!E63:E66)/4</f>
        <v>2278</v>
      </c>
      <c r="D66" s="16"/>
      <c r="E66" s="16">
        <f>SUM('Weekly Data'!G63:G66)/4</f>
        <v>5251</v>
      </c>
      <c r="F66" s="16">
        <f>SUM('Weekly Data'!H63:H66)/4</f>
        <v>429.75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9"/>
      <c r="R66" s="13">
        <v>34752</v>
      </c>
      <c r="S66" s="44"/>
      <c r="T66" s="9"/>
      <c r="U66" s="19"/>
      <c r="V66" s="44"/>
      <c r="W66" s="39"/>
      <c r="X66" s="39"/>
      <c r="Y66" s="39"/>
      <c r="Z66" s="39"/>
      <c r="AA66" s="40"/>
      <c r="AB66" s="39"/>
      <c r="AC66" s="39"/>
      <c r="AD66" s="40"/>
      <c r="AE66" s="39"/>
      <c r="AF66" s="39"/>
      <c r="AG66" s="40"/>
      <c r="AH66" s="39"/>
    </row>
    <row r="67" spans="1:34" x14ac:dyDescent="0.25">
      <c r="A67" s="105">
        <f t="shared" si="0"/>
        <v>34759</v>
      </c>
      <c r="B67" s="16"/>
      <c r="C67" s="16">
        <f>SUM('Weekly Data'!E64:E67)/4</f>
        <v>2423.5</v>
      </c>
      <c r="D67" s="16"/>
      <c r="E67" s="16">
        <f>SUM('Weekly Data'!G64:G67)/4</f>
        <v>5683.75</v>
      </c>
      <c r="F67" s="16">
        <f>SUM('Weekly Data'!H64:H67)/4</f>
        <v>371.25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9"/>
      <c r="R67" s="13">
        <v>34759</v>
      </c>
      <c r="S67" s="44"/>
      <c r="T67" s="9"/>
      <c r="U67" s="19"/>
      <c r="V67" s="44"/>
      <c r="W67" s="39"/>
      <c r="X67" s="39"/>
      <c r="Y67" s="39"/>
      <c r="Z67" s="39"/>
      <c r="AA67" s="40"/>
      <c r="AB67" s="39"/>
      <c r="AC67" s="39"/>
      <c r="AD67" s="40"/>
      <c r="AE67" s="39"/>
      <c r="AF67" s="39"/>
      <c r="AG67" s="40"/>
      <c r="AH67" s="39"/>
    </row>
    <row r="68" spans="1:34" x14ac:dyDescent="0.25">
      <c r="A68" s="105">
        <f t="shared" si="0"/>
        <v>34766</v>
      </c>
      <c r="B68" s="16"/>
      <c r="C68" s="16">
        <f>SUM('Weekly Data'!E65:E68)/4</f>
        <v>2715.75</v>
      </c>
      <c r="D68" s="16"/>
      <c r="E68" s="16">
        <f>SUM('Weekly Data'!G65:G68)/4</f>
        <v>6039.25</v>
      </c>
      <c r="F68" s="16">
        <f>SUM('Weekly Data'!H65:H68)/4</f>
        <v>384.75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9"/>
      <c r="R68" s="13">
        <v>34766</v>
      </c>
      <c r="S68" s="44"/>
      <c r="T68" s="9"/>
      <c r="U68" s="19"/>
      <c r="V68" s="44"/>
      <c r="W68" s="39"/>
      <c r="X68" s="39"/>
      <c r="Y68" s="39"/>
      <c r="Z68" s="39"/>
      <c r="AA68" s="40"/>
      <c r="AB68" s="39"/>
      <c r="AC68" s="39"/>
      <c r="AD68" s="40"/>
      <c r="AE68" s="39"/>
      <c r="AF68" s="39"/>
      <c r="AG68" s="40"/>
      <c r="AH68" s="39"/>
    </row>
    <row r="69" spans="1:34" x14ac:dyDescent="0.25">
      <c r="A69" s="105">
        <f t="shared" si="0"/>
        <v>34773</v>
      </c>
      <c r="B69" s="16"/>
      <c r="C69" s="16">
        <f>SUM('Weekly Data'!E66:E69)/4</f>
        <v>2898.75</v>
      </c>
      <c r="D69" s="16"/>
      <c r="E69" s="16">
        <f>SUM('Weekly Data'!G66:G69)/4</f>
        <v>6224</v>
      </c>
      <c r="F69" s="16">
        <f>SUM('Weekly Data'!H66:H69)/4</f>
        <v>368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9"/>
      <c r="R69" s="13">
        <v>34773</v>
      </c>
      <c r="S69" s="44"/>
      <c r="T69" s="9"/>
      <c r="U69" s="19"/>
      <c r="V69" s="44"/>
      <c r="W69" s="39"/>
      <c r="X69" s="39"/>
      <c r="Y69" s="39"/>
      <c r="Z69" s="39"/>
      <c r="AA69" s="40"/>
      <c r="AB69" s="39"/>
      <c r="AC69" s="39"/>
      <c r="AD69" s="40"/>
      <c r="AE69" s="39"/>
      <c r="AF69" s="39"/>
      <c r="AG69" s="40"/>
      <c r="AH69" s="39"/>
    </row>
    <row r="70" spans="1:34" x14ac:dyDescent="0.25">
      <c r="A70" s="105">
        <f t="shared" si="0"/>
        <v>34780</v>
      </c>
      <c r="B70" s="16"/>
      <c r="C70" s="16">
        <f>SUM('Weekly Data'!E67:E70)/4</f>
        <v>3185.5</v>
      </c>
      <c r="D70" s="16"/>
      <c r="E70" s="16">
        <f>SUM('Weekly Data'!G67:G70)/4</f>
        <v>5498.5</v>
      </c>
      <c r="F70" s="16">
        <f>SUM('Weekly Data'!H67:H70)/4</f>
        <v>356.25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9"/>
      <c r="R70" s="13">
        <v>34780</v>
      </c>
      <c r="S70" s="44"/>
      <c r="T70" s="9"/>
      <c r="U70" s="19"/>
      <c r="V70" s="44"/>
      <c r="W70" s="39"/>
      <c r="X70" s="39"/>
      <c r="Y70" s="39"/>
      <c r="Z70" s="39"/>
      <c r="AA70" s="40"/>
      <c r="AB70" s="39"/>
      <c r="AC70" s="39"/>
      <c r="AD70" s="40"/>
      <c r="AE70" s="39"/>
      <c r="AF70" s="39"/>
      <c r="AG70" s="40"/>
      <c r="AH70" s="39"/>
    </row>
    <row r="71" spans="1:34" x14ac:dyDescent="0.25">
      <c r="A71" s="105">
        <f t="shared" si="0"/>
        <v>34787</v>
      </c>
      <c r="B71" s="16"/>
      <c r="C71" s="16">
        <f>SUM('Weekly Data'!E68:E71)/4</f>
        <v>3215.25</v>
      </c>
      <c r="D71" s="16"/>
      <c r="E71" s="16">
        <f>SUM('Weekly Data'!G68:G71)/4</f>
        <v>5769.75</v>
      </c>
      <c r="F71" s="16">
        <f>SUM('Weekly Data'!H68:H71)/4</f>
        <v>333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9"/>
      <c r="R71" s="13">
        <v>34787</v>
      </c>
      <c r="S71" s="44"/>
      <c r="T71" s="9"/>
      <c r="U71" s="19"/>
      <c r="V71" s="44"/>
      <c r="W71" s="39"/>
      <c r="X71" s="39"/>
      <c r="Y71" s="39"/>
      <c r="Z71" s="39"/>
      <c r="AA71" s="40"/>
      <c r="AB71" s="39"/>
      <c r="AC71" s="39"/>
      <c r="AD71" s="40"/>
      <c r="AE71" s="39"/>
      <c r="AF71" s="39"/>
      <c r="AG71" s="40"/>
      <c r="AH71" s="39"/>
    </row>
    <row r="72" spans="1:34" x14ac:dyDescent="0.25">
      <c r="A72" s="105">
        <f t="shared" si="0"/>
        <v>34794</v>
      </c>
      <c r="B72" s="16"/>
      <c r="C72" s="16">
        <f>SUM('Weekly Data'!E69:E72)/4</f>
        <v>2937.75</v>
      </c>
      <c r="D72" s="16"/>
      <c r="E72" s="16">
        <f>SUM('Weekly Data'!G69:G72)/4</f>
        <v>5668.5</v>
      </c>
      <c r="F72" s="16">
        <f>SUM('Weekly Data'!H69:H72)/4</f>
        <v>238.75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9"/>
      <c r="R72" s="13">
        <v>34794</v>
      </c>
      <c r="S72" s="44"/>
      <c r="T72" s="9"/>
      <c r="U72" s="19"/>
      <c r="V72" s="44"/>
      <c r="W72" s="39"/>
      <c r="X72" s="39"/>
      <c r="Y72" s="39"/>
      <c r="Z72" s="39"/>
      <c r="AA72" s="40"/>
      <c r="AB72" s="39"/>
      <c r="AC72" s="39"/>
      <c r="AD72" s="40"/>
      <c r="AE72" s="39"/>
      <c r="AF72" s="39"/>
      <c r="AG72" s="40"/>
      <c r="AH72" s="39"/>
    </row>
    <row r="73" spans="1:34" x14ac:dyDescent="0.25">
      <c r="A73" s="105">
        <f t="shared" si="0"/>
        <v>34801</v>
      </c>
      <c r="B73" s="16"/>
      <c r="C73" s="16">
        <f>SUM('Weekly Data'!E70:E73)/4</f>
        <v>2680.25</v>
      </c>
      <c r="D73" s="16"/>
      <c r="E73" s="16">
        <f>SUM('Weekly Data'!G70:G73)/4</f>
        <v>5367.25</v>
      </c>
      <c r="F73" s="16">
        <f>SUM('Weekly Data'!H70:H73)/4</f>
        <v>301.75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9"/>
      <c r="R73" s="13">
        <v>34801</v>
      </c>
      <c r="S73" s="44"/>
      <c r="T73" s="9"/>
      <c r="U73" s="19"/>
      <c r="V73" s="44"/>
      <c r="W73" s="39"/>
      <c r="X73" s="39"/>
      <c r="Y73" s="39"/>
      <c r="Z73" s="39"/>
      <c r="AA73" s="40"/>
      <c r="AB73" s="39"/>
      <c r="AC73" s="39"/>
      <c r="AD73" s="40"/>
      <c r="AE73" s="39"/>
      <c r="AF73" s="39"/>
      <c r="AG73" s="40"/>
      <c r="AH73" s="39"/>
    </row>
    <row r="74" spans="1:34" x14ac:dyDescent="0.25">
      <c r="A74" s="105">
        <f t="shared" si="0"/>
        <v>34808</v>
      </c>
      <c r="B74" s="16"/>
      <c r="C74" s="16">
        <f>SUM('Weekly Data'!E71:E74)/4</f>
        <v>2371.75</v>
      </c>
      <c r="D74" s="16"/>
      <c r="E74" s="16">
        <f>SUM('Weekly Data'!G71:G74)/4</f>
        <v>5532.25</v>
      </c>
      <c r="F74" s="16">
        <f>SUM('Weekly Data'!H71:H74)/4</f>
        <v>224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9"/>
      <c r="R74" s="13">
        <v>34808</v>
      </c>
      <c r="S74" s="44"/>
      <c r="T74" s="9"/>
      <c r="U74" s="19"/>
      <c r="V74" s="44"/>
      <c r="W74" s="39"/>
      <c r="X74" s="39"/>
      <c r="Y74" s="39"/>
      <c r="Z74" s="39"/>
      <c r="AA74" s="40"/>
      <c r="AB74" s="39"/>
      <c r="AC74" s="39"/>
      <c r="AD74" s="40"/>
      <c r="AE74" s="39"/>
      <c r="AF74" s="39"/>
      <c r="AG74" s="40"/>
      <c r="AH74" s="39"/>
    </row>
    <row r="75" spans="1:34" x14ac:dyDescent="0.25">
      <c r="A75" s="105">
        <f t="shared" si="0"/>
        <v>34815</v>
      </c>
      <c r="B75" s="16"/>
      <c r="C75" s="16">
        <f>SUM('Weekly Data'!E72:E75)/4</f>
        <v>2249</v>
      </c>
      <c r="D75" s="16"/>
      <c r="E75" s="16">
        <f>SUM('Weekly Data'!G72:G75)/4</f>
        <v>5286.25</v>
      </c>
      <c r="F75" s="16">
        <f>SUM('Weekly Data'!H72:H75)/4</f>
        <v>186.75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9"/>
      <c r="R75" s="13">
        <v>34815</v>
      </c>
      <c r="S75" s="44"/>
      <c r="T75" s="9"/>
      <c r="U75" s="19"/>
      <c r="V75" s="44"/>
      <c r="W75" s="39"/>
      <c r="X75" s="39"/>
      <c r="Y75" s="39"/>
      <c r="Z75" s="39"/>
      <c r="AA75" s="40"/>
      <c r="AB75" s="39"/>
      <c r="AC75" s="39"/>
      <c r="AD75" s="40"/>
      <c r="AE75" s="39"/>
      <c r="AF75" s="39"/>
      <c r="AG75" s="40"/>
      <c r="AH75" s="39"/>
    </row>
    <row r="76" spans="1:34" x14ac:dyDescent="0.25">
      <c r="A76" s="105">
        <f t="shared" si="0"/>
        <v>34822</v>
      </c>
      <c r="B76" s="16"/>
      <c r="C76" s="16">
        <f>SUM('Weekly Data'!E73:E76)/4</f>
        <v>2262</v>
      </c>
      <c r="D76" s="16"/>
      <c r="E76" s="16">
        <f>SUM('Weekly Data'!G73:G76)/4</f>
        <v>5272.5</v>
      </c>
      <c r="F76" s="16">
        <f>SUM('Weekly Data'!H73:H76)/4</f>
        <v>213.75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9"/>
      <c r="R76" s="13">
        <v>34822</v>
      </c>
      <c r="S76" s="44"/>
      <c r="T76" s="9"/>
      <c r="U76" s="19"/>
      <c r="V76" s="44"/>
      <c r="W76" s="39"/>
      <c r="X76" s="39"/>
      <c r="Y76" s="39"/>
      <c r="Z76" s="39"/>
      <c r="AA76" s="40"/>
      <c r="AB76" s="39"/>
      <c r="AC76" s="39"/>
      <c r="AD76" s="40"/>
      <c r="AE76" s="39"/>
      <c r="AF76" s="39"/>
      <c r="AG76" s="40"/>
      <c r="AH76" s="39"/>
    </row>
    <row r="77" spans="1:34" x14ac:dyDescent="0.25">
      <c r="A77" s="105">
        <f t="shared" ref="A77:A140" si="1">A76+7</f>
        <v>34829</v>
      </c>
      <c r="B77" s="16"/>
      <c r="C77" s="16">
        <f>SUM('Weekly Data'!E74:E77)/4</f>
        <v>2304.25</v>
      </c>
      <c r="D77" s="16"/>
      <c r="E77" s="16">
        <f>SUM('Weekly Data'!G74:G77)/4</f>
        <v>5255</v>
      </c>
      <c r="F77" s="16">
        <f>SUM('Weekly Data'!H74:H77)/4</f>
        <v>137.25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9"/>
      <c r="R77" s="13">
        <v>34829</v>
      </c>
      <c r="S77" s="44"/>
      <c r="T77" s="9"/>
      <c r="U77" s="19"/>
      <c r="V77" s="44"/>
      <c r="W77" s="39"/>
      <c r="X77" s="39"/>
      <c r="Y77" s="39"/>
      <c r="Z77" s="39"/>
      <c r="AA77" s="40"/>
      <c r="AB77" s="39"/>
      <c r="AC77" s="39"/>
      <c r="AD77" s="40"/>
      <c r="AE77" s="39"/>
      <c r="AF77" s="39"/>
      <c r="AG77" s="40"/>
      <c r="AH77" s="39"/>
    </row>
    <row r="78" spans="1:34" x14ac:dyDescent="0.25">
      <c r="A78" s="105">
        <f t="shared" si="1"/>
        <v>34836</v>
      </c>
      <c r="B78" s="16"/>
      <c r="C78" s="16">
        <f>SUM('Weekly Data'!E75:E78)/4</f>
        <v>2428</v>
      </c>
      <c r="D78" s="16"/>
      <c r="E78" s="16">
        <f>SUM('Weekly Data'!G75:G78)/4</f>
        <v>5220</v>
      </c>
      <c r="F78" s="16">
        <f>SUM('Weekly Data'!H75:H78)/4</f>
        <v>126.75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9"/>
      <c r="R78" s="13">
        <v>34836</v>
      </c>
      <c r="S78" s="44"/>
      <c r="T78" s="9"/>
      <c r="U78" s="19"/>
      <c r="V78" s="44"/>
      <c r="W78" s="39"/>
      <c r="X78" s="39"/>
      <c r="Y78" s="39"/>
      <c r="Z78" s="39"/>
      <c r="AA78" s="40"/>
      <c r="AB78" s="39"/>
      <c r="AC78" s="39"/>
      <c r="AD78" s="40"/>
      <c r="AE78" s="39"/>
      <c r="AF78" s="39"/>
      <c r="AG78" s="40"/>
      <c r="AH78" s="39"/>
    </row>
    <row r="79" spans="1:34" x14ac:dyDescent="0.25">
      <c r="A79" s="105">
        <f t="shared" si="1"/>
        <v>34843</v>
      </c>
      <c r="B79" s="16"/>
      <c r="C79" s="16">
        <f>SUM('Weekly Data'!E76:E79)/4</f>
        <v>2225.75</v>
      </c>
      <c r="D79" s="16"/>
      <c r="E79" s="16">
        <f>SUM('Weekly Data'!G76:G79)/4</f>
        <v>5374.25</v>
      </c>
      <c r="F79" s="16">
        <f>SUM('Weekly Data'!H76:H79)/4</f>
        <v>157.25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9"/>
      <c r="R79" s="13">
        <v>34843</v>
      </c>
      <c r="S79" s="44"/>
      <c r="T79" s="9"/>
      <c r="U79" s="19"/>
      <c r="V79" s="44"/>
      <c r="W79" s="39"/>
      <c r="X79" s="39"/>
      <c r="Y79" s="39"/>
      <c r="Z79" s="39"/>
      <c r="AA79" s="40"/>
      <c r="AB79" s="39"/>
      <c r="AC79" s="39"/>
      <c r="AD79" s="40"/>
      <c r="AE79" s="39"/>
      <c r="AF79" s="39"/>
      <c r="AG79" s="40"/>
      <c r="AH79" s="39"/>
    </row>
    <row r="80" spans="1:34" x14ac:dyDescent="0.25">
      <c r="A80" s="105">
        <f t="shared" si="1"/>
        <v>34850</v>
      </c>
      <c r="B80" s="16"/>
      <c r="C80" s="16">
        <f>SUM('Weekly Data'!E77:E80)/4</f>
        <v>1898</v>
      </c>
      <c r="D80" s="16"/>
      <c r="E80" s="16">
        <f>SUM('Weekly Data'!G77:G80)/4</f>
        <v>5355.25</v>
      </c>
      <c r="F80" s="16">
        <f>SUM('Weekly Data'!H77:H80)/4</f>
        <v>132.75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9"/>
      <c r="R80" s="13">
        <v>34850</v>
      </c>
      <c r="S80" s="44"/>
      <c r="T80" s="9"/>
      <c r="U80" s="19"/>
      <c r="V80" s="44"/>
      <c r="W80" s="39"/>
      <c r="X80" s="39"/>
      <c r="Y80" s="39"/>
      <c r="Z80" s="39"/>
      <c r="AA80" s="40"/>
      <c r="AB80" s="39"/>
      <c r="AC80" s="39"/>
      <c r="AD80" s="40"/>
      <c r="AE80" s="39"/>
      <c r="AF80" s="39"/>
      <c r="AG80" s="40"/>
      <c r="AH80" s="39"/>
    </row>
    <row r="81" spans="1:34" x14ac:dyDescent="0.25">
      <c r="A81" s="105">
        <f t="shared" si="1"/>
        <v>34857</v>
      </c>
      <c r="B81" s="16"/>
      <c r="C81" s="16">
        <f>SUM('Weekly Data'!E78:E81)/4</f>
        <v>1593</v>
      </c>
      <c r="D81" s="16"/>
      <c r="E81" s="16">
        <f>SUM('Weekly Data'!G78:G81)/4</f>
        <v>5357.25</v>
      </c>
      <c r="F81" s="16">
        <f>SUM('Weekly Data'!H78:H81)/4</f>
        <v>189.25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9"/>
      <c r="R81" s="13">
        <v>34857</v>
      </c>
      <c r="S81" s="44"/>
      <c r="T81" s="9"/>
      <c r="U81" s="19"/>
      <c r="V81" s="44"/>
      <c r="W81" s="39"/>
      <c r="X81" s="39"/>
      <c r="Y81" s="39"/>
      <c r="Z81" s="39"/>
      <c r="AA81" s="40"/>
      <c r="AB81" s="39"/>
      <c r="AC81" s="39"/>
      <c r="AD81" s="40"/>
      <c r="AE81" s="39"/>
      <c r="AF81" s="39"/>
      <c r="AG81" s="40"/>
      <c r="AH81" s="39"/>
    </row>
    <row r="82" spans="1:34" x14ac:dyDescent="0.25">
      <c r="A82" s="105">
        <f t="shared" si="1"/>
        <v>34864</v>
      </c>
      <c r="B82" s="16"/>
      <c r="C82" s="16">
        <f>SUM('Weekly Data'!E79:E82)/4</f>
        <v>1405.5</v>
      </c>
      <c r="D82" s="16"/>
      <c r="E82" s="16">
        <f>SUM('Weekly Data'!G79:G82)/4</f>
        <v>5367.25</v>
      </c>
      <c r="F82" s="16">
        <f>SUM('Weekly Data'!H79:H82)/4</f>
        <v>219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9"/>
      <c r="R82" s="13">
        <v>34864</v>
      </c>
      <c r="S82" s="44"/>
      <c r="T82" s="9"/>
      <c r="U82" s="19"/>
      <c r="V82" s="44"/>
      <c r="W82" s="39"/>
      <c r="X82" s="39"/>
      <c r="Y82" s="39"/>
      <c r="Z82" s="39"/>
      <c r="AA82" s="40"/>
      <c r="AB82" s="39"/>
      <c r="AC82" s="39"/>
      <c r="AD82" s="40"/>
      <c r="AE82" s="39"/>
      <c r="AF82" s="39"/>
      <c r="AG82" s="40"/>
      <c r="AH82" s="39"/>
    </row>
    <row r="83" spans="1:34" x14ac:dyDescent="0.25">
      <c r="A83" s="105">
        <f t="shared" si="1"/>
        <v>34871</v>
      </c>
      <c r="B83" s="16"/>
      <c r="C83" s="16">
        <f>SUM('Weekly Data'!E80:E83)/4</f>
        <v>1463</v>
      </c>
      <c r="D83" s="16"/>
      <c r="E83" s="16">
        <f>SUM('Weekly Data'!G80:G83)/4</f>
        <v>5071.25</v>
      </c>
      <c r="F83" s="16">
        <f>SUM('Weekly Data'!H80:H83)/4</f>
        <v>191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9"/>
      <c r="R83" s="13">
        <v>34871</v>
      </c>
      <c r="S83" s="44"/>
      <c r="T83" s="9"/>
      <c r="U83" s="19"/>
      <c r="V83" s="44"/>
      <c r="W83" s="39"/>
      <c r="X83" s="39"/>
      <c r="Y83" s="39"/>
      <c r="Z83" s="39"/>
      <c r="AA83" s="40"/>
      <c r="AB83" s="39"/>
      <c r="AC83" s="39"/>
      <c r="AD83" s="40"/>
      <c r="AE83" s="39"/>
      <c r="AF83" s="39"/>
      <c r="AG83" s="40"/>
      <c r="AH83" s="39"/>
    </row>
    <row r="84" spans="1:34" x14ac:dyDescent="0.25">
      <c r="A84" s="105">
        <f t="shared" si="1"/>
        <v>34878</v>
      </c>
      <c r="B84" s="16"/>
      <c r="C84" s="16">
        <f>SUM('Weekly Data'!E81:E84)/4</f>
        <v>1871.5</v>
      </c>
      <c r="D84" s="16"/>
      <c r="E84" s="16">
        <f>SUM('Weekly Data'!G81:G84)/4</f>
        <v>5176.25</v>
      </c>
      <c r="F84" s="16">
        <f>SUM('Weekly Data'!H81:H84)/4</f>
        <v>241.5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9"/>
      <c r="R84" s="13">
        <v>34878</v>
      </c>
      <c r="S84" s="44"/>
      <c r="T84" s="9"/>
      <c r="U84" s="19"/>
      <c r="V84" s="44"/>
      <c r="W84" s="39"/>
      <c r="X84" s="39"/>
      <c r="Y84" s="39"/>
      <c r="Z84" s="39"/>
      <c r="AA84" s="40"/>
      <c r="AB84" s="39"/>
      <c r="AC84" s="39"/>
      <c r="AD84" s="40"/>
      <c r="AE84" s="39"/>
      <c r="AF84" s="39"/>
      <c r="AG84" s="40"/>
      <c r="AH84" s="39"/>
    </row>
    <row r="85" spans="1:34" x14ac:dyDescent="0.25">
      <c r="A85" s="105">
        <f t="shared" si="1"/>
        <v>34885</v>
      </c>
      <c r="B85" s="16"/>
      <c r="C85" s="16">
        <f>SUM('Weekly Data'!E82:E85)/4</f>
        <v>2231.25</v>
      </c>
      <c r="D85" s="16"/>
      <c r="E85" s="16">
        <f>SUM('Weekly Data'!G82:G85)/4</f>
        <v>5095.5</v>
      </c>
      <c r="F85" s="16">
        <f>SUM('Weekly Data'!H82:H85)/4</f>
        <v>197.25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9"/>
      <c r="R85" s="13">
        <v>34885</v>
      </c>
      <c r="S85" s="44"/>
      <c r="T85" s="9"/>
      <c r="U85" s="19"/>
      <c r="V85" s="44"/>
      <c r="W85" s="39"/>
      <c r="X85" s="39"/>
      <c r="Y85" s="39"/>
      <c r="Z85" s="39"/>
      <c r="AA85" s="40"/>
      <c r="AB85" s="39"/>
      <c r="AC85" s="39"/>
      <c r="AD85" s="40"/>
      <c r="AE85" s="39"/>
      <c r="AF85" s="39"/>
      <c r="AG85" s="40"/>
      <c r="AH85" s="39"/>
    </row>
    <row r="86" spans="1:34" x14ac:dyDescent="0.25">
      <c r="A86" s="105">
        <f t="shared" si="1"/>
        <v>34892</v>
      </c>
      <c r="B86" s="16"/>
      <c r="C86" s="16">
        <f>SUM('Weekly Data'!E83:E86)/4</f>
        <v>1985.5</v>
      </c>
      <c r="D86" s="16"/>
      <c r="E86" s="16">
        <f>SUM('Weekly Data'!G83:G86)/4</f>
        <v>4853.25</v>
      </c>
      <c r="F86" s="16">
        <f>SUM('Weekly Data'!H83:H86)/4</f>
        <v>255.75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9"/>
      <c r="R86" s="13">
        <v>34892</v>
      </c>
      <c r="S86" s="44"/>
      <c r="T86" s="9"/>
      <c r="U86" s="19"/>
      <c r="V86" s="44"/>
      <c r="W86" s="39"/>
      <c r="X86" s="39"/>
      <c r="Y86" s="39"/>
      <c r="Z86" s="39"/>
      <c r="AA86" s="40"/>
      <c r="AB86" s="39"/>
      <c r="AC86" s="39"/>
      <c r="AD86" s="40"/>
      <c r="AE86" s="39"/>
      <c r="AF86" s="39"/>
      <c r="AG86" s="40"/>
      <c r="AH86" s="39"/>
    </row>
    <row r="87" spans="1:34" x14ac:dyDescent="0.25">
      <c r="A87" s="105">
        <f t="shared" si="1"/>
        <v>34899</v>
      </c>
      <c r="B87" s="16"/>
      <c r="C87" s="16">
        <f>SUM('Weekly Data'!E84:E87)/4</f>
        <v>1947</v>
      </c>
      <c r="D87" s="16"/>
      <c r="E87" s="16">
        <f>SUM('Weekly Data'!G84:G87)/4</f>
        <v>5113.25</v>
      </c>
      <c r="F87" s="16">
        <f>SUM('Weekly Data'!H84:H87)/4</f>
        <v>292.75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9"/>
      <c r="R87" s="13">
        <v>34899</v>
      </c>
      <c r="S87" s="44"/>
      <c r="T87" s="9"/>
      <c r="U87" s="19"/>
      <c r="V87" s="44"/>
      <c r="W87" s="39"/>
      <c r="X87" s="39"/>
      <c r="Y87" s="39"/>
      <c r="Z87" s="39"/>
      <c r="AA87" s="40"/>
      <c r="AB87" s="39"/>
      <c r="AC87" s="39"/>
      <c r="AD87" s="40"/>
      <c r="AE87" s="39"/>
      <c r="AF87" s="39"/>
      <c r="AG87" s="40"/>
      <c r="AH87" s="39"/>
    </row>
    <row r="88" spans="1:34" x14ac:dyDescent="0.25">
      <c r="A88" s="105">
        <f t="shared" si="1"/>
        <v>34906</v>
      </c>
      <c r="B88" s="16"/>
      <c r="C88" s="16">
        <f>SUM('Weekly Data'!E85:E88)/4</f>
        <v>1617.25</v>
      </c>
      <c r="D88" s="16"/>
      <c r="E88" s="16">
        <f>SUM('Weekly Data'!G85:G88)/4</f>
        <v>5101.5</v>
      </c>
      <c r="F88" s="16">
        <f>SUM('Weekly Data'!H85:H88)/4</f>
        <v>290.25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9"/>
      <c r="R88" s="13">
        <v>34906</v>
      </c>
      <c r="S88" s="44"/>
      <c r="T88" s="9"/>
      <c r="U88" s="19"/>
      <c r="V88" s="44"/>
      <c r="W88" s="39"/>
      <c r="X88" s="39"/>
      <c r="Y88" s="39"/>
      <c r="Z88" s="39"/>
      <c r="AA88" s="40"/>
      <c r="AB88" s="39"/>
      <c r="AC88" s="39"/>
      <c r="AD88" s="40"/>
      <c r="AE88" s="39"/>
      <c r="AF88" s="39"/>
      <c r="AG88" s="40"/>
      <c r="AH88" s="39"/>
    </row>
    <row r="89" spans="1:34" x14ac:dyDescent="0.25">
      <c r="A89" s="105">
        <f t="shared" si="1"/>
        <v>34913</v>
      </c>
      <c r="B89" s="16"/>
      <c r="C89" s="16">
        <f>SUM('Weekly Data'!E86:E89)/4</f>
        <v>1396.75</v>
      </c>
      <c r="D89" s="16"/>
      <c r="E89" s="16">
        <f>SUM('Weekly Data'!G86:G89)/4</f>
        <v>4883.25</v>
      </c>
      <c r="F89" s="16">
        <f>SUM('Weekly Data'!H86:H89)/4</f>
        <v>321.5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9"/>
      <c r="R89" s="13">
        <v>34913</v>
      </c>
      <c r="S89" s="44"/>
      <c r="T89" s="9"/>
      <c r="U89" s="19"/>
      <c r="V89" s="44"/>
      <c r="W89" s="39"/>
      <c r="X89" s="39"/>
      <c r="Y89" s="39"/>
      <c r="Z89" s="39"/>
      <c r="AA89" s="40"/>
      <c r="AB89" s="39"/>
      <c r="AC89" s="39"/>
      <c r="AD89" s="40"/>
      <c r="AE89" s="39"/>
      <c r="AF89" s="39"/>
      <c r="AG89" s="40"/>
      <c r="AH89" s="39"/>
    </row>
    <row r="90" spans="1:34" x14ac:dyDescent="0.25">
      <c r="A90" s="105">
        <f t="shared" si="1"/>
        <v>34920</v>
      </c>
      <c r="B90" s="16"/>
      <c r="C90" s="16">
        <f>SUM('Weekly Data'!E87:E90)/4</f>
        <v>1740.5</v>
      </c>
      <c r="D90" s="16"/>
      <c r="E90" s="16">
        <f>SUM('Weekly Data'!G87:G90)/4</f>
        <v>5021.75</v>
      </c>
      <c r="F90" s="16">
        <f>SUM('Weekly Data'!H87:H90)/4</f>
        <v>291.75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9"/>
      <c r="R90" s="13">
        <v>34920</v>
      </c>
      <c r="S90" s="44"/>
      <c r="T90" s="9"/>
      <c r="U90" s="19"/>
      <c r="V90" s="44"/>
      <c r="W90" s="39"/>
      <c r="X90" s="39"/>
      <c r="Y90" s="39"/>
      <c r="Z90" s="39"/>
      <c r="AA90" s="40"/>
      <c r="AB90" s="39"/>
      <c r="AC90" s="39"/>
      <c r="AD90" s="40"/>
      <c r="AE90" s="39"/>
      <c r="AF90" s="39"/>
      <c r="AG90" s="40"/>
      <c r="AH90" s="39"/>
    </row>
    <row r="91" spans="1:34" x14ac:dyDescent="0.25">
      <c r="A91" s="105">
        <f t="shared" si="1"/>
        <v>34927</v>
      </c>
      <c r="B91" s="16"/>
      <c r="C91" s="16">
        <f>SUM('Weekly Data'!E88:E91)/4</f>
        <v>1901.25</v>
      </c>
      <c r="D91" s="16"/>
      <c r="E91" s="16">
        <f>SUM('Weekly Data'!G88:G91)/4</f>
        <v>4580.25</v>
      </c>
      <c r="F91" s="16">
        <f>SUM('Weekly Data'!H88:H91)/4</f>
        <v>269.25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9"/>
      <c r="R91" s="13">
        <v>34927</v>
      </c>
      <c r="S91" s="44"/>
      <c r="T91" s="9"/>
      <c r="U91" s="19"/>
      <c r="V91" s="44"/>
      <c r="W91" s="39"/>
      <c r="X91" s="39"/>
      <c r="Y91" s="39"/>
      <c r="Z91" s="39"/>
      <c r="AA91" s="40"/>
      <c r="AB91" s="39"/>
      <c r="AC91" s="39"/>
      <c r="AD91" s="40"/>
      <c r="AE91" s="39"/>
      <c r="AF91" s="39"/>
      <c r="AG91" s="40"/>
      <c r="AH91" s="39"/>
    </row>
    <row r="92" spans="1:34" x14ac:dyDescent="0.25">
      <c r="A92" s="105">
        <f t="shared" si="1"/>
        <v>34934</v>
      </c>
      <c r="B92" s="16"/>
      <c r="C92" s="16">
        <f>SUM('Weekly Data'!E89:E92)/4</f>
        <v>2357.5</v>
      </c>
      <c r="D92" s="16"/>
      <c r="E92" s="16">
        <f>SUM('Weekly Data'!G89:G92)/4</f>
        <v>4471</v>
      </c>
      <c r="F92" s="16">
        <f>SUM('Weekly Data'!H89:H92)/4</f>
        <v>241.75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9"/>
      <c r="R92" s="13">
        <v>34934</v>
      </c>
      <c r="S92" s="44"/>
      <c r="T92" s="9"/>
      <c r="U92" s="19"/>
      <c r="V92" s="44"/>
      <c r="W92" s="39"/>
      <c r="X92" s="39"/>
      <c r="Y92" s="39"/>
      <c r="Z92" s="39"/>
      <c r="AA92" s="40"/>
      <c r="AB92" s="39"/>
      <c r="AC92" s="39"/>
      <c r="AD92" s="40"/>
      <c r="AE92" s="39"/>
      <c r="AF92" s="39"/>
      <c r="AG92" s="40"/>
      <c r="AH92" s="39"/>
    </row>
    <row r="93" spans="1:34" x14ac:dyDescent="0.25">
      <c r="A93" s="105">
        <f t="shared" si="1"/>
        <v>34941</v>
      </c>
      <c r="B93" s="16"/>
      <c r="C93" s="16">
        <f>SUM('Weekly Data'!E90:E93)/4</f>
        <v>2672</v>
      </c>
      <c r="D93" s="16"/>
      <c r="E93" s="16">
        <f>SUM('Weekly Data'!G90:G93)/4</f>
        <v>4835.75</v>
      </c>
      <c r="F93" s="16">
        <f>SUM('Weekly Data'!H90:H93)/4</f>
        <v>210.5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9"/>
      <c r="R93" s="13">
        <v>34941</v>
      </c>
      <c r="S93" s="44"/>
      <c r="T93" s="9"/>
      <c r="U93" s="19"/>
      <c r="V93" s="44"/>
      <c r="W93" s="39"/>
      <c r="X93" s="39"/>
      <c r="Y93" s="39"/>
      <c r="Z93" s="39"/>
      <c r="AA93" s="40"/>
      <c r="AB93" s="39"/>
      <c r="AC93" s="39"/>
      <c r="AD93" s="40"/>
      <c r="AE93" s="39"/>
      <c r="AF93" s="39"/>
      <c r="AG93" s="40"/>
      <c r="AH93" s="39"/>
    </row>
    <row r="94" spans="1:34" x14ac:dyDescent="0.25">
      <c r="A94" s="105">
        <f t="shared" si="1"/>
        <v>34948</v>
      </c>
      <c r="B94" s="16"/>
      <c r="C94" s="16">
        <f>SUM('Weekly Data'!E91:E94)/4</f>
        <v>2563.5</v>
      </c>
      <c r="D94" s="16"/>
      <c r="E94" s="16">
        <f>SUM('Weekly Data'!G91:G94)/4</f>
        <v>4739</v>
      </c>
      <c r="F94" s="16">
        <f>SUM('Weekly Data'!H91:H94)/4</f>
        <v>176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9"/>
      <c r="R94" s="13">
        <v>34948</v>
      </c>
      <c r="S94" s="44"/>
      <c r="T94" s="9"/>
      <c r="U94" s="19"/>
      <c r="V94" s="44"/>
      <c r="W94" s="39"/>
      <c r="X94" s="39"/>
      <c r="Y94" s="39"/>
      <c r="Z94" s="39"/>
      <c r="AA94" s="40"/>
      <c r="AB94" s="39"/>
      <c r="AC94" s="39"/>
      <c r="AD94" s="40"/>
      <c r="AE94" s="39"/>
      <c r="AF94" s="39"/>
      <c r="AG94" s="40"/>
      <c r="AH94" s="39"/>
    </row>
    <row r="95" spans="1:34" x14ac:dyDescent="0.25">
      <c r="A95" s="105">
        <f t="shared" si="1"/>
        <v>34955</v>
      </c>
      <c r="B95" s="16"/>
      <c r="C95" s="16">
        <f>SUM('Weekly Data'!E92:E95)/4</f>
        <v>2519.5</v>
      </c>
      <c r="D95" s="16"/>
      <c r="E95" s="16">
        <f>SUM('Weekly Data'!G92:G95)/4</f>
        <v>4933</v>
      </c>
      <c r="F95" s="16">
        <f>SUM('Weekly Data'!H92:H95)/4</f>
        <v>210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9"/>
      <c r="R95" s="13">
        <v>34955</v>
      </c>
      <c r="S95" s="44"/>
      <c r="T95" s="9"/>
      <c r="U95" s="19"/>
      <c r="V95" s="44"/>
      <c r="W95" s="39"/>
      <c r="X95" s="39"/>
      <c r="Y95" s="39"/>
      <c r="Z95" s="39"/>
      <c r="AA95" s="40"/>
      <c r="AB95" s="39"/>
      <c r="AC95" s="39"/>
      <c r="AD95" s="40"/>
      <c r="AE95" s="39"/>
      <c r="AF95" s="39"/>
      <c r="AG95" s="40"/>
      <c r="AH95" s="39"/>
    </row>
    <row r="96" spans="1:34" x14ac:dyDescent="0.25">
      <c r="A96" s="105">
        <f t="shared" si="1"/>
        <v>34962</v>
      </c>
      <c r="B96" s="16"/>
      <c r="C96" s="16">
        <f>SUM('Weekly Data'!E93:E96)/4</f>
        <v>2485.25</v>
      </c>
      <c r="D96" s="16"/>
      <c r="E96" s="16">
        <f>SUM('Weekly Data'!G93:G96)/4</f>
        <v>5013</v>
      </c>
      <c r="F96" s="16">
        <f>SUM('Weekly Data'!H93:H96)/4</f>
        <v>283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9"/>
      <c r="R96" s="13">
        <v>34962</v>
      </c>
      <c r="S96" s="44"/>
      <c r="T96" s="9"/>
      <c r="U96" s="19"/>
      <c r="V96" s="44"/>
      <c r="W96" s="39"/>
      <c r="X96" s="39"/>
      <c r="Y96" s="39"/>
      <c r="Z96" s="39"/>
      <c r="AA96" s="40"/>
      <c r="AB96" s="39"/>
      <c r="AC96" s="39"/>
      <c r="AD96" s="40"/>
      <c r="AE96" s="39"/>
      <c r="AF96" s="39"/>
      <c r="AG96" s="40"/>
      <c r="AH96" s="39"/>
    </row>
    <row r="97" spans="1:34" x14ac:dyDescent="0.25">
      <c r="A97" s="105">
        <f t="shared" si="1"/>
        <v>34969</v>
      </c>
      <c r="B97" s="16"/>
      <c r="C97" s="16">
        <f>SUM('Weekly Data'!E94:E97)/4</f>
        <v>2197</v>
      </c>
      <c r="D97" s="16"/>
      <c r="E97" s="16">
        <f>SUM('Weekly Data'!G94:G97)/4</f>
        <v>5146.75</v>
      </c>
      <c r="F97" s="16">
        <f>SUM('Weekly Data'!H94:H97)/4</f>
        <v>254.25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9"/>
      <c r="R97" s="13">
        <v>34969</v>
      </c>
      <c r="S97" s="44"/>
      <c r="T97" s="9"/>
      <c r="U97" s="19"/>
      <c r="V97" s="44"/>
      <c r="W97" s="39"/>
      <c r="X97" s="39"/>
      <c r="Y97" s="39"/>
      <c r="Z97" s="39"/>
      <c r="AA97" s="40"/>
      <c r="AB97" s="39"/>
      <c r="AC97" s="39"/>
      <c r="AD97" s="40"/>
      <c r="AE97" s="39"/>
      <c r="AF97" s="39"/>
      <c r="AG97" s="40"/>
      <c r="AH97" s="39"/>
    </row>
    <row r="98" spans="1:34" x14ac:dyDescent="0.25">
      <c r="A98" s="105">
        <f t="shared" si="1"/>
        <v>34976</v>
      </c>
      <c r="B98" s="16"/>
      <c r="C98" s="16">
        <f>SUM('Weekly Data'!E95:E98)/4</f>
        <v>2133.75</v>
      </c>
      <c r="D98" s="16"/>
      <c r="E98" s="16">
        <f>SUM('Weekly Data'!G95:G98)/4</f>
        <v>5436.5</v>
      </c>
      <c r="F98" s="16">
        <f>SUM('Weekly Data'!H95:H98)/4</f>
        <v>291.75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9"/>
      <c r="R98" s="13">
        <v>34976</v>
      </c>
      <c r="S98" s="44"/>
      <c r="T98" s="9"/>
      <c r="U98" s="19"/>
      <c r="V98" s="44"/>
      <c r="W98" s="39"/>
      <c r="X98" s="39"/>
      <c r="Y98" s="39"/>
      <c r="Z98" s="39"/>
      <c r="AA98" s="40"/>
      <c r="AB98" s="39"/>
      <c r="AC98" s="39"/>
      <c r="AD98" s="40"/>
      <c r="AE98" s="39"/>
      <c r="AF98" s="39"/>
      <c r="AG98" s="40"/>
      <c r="AH98" s="39"/>
    </row>
    <row r="99" spans="1:34" x14ac:dyDescent="0.25">
      <c r="A99" s="105">
        <f t="shared" si="1"/>
        <v>34983</v>
      </c>
      <c r="B99" s="16"/>
      <c r="C99" s="16">
        <f>SUM('Weekly Data'!E96:E99)/4</f>
        <v>2144.75</v>
      </c>
      <c r="D99" s="16"/>
      <c r="E99" s="16">
        <f>SUM('Weekly Data'!G96:G99)/4</f>
        <v>5521.75</v>
      </c>
      <c r="F99" s="16">
        <f>SUM('Weekly Data'!H96:H99)/4</f>
        <v>299.25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9"/>
      <c r="R99" s="13">
        <v>34983</v>
      </c>
      <c r="S99" s="44"/>
      <c r="T99" s="9"/>
      <c r="U99" s="19"/>
      <c r="V99" s="44"/>
      <c r="W99" s="39"/>
      <c r="X99" s="39"/>
      <c r="Y99" s="39"/>
      <c r="Z99" s="39"/>
      <c r="AA99" s="40"/>
      <c r="AB99" s="39"/>
      <c r="AC99" s="39"/>
      <c r="AD99" s="40"/>
      <c r="AE99" s="39"/>
      <c r="AF99" s="39"/>
      <c r="AG99" s="40"/>
      <c r="AH99" s="39"/>
    </row>
    <row r="100" spans="1:34" x14ac:dyDescent="0.25">
      <c r="A100" s="105">
        <f t="shared" si="1"/>
        <v>34990</v>
      </c>
      <c r="B100" s="16"/>
      <c r="C100" s="16">
        <f>SUM('Weekly Data'!E97:E100)/4</f>
        <v>1917.5</v>
      </c>
      <c r="D100" s="16"/>
      <c r="E100" s="16">
        <f>SUM('Weekly Data'!G97:G100)/4</f>
        <v>5578.25</v>
      </c>
      <c r="F100" s="16">
        <f>SUM('Weekly Data'!H97:H100)/4</f>
        <v>257.75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9"/>
      <c r="R100" s="13">
        <v>34990</v>
      </c>
      <c r="S100" s="44"/>
      <c r="T100" s="9"/>
      <c r="U100" s="19"/>
      <c r="V100" s="44"/>
      <c r="W100" s="39"/>
      <c r="X100" s="39"/>
      <c r="Y100" s="39"/>
      <c r="Z100" s="39"/>
      <c r="AA100" s="40"/>
      <c r="AB100" s="39"/>
      <c r="AC100" s="39"/>
      <c r="AD100" s="40"/>
      <c r="AE100" s="39"/>
      <c r="AF100" s="39"/>
      <c r="AG100" s="40"/>
      <c r="AH100" s="39"/>
    </row>
    <row r="101" spans="1:34" x14ac:dyDescent="0.25">
      <c r="A101" s="105">
        <f t="shared" si="1"/>
        <v>34997</v>
      </c>
      <c r="B101" s="16"/>
      <c r="C101" s="16">
        <f>SUM('Weekly Data'!E98:E101)/4</f>
        <v>2017</v>
      </c>
      <c r="D101" s="16"/>
      <c r="E101" s="16">
        <f>SUM('Weekly Data'!G98:G101)/4</f>
        <v>5454</v>
      </c>
      <c r="F101" s="16">
        <f>SUM('Weekly Data'!H98:H101)/4</f>
        <v>332.25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9"/>
      <c r="R101" s="13">
        <v>34997</v>
      </c>
      <c r="S101" s="44"/>
      <c r="T101" s="9"/>
      <c r="U101" s="19"/>
      <c r="V101" s="44"/>
      <c r="W101" s="39"/>
      <c r="X101" s="39"/>
      <c r="Y101" s="39"/>
      <c r="Z101" s="39"/>
      <c r="AA101" s="40"/>
      <c r="AB101" s="39"/>
      <c r="AC101" s="39"/>
      <c r="AD101" s="40"/>
      <c r="AE101" s="39"/>
      <c r="AF101" s="39"/>
      <c r="AG101" s="40"/>
      <c r="AH101" s="39"/>
    </row>
    <row r="102" spans="1:34" x14ac:dyDescent="0.25">
      <c r="A102" s="105">
        <f t="shared" si="1"/>
        <v>35004</v>
      </c>
      <c r="B102" s="16"/>
      <c r="C102" s="16">
        <f>SUM('Weekly Data'!E99:E102)/4</f>
        <v>2006</v>
      </c>
      <c r="D102" s="16"/>
      <c r="E102" s="16">
        <f>SUM('Weekly Data'!G99:G102)/4</f>
        <v>5497.25</v>
      </c>
      <c r="F102" s="16">
        <f>SUM('Weekly Data'!H99:H102)/4</f>
        <v>353.75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9"/>
      <c r="R102" s="13">
        <v>35004</v>
      </c>
      <c r="S102" s="44"/>
      <c r="T102" s="9"/>
      <c r="U102" s="19"/>
      <c r="V102" s="44"/>
      <c r="W102" s="39"/>
      <c r="X102" s="39"/>
      <c r="Y102" s="39"/>
      <c r="Z102" s="39"/>
      <c r="AA102" s="40"/>
      <c r="AB102" s="39"/>
      <c r="AC102" s="39"/>
      <c r="AD102" s="40"/>
      <c r="AE102" s="39"/>
      <c r="AF102" s="39"/>
      <c r="AG102" s="40"/>
      <c r="AH102" s="39"/>
    </row>
    <row r="103" spans="1:34" x14ac:dyDescent="0.25">
      <c r="A103" s="105">
        <f t="shared" si="1"/>
        <v>35011</v>
      </c>
      <c r="B103" s="16"/>
      <c r="C103" s="16">
        <f>SUM('Weekly Data'!E100:E103)/4</f>
        <v>1816</v>
      </c>
      <c r="D103" s="16"/>
      <c r="E103" s="16">
        <f>SUM('Weekly Data'!G100:G103)/4</f>
        <v>5405.75</v>
      </c>
      <c r="F103" s="16">
        <f>SUM('Weekly Data'!H100:H103)/4</f>
        <v>380.75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9"/>
      <c r="R103" s="13">
        <v>35011</v>
      </c>
      <c r="S103" s="44"/>
      <c r="T103" s="9"/>
      <c r="U103" s="19"/>
      <c r="V103" s="44"/>
      <c r="W103" s="39"/>
      <c r="X103" s="39"/>
      <c r="Y103" s="39"/>
      <c r="Z103" s="39"/>
      <c r="AA103" s="40"/>
      <c r="AB103" s="39"/>
      <c r="AC103" s="39"/>
      <c r="AD103" s="40"/>
      <c r="AE103" s="39"/>
      <c r="AF103" s="39"/>
      <c r="AG103" s="40"/>
      <c r="AH103" s="39"/>
    </row>
    <row r="104" spans="1:34" x14ac:dyDescent="0.25">
      <c r="A104" s="105">
        <f t="shared" si="1"/>
        <v>35018</v>
      </c>
      <c r="B104" s="16"/>
      <c r="C104" s="16">
        <f>SUM('Weekly Data'!E101:E104)/4</f>
        <v>1816</v>
      </c>
      <c r="D104" s="16"/>
      <c r="E104" s="16">
        <f>SUM('Weekly Data'!G101:G104)/4</f>
        <v>5201.75</v>
      </c>
      <c r="F104" s="16">
        <f>SUM('Weekly Data'!H101:H104)/4</f>
        <v>471.5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9"/>
      <c r="R104" s="13">
        <v>35018</v>
      </c>
      <c r="S104" s="44"/>
      <c r="T104" s="9"/>
      <c r="U104" s="19"/>
      <c r="V104" s="44"/>
      <c r="W104" s="39"/>
      <c r="X104" s="39"/>
      <c r="Y104" s="39"/>
      <c r="Z104" s="39"/>
      <c r="AA104" s="40"/>
      <c r="AB104" s="39"/>
      <c r="AC104" s="39"/>
      <c r="AD104" s="40"/>
      <c r="AE104" s="39"/>
      <c r="AF104" s="39"/>
      <c r="AG104" s="40"/>
      <c r="AH104" s="39"/>
    </row>
    <row r="105" spans="1:34" x14ac:dyDescent="0.25">
      <c r="A105" s="105">
        <f t="shared" si="1"/>
        <v>35025</v>
      </c>
      <c r="B105" s="16"/>
      <c r="C105" s="16">
        <f>SUM('Weekly Data'!E102:E105)/4</f>
        <v>1595.25</v>
      </c>
      <c r="D105" s="16"/>
      <c r="E105" s="16">
        <f>SUM('Weekly Data'!G102:G105)/4</f>
        <v>5073.5</v>
      </c>
      <c r="F105" s="16">
        <f>SUM('Weekly Data'!H102:H105)/4</f>
        <v>491.25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9"/>
      <c r="R105" s="13">
        <v>35025</v>
      </c>
      <c r="S105" s="44"/>
      <c r="T105" s="9"/>
      <c r="U105" s="19"/>
      <c r="V105" s="44"/>
      <c r="W105" s="39"/>
      <c r="X105" s="39"/>
      <c r="Y105" s="39"/>
      <c r="Z105" s="39"/>
      <c r="AA105" s="40"/>
      <c r="AB105" s="39"/>
      <c r="AC105" s="39"/>
      <c r="AD105" s="40"/>
      <c r="AE105" s="39"/>
      <c r="AF105" s="39"/>
      <c r="AG105" s="40"/>
      <c r="AH105" s="39"/>
    </row>
    <row r="106" spans="1:34" x14ac:dyDescent="0.25">
      <c r="A106" s="105">
        <f t="shared" si="1"/>
        <v>35032</v>
      </c>
      <c r="B106" s="16"/>
      <c r="C106" s="16">
        <f>SUM('Weekly Data'!E103:E106)/4</f>
        <v>1704.5</v>
      </c>
      <c r="D106" s="16"/>
      <c r="E106" s="16">
        <f>SUM('Weekly Data'!G103:G106)/4</f>
        <v>5032</v>
      </c>
      <c r="F106" s="16">
        <f>SUM('Weekly Data'!H103:H106)/4</f>
        <v>504.75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9"/>
      <c r="R106" s="13">
        <v>35032</v>
      </c>
      <c r="S106" s="44"/>
      <c r="T106" s="9"/>
      <c r="U106" s="19"/>
      <c r="V106" s="44"/>
      <c r="W106" s="39"/>
      <c r="X106" s="39"/>
      <c r="Y106" s="39"/>
      <c r="Z106" s="39"/>
      <c r="AA106" s="40"/>
      <c r="AB106" s="39"/>
      <c r="AC106" s="39"/>
      <c r="AD106" s="40"/>
      <c r="AE106" s="39"/>
      <c r="AF106" s="39"/>
      <c r="AG106" s="40"/>
      <c r="AH106" s="39"/>
    </row>
    <row r="107" spans="1:34" x14ac:dyDescent="0.25">
      <c r="A107" s="105">
        <f t="shared" si="1"/>
        <v>35039</v>
      </c>
      <c r="B107" s="16"/>
      <c r="C107" s="16">
        <f>SUM('Weekly Data'!E104:E107)/4</f>
        <v>1583.25</v>
      </c>
      <c r="D107" s="16"/>
      <c r="E107" s="16">
        <f>SUM('Weekly Data'!G104:G107)/4</f>
        <v>5104.75</v>
      </c>
      <c r="F107" s="16">
        <f>SUM('Weekly Data'!H104:H107)/4</f>
        <v>487.25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9"/>
      <c r="R107" s="13">
        <v>35039</v>
      </c>
      <c r="S107" s="44"/>
      <c r="T107" s="9"/>
      <c r="U107" s="19"/>
      <c r="V107" s="44"/>
      <c r="W107" s="39"/>
      <c r="X107" s="39"/>
      <c r="Y107" s="39"/>
      <c r="Z107" s="39"/>
      <c r="AA107" s="40"/>
      <c r="AB107" s="39"/>
      <c r="AC107" s="39"/>
      <c r="AD107" s="40"/>
      <c r="AE107" s="39"/>
      <c r="AF107" s="39"/>
      <c r="AG107" s="40"/>
      <c r="AH107" s="39"/>
    </row>
    <row r="108" spans="1:34" x14ac:dyDescent="0.25">
      <c r="A108" s="105">
        <f t="shared" si="1"/>
        <v>35046</v>
      </c>
      <c r="B108" s="16"/>
      <c r="C108" s="16">
        <f>SUM('Weekly Data'!E105:E108)/4</f>
        <v>1500</v>
      </c>
      <c r="D108" s="16"/>
      <c r="E108" s="16">
        <f>SUM('Weekly Data'!G105:G108)/4</f>
        <v>5151.75</v>
      </c>
      <c r="F108" s="16">
        <f>SUM('Weekly Data'!H105:H108)/4</f>
        <v>474.75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9"/>
      <c r="R108" s="13">
        <v>35046</v>
      </c>
      <c r="S108" s="44"/>
      <c r="T108" s="9"/>
      <c r="U108" s="19"/>
      <c r="V108" s="44"/>
      <c r="W108" s="39"/>
      <c r="X108" s="39"/>
      <c r="Y108" s="39"/>
      <c r="Z108" s="39"/>
      <c r="AA108" s="40"/>
      <c r="AB108" s="39"/>
      <c r="AC108" s="39"/>
      <c r="AD108" s="40"/>
      <c r="AE108" s="39"/>
      <c r="AF108" s="39"/>
      <c r="AG108" s="40"/>
      <c r="AH108" s="39"/>
    </row>
    <row r="109" spans="1:34" x14ac:dyDescent="0.25">
      <c r="A109" s="105">
        <f t="shared" si="1"/>
        <v>35053</v>
      </c>
      <c r="B109" s="16"/>
      <c r="C109" s="16">
        <f>SUM('Weekly Data'!E106:E109)/4</f>
        <v>1711.5</v>
      </c>
      <c r="D109" s="16"/>
      <c r="E109" s="16">
        <f>SUM('Weekly Data'!G106:G109)/4</f>
        <v>4865.75</v>
      </c>
      <c r="F109" s="16">
        <f>SUM('Weekly Data'!H106:H109)/4</f>
        <v>430.75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9"/>
      <c r="R109" s="13">
        <v>35053</v>
      </c>
      <c r="S109" s="44"/>
      <c r="T109" s="9"/>
      <c r="U109" s="19"/>
      <c r="V109" s="44"/>
      <c r="W109" s="39"/>
      <c r="X109" s="39"/>
      <c r="Y109" s="39"/>
      <c r="Z109" s="39"/>
      <c r="AA109" s="40"/>
      <c r="AB109" s="39"/>
      <c r="AC109" s="39"/>
      <c r="AD109" s="40"/>
      <c r="AE109" s="39"/>
      <c r="AF109" s="39"/>
      <c r="AG109" s="40"/>
      <c r="AH109" s="39"/>
    </row>
    <row r="110" spans="1:34" x14ac:dyDescent="0.25">
      <c r="A110" s="105">
        <f t="shared" si="1"/>
        <v>35060</v>
      </c>
      <c r="B110" s="16"/>
      <c r="C110" s="16">
        <f>SUM('Weekly Data'!E107:E110)/4</f>
        <v>1849.25</v>
      </c>
      <c r="D110" s="16"/>
      <c r="E110" s="16">
        <f>SUM('Weekly Data'!G107:G110)/4</f>
        <v>4560.5</v>
      </c>
      <c r="F110" s="16">
        <f>SUM('Weekly Data'!H107:H110)/4</f>
        <v>365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9"/>
      <c r="R110" s="13">
        <v>35060</v>
      </c>
      <c r="S110" s="44"/>
      <c r="T110" s="9"/>
      <c r="U110" s="19"/>
      <c r="V110" s="44"/>
      <c r="W110" s="39"/>
      <c r="X110" s="39"/>
      <c r="Y110" s="39"/>
      <c r="Z110" s="39"/>
      <c r="AA110" s="40"/>
      <c r="AB110" s="39"/>
      <c r="AC110" s="39"/>
      <c r="AD110" s="40"/>
      <c r="AE110" s="39"/>
      <c r="AF110" s="39"/>
      <c r="AG110" s="40"/>
      <c r="AH110" s="39"/>
    </row>
    <row r="111" spans="1:34" x14ac:dyDescent="0.25">
      <c r="A111" s="105">
        <f t="shared" si="1"/>
        <v>35067</v>
      </c>
      <c r="B111" s="16"/>
      <c r="C111" s="16">
        <f>SUM('Weekly Data'!E108:E111)/4</f>
        <v>2138.75</v>
      </c>
      <c r="D111" s="16"/>
      <c r="E111" s="16">
        <f>SUM('Weekly Data'!G108:G111)/4</f>
        <v>4566.25</v>
      </c>
      <c r="F111" s="16">
        <f>SUM('Weekly Data'!H108:H111)/4</f>
        <v>265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9"/>
      <c r="R111" s="13">
        <v>35067</v>
      </c>
      <c r="S111" s="44"/>
      <c r="T111" s="9"/>
      <c r="U111" s="19"/>
      <c r="V111" s="44"/>
      <c r="W111" s="39"/>
      <c r="X111" s="39"/>
      <c r="Y111" s="39"/>
      <c r="Z111" s="39"/>
      <c r="AA111" s="40"/>
      <c r="AB111" s="39"/>
      <c r="AC111" s="39"/>
      <c r="AD111" s="40"/>
      <c r="AE111" s="39"/>
      <c r="AF111" s="39"/>
      <c r="AG111" s="40"/>
      <c r="AH111" s="39"/>
    </row>
    <row r="112" spans="1:34" x14ac:dyDescent="0.25">
      <c r="A112" s="105">
        <f t="shared" si="1"/>
        <v>35074</v>
      </c>
      <c r="B112" s="16"/>
      <c r="C112" s="16">
        <f>SUM('Weekly Data'!E109:E112)/4</f>
        <v>2321</v>
      </c>
      <c r="D112" s="16"/>
      <c r="E112" s="16">
        <f>SUM('Weekly Data'!G109:G112)/4</f>
        <v>5031.75</v>
      </c>
      <c r="F112" s="16">
        <f>SUM('Weekly Data'!H109:H112)/4</f>
        <v>159.5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9"/>
      <c r="R112" s="13">
        <v>35074</v>
      </c>
      <c r="S112" s="44"/>
      <c r="T112" s="9"/>
      <c r="U112" s="19"/>
      <c r="V112" s="44"/>
      <c r="W112" s="39"/>
      <c r="X112" s="39"/>
      <c r="Y112" s="39"/>
      <c r="Z112" s="39"/>
      <c r="AA112" s="40"/>
      <c r="AB112" s="39"/>
      <c r="AC112" s="39"/>
      <c r="AD112" s="40"/>
      <c r="AE112" s="39"/>
      <c r="AF112" s="39"/>
      <c r="AG112" s="40"/>
      <c r="AH112" s="39"/>
    </row>
    <row r="113" spans="1:34" x14ac:dyDescent="0.25">
      <c r="A113" s="105">
        <f t="shared" si="1"/>
        <v>35081</v>
      </c>
      <c r="B113" s="16"/>
      <c r="C113" s="16">
        <f>SUM('Weekly Data'!E110:E113)/4</f>
        <v>2404.75</v>
      </c>
      <c r="D113" s="16"/>
      <c r="E113" s="16">
        <f>SUM('Weekly Data'!G110:G113)/4</f>
        <v>6000.5</v>
      </c>
      <c r="F113" s="16">
        <f>SUM('Weekly Data'!H110:H113)/4</f>
        <v>129.75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9"/>
      <c r="R113" s="13">
        <v>35081</v>
      </c>
      <c r="S113" s="44"/>
      <c r="T113" s="9"/>
      <c r="U113" s="19"/>
      <c r="V113" s="44"/>
      <c r="W113" s="39"/>
      <c r="X113" s="39"/>
      <c r="Y113" s="39"/>
      <c r="Z113" s="39"/>
      <c r="AA113" s="40"/>
      <c r="AB113" s="39"/>
      <c r="AC113" s="39"/>
      <c r="AD113" s="40"/>
      <c r="AE113" s="39"/>
      <c r="AF113" s="39"/>
      <c r="AG113" s="40"/>
      <c r="AH113" s="39"/>
    </row>
    <row r="114" spans="1:34" x14ac:dyDescent="0.25">
      <c r="A114" s="105">
        <f t="shared" si="1"/>
        <v>35088</v>
      </c>
      <c r="B114" s="16"/>
      <c r="C114" s="16">
        <f>SUM('Weekly Data'!E111:E114)/4</f>
        <v>2380.75</v>
      </c>
      <c r="D114" s="16"/>
      <c r="E114" s="16">
        <f>SUM('Weekly Data'!G111:G114)/4</f>
        <v>6533.25</v>
      </c>
      <c r="F114" s="16">
        <f>SUM('Weekly Data'!H111:H114)/4</f>
        <v>182.5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9"/>
      <c r="R114" s="13">
        <v>35088</v>
      </c>
      <c r="S114" s="44"/>
      <c r="T114" s="9"/>
      <c r="U114" s="19"/>
      <c r="V114" s="44"/>
      <c r="W114" s="39"/>
      <c r="X114" s="39"/>
      <c r="Y114" s="39"/>
      <c r="Z114" s="39"/>
      <c r="AA114" s="40"/>
      <c r="AB114" s="39"/>
      <c r="AC114" s="39"/>
      <c r="AD114" s="40"/>
      <c r="AE114" s="39"/>
      <c r="AF114" s="39"/>
      <c r="AG114" s="40"/>
      <c r="AH114" s="39"/>
    </row>
    <row r="115" spans="1:34" x14ac:dyDescent="0.25">
      <c r="A115" s="105">
        <f t="shared" si="1"/>
        <v>35095</v>
      </c>
      <c r="B115" s="16"/>
      <c r="C115" s="16">
        <f>SUM('Weekly Data'!E112:E115)/4</f>
        <v>2401.25</v>
      </c>
      <c r="D115" s="16"/>
      <c r="E115" s="16">
        <f>SUM('Weekly Data'!G112:G115)/4</f>
        <v>6463.5</v>
      </c>
      <c r="F115" s="16">
        <f>SUM('Weekly Data'!H112:H115)/4</f>
        <v>260.5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9"/>
      <c r="R115" s="13">
        <v>35095</v>
      </c>
      <c r="S115" s="44"/>
      <c r="T115" s="9"/>
      <c r="U115" s="19"/>
      <c r="V115" s="44"/>
      <c r="W115" s="39"/>
      <c r="X115" s="39"/>
      <c r="Y115" s="39"/>
      <c r="Z115" s="39"/>
      <c r="AA115" s="40"/>
      <c r="AB115" s="39"/>
      <c r="AC115" s="39"/>
      <c r="AD115" s="40"/>
      <c r="AE115" s="39"/>
      <c r="AF115" s="39"/>
      <c r="AG115" s="40"/>
      <c r="AH115" s="39"/>
    </row>
    <row r="116" spans="1:34" x14ac:dyDescent="0.25">
      <c r="A116" s="105">
        <f t="shared" si="1"/>
        <v>35102</v>
      </c>
      <c r="B116" s="16"/>
      <c r="C116" s="16">
        <f>SUM('Weekly Data'!E113:E116)/4</f>
        <v>2432.75</v>
      </c>
      <c r="D116" s="16"/>
      <c r="E116" s="16">
        <f>SUM('Weekly Data'!G113:G116)/4</f>
        <v>5759.25</v>
      </c>
      <c r="F116" s="16">
        <f>SUM('Weekly Data'!H113:H116)/4</f>
        <v>313.25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9"/>
      <c r="R116" s="13">
        <v>35102</v>
      </c>
      <c r="S116" s="44"/>
      <c r="T116" s="9"/>
      <c r="U116" s="19"/>
      <c r="V116" s="44"/>
      <c r="W116" s="39"/>
      <c r="X116" s="39"/>
      <c r="Y116" s="39"/>
      <c r="Z116" s="39"/>
      <c r="AA116" s="40"/>
      <c r="AB116" s="39"/>
      <c r="AC116" s="39"/>
      <c r="AD116" s="40"/>
      <c r="AE116" s="39"/>
      <c r="AF116" s="39"/>
      <c r="AG116" s="40"/>
      <c r="AH116" s="39"/>
    </row>
    <row r="117" spans="1:34" x14ac:dyDescent="0.25">
      <c r="A117" s="105">
        <f t="shared" si="1"/>
        <v>35109</v>
      </c>
      <c r="B117" s="16"/>
      <c r="C117" s="16">
        <f>SUM('Weekly Data'!E114:E117)/4</f>
        <v>2544.5</v>
      </c>
      <c r="D117" s="16"/>
      <c r="E117" s="16">
        <f>SUM('Weekly Data'!G114:G117)/4</f>
        <v>4223.5</v>
      </c>
      <c r="F117" s="16">
        <f>SUM('Weekly Data'!H114:H117)/4</f>
        <v>338.25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9"/>
      <c r="R117" s="13">
        <v>35109</v>
      </c>
      <c r="S117" s="44"/>
      <c r="T117" s="9"/>
      <c r="U117" s="19"/>
      <c r="V117" s="44"/>
      <c r="W117" s="39"/>
      <c r="X117" s="39"/>
      <c r="Y117" s="39"/>
      <c r="Z117" s="39"/>
      <c r="AA117" s="40"/>
      <c r="AB117" s="39"/>
      <c r="AC117" s="39"/>
      <c r="AD117" s="40"/>
      <c r="AE117" s="39"/>
      <c r="AF117" s="39"/>
      <c r="AG117" s="40"/>
      <c r="AH117" s="39"/>
    </row>
    <row r="118" spans="1:34" x14ac:dyDescent="0.25">
      <c r="A118" s="105">
        <f t="shared" si="1"/>
        <v>35116</v>
      </c>
      <c r="B118" s="16"/>
      <c r="C118" s="16">
        <f>SUM('Weekly Data'!E115:E118)/4</f>
        <v>2692</v>
      </c>
      <c r="D118" s="16"/>
      <c r="E118" s="16">
        <f>SUM('Weekly Data'!G115:G118)/4</f>
        <v>3867</v>
      </c>
      <c r="F118" s="16">
        <f>SUM('Weekly Data'!H115:H118)/4</f>
        <v>401.75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9"/>
      <c r="R118" s="13">
        <v>35116</v>
      </c>
      <c r="S118" s="44"/>
      <c r="T118" s="9"/>
      <c r="U118" s="19"/>
      <c r="V118" s="44"/>
      <c r="W118" s="39"/>
      <c r="X118" s="39"/>
      <c r="Y118" s="39"/>
      <c r="Z118" s="39"/>
      <c r="AA118" s="40"/>
      <c r="AB118" s="39"/>
      <c r="AC118" s="39"/>
      <c r="AD118" s="40"/>
      <c r="AE118" s="39"/>
      <c r="AF118" s="39"/>
      <c r="AG118" s="40"/>
      <c r="AH118" s="39"/>
    </row>
    <row r="119" spans="1:34" x14ac:dyDescent="0.25">
      <c r="A119" s="105">
        <f t="shared" si="1"/>
        <v>35123</v>
      </c>
      <c r="B119" s="16"/>
      <c r="C119" s="16">
        <f>SUM('Weekly Data'!E116:E119)/4</f>
        <v>2980.5</v>
      </c>
      <c r="D119" s="16"/>
      <c r="E119" s="16">
        <f>SUM('Weekly Data'!G116:G119)/4</f>
        <v>4147.75</v>
      </c>
      <c r="F119" s="16">
        <f>SUM('Weekly Data'!H116:H119)/4</f>
        <v>430.5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9"/>
      <c r="R119" s="13">
        <v>35123</v>
      </c>
      <c r="S119" s="44"/>
      <c r="T119" s="9"/>
      <c r="U119" s="19"/>
      <c r="V119" s="44"/>
      <c r="W119" s="39"/>
      <c r="X119" s="39"/>
      <c r="Y119" s="39"/>
      <c r="Z119" s="39"/>
      <c r="AA119" s="40"/>
      <c r="AB119" s="39"/>
      <c r="AC119" s="39"/>
      <c r="AD119" s="40"/>
      <c r="AE119" s="39"/>
      <c r="AF119" s="39"/>
      <c r="AG119" s="40"/>
      <c r="AH119" s="39"/>
    </row>
    <row r="120" spans="1:34" x14ac:dyDescent="0.25">
      <c r="A120" s="105">
        <f t="shared" si="1"/>
        <v>35130</v>
      </c>
      <c r="B120" s="16"/>
      <c r="C120" s="16">
        <f>SUM('Weekly Data'!E117:E120)/4</f>
        <v>3133.5</v>
      </c>
      <c r="D120" s="16"/>
      <c r="E120" s="16">
        <f>SUM('Weekly Data'!G117:G120)/4</f>
        <v>4494.25</v>
      </c>
      <c r="F120" s="16">
        <f>SUM('Weekly Data'!H117:H120)/4</f>
        <v>460.75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9"/>
      <c r="R120" s="13">
        <v>35130</v>
      </c>
      <c r="S120" s="44"/>
      <c r="T120" s="9"/>
      <c r="U120" s="19"/>
      <c r="V120" s="44"/>
      <c r="W120" s="39"/>
      <c r="X120" s="39"/>
      <c r="Y120" s="39"/>
      <c r="Z120" s="39"/>
      <c r="AA120" s="40"/>
      <c r="AB120" s="39"/>
      <c r="AC120" s="39"/>
      <c r="AD120" s="40"/>
      <c r="AE120" s="39"/>
      <c r="AF120" s="39"/>
      <c r="AG120" s="40"/>
      <c r="AH120" s="39"/>
    </row>
    <row r="121" spans="1:34" x14ac:dyDescent="0.25">
      <c r="A121" s="105">
        <f t="shared" si="1"/>
        <v>35137</v>
      </c>
      <c r="B121" s="16"/>
      <c r="C121" s="16">
        <f>SUM('Weekly Data'!E118:E121)/4</f>
        <v>3269</v>
      </c>
      <c r="D121" s="16"/>
      <c r="E121" s="16">
        <f>SUM('Weekly Data'!G118:G121)/4</f>
        <v>5720.25</v>
      </c>
      <c r="F121" s="16">
        <f>SUM('Weekly Data'!H118:H121)/4</f>
        <v>516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9"/>
      <c r="R121" s="13">
        <v>35137</v>
      </c>
      <c r="S121" s="44"/>
      <c r="T121" s="9"/>
      <c r="U121" s="19"/>
      <c r="V121" s="44"/>
      <c r="W121" s="39"/>
      <c r="X121" s="39"/>
      <c r="Y121" s="39"/>
      <c r="Z121" s="39"/>
      <c r="AA121" s="40"/>
      <c r="AB121" s="39"/>
      <c r="AC121" s="39"/>
      <c r="AD121" s="40"/>
      <c r="AE121" s="39"/>
      <c r="AF121" s="39"/>
      <c r="AG121" s="40"/>
      <c r="AH121" s="39"/>
    </row>
    <row r="122" spans="1:34" x14ac:dyDescent="0.25">
      <c r="A122" s="105">
        <f t="shared" si="1"/>
        <v>35144</v>
      </c>
      <c r="B122" s="16"/>
      <c r="C122" s="16">
        <f>SUM('Weekly Data'!E119:E122)/4</f>
        <v>3151</v>
      </c>
      <c r="D122" s="16"/>
      <c r="E122" s="16">
        <f>SUM('Weekly Data'!G119:G122)/4</f>
        <v>6112</v>
      </c>
      <c r="F122" s="16">
        <f>SUM('Weekly Data'!H119:H122)/4</f>
        <v>449.75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9"/>
      <c r="R122" s="13">
        <v>35144</v>
      </c>
      <c r="S122" s="44"/>
      <c r="T122" s="9"/>
      <c r="U122" s="19"/>
      <c r="V122" s="44"/>
      <c r="W122" s="39"/>
      <c r="X122" s="39"/>
      <c r="Y122" s="39"/>
      <c r="Z122" s="39"/>
      <c r="AA122" s="40"/>
      <c r="AB122" s="39"/>
      <c r="AC122" s="39"/>
      <c r="AD122" s="40"/>
      <c r="AE122" s="39"/>
      <c r="AF122" s="39"/>
      <c r="AG122" s="40"/>
      <c r="AH122" s="39"/>
    </row>
    <row r="123" spans="1:34" x14ac:dyDescent="0.25">
      <c r="A123" s="105">
        <f t="shared" si="1"/>
        <v>35151</v>
      </c>
      <c r="B123" s="16"/>
      <c r="C123" s="16">
        <f>SUM('Weekly Data'!E120:E123)/4</f>
        <v>3110.5</v>
      </c>
      <c r="D123" s="16"/>
      <c r="E123" s="16">
        <f>SUM('Weekly Data'!G120:G123)/4</f>
        <v>6251.5</v>
      </c>
      <c r="F123" s="16">
        <f>SUM('Weekly Data'!H120:H123)/4</f>
        <v>428.75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9"/>
      <c r="R123" s="13">
        <v>35151</v>
      </c>
      <c r="S123" s="44"/>
      <c r="T123" s="9"/>
      <c r="U123" s="19"/>
      <c r="V123" s="44"/>
      <c r="W123" s="39"/>
      <c r="X123" s="39"/>
      <c r="Y123" s="39"/>
      <c r="Z123" s="39"/>
      <c r="AA123" s="40"/>
      <c r="AB123" s="39"/>
      <c r="AC123" s="39"/>
      <c r="AD123" s="40"/>
      <c r="AE123" s="39"/>
      <c r="AF123" s="39"/>
      <c r="AG123" s="40"/>
      <c r="AH123" s="39"/>
    </row>
    <row r="124" spans="1:34" x14ac:dyDescent="0.25">
      <c r="A124" s="105">
        <f t="shared" si="1"/>
        <v>35158</v>
      </c>
      <c r="B124" s="16"/>
      <c r="C124" s="16">
        <f>SUM('Weekly Data'!E121:E124)/4</f>
        <v>3020.25</v>
      </c>
      <c r="D124" s="16"/>
      <c r="E124" s="16">
        <f>SUM('Weekly Data'!G121:G124)/4</f>
        <v>6383.25</v>
      </c>
      <c r="F124" s="16">
        <f>SUM('Weekly Data'!H121:H124)/4</f>
        <v>373.5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9"/>
      <c r="R124" s="13">
        <v>35158</v>
      </c>
      <c r="S124" s="44"/>
      <c r="T124" s="9"/>
      <c r="U124" s="19"/>
      <c r="V124" s="44"/>
      <c r="W124" s="39"/>
      <c r="X124" s="39"/>
      <c r="Y124" s="39"/>
      <c r="Z124" s="39"/>
      <c r="AA124" s="40"/>
      <c r="AB124" s="39"/>
      <c r="AC124" s="39"/>
      <c r="AD124" s="40"/>
      <c r="AE124" s="39"/>
      <c r="AF124" s="39"/>
      <c r="AG124" s="40"/>
      <c r="AH124" s="39"/>
    </row>
    <row r="125" spans="1:34" x14ac:dyDescent="0.25">
      <c r="A125" s="105">
        <f t="shared" si="1"/>
        <v>35165</v>
      </c>
      <c r="B125" s="16"/>
      <c r="C125" s="16">
        <f>SUM('Weekly Data'!E122:E125)/4</f>
        <v>2669.5</v>
      </c>
      <c r="D125" s="16"/>
      <c r="E125" s="16">
        <f>SUM('Weekly Data'!G122:G125)/4</f>
        <v>6389.25</v>
      </c>
      <c r="F125" s="16">
        <f>SUM('Weekly Data'!H122:H125)/4</f>
        <v>319.5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9"/>
      <c r="R125" s="13">
        <v>35165</v>
      </c>
      <c r="S125" s="44"/>
      <c r="T125" s="9"/>
      <c r="U125" s="19"/>
      <c r="V125" s="44"/>
      <c r="W125" s="39"/>
      <c r="X125" s="39"/>
      <c r="Y125" s="39"/>
      <c r="Z125" s="39"/>
      <c r="AA125" s="40"/>
      <c r="AB125" s="39"/>
      <c r="AC125" s="39"/>
      <c r="AD125" s="40"/>
      <c r="AE125" s="39"/>
      <c r="AF125" s="39"/>
      <c r="AG125" s="40"/>
      <c r="AH125" s="39"/>
    </row>
    <row r="126" spans="1:34" x14ac:dyDescent="0.25">
      <c r="A126" s="105">
        <f t="shared" si="1"/>
        <v>35172</v>
      </c>
      <c r="B126" s="16"/>
      <c r="C126" s="16">
        <f>SUM('Weekly Data'!E123:E126)/4</f>
        <v>2546</v>
      </c>
      <c r="D126" s="16"/>
      <c r="E126" s="16">
        <f>SUM('Weekly Data'!G123:G126)/4</f>
        <v>6302.75</v>
      </c>
      <c r="F126" s="16">
        <f>SUM('Weekly Data'!H123:H126)/4</f>
        <v>292.5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9"/>
      <c r="R126" s="13">
        <v>35172</v>
      </c>
      <c r="S126" s="44"/>
      <c r="T126" s="9"/>
      <c r="U126" s="19"/>
      <c r="V126" s="44"/>
      <c r="W126" s="39"/>
      <c r="X126" s="39"/>
      <c r="Y126" s="39"/>
      <c r="Z126" s="39"/>
      <c r="AA126" s="40"/>
      <c r="AB126" s="39"/>
      <c r="AC126" s="39"/>
      <c r="AD126" s="40"/>
      <c r="AE126" s="39"/>
      <c r="AF126" s="39"/>
      <c r="AG126" s="40"/>
      <c r="AH126" s="39"/>
    </row>
    <row r="127" spans="1:34" x14ac:dyDescent="0.25">
      <c r="A127" s="105">
        <f t="shared" si="1"/>
        <v>35179</v>
      </c>
      <c r="B127" s="16"/>
      <c r="C127" s="16">
        <f>SUM('Weekly Data'!E124:E127)/4</f>
        <v>2180.25</v>
      </c>
      <c r="D127" s="16"/>
      <c r="E127" s="16">
        <f>SUM('Weekly Data'!G124:G127)/4</f>
        <v>5927</v>
      </c>
      <c r="F127" s="16">
        <f>SUM('Weekly Data'!H124:H127)/4</f>
        <v>329.5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9"/>
      <c r="R127" s="13">
        <v>35179</v>
      </c>
      <c r="S127" s="44"/>
      <c r="T127" s="9"/>
      <c r="U127" s="19"/>
      <c r="V127" s="44"/>
      <c r="W127" s="39"/>
      <c r="X127" s="39"/>
      <c r="Y127" s="39"/>
      <c r="Z127" s="39"/>
      <c r="AA127" s="40"/>
      <c r="AB127" s="39"/>
      <c r="AC127" s="39"/>
      <c r="AD127" s="40"/>
      <c r="AE127" s="39"/>
      <c r="AF127" s="39"/>
      <c r="AG127" s="40"/>
      <c r="AH127" s="39"/>
    </row>
    <row r="128" spans="1:34" x14ac:dyDescent="0.25">
      <c r="A128" s="105">
        <f t="shared" si="1"/>
        <v>35186</v>
      </c>
      <c r="B128" s="16"/>
      <c r="C128" s="16">
        <f>SUM('Weekly Data'!E125:E128)/4</f>
        <v>1932.5</v>
      </c>
      <c r="D128" s="16"/>
      <c r="E128" s="16">
        <f>SUM('Weekly Data'!G125:G128)/4</f>
        <v>5410.75</v>
      </c>
      <c r="F128" s="16">
        <f>SUM('Weekly Data'!H125:H128)/4</f>
        <v>297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9"/>
      <c r="R128" s="13">
        <v>35186</v>
      </c>
      <c r="S128" s="44"/>
      <c r="T128" s="9"/>
      <c r="U128" s="19"/>
      <c r="V128" s="44"/>
      <c r="W128" s="39"/>
      <c r="X128" s="39"/>
      <c r="Y128" s="39"/>
      <c r="Z128" s="39"/>
      <c r="AA128" s="40"/>
      <c r="AB128" s="39"/>
      <c r="AC128" s="39"/>
      <c r="AD128" s="40"/>
      <c r="AE128" s="39"/>
      <c r="AF128" s="39"/>
      <c r="AG128" s="40"/>
      <c r="AH128" s="39"/>
    </row>
    <row r="129" spans="1:34" x14ac:dyDescent="0.25">
      <c r="A129" s="105">
        <f t="shared" si="1"/>
        <v>35193</v>
      </c>
      <c r="B129" s="16"/>
      <c r="C129" s="16">
        <f>SUM('Weekly Data'!E126:E129)/4</f>
        <v>1934.5</v>
      </c>
      <c r="D129" s="16"/>
      <c r="E129" s="16">
        <f>SUM('Weekly Data'!G126:G129)/4</f>
        <v>4799.5</v>
      </c>
      <c r="F129" s="16">
        <f>SUM('Weekly Data'!H126:H129)/4</f>
        <v>249.25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9"/>
      <c r="R129" s="13">
        <v>35193</v>
      </c>
      <c r="S129" s="44"/>
      <c r="T129" s="9"/>
      <c r="U129" s="19"/>
      <c r="V129" s="44"/>
      <c r="W129" s="39"/>
      <c r="X129" s="39"/>
      <c r="Y129" s="39"/>
      <c r="Z129" s="39"/>
      <c r="AA129" s="40"/>
      <c r="AB129" s="39"/>
      <c r="AC129" s="39"/>
      <c r="AD129" s="40"/>
      <c r="AE129" s="39"/>
      <c r="AF129" s="39"/>
      <c r="AG129" s="40"/>
      <c r="AH129" s="39"/>
    </row>
    <row r="130" spans="1:34" x14ac:dyDescent="0.25">
      <c r="A130" s="105">
        <f t="shared" si="1"/>
        <v>35200</v>
      </c>
      <c r="B130" s="16"/>
      <c r="C130" s="16">
        <f>SUM('Weekly Data'!E127:E130)/4</f>
        <v>1920.25</v>
      </c>
      <c r="D130" s="16"/>
      <c r="E130" s="16">
        <f>SUM('Weekly Data'!G127:G130)/4</f>
        <v>4298</v>
      </c>
      <c r="F130" s="16">
        <f>SUM('Weekly Data'!H127:H130)/4</f>
        <v>224.5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9"/>
      <c r="R130" s="13">
        <v>35200</v>
      </c>
      <c r="S130" s="44"/>
      <c r="T130" s="9"/>
      <c r="U130" s="19"/>
      <c r="V130" s="44"/>
      <c r="W130" s="39"/>
      <c r="X130" s="39"/>
      <c r="Y130" s="39"/>
      <c r="Z130" s="39"/>
      <c r="AA130" s="40"/>
      <c r="AB130" s="39"/>
      <c r="AC130" s="39"/>
      <c r="AD130" s="40"/>
      <c r="AE130" s="39"/>
      <c r="AF130" s="39"/>
      <c r="AG130" s="40"/>
      <c r="AH130" s="39"/>
    </row>
    <row r="131" spans="1:34" x14ac:dyDescent="0.25">
      <c r="A131" s="105">
        <f t="shared" si="1"/>
        <v>35207</v>
      </c>
      <c r="B131" s="16"/>
      <c r="C131" s="16">
        <f>SUM('Weekly Data'!E128:E131)/4</f>
        <v>1846.75</v>
      </c>
      <c r="D131" s="16"/>
      <c r="E131" s="16">
        <f>SUM('Weekly Data'!G128:G131)/4</f>
        <v>3868.5</v>
      </c>
      <c r="F131" s="16">
        <f>SUM('Weekly Data'!H128:H131)/4</f>
        <v>110.5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9"/>
      <c r="R131" s="13">
        <v>35207</v>
      </c>
      <c r="S131" s="44"/>
      <c r="T131" s="9"/>
      <c r="U131" s="19"/>
      <c r="V131" s="44"/>
      <c r="W131" s="39"/>
      <c r="X131" s="39"/>
      <c r="Y131" s="39"/>
      <c r="Z131" s="39"/>
      <c r="AA131" s="40"/>
      <c r="AB131" s="39"/>
      <c r="AC131" s="39"/>
      <c r="AD131" s="40"/>
      <c r="AE131" s="39"/>
      <c r="AF131" s="39"/>
      <c r="AG131" s="40"/>
      <c r="AH131" s="39"/>
    </row>
    <row r="132" spans="1:34" x14ac:dyDescent="0.25">
      <c r="A132" s="105">
        <f t="shared" si="1"/>
        <v>35214</v>
      </c>
      <c r="B132" s="16"/>
      <c r="C132" s="16">
        <f>SUM('Weekly Data'!E129:E132)/4</f>
        <v>1638</v>
      </c>
      <c r="D132" s="16"/>
      <c r="E132" s="16">
        <f>SUM('Weekly Data'!G129:G132)/4</f>
        <v>3782.75</v>
      </c>
      <c r="F132" s="16">
        <f>SUM('Weekly Data'!H129:H132)/4</f>
        <v>79.75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9"/>
      <c r="R132" s="13">
        <v>35214</v>
      </c>
      <c r="S132" s="44"/>
      <c r="T132" s="9"/>
      <c r="U132" s="19"/>
      <c r="V132" s="44"/>
      <c r="W132" s="39"/>
      <c r="X132" s="39"/>
      <c r="Y132" s="39"/>
      <c r="Z132" s="39"/>
      <c r="AA132" s="40"/>
      <c r="AB132" s="39"/>
      <c r="AC132" s="39"/>
      <c r="AD132" s="40"/>
      <c r="AE132" s="39"/>
      <c r="AF132" s="39"/>
      <c r="AG132" s="40"/>
      <c r="AH132" s="39"/>
    </row>
    <row r="133" spans="1:34" x14ac:dyDescent="0.25">
      <c r="A133" s="105">
        <f t="shared" si="1"/>
        <v>35221</v>
      </c>
      <c r="B133" s="16"/>
      <c r="C133" s="16">
        <f>SUM('Weekly Data'!E130:E133)/4</f>
        <v>1734.25</v>
      </c>
      <c r="D133" s="16"/>
      <c r="E133" s="16">
        <f>SUM('Weekly Data'!G130:G133)/4</f>
        <v>3607.75</v>
      </c>
      <c r="F133" s="16">
        <f>SUM('Weekly Data'!H130:H133)/4</f>
        <v>64.25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9"/>
      <c r="R133" s="13">
        <v>35221</v>
      </c>
      <c r="S133" s="44"/>
      <c r="T133" s="9"/>
      <c r="U133" s="19"/>
      <c r="V133" s="44"/>
      <c r="W133" s="39"/>
      <c r="X133" s="39"/>
      <c r="Y133" s="39"/>
      <c r="Z133" s="39"/>
      <c r="AA133" s="40"/>
      <c r="AB133" s="39"/>
      <c r="AC133" s="39"/>
      <c r="AD133" s="40"/>
      <c r="AE133" s="39"/>
      <c r="AF133" s="39"/>
      <c r="AG133" s="40"/>
      <c r="AH133" s="39"/>
    </row>
    <row r="134" spans="1:34" x14ac:dyDescent="0.25">
      <c r="A134" s="105">
        <f t="shared" si="1"/>
        <v>35228</v>
      </c>
      <c r="B134" s="16"/>
      <c r="C134" s="16">
        <f>SUM('Weekly Data'!E131:E134)/4</f>
        <v>1554</v>
      </c>
      <c r="D134" s="16"/>
      <c r="E134" s="16">
        <f>SUM('Weekly Data'!G131:G134)/4</f>
        <v>3127.25</v>
      </c>
      <c r="F134" s="16">
        <f>SUM('Weekly Data'!H131:H134)/4</f>
        <v>49.25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9"/>
      <c r="R134" s="13">
        <v>35228</v>
      </c>
      <c r="S134" s="44"/>
      <c r="T134" s="9"/>
      <c r="U134" s="19"/>
      <c r="V134" s="44"/>
      <c r="W134" s="39"/>
      <c r="X134" s="39"/>
      <c r="Y134" s="39"/>
      <c r="Z134" s="39"/>
      <c r="AA134" s="40"/>
      <c r="AB134" s="39"/>
      <c r="AC134" s="39"/>
      <c r="AD134" s="40"/>
      <c r="AE134" s="39"/>
      <c r="AF134" s="39"/>
      <c r="AG134" s="40"/>
      <c r="AH134" s="39"/>
    </row>
    <row r="135" spans="1:34" x14ac:dyDescent="0.25">
      <c r="A135" s="105">
        <f t="shared" si="1"/>
        <v>35235</v>
      </c>
      <c r="B135" s="16"/>
      <c r="C135" s="16">
        <f>SUM('Weekly Data'!E132:E135)/4</f>
        <v>1480.25</v>
      </c>
      <c r="D135" s="16"/>
      <c r="E135" s="16">
        <f>SUM('Weekly Data'!G132:G135)/4</f>
        <v>3175.5</v>
      </c>
      <c r="F135" s="16">
        <f>SUM('Weekly Data'!H132:H135)/4</f>
        <v>56.5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9"/>
      <c r="R135" s="13">
        <v>35235</v>
      </c>
      <c r="S135" s="44"/>
      <c r="T135" s="9"/>
      <c r="U135" s="19"/>
      <c r="V135" s="44"/>
      <c r="W135" s="39"/>
      <c r="X135" s="39"/>
      <c r="Y135" s="39"/>
      <c r="Z135" s="39"/>
      <c r="AA135" s="40"/>
      <c r="AB135" s="39"/>
      <c r="AC135" s="39"/>
      <c r="AD135" s="40"/>
      <c r="AE135" s="39"/>
      <c r="AF135" s="39"/>
      <c r="AG135" s="40"/>
      <c r="AH135" s="39"/>
    </row>
    <row r="136" spans="1:34" x14ac:dyDescent="0.25">
      <c r="A136" s="105">
        <f t="shared" si="1"/>
        <v>35242</v>
      </c>
      <c r="B136" s="16"/>
      <c r="C136" s="16">
        <f>SUM('Weekly Data'!E133:E136)/4</f>
        <v>1540</v>
      </c>
      <c r="D136" s="16"/>
      <c r="E136" s="16">
        <f>SUM('Weekly Data'!G133:G136)/4</f>
        <v>2565.25</v>
      </c>
      <c r="F136" s="16">
        <f>SUM('Weekly Data'!H133:H136)/4</f>
        <v>111.25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9"/>
      <c r="R136" s="13">
        <v>35242</v>
      </c>
      <c r="S136" s="44"/>
      <c r="T136" s="9"/>
      <c r="U136" s="19"/>
      <c r="V136" s="44"/>
      <c r="W136" s="39"/>
      <c r="X136" s="39"/>
      <c r="Y136" s="39"/>
      <c r="Z136" s="39"/>
      <c r="AA136" s="40"/>
      <c r="AB136" s="39"/>
      <c r="AC136" s="39"/>
      <c r="AD136" s="40"/>
      <c r="AE136" s="39"/>
      <c r="AF136" s="39"/>
      <c r="AG136" s="40"/>
      <c r="AH136" s="39"/>
    </row>
    <row r="137" spans="1:34" x14ac:dyDescent="0.25">
      <c r="A137" s="105">
        <f t="shared" si="1"/>
        <v>35249</v>
      </c>
      <c r="B137" s="16"/>
      <c r="C137" s="16">
        <f>SUM('Weekly Data'!E134:E137)/4</f>
        <v>1372</v>
      </c>
      <c r="D137" s="16"/>
      <c r="E137" s="16">
        <f>SUM('Weekly Data'!G134:G137)/4</f>
        <v>2379.5</v>
      </c>
      <c r="F137" s="16">
        <f>SUM('Weekly Data'!H134:H137)/4</f>
        <v>230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9"/>
      <c r="R137" s="13">
        <v>35249</v>
      </c>
      <c r="S137" s="44"/>
      <c r="T137" s="9"/>
      <c r="U137" s="19"/>
      <c r="V137" s="44"/>
      <c r="W137" s="39"/>
      <c r="X137" s="39"/>
      <c r="Y137" s="39"/>
      <c r="Z137" s="39"/>
      <c r="AA137" s="40"/>
      <c r="AB137" s="39"/>
      <c r="AC137" s="39"/>
      <c r="AD137" s="40"/>
      <c r="AE137" s="39"/>
      <c r="AF137" s="39"/>
      <c r="AG137" s="40"/>
      <c r="AH137" s="39"/>
    </row>
    <row r="138" spans="1:34" x14ac:dyDescent="0.25">
      <c r="A138" s="105">
        <f t="shared" si="1"/>
        <v>35256</v>
      </c>
      <c r="B138" s="16"/>
      <c r="C138" s="16">
        <f>SUM('Weekly Data'!E135:E138)/4</f>
        <v>1563.5</v>
      </c>
      <c r="D138" s="16"/>
      <c r="E138" s="16">
        <f>SUM('Weekly Data'!G135:G138)/4</f>
        <v>2312</v>
      </c>
      <c r="F138" s="16">
        <f>SUM('Weekly Data'!H135:H138)/4</f>
        <v>281.5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9"/>
      <c r="R138" s="13">
        <v>35256</v>
      </c>
      <c r="S138" s="44"/>
      <c r="T138" s="9"/>
      <c r="U138" s="19"/>
      <c r="V138" s="44"/>
      <c r="W138" s="39"/>
      <c r="X138" s="39"/>
      <c r="Y138" s="39"/>
      <c r="Z138" s="39"/>
      <c r="AA138" s="40"/>
      <c r="AB138" s="39"/>
      <c r="AC138" s="39"/>
      <c r="AD138" s="40"/>
      <c r="AE138" s="39"/>
      <c r="AF138" s="39"/>
      <c r="AG138" s="40"/>
      <c r="AH138" s="39"/>
    </row>
    <row r="139" spans="1:34" x14ac:dyDescent="0.25">
      <c r="A139" s="105">
        <f t="shared" si="1"/>
        <v>35263</v>
      </c>
      <c r="B139" s="16"/>
      <c r="C139" s="16">
        <f>SUM('Weekly Data'!E136:E139)/4</f>
        <v>1629.75</v>
      </c>
      <c r="D139" s="16"/>
      <c r="E139" s="16">
        <f>SUM('Weekly Data'!G136:G139)/4</f>
        <v>1984.25</v>
      </c>
      <c r="F139" s="16">
        <f>SUM('Weekly Data'!H136:H139)/4</f>
        <v>298.75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9"/>
      <c r="R139" s="13">
        <v>35263</v>
      </c>
      <c r="S139" s="44"/>
      <c r="T139" s="9"/>
      <c r="U139" s="19"/>
      <c r="V139" s="44"/>
      <c r="W139" s="39"/>
      <c r="X139" s="39"/>
      <c r="Y139" s="39"/>
      <c r="Z139" s="39"/>
      <c r="AA139" s="40"/>
      <c r="AB139" s="39"/>
      <c r="AC139" s="39"/>
      <c r="AD139" s="40"/>
      <c r="AE139" s="39"/>
      <c r="AF139" s="39"/>
      <c r="AG139" s="40"/>
      <c r="AH139" s="39"/>
    </row>
    <row r="140" spans="1:34" x14ac:dyDescent="0.25">
      <c r="A140" s="105">
        <f t="shared" si="1"/>
        <v>35270</v>
      </c>
      <c r="B140" s="16"/>
      <c r="C140" s="16">
        <f>SUM('Weekly Data'!E137:E140)/4</f>
        <v>1983</v>
      </c>
      <c r="D140" s="16"/>
      <c r="E140" s="16">
        <f>SUM('Weekly Data'!G137:G140)/4</f>
        <v>2266.5</v>
      </c>
      <c r="F140" s="16">
        <f>SUM('Weekly Data'!H137:H140)/4</f>
        <v>329.25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9"/>
      <c r="R140" s="13">
        <v>35270</v>
      </c>
      <c r="S140" s="44"/>
      <c r="T140" s="9"/>
      <c r="U140" s="19"/>
      <c r="V140" s="44"/>
      <c r="W140" s="39"/>
      <c r="X140" s="39"/>
      <c r="Y140" s="39"/>
      <c r="Z140" s="39"/>
      <c r="AA140" s="40"/>
      <c r="AB140" s="39"/>
      <c r="AC140" s="39"/>
      <c r="AD140" s="40"/>
      <c r="AE140" s="39"/>
      <c r="AF140" s="39"/>
      <c r="AG140" s="40"/>
      <c r="AH140" s="39"/>
    </row>
    <row r="141" spans="1:34" x14ac:dyDescent="0.25">
      <c r="A141" s="105">
        <f t="shared" ref="A141:A204" si="2">A140+7</f>
        <v>35277</v>
      </c>
      <c r="B141" s="16"/>
      <c r="C141" s="16">
        <f>SUM('Weekly Data'!E138:E141)/4</f>
        <v>2371</v>
      </c>
      <c r="D141" s="16"/>
      <c r="E141" s="16">
        <f>SUM('Weekly Data'!G138:G141)/4</f>
        <v>2083.75</v>
      </c>
      <c r="F141" s="16">
        <f>SUM('Weekly Data'!H138:H141)/4</f>
        <v>250.25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9"/>
      <c r="R141" s="13">
        <v>35277</v>
      </c>
      <c r="S141" s="44"/>
      <c r="T141" s="9"/>
      <c r="U141" s="19"/>
      <c r="V141" s="44"/>
      <c r="W141" s="39"/>
      <c r="X141" s="39"/>
      <c r="Y141" s="39"/>
      <c r="Z141" s="39"/>
      <c r="AA141" s="40"/>
      <c r="AB141" s="39"/>
      <c r="AC141" s="39"/>
      <c r="AD141" s="40"/>
      <c r="AE141" s="39"/>
      <c r="AF141" s="39"/>
      <c r="AG141" s="40"/>
      <c r="AH141" s="39"/>
    </row>
    <row r="142" spans="1:34" x14ac:dyDescent="0.25">
      <c r="A142" s="105">
        <f t="shared" si="2"/>
        <v>35284</v>
      </c>
      <c r="B142" s="16"/>
      <c r="C142" s="16">
        <f>SUM('Weekly Data'!E139:E142)/4</f>
        <v>2685.25</v>
      </c>
      <c r="D142" s="16"/>
      <c r="E142" s="16">
        <f>SUM('Weekly Data'!G139:G142)/4</f>
        <v>1828.75</v>
      </c>
      <c r="F142" s="16">
        <f>SUM('Weekly Data'!H139:H142)/4</f>
        <v>201.25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9"/>
      <c r="R142" s="13">
        <v>35284</v>
      </c>
      <c r="S142" s="44"/>
      <c r="T142" s="9"/>
      <c r="U142" s="19"/>
      <c r="V142" s="44"/>
      <c r="W142" s="39"/>
      <c r="X142" s="39"/>
      <c r="Y142" s="39"/>
      <c r="Z142" s="39"/>
      <c r="AA142" s="40"/>
      <c r="AB142" s="39"/>
      <c r="AC142" s="39"/>
      <c r="AD142" s="40"/>
      <c r="AE142" s="39"/>
      <c r="AF142" s="39"/>
      <c r="AG142" s="40"/>
      <c r="AH142" s="39"/>
    </row>
    <row r="143" spans="1:34" x14ac:dyDescent="0.25">
      <c r="A143" s="105">
        <f t="shared" si="2"/>
        <v>35291</v>
      </c>
      <c r="B143" s="16"/>
      <c r="C143" s="16">
        <f>SUM('Weekly Data'!E140:E143)/4</f>
        <v>3037.5</v>
      </c>
      <c r="D143" s="16"/>
      <c r="E143" s="16">
        <f>SUM('Weekly Data'!G140:G143)/4</f>
        <v>1655</v>
      </c>
      <c r="F143" s="16">
        <f>SUM('Weekly Data'!H140:H143)/4</f>
        <v>179.5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9"/>
      <c r="R143" s="13">
        <v>35291</v>
      </c>
      <c r="S143" s="44"/>
      <c r="T143" s="9"/>
      <c r="U143" s="19"/>
      <c r="V143" s="44"/>
      <c r="W143" s="39"/>
      <c r="X143" s="39"/>
      <c r="Y143" s="39"/>
      <c r="Z143" s="39"/>
      <c r="AA143" s="40"/>
      <c r="AB143" s="39"/>
      <c r="AC143" s="39"/>
      <c r="AD143" s="40"/>
      <c r="AE143" s="39"/>
      <c r="AF143" s="39"/>
      <c r="AG143" s="40"/>
      <c r="AH143" s="39"/>
    </row>
    <row r="144" spans="1:34" x14ac:dyDescent="0.25">
      <c r="A144" s="105">
        <f t="shared" si="2"/>
        <v>35298</v>
      </c>
      <c r="B144" s="16"/>
      <c r="C144" s="16">
        <f>SUM('Weekly Data'!E141:E144)/4</f>
        <v>2966.25</v>
      </c>
      <c r="D144" s="16"/>
      <c r="E144" s="16">
        <f>SUM('Weekly Data'!G141:G144)/4</f>
        <v>1488.25</v>
      </c>
      <c r="F144" s="16">
        <f>SUM('Weekly Data'!H141:H144)/4</f>
        <v>93.75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9"/>
      <c r="R144" s="13">
        <v>35298</v>
      </c>
      <c r="S144" s="44"/>
      <c r="T144" s="9"/>
      <c r="U144" s="19"/>
      <c r="V144" s="44"/>
      <c r="W144" s="39"/>
      <c r="X144" s="39"/>
      <c r="Y144" s="39"/>
      <c r="Z144" s="39"/>
      <c r="AA144" s="40"/>
      <c r="AB144" s="39"/>
      <c r="AC144" s="39"/>
      <c r="AD144" s="40"/>
      <c r="AE144" s="39"/>
      <c r="AF144" s="39"/>
      <c r="AG144" s="40"/>
      <c r="AH144" s="39"/>
    </row>
    <row r="145" spans="1:34" x14ac:dyDescent="0.25">
      <c r="A145" s="105">
        <f t="shared" si="2"/>
        <v>35305</v>
      </c>
      <c r="B145" s="16"/>
      <c r="C145" s="16">
        <f>SUM('Weekly Data'!E142:E145)/4</f>
        <v>2614</v>
      </c>
      <c r="D145" s="16"/>
      <c r="E145" s="16">
        <f>SUM('Weekly Data'!G142:G145)/4</f>
        <v>1458.5</v>
      </c>
      <c r="F145" s="16">
        <f>SUM('Weekly Data'!H142:H145)/4</f>
        <v>52.75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9"/>
      <c r="R145" s="13">
        <v>35305</v>
      </c>
      <c r="S145" s="44"/>
      <c r="T145" s="9"/>
      <c r="U145" s="19"/>
      <c r="V145" s="44"/>
      <c r="W145" s="39"/>
      <c r="X145" s="39"/>
      <c r="Y145" s="39"/>
      <c r="Z145" s="39"/>
      <c r="AA145" s="40"/>
      <c r="AB145" s="39"/>
      <c r="AC145" s="39"/>
      <c r="AD145" s="40"/>
      <c r="AE145" s="39"/>
      <c r="AF145" s="39"/>
      <c r="AG145" s="40"/>
      <c r="AH145" s="39"/>
    </row>
    <row r="146" spans="1:34" x14ac:dyDescent="0.25">
      <c r="A146" s="105">
        <f t="shared" si="2"/>
        <v>35312</v>
      </c>
      <c r="B146" s="16"/>
      <c r="C146" s="16">
        <f>SUM('Weekly Data'!E143:E146)/4</f>
        <v>2223.75</v>
      </c>
      <c r="D146" s="16"/>
      <c r="E146" s="16">
        <f>SUM('Weekly Data'!G143:G146)/4</f>
        <v>1495.75</v>
      </c>
      <c r="F146" s="16">
        <f>SUM('Weekly Data'!H143:H146)/4</f>
        <v>23.25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9"/>
      <c r="R146" s="13">
        <v>35312</v>
      </c>
      <c r="S146" s="44"/>
      <c r="T146" s="9"/>
      <c r="U146" s="19"/>
      <c r="V146" s="44"/>
      <c r="W146" s="39"/>
      <c r="X146" s="39"/>
      <c r="Y146" s="39"/>
      <c r="Z146" s="39"/>
      <c r="AA146" s="40"/>
      <c r="AB146" s="39"/>
      <c r="AC146" s="39"/>
      <c r="AD146" s="40"/>
      <c r="AE146" s="39"/>
      <c r="AF146" s="39"/>
      <c r="AG146" s="40"/>
      <c r="AH146" s="39"/>
    </row>
    <row r="147" spans="1:34" x14ac:dyDescent="0.25">
      <c r="A147" s="105">
        <f t="shared" si="2"/>
        <v>35319</v>
      </c>
      <c r="B147" s="16"/>
      <c r="C147" s="16">
        <f>SUM('Weekly Data'!E144:E147)/4</f>
        <v>2080</v>
      </c>
      <c r="D147" s="16"/>
      <c r="E147" s="16">
        <f>SUM('Weekly Data'!G144:G147)/4</f>
        <v>1561</v>
      </c>
      <c r="F147" s="16">
        <f>SUM('Weekly Data'!H144:H147)/4</f>
        <v>7.25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9"/>
      <c r="R147" s="13">
        <v>35319</v>
      </c>
      <c r="S147" s="44"/>
      <c r="T147" s="9"/>
      <c r="U147" s="19"/>
      <c r="V147" s="44"/>
      <c r="W147" s="39"/>
      <c r="X147" s="39"/>
      <c r="Y147" s="39"/>
      <c r="Z147" s="39"/>
      <c r="AA147" s="40"/>
      <c r="AB147" s="39"/>
      <c r="AC147" s="39"/>
      <c r="AD147" s="40"/>
      <c r="AE147" s="39"/>
      <c r="AF147" s="39"/>
      <c r="AG147" s="40"/>
      <c r="AH147" s="39"/>
    </row>
    <row r="148" spans="1:34" x14ac:dyDescent="0.25">
      <c r="A148" s="105">
        <f t="shared" si="2"/>
        <v>35326</v>
      </c>
      <c r="B148" s="16"/>
      <c r="C148" s="16">
        <f>SUM('Weekly Data'!E145:E148)/4</f>
        <v>1841</v>
      </c>
      <c r="D148" s="16"/>
      <c r="E148" s="16">
        <f>SUM('Weekly Data'!G145:G148)/4</f>
        <v>1617.75</v>
      </c>
      <c r="F148" s="16">
        <f>SUM('Weekly Data'!H145:H148)/4</f>
        <v>3.25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9"/>
      <c r="R148" s="13">
        <v>35326</v>
      </c>
      <c r="S148" s="44"/>
      <c r="T148" s="9"/>
      <c r="U148" s="19"/>
      <c r="V148" s="44"/>
      <c r="W148" s="39"/>
      <c r="X148" s="39"/>
      <c r="Y148" s="39"/>
      <c r="Z148" s="39"/>
      <c r="AA148" s="40"/>
      <c r="AB148" s="39"/>
      <c r="AC148" s="39"/>
      <c r="AD148" s="40"/>
      <c r="AE148" s="39"/>
      <c r="AF148" s="39"/>
      <c r="AG148" s="40"/>
      <c r="AH148" s="39"/>
    </row>
    <row r="149" spans="1:34" x14ac:dyDescent="0.25">
      <c r="A149" s="105">
        <f t="shared" si="2"/>
        <v>35333</v>
      </c>
      <c r="B149" s="16"/>
      <c r="C149" s="16">
        <f>SUM('Weekly Data'!E146:E149)/4</f>
        <v>1765</v>
      </c>
      <c r="D149" s="16"/>
      <c r="E149" s="16">
        <f>SUM('Weekly Data'!G146:G149)/4</f>
        <v>1618.25</v>
      </c>
      <c r="F149" s="16">
        <f>SUM('Weekly Data'!H146:H149)/4</f>
        <v>3.75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9"/>
      <c r="R149" s="13">
        <v>35333</v>
      </c>
      <c r="S149" s="44"/>
      <c r="T149" s="9"/>
      <c r="U149" s="19"/>
      <c r="V149" s="44"/>
      <c r="W149" s="39"/>
      <c r="X149" s="39"/>
      <c r="Y149" s="39"/>
      <c r="Z149" s="39"/>
      <c r="AA149" s="40"/>
      <c r="AB149" s="39"/>
      <c r="AC149" s="39"/>
      <c r="AD149" s="40"/>
      <c r="AE149" s="39"/>
      <c r="AF149" s="39"/>
      <c r="AG149" s="40"/>
      <c r="AH149" s="39"/>
    </row>
    <row r="150" spans="1:34" x14ac:dyDescent="0.25">
      <c r="A150" s="105">
        <f t="shared" si="2"/>
        <v>35340</v>
      </c>
      <c r="B150" s="16"/>
      <c r="C150" s="16">
        <f>SUM('Weekly Data'!E147:E150)/4</f>
        <v>1646.5</v>
      </c>
      <c r="D150" s="16"/>
      <c r="E150" s="16">
        <f>SUM('Weekly Data'!G147:G150)/4</f>
        <v>1651</v>
      </c>
      <c r="F150" s="16">
        <f>SUM('Weekly Data'!H147:H150)/4</f>
        <v>1.25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9"/>
      <c r="R150" s="13">
        <v>35340</v>
      </c>
      <c r="S150" s="44"/>
      <c r="T150" s="9"/>
      <c r="U150" s="19"/>
      <c r="V150" s="44"/>
      <c r="W150" s="39"/>
      <c r="X150" s="39"/>
      <c r="Y150" s="39"/>
      <c r="Z150" s="39"/>
      <c r="AA150" s="40"/>
      <c r="AB150" s="39"/>
      <c r="AC150" s="39"/>
      <c r="AD150" s="40"/>
      <c r="AE150" s="39"/>
      <c r="AF150" s="39"/>
      <c r="AG150" s="40"/>
      <c r="AH150" s="39"/>
    </row>
    <row r="151" spans="1:34" x14ac:dyDescent="0.25">
      <c r="A151" s="105">
        <f t="shared" si="2"/>
        <v>35347</v>
      </c>
      <c r="B151" s="16"/>
      <c r="C151" s="16">
        <f>SUM('Weekly Data'!E148:E151)/4</f>
        <v>1166.75</v>
      </c>
      <c r="D151" s="16"/>
      <c r="E151" s="16">
        <f>SUM('Weekly Data'!G148:G151)/4</f>
        <v>1738.5</v>
      </c>
      <c r="F151" s="16">
        <f>SUM('Weekly Data'!H148:H151)/4</f>
        <v>1.5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9"/>
      <c r="R151" s="13">
        <v>35347</v>
      </c>
      <c r="S151" s="44"/>
      <c r="T151" s="9"/>
      <c r="U151" s="19"/>
      <c r="V151" s="44"/>
      <c r="W151" s="39"/>
      <c r="X151" s="39"/>
      <c r="Y151" s="39"/>
      <c r="Z151" s="39"/>
      <c r="AA151" s="40"/>
      <c r="AB151" s="39"/>
      <c r="AC151" s="39"/>
      <c r="AD151" s="40"/>
      <c r="AE151" s="39"/>
      <c r="AF151" s="39"/>
      <c r="AG151" s="40"/>
      <c r="AH151" s="39"/>
    </row>
    <row r="152" spans="1:34" x14ac:dyDescent="0.25">
      <c r="A152" s="105">
        <f t="shared" si="2"/>
        <v>35354</v>
      </c>
      <c r="B152" s="16"/>
      <c r="C152" s="16">
        <f>SUM('Weekly Data'!E149:E152)/4</f>
        <v>1149.5</v>
      </c>
      <c r="D152" s="16"/>
      <c r="E152" s="16">
        <f>SUM('Weekly Data'!G149:G152)/4</f>
        <v>2023.75</v>
      </c>
      <c r="F152" s="16">
        <f>SUM('Weekly Data'!H149:H152)/4</f>
        <v>38.25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9"/>
      <c r="R152" s="13">
        <v>35354</v>
      </c>
      <c r="S152" s="44"/>
      <c r="T152" s="9"/>
      <c r="U152" s="19"/>
      <c r="V152" s="44"/>
      <c r="W152" s="39"/>
      <c r="X152" s="39"/>
      <c r="Y152" s="39"/>
      <c r="Z152" s="39"/>
      <c r="AA152" s="40"/>
      <c r="AB152" s="39"/>
      <c r="AC152" s="39"/>
      <c r="AD152" s="40"/>
      <c r="AE152" s="39"/>
      <c r="AF152" s="39"/>
      <c r="AG152" s="40"/>
      <c r="AH152" s="39"/>
    </row>
    <row r="153" spans="1:34" x14ac:dyDescent="0.25">
      <c r="A153" s="105">
        <f t="shared" si="2"/>
        <v>35361</v>
      </c>
      <c r="B153" s="16"/>
      <c r="C153" s="16">
        <f>SUM('Weekly Data'!E150:E153)/4</f>
        <v>1217.5</v>
      </c>
      <c r="D153" s="16"/>
      <c r="E153" s="16">
        <f>SUM('Weekly Data'!G150:G153)/4</f>
        <v>2691.5</v>
      </c>
      <c r="F153" s="16">
        <f>SUM('Weekly Data'!H150:H153)/4</f>
        <v>128.5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9"/>
      <c r="R153" s="13">
        <v>35361</v>
      </c>
      <c r="S153" s="44"/>
      <c r="T153" s="9"/>
      <c r="U153" s="19"/>
      <c r="V153" s="44"/>
      <c r="W153" s="39"/>
      <c r="X153" s="39"/>
      <c r="Y153" s="39"/>
      <c r="Z153" s="39"/>
      <c r="AA153" s="40"/>
      <c r="AB153" s="39"/>
      <c r="AC153" s="39"/>
      <c r="AD153" s="40"/>
      <c r="AE153" s="39"/>
      <c r="AF153" s="39"/>
      <c r="AG153" s="40"/>
      <c r="AH153" s="39"/>
    </row>
    <row r="154" spans="1:34" x14ac:dyDescent="0.25">
      <c r="A154" s="105">
        <f t="shared" si="2"/>
        <v>35368</v>
      </c>
      <c r="B154" s="16"/>
      <c r="C154" s="16">
        <f>SUM('Weekly Data'!E151:E154)/4</f>
        <v>1488.25</v>
      </c>
      <c r="D154" s="16"/>
      <c r="E154" s="16">
        <f>SUM('Weekly Data'!G151:G154)/4</f>
        <v>3442.75</v>
      </c>
      <c r="F154" s="16">
        <f>SUM('Weekly Data'!H151:H154)/4</f>
        <v>175.75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9"/>
      <c r="R154" s="13">
        <v>35368</v>
      </c>
      <c r="S154" s="44"/>
      <c r="T154" s="9"/>
      <c r="U154" s="19"/>
      <c r="V154" s="44"/>
      <c r="W154" s="39"/>
      <c r="X154" s="39"/>
      <c r="Y154" s="39"/>
      <c r="Z154" s="39"/>
      <c r="AA154" s="40"/>
      <c r="AB154" s="39"/>
      <c r="AC154" s="39"/>
      <c r="AD154" s="40"/>
      <c r="AE154" s="39"/>
      <c r="AF154" s="39"/>
      <c r="AG154" s="40"/>
      <c r="AH154" s="39"/>
    </row>
    <row r="155" spans="1:34" x14ac:dyDescent="0.25">
      <c r="A155" s="105">
        <f t="shared" si="2"/>
        <v>35375</v>
      </c>
      <c r="B155" s="16"/>
      <c r="C155" s="16">
        <f>SUM('Weekly Data'!E152:E155)/4</f>
        <v>2095.5</v>
      </c>
      <c r="D155" s="16"/>
      <c r="E155" s="16">
        <f>SUM('Weekly Data'!G152:G155)/4</f>
        <v>3905</v>
      </c>
      <c r="F155" s="16">
        <f>SUM('Weekly Data'!H152:H155)/4</f>
        <v>269.5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9"/>
      <c r="R155" s="13">
        <v>35375</v>
      </c>
      <c r="S155" s="44"/>
      <c r="T155" s="9"/>
      <c r="U155" s="19"/>
      <c r="V155" s="44"/>
      <c r="W155" s="39"/>
      <c r="X155" s="39"/>
      <c r="Y155" s="39"/>
      <c r="Z155" s="39"/>
      <c r="AA155" s="40"/>
      <c r="AB155" s="39"/>
      <c r="AC155" s="39"/>
      <c r="AD155" s="40"/>
      <c r="AE155" s="39"/>
      <c r="AF155" s="39"/>
      <c r="AG155" s="40"/>
      <c r="AH155" s="39"/>
    </row>
    <row r="156" spans="1:34" x14ac:dyDescent="0.25">
      <c r="A156" s="105">
        <f t="shared" si="2"/>
        <v>35382</v>
      </c>
      <c r="B156" s="16"/>
      <c r="C156" s="16">
        <f>SUM('Weekly Data'!E153:E156)/4</f>
        <v>2569.25</v>
      </c>
      <c r="D156" s="16"/>
      <c r="E156" s="16">
        <f>SUM('Weekly Data'!G153:G156)/4</f>
        <v>4708.75</v>
      </c>
      <c r="F156" s="16">
        <f>SUM('Weekly Data'!H153:H156)/4</f>
        <v>323.25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9"/>
      <c r="R156" s="13">
        <v>35382</v>
      </c>
      <c r="S156" s="44"/>
      <c r="T156" s="9"/>
      <c r="U156" s="19"/>
      <c r="V156" s="44"/>
      <c r="W156" s="39"/>
      <c r="X156" s="39"/>
      <c r="Y156" s="39"/>
      <c r="Z156" s="39"/>
      <c r="AA156" s="40"/>
      <c r="AB156" s="39"/>
      <c r="AC156" s="39"/>
      <c r="AD156" s="40"/>
      <c r="AE156" s="39"/>
      <c r="AF156" s="39"/>
      <c r="AG156" s="40"/>
      <c r="AH156" s="39"/>
    </row>
    <row r="157" spans="1:34" x14ac:dyDescent="0.25">
      <c r="A157" s="105">
        <f t="shared" si="2"/>
        <v>35389</v>
      </c>
      <c r="B157" s="16"/>
      <c r="C157" s="16">
        <f>SUM('Weekly Data'!E154:E157)/4</f>
        <v>2925.5</v>
      </c>
      <c r="D157" s="16"/>
      <c r="E157" s="16">
        <f>SUM('Weekly Data'!G154:G157)/4</f>
        <v>5091.5</v>
      </c>
      <c r="F157" s="16">
        <f>SUM('Weekly Data'!H154:H157)/4</f>
        <v>302.5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9"/>
      <c r="R157" s="13">
        <v>35389</v>
      </c>
      <c r="S157" s="44"/>
      <c r="T157" s="9"/>
      <c r="U157" s="19"/>
      <c r="V157" s="44"/>
      <c r="W157" s="39"/>
      <c r="X157" s="39"/>
      <c r="Y157" s="39"/>
      <c r="Z157" s="39"/>
      <c r="AA157" s="40"/>
      <c r="AB157" s="39"/>
      <c r="AC157" s="39"/>
      <c r="AD157" s="40"/>
      <c r="AE157" s="39"/>
      <c r="AF157" s="39"/>
      <c r="AG157" s="40"/>
      <c r="AH157" s="39"/>
    </row>
    <row r="158" spans="1:34" x14ac:dyDescent="0.25">
      <c r="A158" s="105">
        <f t="shared" si="2"/>
        <v>35396</v>
      </c>
      <c r="B158" s="16"/>
      <c r="C158" s="16">
        <f>SUM('Weekly Data'!E155:E158)/4</f>
        <v>2995.75</v>
      </c>
      <c r="D158" s="16"/>
      <c r="E158" s="16">
        <f>SUM('Weekly Data'!G155:G158)/4</f>
        <v>5146</v>
      </c>
      <c r="F158" s="16">
        <f>SUM('Weekly Data'!H155:H158)/4</f>
        <v>345.25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9"/>
      <c r="R158" s="13">
        <v>35396</v>
      </c>
      <c r="S158" s="44"/>
      <c r="T158" s="9"/>
      <c r="U158" s="19"/>
      <c r="V158" s="44"/>
      <c r="W158" s="39"/>
      <c r="X158" s="39"/>
      <c r="Y158" s="39"/>
      <c r="Z158" s="39"/>
      <c r="AA158" s="40"/>
      <c r="AB158" s="39"/>
      <c r="AC158" s="39"/>
      <c r="AD158" s="40"/>
      <c r="AE158" s="39"/>
      <c r="AF158" s="39"/>
      <c r="AG158" s="40"/>
      <c r="AH158" s="39"/>
    </row>
    <row r="159" spans="1:34" x14ac:dyDescent="0.25">
      <c r="A159" s="105">
        <f t="shared" si="2"/>
        <v>35403</v>
      </c>
      <c r="B159" s="16"/>
      <c r="C159" s="16">
        <f>SUM('Weekly Data'!E156:E159)/4</f>
        <v>2737.75</v>
      </c>
      <c r="D159" s="16"/>
      <c r="E159" s="16">
        <f>SUM('Weekly Data'!G156:G159)/4</f>
        <v>5176.5</v>
      </c>
      <c r="F159" s="16">
        <f>SUM('Weekly Data'!H156:H159)/4</f>
        <v>283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9"/>
      <c r="R159" s="13">
        <v>35403</v>
      </c>
      <c r="S159" s="44"/>
      <c r="T159" s="9"/>
      <c r="U159" s="19"/>
      <c r="V159" s="44"/>
      <c r="W159" s="39"/>
      <c r="X159" s="39"/>
      <c r="Y159" s="39"/>
      <c r="Z159" s="39"/>
      <c r="AA159" s="40"/>
      <c r="AB159" s="39"/>
      <c r="AC159" s="39"/>
      <c r="AD159" s="40"/>
      <c r="AE159" s="39"/>
      <c r="AF159" s="39"/>
      <c r="AG159" s="40"/>
      <c r="AH159" s="39"/>
    </row>
    <row r="160" spans="1:34" x14ac:dyDescent="0.25">
      <c r="A160" s="105">
        <f t="shared" si="2"/>
        <v>35410</v>
      </c>
      <c r="B160" s="16"/>
      <c r="C160" s="16">
        <f>SUM('Weekly Data'!E157:E160)/4</f>
        <v>2436.25</v>
      </c>
      <c r="D160" s="16"/>
      <c r="E160" s="16">
        <f>SUM('Weekly Data'!G157:G160)/4</f>
        <v>4828.75</v>
      </c>
      <c r="F160" s="16">
        <f>SUM('Weekly Data'!H157:H160)/4</f>
        <v>207.75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9"/>
      <c r="R160" s="13">
        <v>35410</v>
      </c>
      <c r="S160" s="44"/>
      <c r="T160" s="9"/>
      <c r="U160" s="19"/>
      <c r="V160" s="44"/>
      <c r="W160" s="39"/>
      <c r="X160" s="39"/>
      <c r="Y160" s="39"/>
      <c r="Z160" s="39"/>
      <c r="AA160" s="40"/>
      <c r="AB160" s="39"/>
      <c r="AC160" s="39"/>
      <c r="AD160" s="40"/>
      <c r="AE160" s="39"/>
      <c r="AF160" s="39"/>
      <c r="AG160" s="40"/>
      <c r="AH160" s="39"/>
    </row>
    <row r="161" spans="1:34" x14ac:dyDescent="0.25">
      <c r="A161" s="105">
        <f t="shared" si="2"/>
        <v>35417</v>
      </c>
      <c r="B161" s="16"/>
      <c r="C161" s="16">
        <f>SUM('Weekly Data'!E158:E161)/4</f>
        <v>2059.25</v>
      </c>
      <c r="D161" s="16"/>
      <c r="E161" s="16">
        <f>SUM('Weekly Data'!G158:G161)/4</f>
        <v>4755.25</v>
      </c>
      <c r="F161" s="16">
        <f>SUM('Weekly Data'!H158:H161)/4</f>
        <v>143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9"/>
      <c r="R161" s="13">
        <v>35417</v>
      </c>
      <c r="S161" s="44"/>
      <c r="T161" s="9"/>
      <c r="U161" s="19"/>
      <c r="V161" s="44"/>
      <c r="W161" s="39"/>
      <c r="X161" s="39"/>
      <c r="Y161" s="39"/>
      <c r="Z161" s="39"/>
      <c r="AA161" s="40"/>
      <c r="AB161" s="39"/>
      <c r="AC161" s="39"/>
      <c r="AD161" s="40"/>
      <c r="AE161" s="39"/>
      <c r="AF161" s="39"/>
      <c r="AG161" s="40"/>
      <c r="AH161" s="39"/>
    </row>
    <row r="162" spans="1:34" x14ac:dyDescent="0.25">
      <c r="A162" s="105">
        <f t="shared" si="2"/>
        <v>35424</v>
      </c>
      <c r="B162" s="16"/>
      <c r="C162" s="16">
        <f>SUM('Weekly Data'!E159:E162)/4</f>
        <v>1828.75</v>
      </c>
      <c r="D162" s="16"/>
      <c r="E162" s="16">
        <f>SUM('Weekly Data'!G159:G162)/4</f>
        <v>4607.75</v>
      </c>
      <c r="F162" s="16">
        <f>SUM('Weekly Data'!H159:H162)/4</f>
        <v>148.5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9"/>
      <c r="R162" s="13">
        <v>35424</v>
      </c>
      <c r="S162" s="44"/>
      <c r="T162" s="9"/>
      <c r="U162" s="19"/>
      <c r="V162" s="44"/>
      <c r="W162" s="39"/>
      <c r="X162" s="39"/>
      <c r="Y162" s="39"/>
      <c r="Z162" s="39"/>
      <c r="AA162" s="40"/>
      <c r="AB162" s="39"/>
      <c r="AC162" s="39"/>
      <c r="AD162" s="40"/>
      <c r="AE162" s="39"/>
      <c r="AF162" s="39"/>
      <c r="AG162" s="40"/>
      <c r="AH162" s="39"/>
    </row>
    <row r="163" spans="1:34" x14ac:dyDescent="0.25">
      <c r="A163" s="105">
        <f t="shared" si="2"/>
        <v>35431</v>
      </c>
      <c r="B163" s="16"/>
      <c r="C163" s="16">
        <f>SUM('Weekly Data'!E160:E163)/4</f>
        <v>1704.25</v>
      </c>
      <c r="D163" s="16"/>
      <c r="E163" s="16">
        <f>SUM('Weekly Data'!G160:G163)/4</f>
        <v>4073.25</v>
      </c>
      <c r="F163" s="16">
        <f>SUM('Weekly Data'!H160:H163)/4</f>
        <v>170.25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9"/>
      <c r="R163" s="13">
        <v>35431</v>
      </c>
      <c r="S163" s="44"/>
      <c r="T163" s="9"/>
      <c r="U163" s="19"/>
      <c r="V163" s="44"/>
      <c r="W163" s="39"/>
      <c r="X163" s="39"/>
      <c r="Y163" s="39"/>
      <c r="Z163" s="39"/>
      <c r="AA163" s="40"/>
      <c r="AB163" s="39"/>
      <c r="AC163" s="39"/>
      <c r="AD163" s="40"/>
      <c r="AE163" s="39"/>
      <c r="AF163" s="39"/>
      <c r="AG163" s="40"/>
      <c r="AH163" s="39"/>
    </row>
    <row r="164" spans="1:34" x14ac:dyDescent="0.25">
      <c r="A164" s="105">
        <f t="shared" si="2"/>
        <v>35438</v>
      </c>
      <c r="B164" s="16"/>
      <c r="C164" s="16">
        <f>SUM('Weekly Data'!E161:E164)/4</f>
        <v>1491</v>
      </c>
      <c r="D164" s="16"/>
      <c r="E164" s="16">
        <f>SUM('Weekly Data'!G161:G164)/4</f>
        <v>3999</v>
      </c>
      <c r="F164" s="16">
        <f>SUM('Weekly Data'!H161:H164)/4</f>
        <v>206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9"/>
      <c r="R164" s="13">
        <v>35438</v>
      </c>
      <c r="S164" s="44"/>
      <c r="T164" s="9"/>
      <c r="U164" s="19"/>
      <c r="V164" s="44"/>
      <c r="W164" s="39"/>
      <c r="X164" s="39"/>
      <c r="Y164" s="39"/>
      <c r="Z164" s="39"/>
      <c r="AA164" s="40"/>
      <c r="AB164" s="39"/>
      <c r="AC164" s="39"/>
      <c r="AD164" s="40"/>
      <c r="AE164" s="39"/>
      <c r="AF164" s="39"/>
      <c r="AG164" s="40"/>
      <c r="AH164" s="39"/>
    </row>
    <row r="165" spans="1:34" x14ac:dyDescent="0.25">
      <c r="A165" s="105">
        <f t="shared" si="2"/>
        <v>35445</v>
      </c>
      <c r="B165" s="16"/>
      <c r="C165" s="16">
        <f>SUM('Weekly Data'!E162:E165)/4</f>
        <v>1575.75</v>
      </c>
      <c r="D165" s="16"/>
      <c r="E165" s="16">
        <f>SUM('Weekly Data'!G162:G165)/4</f>
        <v>3765.5</v>
      </c>
      <c r="F165" s="16">
        <f>SUM('Weekly Data'!H162:H165)/4</f>
        <v>285.5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9"/>
      <c r="R165" s="13">
        <v>35445</v>
      </c>
      <c r="S165" s="44"/>
      <c r="T165" s="9"/>
      <c r="U165" s="19"/>
      <c r="V165" s="44"/>
      <c r="W165" s="39"/>
      <c r="X165" s="39"/>
      <c r="Y165" s="39"/>
      <c r="Z165" s="39"/>
      <c r="AA165" s="40"/>
      <c r="AB165" s="39"/>
      <c r="AC165" s="39"/>
      <c r="AD165" s="40"/>
      <c r="AE165" s="39"/>
      <c r="AF165" s="39"/>
      <c r="AG165" s="40"/>
      <c r="AH165" s="39"/>
    </row>
    <row r="166" spans="1:34" x14ac:dyDescent="0.25">
      <c r="A166" s="105">
        <f t="shared" si="2"/>
        <v>35452</v>
      </c>
      <c r="B166" s="16"/>
      <c r="C166" s="16">
        <f>SUM('Weekly Data'!E163:E166)/4</f>
        <v>1562.5</v>
      </c>
      <c r="D166" s="16"/>
      <c r="E166" s="16">
        <f>SUM('Weekly Data'!G163:G166)/4</f>
        <v>3753.25</v>
      </c>
      <c r="F166" s="16">
        <f>SUM('Weekly Data'!H163:H166)/4</f>
        <v>214.75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9"/>
      <c r="R166" s="13">
        <v>35452</v>
      </c>
      <c r="S166" s="44"/>
      <c r="T166" s="9"/>
      <c r="U166" s="19"/>
      <c r="V166" s="44"/>
      <c r="W166" s="39"/>
      <c r="X166" s="39"/>
      <c r="Y166" s="39"/>
      <c r="Z166" s="39"/>
      <c r="AA166" s="40"/>
      <c r="AB166" s="39"/>
      <c r="AC166" s="39"/>
      <c r="AD166" s="40"/>
      <c r="AE166" s="39"/>
      <c r="AF166" s="39"/>
      <c r="AG166" s="40"/>
      <c r="AH166" s="39"/>
    </row>
    <row r="167" spans="1:34" x14ac:dyDescent="0.25">
      <c r="A167" s="105">
        <f t="shared" si="2"/>
        <v>35459</v>
      </c>
      <c r="B167" s="16"/>
      <c r="C167" s="16">
        <f>SUM('Weekly Data'!E164:E167)/4</f>
        <v>1819.25</v>
      </c>
      <c r="D167" s="16"/>
      <c r="E167" s="16">
        <f>SUM('Weekly Data'!G164:G167)/4</f>
        <v>4483.25</v>
      </c>
      <c r="F167" s="16">
        <f>SUM('Weekly Data'!H164:H167)/4</f>
        <v>259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9"/>
      <c r="R167" s="13">
        <v>35459</v>
      </c>
      <c r="S167" s="44"/>
      <c r="T167" s="9"/>
      <c r="U167" s="19"/>
      <c r="V167" s="44"/>
      <c r="W167" s="39"/>
      <c r="X167" s="39"/>
      <c r="Y167" s="39"/>
      <c r="Z167" s="39"/>
      <c r="AA167" s="40"/>
      <c r="AB167" s="39"/>
      <c r="AC167" s="39"/>
      <c r="AD167" s="40"/>
      <c r="AE167" s="39"/>
      <c r="AF167" s="39"/>
      <c r="AG167" s="40"/>
      <c r="AH167" s="39"/>
    </row>
    <row r="168" spans="1:34" x14ac:dyDescent="0.25">
      <c r="A168" s="105">
        <f t="shared" si="2"/>
        <v>35466</v>
      </c>
      <c r="B168" s="16"/>
      <c r="C168" s="16">
        <f>SUM('Weekly Data'!E165:E168)/4</f>
        <v>2106.75</v>
      </c>
      <c r="D168" s="16"/>
      <c r="E168" s="16">
        <f>SUM('Weekly Data'!G165:G168)/4</f>
        <v>4380.75</v>
      </c>
      <c r="F168" s="16">
        <f>SUM('Weekly Data'!H165:H168)/4</f>
        <v>254.75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9"/>
      <c r="R168" s="13">
        <v>35466</v>
      </c>
      <c r="S168" s="44"/>
      <c r="T168" s="9"/>
      <c r="U168" s="19"/>
      <c r="V168" s="44"/>
      <c r="W168" s="39"/>
      <c r="X168" s="39"/>
      <c r="Y168" s="39"/>
      <c r="Z168" s="39"/>
      <c r="AA168" s="40"/>
      <c r="AB168" s="39"/>
      <c r="AC168" s="39"/>
      <c r="AD168" s="40"/>
      <c r="AE168" s="39"/>
      <c r="AF168" s="39"/>
      <c r="AG168" s="40"/>
      <c r="AH168" s="39"/>
    </row>
    <row r="169" spans="1:34" x14ac:dyDescent="0.25">
      <c r="A169" s="105">
        <f t="shared" si="2"/>
        <v>35473</v>
      </c>
      <c r="B169" s="16"/>
      <c r="C169" s="16">
        <f>SUM('Weekly Data'!E166:E169)/4</f>
        <v>2179.5</v>
      </c>
      <c r="D169" s="16"/>
      <c r="E169" s="16">
        <f>SUM('Weekly Data'!G166:G169)/4</f>
        <v>4427.75</v>
      </c>
      <c r="F169" s="16">
        <f>SUM('Weekly Data'!H166:H169)/4</f>
        <v>211.25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9"/>
      <c r="R169" s="13">
        <v>35473</v>
      </c>
      <c r="S169" s="44"/>
      <c r="T169" s="9"/>
      <c r="U169" s="19"/>
      <c r="V169" s="44"/>
      <c r="W169" s="39"/>
      <c r="X169" s="39"/>
      <c r="Y169" s="39"/>
      <c r="Z169" s="39"/>
      <c r="AA169" s="40"/>
      <c r="AB169" s="39"/>
      <c r="AC169" s="39"/>
      <c r="AD169" s="40"/>
      <c r="AE169" s="39"/>
      <c r="AF169" s="39"/>
      <c r="AG169" s="40"/>
      <c r="AH169" s="39"/>
    </row>
    <row r="170" spans="1:34" x14ac:dyDescent="0.25">
      <c r="A170" s="105">
        <f t="shared" si="2"/>
        <v>35480</v>
      </c>
      <c r="B170" s="16"/>
      <c r="C170" s="16">
        <f>SUM('Weekly Data'!E167:E170)/4</f>
        <v>2221.5</v>
      </c>
      <c r="D170" s="16"/>
      <c r="E170" s="16">
        <f>SUM('Weekly Data'!G167:G170)/4</f>
        <v>4745</v>
      </c>
      <c r="F170" s="16">
        <f>SUM('Weekly Data'!H167:H170)/4</f>
        <v>228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9"/>
      <c r="R170" s="13">
        <v>35480</v>
      </c>
      <c r="S170" s="44"/>
      <c r="T170" s="9"/>
      <c r="U170" s="19"/>
      <c r="V170" s="44"/>
      <c r="W170" s="39"/>
      <c r="X170" s="39"/>
      <c r="Y170" s="39"/>
      <c r="Z170" s="39"/>
      <c r="AA170" s="40"/>
      <c r="AB170" s="39"/>
      <c r="AC170" s="39"/>
      <c r="AD170" s="40"/>
      <c r="AE170" s="39"/>
      <c r="AF170" s="39"/>
      <c r="AG170" s="40"/>
      <c r="AH170" s="39"/>
    </row>
    <row r="171" spans="1:34" x14ac:dyDescent="0.25">
      <c r="A171" s="105">
        <f t="shared" si="2"/>
        <v>35487</v>
      </c>
      <c r="B171" s="16"/>
      <c r="C171" s="16">
        <f>SUM('Weekly Data'!E168:E171)/4</f>
        <v>2058.5</v>
      </c>
      <c r="D171" s="16"/>
      <c r="E171" s="16">
        <f>SUM('Weekly Data'!G168:G171)/4</f>
        <v>5012.5</v>
      </c>
      <c r="F171" s="16">
        <f>SUM('Weekly Data'!H168:H171)/4</f>
        <v>163.5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9"/>
      <c r="R171" s="13">
        <v>35487</v>
      </c>
      <c r="S171" s="44"/>
      <c r="T171" s="9"/>
      <c r="U171" s="19"/>
      <c r="V171" s="44"/>
      <c r="W171" s="39"/>
      <c r="X171" s="39"/>
      <c r="Y171" s="39"/>
      <c r="Z171" s="39"/>
      <c r="AA171" s="40"/>
      <c r="AB171" s="39"/>
      <c r="AC171" s="39"/>
      <c r="AD171" s="40"/>
      <c r="AE171" s="39"/>
      <c r="AF171" s="39"/>
      <c r="AG171" s="40"/>
      <c r="AH171" s="39"/>
    </row>
    <row r="172" spans="1:34" x14ac:dyDescent="0.25">
      <c r="A172" s="105">
        <f t="shared" si="2"/>
        <v>35494</v>
      </c>
      <c r="B172" s="16"/>
      <c r="C172" s="16">
        <f>SUM('Weekly Data'!E169:E172)/4</f>
        <v>1863.75</v>
      </c>
      <c r="D172" s="16"/>
      <c r="E172" s="16">
        <f>SUM('Weekly Data'!G169:G172)/4</f>
        <v>5158</v>
      </c>
      <c r="F172" s="16">
        <f>SUM('Weekly Data'!H169:H172)/4</f>
        <v>182.25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9"/>
      <c r="R172" s="13">
        <v>35494</v>
      </c>
      <c r="S172" s="44"/>
      <c r="T172" s="9"/>
      <c r="U172" s="19"/>
      <c r="V172" s="44"/>
      <c r="W172" s="39"/>
      <c r="X172" s="39"/>
      <c r="Y172" s="39"/>
      <c r="Z172" s="39"/>
      <c r="AA172" s="40"/>
      <c r="AB172" s="39"/>
      <c r="AC172" s="39"/>
      <c r="AD172" s="40"/>
      <c r="AE172" s="39"/>
      <c r="AF172" s="39"/>
      <c r="AG172" s="40"/>
      <c r="AH172" s="39"/>
    </row>
    <row r="173" spans="1:34" x14ac:dyDescent="0.25">
      <c r="A173" s="105">
        <f t="shared" si="2"/>
        <v>35501</v>
      </c>
      <c r="B173" s="16"/>
      <c r="C173" s="16">
        <f>SUM('Weekly Data'!E170:E173)/4</f>
        <v>1766</v>
      </c>
      <c r="D173" s="16"/>
      <c r="E173" s="16">
        <f>SUM('Weekly Data'!G170:G173)/4</f>
        <v>5245.25</v>
      </c>
      <c r="F173" s="16">
        <f>SUM('Weekly Data'!H170:H173)/4</f>
        <v>211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9"/>
      <c r="R173" s="13">
        <v>35501</v>
      </c>
      <c r="S173" s="44"/>
      <c r="T173" s="9"/>
      <c r="U173" s="19"/>
      <c r="V173" s="44"/>
      <c r="W173" s="39"/>
      <c r="X173" s="39"/>
      <c r="Y173" s="39"/>
      <c r="Z173" s="39"/>
      <c r="AA173" s="40"/>
      <c r="AB173" s="39"/>
      <c r="AC173" s="39"/>
      <c r="AD173" s="40"/>
      <c r="AE173" s="39"/>
      <c r="AF173" s="39"/>
      <c r="AG173" s="40"/>
      <c r="AH173" s="39"/>
    </row>
    <row r="174" spans="1:34" x14ac:dyDescent="0.25">
      <c r="A174" s="105">
        <f t="shared" si="2"/>
        <v>35508</v>
      </c>
      <c r="B174" s="16"/>
      <c r="C174" s="16">
        <f>SUM('Weekly Data'!E171:E174)/4</f>
        <v>1907.75</v>
      </c>
      <c r="D174" s="16"/>
      <c r="E174" s="16">
        <f>SUM('Weekly Data'!G171:G174)/4</f>
        <v>5334.25</v>
      </c>
      <c r="F174" s="16">
        <f>SUM('Weekly Data'!H171:H174)/4</f>
        <v>172.5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9"/>
      <c r="R174" s="13">
        <v>35508</v>
      </c>
      <c r="S174" s="44"/>
      <c r="T174" s="9"/>
      <c r="U174" s="19"/>
      <c r="V174" s="44"/>
      <c r="W174" s="39"/>
      <c r="X174" s="39"/>
      <c r="Y174" s="39"/>
      <c r="Z174" s="39"/>
      <c r="AA174" s="40"/>
      <c r="AB174" s="39"/>
      <c r="AC174" s="39"/>
      <c r="AD174" s="40"/>
      <c r="AE174" s="39"/>
      <c r="AF174" s="39"/>
      <c r="AG174" s="40"/>
      <c r="AH174" s="39"/>
    </row>
    <row r="175" spans="1:34" x14ac:dyDescent="0.25">
      <c r="A175" s="105">
        <f t="shared" si="2"/>
        <v>35515</v>
      </c>
      <c r="B175" s="16"/>
      <c r="C175" s="16">
        <f>SUM('Weekly Data'!E172:E175)/4</f>
        <v>2142.25</v>
      </c>
      <c r="D175" s="16"/>
      <c r="E175" s="16">
        <f>SUM('Weekly Data'!G172:G175)/4</f>
        <v>5140.5</v>
      </c>
      <c r="F175" s="16">
        <f>SUM('Weekly Data'!H172:H175)/4</f>
        <v>176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9"/>
      <c r="R175" s="13">
        <v>35515</v>
      </c>
      <c r="S175" s="44"/>
      <c r="T175" s="9"/>
      <c r="U175" s="19"/>
      <c r="V175" s="44"/>
      <c r="W175" s="39"/>
      <c r="X175" s="39"/>
      <c r="Y175" s="39"/>
      <c r="Z175" s="39"/>
      <c r="AA175" s="40"/>
      <c r="AB175" s="39"/>
      <c r="AC175" s="39"/>
      <c r="AD175" s="40"/>
      <c r="AE175" s="39"/>
      <c r="AF175" s="39"/>
      <c r="AG175" s="40"/>
      <c r="AH175" s="39"/>
    </row>
    <row r="176" spans="1:34" x14ac:dyDescent="0.25">
      <c r="A176" s="105">
        <f t="shared" si="2"/>
        <v>35522</v>
      </c>
      <c r="B176" s="16"/>
      <c r="C176" s="16">
        <f>SUM('Weekly Data'!E173:E176)/4</f>
        <v>2217.75</v>
      </c>
      <c r="D176" s="16"/>
      <c r="E176" s="16">
        <f>SUM('Weekly Data'!G173:G176)/4</f>
        <v>5418</v>
      </c>
      <c r="F176" s="16">
        <f>SUM('Weekly Data'!H173:H176)/4</f>
        <v>115.75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9"/>
      <c r="R176" s="13">
        <v>35522</v>
      </c>
      <c r="S176" s="44"/>
      <c r="T176" s="9"/>
      <c r="U176" s="19"/>
      <c r="V176" s="44"/>
      <c r="W176" s="39"/>
      <c r="X176" s="39"/>
      <c r="Y176" s="39"/>
      <c r="Z176" s="39"/>
      <c r="AA176" s="40"/>
      <c r="AB176" s="39"/>
      <c r="AC176" s="39"/>
      <c r="AD176" s="40"/>
      <c r="AE176" s="39"/>
      <c r="AF176" s="39"/>
      <c r="AG176" s="40"/>
      <c r="AH176" s="39"/>
    </row>
    <row r="177" spans="1:34" x14ac:dyDescent="0.25">
      <c r="A177" s="105">
        <f t="shared" si="2"/>
        <v>35529</v>
      </c>
      <c r="B177" s="16"/>
      <c r="C177" s="16">
        <f>SUM('Weekly Data'!E174:E177)/4</f>
        <v>2057</v>
      </c>
      <c r="D177" s="16"/>
      <c r="E177" s="16">
        <f>SUM('Weekly Data'!G174:G177)/4</f>
        <v>5485</v>
      </c>
      <c r="F177" s="16">
        <f>SUM('Weekly Data'!H174:H177)/4</f>
        <v>62.25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9"/>
      <c r="R177" s="13">
        <v>35529</v>
      </c>
      <c r="S177" s="44"/>
      <c r="T177" s="9"/>
      <c r="U177" s="19"/>
      <c r="V177" s="44"/>
      <c r="W177" s="39"/>
      <c r="X177" s="39"/>
      <c r="Y177" s="39"/>
      <c r="Z177" s="39"/>
      <c r="AA177" s="40"/>
      <c r="AB177" s="39"/>
      <c r="AC177" s="39"/>
      <c r="AD177" s="40"/>
      <c r="AE177" s="39"/>
      <c r="AF177" s="39"/>
      <c r="AG177" s="40"/>
      <c r="AH177" s="39"/>
    </row>
    <row r="178" spans="1:34" x14ac:dyDescent="0.25">
      <c r="A178" s="105">
        <f t="shared" si="2"/>
        <v>35536</v>
      </c>
      <c r="B178" s="16"/>
      <c r="C178" s="16">
        <f>SUM('Weekly Data'!E175:E178)/4</f>
        <v>1892</v>
      </c>
      <c r="D178" s="16"/>
      <c r="E178" s="16">
        <f>SUM('Weekly Data'!G175:G178)/4</f>
        <v>5186.5</v>
      </c>
      <c r="F178" s="16">
        <f>SUM('Weekly Data'!H175:H178)/4</f>
        <v>62.75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9"/>
      <c r="R178" s="13">
        <v>35536</v>
      </c>
      <c r="S178" s="44"/>
      <c r="T178" s="9"/>
      <c r="U178" s="19"/>
      <c r="V178" s="44"/>
      <c r="W178" s="39"/>
      <c r="X178" s="39"/>
      <c r="Y178" s="39"/>
      <c r="Z178" s="39"/>
      <c r="AA178" s="40"/>
      <c r="AB178" s="39"/>
      <c r="AC178" s="39"/>
      <c r="AD178" s="40"/>
      <c r="AE178" s="39"/>
      <c r="AF178" s="39"/>
      <c r="AG178" s="40"/>
      <c r="AH178" s="39"/>
    </row>
    <row r="179" spans="1:34" x14ac:dyDescent="0.25">
      <c r="A179" s="105">
        <f t="shared" si="2"/>
        <v>35543</v>
      </c>
      <c r="B179" s="16"/>
      <c r="C179" s="16">
        <f>SUM('Weekly Data'!E176:E179)/4</f>
        <v>1492.75</v>
      </c>
      <c r="D179" s="16"/>
      <c r="E179" s="16">
        <f>SUM('Weekly Data'!G176:G179)/4</f>
        <v>5024.75</v>
      </c>
      <c r="F179" s="16">
        <f>SUM('Weekly Data'!H176:H179)/4</f>
        <v>32.5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9"/>
      <c r="R179" s="13">
        <v>35543</v>
      </c>
      <c r="S179" s="44"/>
      <c r="T179" s="9"/>
      <c r="U179" s="19"/>
      <c r="V179" s="44"/>
      <c r="W179" s="39"/>
      <c r="X179" s="39"/>
      <c r="Y179" s="39"/>
      <c r="Z179" s="39"/>
      <c r="AA179" s="40"/>
      <c r="AB179" s="39"/>
      <c r="AC179" s="39"/>
      <c r="AD179" s="40"/>
      <c r="AE179" s="39"/>
      <c r="AF179" s="39"/>
      <c r="AG179" s="40"/>
      <c r="AH179" s="39"/>
    </row>
    <row r="180" spans="1:34" x14ac:dyDescent="0.25">
      <c r="A180" s="105">
        <f t="shared" si="2"/>
        <v>35550</v>
      </c>
      <c r="B180" s="16"/>
      <c r="C180" s="16">
        <f>SUM('Weekly Data'!E177:E180)/4</f>
        <v>1273.75</v>
      </c>
      <c r="D180" s="16"/>
      <c r="E180" s="16">
        <f>SUM('Weekly Data'!G177:G180)/4</f>
        <v>4292.75</v>
      </c>
      <c r="F180" s="16">
        <f>SUM('Weekly Data'!H177:H180)/4</f>
        <v>80.75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9"/>
      <c r="R180" s="13">
        <v>35550</v>
      </c>
      <c r="S180" s="44"/>
      <c r="T180" s="9"/>
      <c r="U180" s="19"/>
      <c r="V180" s="44"/>
      <c r="W180" s="39"/>
      <c r="X180" s="39"/>
      <c r="Y180" s="39"/>
      <c r="Z180" s="39"/>
      <c r="AA180" s="40"/>
      <c r="AB180" s="39"/>
      <c r="AC180" s="39"/>
      <c r="AD180" s="40"/>
      <c r="AE180" s="39"/>
      <c r="AF180" s="39"/>
      <c r="AG180" s="40"/>
      <c r="AH180" s="39"/>
    </row>
    <row r="181" spans="1:34" x14ac:dyDescent="0.25">
      <c r="A181" s="105">
        <f t="shared" si="2"/>
        <v>35557</v>
      </c>
      <c r="B181" s="16"/>
      <c r="C181" s="16">
        <f>SUM('Weekly Data'!E178:E181)/4</f>
        <v>1089</v>
      </c>
      <c r="D181" s="16"/>
      <c r="E181" s="16">
        <f>SUM('Weekly Data'!G178:G181)/4</f>
        <v>3591.25</v>
      </c>
      <c r="F181" s="16">
        <f>SUM('Weekly Data'!H178:H181)/4</f>
        <v>91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9"/>
      <c r="R181" s="13">
        <v>35557</v>
      </c>
      <c r="S181" s="44"/>
      <c r="T181" s="9"/>
      <c r="U181" s="19"/>
      <c r="V181" s="44"/>
      <c r="W181" s="39"/>
      <c r="X181" s="39"/>
      <c r="Y181" s="39"/>
      <c r="Z181" s="39"/>
      <c r="AA181" s="40"/>
      <c r="AB181" s="39"/>
      <c r="AC181" s="39"/>
      <c r="AD181" s="40"/>
      <c r="AE181" s="39"/>
      <c r="AF181" s="39"/>
      <c r="AG181" s="40"/>
      <c r="AH181" s="39"/>
    </row>
    <row r="182" spans="1:34" x14ac:dyDescent="0.25">
      <c r="A182" s="105">
        <f t="shared" si="2"/>
        <v>35564</v>
      </c>
      <c r="B182" s="16"/>
      <c r="C182" s="16">
        <f>SUM('Weekly Data'!E179:E182)/4</f>
        <v>775.5</v>
      </c>
      <c r="D182" s="16"/>
      <c r="E182" s="16">
        <f>SUM('Weekly Data'!G179:G182)/4</f>
        <v>3233</v>
      </c>
      <c r="F182" s="16">
        <f>SUM('Weekly Data'!H179:H182)/4</f>
        <v>97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9"/>
      <c r="R182" s="13">
        <v>35564</v>
      </c>
      <c r="S182" s="44"/>
      <c r="T182" s="9"/>
      <c r="U182" s="19"/>
      <c r="V182" s="44"/>
      <c r="W182" s="39"/>
      <c r="X182" s="39"/>
      <c r="Y182" s="39"/>
      <c r="Z182" s="39"/>
      <c r="AA182" s="40"/>
      <c r="AB182" s="39"/>
      <c r="AC182" s="39"/>
      <c r="AD182" s="40"/>
      <c r="AE182" s="39"/>
      <c r="AF182" s="39"/>
      <c r="AG182" s="40"/>
      <c r="AH182" s="39"/>
    </row>
    <row r="183" spans="1:34" x14ac:dyDescent="0.25">
      <c r="A183" s="105">
        <f t="shared" si="2"/>
        <v>35571</v>
      </c>
      <c r="B183" s="16"/>
      <c r="C183" s="16">
        <f>SUM('Weekly Data'!E180:E183)/4</f>
        <v>608</v>
      </c>
      <c r="D183" s="16"/>
      <c r="E183" s="16">
        <f>SUM('Weekly Data'!G180:G183)/4</f>
        <v>2660.25</v>
      </c>
      <c r="F183" s="16">
        <f>SUM('Weekly Data'!H180:H183)/4</f>
        <v>102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9"/>
      <c r="R183" s="13">
        <v>35571</v>
      </c>
      <c r="S183" s="44"/>
      <c r="T183" s="9"/>
      <c r="U183" s="19"/>
      <c r="V183" s="44"/>
      <c r="W183" s="39"/>
      <c r="X183" s="39"/>
      <c r="Y183" s="39"/>
      <c r="Z183" s="39"/>
      <c r="AA183" s="40"/>
      <c r="AB183" s="39"/>
      <c r="AC183" s="39"/>
      <c r="AD183" s="40"/>
      <c r="AE183" s="39"/>
      <c r="AF183" s="39"/>
      <c r="AG183" s="40"/>
      <c r="AH183" s="39"/>
    </row>
    <row r="184" spans="1:34" x14ac:dyDescent="0.25">
      <c r="A184" s="105">
        <f t="shared" si="2"/>
        <v>35578</v>
      </c>
      <c r="B184" s="16"/>
      <c r="C184" s="16">
        <f>SUM('Weekly Data'!E181:E184)/4</f>
        <v>387.5</v>
      </c>
      <c r="D184" s="16"/>
      <c r="E184" s="16">
        <f>SUM('Weekly Data'!G181:G184)/4</f>
        <v>2562.75</v>
      </c>
      <c r="F184" s="16">
        <f>SUM('Weekly Data'!H181:H184)/4</f>
        <v>75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9"/>
      <c r="R184" s="13">
        <v>35578</v>
      </c>
      <c r="S184" s="44"/>
      <c r="T184" s="9"/>
      <c r="U184" s="19"/>
      <c r="V184" s="44"/>
      <c r="W184" s="39"/>
      <c r="X184" s="39"/>
      <c r="Y184" s="39"/>
      <c r="Z184" s="39"/>
      <c r="AA184" s="40"/>
      <c r="AB184" s="39"/>
      <c r="AC184" s="39"/>
      <c r="AD184" s="40"/>
      <c r="AE184" s="39"/>
      <c r="AF184" s="39"/>
      <c r="AG184" s="40"/>
      <c r="AH184" s="39"/>
    </row>
    <row r="185" spans="1:34" x14ac:dyDescent="0.25">
      <c r="A185" s="105">
        <f t="shared" si="2"/>
        <v>35585</v>
      </c>
      <c r="B185" s="16"/>
      <c r="C185" s="16">
        <f>SUM('Weekly Data'!E182:E185)/4</f>
        <v>329.75</v>
      </c>
      <c r="D185" s="16"/>
      <c r="E185" s="16">
        <f>SUM('Weekly Data'!G182:G185)/4</f>
        <v>2397.75</v>
      </c>
      <c r="F185" s="16">
        <f>SUM('Weekly Data'!H182:H185)/4</f>
        <v>47.75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9"/>
      <c r="R185" s="13">
        <v>35585</v>
      </c>
      <c r="S185" s="44"/>
      <c r="T185" s="9"/>
      <c r="U185" s="19"/>
      <c r="V185" s="44"/>
      <c r="W185" s="39"/>
      <c r="X185" s="39"/>
      <c r="Y185" s="39"/>
      <c r="Z185" s="39"/>
      <c r="AA185" s="40"/>
      <c r="AB185" s="39"/>
      <c r="AC185" s="39"/>
      <c r="AD185" s="40"/>
      <c r="AE185" s="39"/>
      <c r="AF185" s="39"/>
      <c r="AG185" s="40"/>
      <c r="AH185" s="39"/>
    </row>
    <row r="186" spans="1:34" x14ac:dyDescent="0.25">
      <c r="A186" s="105">
        <f t="shared" si="2"/>
        <v>35592</v>
      </c>
      <c r="B186" s="16"/>
      <c r="C186" s="16">
        <f>SUM('Weekly Data'!E183:E186)/4</f>
        <v>527.5</v>
      </c>
      <c r="D186" s="16"/>
      <c r="E186" s="16">
        <f>SUM('Weekly Data'!G183:G186)/4</f>
        <v>2426</v>
      </c>
      <c r="F186" s="16">
        <f>SUM('Weekly Data'!H183:H186)/4</f>
        <v>39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9"/>
      <c r="R186" s="13">
        <v>35592</v>
      </c>
      <c r="S186" s="44"/>
      <c r="T186" s="9"/>
      <c r="U186" s="19"/>
      <c r="V186" s="44"/>
      <c r="W186" s="39"/>
      <c r="X186" s="39"/>
      <c r="Y186" s="39"/>
      <c r="Z186" s="39"/>
      <c r="AA186" s="40"/>
      <c r="AB186" s="39"/>
      <c r="AC186" s="39"/>
      <c r="AD186" s="40"/>
      <c r="AE186" s="39"/>
      <c r="AF186" s="39"/>
      <c r="AG186" s="40"/>
      <c r="AH186" s="39"/>
    </row>
    <row r="187" spans="1:34" x14ac:dyDescent="0.25">
      <c r="A187" s="105">
        <f t="shared" si="2"/>
        <v>35599</v>
      </c>
      <c r="B187" s="16"/>
      <c r="C187" s="16">
        <f>SUM('Weekly Data'!E184:E187)/4</f>
        <v>731.25</v>
      </c>
      <c r="D187" s="16"/>
      <c r="E187" s="16">
        <f>SUM('Weekly Data'!G184:G187)/4</f>
        <v>2528.75</v>
      </c>
      <c r="F187" s="16">
        <f>SUM('Weekly Data'!H184:H187)/4</f>
        <v>33.5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9"/>
      <c r="R187" s="13">
        <v>35599</v>
      </c>
      <c r="S187" s="44"/>
      <c r="T187" s="9"/>
      <c r="U187" s="19"/>
      <c r="V187" s="44"/>
      <c r="W187" s="39"/>
      <c r="X187" s="39"/>
      <c r="Y187" s="39"/>
      <c r="Z187" s="39"/>
      <c r="AA187" s="40"/>
      <c r="AB187" s="39"/>
      <c r="AC187" s="39"/>
      <c r="AD187" s="40"/>
      <c r="AE187" s="39"/>
      <c r="AF187" s="39"/>
      <c r="AG187" s="40"/>
      <c r="AH187" s="39"/>
    </row>
    <row r="188" spans="1:34" x14ac:dyDescent="0.25">
      <c r="A188" s="105">
        <f t="shared" si="2"/>
        <v>35606</v>
      </c>
      <c r="B188" s="16"/>
      <c r="C188" s="16">
        <f>SUM('Weekly Data'!E185:E188)/4</f>
        <v>970.75</v>
      </c>
      <c r="D188" s="16"/>
      <c r="E188" s="16">
        <f>SUM('Weekly Data'!G185:G188)/4</f>
        <v>2605.75</v>
      </c>
      <c r="F188" s="16">
        <f>SUM('Weekly Data'!H185:H188)/4</f>
        <v>24.25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9"/>
      <c r="R188" s="13">
        <v>35606</v>
      </c>
      <c r="S188" s="44"/>
      <c r="T188" s="9"/>
      <c r="U188" s="19"/>
      <c r="V188" s="44"/>
      <c r="W188" s="39"/>
      <c r="X188" s="39"/>
      <c r="Y188" s="39"/>
      <c r="Z188" s="39"/>
      <c r="AA188" s="40"/>
      <c r="AB188" s="39"/>
      <c r="AC188" s="39"/>
      <c r="AD188" s="40"/>
      <c r="AE188" s="39"/>
      <c r="AF188" s="39"/>
      <c r="AG188" s="40"/>
      <c r="AH188" s="39"/>
    </row>
    <row r="189" spans="1:34" x14ac:dyDescent="0.25">
      <c r="A189" s="105">
        <f t="shared" si="2"/>
        <v>35613</v>
      </c>
      <c r="B189" s="16"/>
      <c r="C189" s="16">
        <f>SUM('Weekly Data'!E186:E189)/4</f>
        <v>1274.75</v>
      </c>
      <c r="D189" s="16"/>
      <c r="E189" s="16">
        <f>SUM('Weekly Data'!G186:G189)/4</f>
        <v>2685.75</v>
      </c>
      <c r="F189" s="16">
        <f>SUM('Weekly Data'!H186:H189)/4</f>
        <v>66.25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9"/>
      <c r="R189" s="13">
        <v>35613</v>
      </c>
      <c r="S189" s="44"/>
      <c r="T189" s="9"/>
      <c r="U189" s="19"/>
      <c r="V189" s="44"/>
      <c r="W189" s="39"/>
      <c r="X189" s="39"/>
      <c r="Y189" s="39"/>
      <c r="Z189" s="39"/>
      <c r="AA189" s="40"/>
      <c r="AB189" s="39"/>
      <c r="AC189" s="39"/>
      <c r="AD189" s="40"/>
      <c r="AE189" s="39"/>
      <c r="AF189" s="39"/>
      <c r="AG189" s="40"/>
      <c r="AH189" s="39"/>
    </row>
    <row r="190" spans="1:34" x14ac:dyDescent="0.25">
      <c r="A190" s="105">
        <f t="shared" si="2"/>
        <v>35620</v>
      </c>
      <c r="B190" s="16"/>
      <c r="C190" s="16">
        <f>SUM('Weekly Data'!E187:E190)/4</f>
        <v>1490.25</v>
      </c>
      <c r="D190" s="16"/>
      <c r="E190" s="16">
        <f>SUM('Weekly Data'!G187:G190)/4</f>
        <v>2341.5</v>
      </c>
      <c r="F190" s="16">
        <f>SUM('Weekly Data'!H187:H190)/4</f>
        <v>122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9"/>
      <c r="R190" s="13">
        <v>35620</v>
      </c>
      <c r="S190" s="44"/>
      <c r="T190" s="9"/>
      <c r="U190" s="19"/>
      <c r="V190" s="44"/>
      <c r="W190" s="39"/>
      <c r="X190" s="39"/>
      <c r="Y190" s="39"/>
      <c r="Z190" s="39"/>
      <c r="AA190" s="40"/>
      <c r="AB190" s="39"/>
      <c r="AC190" s="39"/>
      <c r="AD190" s="40"/>
      <c r="AE190" s="39"/>
      <c r="AF190" s="39"/>
      <c r="AG190" s="40"/>
      <c r="AH190" s="39"/>
    </row>
    <row r="191" spans="1:34" x14ac:dyDescent="0.25">
      <c r="A191" s="105">
        <f t="shared" si="2"/>
        <v>35627</v>
      </c>
      <c r="B191" s="16"/>
      <c r="C191" s="16">
        <f>SUM('Weekly Data'!E188:E191)/4</f>
        <v>1787</v>
      </c>
      <c r="D191" s="16"/>
      <c r="E191" s="16">
        <f>SUM('Weekly Data'!G188:G191)/4</f>
        <v>2151.5</v>
      </c>
      <c r="F191" s="16">
        <f>SUM('Weekly Data'!H188:H191)/4</f>
        <v>139.25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9"/>
      <c r="R191" s="13">
        <v>35627</v>
      </c>
      <c r="S191" s="44"/>
      <c r="T191" s="9"/>
      <c r="U191" s="19"/>
      <c r="V191" s="44"/>
      <c r="W191" s="39"/>
      <c r="X191" s="39"/>
      <c r="Y191" s="39"/>
      <c r="Z191" s="39"/>
      <c r="AA191" s="40"/>
      <c r="AB191" s="39"/>
      <c r="AC191" s="39"/>
      <c r="AD191" s="40"/>
      <c r="AE191" s="39"/>
      <c r="AF191" s="39"/>
      <c r="AG191" s="40"/>
      <c r="AH191" s="39"/>
    </row>
    <row r="192" spans="1:34" x14ac:dyDescent="0.25">
      <c r="A192" s="105">
        <f t="shared" si="2"/>
        <v>35634</v>
      </c>
      <c r="B192" s="16"/>
      <c r="C192" s="16">
        <f>SUM('Weekly Data'!E189:E192)/4</f>
        <v>2168</v>
      </c>
      <c r="D192" s="16"/>
      <c r="E192" s="16">
        <f>SUM('Weekly Data'!G189:G192)/4</f>
        <v>1913.25</v>
      </c>
      <c r="F192" s="16">
        <f>SUM('Weekly Data'!H189:H192)/4</f>
        <v>167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9"/>
      <c r="R192" s="13">
        <v>35634</v>
      </c>
      <c r="S192" s="44"/>
      <c r="T192" s="9"/>
      <c r="U192" s="19"/>
      <c r="V192" s="44"/>
      <c r="W192" s="39"/>
      <c r="X192" s="39"/>
      <c r="Y192" s="39"/>
      <c r="Z192" s="39"/>
      <c r="AA192" s="40"/>
      <c r="AB192" s="39"/>
      <c r="AC192" s="39"/>
      <c r="AD192" s="40"/>
      <c r="AE192" s="39"/>
      <c r="AF192" s="39"/>
      <c r="AG192" s="40"/>
      <c r="AH192" s="39"/>
    </row>
    <row r="193" spans="1:34" x14ac:dyDescent="0.25">
      <c r="A193" s="105">
        <f t="shared" si="2"/>
        <v>35641</v>
      </c>
      <c r="B193" s="16"/>
      <c r="C193" s="16">
        <f>SUM('Weekly Data'!E190:E193)/4</f>
        <v>2417.75</v>
      </c>
      <c r="D193" s="16"/>
      <c r="E193" s="16">
        <f>SUM('Weekly Data'!G190:G193)/4</f>
        <v>1928.25</v>
      </c>
      <c r="F193" s="16">
        <f>SUM('Weekly Data'!H190:H193)/4</f>
        <v>137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9"/>
      <c r="R193" s="13">
        <v>35641</v>
      </c>
      <c r="S193" s="44"/>
      <c r="T193" s="9"/>
      <c r="U193" s="19"/>
      <c r="V193" s="44"/>
      <c r="W193" s="39"/>
      <c r="X193" s="39"/>
      <c r="Y193" s="39"/>
      <c r="Z193" s="39"/>
      <c r="AA193" s="40"/>
      <c r="AB193" s="39"/>
      <c r="AC193" s="39"/>
      <c r="AD193" s="40"/>
      <c r="AE193" s="39"/>
      <c r="AF193" s="39"/>
      <c r="AG193" s="40"/>
      <c r="AH193" s="39"/>
    </row>
    <row r="194" spans="1:34" x14ac:dyDescent="0.25">
      <c r="A194" s="105">
        <f t="shared" si="2"/>
        <v>35648</v>
      </c>
      <c r="B194" s="16"/>
      <c r="C194" s="16">
        <f>SUM('Weekly Data'!E191:E194)/4</f>
        <v>2611</v>
      </c>
      <c r="D194" s="16"/>
      <c r="E194" s="16">
        <f>SUM('Weekly Data'!G191:G194)/4</f>
        <v>2283.75</v>
      </c>
      <c r="F194" s="16">
        <f>SUM('Weekly Data'!H191:H194)/4</f>
        <v>108.25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9"/>
      <c r="R194" s="13">
        <v>35648</v>
      </c>
      <c r="S194" s="44"/>
      <c r="T194" s="9"/>
      <c r="U194" s="19"/>
      <c r="V194" s="44"/>
      <c r="W194" s="39"/>
      <c r="X194" s="39"/>
      <c r="Y194" s="39"/>
      <c r="Z194" s="39"/>
      <c r="AA194" s="40"/>
      <c r="AB194" s="39"/>
      <c r="AC194" s="39"/>
      <c r="AD194" s="40"/>
      <c r="AE194" s="39"/>
      <c r="AF194" s="39"/>
      <c r="AG194" s="40"/>
      <c r="AH194" s="39"/>
    </row>
    <row r="195" spans="1:34" x14ac:dyDescent="0.25">
      <c r="A195" s="105">
        <f t="shared" si="2"/>
        <v>35655</v>
      </c>
      <c r="B195" s="16"/>
      <c r="C195" s="16">
        <f>SUM('Weekly Data'!E192:E195)/4</f>
        <v>2517</v>
      </c>
      <c r="D195" s="16"/>
      <c r="E195" s="16">
        <f>SUM('Weekly Data'!G192:G195)/4</f>
        <v>2712.75</v>
      </c>
      <c r="F195" s="16">
        <f>SUM('Weekly Data'!H192:H195)/4</f>
        <v>108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9"/>
      <c r="R195" s="13">
        <v>35655</v>
      </c>
      <c r="S195" s="44"/>
      <c r="T195" s="9"/>
      <c r="U195" s="19"/>
      <c r="V195" s="44"/>
      <c r="W195" s="39"/>
      <c r="X195" s="39"/>
      <c r="Y195" s="39"/>
      <c r="Z195" s="39"/>
      <c r="AA195" s="40"/>
      <c r="AB195" s="39"/>
      <c r="AC195" s="39"/>
      <c r="AD195" s="40"/>
      <c r="AE195" s="39"/>
      <c r="AF195" s="39"/>
      <c r="AG195" s="40"/>
      <c r="AH195" s="39"/>
    </row>
    <row r="196" spans="1:34" x14ac:dyDescent="0.25">
      <c r="A196" s="105">
        <f t="shared" si="2"/>
        <v>35662</v>
      </c>
      <c r="B196" s="16"/>
      <c r="C196" s="16">
        <f>SUM('Weekly Data'!E193:E196)/4</f>
        <v>2671.25</v>
      </c>
      <c r="D196" s="16"/>
      <c r="E196" s="16">
        <f>SUM('Weekly Data'!G193:G196)/4</f>
        <v>2869</v>
      </c>
      <c r="F196" s="16">
        <f>SUM('Weekly Data'!H193:H196)/4</f>
        <v>91.75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9"/>
      <c r="R196" s="13">
        <v>35662</v>
      </c>
      <c r="S196" s="44"/>
      <c r="T196" s="9"/>
      <c r="U196" s="19"/>
      <c r="V196" s="44"/>
      <c r="W196" s="39"/>
      <c r="X196" s="39"/>
      <c r="Y196" s="39"/>
      <c r="Z196" s="39"/>
      <c r="AA196" s="40"/>
      <c r="AB196" s="39"/>
      <c r="AC196" s="39"/>
      <c r="AD196" s="40"/>
      <c r="AE196" s="39"/>
      <c r="AF196" s="39"/>
      <c r="AG196" s="40"/>
      <c r="AH196" s="39"/>
    </row>
    <row r="197" spans="1:34" x14ac:dyDescent="0.25">
      <c r="A197" s="105">
        <f t="shared" si="2"/>
        <v>35669</v>
      </c>
      <c r="B197" s="16"/>
      <c r="C197" s="16">
        <f>SUM('Weekly Data'!E194:E197)/4</f>
        <v>2649.75</v>
      </c>
      <c r="D197" s="16"/>
      <c r="E197" s="16">
        <f>SUM('Weekly Data'!G194:G197)/4</f>
        <v>2951.25</v>
      </c>
      <c r="F197" s="16">
        <f>SUM('Weekly Data'!H194:H197)/4</f>
        <v>93.5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9"/>
      <c r="R197" s="13">
        <v>35669</v>
      </c>
      <c r="S197" s="44"/>
      <c r="T197" s="9"/>
      <c r="U197" s="19"/>
      <c r="V197" s="44"/>
      <c r="W197" s="39"/>
      <c r="X197" s="39"/>
      <c r="Y197" s="39"/>
      <c r="Z197" s="39"/>
      <c r="AA197" s="40"/>
      <c r="AB197" s="39"/>
      <c r="AC197" s="39"/>
      <c r="AD197" s="40"/>
      <c r="AE197" s="39"/>
      <c r="AF197" s="39"/>
      <c r="AG197" s="40"/>
      <c r="AH197" s="39"/>
    </row>
    <row r="198" spans="1:34" x14ac:dyDescent="0.25">
      <c r="A198" s="105">
        <f t="shared" si="2"/>
        <v>35676</v>
      </c>
      <c r="B198" s="16"/>
      <c r="C198" s="16">
        <f>SUM('Weekly Data'!E195:E198)/4</f>
        <v>2400</v>
      </c>
      <c r="D198" s="16"/>
      <c r="E198" s="16">
        <f>SUM('Weekly Data'!G195:G198)/4</f>
        <v>3088.5</v>
      </c>
      <c r="F198" s="16">
        <f>SUM('Weekly Data'!H195:H198)/4</f>
        <v>74.75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9"/>
      <c r="R198" s="13">
        <v>35676</v>
      </c>
      <c r="S198" s="44"/>
      <c r="T198" s="9"/>
      <c r="U198" s="19"/>
      <c r="V198" s="44"/>
      <c r="W198" s="39"/>
      <c r="X198" s="39"/>
      <c r="Y198" s="39"/>
      <c r="Z198" s="39"/>
      <c r="AA198" s="40"/>
      <c r="AB198" s="39"/>
      <c r="AC198" s="39"/>
      <c r="AD198" s="40"/>
      <c r="AE198" s="39"/>
      <c r="AF198" s="39"/>
      <c r="AG198" s="40"/>
      <c r="AH198" s="39"/>
    </row>
    <row r="199" spans="1:34" x14ac:dyDescent="0.25">
      <c r="A199" s="105">
        <f t="shared" si="2"/>
        <v>35683</v>
      </c>
      <c r="B199" s="16"/>
      <c r="C199" s="16">
        <f>SUM('Weekly Data'!E196:E199)/4</f>
        <v>2493.75</v>
      </c>
      <c r="D199" s="16"/>
      <c r="E199" s="16">
        <f>SUM('Weekly Data'!G196:G199)/4</f>
        <v>3041</v>
      </c>
      <c r="F199" s="16">
        <f>SUM('Weekly Data'!H196:H199)/4</f>
        <v>67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9"/>
      <c r="R199" s="13">
        <v>35683</v>
      </c>
      <c r="S199" s="44"/>
      <c r="T199" s="9"/>
      <c r="U199" s="19"/>
      <c r="V199" s="44"/>
      <c r="W199" s="39"/>
      <c r="X199" s="39"/>
      <c r="Y199" s="39"/>
      <c r="Z199" s="39"/>
      <c r="AA199" s="40"/>
      <c r="AB199" s="39"/>
      <c r="AC199" s="39"/>
      <c r="AD199" s="40"/>
      <c r="AE199" s="39"/>
      <c r="AF199" s="39"/>
      <c r="AG199" s="40"/>
      <c r="AH199" s="39"/>
    </row>
    <row r="200" spans="1:34" x14ac:dyDescent="0.25">
      <c r="A200" s="105">
        <f t="shared" si="2"/>
        <v>35690</v>
      </c>
      <c r="B200" s="16"/>
      <c r="C200" s="16">
        <f>SUM('Weekly Data'!E197:E200)/4</f>
        <v>2205</v>
      </c>
      <c r="D200" s="16"/>
      <c r="E200" s="16">
        <f>SUM('Weekly Data'!G197:G200)/4</f>
        <v>3047.25</v>
      </c>
      <c r="F200" s="16">
        <f>SUM('Weekly Data'!H197:H200)/4</f>
        <v>55.25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9"/>
      <c r="R200" s="13">
        <v>35690</v>
      </c>
      <c r="S200" s="44"/>
      <c r="T200" s="9"/>
      <c r="U200" s="19"/>
      <c r="V200" s="44"/>
      <c r="W200" s="39"/>
      <c r="X200" s="39"/>
      <c r="Y200" s="39"/>
      <c r="Z200" s="39"/>
      <c r="AA200" s="40"/>
      <c r="AB200" s="39"/>
      <c r="AC200" s="39"/>
      <c r="AD200" s="40"/>
      <c r="AE200" s="39"/>
      <c r="AF200" s="39"/>
      <c r="AG200" s="40"/>
      <c r="AH200" s="39"/>
    </row>
    <row r="201" spans="1:34" x14ac:dyDescent="0.25">
      <c r="A201" s="105">
        <f t="shared" si="2"/>
        <v>35697</v>
      </c>
      <c r="B201" s="16"/>
      <c r="C201" s="16">
        <f>SUM('Weekly Data'!E198:E201)/4</f>
        <v>2149.5</v>
      </c>
      <c r="D201" s="16"/>
      <c r="E201" s="16">
        <f>SUM('Weekly Data'!G198:G201)/4</f>
        <v>3175.5</v>
      </c>
      <c r="F201" s="16">
        <f>SUM('Weekly Data'!H198:H201)/4</f>
        <v>53.25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9"/>
      <c r="R201" s="13">
        <v>35697</v>
      </c>
      <c r="S201" s="44"/>
      <c r="T201" s="9"/>
      <c r="U201" s="19"/>
      <c r="V201" s="44"/>
      <c r="W201" s="39"/>
      <c r="X201" s="39"/>
      <c r="Y201" s="39"/>
      <c r="Z201" s="39"/>
      <c r="AA201" s="40"/>
      <c r="AB201" s="39"/>
      <c r="AC201" s="39"/>
      <c r="AD201" s="40"/>
      <c r="AE201" s="39"/>
      <c r="AF201" s="39"/>
      <c r="AG201" s="40"/>
      <c r="AH201" s="39"/>
    </row>
    <row r="202" spans="1:34" x14ac:dyDescent="0.25">
      <c r="A202" s="105">
        <f t="shared" si="2"/>
        <v>35704</v>
      </c>
      <c r="B202" s="16"/>
      <c r="C202" s="16">
        <f>SUM('Weekly Data'!E199:E202)/4</f>
        <v>2352.5</v>
      </c>
      <c r="D202" s="16"/>
      <c r="E202" s="16">
        <f>SUM('Weekly Data'!G199:G202)/4</f>
        <v>3072.25</v>
      </c>
      <c r="F202" s="16">
        <f>SUM('Weekly Data'!H199:H202)/4</f>
        <v>53.5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9"/>
      <c r="R202" s="13">
        <v>35704</v>
      </c>
      <c r="S202" s="44"/>
      <c r="T202" s="9"/>
      <c r="U202" s="19"/>
      <c r="V202" s="44"/>
      <c r="W202" s="39"/>
      <c r="X202" s="39"/>
      <c r="Y202" s="39"/>
      <c r="Z202" s="39"/>
      <c r="AA202" s="40"/>
      <c r="AB202" s="39"/>
      <c r="AC202" s="39"/>
      <c r="AD202" s="40"/>
      <c r="AE202" s="39"/>
      <c r="AF202" s="39"/>
      <c r="AG202" s="40"/>
      <c r="AH202" s="39"/>
    </row>
    <row r="203" spans="1:34" x14ac:dyDescent="0.25">
      <c r="A203" s="105">
        <f t="shared" si="2"/>
        <v>35711</v>
      </c>
      <c r="B203" s="16"/>
      <c r="C203" s="16">
        <f>SUM('Weekly Data'!E200:E203)/4</f>
        <v>2146.5</v>
      </c>
      <c r="D203" s="16"/>
      <c r="E203" s="16">
        <f>SUM('Weekly Data'!G200:G203)/4</f>
        <v>3222.25</v>
      </c>
      <c r="F203" s="16">
        <f>SUM('Weekly Data'!H200:H203)/4</f>
        <v>96.75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9"/>
      <c r="R203" s="13">
        <v>35711</v>
      </c>
      <c r="S203" s="44"/>
      <c r="T203" s="9"/>
      <c r="U203" s="19"/>
      <c r="V203" s="44"/>
      <c r="W203" s="39"/>
      <c r="X203" s="39"/>
      <c r="Y203" s="39"/>
      <c r="Z203" s="39"/>
      <c r="AA203" s="40"/>
      <c r="AB203" s="39"/>
      <c r="AC203" s="39"/>
      <c r="AD203" s="40"/>
      <c r="AE203" s="39"/>
      <c r="AF203" s="39"/>
      <c r="AG203" s="40"/>
      <c r="AH203" s="39"/>
    </row>
    <row r="204" spans="1:34" x14ac:dyDescent="0.25">
      <c r="A204" s="105">
        <f t="shared" si="2"/>
        <v>35718</v>
      </c>
      <c r="B204" s="16"/>
      <c r="C204" s="16">
        <f>SUM('Weekly Data'!E201:E204)/4</f>
        <v>2144</v>
      </c>
      <c r="D204" s="16"/>
      <c r="E204" s="16">
        <f>SUM('Weekly Data'!G201:G204)/4</f>
        <v>3430.25</v>
      </c>
      <c r="F204" s="16">
        <f>SUM('Weekly Data'!H201:H204)/4</f>
        <v>127.5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9"/>
      <c r="R204" s="13">
        <v>35718</v>
      </c>
      <c r="S204" s="44"/>
      <c r="T204" s="9"/>
      <c r="U204" s="19"/>
      <c r="V204" s="44"/>
      <c r="W204" s="39"/>
      <c r="X204" s="39"/>
      <c r="Y204" s="39"/>
      <c r="Z204" s="39"/>
      <c r="AA204" s="40"/>
      <c r="AB204" s="39"/>
      <c r="AC204" s="39"/>
      <c r="AD204" s="40"/>
      <c r="AE204" s="39"/>
      <c r="AF204" s="39"/>
      <c r="AG204" s="40"/>
      <c r="AH204" s="39"/>
    </row>
    <row r="205" spans="1:34" x14ac:dyDescent="0.25">
      <c r="A205" s="105">
        <f t="shared" ref="A205:A268" si="3">A204+7</f>
        <v>35725</v>
      </c>
      <c r="B205" s="16"/>
      <c r="C205" s="16">
        <f>SUM('Weekly Data'!E202:E205)/4</f>
        <v>2068.5</v>
      </c>
      <c r="D205" s="16"/>
      <c r="E205" s="16">
        <f>SUM('Weekly Data'!G202:G205)/4</f>
        <v>3549.5</v>
      </c>
      <c r="F205" s="16">
        <f>SUM('Weekly Data'!H202:H205)/4</f>
        <v>240.5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9"/>
      <c r="R205" s="13">
        <v>35725</v>
      </c>
      <c r="S205" s="44"/>
      <c r="T205" s="9"/>
      <c r="U205" s="19"/>
      <c r="V205" s="44"/>
      <c r="W205" s="39"/>
      <c r="X205" s="39"/>
      <c r="Y205" s="39"/>
      <c r="Z205" s="39"/>
      <c r="AA205" s="40"/>
      <c r="AB205" s="39"/>
      <c r="AC205" s="39"/>
      <c r="AD205" s="40"/>
      <c r="AE205" s="39"/>
      <c r="AF205" s="39"/>
      <c r="AG205" s="40"/>
      <c r="AH205" s="39"/>
    </row>
    <row r="206" spans="1:34" x14ac:dyDescent="0.25">
      <c r="A206" s="105">
        <f t="shared" si="3"/>
        <v>35732</v>
      </c>
      <c r="B206" s="16"/>
      <c r="C206" s="16">
        <f>SUM('Weekly Data'!E203:E206)/4</f>
        <v>1821.25</v>
      </c>
      <c r="D206" s="16"/>
      <c r="E206" s="16">
        <f>SUM('Weekly Data'!G203:G206)/4</f>
        <v>3714</v>
      </c>
      <c r="F206" s="16">
        <f>SUM('Weekly Data'!H203:H206)/4</f>
        <v>387.5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9"/>
      <c r="R206" s="13">
        <v>35732</v>
      </c>
      <c r="S206" s="44"/>
      <c r="T206" s="9"/>
      <c r="U206" s="19"/>
      <c r="V206" s="44"/>
      <c r="W206" s="39"/>
      <c r="X206" s="39"/>
      <c r="Y206" s="39"/>
      <c r="Z206" s="39"/>
      <c r="AA206" s="40"/>
      <c r="AB206" s="39"/>
      <c r="AC206" s="39"/>
      <c r="AD206" s="40"/>
      <c r="AE206" s="39"/>
      <c r="AF206" s="39"/>
      <c r="AG206" s="40"/>
      <c r="AH206" s="39"/>
    </row>
    <row r="207" spans="1:34" x14ac:dyDescent="0.25">
      <c r="A207" s="105">
        <f t="shared" si="3"/>
        <v>35739</v>
      </c>
      <c r="B207" s="16"/>
      <c r="C207" s="16">
        <f>SUM('Weekly Data'!E204:E207)/4</f>
        <v>1907.5</v>
      </c>
      <c r="D207" s="16"/>
      <c r="E207" s="16">
        <f>SUM('Weekly Data'!G204:G207)/4</f>
        <v>3967.25</v>
      </c>
      <c r="F207" s="16">
        <f>SUM('Weekly Data'!H204:H207)/4</f>
        <v>456.5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9"/>
      <c r="R207" s="13">
        <v>35739</v>
      </c>
      <c r="S207" s="44"/>
      <c r="T207" s="9"/>
      <c r="U207" s="19"/>
      <c r="V207" s="44"/>
      <c r="W207" s="39"/>
      <c r="X207" s="39"/>
      <c r="Y207" s="39"/>
      <c r="Z207" s="39"/>
      <c r="AA207" s="40"/>
      <c r="AB207" s="39"/>
      <c r="AC207" s="39"/>
      <c r="AD207" s="40"/>
      <c r="AE207" s="39"/>
      <c r="AF207" s="39"/>
      <c r="AG207" s="40"/>
      <c r="AH207" s="39"/>
    </row>
    <row r="208" spans="1:34" x14ac:dyDescent="0.25">
      <c r="A208" s="105">
        <f t="shared" si="3"/>
        <v>35746</v>
      </c>
      <c r="B208" s="16"/>
      <c r="C208" s="16">
        <f>SUM('Weekly Data'!E205:E208)/4</f>
        <v>1885</v>
      </c>
      <c r="D208" s="16"/>
      <c r="E208" s="16">
        <f>SUM('Weekly Data'!G205:G208)/4</f>
        <v>4520.75</v>
      </c>
      <c r="F208" s="16">
        <f>SUM('Weekly Data'!H205:H208)/4</f>
        <v>596.25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9"/>
      <c r="R208" s="13">
        <v>35746</v>
      </c>
      <c r="S208" s="44"/>
      <c r="T208" s="9"/>
      <c r="U208" s="19"/>
      <c r="V208" s="44"/>
      <c r="W208" s="39"/>
      <c r="X208" s="39"/>
      <c r="Y208" s="39"/>
      <c r="Z208" s="39"/>
      <c r="AA208" s="40"/>
      <c r="AB208" s="39"/>
      <c r="AC208" s="39"/>
      <c r="AD208" s="40"/>
      <c r="AE208" s="39"/>
      <c r="AF208" s="39"/>
      <c r="AG208" s="40"/>
      <c r="AH208" s="39"/>
    </row>
    <row r="209" spans="1:34" x14ac:dyDescent="0.25">
      <c r="A209" s="105">
        <f t="shared" si="3"/>
        <v>35753</v>
      </c>
      <c r="B209" s="16"/>
      <c r="C209" s="16">
        <f>SUM('Weekly Data'!E206:E209)/4</f>
        <v>1873.5</v>
      </c>
      <c r="D209" s="16"/>
      <c r="E209" s="16">
        <f>SUM('Weekly Data'!G206:G209)/4</f>
        <v>5043.25</v>
      </c>
      <c r="F209" s="16">
        <f>SUM('Weekly Data'!H206:H209)/4</f>
        <v>626.75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9"/>
      <c r="R209" s="13">
        <v>35753</v>
      </c>
      <c r="S209" s="44"/>
      <c r="T209" s="9"/>
      <c r="U209" s="19"/>
      <c r="V209" s="44"/>
      <c r="W209" s="39"/>
      <c r="X209" s="39"/>
      <c r="Y209" s="39"/>
      <c r="Z209" s="39"/>
      <c r="AA209" s="40"/>
      <c r="AB209" s="39"/>
      <c r="AC209" s="39"/>
      <c r="AD209" s="40"/>
      <c r="AE209" s="39"/>
      <c r="AF209" s="39"/>
      <c r="AG209" s="40"/>
      <c r="AH209" s="39"/>
    </row>
    <row r="210" spans="1:34" x14ac:dyDescent="0.25">
      <c r="A210" s="105">
        <f t="shared" si="3"/>
        <v>35760</v>
      </c>
      <c r="B210" s="16"/>
      <c r="C210" s="16">
        <f>SUM('Weekly Data'!E207:E210)/4</f>
        <v>1977.5</v>
      </c>
      <c r="D210" s="16"/>
      <c r="E210" s="16">
        <f>SUM('Weekly Data'!G207:G210)/4</f>
        <v>5300</v>
      </c>
      <c r="F210" s="16">
        <f>SUM('Weekly Data'!H207:H210)/4</f>
        <v>545.75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9"/>
      <c r="R210" s="13">
        <v>35760</v>
      </c>
      <c r="S210" s="44"/>
      <c r="T210" s="9"/>
      <c r="U210" s="19"/>
      <c r="V210" s="44"/>
      <c r="W210" s="39"/>
      <c r="X210" s="39"/>
      <c r="Y210" s="39"/>
      <c r="Z210" s="39"/>
      <c r="AA210" s="40"/>
      <c r="AB210" s="39"/>
      <c r="AC210" s="39"/>
      <c r="AD210" s="40"/>
      <c r="AE210" s="39"/>
      <c r="AF210" s="39"/>
      <c r="AG210" s="40"/>
      <c r="AH210" s="39"/>
    </row>
    <row r="211" spans="1:34" x14ac:dyDescent="0.25">
      <c r="A211" s="105">
        <f t="shared" si="3"/>
        <v>35767</v>
      </c>
      <c r="B211" s="16"/>
      <c r="C211" s="16">
        <f>SUM('Weekly Data'!E208:E211)/4</f>
        <v>1822</v>
      </c>
      <c r="D211" s="16"/>
      <c r="E211" s="16">
        <f>SUM('Weekly Data'!G208:G211)/4</f>
        <v>5146</v>
      </c>
      <c r="F211" s="16">
        <f>SUM('Weekly Data'!H208:H211)/4</f>
        <v>436.5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9"/>
      <c r="R211" s="13">
        <v>35767</v>
      </c>
      <c r="S211" s="44"/>
      <c r="T211" s="9"/>
      <c r="U211" s="19"/>
      <c r="V211" s="44"/>
      <c r="W211" s="39"/>
      <c r="X211" s="39"/>
      <c r="Y211" s="39"/>
      <c r="Z211" s="39"/>
      <c r="AA211" s="40"/>
      <c r="AB211" s="39"/>
      <c r="AC211" s="39"/>
      <c r="AD211" s="40"/>
      <c r="AE211" s="39"/>
      <c r="AF211" s="39"/>
      <c r="AG211" s="40"/>
      <c r="AH211" s="39"/>
    </row>
    <row r="212" spans="1:34" x14ac:dyDescent="0.25">
      <c r="A212" s="105">
        <f t="shared" si="3"/>
        <v>35774</v>
      </c>
      <c r="B212" s="16"/>
      <c r="C212" s="16">
        <f>SUM('Weekly Data'!E209:E212)/4</f>
        <v>1696.25</v>
      </c>
      <c r="D212" s="16"/>
      <c r="E212" s="16">
        <f>SUM('Weekly Data'!G209:G212)/4</f>
        <v>5026</v>
      </c>
      <c r="F212" s="16">
        <f>SUM('Weekly Data'!H209:H212)/4</f>
        <v>267.25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9"/>
      <c r="R212" s="13">
        <v>35774</v>
      </c>
      <c r="S212" s="44"/>
      <c r="T212" s="9"/>
      <c r="U212" s="19"/>
      <c r="V212" s="44"/>
      <c r="W212" s="39"/>
      <c r="X212" s="39"/>
      <c r="Y212" s="39"/>
      <c r="Z212" s="39"/>
      <c r="AA212" s="40"/>
      <c r="AB212" s="39"/>
      <c r="AC212" s="39"/>
      <c r="AD212" s="40"/>
      <c r="AE212" s="39"/>
      <c r="AF212" s="39"/>
      <c r="AG212" s="40"/>
      <c r="AH212" s="39"/>
    </row>
    <row r="213" spans="1:34" x14ac:dyDescent="0.25">
      <c r="A213" s="105">
        <f t="shared" si="3"/>
        <v>35781</v>
      </c>
      <c r="B213" s="16"/>
      <c r="C213" s="16">
        <f>SUM('Weekly Data'!E210:E213)/4</f>
        <v>1628.75</v>
      </c>
      <c r="D213" s="16"/>
      <c r="E213" s="16">
        <f>SUM('Weekly Data'!G210:G213)/4</f>
        <v>4629</v>
      </c>
      <c r="F213" s="16">
        <f>SUM('Weekly Data'!H210:H213)/4</f>
        <v>180.75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9"/>
      <c r="R213" s="13">
        <v>35781</v>
      </c>
      <c r="S213" s="44"/>
      <c r="T213" s="9"/>
      <c r="U213" s="19"/>
      <c r="V213" s="44"/>
      <c r="W213" s="39"/>
      <c r="X213" s="39"/>
      <c r="Y213" s="39"/>
      <c r="Z213" s="39"/>
      <c r="AA213" s="40"/>
      <c r="AB213" s="39"/>
      <c r="AC213" s="39"/>
      <c r="AD213" s="40"/>
      <c r="AE213" s="39"/>
      <c r="AF213" s="39"/>
      <c r="AG213" s="40"/>
      <c r="AH213" s="39"/>
    </row>
    <row r="214" spans="1:34" x14ac:dyDescent="0.25">
      <c r="A214" s="105">
        <f t="shared" si="3"/>
        <v>35788</v>
      </c>
      <c r="B214" s="16"/>
      <c r="C214" s="16">
        <f>SUM('Weekly Data'!E211:E214)/4</f>
        <v>1529.5</v>
      </c>
      <c r="D214" s="16"/>
      <c r="E214" s="16">
        <f>SUM('Weekly Data'!G211:G214)/4</f>
        <v>4177</v>
      </c>
      <c r="F214" s="16">
        <f>SUM('Weekly Data'!H211:H214)/4</f>
        <v>193.5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9"/>
      <c r="R214" s="13">
        <v>35788</v>
      </c>
      <c r="S214" s="44"/>
      <c r="T214" s="9"/>
      <c r="U214" s="19"/>
      <c r="V214" s="44"/>
      <c r="W214" s="39"/>
      <c r="X214" s="39"/>
      <c r="Y214" s="39"/>
      <c r="Z214" s="39"/>
      <c r="AA214" s="40"/>
      <c r="AB214" s="39"/>
      <c r="AC214" s="39"/>
      <c r="AD214" s="40"/>
      <c r="AE214" s="39"/>
      <c r="AF214" s="39"/>
      <c r="AG214" s="40"/>
      <c r="AH214" s="39"/>
    </row>
    <row r="215" spans="1:34" x14ac:dyDescent="0.25">
      <c r="A215" s="105">
        <f t="shared" si="3"/>
        <v>35795</v>
      </c>
      <c r="B215" s="16"/>
      <c r="C215" s="16">
        <f>SUM('Weekly Data'!E212:E215)/4</f>
        <v>1790.5</v>
      </c>
      <c r="D215" s="16"/>
      <c r="E215" s="16">
        <f>SUM('Weekly Data'!G212:G215)/4</f>
        <v>3897.5</v>
      </c>
      <c r="F215" s="16">
        <f>SUM('Weekly Data'!H212:H215)/4</f>
        <v>216.25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9"/>
      <c r="R215" s="13">
        <v>35795</v>
      </c>
      <c r="S215" s="44"/>
      <c r="T215" s="9"/>
      <c r="U215" s="19"/>
      <c r="V215" s="44"/>
      <c r="W215" s="39"/>
      <c r="X215" s="39"/>
      <c r="Y215" s="39"/>
      <c r="Z215" s="39"/>
      <c r="AA215" s="40"/>
      <c r="AB215" s="39"/>
      <c r="AC215" s="39"/>
      <c r="AD215" s="40"/>
      <c r="AE215" s="39"/>
      <c r="AF215" s="39"/>
      <c r="AG215" s="40"/>
      <c r="AH215" s="39"/>
    </row>
    <row r="216" spans="1:34" x14ac:dyDescent="0.25">
      <c r="A216" s="105">
        <f t="shared" si="3"/>
        <v>35802</v>
      </c>
      <c r="B216" s="16"/>
      <c r="C216" s="16">
        <f>SUM('Weekly Data'!E213:E216)/4</f>
        <v>1865.5</v>
      </c>
      <c r="D216" s="16"/>
      <c r="E216" s="16">
        <f>SUM('Weekly Data'!G213:G216)/4</f>
        <v>3289.25</v>
      </c>
      <c r="F216" s="16">
        <f>SUM('Weekly Data'!H213:H216)/4</f>
        <v>203.5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9"/>
      <c r="R216" s="13">
        <v>35802</v>
      </c>
      <c r="S216" s="44"/>
      <c r="T216" s="9"/>
      <c r="U216" s="19"/>
      <c r="V216" s="44"/>
      <c r="W216" s="39"/>
      <c r="X216" s="39"/>
      <c r="Y216" s="39"/>
      <c r="Z216" s="39"/>
      <c r="AA216" s="40"/>
      <c r="AB216" s="39"/>
      <c r="AC216" s="39"/>
      <c r="AD216" s="40"/>
      <c r="AE216" s="39"/>
      <c r="AF216" s="39"/>
      <c r="AG216" s="40"/>
      <c r="AH216" s="39"/>
    </row>
    <row r="217" spans="1:34" x14ac:dyDescent="0.25">
      <c r="A217" s="105">
        <f t="shared" si="3"/>
        <v>35809</v>
      </c>
      <c r="B217" s="16"/>
      <c r="C217" s="16">
        <f>SUM('Weekly Data'!E214:E217)/4</f>
        <v>1955.25</v>
      </c>
      <c r="D217" s="16"/>
      <c r="E217" s="16">
        <f>SUM('Weekly Data'!G214:G217)/4</f>
        <v>2938.25</v>
      </c>
      <c r="F217" s="16">
        <f>SUM('Weekly Data'!H214:H217)/4</f>
        <v>220.25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9"/>
      <c r="R217" s="13">
        <v>35809</v>
      </c>
      <c r="S217" s="44"/>
      <c r="T217" s="9"/>
      <c r="U217" s="19"/>
      <c r="V217" s="44"/>
      <c r="W217" s="39"/>
      <c r="X217" s="39"/>
      <c r="Y217" s="39"/>
      <c r="Z217" s="39"/>
      <c r="AA217" s="40"/>
      <c r="AB217" s="39"/>
      <c r="AC217" s="39"/>
      <c r="AD217" s="40"/>
      <c r="AE217" s="39"/>
      <c r="AF217" s="39"/>
      <c r="AG217" s="40"/>
      <c r="AH217" s="39"/>
    </row>
    <row r="218" spans="1:34" x14ac:dyDescent="0.25">
      <c r="A218" s="105">
        <f t="shared" si="3"/>
        <v>35816</v>
      </c>
      <c r="B218" s="16"/>
      <c r="C218" s="16">
        <f>SUM('Weekly Data'!E215:E218)/4</f>
        <v>2045</v>
      </c>
      <c r="D218" s="16"/>
      <c r="E218" s="16">
        <f>SUM('Weekly Data'!G215:G218)/4</f>
        <v>3154</v>
      </c>
      <c r="F218" s="16">
        <f>SUM('Weekly Data'!H215:H218)/4</f>
        <v>160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9"/>
      <c r="R218" s="13">
        <v>35816</v>
      </c>
      <c r="S218" s="44"/>
      <c r="T218" s="9"/>
      <c r="U218" s="19"/>
      <c r="V218" s="44"/>
      <c r="W218" s="39"/>
      <c r="X218" s="39"/>
      <c r="Y218" s="39"/>
      <c r="Z218" s="39"/>
      <c r="AA218" s="40"/>
      <c r="AB218" s="39"/>
      <c r="AC218" s="39"/>
      <c r="AD218" s="40"/>
      <c r="AE218" s="39"/>
      <c r="AF218" s="39"/>
      <c r="AG218" s="40"/>
      <c r="AH218" s="39"/>
    </row>
    <row r="219" spans="1:34" x14ac:dyDescent="0.25">
      <c r="A219" s="105">
        <f t="shared" si="3"/>
        <v>35823</v>
      </c>
      <c r="B219" s="16"/>
      <c r="C219" s="16">
        <f>SUM('Weekly Data'!E216:E219)/4</f>
        <v>1990.75</v>
      </c>
      <c r="D219" s="16"/>
      <c r="E219" s="16">
        <f>SUM('Weekly Data'!G216:G219)/4</f>
        <v>3516.75</v>
      </c>
      <c r="F219" s="16">
        <f>SUM('Weekly Data'!H216:H219)/4</f>
        <v>348.5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9"/>
      <c r="R219" s="13">
        <v>35823</v>
      </c>
      <c r="S219" s="44"/>
      <c r="T219" s="44"/>
      <c r="U219" s="19"/>
      <c r="V219" s="44"/>
      <c r="W219" s="44"/>
      <c r="X219" s="39"/>
      <c r="Y219" s="39"/>
      <c r="Z219" s="39"/>
      <c r="AA219" s="40"/>
      <c r="AB219" s="44"/>
      <c r="AC219" s="39"/>
      <c r="AD219" s="40"/>
      <c r="AE219" s="44"/>
      <c r="AF219" s="39"/>
      <c r="AG219" s="40"/>
      <c r="AH219" s="44"/>
    </row>
    <row r="220" spans="1:34" x14ac:dyDescent="0.25">
      <c r="A220" s="105">
        <f t="shared" si="3"/>
        <v>35830</v>
      </c>
      <c r="B220" s="16"/>
      <c r="C220" s="16">
        <f>SUM('Weekly Data'!E217:E220)/4</f>
        <v>2191.5</v>
      </c>
      <c r="D220" s="16"/>
      <c r="E220" s="16">
        <f>SUM('Weekly Data'!G217:G220)/4</f>
        <v>4124.25</v>
      </c>
      <c r="F220" s="16">
        <f>SUM('Weekly Data'!H217:H220)/4</f>
        <v>483.25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9"/>
      <c r="R220" s="13">
        <v>35830</v>
      </c>
      <c r="S220" s="44"/>
      <c r="T220" s="44"/>
      <c r="U220" s="19"/>
      <c r="V220" s="44"/>
      <c r="W220" s="44"/>
      <c r="X220" s="39"/>
      <c r="Y220" s="39"/>
      <c r="Z220" s="39"/>
      <c r="AA220" s="40"/>
      <c r="AB220" s="44"/>
      <c r="AC220" s="39"/>
      <c r="AD220" s="40"/>
      <c r="AE220" s="44"/>
      <c r="AF220" s="39"/>
      <c r="AG220" s="40"/>
      <c r="AH220" s="44"/>
    </row>
    <row r="221" spans="1:34" x14ac:dyDescent="0.25">
      <c r="A221" s="105">
        <f t="shared" si="3"/>
        <v>35837</v>
      </c>
      <c r="B221" s="16"/>
      <c r="C221" s="16">
        <f>SUM('Weekly Data'!E218:E221)/4</f>
        <v>2281.25</v>
      </c>
      <c r="D221" s="16"/>
      <c r="E221" s="16">
        <f>SUM('Weekly Data'!G218:G221)/4</f>
        <v>4393</v>
      </c>
      <c r="F221" s="16">
        <f>SUM('Weekly Data'!H218:H221)/4</f>
        <v>497.75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9"/>
      <c r="R221" s="13">
        <v>35837</v>
      </c>
      <c r="S221" s="44"/>
      <c r="T221" s="44"/>
      <c r="U221" s="19"/>
      <c r="V221" s="44"/>
      <c r="W221" s="44"/>
      <c r="X221" s="39"/>
      <c r="Y221" s="39"/>
      <c r="Z221" s="39"/>
      <c r="AA221" s="40"/>
      <c r="AB221" s="44"/>
      <c r="AC221" s="39"/>
      <c r="AD221" s="40"/>
      <c r="AE221" s="44"/>
      <c r="AF221" s="39"/>
      <c r="AG221" s="40"/>
      <c r="AH221" s="44"/>
    </row>
    <row r="222" spans="1:34" x14ac:dyDescent="0.25">
      <c r="A222" s="105">
        <f t="shared" si="3"/>
        <v>35844</v>
      </c>
      <c r="B222" s="16"/>
      <c r="C222" s="16">
        <f>SUM('Weekly Data'!E219:E222)/4</f>
        <v>2371.25</v>
      </c>
      <c r="D222" s="16"/>
      <c r="E222" s="16">
        <f>SUM('Weekly Data'!G219:G222)/4</f>
        <v>4545.5</v>
      </c>
      <c r="F222" s="16">
        <f>SUM('Weekly Data'!H219:H222)/4</f>
        <v>622.25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9"/>
      <c r="R222" s="13">
        <v>35844</v>
      </c>
      <c r="S222" s="44"/>
      <c r="T222" s="44"/>
      <c r="U222" s="19"/>
      <c r="V222" s="44"/>
      <c r="W222" s="44"/>
      <c r="X222" s="39"/>
      <c r="Y222" s="39"/>
      <c r="Z222" s="39"/>
      <c r="AA222" s="40"/>
      <c r="AB222" s="44"/>
      <c r="AC222" s="39"/>
      <c r="AD222" s="40"/>
      <c r="AE222" s="44"/>
      <c r="AF222" s="39"/>
      <c r="AG222" s="40"/>
      <c r="AH222" s="44"/>
    </row>
    <row r="223" spans="1:34" x14ac:dyDescent="0.25">
      <c r="A223" s="105">
        <f t="shared" si="3"/>
        <v>35851</v>
      </c>
      <c r="B223" s="16"/>
      <c r="C223" s="16">
        <f>SUM('Weekly Data'!E220:E223)/4</f>
        <v>2368.25</v>
      </c>
      <c r="D223" s="16"/>
      <c r="E223" s="16">
        <f>SUM('Weekly Data'!G220:G223)/4</f>
        <v>4433.75</v>
      </c>
      <c r="F223" s="16">
        <f>SUM('Weekly Data'!H220:H223)/4</f>
        <v>468.25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9"/>
      <c r="R223" s="13">
        <v>35851</v>
      </c>
      <c r="S223" s="44"/>
      <c r="T223" s="44"/>
      <c r="U223" s="19"/>
      <c r="V223" s="44"/>
      <c r="W223" s="44"/>
      <c r="X223" s="39"/>
      <c r="Y223" s="39"/>
      <c r="Z223" s="39"/>
      <c r="AA223" s="40"/>
      <c r="AB223" s="44"/>
      <c r="AC223" s="39"/>
      <c r="AD223" s="40"/>
      <c r="AE223" s="44"/>
      <c r="AF223" s="39"/>
      <c r="AG223" s="40"/>
      <c r="AH223" s="44"/>
    </row>
    <row r="224" spans="1:34" x14ac:dyDescent="0.25">
      <c r="A224" s="105">
        <f t="shared" si="3"/>
        <v>35858</v>
      </c>
      <c r="B224" s="16"/>
      <c r="C224" s="16">
        <f>SUM('Weekly Data'!E221:E224)/4</f>
        <v>2301.75</v>
      </c>
      <c r="D224" s="16"/>
      <c r="E224" s="16">
        <f>SUM('Weekly Data'!G221:G224)/4</f>
        <v>4130.25</v>
      </c>
      <c r="F224" s="16">
        <f>SUM('Weekly Data'!H221:H224)/4</f>
        <v>371.75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9"/>
      <c r="R224" s="13">
        <v>35858</v>
      </c>
      <c r="S224" s="44"/>
      <c r="T224" s="44"/>
      <c r="U224" s="19"/>
      <c r="V224" s="44"/>
      <c r="W224" s="44"/>
      <c r="X224" s="39"/>
      <c r="Y224" s="39"/>
      <c r="Z224" s="39"/>
      <c r="AA224" s="40"/>
      <c r="AB224" s="44"/>
      <c r="AC224" s="39"/>
      <c r="AD224" s="40"/>
      <c r="AE224" s="44"/>
      <c r="AF224" s="39"/>
      <c r="AG224" s="40"/>
      <c r="AH224" s="44"/>
    </row>
    <row r="225" spans="1:34" x14ac:dyDescent="0.25">
      <c r="A225" s="105">
        <f t="shared" si="3"/>
        <v>35865</v>
      </c>
      <c r="B225" s="16"/>
      <c r="C225" s="16">
        <f>SUM('Weekly Data'!E222:E225)/4</f>
        <v>2307.75</v>
      </c>
      <c r="D225" s="16"/>
      <c r="E225" s="16">
        <f>SUM('Weekly Data'!G222:G225)/4</f>
        <v>4246.25</v>
      </c>
      <c r="F225" s="16">
        <f>SUM('Weekly Data'!H222:H225)/4</f>
        <v>303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9"/>
      <c r="R225" s="13">
        <v>35865</v>
      </c>
      <c r="S225" s="44"/>
      <c r="T225" s="44"/>
      <c r="U225" s="19"/>
      <c r="V225" s="44"/>
      <c r="W225" s="44"/>
      <c r="X225" s="39"/>
      <c r="Y225" s="39"/>
      <c r="Z225" s="39"/>
      <c r="AA225" s="40"/>
      <c r="AB225" s="44"/>
      <c r="AC225" s="39"/>
      <c r="AD225" s="40"/>
      <c r="AE225" s="44"/>
      <c r="AF225" s="39"/>
      <c r="AG225" s="40"/>
      <c r="AH225" s="44"/>
    </row>
    <row r="226" spans="1:34" x14ac:dyDescent="0.25">
      <c r="A226" s="105">
        <f t="shared" si="3"/>
        <v>35872</v>
      </c>
      <c r="B226" s="16"/>
      <c r="C226" s="16">
        <f>SUM('Weekly Data'!E223:E226)/4</f>
        <v>2236</v>
      </c>
      <c r="D226" s="16"/>
      <c r="E226" s="16">
        <f>SUM('Weekly Data'!G223:G226)/4</f>
        <v>3804.5</v>
      </c>
      <c r="F226" s="16">
        <f>SUM('Weekly Data'!H223:H226)/4</f>
        <v>266.75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9"/>
      <c r="R226" s="13">
        <v>35872</v>
      </c>
      <c r="S226" s="44"/>
      <c r="T226" s="44"/>
      <c r="U226" s="19"/>
      <c r="V226" s="44"/>
      <c r="W226" s="44"/>
      <c r="X226" s="39"/>
      <c r="Y226" s="39"/>
      <c r="Z226" s="39"/>
      <c r="AA226" s="40"/>
      <c r="AB226" s="44"/>
      <c r="AC226" s="39"/>
      <c r="AD226" s="40"/>
      <c r="AE226" s="44"/>
      <c r="AF226" s="39"/>
      <c r="AG226" s="40"/>
      <c r="AH226" s="44"/>
    </row>
    <row r="227" spans="1:34" x14ac:dyDescent="0.25">
      <c r="A227" s="105">
        <f t="shared" si="3"/>
        <v>35879</v>
      </c>
      <c r="B227" s="16"/>
      <c r="C227" s="16">
        <f>SUM('Weekly Data'!E224:E227)/4</f>
        <v>2014.75</v>
      </c>
      <c r="D227" s="16"/>
      <c r="E227" s="16">
        <f>SUM('Weekly Data'!G224:G227)/4</f>
        <v>3794</v>
      </c>
      <c r="F227" s="16">
        <f>SUM('Weekly Data'!H224:H227)/4</f>
        <v>243.75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9"/>
      <c r="R227" s="13">
        <v>35879</v>
      </c>
      <c r="S227" s="44"/>
      <c r="T227" s="44"/>
      <c r="U227" s="19"/>
      <c r="V227" s="44"/>
      <c r="W227" s="44"/>
      <c r="X227" s="39"/>
      <c r="Y227" s="39"/>
      <c r="Z227" s="39"/>
      <c r="AA227" s="40"/>
      <c r="AB227" s="44"/>
      <c r="AC227" s="39"/>
      <c r="AD227" s="40"/>
      <c r="AE227" s="44"/>
      <c r="AF227" s="39"/>
      <c r="AG227" s="40"/>
      <c r="AH227" s="44"/>
    </row>
    <row r="228" spans="1:34" x14ac:dyDescent="0.25">
      <c r="A228" s="105">
        <f t="shared" si="3"/>
        <v>35886</v>
      </c>
      <c r="B228" s="16"/>
      <c r="C228" s="16">
        <f>SUM('Weekly Data'!E225:E228)/4</f>
        <v>2038</v>
      </c>
      <c r="D228" s="16"/>
      <c r="E228" s="16">
        <f>SUM('Weekly Data'!G225:G228)/4</f>
        <v>3666.25</v>
      </c>
      <c r="F228" s="16">
        <f>SUM('Weekly Data'!H225:H228)/4</f>
        <v>249.75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9"/>
      <c r="R228" s="13">
        <v>35886</v>
      </c>
      <c r="S228" s="44"/>
      <c r="T228" s="44"/>
      <c r="U228" s="19"/>
      <c r="V228" s="44"/>
      <c r="W228" s="44"/>
      <c r="X228" s="39"/>
      <c r="Y228" s="39"/>
      <c r="Z228" s="39"/>
      <c r="AA228" s="40"/>
      <c r="AB228" s="44"/>
      <c r="AC228" s="39"/>
      <c r="AD228" s="40"/>
      <c r="AE228" s="44"/>
      <c r="AF228" s="39"/>
      <c r="AG228" s="40"/>
      <c r="AH228" s="44"/>
    </row>
    <row r="229" spans="1:34" x14ac:dyDescent="0.25">
      <c r="A229" s="105">
        <f t="shared" si="3"/>
        <v>35893</v>
      </c>
      <c r="B229" s="16"/>
      <c r="C229" s="16">
        <f>SUM('Weekly Data'!E226:E229)/4</f>
        <v>1954.5</v>
      </c>
      <c r="D229" s="16"/>
      <c r="E229" s="16">
        <f>SUM('Weekly Data'!G226:G229)/4</f>
        <v>3245.75</v>
      </c>
      <c r="F229" s="16">
        <f>SUM('Weekly Data'!H226:H229)/4</f>
        <v>254.5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9"/>
      <c r="R229" s="13">
        <v>35893</v>
      </c>
      <c r="S229" s="44"/>
      <c r="T229" s="44"/>
      <c r="U229" s="19"/>
      <c r="V229" s="44"/>
      <c r="W229" s="44"/>
      <c r="X229" s="39"/>
      <c r="Y229" s="39"/>
      <c r="Z229" s="39"/>
      <c r="AA229" s="40"/>
      <c r="AB229" s="44"/>
      <c r="AC229" s="39"/>
      <c r="AD229" s="40"/>
      <c r="AE229" s="44"/>
      <c r="AF229" s="39"/>
      <c r="AG229" s="40"/>
      <c r="AH229" s="44"/>
    </row>
    <row r="230" spans="1:34" x14ac:dyDescent="0.25">
      <c r="A230" s="105">
        <f t="shared" si="3"/>
        <v>35900</v>
      </c>
      <c r="B230" s="16"/>
      <c r="C230" s="16">
        <f>SUM('Weekly Data'!E227:E230)/4</f>
        <v>1854</v>
      </c>
      <c r="D230" s="16"/>
      <c r="E230" s="16">
        <f>SUM('Weekly Data'!G227:G230)/4</f>
        <v>3057</v>
      </c>
      <c r="F230" s="16">
        <f>SUM('Weekly Data'!H227:H230)/4</f>
        <v>193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9"/>
      <c r="R230" s="13">
        <v>35900</v>
      </c>
      <c r="S230" s="44"/>
      <c r="T230" s="44"/>
      <c r="U230" s="19"/>
      <c r="V230" s="44"/>
      <c r="W230" s="44"/>
      <c r="X230" s="39"/>
      <c r="Y230" s="39"/>
      <c r="Z230" s="39"/>
      <c r="AA230" s="40"/>
      <c r="AB230" s="44"/>
      <c r="AC230" s="39"/>
      <c r="AD230" s="40"/>
      <c r="AE230" s="44"/>
      <c r="AF230" s="39"/>
      <c r="AG230" s="40"/>
      <c r="AH230" s="44"/>
    </row>
    <row r="231" spans="1:34" x14ac:dyDescent="0.25">
      <c r="A231" s="105">
        <f t="shared" si="3"/>
        <v>35907</v>
      </c>
      <c r="B231" s="16"/>
      <c r="C231" s="16">
        <f>SUM('Weekly Data'!E228:E231)/4</f>
        <v>1901</v>
      </c>
      <c r="D231" s="16"/>
      <c r="E231" s="16">
        <f>SUM('Weekly Data'!G228:G231)/4</f>
        <v>2664.25</v>
      </c>
      <c r="F231" s="16">
        <f>SUM('Weekly Data'!H228:H231)/4</f>
        <v>222.25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9"/>
      <c r="R231" s="13">
        <v>35907</v>
      </c>
      <c r="S231" s="44"/>
      <c r="T231" s="44"/>
      <c r="U231" s="19"/>
      <c r="V231" s="44"/>
      <c r="W231" s="44"/>
      <c r="X231" s="39"/>
      <c r="Y231" s="39"/>
      <c r="Z231" s="39"/>
      <c r="AA231" s="40"/>
      <c r="AB231" s="44"/>
      <c r="AC231" s="39"/>
      <c r="AD231" s="40"/>
      <c r="AE231" s="44"/>
      <c r="AF231" s="39"/>
      <c r="AG231" s="40"/>
      <c r="AH231" s="44"/>
    </row>
    <row r="232" spans="1:34" x14ac:dyDescent="0.25">
      <c r="A232" s="105">
        <f t="shared" si="3"/>
        <v>35914</v>
      </c>
      <c r="B232" s="16"/>
      <c r="C232" s="16">
        <f>SUM('Weekly Data'!E229:E232)/4</f>
        <v>1622</v>
      </c>
      <c r="D232" s="16"/>
      <c r="E232" s="16">
        <f>SUM('Weekly Data'!G229:G232)/4</f>
        <v>2272.25</v>
      </c>
      <c r="F232" s="16">
        <f>SUM('Weekly Data'!H229:H232)/4</f>
        <v>191.75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9"/>
      <c r="R232" s="13">
        <v>35914</v>
      </c>
      <c r="S232" s="44"/>
      <c r="T232" s="44"/>
      <c r="U232" s="19"/>
      <c r="V232" s="44"/>
      <c r="W232" s="44"/>
      <c r="X232" s="39"/>
      <c r="Y232" s="39"/>
      <c r="Z232" s="39"/>
      <c r="AA232" s="40"/>
      <c r="AB232" s="44"/>
      <c r="AC232" s="39"/>
      <c r="AD232" s="40"/>
      <c r="AE232" s="44"/>
      <c r="AF232" s="39"/>
      <c r="AG232" s="40"/>
      <c r="AH232" s="44"/>
    </row>
    <row r="233" spans="1:34" x14ac:dyDescent="0.25">
      <c r="A233" s="105">
        <f t="shared" si="3"/>
        <v>35921</v>
      </c>
      <c r="B233" s="16"/>
      <c r="C233" s="16">
        <f>SUM('Weekly Data'!E230:E233)/4</f>
        <v>1645</v>
      </c>
      <c r="D233" s="16"/>
      <c r="E233" s="16">
        <f>SUM('Weekly Data'!G230:G233)/4</f>
        <v>2140.5</v>
      </c>
      <c r="F233" s="16">
        <f>SUM('Weekly Data'!H230:H233)/4</f>
        <v>163.5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9"/>
      <c r="R233" s="13">
        <v>35921</v>
      </c>
      <c r="S233" s="44"/>
      <c r="T233" s="44"/>
      <c r="U233" s="19"/>
      <c r="V233" s="44"/>
      <c r="W233" s="44"/>
      <c r="X233" s="39"/>
      <c r="Y233" s="39"/>
      <c r="Z233" s="39"/>
      <c r="AA233" s="40"/>
      <c r="AB233" s="44"/>
      <c r="AC233" s="39"/>
      <c r="AD233" s="40"/>
      <c r="AE233" s="44"/>
      <c r="AF233" s="39"/>
      <c r="AG233" s="40"/>
      <c r="AH233" s="44"/>
    </row>
    <row r="234" spans="1:34" x14ac:dyDescent="0.25">
      <c r="A234" s="105">
        <f t="shared" si="3"/>
        <v>35928</v>
      </c>
      <c r="B234" s="16"/>
      <c r="C234" s="16">
        <f>SUM('Weekly Data'!E231:E234)/4</f>
        <v>1600</v>
      </c>
      <c r="D234" s="16"/>
      <c r="E234" s="16">
        <f>SUM('Weekly Data'!G231:G234)/4</f>
        <v>2137.5</v>
      </c>
      <c r="F234" s="16">
        <f>SUM('Weekly Data'!H231:H234)/4</f>
        <v>172.75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9"/>
      <c r="R234" s="13">
        <v>35928</v>
      </c>
      <c r="S234" s="44"/>
      <c r="T234" s="44"/>
      <c r="U234" s="19"/>
      <c r="V234" s="44"/>
      <c r="W234" s="44"/>
      <c r="X234" s="39"/>
      <c r="Y234" s="39"/>
      <c r="Z234" s="39"/>
      <c r="AA234" s="40"/>
      <c r="AB234" s="44"/>
      <c r="AC234" s="39"/>
      <c r="AD234" s="40"/>
      <c r="AE234" s="44"/>
      <c r="AF234" s="39"/>
      <c r="AG234" s="40"/>
      <c r="AH234" s="44"/>
    </row>
    <row r="235" spans="1:34" x14ac:dyDescent="0.25">
      <c r="A235" s="105">
        <f t="shared" si="3"/>
        <v>35935</v>
      </c>
      <c r="B235" s="16"/>
      <c r="C235" s="16">
        <f>SUM('Weekly Data'!E232:E235)/4</f>
        <v>1701.75</v>
      </c>
      <c r="D235" s="16"/>
      <c r="E235" s="16">
        <f>SUM('Weekly Data'!G232:G235)/4</f>
        <v>2158.25</v>
      </c>
      <c r="F235" s="16">
        <f>SUM('Weekly Data'!H232:H235)/4</f>
        <v>155.25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9"/>
      <c r="R235" s="13">
        <v>35935</v>
      </c>
      <c r="S235" s="44"/>
      <c r="T235" s="44"/>
      <c r="U235" s="19"/>
      <c r="V235" s="44"/>
      <c r="W235" s="44"/>
      <c r="X235" s="39"/>
      <c r="Y235" s="39"/>
      <c r="Z235" s="39"/>
      <c r="AA235" s="40"/>
      <c r="AB235" s="44"/>
      <c r="AC235" s="39"/>
      <c r="AD235" s="40"/>
      <c r="AE235" s="44"/>
      <c r="AF235" s="39"/>
      <c r="AG235" s="40"/>
      <c r="AH235" s="44"/>
    </row>
    <row r="236" spans="1:34" x14ac:dyDescent="0.25">
      <c r="A236" s="105">
        <f t="shared" si="3"/>
        <v>35942</v>
      </c>
      <c r="B236" s="16"/>
      <c r="C236" s="16">
        <f>SUM('Weekly Data'!E233:E236)/4</f>
        <v>1696.25</v>
      </c>
      <c r="D236" s="16"/>
      <c r="E236" s="16">
        <f>SUM('Weekly Data'!G233:G236)/4</f>
        <v>2288</v>
      </c>
      <c r="F236" s="16">
        <f>SUM('Weekly Data'!H233:H236)/4</f>
        <v>137.5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9"/>
      <c r="R236" s="13">
        <v>35942</v>
      </c>
      <c r="S236" s="44"/>
      <c r="T236" s="44"/>
      <c r="U236" s="19"/>
      <c r="V236" s="44"/>
      <c r="W236" s="44"/>
      <c r="X236" s="39"/>
      <c r="Y236" s="39"/>
      <c r="Z236" s="39"/>
      <c r="AA236" s="40"/>
      <c r="AB236" s="44"/>
      <c r="AC236" s="39"/>
      <c r="AD236" s="40"/>
      <c r="AE236" s="44"/>
      <c r="AF236" s="39"/>
      <c r="AG236" s="40"/>
      <c r="AH236" s="44"/>
    </row>
    <row r="237" spans="1:34" x14ac:dyDescent="0.25">
      <c r="A237" s="105">
        <f t="shared" si="3"/>
        <v>35949</v>
      </c>
      <c r="B237" s="16"/>
      <c r="C237" s="16">
        <f>SUM('Weekly Data'!E234:E237)/4</f>
        <v>1527.5</v>
      </c>
      <c r="D237" s="16"/>
      <c r="E237" s="16">
        <f>SUM('Weekly Data'!G234:G237)/4</f>
        <v>2360.25</v>
      </c>
      <c r="F237" s="16">
        <f>SUM('Weekly Data'!H234:H237)/4</f>
        <v>132.25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9"/>
      <c r="R237" s="13">
        <v>35949</v>
      </c>
      <c r="S237" s="44"/>
      <c r="T237" s="44"/>
      <c r="U237" s="19"/>
      <c r="V237" s="44"/>
      <c r="W237" s="44"/>
      <c r="X237" s="39"/>
      <c r="Y237" s="39"/>
      <c r="Z237" s="39"/>
      <c r="AA237" s="40"/>
      <c r="AB237" s="44"/>
      <c r="AC237" s="39"/>
      <c r="AD237" s="40"/>
      <c r="AE237" s="44"/>
      <c r="AF237" s="39"/>
      <c r="AG237" s="40"/>
      <c r="AH237" s="44"/>
    </row>
    <row r="238" spans="1:34" x14ac:dyDescent="0.25">
      <c r="A238" s="105">
        <f t="shared" si="3"/>
        <v>35956</v>
      </c>
      <c r="B238" s="16"/>
      <c r="C238" s="16">
        <f>SUM('Weekly Data'!E235:E238)/4</f>
        <v>1622.5</v>
      </c>
      <c r="D238" s="16"/>
      <c r="E238" s="16">
        <f>SUM('Weekly Data'!G235:G238)/4</f>
        <v>2318.25</v>
      </c>
      <c r="F238" s="16">
        <f>SUM('Weekly Data'!H235:H238)/4</f>
        <v>104.75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9"/>
      <c r="R238" s="13">
        <v>35956</v>
      </c>
      <c r="S238" s="44"/>
      <c r="T238" s="44"/>
      <c r="U238" s="19"/>
      <c r="V238" s="44"/>
      <c r="W238" s="44"/>
      <c r="X238" s="39"/>
      <c r="Y238" s="39"/>
      <c r="Z238" s="39"/>
      <c r="AA238" s="40"/>
      <c r="AB238" s="44"/>
      <c r="AC238" s="39"/>
      <c r="AD238" s="40"/>
      <c r="AE238" s="44"/>
      <c r="AF238" s="39"/>
      <c r="AG238" s="40"/>
      <c r="AH238" s="44"/>
    </row>
    <row r="239" spans="1:34" x14ac:dyDescent="0.25">
      <c r="A239" s="105">
        <f t="shared" si="3"/>
        <v>35963</v>
      </c>
      <c r="B239" s="16"/>
      <c r="C239" s="16">
        <f>SUM('Weekly Data'!E236:E239)/4</f>
        <v>1683</v>
      </c>
      <c r="D239" s="16"/>
      <c r="E239" s="16">
        <f>SUM('Weekly Data'!G236:G239)/4</f>
        <v>2042.5</v>
      </c>
      <c r="F239" s="16">
        <f>SUM('Weekly Data'!H236:H239)/4</f>
        <v>49.25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9"/>
      <c r="R239" s="13">
        <v>35963</v>
      </c>
      <c r="S239" s="44"/>
      <c r="T239" s="44"/>
      <c r="U239" s="19"/>
      <c r="V239" s="44"/>
      <c r="W239" s="44"/>
      <c r="X239" s="39"/>
      <c r="Y239" s="39"/>
      <c r="Z239" s="39"/>
      <c r="AA239" s="40"/>
      <c r="AB239" s="44"/>
      <c r="AC239" s="39"/>
      <c r="AD239" s="40"/>
      <c r="AE239" s="44"/>
      <c r="AF239" s="39"/>
      <c r="AG239" s="40"/>
      <c r="AH239" s="44"/>
    </row>
    <row r="240" spans="1:34" x14ac:dyDescent="0.25">
      <c r="A240" s="105">
        <f t="shared" si="3"/>
        <v>35970</v>
      </c>
      <c r="B240" s="16"/>
      <c r="C240" s="16">
        <f>SUM('Weekly Data'!E237:E240)/4</f>
        <v>2026</v>
      </c>
      <c r="D240" s="16"/>
      <c r="E240" s="16">
        <f>SUM('Weekly Data'!G237:G240)/4</f>
        <v>1865.75</v>
      </c>
      <c r="F240" s="16">
        <f>SUM('Weekly Data'!H237:H240)/4</f>
        <v>59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9"/>
      <c r="R240" s="13">
        <v>35970</v>
      </c>
      <c r="S240" s="44"/>
      <c r="T240" s="44"/>
      <c r="U240" s="19"/>
      <c r="V240" s="44"/>
      <c r="W240" s="44"/>
      <c r="X240" s="39"/>
      <c r="Y240" s="39"/>
      <c r="Z240" s="39"/>
      <c r="AA240" s="40"/>
      <c r="AB240" s="44"/>
      <c r="AC240" s="39"/>
      <c r="AD240" s="40"/>
      <c r="AE240" s="44"/>
      <c r="AF240" s="39"/>
      <c r="AG240" s="40"/>
      <c r="AH240" s="44"/>
    </row>
    <row r="241" spans="1:34" x14ac:dyDescent="0.25">
      <c r="A241" s="105">
        <f t="shared" si="3"/>
        <v>35977</v>
      </c>
      <c r="B241" s="16"/>
      <c r="C241" s="16">
        <f>SUM('Weekly Data'!E238:E241)/4</f>
        <v>2298.5</v>
      </c>
      <c r="D241" s="16"/>
      <c r="E241" s="16">
        <f>SUM('Weekly Data'!G238:G241)/4</f>
        <v>1506</v>
      </c>
      <c r="F241" s="16">
        <f>SUM('Weekly Data'!H238:H241)/4</f>
        <v>80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9"/>
      <c r="R241" s="13">
        <v>35977</v>
      </c>
      <c r="S241" s="44"/>
      <c r="T241" s="44"/>
      <c r="U241" s="19"/>
      <c r="V241" s="44"/>
      <c r="W241" s="44"/>
      <c r="X241" s="39"/>
      <c r="Y241" s="39"/>
      <c r="Z241" s="39"/>
      <c r="AA241" s="40"/>
      <c r="AB241" s="44"/>
      <c r="AC241" s="39"/>
      <c r="AD241" s="40"/>
      <c r="AE241" s="44"/>
      <c r="AF241" s="39"/>
      <c r="AG241" s="40"/>
      <c r="AH241" s="44"/>
    </row>
    <row r="242" spans="1:34" x14ac:dyDescent="0.25">
      <c r="A242" s="105">
        <f t="shared" si="3"/>
        <v>35984</v>
      </c>
      <c r="B242" s="16"/>
      <c r="C242" s="16">
        <f>SUM('Weekly Data'!E239:E242)/4</f>
        <v>2245.75</v>
      </c>
      <c r="D242" s="16"/>
      <c r="E242" s="16">
        <f>SUM('Weekly Data'!G239:G242)/4</f>
        <v>1257.25</v>
      </c>
      <c r="F242" s="16">
        <f>SUM('Weekly Data'!H239:H242)/4</f>
        <v>74.75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9"/>
      <c r="R242" s="13">
        <v>35984</v>
      </c>
      <c r="S242" s="44"/>
      <c r="T242" s="44"/>
      <c r="U242" s="19"/>
      <c r="V242" s="44"/>
      <c r="W242" s="44"/>
      <c r="X242" s="39"/>
      <c r="Y242" s="39"/>
      <c r="Z242" s="39"/>
      <c r="AA242" s="40"/>
      <c r="AB242" s="44"/>
      <c r="AC242" s="39"/>
      <c r="AD242" s="40"/>
      <c r="AE242" s="44"/>
      <c r="AF242" s="39"/>
      <c r="AG242" s="40"/>
      <c r="AH242" s="44"/>
    </row>
    <row r="243" spans="1:34" x14ac:dyDescent="0.25">
      <c r="A243" s="105">
        <f t="shared" si="3"/>
        <v>35991</v>
      </c>
      <c r="B243" s="16"/>
      <c r="C243" s="16">
        <f>SUM('Weekly Data'!E240:E243)/4</f>
        <v>2437.75</v>
      </c>
      <c r="D243" s="16"/>
      <c r="E243" s="16">
        <f>SUM('Weekly Data'!G240:G243)/4</f>
        <v>1229</v>
      </c>
      <c r="F243" s="16">
        <f>SUM('Weekly Data'!H240:H243)/4</f>
        <v>135.75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9"/>
      <c r="R243" s="13">
        <v>35991</v>
      </c>
      <c r="S243" s="44"/>
      <c r="T243" s="44"/>
      <c r="U243" s="19"/>
      <c r="V243" s="44"/>
      <c r="W243" s="44"/>
      <c r="X243" s="39"/>
      <c r="Y243" s="39"/>
      <c r="Z243" s="39"/>
      <c r="AA243" s="40"/>
      <c r="AB243" s="44"/>
      <c r="AC243" s="39"/>
      <c r="AD243" s="40"/>
      <c r="AE243" s="44"/>
      <c r="AF243" s="39"/>
      <c r="AG243" s="40"/>
      <c r="AH243" s="44"/>
    </row>
    <row r="244" spans="1:34" x14ac:dyDescent="0.25">
      <c r="A244" s="105">
        <f t="shared" si="3"/>
        <v>35998</v>
      </c>
      <c r="B244" s="16"/>
      <c r="C244" s="16">
        <f>SUM('Weekly Data'!E241:E244)/4</f>
        <v>2337</v>
      </c>
      <c r="D244" s="16"/>
      <c r="E244" s="16">
        <f>SUM('Weekly Data'!G241:G244)/4</f>
        <v>1023.75</v>
      </c>
      <c r="F244" s="16">
        <f>SUM('Weekly Data'!H241:H244)/4</f>
        <v>145.25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9"/>
      <c r="R244" s="13">
        <v>35998</v>
      </c>
      <c r="S244" s="44"/>
      <c r="T244" s="44"/>
      <c r="U244" s="19"/>
      <c r="V244" s="44"/>
      <c r="W244" s="44"/>
      <c r="X244" s="39"/>
      <c r="Y244" s="39"/>
      <c r="Z244" s="39"/>
      <c r="AA244" s="40"/>
      <c r="AB244" s="44"/>
      <c r="AC244" s="39"/>
      <c r="AD244" s="40"/>
      <c r="AE244" s="44"/>
      <c r="AF244" s="39"/>
      <c r="AG244" s="40"/>
      <c r="AH244" s="44"/>
    </row>
    <row r="245" spans="1:34" x14ac:dyDescent="0.25">
      <c r="A245" s="105">
        <f t="shared" si="3"/>
        <v>36005</v>
      </c>
      <c r="B245" s="16"/>
      <c r="C245" s="16">
        <f>SUM('Weekly Data'!E242:E245)/4</f>
        <v>2498.75</v>
      </c>
      <c r="D245" s="16"/>
      <c r="E245" s="16">
        <f>SUM('Weekly Data'!G242:G245)/4</f>
        <v>1135.25</v>
      </c>
      <c r="F245" s="16">
        <f>SUM('Weekly Data'!H242:H245)/4</f>
        <v>128.25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9"/>
      <c r="R245" s="13">
        <v>36005</v>
      </c>
      <c r="S245" s="44"/>
      <c r="T245" s="44"/>
      <c r="U245" s="19"/>
      <c r="V245" s="44"/>
      <c r="W245" s="44"/>
      <c r="X245" s="39"/>
      <c r="Y245" s="39"/>
      <c r="Z245" s="39"/>
      <c r="AA245" s="40"/>
      <c r="AB245" s="44"/>
      <c r="AC245" s="39"/>
      <c r="AD245" s="40"/>
      <c r="AE245" s="44"/>
      <c r="AF245" s="39"/>
      <c r="AG245" s="40"/>
      <c r="AH245" s="44"/>
    </row>
    <row r="246" spans="1:34" x14ac:dyDescent="0.25">
      <c r="A246" s="105">
        <f t="shared" si="3"/>
        <v>36012</v>
      </c>
      <c r="B246" s="16"/>
      <c r="C246" s="16">
        <f>SUM('Weekly Data'!E243:E246)/4</f>
        <v>2763</v>
      </c>
      <c r="D246" s="16"/>
      <c r="E246" s="16">
        <f>SUM('Weekly Data'!G243:G246)/4</f>
        <v>1132.25</v>
      </c>
      <c r="F246" s="16">
        <f>SUM('Weekly Data'!H243:H246)/4</f>
        <v>98.75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9"/>
      <c r="R246" s="13">
        <v>36012</v>
      </c>
      <c r="S246" s="44"/>
      <c r="T246" s="44"/>
      <c r="U246" s="19"/>
      <c r="V246" s="44"/>
      <c r="W246" s="44"/>
      <c r="X246" s="39"/>
      <c r="Y246" s="39"/>
      <c r="Z246" s="39"/>
      <c r="AA246" s="40"/>
      <c r="AB246" s="44"/>
      <c r="AC246" s="39"/>
      <c r="AD246" s="40"/>
      <c r="AE246" s="44"/>
      <c r="AF246" s="39"/>
      <c r="AG246" s="40"/>
      <c r="AH246" s="44"/>
    </row>
    <row r="247" spans="1:34" x14ac:dyDescent="0.25">
      <c r="A247" s="105">
        <f t="shared" si="3"/>
        <v>36019</v>
      </c>
      <c r="B247" s="16"/>
      <c r="C247" s="16">
        <f>SUM('Weekly Data'!E244:E247)/4</f>
        <v>2629</v>
      </c>
      <c r="D247" s="16"/>
      <c r="E247" s="16">
        <f>SUM('Weekly Data'!G244:G247)/4</f>
        <v>1452</v>
      </c>
      <c r="F247" s="16">
        <f>SUM('Weekly Data'!H244:H247)/4</f>
        <v>40.5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9"/>
      <c r="R247" s="13">
        <v>36019</v>
      </c>
      <c r="S247" s="44"/>
      <c r="T247" s="44"/>
      <c r="U247" s="19"/>
      <c r="V247" s="44"/>
      <c r="W247" s="44"/>
      <c r="X247" s="39"/>
      <c r="Y247" s="39"/>
      <c r="Z247" s="39"/>
      <c r="AA247" s="40"/>
      <c r="AB247" s="44"/>
      <c r="AC247" s="39"/>
      <c r="AD247" s="40"/>
      <c r="AE247" s="44"/>
      <c r="AF247" s="39"/>
      <c r="AG247" s="40"/>
      <c r="AH247" s="44"/>
    </row>
    <row r="248" spans="1:34" x14ac:dyDescent="0.25">
      <c r="A248" s="105">
        <f t="shared" si="3"/>
        <v>36026</v>
      </c>
      <c r="B248" s="16"/>
      <c r="C248" s="16">
        <f>SUM('Weekly Data'!E245:E248)/4</f>
        <v>2525.25</v>
      </c>
      <c r="D248" s="16"/>
      <c r="E248" s="16">
        <f>SUM('Weekly Data'!G245:G248)/4</f>
        <v>1815.75</v>
      </c>
      <c r="F248" s="16">
        <f>SUM('Weekly Data'!H245:H248)/4</f>
        <v>25.25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9"/>
      <c r="R248" s="13">
        <v>36026</v>
      </c>
      <c r="S248" s="44"/>
      <c r="T248" s="44"/>
      <c r="U248" s="19"/>
      <c r="V248" s="44"/>
      <c r="W248" s="44"/>
      <c r="X248" s="39"/>
      <c r="Y248" s="39"/>
      <c r="Z248" s="39"/>
      <c r="AA248" s="40"/>
      <c r="AB248" s="44"/>
      <c r="AC248" s="39"/>
      <c r="AD248" s="40"/>
      <c r="AE248" s="44"/>
      <c r="AF248" s="39"/>
      <c r="AG248" s="40"/>
      <c r="AH248" s="44"/>
    </row>
    <row r="249" spans="1:34" x14ac:dyDescent="0.25">
      <c r="A249" s="105">
        <f t="shared" si="3"/>
        <v>36033</v>
      </c>
      <c r="B249" s="16"/>
      <c r="C249" s="16">
        <f>SUM('Weekly Data'!E246:E249)/4</f>
        <v>2515.75</v>
      </c>
      <c r="D249" s="16"/>
      <c r="E249" s="16">
        <f>SUM('Weekly Data'!G246:G249)/4</f>
        <v>1965.5</v>
      </c>
      <c r="F249" s="16">
        <f>SUM('Weekly Data'!H246:H249)/4</f>
        <v>18.75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9"/>
      <c r="R249" s="13">
        <v>36033</v>
      </c>
      <c r="S249" s="44"/>
      <c r="T249" s="44"/>
      <c r="U249" s="19"/>
      <c r="V249" s="44"/>
      <c r="W249" s="44"/>
      <c r="X249" s="39"/>
      <c r="Y249" s="39"/>
      <c r="Z249" s="39"/>
      <c r="AA249" s="40"/>
      <c r="AB249" s="44"/>
      <c r="AC249" s="39"/>
      <c r="AD249" s="40"/>
      <c r="AE249" s="44"/>
      <c r="AF249" s="39"/>
      <c r="AG249" s="40"/>
      <c r="AH249" s="44"/>
    </row>
    <row r="250" spans="1:34" x14ac:dyDescent="0.25">
      <c r="A250" s="105">
        <f t="shared" si="3"/>
        <v>36040</v>
      </c>
      <c r="B250" s="16"/>
      <c r="C250" s="16">
        <f>SUM('Weekly Data'!E247:E250)/4</f>
        <v>2315.25</v>
      </c>
      <c r="D250" s="16"/>
      <c r="E250" s="16">
        <f>SUM('Weekly Data'!G247:G250)/4</f>
        <v>2169</v>
      </c>
      <c r="F250" s="16">
        <f>SUM('Weekly Data'!H247:H250)/4</f>
        <v>17.5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9"/>
      <c r="R250" s="13">
        <v>36040</v>
      </c>
      <c r="S250" s="44"/>
      <c r="T250" s="44"/>
      <c r="U250" s="19"/>
      <c r="V250" s="44"/>
      <c r="W250" s="44"/>
      <c r="X250" s="39"/>
      <c r="Y250" s="39"/>
      <c r="Z250" s="39"/>
      <c r="AA250" s="40"/>
      <c r="AB250" s="44"/>
      <c r="AC250" s="39"/>
      <c r="AD250" s="40"/>
      <c r="AE250" s="44"/>
      <c r="AF250" s="39"/>
      <c r="AG250" s="40"/>
      <c r="AH250" s="44"/>
    </row>
    <row r="251" spans="1:34" x14ac:dyDescent="0.25">
      <c r="A251" s="105">
        <f t="shared" si="3"/>
        <v>36047</v>
      </c>
      <c r="B251" s="16"/>
      <c r="C251" s="16">
        <f>SUM('Weekly Data'!E248:E251)/4</f>
        <v>2107.5</v>
      </c>
      <c r="D251" s="16"/>
      <c r="E251" s="16">
        <f>SUM('Weekly Data'!G248:G251)/4</f>
        <v>2153.25</v>
      </c>
      <c r="F251" s="16">
        <f>SUM('Weekly Data'!H248:H251)/4</f>
        <v>11.5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9"/>
      <c r="R251" s="13">
        <v>36047</v>
      </c>
      <c r="S251" s="44"/>
      <c r="T251" s="44"/>
      <c r="U251" s="19"/>
      <c r="V251" s="44"/>
      <c r="W251" s="44"/>
      <c r="X251" s="39"/>
      <c r="Y251" s="39"/>
      <c r="Z251" s="39"/>
      <c r="AA251" s="40"/>
      <c r="AB251" s="44"/>
      <c r="AC251" s="39"/>
      <c r="AD251" s="40"/>
      <c r="AE251" s="44"/>
      <c r="AF251" s="39"/>
      <c r="AG251" s="40"/>
      <c r="AH251" s="44"/>
    </row>
    <row r="252" spans="1:34" x14ac:dyDescent="0.25">
      <c r="A252" s="105">
        <f t="shared" si="3"/>
        <v>36054</v>
      </c>
      <c r="B252" s="16"/>
      <c r="C252" s="16">
        <f>SUM('Weekly Data'!E249:E252)/4</f>
        <v>2031.5</v>
      </c>
      <c r="D252" s="16"/>
      <c r="E252" s="16">
        <f>SUM('Weekly Data'!G249:G252)/4</f>
        <v>2334.75</v>
      </c>
      <c r="F252" s="16">
        <f>SUM('Weekly Data'!H249:H252)/4</f>
        <v>22.25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9"/>
      <c r="R252" s="13">
        <v>36054</v>
      </c>
      <c r="S252" s="44"/>
      <c r="T252" s="44"/>
      <c r="U252" s="19"/>
      <c r="V252" s="44"/>
      <c r="W252" s="44"/>
      <c r="X252" s="39"/>
      <c r="Y252" s="39"/>
      <c r="Z252" s="39"/>
      <c r="AA252" s="40"/>
      <c r="AB252" s="44"/>
      <c r="AC252" s="39"/>
      <c r="AD252" s="40"/>
      <c r="AE252" s="44"/>
      <c r="AF252" s="39"/>
      <c r="AG252" s="40"/>
      <c r="AH252" s="44"/>
    </row>
    <row r="253" spans="1:34" x14ac:dyDescent="0.25">
      <c r="A253" s="105">
        <f t="shared" si="3"/>
        <v>36061</v>
      </c>
      <c r="B253" s="16"/>
      <c r="C253" s="16">
        <f>SUM('Weekly Data'!E250:E253)/4</f>
        <v>1684.5</v>
      </c>
      <c r="D253" s="16"/>
      <c r="E253" s="16">
        <f>SUM('Weekly Data'!G250:G253)/4</f>
        <v>2583</v>
      </c>
      <c r="F253" s="16">
        <f>SUM('Weekly Data'!H250:H253)/4</f>
        <v>23.25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9"/>
      <c r="R253" s="13">
        <v>36061</v>
      </c>
      <c r="S253" s="44"/>
      <c r="T253" s="44"/>
      <c r="U253" s="19"/>
      <c r="V253" s="44"/>
      <c r="W253" s="44"/>
      <c r="X253" s="39"/>
      <c r="Y253" s="39"/>
      <c r="Z253" s="39"/>
      <c r="AA253" s="40"/>
      <c r="AB253" s="44"/>
      <c r="AC253" s="39"/>
      <c r="AD253" s="40"/>
      <c r="AE253" s="44"/>
      <c r="AF253" s="39"/>
      <c r="AG253" s="40"/>
      <c r="AH253" s="44"/>
    </row>
    <row r="254" spans="1:34" x14ac:dyDescent="0.25">
      <c r="A254" s="105">
        <f t="shared" si="3"/>
        <v>36068</v>
      </c>
      <c r="B254" s="16"/>
      <c r="C254" s="16">
        <f>SUM('Weekly Data'!E251:E254)/4</f>
        <v>1732</v>
      </c>
      <c r="D254" s="16"/>
      <c r="E254" s="16">
        <f>SUM('Weekly Data'!G251:G254)/4</f>
        <v>2703.25</v>
      </c>
      <c r="F254" s="16">
        <f>SUM('Weekly Data'!H251:H254)/4</f>
        <v>24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9"/>
      <c r="R254" s="13">
        <v>36068</v>
      </c>
      <c r="S254" s="44"/>
      <c r="T254" s="44"/>
      <c r="U254" s="19"/>
      <c r="V254" s="44"/>
      <c r="W254" s="44"/>
      <c r="X254" s="39"/>
      <c r="Y254" s="39"/>
      <c r="Z254" s="39"/>
      <c r="AA254" s="40"/>
      <c r="AB254" s="44"/>
      <c r="AC254" s="39"/>
      <c r="AD254" s="40"/>
      <c r="AE254" s="44"/>
      <c r="AF254" s="39"/>
      <c r="AG254" s="40"/>
      <c r="AH254" s="44"/>
    </row>
    <row r="255" spans="1:34" x14ac:dyDescent="0.25">
      <c r="A255" s="105">
        <f t="shared" si="3"/>
        <v>36075</v>
      </c>
      <c r="B255" s="16"/>
      <c r="C255" s="16">
        <f>SUM('Weekly Data'!E252:E255)/4</f>
        <v>1911.5</v>
      </c>
      <c r="D255" s="16"/>
      <c r="E255" s="16">
        <f>SUM('Weekly Data'!G252:G255)/4</f>
        <v>2777.25</v>
      </c>
      <c r="F255" s="16">
        <f>SUM('Weekly Data'!H252:H255)/4</f>
        <v>84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9"/>
      <c r="R255" s="13">
        <v>36075</v>
      </c>
      <c r="S255" s="44"/>
      <c r="T255" s="44"/>
      <c r="U255" s="19"/>
      <c r="V255" s="44"/>
      <c r="W255" s="44"/>
      <c r="X255" s="39"/>
      <c r="Y255" s="39"/>
      <c r="Z255" s="39"/>
      <c r="AA255" s="40"/>
      <c r="AB255" s="44"/>
      <c r="AC255" s="39"/>
      <c r="AD255" s="40"/>
      <c r="AE255" s="44"/>
      <c r="AF255" s="39"/>
      <c r="AG255" s="40"/>
      <c r="AH255" s="44"/>
    </row>
    <row r="256" spans="1:34" x14ac:dyDescent="0.25">
      <c r="A256" s="105">
        <f t="shared" si="3"/>
        <v>36082</v>
      </c>
      <c r="B256" s="16"/>
      <c r="C256" s="16">
        <f>SUM('Weekly Data'!E253:E256)/4</f>
        <v>2265</v>
      </c>
      <c r="D256" s="16"/>
      <c r="E256" s="16">
        <f>SUM('Weekly Data'!G253:G256)/4</f>
        <v>2662.5</v>
      </c>
      <c r="F256" s="16">
        <f>SUM('Weekly Data'!H253:H256)/4</f>
        <v>180.5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/>
      <c r="R256" s="13">
        <v>36082</v>
      </c>
      <c r="S256" s="44"/>
      <c r="T256" s="44"/>
      <c r="U256" s="19"/>
      <c r="V256" s="44"/>
      <c r="W256" s="44"/>
      <c r="X256" s="39"/>
      <c r="Y256" s="39"/>
      <c r="Z256" s="39"/>
      <c r="AA256" s="40"/>
      <c r="AB256" s="44"/>
      <c r="AC256" s="39"/>
      <c r="AD256" s="40"/>
      <c r="AE256" s="44"/>
      <c r="AF256" s="39"/>
      <c r="AG256" s="40"/>
      <c r="AH256" s="44"/>
    </row>
    <row r="257" spans="1:34" x14ac:dyDescent="0.25">
      <c r="A257" s="105">
        <f t="shared" si="3"/>
        <v>36089</v>
      </c>
      <c r="B257" s="16"/>
      <c r="C257" s="16">
        <f>SUM('Weekly Data'!E254:E257)/4</f>
        <v>2606.5</v>
      </c>
      <c r="D257" s="16"/>
      <c r="E257" s="16">
        <f>SUM('Weekly Data'!G254:G257)/4</f>
        <v>2478</v>
      </c>
      <c r="F257" s="16">
        <f>SUM('Weekly Data'!H254:H257)/4</f>
        <v>296.5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9"/>
      <c r="R257" s="13">
        <v>36089</v>
      </c>
      <c r="S257" s="44"/>
      <c r="T257" s="44"/>
      <c r="U257" s="19"/>
      <c r="V257" s="44"/>
      <c r="W257" s="44"/>
      <c r="X257" s="39"/>
      <c r="Y257" s="39"/>
      <c r="Z257" s="39"/>
      <c r="AA257" s="40"/>
      <c r="AB257" s="44"/>
      <c r="AC257" s="39"/>
      <c r="AD257" s="40"/>
      <c r="AE257" s="44"/>
      <c r="AF257" s="39"/>
      <c r="AG257" s="40"/>
      <c r="AH257" s="44"/>
    </row>
    <row r="258" spans="1:34" x14ac:dyDescent="0.25">
      <c r="A258" s="105">
        <f t="shared" si="3"/>
        <v>36096</v>
      </c>
      <c r="B258" s="16"/>
      <c r="C258" s="16">
        <f>SUM('Weekly Data'!E255:E258)/4</f>
        <v>2899.5</v>
      </c>
      <c r="D258" s="16"/>
      <c r="E258" s="16">
        <f>SUM('Weekly Data'!G255:G258)/4</f>
        <v>2574.5</v>
      </c>
      <c r="F258" s="16">
        <f>SUM('Weekly Data'!H255:H258)/4</f>
        <v>520.5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9"/>
      <c r="R258" s="13">
        <v>36096</v>
      </c>
      <c r="S258" s="44"/>
      <c r="T258" s="44"/>
      <c r="U258" s="19"/>
      <c r="V258" s="44"/>
      <c r="W258" s="44"/>
      <c r="X258" s="39"/>
      <c r="Y258" s="39"/>
      <c r="Z258" s="39"/>
      <c r="AA258" s="40"/>
      <c r="AB258" s="44"/>
      <c r="AC258" s="39"/>
      <c r="AD258" s="40"/>
      <c r="AE258" s="44"/>
      <c r="AF258" s="39"/>
      <c r="AG258" s="40"/>
      <c r="AH258" s="44"/>
    </row>
    <row r="259" spans="1:34" x14ac:dyDescent="0.25">
      <c r="A259" s="105">
        <f t="shared" si="3"/>
        <v>36103</v>
      </c>
      <c r="B259" s="16"/>
      <c r="C259" s="16">
        <f>SUM('Weekly Data'!E256:E259)/4</f>
        <v>3034.25</v>
      </c>
      <c r="D259" s="16"/>
      <c r="E259" s="16">
        <f>SUM('Weekly Data'!G256:G259)/4</f>
        <v>2419.25</v>
      </c>
      <c r="F259" s="16">
        <f>SUM('Weekly Data'!H256:H259)/4</f>
        <v>605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9"/>
      <c r="R259" s="13">
        <v>36103</v>
      </c>
      <c r="S259" s="44"/>
      <c r="T259" s="44"/>
      <c r="U259" s="19"/>
      <c r="V259" s="44"/>
      <c r="W259" s="44"/>
      <c r="X259" s="39"/>
      <c r="Y259" s="39"/>
      <c r="Z259" s="39"/>
      <c r="AA259" s="40"/>
      <c r="AB259" s="44"/>
      <c r="AC259" s="39"/>
      <c r="AD259" s="40"/>
      <c r="AE259" s="44"/>
      <c r="AF259" s="39"/>
      <c r="AG259" s="40"/>
      <c r="AH259" s="44"/>
    </row>
    <row r="260" spans="1:34" x14ac:dyDescent="0.25">
      <c r="A260" s="105">
        <f t="shared" si="3"/>
        <v>36110</v>
      </c>
      <c r="B260" s="16"/>
      <c r="C260" s="16">
        <f>SUM('Weekly Data'!E257:E260)/4</f>
        <v>3006</v>
      </c>
      <c r="D260" s="16"/>
      <c r="E260" s="16">
        <f>SUM('Weekly Data'!G257:G260)/4</f>
        <v>2378</v>
      </c>
      <c r="F260" s="16">
        <f>SUM('Weekly Data'!H257:H260)/4</f>
        <v>539.25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9"/>
      <c r="R260" s="13">
        <v>36110</v>
      </c>
      <c r="S260" s="44"/>
      <c r="T260" s="44"/>
      <c r="U260" s="19"/>
      <c r="V260" s="44"/>
      <c r="W260" s="44"/>
      <c r="X260" s="39"/>
      <c r="Y260" s="39"/>
      <c r="Z260" s="39"/>
      <c r="AA260" s="40"/>
      <c r="AB260" s="44"/>
      <c r="AC260" s="39"/>
      <c r="AD260" s="40"/>
      <c r="AE260" s="44"/>
      <c r="AF260" s="39"/>
      <c r="AG260" s="40"/>
      <c r="AH260" s="44"/>
    </row>
    <row r="261" spans="1:34" x14ac:dyDescent="0.25">
      <c r="A261" s="105">
        <f t="shared" si="3"/>
        <v>36117</v>
      </c>
      <c r="B261" s="16"/>
      <c r="C261" s="16">
        <f>SUM('Weekly Data'!E258:E261)/4</f>
        <v>2783.75</v>
      </c>
      <c r="D261" s="16"/>
      <c r="E261" s="16">
        <f>SUM('Weekly Data'!G258:G261)/4</f>
        <v>2704.5</v>
      </c>
      <c r="F261" s="16">
        <f>SUM('Weekly Data'!H258:H261)/4</f>
        <v>627.25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9"/>
      <c r="R261" s="13">
        <v>36117</v>
      </c>
      <c r="S261" s="44"/>
      <c r="T261" s="44"/>
      <c r="U261" s="19"/>
      <c r="V261" s="44"/>
      <c r="W261" s="44"/>
      <c r="X261" s="39"/>
      <c r="Y261" s="39"/>
      <c r="Z261" s="39"/>
      <c r="AA261" s="40"/>
      <c r="AB261" s="44"/>
      <c r="AC261" s="39"/>
      <c r="AD261" s="40"/>
      <c r="AE261" s="44"/>
      <c r="AF261" s="39"/>
      <c r="AG261" s="40"/>
      <c r="AH261" s="44"/>
    </row>
    <row r="262" spans="1:34" x14ac:dyDescent="0.25">
      <c r="A262" s="105">
        <f t="shared" si="3"/>
        <v>36124</v>
      </c>
      <c r="B262" s="16"/>
      <c r="C262" s="16">
        <f>SUM('Weekly Data'!E259:E262)/4</f>
        <v>2523.25</v>
      </c>
      <c r="D262" s="16"/>
      <c r="E262" s="16">
        <f>SUM('Weekly Data'!G259:G262)/4</f>
        <v>2914.75</v>
      </c>
      <c r="F262" s="16">
        <f>SUM('Weekly Data'!H259:H262)/4</f>
        <v>449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9"/>
      <c r="R262" s="13">
        <v>36124</v>
      </c>
      <c r="S262" s="44"/>
      <c r="T262" s="44"/>
      <c r="U262" s="19"/>
      <c r="V262" s="44"/>
      <c r="W262" s="44"/>
      <c r="X262" s="39"/>
      <c r="Y262" s="39"/>
      <c r="Z262" s="39"/>
      <c r="AA262" s="40"/>
      <c r="AB262" s="44"/>
      <c r="AC262" s="39"/>
      <c r="AD262" s="40"/>
      <c r="AE262" s="44"/>
      <c r="AF262" s="39"/>
      <c r="AG262" s="40"/>
      <c r="AH262" s="44"/>
    </row>
    <row r="263" spans="1:34" x14ac:dyDescent="0.25">
      <c r="A263" s="105">
        <f t="shared" si="3"/>
        <v>36131</v>
      </c>
      <c r="B263" s="16"/>
      <c r="C263" s="16">
        <f>SUM('Weekly Data'!E260:E263)/4</f>
        <v>2382.75</v>
      </c>
      <c r="D263" s="16"/>
      <c r="E263" s="16">
        <f>SUM('Weekly Data'!G260:G263)/4</f>
        <v>3088</v>
      </c>
      <c r="F263" s="16">
        <f>SUM('Weekly Data'!H260:H263)/4</f>
        <v>317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9"/>
      <c r="R263" s="13">
        <v>36131</v>
      </c>
      <c r="S263" s="44"/>
      <c r="T263" s="44"/>
      <c r="U263" s="19"/>
      <c r="V263" s="44"/>
      <c r="W263" s="44"/>
      <c r="X263" s="39"/>
      <c r="Y263" s="39"/>
      <c r="Z263" s="39"/>
      <c r="AA263" s="40"/>
      <c r="AB263" s="44"/>
      <c r="AC263" s="39"/>
      <c r="AD263" s="40"/>
      <c r="AE263" s="44"/>
      <c r="AF263" s="39"/>
      <c r="AG263" s="40"/>
      <c r="AH263" s="44"/>
    </row>
    <row r="264" spans="1:34" x14ac:dyDescent="0.25">
      <c r="A264" s="105">
        <f t="shared" si="3"/>
        <v>36138</v>
      </c>
      <c r="B264" s="16"/>
      <c r="C264" s="16">
        <f>SUM('Weekly Data'!E261:E264)/4</f>
        <v>2349.5</v>
      </c>
      <c r="D264" s="16"/>
      <c r="E264" s="16">
        <f>SUM('Weekly Data'!G261:G264)/4</f>
        <v>3352.25</v>
      </c>
      <c r="F264" s="16">
        <f>SUM('Weekly Data'!H261:H264)/4</f>
        <v>386.25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9"/>
      <c r="R264" s="13">
        <v>36138</v>
      </c>
      <c r="S264" s="44"/>
      <c r="T264" s="44"/>
      <c r="U264" s="19"/>
      <c r="V264" s="44"/>
      <c r="W264" s="44"/>
      <c r="X264" s="39"/>
      <c r="Y264" s="39"/>
      <c r="Z264" s="39"/>
      <c r="AA264" s="40"/>
      <c r="AB264" s="44"/>
      <c r="AC264" s="39"/>
      <c r="AD264" s="40"/>
      <c r="AE264" s="44"/>
      <c r="AF264" s="39"/>
      <c r="AG264" s="40"/>
      <c r="AH264" s="44"/>
    </row>
    <row r="265" spans="1:34" x14ac:dyDescent="0.25">
      <c r="A265" s="105">
        <f t="shared" si="3"/>
        <v>36145</v>
      </c>
      <c r="B265" s="16"/>
      <c r="C265" s="16">
        <f>SUM('Weekly Data'!E262:E265)/4</f>
        <v>2561.25</v>
      </c>
      <c r="D265" s="16"/>
      <c r="E265" s="16">
        <f>SUM('Weekly Data'!G262:G265)/4</f>
        <v>3209.75</v>
      </c>
      <c r="F265" s="16">
        <f>SUM('Weekly Data'!H262:H265)/4</f>
        <v>336.75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9"/>
      <c r="R265" s="13">
        <v>36145</v>
      </c>
      <c r="S265" s="44"/>
      <c r="T265" s="44"/>
      <c r="U265" s="19"/>
      <c r="V265" s="44"/>
      <c r="W265" s="44"/>
      <c r="X265" s="39"/>
      <c r="Y265" s="39"/>
      <c r="Z265" s="39"/>
      <c r="AA265" s="40"/>
      <c r="AB265" s="44"/>
      <c r="AC265" s="39"/>
      <c r="AD265" s="40"/>
      <c r="AE265" s="44"/>
      <c r="AF265" s="39"/>
      <c r="AG265" s="40"/>
      <c r="AH265" s="44"/>
    </row>
    <row r="266" spans="1:34" x14ac:dyDescent="0.25">
      <c r="A266" s="105">
        <f t="shared" si="3"/>
        <v>36152</v>
      </c>
      <c r="B266" s="16"/>
      <c r="C266" s="16">
        <f>SUM('Weekly Data'!E263:E266)/4</f>
        <v>2737.25</v>
      </c>
      <c r="D266" s="16"/>
      <c r="E266" s="16">
        <f>SUM('Weekly Data'!G263:G266)/4</f>
        <v>3069.25</v>
      </c>
      <c r="F266" s="16">
        <f>SUM('Weekly Data'!H263:H266)/4</f>
        <v>426.25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9"/>
      <c r="R266" s="13">
        <v>36152</v>
      </c>
      <c r="S266" s="44"/>
      <c r="T266" s="44"/>
      <c r="U266" s="19"/>
      <c r="V266" s="44"/>
      <c r="W266" s="44"/>
      <c r="X266" s="39"/>
      <c r="Y266" s="39"/>
      <c r="Z266" s="39"/>
      <c r="AA266" s="40"/>
      <c r="AB266" s="44"/>
      <c r="AC266" s="39"/>
      <c r="AD266" s="40"/>
      <c r="AE266" s="44"/>
      <c r="AF266" s="39"/>
      <c r="AG266" s="40"/>
      <c r="AH266" s="44"/>
    </row>
    <row r="267" spans="1:34" x14ac:dyDescent="0.25">
      <c r="A267" s="105">
        <f t="shared" si="3"/>
        <v>36159</v>
      </c>
      <c r="B267" s="16"/>
      <c r="C267" s="16">
        <f>SUM('Weekly Data'!E264:E267)/4</f>
        <v>2697.25</v>
      </c>
      <c r="D267" s="16"/>
      <c r="E267" s="16">
        <f>SUM('Weekly Data'!G264:G267)/4</f>
        <v>2887.25</v>
      </c>
      <c r="F267" s="16">
        <f>SUM('Weekly Data'!H264:H267)/4</f>
        <v>445.25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9"/>
      <c r="R267" s="13">
        <v>36159</v>
      </c>
      <c r="S267" s="44"/>
      <c r="T267" s="44"/>
      <c r="U267" s="19"/>
      <c r="V267" s="44"/>
      <c r="W267" s="44"/>
      <c r="X267" s="39"/>
      <c r="Y267" s="39"/>
      <c r="Z267" s="39"/>
      <c r="AA267" s="40"/>
      <c r="AB267" s="44"/>
      <c r="AC267" s="39"/>
      <c r="AD267" s="40"/>
      <c r="AE267" s="44"/>
      <c r="AF267" s="39"/>
      <c r="AG267" s="40"/>
      <c r="AH267" s="44"/>
    </row>
    <row r="268" spans="1:34" x14ac:dyDescent="0.25">
      <c r="A268" s="105">
        <f t="shared" si="3"/>
        <v>36166</v>
      </c>
      <c r="B268" s="16"/>
      <c r="C268" s="16">
        <f>SUM('Weekly Data'!E265:E268)/4</f>
        <v>2710</v>
      </c>
      <c r="D268" s="16"/>
      <c r="E268" s="16">
        <f>SUM('Weekly Data'!G265:G268)/4</f>
        <v>2455.25</v>
      </c>
      <c r="F268" s="16">
        <f>SUM('Weekly Data'!H265:H268)/4</f>
        <v>342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9"/>
      <c r="R268" s="13">
        <v>36166</v>
      </c>
      <c r="S268" s="44"/>
      <c r="T268" s="44"/>
      <c r="U268" s="19"/>
      <c r="V268" s="44"/>
      <c r="W268" s="44"/>
      <c r="X268" s="39"/>
      <c r="Y268" s="39"/>
      <c r="Z268" s="39"/>
      <c r="AA268" s="40"/>
      <c r="AB268" s="44"/>
      <c r="AC268" s="39"/>
      <c r="AD268" s="40"/>
      <c r="AE268" s="44"/>
      <c r="AF268" s="39"/>
      <c r="AG268" s="40"/>
      <c r="AH268" s="44"/>
    </row>
    <row r="269" spans="1:34" x14ac:dyDescent="0.25">
      <c r="A269" s="105">
        <f t="shared" ref="A269:A332" si="4">A268+7</f>
        <v>36173</v>
      </c>
      <c r="B269" s="16"/>
      <c r="C269" s="16">
        <f>SUM('Weekly Data'!E266:E269)/4</f>
        <v>2576.75</v>
      </c>
      <c r="D269" s="16"/>
      <c r="E269" s="16">
        <f>SUM('Weekly Data'!G266:G269)/4</f>
        <v>2388</v>
      </c>
      <c r="F269" s="16">
        <f>SUM('Weekly Data'!H266:H269)/4</f>
        <v>268.75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9"/>
      <c r="R269" s="13">
        <v>36173</v>
      </c>
      <c r="S269" s="44"/>
      <c r="T269" s="44"/>
      <c r="U269" s="19"/>
      <c r="V269" s="44"/>
      <c r="W269" s="44"/>
      <c r="X269" s="39"/>
      <c r="Y269" s="39"/>
      <c r="Z269" s="39"/>
      <c r="AA269" s="40"/>
      <c r="AB269" s="44"/>
      <c r="AC269" s="39"/>
      <c r="AD269" s="40"/>
      <c r="AE269" s="44"/>
      <c r="AF269" s="39"/>
      <c r="AG269" s="40"/>
      <c r="AH269" s="44"/>
    </row>
    <row r="270" spans="1:34" x14ac:dyDescent="0.25">
      <c r="A270" s="105">
        <f t="shared" si="4"/>
        <v>36180</v>
      </c>
      <c r="B270" s="16"/>
      <c r="C270" s="16">
        <f>SUM('Weekly Data'!E267:E270)/4</f>
        <v>2595</v>
      </c>
      <c r="D270" s="16"/>
      <c r="E270" s="16">
        <f>SUM('Weekly Data'!G267:G270)/4</f>
        <v>2402.25</v>
      </c>
      <c r="F270" s="16">
        <f>SUM('Weekly Data'!H267:H270)/4</f>
        <v>279.75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9"/>
      <c r="R270" s="13">
        <v>36180</v>
      </c>
      <c r="S270" s="44"/>
      <c r="T270" s="44"/>
      <c r="U270" s="19"/>
      <c r="V270" s="44"/>
      <c r="W270" s="44"/>
      <c r="X270" s="39"/>
      <c r="Y270" s="39"/>
      <c r="Z270" s="39"/>
      <c r="AA270" s="40"/>
      <c r="AB270" s="44"/>
      <c r="AC270" s="39"/>
      <c r="AD270" s="40"/>
      <c r="AE270" s="44"/>
      <c r="AF270" s="39"/>
      <c r="AG270" s="40"/>
      <c r="AH270" s="44"/>
    </row>
    <row r="271" spans="1:34" x14ac:dyDescent="0.25">
      <c r="A271" s="105">
        <f t="shared" si="4"/>
        <v>36187</v>
      </c>
      <c r="B271" s="16"/>
      <c r="C271" s="16">
        <f>SUM('Weekly Data'!E268:E271)/4</f>
        <v>2848.25</v>
      </c>
      <c r="D271" s="16"/>
      <c r="E271" s="16">
        <f>SUM('Weekly Data'!G268:G271)/4</f>
        <v>2455.25</v>
      </c>
      <c r="F271" s="16">
        <f>SUM('Weekly Data'!H268:H271)/4</f>
        <v>413.25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9"/>
      <c r="R271" s="13">
        <v>36187</v>
      </c>
      <c r="S271" s="44"/>
      <c r="T271" s="44"/>
      <c r="U271" s="19"/>
      <c r="V271" s="44"/>
      <c r="W271" s="44"/>
      <c r="X271" s="39"/>
      <c r="Y271" s="39"/>
      <c r="Z271" s="39"/>
      <c r="AA271" s="40"/>
      <c r="AB271" s="44"/>
      <c r="AC271" s="39"/>
      <c r="AD271" s="40"/>
      <c r="AE271" s="44"/>
      <c r="AF271" s="39"/>
      <c r="AG271" s="40"/>
      <c r="AH271" s="44"/>
    </row>
    <row r="272" spans="1:34" x14ac:dyDescent="0.25">
      <c r="A272" s="105">
        <f t="shared" si="4"/>
        <v>36194</v>
      </c>
      <c r="B272" s="16"/>
      <c r="C272" s="16">
        <f>SUM('Weekly Data'!E269:E272)/4</f>
        <v>2846.25</v>
      </c>
      <c r="D272" s="16"/>
      <c r="E272" s="16">
        <f>SUM('Weekly Data'!G269:G272)/4</f>
        <v>2566</v>
      </c>
      <c r="F272" s="16">
        <f>SUM('Weekly Data'!H269:H272)/4</f>
        <v>505.25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9"/>
      <c r="R272" s="13">
        <v>36194</v>
      </c>
      <c r="S272" s="44"/>
      <c r="T272" s="44"/>
      <c r="U272" s="19"/>
      <c r="V272" s="44"/>
      <c r="W272" s="44"/>
      <c r="X272" s="39"/>
      <c r="Y272" s="39"/>
      <c r="Z272" s="39"/>
      <c r="AA272" s="40"/>
      <c r="AB272" s="44"/>
      <c r="AC272" s="39"/>
      <c r="AD272" s="40"/>
      <c r="AE272" s="44"/>
      <c r="AF272" s="39"/>
      <c r="AG272" s="40"/>
      <c r="AH272" s="44"/>
    </row>
    <row r="273" spans="1:34" x14ac:dyDescent="0.25">
      <c r="A273" s="105">
        <f t="shared" si="4"/>
        <v>36201</v>
      </c>
      <c r="B273" s="16"/>
      <c r="C273" s="16">
        <f>SUM('Weekly Data'!E270:E273)/4</f>
        <v>2926.25</v>
      </c>
      <c r="D273" s="16"/>
      <c r="E273" s="16">
        <f>SUM('Weekly Data'!G270:G273)/4</f>
        <v>2592</v>
      </c>
      <c r="F273" s="16">
        <f>SUM('Weekly Data'!H270:H273)/4</f>
        <v>495.75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9"/>
      <c r="R273" s="13">
        <v>36201</v>
      </c>
      <c r="S273" s="44"/>
      <c r="T273" s="44"/>
      <c r="U273" s="19"/>
      <c r="V273" s="44"/>
      <c r="W273" s="44"/>
      <c r="X273" s="39"/>
      <c r="Y273" s="39"/>
      <c r="Z273" s="39"/>
      <c r="AA273" s="40"/>
      <c r="AB273" s="44"/>
      <c r="AC273" s="39"/>
      <c r="AD273" s="40"/>
      <c r="AE273" s="44"/>
      <c r="AF273" s="39"/>
      <c r="AG273" s="40"/>
      <c r="AH273" s="44"/>
    </row>
    <row r="274" spans="1:34" x14ac:dyDescent="0.25">
      <c r="A274" s="105">
        <f t="shared" si="4"/>
        <v>36208</v>
      </c>
      <c r="B274" s="16"/>
      <c r="C274" s="16">
        <f>SUM('Weekly Data'!E271:E274)/4</f>
        <v>2974.25</v>
      </c>
      <c r="D274" s="16"/>
      <c r="E274" s="16">
        <f>SUM('Weekly Data'!G271:G274)/4</f>
        <v>2558.5</v>
      </c>
      <c r="F274" s="16">
        <f>SUM('Weekly Data'!H271:H274)/4</f>
        <v>442.25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9"/>
      <c r="R274" s="13">
        <v>36208</v>
      </c>
      <c r="S274" s="44"/>
      <c r="T274" s="44"/>
      <c r="U274" s="19"/>
      <c r="V274" s="44"/>
      <c r="W274" s="44"/>
      <c r="X274" s="39"/>
      <c r="Y274" s="39"/>
      <c r="Z274" s="39"/>
      <c r="AA274" s="40"/>
      <c r="AB274" s="44"/>
      <c r="AC274" s="39"/>
      <c r="AD274" s="40"/>
      <c r="AE274" s="44"/>
      <c r="AF274" s="39"/>
      <c r="AG274" s="40"/>
      <c r="AH274" s="44"/>
    </row>
    <row r="275" spans="1:34" x14ac:dyDescent="0.25">
      <c r="A275" s="105">
        <f t="shared" si="4"/>
        <v>36215</v>
      </c>
      <c r="B275" s="16"/>
      <c r="C275" s="16">
        <f>SUM('Weekly Data'!E272:E275)/4</f>
        <v>2807</v>
      </c>
      <c r="D275" s="16"/>
      <c r="E275" s="16">
        <f>SUM('Weekly Data'!G272:G275)/4</f>
        <v>2648.25</v>
      </c>
      <c r="F275" s="16">
        <f>SUM('Weekly Data'!H272:H275)/4</f>
        <v>416.75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9"/>
      <c r="R275" s="13">
        <v>36215</v>
      </c>
      <c r="S275" s="44"/>
      <c r="T275" s="44"/>
      <c r="U275" s="19"/>
      <c r="V275" s="44"/>
      <c r="W275" s="44"/>
      <c r="X275" s="39"/>
      <c r="Y275" s="39"/>
      <c r="Z275" s="39"/>
      <c r="AA275" s="40"/>
      <c r="AB275" s="44"/>
      <c r="AC275" s="39"/>
      <c r="AD275" s="40"/>
      <c r="AE275" s="44"/>
      <c r="AF275" s="39"/>
      <c r="AG275" s="40"/>
      <c r="AH275" s="44"/>
    </row>
    <row r="276" spans="1:34" x14ac:dyDescent="0.25">
      <c r="A276" s="105">
        <f t="shared" si="4"/>
        <v>36222</v>
      </c>
      <c r="B276" s="16"/>
      <c r="C276" s="16">
        <f>SUM('Weekly Data'!E273:E276)/4</f>
        <v>2629.25</v>
      </c>
      <c r="D276" s="16"/>
      <c r="E276" s="16">
        <f>SUM('Weekly Data'!G273:G276)/4</f>
        <v>3063.75</v>
      </c>
      <c r="F276" s="16">
        <f>SUM('Weekly Data'!H273:H276)/4</f>
        <v>360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9"/>
      <c r="R276" s="13">
        <v>36222</v>
      </c>
      <c r="S276" s="44"/>
      <c r="T276" s="44"/>
      <c r="U276" s="19"/>
      <c r="V276" s="44"/>
      <c r="W276" s="44"/>
      <c r="X276" s="39"/>
      <c r="Y276" s="39"/>
      <c r="Z276" s="39"/>
      <c r="AA276" s="40"/>
      <c r="AB276" s="44"/>
      <c r="AC276" s="39"/>
      <c r="AD276" s="40"/>
      <c r="AE276" s="44"/>
      <c r="AF276" s="39"/>
      <c r="AG276" s="40"/>
      <c r="AH276" s="44"/>
    </row>
    <row r="277" spans="1:34" x14ac:dyDescent="0.25">
      <c r="A277" s="105">
        <f t="shared" si="4"/>
        <v>36229</v>
      </c>
      <c r="B277" s="16"/>
      <c r="C277" s="16">
        <f>SUM('Weekly Data'!E274:E277)/4</f>
        <v>2468.25</v>
      </c>
      <c r="D277" s="16"/>
      <c r="E277" s="16">
        <f>SUM('Weekly Data'!G274:G277)/4</f>
        <v>3280.25</v>
      </c>
      <c r="F277" s="16">
        <f>SUM('Weekly Data'!H274:H277)/4</f>
        <v>495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9"/>
      <c r="R277" s="13">
        <v>36229</v>
      </c>
      <c r="S277" s="44"/>
      <c r="T277" s="44"/>
      <c r="U277" s="19"/>
      <c r="V277" s="44"/>
      <c r="W277" s="44"/>
      <c r="X277" s="39"/>
      <c r="Y277" s="39"/>
      <c r="Z277" s="39"/>
      <c r="AA277" s="40"/>
      <c r="AB277" s="44"/>
      <c r="AC277" s="39"/>
      <c r="AD277" s="40"/>
      <c r="AE277" s="44"/>
      <c r="AF277" s="39"/>
      <c r="AG277" s="40"/>
      <c r="AH277" s="44"/>
    </row>
    <row r="278" spans="1:34" x14ac:dyDescent="0.25">
      <c r="A278" s="105">
        <f t="shared" si="4"/>
        <v>36236</v>
      </c>
      <c r="B278" s="16"/>
      <c r="C278" s="16">
        <f>SUM('Weekly Data'!E275:E278)/4</f>
        <v>2182</v>
      </c>
      <c r="D278" s="16"/>
      <c r="E278" s="16">
        <f>SUM('Weekly Data'!G275:G278)/4</f>
        <v>3340</v>
      </c>
      <c r="F278" s="16">
        <f>SUM('Weekly Data'!H275:H278)/4</f>
        <v>498.75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9"/>
      <c r="R278" s="13">
        <v>36236</v>
      </c>
      <c r="S278" s="44"/>
      <c r="T278" s="44"/>
      <c r="U278" s="19"/>
      <c r="V278" s="44"/>
      <c r="W278" s="44"/>
      <c r="X278" s="39"/>
      <c r="Y278" s="39"/>
      <c r="Z278" s="39"/>
      <c r="AA278" s="40"/>
      <c r="AB278" s="44"/>
      <c r="AC278" s="39"/>
      <c r="AD278" s="40"/>
      <c r="AE278" s="44"/>
      <c r="AF278" s="39"/>
      <c r="AG278" s="40"/>
      <c r="AH278" s="44"/>
    </row>
    <row r="279" spans="1:34" x14ac:dyDescent="0.25">
      <c r="A279" s="105">
        <f t="shared" si="4"/>
        <v>36243</v>
      </c>
      <c r="B279" s="16"/>
      <c r="C279" s="16">
        <f>SUM('Weekly Data'!E276:E279)/4</f>
        <v>2036</v>
      </c>
      <c r="D279" s="16"/>
      <c r="E279" s="16">
        <f>SUM('Weekly Data'!G276:G279)/4</f>
        <v>3417.75</v>
      </c>
      <c r="F279" s="16">
        <f>SUM('Weekly Data'!H276:H279)/4</f>
        <v>375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9"/>
      <c r="R279" s="13">
        <v>36243</v>
      </c>
      <c r="S279" s="44"/>
      <c r="T279" s="44"/>
      <c r="U279" s="19"/>
      <c r="V279" s="44"/>
      <c r="W279" s="44"/>
      <c r="X279" s="39"/>
      <c r="Y279" s="39"/>
      <c r="Z279" s="39"/>
      <c r="AA279" s="40"/>
      <c r="AB279" s="44"/>
      <c r="AC279" s="39"/>
      <c r="AD279" s="40"/>
      <c r="AE279" s="44"/>
      <c r="AF279" s="39"/>
      <c r="AG279" s="40"/>
      <c r="AH279" s="44"/>
    </row>
    <row r="280" spans="1:34" x14ac:dyDescent="0.25">
      <c r="A280" s="105">
        <f t="shared" si="4"/>
        <v>36250</v>
      </c>
      <c r="B280" s="16"/>
      <c r="C280" s="16">
        <f>SUM('Weekly Data'!E277:E280)/4</f>
        <v>2011.75</v>
      </c>
      <c r="D280" s="16"/>
      <c r="E280" s="16">
        <f>SUM('Weekly Data'!G277:G280)/4</f>
        <v>3391.5</v>
      </c>
      <c r="F280" s="16">
        <f>SUM('Weekly Data'!H277:H280)/4</f>
        <v>367.5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9"/>
      <c r="R280" s="13">
        <v>36250</v>
      </c>
      <c r="S280" s="44"/>
      <c r="T280" s="44"/>
      <c r="U280" s="19"/>
      <c r="V280" s="44"/>
      <c r="W280" s="44"/>
      <c r="X280" s="39"/>
      <c r="Y280" s="39"/>
      <c r="Z280" s="39"/>
      <c r="AA280" s="40"/>
      <c r="AB280" s="44"/>
      <c r="AC280" s="39"/>
      <c r="AD280" s="40"/>
      <c r="AE280" s="44"/>
      <c r="AF280" s="39"/>
      <c r="AG280" s="40"/>
      <c r="AH280" s="44"/>
    </row>
    <row r="281" spans="1:34" x14ac:dyDescent="0.25">
      <c r="A281" s="105">
        <f t="shared" si="4"/>
        <v>36257</v>
      </c>
      <c r="B281" s="16"/>
      <c r="C281" s="16">
        <f>SUM('Weekly Data'!E278:E281)/4</f>
        <v>1912.5</v>
      </c>
      <c r="D281" s="16"/>
      <c r="E281" s="16">
        <f>SUM('Weekly Data'!G278:G281)/4</f>
        <v>3304.25</v>
      </c>
      <c r="F281" s="16">
        <f>SUM('Weekly Data'!H278:H281)/4</f>
        <v>329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9"/>
      <c r="R281" s="13">
        <v>36257</v>
      </c>
      <c r="S281" s="44"/>
      <c r="T281" s="44"/>
      <c r="U281" s="19"/>
      <c r="V281" s="44"/>
      <c r="W281" s="44"/>
      <c r="X281" s="39"/>
      <c r="Y281" s="39"/>
      <c r="Z281" s="39"/>
      <c r="AA281" s="40"/>
      <c r="AB281" s="44"/>
      <c r="AC281" s="39"/>
      <c r="AD281" s="40"/>
      <c r="AE281" s="44"/>
      <c r="AF281" s="39"/>
      <c r="AG281" s="40"/>
      <c r="AH281" s="44"/>
    </row>
    <row r="282" spans="1:34" x14ac:dyDescent="0.25">
      <c r="A282" s="105">
        <f t="shared" si="4"/>
        <v>36264</v>
      </c>
      <c r="B282" s="16"/>
      <c r="C282" s="16">
        <f>SUM('Weekly Data'!E279:E282)/4</f>
        <v>1958.5</v>
      </c>
      <c r="D282" s="16"/>
      <c r="E282" s="16">
        <f>SUM('Weekly Data'!G279:G282)/4</f>
        <v>3200.75</v>
      </c>
      <c r="F282" s="16">
        <f>SUM('Weekly Data'!H279:H282)/4</f>
        <v>285.25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9"/>
      <c r="R282" s="13">
        <v>36264</v>
      </c>
      <c r="S282" s="44"/>
      <c r="T282" s="44"/>
      <c r="U282" s="19"/>
      <c r="V282" s="44"/>
      <c r="W282" s="44"/>
      <c r="X282" s="39"/>
      <c r="Y282" s="39"/>
      <c r="Z282" s="39"/>
      <c r="AA282" s="40"/>
      <c r="AB282" s="44"/>
      <c r="AC282" s="39"/>
      <c r="AD282" s="40"/>
      <c r="AE282" s="44"/>
      <c r="AF282" s="39"/>
      <c r="AG282" s="40"/>
      <c r="AH282" s="44"/>
    </row>
    <row r="283" spans="1:34" x14ac:dyDescent="0.25">
      <c r="A283" s="105">
        <f t="shared" si="4"/>
        <v>36271</v>
      </c>
      <c r="B283" s="16"/>
      <c r="C283" s="16">
        <f>SUM('Weekly Data'!E280:E283)/4</f>
        <v>2037.5</v>
      </c>
      <c r="D283" s="16"/>
      <c r="E283" s="16">
        <f>SUM('Weekly Data'!G280:G283)/4</f>
        <v>3219.25</v>
      </c>
      <c r="F283" s="16">
        <f>SUM('Weekly Data'!H280:H283)/4</f>
        <v>361.25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9"/>
      <c r="R283" s="13">
        <v>36271</v>
      </c>
      <c r="S283" s="44"/>
      <c r="T283" s="44"/>
      <c r="U283" s="19"/>
      <c r="V283" s="44"/>
      <c r="W283" s="44"/>
      <c r="X283" s="39"/>
      <c r="Y283" s="39"/>
      <c r="Z283" s="39"/>
      <c r="AA283" s="40"/>
      <c r="AB283" s="44"/>
      <c r="AC283" s="39"/>
      <c r="AD283" s="40"/>
      <c r="AE283" s="44"/>
      <c r="AF283" s="39"/>
      <c r="AG283" s="40"/>
      <c r="AH283" s="44"/>
    </row>
    <row r="284" spans="1:34" x14ac:dyDescent="0.25">
      <c r="A284" s="105">
        <f t="shared" si="4"/>
        <v>36278</v>
      </c>
      <c r="B284" s="16"/>
      <c r="C284" s="16">
        <f>SUM('Weekly Data'!E281:E284)/4</f>
        <v>1943</v>
      </c>
      <c r="D284" s="16"/>
      <c r="E284" s="16">
        <f>SUM('Weekly Data'!G281:G284)/4</f>
        <v>3027.75</v>
      </c>
      <c r="F284" s="16">
        <f>SUM('Weekly Data'!H281:H284)/4</f>
        <v>374.5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9"/>
      <c r="R284" s="13">
        <v>36278</v>
      </c>
      <c r="S284" s="44"/>
      <c r="T284" s="44"/>
      <c r="U284" s="19"/>
      <c r="V284" s="44"/>
      <c r="W284" s="44"/>
      <c r="X284" s="39"/>
      <c r="Y284" s="39"/>
      <c r="Z284" s="39"/>
      <c r="AA284" s="40"/>
      <c r="AB284" s="44"/>
      <c r="AC284" s="39"/>
      <c r="AD284" s="40"/>
      <c r="AE284" s="44"/>
      <c r="AF284" s="39"/>
      <c r="AG284" s="40"/>
      <c r="AH284" s="44"/>
    </row>
    <row r="285" spans="1:34" x14ac:dyDescent="0.25">
      <c r="A285" s="105">
        <f t="shared" si="4"/>
        <v>36285</v>
      </c>
      <c r="B285" s="16"/>
      <c r="C285" s="16">
        <f>SUM('Weekly Data'!E282:E285)/4</f>
        <v>2017.5</v>
      </c>
      <c r="D285" s="16"/>
      <c r="E285" s="16">
        <f>SUM('Weekly Data'!G282:G285)/4</f>
        <v>2926.25</v>
      </c>
      <c r="F285" s="16">
        <f>SUM('Weekly Data'!H282:H285)/4</f>
        <v>262.75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9"/>
      <c r="R285" s="13">
        <v>36285</v>
      </c>
      <c r="S285" s="44"/>
      <c r="T285" s="44"/>
      <c r="U285" s="19"/>
      <c r="V285" s="44"/>
      <c r="W285" s="44"/>
      <c r="X285" s="39"/>
      <c r="Y285" s="39"/>
      <c r="Z285" s="39"/>
      <c r="AA285" s="40"/>
      <c r="AB285" s="44"/>
      <c r="AC285" s="39"/>
      <c r="AD285" s="40"/>
      <c r="AE285" s="44"/>
      <c r="AF285" s="39"/>
      <c r="AG285" s="40"/>
      <c r="AH285" s="44"/>
    </row>
    <row r="286" spans="1:34" x14ac:dyDescent="0.25">
      <c r="A286" s="105">
        <f t="shared" si="4"/>
        <v>36292</v>
      </c>
      <c r="B286" s="16"/>
      <c r="C286" s="16">
        <f>SUM('Weekly Data'!E283:E286)/4</f>
        <v>2045</v>
      </c>
      <c r="D286" s="16"/>
      <c r="E286" s="16">
        <f>SUM('Weekly Data'!G283:G286)/4</f>
        <v>2936.75</v>
      </c>
      <c r="F286" s="16">
        <f>SUM('Weekly Data'!H283:H286)/4</f>
        <v>229.25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9"/>
      <c r="R286" s="13">
        <v>36292</v>
      </c>
      <c r="S286" s="44"/>
      <c r="T286" s="44"/>
      <c r="U286" s="19"/>
      <c r="V286" s="44"/>
      <c r="W286" s="44"/>
      <c r="X286" s="39"/>
      <c r="Y286" s="39"/>
      <c r="Z286" s="39"/>
      <c r="AA286" s="40"/>
      <c r="AB286" s="44"/>
      <c r="AC286" s="39"/>
      <c r="AD286" s="40"/>
      <c r="AE286" s="44"/>
      <c r="AF286" s="39"/>
      <c r="AG286" s="40"/>
      <c r="AH286" s="44"/>
    </row>
    <row r="287" spans="1:34" x14ac:dyDescent="0.25">
      <c r="A287" s="105">
        <f t="shared" si="4"/>
        <v>36299</v>
      </c>
      <c r="B287" s="16"/>
      <c r="C287" s="16">
        <f>SUM('Weekly Data'!E284:E287)/4</f>
        <v>2081.25</v>
      </c>
      <c r="D287" s="16"/>
      <c r="E287" s="16">
        <f>SUM('Weekly Data'!G284:G287)/4</f>
        <v>2826.75</v>
      </c>
      <c r="F287" s="16">
        <f>SUM('Weekly Data'!H284:H287)/4</f>
        <v>139.25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9"/>
      <c r="R287" s="13">
        <v>36299</v>
      </c>
      <c r="S287" s="44"/>
      <c r="T287" s="44"/>
      <c r="U287" s="19"/>
      <c r="V287" s="44"/>
      <c r="W287" s="44"/>
      <c r="X287" s="39"/>
      <c r="Y287" s="39"/>
      <c r="Z287" s="39"/>
      <c r="AA287" s="40"/>
      <c r="AB287" s="44"/>
      <c r="AC287" s="39"/>
      <c r="AD287" s="40"/>
      <c r="AE287" s="44"/>
      <c r="AF287" s="39"/>
      <c r="AG287" s="40"/>
      <c r="AH287" s="44"/>
    </row>
    <row r="288" spans="1:34" x14ac:dyDescent="0.25">
      <c r="A288" s="105">
        <f t="shared" si="4"/>
        <v>36306</v>
      </c>
      <c r="B288" s="16"/>
      <c r="C288" s="16">
        <f>SUM('Weekly Data'!E285:E288)/4</f>
        <v>2312.25</v>
      </c>
      <c r="D288" s="16"/>
      <c r="E288" s="16">
        <f>SUM('Weekly Data'!G285:G288)/4</f>
        <v>2873.5</v>
      </c>
      <c r="F288" s="16">
        <f>SUM('Weekly Data'!H285:H288)/4</f>
        <v>145.5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9"/>
      <c r="R288" s="13">
        <v>36306</v>
      </c>
      <c r="S288" s="44"/>
      <c r="T288" s="44"/>
      <c r="U288" s="19"/>
      <c r="V288" s="44"/>
      <c r="W288" s="44"/>
      <c r="X288" s="39"/>
      <c r="Y288" s="39"/>
      <c r="Z288" s="39"/>
      <c r="AA288" s="40"/>
      <c r="AB288" s="44"/>
      <c r="AC288" s="39"/>
      <c r="AD288" s="40"/>
      <c r="AE288" s="44"/>
      <c r="AF288" s="39"/>
      <c r="AG288" s="40"/>
      <c r="AH288" s="44"/>
    </row>
    <row r="289" spans="1:34" x14ac:dyDescent="0.25">
      <c r="A289" s="105">
        <f t="shared" si="4"/>
        <v>36313</v>
      </c>
      <c r="B289" s="16"/>
      <c r="C289" s="16">
        <f>SUM('Weekly Data'!E286:E289)/4</f>
        <v>2517.25</v>
      </c>
      <c r="D289" s="16"/>
      <c r="E289" s="16">
        <f>SUM('Weekly Data'!G286:G289)/4</f>
        <v>2661</v>
      </c>
      <c r="F289" s="16">
        <f>SUM('Weekly Data'!H286:H289)/4</f>
        <v>102.25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9"/>
      <c r="R289" s="13">
        <v>36313</v>
      </c>
      <c r="S289" s="44"/>
      <c r="T289" s="44"/>
      <c r="U289" s="19"/>
      <c r="V289" s="44"/>
      <c r="W289" s="44"/>
      <c r="X289" s="39"/>
      <c r="Y289" s="39"/>
      <c r="Z289" s="39"/>
      <c r="AA289" s="40"/>
      <c r="AB289" s="44"/>
      <c r="AC289" s="39"/>
      <c r="AD289" s="40"/>
      <c r="AE289" s="44"/>
      <c r="AF289" s="39"/>
      <c r="AG289" s="40"/>
      <c r="AH289" s="44"/>
    </row>
    <row r="290" spans="1:34" x14ac:dyDescent="0.25">
      <c r="A290" s="105">
        <f t="shared" si="4"/>
        <v>36320</v>
      </c>
      <c r="B290" s="16"/>
      <c r="C290" s="16">
        <f>SUM('Weekly Data'!E287:E290)/4</f>
        <v>2687.5</v>
      </c>
      <c r="D290" s="16"/>
      <c r="E290" s="16">
        <f>SUM('Weekly Data'!G287:G290)/4</f>
        <v>2557.25</v>
      </c>
      <c r="F290" s="16">
        <f>SUM('Weekly Data'!H287:H290)/4</f>
        <v>82.75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9"/>
      <c r="R290" s="13">
        <v>36320</v>
      </c>
      <c r="S290" s="44"/>
      <c r="T290" s="44"/>
      <c r="U290" s="19"/>
      <c r="V290" s="44"/>
      <c r="W290" s="44"/>
      <c r="X290" s="39"/>
      <c r="Y290" s="39"/>
      <c r="Z290" s="39"/>
      <c r="AA290" s="40"/>
      <c r="AB290" s="44"/>
      <c r="AC290" s="39"/>
      <c r="AD290" s="40"/>
      <c r="AE290" s="44"/>
      <c r="AF290" s="39"/>
      <c r="AG290" s="40"/>
      <c r="AH290" s="44"/>
    </row>
    <row r="291" spans="1:34" x14ac:dyDescent="0.25">
      <c r="A291" s="105">
        <f t="shared" si="4"/>
        <v>36327</v>
      </c>
      <c r="B291" s="16"/>
      <c r="C291" s="16">
        <f>SUM('Weekly Data'!E288:E291)/4</f>
        <v>2810.5</v>
      </c>
      <c r="D291" s="16"/>
      <c r="E291" s="16">
        <f>SUM('Weekly Data'!G288:G291)/4</f>
        <v>2349.5</v>
      </c>
      <c r="F291" s="16">
        <f>SUM('Weekly Data'!H288:H291)/4</f>
        <v>76.75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9"/>
      <c r="R291" s="13">
        <v>36327</v>
      </c>
      <c r="S291" s="44"/>
      <c r="T291" s="44"/>
      <c r="U291" s="19"/>
      <c r="V291" s="44"/>
      <c r="W291" s="44"/>
      <c r="X291" s="39"/>
      <c r="Y291" s="39"/>
      <c r="Z291" s="39"/>
      <c r="AA291" s="40"/>
      <c r="AB291" s="44"/>
      <c r="AC291" s="39"/>
      <c r="AD291" s="40"/>
      <c r="AE291" s="44"/>
      <c r="AF291" s="39"/>
      <c r="AG291" s="40"/>
      <c r="AH291" s="44"/>
    </row>
    <row r="292" spans="1:34" x14ac:dyDescent="0.25">
      <c r="A292" s="105">
        <f t="shared" si="4"/>
        <v>36334</v>
      </c>
      <c r="B292" s="16"/>
      <c r="C292" s="16">
        <f>SUM('Weekly Data'!E289:E292)/4</f>
        <v>2767.25</v>
      </c>
      <c r="D292" s="16"/>
      <c r="E292" s="16">
        <f>SUM('Weekly Data'!G289:G292)/4</f>
        <v>2207</v>
      </c>
      <c r="F292" s="16">
        <f>SUM('Weekly Data'!H289:H292)/4</f>
        <v>17.25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9"/>
      <c r="R292" s="13">
        <v>36334</v>
      </c>
      <c r="S292" s="44"/>
      <c r="T292" s="44"/>
      <c r="U292" s="19"/>
      <c r="V292" s="44"/>
      <c r="W292" s="44"/>
      <c r="X292" s="39"/>
      <c r="Y292" s="39"/>
      <c r="Z292" s="39"/>
      <c r="AA292" s="40"/>
      <c r="AB292" s="44"/>
      <c r="AC292" s="39"/>
      <c r="AD292" s="40"/>
      <c r="AE292" s="44"/>
      <c r="AF292" s="39"/>
      <c r="AG292" s="40"/>
      <c r="AH292" s="44"/>
    </row>
    <row r="293" spans="1:34" x14ac:dyDescent="0.25">
      <c r="A293" s="105">
        <f t="shared" si="4"/>
        <v>36341</v>
      </c>
      <c r="B293" s="16"/>
      <c r="C293" s="16">
        <f>SUM('Weekly Data'!E290:E293)/4</f>
        <v>2589.25</v>
      </c>
      <c r="D293" s="16"/>
      <c r="E293" s="16">
        <f>SUM('Weekly Data'!G290:G293)/4</f>
        <v>2309.5</v>
      </c>
      <c r="F293" s="16">
        <f>SUM('Weekly Data'!H290:H293)/4</f>
        <v>6.75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9"/>
      <c r="R293" s="13">
        <v>36341</v>
      </c>
      <c r="S293" s="44"/>
      <c r="T293" s="44"/>
      <c r="U293" s="19"/>
      <c r="V293" s="44"/>
      <c r="W293" s="44"/>
      <c r="X293" s="39"/>
      <c r="Y293" s="39"/>
      <c r="Z293" s="39"/>
      <c r="AA293" s="40"/>
      <c r="AB293" s="44"/>
      <c r="AC293" s="39"/>
      <c r="AD293" s="40"/>
      <c r="AE293" s="44"/>
      <c r="AF293" s="39"/>
      <c r="AG293" s="40"/>
      <c r="AH293" s="44"/>
    </row>
    <row r="294" spans="1:34" x14ac:dyDescent="0.25">
      <c r="A294" s="105">
        <f t="shared" si="4"/>
        <v>36348</v>
      </c>
      <c r="B294" s="16"/>
      <c r="C294" s="16">
        <f>SUM('Weekly Data'!E291:E294)/4</f>
        <v>2257.5</v>
      </c>
      <c r="D294" s="16"/>
      <c r="E294" s="16">
        <f>SUM('Weekly Data'!G291:G294)/4</f>
        <v>2291.5</v>
      </c>
      <c r="F294" s="16">
        <f>SUM('Weekly Data'!H291:H294)/4</f>
        <v>42.25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9"/>
      <c r="R294" s="13">
        <v>36348</v>
      </c>
      <c r="S294" s="44"/>
      <c r="T294" s="44"/>
      <c r="U294" s="19"/>
      <c r="V294" s="44"/>
      <c r="W294" s="44"/>
      <c r="X294" s="39"/>
      <c r="Y294" s="39"/>
      <c r="Z294" s="39"/>
      <c r="AA294" s="40"/>
      <c r="AB294" s="44"/>
      <c r="AC294" s="39"/>
      <c r="AD294" s="40"/>
      <c r="AE294" s="44"/>
      <c r="AF294" s="39"/>
      <c r="AG294" s="40"/>
      <c r="AH294" s="44"/>
    </row>
    <row r="295" spans="1:34" x14ac:dyDescent="0.25">
      <c r="A295" s="105">
        <f t="shared" si="4"/>
        <v>36355</v>
      </c>
      <c r="B295" s="16"/>
      <c r="C295" s="16">
        <f>SUM('Weekly Data'!E292:E295)/4</f>
        <v>2129.25</v>
      </c>
      <c r="D295" s="16"/>
      <c r="E295" s="16">
        <f>SUM('Weekly Data'!G292:G295)/4</f>
        <v>2347.5</v>
      </c>
      <c r="F295" s="16">
        <f>SUM('Weekly Data'!H292:H295)/4</f>
        <v>70.75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9"/>
      <c r="R295" s="13">
        <v>36355</v>
      </c>
      <c r="S295" s="44"/>
      <c r="T295" s="44"/>
      <c r="U295" s="19"/>
      <c r="V295" s="44"/>
      <c r="W295" s="44"/>
      <c r="X295" s="39"/>
      <c r="Y295" s="39"/>
      <c r="Z295" s="39"/>
      <c r="AA295" s="40"/>
      <c r="AB295" s="44"/>
      <c r="AC295" s="39"/>
      <c r="AD295" s="40"/>
      <c r="AE295" s="44"/>
      <c r="AF295" s="39"/>
      <c r="AG295" s="40"/>
      <c r="AH295" s="44"/>
    </row>
    <row r="296" spans="1:34" x14ac:dyDescent="0.25">
      <c r="A296" s="105">
        <f t="shared" si="4"/>
        <v>36362</v>
      </c>
      <c r="B296" s="16"/>
      <c r="C296" s="16">
        <f>SUM('Weekly Data'!E293:E296)/4</f>
        <v>2177.25</v>
      </c>
      <c r="D296" s="16"/>
      <c r="E296" s="16">
        <f>SUM('Weekly Data'!G293:G296)/4</f>
        <v>2292.25</v>
      </c>
      <c r="F296" s="16">
        <f>SUM('Weekly Data'!H293:H296)/4</f>
        <v>184.5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9"/>
      <c r="R296" s="13">
        <v>36362</v>
      </c>
      <c r="S296" s="44"/>
      <c r="T296" s="44"/>
      <c r="U296" s="19"/>
      <c r="V296" s="44"/>
      <c r="W296" s="44"/>
      <c r="X296" s="39"/>
      <c r="Y296" s="39"/>
      <c r="Z296" s="39"/>
      <c r="AA296" s="40"/>
      <c r="AB296" s="44"/>
      <c r="AC296" s="39"/>
      <c r="AD296" s="40"/>
      <c r="AE296" s="44"/>
      <c r="AF296" s="39"/>
      <c r="AG296" s="40"/>
      <c r="AH296" s="44"/>
    </row>
    <row r="297" spans="1:34" x14ac:dyDescent="0.25">
      <c r="A297" s="105">
        <f t="shared" si="4"/>
        <v>36369</v>
      </c>
      <c r="B297" s="16"/>
      <c r="C297" s="16">
        <f>SUM('Weekly Data'!E294:E297)/4</f>
        <v>2230</v>
      </c>
      <c r="D297" s="16"/>
      <c r="E297" s="16">
        <f>SUM('Weekly Data'!G294:G297)/4</f>
        <v>2272.25</v>
      </c>
      <c r="F297" s="16">
        <f>SUM('Weekly Data'!H294:H297)/4</f>
        <v>221.25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9"/>
      <c r="R297" s="13">
        <v>36369</v>
      </c>
      <c r="S297" s="44"/>
      <c r="T297" s="44"/>
      <c r="U297" s="19"/>
      <c r="V297" s="44"/>
      <c r="W297" s="44"/>
      <c r="X297" s="39"/>
      <c r="Y297" s="39"/>
      <c r="Z297" s="39"/>
      <c r="AA297" s="40"/>
      <c r="AB297" s="44"/>
      <c r="AC297" s="39"/>
      <c r="AD297" s="40"/>
      <c r="AE297" s="44"/>
      <c r="AF297" s="39"/>
      <c r="AG297" s="40"/>
      <c r="AH297" s="44"/>
    </row>
    <row r="298" spans="1:34" x14ac:dyDescent="0.25">
      <c r="A298" s="105">
        <f t="shared" si="4"/>
        <v>36376</v>
      </c>
      <c r="B298" s="16"/>
      <c r="C298" s="16">
        <f>SUM('Weekly Data'!E295:E298)/4</f>
        <v>2504.75</v>
      </c>
      <c r="D298" s="16"/>
      <c r="E298" s="16">
        <f>SUM('Weekly Data'!G295:G298)/4</f>
        <v>2468</v>
      </c>
      <c r="F298" s="16">
        <f>SUM('Weekly Data'!H295:H298)/4</f>
        <v>221.75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9"/>
      <c r="R298" s="13">
        <v>36376</v>
      </c>
      <c r="S298" s="44"/>
      <c r="T298" s="44"/>
      <c r="U298" s="19"/>
      <c r="V298" s="44"/>
      <c r="W298" s="44"/>
      <c r="X298" s="39"/>
      <c r="Y298" s="39"/>
      <c r="Z298" s="39"/>
      <c r="AA298" s="40"/>
      <c r="AB298" s="44"/>
      <c r="AC298" s="39"/>
      <c r="AD298" s="40"/>
      <c r="AE298" s="44"/>
      <c r="AF298" s="39"/>
      <c r="AG298" s="40"/>
      <c r="AH298" s="44"/>
    </row>
    <row r="299" spans="1:34" x14ac:dyDescent="0.25">
      <c r="A299" s="105">
        <f t="shared" si="4"/>
        <v>36383</v>
      </c>
      <c r="B299" s="16"/>
      <c r="C299" s="16">
        <f>SUM('Weekly Data'!E296:E299)/4</f>
        <v>2609.25</v>
      </c>
      <c r="D299" s="16"/>
      <c r="E299" s="16">
        <f>SUM('Weekly Data'!G296:G299)/4</f>
        <v>2661</v>
      </c>
      <c r="F299" s="16">
        <f>SUM('Weekly Data'!H296:H299)/4</f>
        <v>224.25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9"/>
      <c r="R299" s="13">
        <v>36383</v>
      </c>
      <c r="S299" s="44"/>
      <c r="T299" s="44"/>
      <c r="U299" s="19"/>
      <c r="V299" s="44"/>
      <c r="W299" s="44"/>
      <c r="X299" s="39"/>
      <c r="Y299" s="39"/>
      <c r="Z299" s="39"/>
      <c r="AA299" s="40"/>
      <c r="AB299" s="44"/>
      <c r="AC299" s="39"/>
      <c r="AD299" s="40"/>
      <c r="AE299" s="44"/>
      <c r="AF299" s="39"/>
      <c r="AG299" s="40"/>
      <c r="AH299" s="44"/>
    </row>
    <row r="300" spans="1:34" x14ac:dyDescent="0.25">
      <c r="A300" s="105">
        <f t="shared" si="4"/>
        <v>36390</v>
      </c>
      <c r="B300" s="16"/>
      <c r="C300" s="16">
        <f>SUM('Weekly Data'!E297:E300)/4</f>
        <v>2910.25</v>
      </c>
      <c r="D300" s="16"/>
      <c r="E300" s="16">
        <f>SUM('Weekly Data'!G297:G300)/4</f>
        <v>3213</v>
      </c>
      <c r="F300" s="16">
        <f>SUM('Weekly Data'!H297:H300)/4</f>
        <v>156.25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9"/>
      <c r="R300" s="13">
        <v>36390</v>
      </c>
      <c r="S300" s="44"/>
      <c r="T300" s="44"/>
      <c r="U300" s="19"/>
      <c r="V300" s="44"/>
      <c r="W300" s="44"/>
      <c r="X300" s="39"/>
      <c r="Y300" s="39"/>
      <c r="Z300" s="39"/>
      <c r="AA300" s="40"/>
      <c r="AB300" s="44"/>
      <c r="AC300" s="39"/>
      <c r="AD300" s="40"/>
      <c r="AE300" s="44"/>
      <c r="AF300" s="39"/>
      <c r="AG300" s="40"/>
      <c r="AH300" s="44"/>
    </row>
    <row r="301" spans="1:34" x14ac:dyDescent="0.25">
      <c r="A301" s="105">
        <f t="shared" si="4"/>
        <v>36397</v>
      </c>
      <c r="B301" s="16"/>
      <c r="C301" s="16">
        <f>SUM('Weekly Data'!E298:E301)/4</f>
        <v>3317.5</v>
      </c>
      <c r="D301" s="16"/>
      <c r="E301" s="16">
        <f>SUM('Weekly Data'!G298:G301)/4</f>
        <v>3701.5</v>
      </c>
      <c r="F301" s="16">
        <f>SUM('Weekly Data'!H298:H301)/4</f>
        <v>225.75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9"/>
      <c r="R301" s="13">
        <v>36397</v>
      </c>
      <c r="S301" s="44"/>
      <c r="T301" s="44"/>
      <c r="U301" s="19"/>
      <c r="V301" s="44"/>
      <c r="W301" s="44"/>
      <c r="X301" s="39"/>
      <c r="Y301" s="39"/>
      <c r="Z301" s="39"/>
      <c r="AA301" s="40"/>
      <c r="AB301" s="44"/>
      <c r="AC301" s="39"/>
      <c r="AD301" s="40"/>
      <c r="AE301" s="44"/>
      <c r="AF301" s="39"/>
      <c r="AG301" s="40"/>
      <c r="AH301" s="44"/>
    </row>
    <row r="302" spans="1:34" x14ac:dyDescent="0.25">
      <c r="A302" s="105">
        <f t="shared" si="4"/>
        <v>36404</v>
      </c>
      <c r="B302" s="16"/>
      <c r="C302" s="16">
        <f>SUM('Weekly Data'!E299:E302)/4</f>
        <v>3440.5</v>
      </c>
      <c r="D302" s="16"/>
      <c r="E302" s="16">
        <f>SUM('Weekly Data'!G299:G302)/4</f>
        <v>3788</v>
      </c>
      <c r="F302" s="16">
        <f>SUM('Weekly Data'!H299:H302)/4</f>
        <v>298.5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9"/>
      <c r="R302" s="13">
        <v>36404</v>
      </c>
      <c r="S302" s="44"/>
      <c r="T302" s="44"/>
      <c r="U302" s="19"/>
      <c r="V302" s="44"/>
      <c r="W302" s="44"/>
      <c r="X302" s="39"/>
      <c r="Y302" s="39"/>
      <c r="Z302" s="39"/>
      <c r="AA302" s="40"/>
      <c r="AB302" s="44"/>
      <c r="AC302" s="39"/>
      <c r="AD302" s="40"/>
      <c r="AE302" s="44"/>
      <c r="AF302" s="39"/>
      <c r="AG302" s="40"/>
      <c r="AH302" s="44"/>
    </row>
    <row r="303" spans="1:34" x14ac:dyDescent="0.25">
      <c r="A303" s="105">
        <f t="shared" si="4"/>
        <v>36411</v>
      </c>
      <c r="B303" s="16"/>
      <c r="C303" s="16">
        <f>SUM('Weekly Data'!E300:E303)/4</f>
        <v>3672.5</v>
      </c>
      <c r="D303" s="16"/>
      <c r="E303" s="16">
        <f>SUM('Weekly Data'!G300:G303)/4</f>
        <v>4014.5</v>
      </c>
      <c r="F303" s="16">
        <f>SUM('Weekly Data'!H300:H303)/4</f>
        <v>334.75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9"/>
      <c r="R303" s="13">
        <v>36411</v>
      </c>
      <c r="S303" s="44"/>
      <c r="T303" s="44"/>
      <c r="U303" s="19"/>
      <c r="V303" s="44"/>
      <c r="W303" s="44"/>
      <c r="X303" s="39"/>
      <c r="Y303" s="39"/>
      <c r="Z303" s="39"/>
      <c r="AA303" s="40"/>
      <c r="AB303" s="44"/>
      <c r="AC303" s="39"/>
      <c r="AD303" s="40"/>
      <c r="AE303" s="44"/>
      <c r="AF303" s="39"/>
      <c r="AG303" s="40"/>
      <c r="AH303" s="44"/>
    </row>
    <row r="304" spans="1:34" x14ac:dyDescent="0.25">
      <c r="A304" s="105">
        <f t="shared" si="4"/>
        <v>36418</v>
      </c>
      <c r="B304" s="16"/>
      <c r="C304" s="16">
        <f>SUM('Weekly Data'!E301:E304)/4</f>
        <v>3472.25</v>
      </c>
      <c r="D304" s="16"/>
      <c r="E304" s="16">
        <f>SUM('Weekly Data'!G301:G304)/4</f>
        <v>3923.25</v>
      </c>
      <c r="F304" s="16">
        <f>SUM('Weekly Data'!H301:H304)/4</f>
        <v>456.5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9"/>
      <c r="R304" s="13">
        <v>36418</v>
      </c>
      <c r="S304" s="44"/>
      <c r="T304" s="44"/>
      <c r="U304" s="19"/>
      <c r="V304" s="44"/>
      <c r="W304" s="44"/>
      <c r="X304" s="39"/>
      <c r="Y304" s="39"/>
      <c r="Z304" s="39"/>
      <c r="AA304" s="40"/>
      <c r="AB304" s="44"/>
      <c r="AC304" s="39"/>
      <c r="AD304" s="40"/>
      <c r="AE304" s="44"/>
      <c r="AF304" s="39"/>
      <c r="AG304" s="40"/>
      <c r="AH304" s="44"/>
    </row>
    <row r="305" spans="1:34" x14ac:dyDescent="0.25">
      <c r="A305" s="105">
        <f t="shared" si="4"/>
        <v>36425</v>
      </c>
      <c r="B305" s="16"/>
      <c r="C305" s="16">
        <f>SUM('Weekly Data'!E302:E305)/4</f>
        <v>3312.5</v>
      </c>
      <c r="D305" s="16"/>
      <c r="E305" s="16">
        <f>SUM('Weekly Data'!G302:G305)/4</f>
        <v>3857.75</v>
      </c>
      <c r="F305" s="16">
        <f>SUM('Weekly Data'!H302:H305)/4</f>
        <v>421.5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9"/>
      <c r="R305" s="13">
        <v>36425</v>
      </c>
      <c r="S305" s="44"/>
      <c r="T305" s="44"/>
      <c r="U305" s="19"/>
      <c r="V305" s="44"/>
      <c r="W305" s="44"/>
      <c r="X305" s="39"/>
      <c r="Y305" s="39"/>
      <c r="Z305" s="39"/>
      <c r="AA305" s="40"/>
      <c r="AB305" s="44"/>
      <c r="AC305" s="39"/>
      <c r="AD305" s="40"/>
      <c r="AE305" s="44"/>
      <c r="AF305" s="39"/>
      <c r="AG305" s="40"/>
      <c r="AH305" s="44"/>
    </row>
    <row r="306" spans="1:34" x14ac:dyDescent="0.25">
      <c r="A306" s="105">
        <f t="shared" si="4"/>
        <v>36432</v>
      </c>
      <c r="B306" s="16"/>
      <c r="C306" s="16">
        <f>SUM('Weekly Data'!E303:E306)/4</f>
        <v>3219.75</v>
      </c>
      <c r="D306" s="16"/>
      <c r="E306" s="16">
        <f>SUM('Weekly Data'!G303:G306)/4</f>
        <v>3952</v>
      </c>
      <c r="F306" s="16">
        <f>SUM('Weekly Data'!H303:H306)/4</f>
        <v>428.75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9"/>
      <c r="R306" s="13">
        <v>36432</v>
      </c>
      <c r="S306" s="44"/>
      <c r="T306" s="44"/>
      <c r="U306" s="19"/>
      <c r="V306" s="44"/>
      <c r="W306" s="44"/>
      <c r="X306" s="39"/>
      <c r="Y306" s="39"/>
      <c r="Z306" s="39"/>
      <c r="AA306" s="40"/>
      <c r="AB306" s="44"/>
      <c r="AC306" s="39"/>
      <c r="AD306" s="40"/>
      <c r="AE306" s="44"/>
      <c r="AF306" s="39"/>
      <c r="AG306" s="40"/>
      <c r="AH306" s="44"/>
    </row>
    <row r="307" spans="1:34" x14ac:dyDescent="0.25">
      <c r="A307" s="105">
        <f t="shared" si="4"/>
        <v>36439</v>
      </c>
      <c r="B307" s="16"/>
      <c r="C307" s="16">
        <f>SUM('Weekly Data'!E304:E307)/4</f>
        <v>3170.5</v>
      </c>
      <c r="D307" s="16"/>
      <c r="E307" s="16">
        <f>SUM('Weekly Data'!G304:G307)/4</f>
        <v>3941.25</v>
      </c>
      <c r="F307" s="16">
        <f>SUM('Weekly Data'!H304:H307)/4</f>
        <v>400.5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9"/>
      <c r="R307" s="13">
        <v>36439</v>
      </c>
      <c r="S307" s="44"/>
      <c r="T307" s="44"/>
      <c r="U307" s="19"/>
      <c r="V307" s="44"/>
      <c r="W307" s="44"/>
      <c r="X307" s="39"/>
      <c r="Y307" s="39"/>
      <c r="Z307" s="39"/>
      <c r="AA307" s="40"/>
      <c r="AB307" s="44"/>
      <c r="AC307" s="39"/>
      <c r="AD307" s="40"/>
      <c r="AE307" s="44"/>
      <c r="AF307" s="39"/>
      <c r="AG307" s="40"/>
      <c r="AH307" s="44"/>
    </row>
    <row r="308" spans="1:34" x14ac:dyDescent="0.25">
      <c r="A308" s="105">
        <f t="shared" si="4"/>
        <v>36446</v>
      </c>
      <c r="B308" s="16"/>
      <c r="C308" s="16">
        <f>SUM('Weekly Data'!E305:E308)/4</f>
        <v>3237</v>
      </c>
      <c r="D308" s="16"/>
      <c r="E308" s="16">
        <f>SUM('Weekly Data'!G305:G308)/4</f>
        <v>3907.75</v>
      </c>
      <c r="F308" s="16">
        <f>SUM('Weekly Data'!H305:H308)/4</f>
        <v>263.75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9"/>
      <c r="R308" s="13">
        <v>36446</v>
      </c>
      <c r="S308" s="44"/>
      <c r="T308" s="44"/>
      <c r="U308" s="19"/>
      <c r="V308" s="44"/>
      <c r="W308" s="44"/>
      <c r="X308" s="39"/>
      <c r="Y308" s="39"/>
      <c r="Z308" s="39"/>
      <c r="AA308" s="40"/>
      <c r="AB308" s="44"/>
      <c r="AC308" s="39"/>
      <c r="AD308" s="40"/>
      <c r="AE308" s="44"/>
      <c r="AF308" s="39"/>
      <c r="AG308" s="40"/>
      <c r="AH308" s="44"/>
    </row>
    <row r="309" spans="1:34" x14ac:dyDescent="0.25">
      <c r="A309" s="105">
        <f t="shared" si="4"/>
        <v>36453</v>
      </c>
      <c r="B309" s="16"/>
      <c r="C309" s="16">
        <f>SUM('Weekly Data'!E306:E309)/4</f>
        <v>3207.5</v>
      </c>
      <c r="D309" s="16"/>
      <c r="E309" s="16">
        <f>SUM('Weekly Data'!G306:G309)/4</f>
        <v>3714.25</v>
      </c>
      <c r="F309" s="16">
        <f>SUM('Weekly Data'!H306:H309)/4</f>
        <v>262.5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9"/>
      <c r="R309" s="13">
        <v>36453</v>
      </c>
      <c r="S309" s="44"/>
      <c r="T309" s="44"/>
      <c r="U309" s="19"/>
      <c r="V309" s="44"/>
      <c r="W309" s="44"/>
      <c r="X309" s="39"/>
      <c r="Y309" s="39"/>
      <c r="Z309" s="39"/>
      <c r="AA309" s="40"/>
      <c r="AB309" s="44"/>
      <c r="AC309" s="39"/>
      <c r="AD309" s="40"/>
      <c r="AE309" s="44"/>
      <c r="AF309" s="39"/>
      <c r="AG309" s="40"/>
      <c r="AH309" s="44"/>
    </row>
    <row r="310" spans="1:34" x14ac:dyDescent="0.25">
      <c r="A310" s="105">
        <f t="shared" si="4"/>
        <v>36460</v>
      </c>
      <c r="B310" s="16"/>
      <c r="C310" s="16">
        <f>SUM('Weekly Data'!E307:E310)/4</f>
        <v>3119</v>
      </c>
      <c r="D310" s="16"/>
      <c r="E310" s="16">
        <f>SUM('Weekly Data'!G307:G310)/4</f>
        <v>3721.75</v>
      </c>
      <c r="F310" s="16">
        <f>SUM('Weekly Data'!H307:H310)/4</f>
        <v>259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9"/>
      <c r="R310" s="13">
        <v>36460</v>
      </c>
      <c r="S310" s="44"/>
      <c r="T310" s="44"/>
      <c r="U310" s="19"/>
      <c r="V310" s="44"/>
      <c r="W310" s="44"/>
      <c r="X310" s="39"/>
      <c r="Y310" s="39"/>
      <c r="Z310" s="39"/>
      <c r="AA310" s="40"/>
      <c r="AB310" s="44"/>
      <c r="AC310" s="39"/>
      <c r="AD310" s="40"/>
      <c r="AE310" s="44"/>
      <c r="AF310" s="39"/>
      <c r="AG310" s="40"/>
      <c r="AH310" s="44"/>
    </row>
    <row r="311" spans="1:34" x14ac:dyDescent="0.25">
      <c r="A311" s="105">
        <f t="shared" si="4"/>
        <v>36467</v>
      </c>
      <c r="B311" s="16"/>
      <c r="C311" s="16">
        <f>SUM('Weekly Data'!E308:E311)/4</f>
        <v>2851</v>
      </c>
      <c r="D311" s="16"/>
      <c r="E311" s="16">
        <f>SUM('Weekly Data'!G308:G311)/4</f>
        <v>3536.75</v>
      </c>
      <c r="F311" s="16">
        <f>SUM('Weekly Data'!H308:H311)/4</f>
        <v>331.75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9"/>
      <c r="R311" s="13">
        <v>36467</v>
      </c>
      <c r="S311" s="44"/>
      <c r="T311" s="44"/>
      <c r="U311" s="19"/>
      <c r="V311" s="44"/>
      <c r="W311" s="44"/>
      <c r="X311" s="39"/>
      <c r="Y311" s="39"/>
      <c r="Z311" s="39"/>
      <c r="AA311" s="40"/>
      <c r="AB311" s="44"/>
      <c r="AC311" s="39"/>
      <c r="AD311" s="40"/>
      <c r="AE311" s="44"/>
      <c r="AF311" s="39"/>
      <c r="AG311" s="40"/>
      <c r="AH311" s="44"/>
    </row>
    <row r="312" spans="1:34" x14ac:dyDescent="0.25">
      <c r="A312" s="105">
        <f t="shared" si="4"/>
        <v>36474</v>
      </c>
      <c r="B312" s="16"/>
      <c r="C312" s="16">
        <f>SUM('Weekly Data'!E309:E312)/4</f>
        <v>2588</v>
      </c>
      <c r="D312" s="16"/>
      <c r="E312" s="16">
        <f>SUM('Weekly Data'!G309:G312)/4</f>
        <v>3580.25</v>
      </c>
      <c r="F312" s="16">
        <f>SUM('Weekly Data'!H309:H312)/4</f>
        <v>418.25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9"/>
      <c r="R312" s="13">
        <v>36474</v>
      </c>
      <c r="S312" s="44"/>
      <c r="T312" s="44"/>
      <c r="U312" s="19"/>
      <c r="V312" s="44"/>
      <c r="W312" s="44"/>
      <c r="X312" s="39"/>
      <c r="Y312" s="39"/>
      <c r="Z312" s="39"/>
      <c r="AA312" s="40"/>
      <c r="AB312" s="44"/>
      <c r="AC312" s="39"/>
      <c r="AD312" s="40"/>
      <c r="AE312" s="44"/>
      <c r="AF312" s="39"/>
      <c r="AG312" s="40"/>
      <c r="AH312" s="44"/>
    </row>
    <row r="313" spans="1:34" x14ac:dyDescent="0.25">
      <c r="A313" s="105">
        <f t="shared" si="4"/>
        <v>36481</v>
      </c>
      <c r="B313" s="16"/>
      <c r="C313" s="16">
        <f>SUM('Weekly Data'!E310:E313)/4</f>
        <v>2300</v>
      </c>
      <c r="D313" s="16"/>
      <c r="E313" s="16">
        <f>SUM('Weekly Data'!G310:G313)/4</f>
        <v>3831</v>
      </c>
      <c r="F313" s="16">
        <f>SUM('Weekly Data'!H310:H313)/4</f>
        <v>403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9"/>
      <c r="R313" s="13">
        <v>36481</v>
      </c>
      <c r="S313" s="44"/>
      <c r="T313" s="44"/>
      <c r="U313" s="19"/>
      <c r="V313" s="44"/>
      <c r="W313" s="44"/>
      <c r="X313" s="39"/>
      <c r="Y313" s="39"/>
      <c r="Z313" s="39"/>
      <c r="AA313" s="40"/>
      <c r="AB313" s="44"/>
      <c r="AC313" s="39"/>
      <c r="AD313" s="40"/>
      <c r="AE313" s="44"/>
      <c r="AF313" s="39"/>
      <c r="AG313" s="40"/>
      <c r="AH313" s="44"/>
    </row>
    <row r="314" spans="1:34" x14ac:dyDescent="0.25">
      <c r="A314" s="105">
        <f t="shared" si="4"/>
        <v>36488</v>
      </c>
      <c r="B314" s="16"/>
      <c r="C314" s="16">
        <f>SUM('Weekly Data'!E311:E314)/4</f>
        <v>2254.5</v>
      </c>
      <c r="D314" s="16"/>
      <c r="E314" s="16">
        <f>SUM('Weekly Data'!G311:G314)/4</f>
        <v>3939.25</v>
      </c>
      <c r="F314" s="16">
        <f>SUM('Weekly Data'!H311:H314)/4</f>
        <v>316.5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9"/>
      <c r="R314" s="13">
        <v>36488</v>
      </c>
      <c r="S314" s="44"/>
      <c r="T314" s="44"/>
      <c r="U314" s="19"/>
      <c r="V314" s="44"/>
      <c r="W314" s="44"/>
      <c r="X314" s="39"/>
      <c r="Y314" s="39"/>
      <c r="Z314" s="39"/>
      <c r="AA314" s="40"/>
      <c r="AB314" s="44"/>
      <c r="AC314" s="39"/>
      <c r="AD314" s="40"/>
      <c r="AE314" s="44"/>
      <c r="AF314" s="39"/>
      <c r="AG314" s="40"/>
      <c r="AH314" s="44"/>
    </row>
    <row r="315" spans="1:34" x14ac:dyDescent="0.25">
      <c r="A315" s="105">
        <f t="shared" si="4"/>
        <v>36495</v>
      </c>
      <c r="B315" s="16"/>
      <c r="C315" s="16">
        <f>SUM('Weekly Data'!E312:E315)/4</f>
        <v>2170.5</v>
      </c>
      <c r="D315" s="16"/>
      <c r="E315" s="16">
        <f>SUM('Weekly Data'!G312:G315)/4</f>
        <v>3949.5</v>
      </c>
      <c r="F315" s="16">
        <f>SUM('Weekly Data'!H312:H315)/4</f>
        <v>219.5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9"/>
      <c r="R315" s="13">
        <v>36495</v>
      </c>
      <c r="S315" s="44"/>
      <c r="T315" s="44"/>
      <c r="U315" s="19"/>
      <c r="V315" s="44"/>
      <c r="W315" s="44"/>
      <c r="X315" s="39"/>
      <c r="Y315" s="39"/>
      <c r="Z315" s="39"/>
      <c r="AA315" s="40"/>
      <c r="AB315" s="44"/>
      <c r="AC315" s="39"/>
      <c r="AD315" s="40"/>
      <c r="AE315" s="44"/>
      <c r="AF315" s="39"/>
      <c r="AG315" s="40"/>
      <c r="AH315" s="44"/>
    </row>
    <row r="316" spans="1:34" x14ac:dyDescent="0.25">
      <c r="A316" s="105">
        <f t="shared" si="4"/>
        <v>36502</v>
      </c>
      <c r="B316" s="16"/>
      <c r="C316" s="16">
        <f>SUM('Weekly Data'!E313:E316)/4</f>
        <v>2051.25</v>
      </c>
      <c r="D316" s="16"/>
      <c r="E316" s="16">
        <f>SUM('Weekly Data'!G313:G316)/4</f>
        <v>3791.75</v>
      </c>
      <c r="F316" s="16">
        <f>SUM('Weekly Data'!H313:H316)/4</f>
        <v>105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9"/>
      <c r="R316" s="13">
        <v>36502</v>
      </c>
      <c r="S316" s="44"/>
      <c r="T316" s="44"/>
      <c r="U316" s="19"/>
      <c r="V316" s="44"/>
      <c r="W316" s="44"/>
      <c r="X316" s="39"/>
      <c r="Y316" s="39"/>
      <c r="Z316" s="39"/>
      <c r="AA316" s="40"/>
      <c r="AB316" s="44"/>
      <c r="AC316" s="39"/>
      <c r="AD316" s="40"/>
      <c r="AE316" s="44"/>
      <c r="AF316" s="39"/>
      <c r="AG316" s="40"/>
      <c r="AH316" s="44"/>
    </row>
    <row r="317" spans="1:34" x14ac:dyDescent="0.25">
      <c r="A317" s="105">
        <f t="shared" si="4"/>
        <v>36509</v>
      </c>
      <c r="B317" s="16"/>
      <c r="C317" s="16">
        <f>SUM('Weekly Data'!E314:E317)/4</f>
        <v>1903.75</v>
      </c>
      <c r="D317" s="16"/>
      <c r="E317" s="16">
        <f>SUM('Weekly Data'!G314:G317)/4</f>
        <v>3277.5</v>
      </c>
      <c r="F317" s="16">
        <f>SUM('Weekly Data'!H314:H317)/4</f>
        <v>209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9"/>
      <c r="R317" s="13">
        <v>36509</v>
      </c>
      <c r="S317" s="44"/>
      <c r="T317" s="44"/>
      <c r="U317" s="19"/>
      <c r="V317" s="44"/>
      <c r="W317" s="44"/>
      <c r="X317" s="39"/>
      <c r="Y317" s="39"/>
      <c r="Z317" s="39"/>
      <c r="AA317" s="40"/>
      <c r="AB317" s="44"/>
      <c r="AC317" s="39"/>
      <c r="AD317" s="40"/>
      <c r="AE317" s="44"/>
      <c r="AF317" s="39"/>
      <c r="AG317" s="40"/>
      <c r="AH317" s="44"/>
    </row>
    <row r="318" spans="1:34" x14ac:dyDescent="0.25">
      <c r="A318" s="105">
        <f t="shared" si="4"/>
        <v>36516</v>
      </c>
      <c r="B318" s="16"/>
      <c r="C318" s="16">
        <f>SUM('Weekly Data'!E315:E318)/4</f>
        <v>1934.25</v>
      </c>
      <c r="D318" s="16"/>
      <c r="E318" s="16">
        <f>SUM('Weekly Data'!G315:G318)/4</f>
        <v>3093</v>
      </c>
      <c r="F318" s="16">
        <f>SUM('Weekly Data'!H315:H318)/4</f>
        <v>247.5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9"/>
      <c r="R318" s="13">
        <v>36516</v>
      </c>
      <c r="S318" s="44"/>
      <c r="T318" s="44"/>
      <c r="U318" s="19"/>
      <c r="V318" s="44"/>
      <c r="W318" s="44"/>
      <c r="X318" s="39"/>
      <c r="Y318" s="39"/>
      <c r="Z318" s="39"/>
      <c r="AA318" s="40"/>
      <c r="AB318" s="44"/>
      <c r="AC318" s="39"/>
      <c r="AD318" s="40"/>
      <c r="AE318" s="44"/>
      <c r="AF318" s="39"/>
      <c r="AG318" s="40"/>
      <c r="AH318" s="44"/>
    </row>
    <row r="319" spans="1:34" x14ac:dyDescent="0.25">
      <c r="A319" s="105">
        <f t="shared" si="4"/>
        <v>36523</v>
      </c>
      <c r="B319" s="16"/>
      <c r="C319" s="16">
        <f>SUM('Weekly Data'!E316:E319)/4</f>
        <v>1793.75</v>
      </c>
      <c r="D319" s="16"/>
      <c r="E319" s="16">
        <f>SUM('Weekly Data'!G316:G319)/4</f>
        <v>3005.75</v>
      </c>
      <c r="F319" s="16">
        <f>SUM('Weekly Data'!H316:H319)/4</f>
        <v>247.75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9"/>
      <c r="R319" s="13">
        <v>36523</v>
      </c>
      <c r="S319" s="44"/>
      <c r="T319" s="44"/>
      <c r="U319" s="19"/>
      <c r="V319" s="44"/>
      <c r="W319" s="44"/>
      <c r="X319" s="39"/>
      <c r="Y319" s="39"/>
      <c r="Z319" s="39"/>
      <c r="AA319" s="40"/>
      <c r="AB319" s="44"/>
      <c r="AC319" s="39"/>
      <c r="AD319" s="40"/>
      <c r="AE319" s="44"/>
      <c r="AF319" s="39"/>
      <c r="AG319" s="40"/>
      <c r="AH319" s="44"/>
    </row>
    <row r="320" spans="1:34" x14ac:dyDescent="0.25">
      <c r="A320" s="105">
        <f t="shared" si="4"/>
        <v>36530</v>
      </c>
      <c r="B320" s="16"/>
      <c r="C320" s="16">
        <f>SUM('Weekly Data'!E317:E320)/4</f>
        <v>1795</v>
      </c>
      <c r="D320" s="16"/>
      <c r="E320" s="16">
        <f>SUM('Weekly Data'!G317:G320)/4</f>
        <v>2701.25</v>
      </c>
      <c r="F320" s="16">
        <f>SUM('Weekly Data'!H317:H320)/4</f>
        <v>259.5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9"/>
      <c r="R320" s="13">
        <v>36530</v>
      </c>
      <c r="S320" s="44"/>
      <c r="T320" s="44"/>
      <c r="U320" s="19"/>
      <c r="V320" s="44"/>
      <c r="W320" s="44"/>
      <c r="X320" s="39"/>
      <c r="Y320" s="39"/>
      <c r="Z320" s="39"/>
      <c r="AA320" s="40"/>
      <c r="AB320" s="44"/>
      <c r="AC320" s="39"/>
      <c r="AD320" s="40"/>
      <c r="AE320" s="44"/>
      <c r="AF320" s="39"/>
      <c r="AG320" s="40"/>
      <c r="AH320" s="44"/>
    </row>
    <row r="321" spans="1:34" x14ac:dyDescent="0.25">
      <c r="A321" s="105">
        <f t="shared" si="4"/>
        <v>36537</v>
      </c>
      <c r="B321" s="16"/>
      <c r="C321" s="16">
        <f>SUM('Weekly Data'!E318:E321)/4</f>
        <v>1933</v>
      </c>
      <c r="D321" s="16"/>
      <c r="E321" s="16">
        <f>SUM('Weekly Data'!G318:G321)/4</f>
        <v>2851</v>
      </c>
      <c r="F321" s="16">
        <f>SUM('Weekly Data'!H318:H321)/4</f>
        <v>101.5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9"/>
      <c r="R321" s="13">
        <v>36537</v>
      </c>
      <c r="S321" s="44"/>
      <c r="T321" s="44"/>
      <c r="U321" s="19"/>
      <c r="V321" s="44"/>
      <c r="W321" s="44"/>
      <c r="X321" s="39"/>
      <c r="Y321" s="39"/>
      <c r="Z321" s="39"/>
      <c r="AA321" s="40"/>
      <c r="AB321" s="44"/>
      <c r="AC321" s="39"/>
      <c r="AD321" s="40"/>
      <c r="AE321" s="44"/>
      <c r="AF321" s="39"/>
      <c r="AG321" s="40"/>
      <c r="AH321" s="44"/>
    </row>
    <row r="322" spans="1:34" x14ac:dyDescent="0.25">
      <c r="A322" s="105">
        <f t="shared" si="4"/>
        <v>36544</v>
      </c>
      <c r="B322" s="16"/>
      <c r="C322" s="16">
        <f>SUM('Weekly Data'!E319:E322)/4</f>
        <v>1791.25</v>
      </c>
      <c r="D322" s="16"/>
      <c r="E322" s="16">
        <f>SUM('Weekly Data'!G319:G322)/4</f>
        <v>3045</v>
      </c>
      <c r="F322" s="16">
        <f>SUM('Weekly Data'!H319:H322)/4</f>
        <v>253.75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9"/>
      <c r="R322" s="13">
        <v>36544</v>
      </c>
      <c r="S322" s="44"/>
      <c r="T322" s="44"/>
      <c r="U322" s="19"/>
      <c r="V322" s="44"/>
      <c r="W322" s="44"/>
      <c r="X322" s="39"/>
      <c r="Y322" s="39"/>
      <c r="Z322" s="39"/>
      <c r="AA322" s="40"/>
      <c r="AB322" s="44"/>
      <c r="AC322" s="39"/>
      <c r="AD322" s="40"/>
      <c r="AE322" s="44"/>
      <c r="AF322" s="39"/>
      <c r="AG322" s="40"/>
      <c r="AH322" s="44"/>
    </row>
    <row r="323" spans="1:34" x14ac:dyDescent="0.25">
      <c r="A323" s="105">
        <f t="shared" si="4"/>
        <v>36551</v>
      </c>
      <c r="B323" s="16"/>
      <c r="C323" s="16">
        <f>SUM('Weekly Data'!E320:E323)/4</f>
        <v>1883.75</v>
      </c>
      <c r="D323" s="16"/>
      <c r="E323" s="16">
        <f>SUM('Weekly Data'!G320:G323)/4</f>
        <v>3332</v>
      </c>
      <c r="F323" s="16">
        <f>SUM('Weekly Data'!H320:H323)/4</f>
        <v>330.75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9"/>
      <c r="R323" s="13">
        <v>36551</v>
      </c>
      <c r="S323" s="44"/>
      <c r="T323" s="44"/>
      <c r="U323" s="19"/>
      <c r="V323" s="44"/>
      <c r="W323" s="44"/>
      <c r="X323" s="39"/>
      <c r="Y323" s="39"/>
      <c r="Z323" s="39"/>
      <c r="AA323" s="40"/>
      <c r="AB323" s="44"/>
      <c r="AC323" s="39"/>
      <c r="AD323" s="40"/>
      <c r="AE323" s="44"/>
      <c r="AF323" s="39"/>
      <c r="AG323" s="40"/>
      <c r="AH323" s="44"/>
    </row>
    <row r="324" spans="1:34" x14ac:dyDescent="0.25">
      <c r="A324" s="105">
        <f t="shared" si="4"/>
        <v>36558</v>
      </c>
      <c r="B324" s="16"/>
      <c r="C324" s="16">
        <f>SUM('Weekly Data'!E321:E324)/4</f>
        <v>1892.25</v>
      </c>
      <c r="D324" s="16"/>
      <c r="E324" s="16">
        <f>SUM('Weekly Data'!G321:G324)/4</f>
        <v>3568</v>
      </c>
      <c r="F324" s="16">
        <f>SUM('Weekly Data'!H321:H324)/4</f>
        <v>341.5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9"/>
      <c r="R324" s="13">
        <v>36558</v>
      </c>
      <c r="S324" s="44"/>
      <c r="T324" s="44"/>
      <c r="U324" s="19"/>
      <c r="V324" s="44"/>
      <c r="W324" s="44"/>
      <c r="X324" s="39"/>
      <c r="Y324" s="39"/>
      <c r="Z324" s="39"/>
      <c r="AA324" s="40"/>
      <c r="AB324" s="44"/>
      <c r="AC324" s="39"/>
      <c r="AD324" s="40"/>
      <c r="AE324" s="44"/>
      <c r="AF324" s="39"/>
      <c r="AG324" s="40"/>
      <c r="AH324" s="44"/>
    </row>
    <row r="325" spans="1:34" x14ac:dyDescent="0.25">
      <c r="A325" s="105">
        <f t="shared" si="4"/>
        <v>36565</v>
      </c>
      <c r="B325" s="16"/>
      <c r="C325" s="16">
        <f>SUM('Weekly Data'!E322:E325)/4</f>
        <v>1960.5</v>
      </c>
      <c r="D325" s="16"/>
      <c r="E325" s="16">
        <f>SUM('Weekly Data'!G322:G325)/4</f>
        <v>3810.25</v>
      </c>
      <c r="F325" s="16">
        <f>SUM('Weekly Data'!H322:H325)/4</f>
        <v>544.5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9"/>
      <c r="R325" s="13">
        <v>36565</v>
      </c>
      <c r="S325" s="44"/>
      <c r="T325" s="44"/>
      <c r="U325" s="19"/>
      <c r="V325" s="44"/>
      <c r="W325" s="44"/>
      <c r="X325" s="39"/>
      <c r="Y325" s="39"/>
      <c r="Z325" s="39"/>
      <c r="AA325" s="40"/>
      <c r="AB325" s="44"/>
      <c r="AC325" s="39"/>
      <c r="AD325" s="40"/>
      <c r="AE325" s="44"/>
      <c r="AF325" s="39"/>
      <c r="AG325" s="40"/>
      <c r="AH325" s="44"/>
    </row>
    <row r="326" spans="1:34" x14ac:dyDescent="0.25">
      <c r="A326" s="105">
        <f t="shared" si="4"/>
        <v>36572</v>
      </c>
      <c r="B326" s="16"/>
      <c r="C326" s="16">
        <f>SUM('Weekly Data'!E323:E326)/4</f>
        <v>2105.75</v>
      </c>
      <c r="D326" s="16"/>
      <c r="E326" s="16">
        <f>SUM('Weekly Data'!G323:G326)/4</f>
        <v>3476.5</v>
      </c>
      <c r="F326" s="16">
        <f>SUM('Weekly Data'!H323:H326)/4</f>
        <v>482.25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9"/>
      <c r="R326" s="13">
        <v>36572</v>
      </c>
      <c r="S326" s="44"/>
      <c r="T326" s="44"/>
      <c r="U326" s="19"/>
      <c r="V326" s="44"/>
      <c r="W326" s="44"/>
      <c r="X326" s="39"/>
      <c r="Y326" s="39"/>
      <c r="Z326" s="39"/>
      <c r="AA326" s="40"/>
      <c r="AB326" s="44"/>
      <c r="AC326" s="39"/>
      <c r="AD326" s="40"/>
      <c r="AE326" s="44"/>
      <c r="AF326" s="39"/>
      <c r="AG326" s="40"/>
      <c r="AH326" s="44"/>
    </row>
    <row r="327" spans="1:34" x14ac:dyDescent="0.25">
      <c r="A327" s="105">
        <f t="shared" si="4"/>
        <v>36579</v>
      </c>
      <c r="B327" s="16"/>
      <c r="C327" s="16">
        <f>SUM('Weekly Data'!E324:E327)/4</f>
        <v>2248.75</v>
      </c>
      <c r="D327" s="16"/>
      <c r="E327" s="16">
        <f>SUM('Weekly Data'!G324:G327)/4</f>
        <v>3333.5</v>
      </c>
      <c r="F327" s="16">
        <f>SUM('Weekly Data'!H324:H327)/4</f>
        <v>520.25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9"/>
      <c r="R327" s="13">
        <v>36579</v>
      </c>
      <c r="S327" s="44"/>
      <c r="T327" s="44"/>
      <c r="U327" s="19"/>
      <c r="V327" s="44"/>
      <c r="W327" s="44"/>
      <c r="X327" s="39"/>
      <c r="Y327" s="39"/>
      <c r="Z327" s="39"/>
      <c r="AA327" s="40"/>
      <c r="AB327" s="44"/>
      <c r="AC327" s="39"/>
      <c r="AD327" s="40"/>
      <c r="AE327" s="44"/>
      <c r="AF327" s="39"/>
      <c r="AG327" s="40"/>
      <c r="AH327" s="44"/>
    </row>
    <row r="328" spans="1:34" x14ac:dyDescent="0.25">
      <c r="A328" s="105">
        <f t="shared" si="4"/>
        <v>36586</v>
      </c>
      <c r="B328" s="16"/>
      <c r="C328" s="16">
        <f>SUM('Weekly Data'!E325:E328)/4</f>
        <v>2461.5</v>
      </c>
      <c r="D328" s="16"/>
      <c r="E328" s="16">
        <f>SUM('Weekly Data'!G325:G328)/4</f>
        <v>3293.25</v>
      </c>
      <c r="F328" s="16">
        <f>SUM('Weekly Data'!H325:H328)/4</f>
        <v>686.25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9"/>
      <c r="R328" s="13">
        <v>36586</v>
      </c>
      <c r="S328" s="44"/>
      <c r="T328" s="44"/>
      <c r="U328" s="19"/>
      <c r="V328" s="44"/>
      <c r="W328" s="44"/>
      <c r="X328" s="39"/>
      <c r="Y328" s="39"/>
      <c r="Z328" s="39"/>
      <c r="AA328" s="40"/>
      <c r="AB328" s="44"/>
      <c r="AC328" s="39"/>
      <c r="AD328" s="40"/>
      <c r="AE328" s="44"/>
      <c r="AF328" s="39"/>
      <c r="AG328" s="40"/>
      <c r="AH328" s="44"/>
    </row>
    <row r="329" spans="1:34" x14ac:dyDescent="0.25">
      <c r="A329" s="105">
        <f t="shared" si="4"/>
        <v>36593</v>
      </c>
      <c r="B329" s="16"/>
      <c r="C329" s="16">
        <f>SUM('Weekly Data'!E326:E329)/4</f>
        <v>2629.5</v>
      </c>
      <c r="D329" s="16"/>
      <c r="E329" s="16">
        <f>SUM('Weekly Data'!G326:G329)/4</f>
        <v>3098.75</v>
      </c>
      <c r="F329" s="16">
        <f>SUM('Weekly Data'!H326:H329)/4</f>
        <v>671.25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9"/>
      <c r="R329" s="13">
        <v>36593</v>
      </c>
      <c r="S329" s="44"/>
      <c r="T329" s="44"/>
      <c r="U329" s="19"/>
      <c r="V329" s="44"/>
      <c r="W329" s="44"/>
      <c r="X329" s="39"/>
      <c r="Y329" s="39"/>
      <c r="Z329" s="39"/>
      <c r="AA329" s="40"/>
      <c r="AB329" s="44"/>
      <c r="AC329" s="39"/>
      <c r="AD329" s="40"/>
      <c r="AE329" s="44"/>
      <c r="AF329" s="39"/>
      <c r="AG329" s="40"/>
      <c r="AH329" s="44"/>
    </row>
    <row r="330" spans="1:34" x14ac:dyDescent="0.25">
      <c r="A330" s="105">
        <f t="shared" si="4"/>
        <v>36600</v>
      </c>
      <c r="B330" s="16"/>
      <c r="C330" s="16">
        <f>SUM('Weekly Data'!E327:E330)/4</f>
        <v>2482.75</v>
      </c>
      <c r="D330" s="16"/>
      <c r="E330" s="16">
        <f>SUM('Weekly Data'!G327:G330)/4</f>
        <v>3443</v>
      </c>
      <c r="F330" s="16">
        <f>SUM('Weekly Data'!H327:H330)/4</f>
        <v>567.5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9"/>
      <c r="R330" s="13">
        <v>36600</v>
      </c>
      <c r="S330" s="44"/>
      <c r="T330" s="44"/>
      <c r="U330" s="19"/>
      <c r="V330" s="44"/>
      <c r="W330" s="44"/>
      <c r="X330" s="39"/>
      <c r="Y330" s="39"/>
      <c r="Z330" s="39"/>
      <c r="AA330" s="40"/>
      <c r="AB330" s="44"/>
      <c r="AC330" s="39"/>
      <c r="AD330" s="40"/>
      <c r="AE330" s="44"/>
      <c r="AF330" s="39"/>
      <c r="AG330" s="40"/>
      <c r="AH330" s="44"/>
    </row>
    <row r="331" spans="1:34" x14ac:dyDescent="0.25">
      <c r="A331" s="105">
        <f t="shared" si="4"/>
        <v>36607</v>
      </c>
      <c r="B331" s="16"/>
      <c r="C331" s="16">
        <f>SUM('Weekly Data'!E328:E331)/4</f>
        <v>2478</v>
      </c>
      <c r="D331" s="16"/>
      <c r="E331" s="16">
        <f>SUM('Weekly Data'!G328:G331)/4</f>
        <v>3341</v>
      </c>
      <c r="F331" s="16">
        <f>SUM('Weekly Data'!H328:H331)/4</f>
        <v>535.25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9"/>
      <c r="R331" s="13">
        <v>36607</v>
      </c>
      <c r="S331" s="44"/>
      <c r="T331" s="44"/>
      <c r="U331" s="19"/>
      <c r="V331" s="44"/>
      <c r="W331" s="44"/>
      <c r="X331" s="39"/>
      <c r="Y331" s="39"/>
      <c r="Z331" s="39"/>
      <c r="AA331" s="40"/>
      <c r="AB331" s="44"/>
      <c r="AC331" s="39"/>
      <c r="AD331" s="40"/>
      <c r="AE331" s="44"/>
      <c r="AF331" s="39"/>
      <c r="AG331" s="40"/>
      <c r="AH331" s="44"/>
    </row>
    <row r="332" spans="1:34" x14ac:dyDescent="0.25">
      <c r="A332" s="105">
        <f t="shared" si="4"/>
        <v>36614</v>
      </c>
      <c r="B332" s="16"/>
      <c r="C332" s="16">
        <f>SUM('Weekly Data'!E329:E332)/4</f>
        <v>2299.25</v>
      </c>
      <c r="D332" s="16"/>
      <c r="E332" s="16">
        <f>SUM('Weekly Data'!G329:G332)/4</f>
        <v>3310.25</v>
      </c>
      <c r="F332" s="16">
        <f>SUM('Weekly Data'!H329:H332)/4</f>
        <v>370.5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9"/>
      <c r="R332" s="13">
        <v>36614</v>
      </c>
      <c r="S332" s="44"/>
      <c r="T332" s="44"/>
      <c r="U332" s="19"/>
      <c r="V332" s="44"/>
      <c r="W332" s="44"/>
      <c r="X332" s="39"/>
      <c r="Y332" s="39"/>
      <c r="Z332" s="39"/>
      <c r="AA332" s="40"/>
      <c r="AB332" s="44"/>
      <c r="AC332" s="39"/>
      <c r="AD332" s="40"/>
      <c r="AE332" s="44"/>
      <c r="AF332" s="39"/>
      <c r="AG332" s="40"/>
      <c r="AH332" s="44"/>
    </row>
    <row r="333" spans="1:34" x14ac:dyDescent="0.25">
      <c r="A333" s="105">
        <f t="shared" ref="A333:A396" si="5">A332+7</f>
        <v>36621</v>
      </c>
      <c r="B333" s="16"/>
      <c r="C333" s="16">
        <f>SUM('Weekly Data'!E330:E333)/4</f>
        <v>2057.75</v>
      </c>
      <c r="D333" s="16"/>
      <c r="E333" s="16">
        <f>SUM('Weekly Data'!G330:G333)/4</f>
        <v>3181</v>
      </c>
      <c r="F333" s="16">
        <f>SUM('Weekly Data'!H330:H333)/4</f>
        <v>237.25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9"/>
      <c r="R333" s="13">
        <v>36621</v>
      </c>
      <c r="S333" s="44"/>
      <c r="T333" s="44"/>
      <c r="U333" s="19"/>
      <c r="V333" s="44"/>
      <c r="W333" s="44"/>
      <c r="X333" s="39"/>
      <c r="Y333" s="39"/>
      <c r="Z333" s="39"/>
      <c r="AA333" s="40"/>
      <c r="AB333" s="44"/>
      <c r="AC333" s="39"/>
      <c r="AD333" s="40"/>
      <c r="AE333" s="44"/>
      <c r="AF333" s="39"/>
      <c r="AG333" s="40"/>
      <c r="AH333" s="44"/>
    </row>
    <row r="334" spans="1:34" x14ac:dyDescent="0.25">
      <c r="A334" s="105">
        <f t="shared" si="5"/>
        <v>36628</v>
      </c>
      <c r="B334" s="16"/>
      <c r="C334" s="16">
        <f>SUM('Weekly Data'!E331:E334)/4</f>
        <v>1936.75</v>
      </c>
      <c r="D334" s="16"/>
      <c r="E334" s="16">
        <f>SUM('Weekly Data'!G331:G334)/4</f>
        <v>2778.5</v>
      </c>
      <c r="F334" s="16">
        <f>SUM('Weekly Data'!H331:H334)/4</f>
        <v>233.5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9"/>
      <c r="R334" s="13">
        <v>36628</v>
      </c>
      <c r="S334" s="44"/>
      <c r="T334" s="44"/>
      <c r="U334" s="19"/>
      <c r="V334" s="44"/>
      <c r="W334" s="44"/>
      <c r="X334" s="39"/>
      <c r="Y334" s="39"/>
      <c r="Z334" s="39"/>
      <c r="AA334" s="40"/>
      <c r="AB334" s="44"/>
      <c r="AC334" s="39"/>
      <c r="AD334" s="40"/>
      <c r="AE334" s="44"/>
      <c r="AF334" s="39"/>
      <c r="AG334" s="40"/>
      <c r="AH334" s="44"/>
    </row>
    <row r="335" spans="1:34" x14ac:dyDescent="0.25">
      <c r="A335" s="105">
        <f t="shared" si="5"/>
        <v>36635</v>
      </c>
      <c r="B335" s="16"/>
      <c r="C335" s="16">
        <f>SUM('Weekly Data'!E332:E335)/4</f>
        <v>1869.75</v>
      </c>
      <c r="D335" s="16"/>
      <c r="E335" s="16">
        <f>SUM('Weekly Data'!G332:G335)/4</f>
        <v>2725.25</v>
      </c>
      <c r="F335" s="16">
        <f>SUM('Weekly Data'!H332:H335)/4</f>
        <v>202.75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9"/>
      <c r="R335" s="13">
        <v>36635</v>
      </c>
      <c r="S335" s="44"/>
      <c r="T335" s="44"/>
      <c r="U335" s="19"/>
      <c r="V335" s="44"/>
      <c r="W335" s="44"/>
      <c r="X335" s="39"/>
      <c r="Y335" s="39"/>
      <c r="Z335" s="39"/>
      <c r="AA335" s="40"/>
      <c r="AB335" s="44"/>
      <c r="AC335" s="39"/>
      <c r="AD335" s="40"/>
      <c r="AE335" s="44"/>
      <c r="AF335" s="39"/>
      <c r="AG335" s="40"/>
      <c r="AH335" s="44"/>
    </row>
    <row r="336" spans="1:34" x14ac:dyDescent="0.25">
      <c r="A336" s="105">
        <f t="shared" si="5"/>
        <v>36642</v>
      </c>
      <c r="B336" s="16"/>
      <c r="C336" s="16">
        <f>SUM('Weekly Data'!E333:E336)/4</f>
        <v>1903.75</v>
      </c>
      <c r="D336" s="16"/>
      <c r="E336" s="16">
        <f>SUM('Weekly Data'!G333:G336)/4</f>
        <v>2572</v>
      </c>
      <c r="F336" s="16">
        <f>SUM('Weekly Data'!H333:H336)/4</f>
        <v>233.5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9"/>
      <c r="R336" s="13">
        <v>36642</v>
      </c>
      <c r="S336" s="44"/>
      <c r="T336" s="44"/>
      <c r="U336" s="19"/>
      <c r="V336" s="44"/>
      <c r="W336" s="44"/>
      <c r="X336" s="39"/>
      <c r="Y336" s="39"/>
      <c r="Z336" s="39"/>
      <c r="AA336" s="40"/>
      <c r="AB336" s="44"/>
      <c r="AC336" s="39"/>
      <c r="AD336" s="40"/>
      <c r="AE336" s="44"/>
      <c r="AF336" s="39"/>
      <c r="AG336" s="40"/>
      <c r="AH336" s="44"/>
    </row>
    <row r="337" spans="1:34" x14ac:dyDescent="0.25">
      <c r="A337" s="105">
        <f t="shared" si="5"/>
        <v>36649</v>
      </c>
      <c r="B337" s="16"/>
      <c r="C337" s="16">
        <f>SUM('Weekly Data'!E334:E337)/4</f>
        <v>1761.75</v>
      </c>
      <c r="D337" s="16"/>
      <c r="E337" s="16">
        <f>SUM('Weekly Data'!G334:G337)/4</f>
        <v>2456.5</v>
      </c>
      <c r="F337" s="16">
        <f>SUM('Weekly Data'!H334:H337)/4</f>
        <v>193.25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9"/>
      <c r="R337" s="13">
        <v>36649</v>
      </c>
      <c r="S337" s="44"/>
      <c r="T337" s="44"/>
      <c r="U337" s="19"/>
      <c r="V337" s="44"/>
      <c r="W337" s="44"/>
      <c r="X337" s="39"/>
      <c r="Y337" s="39"/>
      <c r="Z337" s="39"/>
      <c r="AA337" s="40"/>
      <c r="AB337" s="44"/>
      <c r="AC337" s="39"/>
      <c r="AD337" s="40"/>
      <c r="AE337" s="44"/>
      <c r="AF337" s="39"/>
      <c r="AG337" s="40"/>
      <c r="AH337" s="44"/>
    </row>
    <row r="338" spans="1:34" x14ac:dyDescent="0.25">
      <c r="A338" s="105">
        <f t="shared" si="5"/>
        <v>36656</v>
      </c>
      <c r="B338" s="16"/>
      <c r="C338" s="16">
        <f>SUM('Weekly Data'!E335:E338)/4</f>
        <v>1867.5</v>
      </c>
      <c r="D338" s="16"/>
      <c r="E338" s="16">
        <f>SUM('Weekly Data'!G335:G338)/4</f>
        <v>2225</v>
      </c>
      <c r="F338" s="16">
        <f>SUM('Weekly Data'!H335:H338)/4</f>
        <v>175.25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9"/>
      <c r="R338" s="13">
        <v>36656</v>
      </c>
      <c r="S338" s="44"/>
      <c r="T338" s="44"/>
      <c r="U338" s="19"/>
      <c r="V338" s="44"/>
      <c r="W338" s="44"/>
      <c r="X338" s="39"/>
      <c r="Y338" s="39"/>
      <c r="Z338" s="39"/>
      <c r="AA338" s="40"/>
      <c r="AB338" s="44"/>
      <c r="AC338" s="39"/>
      <c r="AD338" s="40"/>
      <c r="AE338" s="44"/>
      <c r="AF338" s="39"/>
      <c r="AG338" s="40"/>
      <c r="AH338" s="44"/>
    </row>
    <row r="339" spans="1:34" x14ac:dyDescent="0.25">
      <c r="A339" s="105">
        <f t="shared" si="5"/>
        <v>36663</v>
      </c>
      <c r="B339" s="16"/>
      <c r="C339" s="16">
        <f>SUM('Weekly Data'!E336:E339)/4</f>
        <v>1974.5</v>
      </c>
      <c r="D339" s="16"/>
      <c r="E339" s="16">
        <f>SUM('Weekly Data'!G336:G339)/4</f>
        <v>2021.25</v>
      </c>
      <c r="F339" s="16">
        <f>SUM('Weekly Data'!H336:H339)/4</f>
        <v>119.5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9"/>
      <c r="R339" s="13">
        <v>36663</v>
      </c>
      <c r="S339" s="44"/>
      <c r="T339" s="44"/>
      <c r="U339" s="19"/>
      <c r="V339" s="44"/>
      <c r="W339" s="44"/>
      <c r="X339" s="39"/>
      <c r="Y339" s="39"/>
      <c r="Z339" s="39"/>
      <c r="AA339" s="40"/>
      <c r="AB339" s="44"/>
      <c r="AC339" s="39"/>
      <c r="AD339" s="40"/>
      <c r="AE339" s="44"/>
      <c r="AF339" s="39"/>
      <c r="AG339" s="40"/>
      <c r="AH339" s="44"/>
    </row>
    <row r="340" spans="1:34" x14ac:dyDescent="0.25">
      <c r="A340" s="105">
        <f t="shared" si="5"/>
        <v>36670</v>
      </c>
      <c r="B340" s="16"/>
      <c r="C340" s="16">
        <f>SUM('Weekly Data'!E337:E340)/4</f>
        <v>2089.5</v>
      </c>
      <c r="D340" s="16"/>
      <c r="E340" s="16">
        <f>SUM('Weekly Data'!G337:G340)/4</f>
        <v>1854.75</v>
      </c>
      <c r="F340" s="16">
        <f>SUM('Weekly Data'!H337:H340)/4</f>
        <v>99.5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9"/>
      <c r="R340" s="13">
        <v>36670</v>
      </c>
      <c r="S340" s="44"/>
      <c r="T340" s="44"/>
      <c r="U340" s="19"/>
      <c r="V340" s="44"/>
      <c r="W340" s="44"/>
      <c r="X340" s="39"/>
      <c r="Y340" s="39"/>
      <c r="Z340" s="39"/>
      <c r="AA340" s="40"/>
      <c r="AB340" s="44"/>
      <c r="AC340" s="39"/>
      <c r="AD340" s="40"/>
      <c r="AE340" s="44"/>
      <c r="AF340" s="39"/>
      <c r="AG340" s="40"/>
      <c r="AH340" s="44"/>
    </row>
    <row r="341" spans="1:34" x14ac:dyDescent="0.25">
      <c r="A341" s="105">
        <f t="shared" si="5"/>
        <v>36677</v>
      </c>
      <c r="B341" s="16"/>
      <c r="C341" s="16">
        <f>SUM('Weekly Data'!E338:E341)/4</f>
        <v>2159.75</v>
      </c>
      <c r="D341" s="16"/>
      <c r="E341" s="16">
        <f>SUM('Weekly Data'!G338:G341)/4</f>
        <v>1869</v>
      </c>
      <c r="F341" s="16">
        <f>SUM('Weekly Data'!H338:H341)/4</f>
        <v>172.5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9"/>
      <c r="R341" s="13">
        <v>36677</v>
      </c>
      <c r="S341" s="44"/>
      <c r="T341" s="44"/>
      <c r="U341" s="19"/>
      <c r="V341" s="44"/>
      <c r="W341" s="44"/>
      <c r="X341" s="39"/>
      <c r="Y341" s="39"/>
      <c r="Z341" s="39"/>
      <c r="AA341" s="40"/>
      <c r="AB341" s="44"/>
      <c r="AC341" s="39"/>
      <c r="AD341" s="40"/>
      <c r="AE341" s="44"/>
      <c r="AF341" s="39"/>
      <c r="AG341" s="40"/>
      <c r="AH341" s="44"/>
    </row>
    <row r="342" spans="1:34" x14ac:dyDescent="0.25">
      <c r="A342" s="105">
        <f t="shared" si="5"/>
        <v>36684</v>
      </c>
      <c r="B342" s="16"/>
      <c r="C342" s="16">
        <f>SUM('Weekly Data'!E339:E342)/4</f>
        <v>2250.75</v>
      </c>
      <c r="D342" s="16"/>
      <c r="E342" s="16">
        <f>SUM('Weekly Data'!G339:G342)/4</f>
        <v>2017.25</v>
      </c>
      <c r="F342" s="16">
        <f>SUM('Weekly Data'!H339:H342)/4</f>
        <v>145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9"/>
      <c r="R342" s="13">
        <v>36684</v>
      </c>
      <c r="S342" s="44"/>
      <c r="T342" s="44"/>
      <c r="U342" s="19"/>
      <c r="V342" s="44"/>
      <c r="W342" s="44"/>
      <c r="X342" s="39"/>
      <c r="Y342" s="39"/>
      <c r="Z342" s="39"/>
      <c r="AA342" s="40"/>
      <c r="AB342" s="44"/>
      <c r="AC342" s="39"/>
      <c r="AD342" s="40"/>
      <c r="AE342" s="44"/>
      <c r="AF342" s="39"/>
      <c r="AG342" s="40"/>
      <c r="AH342" s="44"/>
    </row>
    <row r="343" spans="1:34" x14ac:dyDescent="0.25">
      <c r="A343" s="105">
        <f t="shared" si="5"/>
        <v>36691</v>
      </c>
      <c r="B343" s="16"/>
      <c r="C343" s="16">
        <f>SUM('Weekly Data'!E340:E343)/4</f>
        <v>2023</v>
      </c>
      <c r="D343" s="16"/>
      <c r="E343" s="16">
        <f>SUM('Weekly Data'!G340:G343)/4</f>
        <v>1861</v>
      </c>
      <c r="F343" s="16">
        <f>SUM('Weekly Data'!H340:H343)/4</f>
        <v>134.5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9"/>
      <c r="R343" s="13">
        <v>36691</v>
      </c>
      <c r="S343" s="44"/>
      <c r="T343" s="44"/>
      <c r="U343" s="19"/>
      <c r="V343" s="44"/>
      <c r="W343" s="44"/>
      <c r="X343" s="39"/>
      <c r="Y343" s="39"/>
      <c r="Z343" s="39"/>
      <c r="AA343" s="40"/>
      <c r="AB343" s="44"/>
      <c r="AC343" s="39"/>
      <c r="AD343" s="40"/>
      <c r="AE343" s="44"/>
      <c r="AF343" s="39"/>
      <c r="AG343" s="40"/>
      <c r="AH343" s="44"/>
    </row>
    <row r="344" spans="1:34" x14ac:dyDescent="0.25">
      <c r="A344" s="105">
        <f t="shared" si="5"/>
        <v>36698</v>
      </c>
      <c r="B344" s="16"/>
      <c r="C344" s="16">
        <f>SUM('Weekly Data'!E341:E344)/4</f>
        <v>1842</v>
      </c>
      <c r="D344" s="16"/>
      <c r="E344" s="16">
        <f>SUM('Weekly Data'!G341:G344)/4</f>
        <v>1879.25</v>
      </c>
      <c r="F344" s="16">
        <f>SUM('Weekly Data'!H341:H344)/4</f>
        <v>98.75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9"/>
      <c r="R344" s="13">
        <v>36698</v>
      </c>
      <c r="S344" s="44"/>
      <c r="T344" s="44"/>
      <c r="U344" s="19"/>
      <c r="V344" s="44"/>
      <c r="W344" s="44"/>
      <c r="X344" s="39"/>
      <c r="Y344" s="39"/>
      <c r="Z344" s="39"/>
      <c r="AA344" s="40"/>
      <c r="AB344" s="44"/>
      <c r="AC344" s="39"/>
      <c r="AD344" s="40"/>
      <c r="AE344" s="44"/>
      <c r="AF344" s="39"/>
      <c r="AG344" s="40"/>
      <c r="AH344" s="44"/>
    </row>
    <row r="345" spans="1:34" x14ac:dyDescent="0.25">
      <c r="A345" s="105">
        <f t="shared" si="5"/>
        <v>36705</v>
      </c>
      <c r="B345" s="16"/>
      <c r="C345" s="16">
        <f>SUM('Weekly Data'!E342:E345)/4</f>
        <v>2052.5</v>
      </c>
      <c r="D345" s="16"/>
      <c r="E345" s="16">
        <f>SUM('Weekly Data'!G342:G345)/4</f>
        <v>1748.5</v>
      </c>
      <c r="F345" s="16">
        <f>SUM('Weekly Data'!H342:H345)/4</f>
        <v>20.75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9"/>
      <c r="R345" s="13">
        <v>36705</v>
      </c>
      <c r="S345" s="44"/>
      <c r="T345" s="44"/>
      <c r="U345" s="19"/>
      <c r="V345" s="44"/>
      <c r="W345" s="44"/>
      <c r="X345" s="39"/>
      <c r="Y345" s="39"/>
      <c r="Z345" s="39"/>
      <c r="AA345" s="40"/>
      <c r="AB345" s="44"/>
      <c r="AC345" s="39"/>
      <c r="AD345" s="40"/>
      <c r="AE345" s="44"/>
      <c r="AF345" s="39"/>
      <c r="AG345" s="40"/>
      <c r="AH345" s="44"/>
    </row>
    <row r="346" spans="1:34" x14ac:dyDescent="0.25">
      <c r="A346" s="105">
        <f t="shared" si="5"/>
        <v>36712</v>
      </c>
      <c r="B346" s="16"/>
      <c r="C346" s="16">
        <f>SUM('Weekly Data'!E343:E346)/4</f>
        <v>1858.25</v>
      </c>
      <c r="D346" s="16"/>
      <c r="E346" s="16">
        <f>SUM('Weekly Data'!G343:G346)/4</f>
        <v>1590.5</v>
      </c>
      <c r="F346" s="16">
        <f>SUM('Weekly Data'!H343:H346)/4</f>
        <v>22.25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9"/>
      <c r="R346" s="13">
        <v>36712</v>
      </c>
      <c r="S346" s="44"/>
      <c r="T346" s="44"/>
      <c r="U346" s="19"/>
      <c r="V346" s="44"/>
      <c r="W346" s="44"/>
      <c r="X346" s="39"/>
      <c r="Y346" s="39"/>
      <c r="Z346" s="39"/>
      <c r="AA346" s="40"/>
      <c r="AB346" s="44"/>
      <c r="AC346" s="39"/>
      <c r="AD346" s="40"/>
      <c r="AE346" s="44"/>
      <c r="AF346" s="39"/>
      <c r="AG346" s="40"/>
      <c r="AH346" s="44"/>
    </row>
    <row r="347" spans="1:34" x14ac:dyDescent="0.25">
      <c r="A347" s="105">
        <f t="shared" si="5"/>
        <v>36719</v>
      </c>
      <c r="B347" s="16"/>
      <c r="C347" s="16">
        <f>SUM('Weekly Data'!E344:E347)/4</f>
        <v>1863.5</v>
      </c>
      <c r="D347" s="16"/>
      <c r="E347" s="16">
        <f>SUM('Weekly Data'!G344:G347)/4</f>
        <v>1840.25</v>
      </c>
      <c r="F347" s="16">
        <f>SUM('Weekly Data'!H344:H347)/4</f>
        <v>60.5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9"/>
      <c r="R347" s="13">
        <v>36719</v>
      </c>
      <c r="S347" s="44"/>
      <c r="T347" s="44"/>
      <c r="U347" s="19"/>
      <c r="V347" s="44"/>
      <c r="W347" s="44"/>
      <c r="X347" s="39"/>
      <c r="Y347" s="39"/>
      <c r="Z347" s="39"/>
      <c r="AA347" s="40"/>
      <c r="AB347" s="44"/>
      <c r="AC347" s="39"/>
      <c r="AD347" s="40"/>
      <c r="AE347" s="44"/>
      <c r="AF347" s="39"/>
      <c r="AG347" s="40"/>
      <c r="AH347" s="44"/>
    </row>
    <row r="348" spans="1:34" x14ac:dyDescent="0.25">
      <c r="A348" s="105">
        <f t="shared" si="5"/>
        <v>36726</v>
      </c>
      <c r="B348" s="16"/>
      <c r="C348" s="16">
        <f>SUM('Weekly Data'!E345:E348)/4</f>
        <v>1849.75</v>
      </c>
      <c r="D348" s="16"/>
      <c r="E348" s="16">
        <f>SUM('Weekly Data'!G345:G348)/4</f>
        <v>1717.75</v>
      </c>
      <c r="F348" s="16">
        <f>SUM('Weekly Data'!H345:H348)/4</f>
        <v>90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9"/>
      <c r="R348" s="13">
        <v>36726</v>
      </c>
      <c r="S348" s="44"/>
      <c r="T348" s="44"/>
      <c r="U348" s="19"/>
      <c r="V348" s="44"/>
      <c r="W348" s="44"/>
      <c r="X348" s="39"/>
      <c r="Y348" s="39"/>
      <c r="Z348" s="39"/>
      <c r="AA348" s="40"/>
      <c r="AB348" s="44"/>
      <c r="AC348" s="39"/>
      <c r="AD348" s="40"/>
      <c r="AE348" s="44"/>
      <c r="AF348" s="39"/>
      <c r="AG348" s="40"/>
      <c r="AH348" s="44"/>
    </row>
    <row r="349" spans="1:34" x14ac:dyDescent="0.25">
      <c r="A349" s="105">
        <f t="shared" si="5"/>
        <v>36733</v>
      </c>
      <c r="B349" s="16"/>
      <c r="C349" s="16">
        <f>SUM('Weekly Data'!E346:E349)/4</f>
        <v>1700.25</v>
      </c>
      <c r="D349" s="16"/>
      <c r="E349" s="16">
        <f>SUM('Weekly Data'!G346:G349)/4</f>
        <v>1758.75</v>
      </c>
      <c r="F349" s="16">
        <f>SUM('Weekly Data'!H346:H349)/4</f>
        <v>170.75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9"/>
      <c r="R349" s="13">
        <v>36733</v>
      </c>
      <c r="S349" s="44"/>
      <c r="T349" s="44"/>
      <c r="U349" s="19"/>
      <c r="V349" s="44"/>
      <c r="W349" s="44"/>
      <c r="X349" s="39"/>
      <c r="Y349" s="39"/>
      <c r="Z349" s="39"/>
      <c r="AA349" s="40"/>
      <c r="AB349" s="44"/>
      <c r="AC349" s="39"/>
      <c r="AD349" s="40"/>
      <c r="AE349" s="44"/>
      <c r="AF349" s="39"/>
      <c r="AG349" s="40"/>
      <c r="AH349" s="44"/>
    </row>
    <row r="350" spans="1:34" x14ac:dyDescent="0.25">
      <c r="A350" s="105">
        <f t="shared" si="5"/>
        <v>36740</v>
      </c>
      <c r="B350" s="16"/>
      <c r="C350" s="16">
        <f>SUM('Weekly Data'!E347:E350)/4</f>
        <v>1793.25</v>
      </c>
      <c r="D350" s="16"/>
      <c r="E350" s="16">
        <f>SUM('Weekly Data'!G347:G350)/4</f>
        <v>1791</v>
      </c>
      <c r="F350" s="16">
        <f>SUM('Weekly Data'!H347:H350)/4</f>
        <v>178.25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9"/>
      <c r="R350" s="13">
        <v>36740</v>
      </c>
      <c r="S350" s="44"/>
      <c r="T350" s="44"/>
      <c r="U350" s="19"/>
      <c r="V350" s="44"/>
      <c r="W350" s="44"/>
      <c r="X350" s="39"/>
      <c r="Y350" s="39"/>
      <c r="Z350" s="39"/>
      <c r="AA350" s="40"/>
      <c r="AB350" s="44"/>
      <c r="AC350" s="39"/>
      <c r="AD350" s="40"/>
      <c r="AE350" s="44"/>
      <c r="AF350" s="39"/>
      <c r="AG350" s="40"/>
      <c r="AH350" s="44"/>
    </row>
    <row r="351" spans="1:34" x14ac:dyDescent="0.25">
      <c r="A351" s="105">
        <f t="shared" si="5"/>
        <v>36747</v>
      </c>
      <c r="B351" s="16"/>
      <c r="C351" s="16">
        <f>SUM('Weekly Data'!E348:E351)/4</f>
        <v>1947.25</v>
      </c>
      <c r="D351" s="16"/>
      <c r="E351" s="16">
        <f>SUM('Weekly Data'!G348:G351)/4</f>
        <v>1676.75</v>
      </c>
      <c r="F351" s="16">
        <f>SUM('Weekly Data'!H348:H351)/4</f>
        <v>139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9"/>
      <c r="R351" s="13">
        <v>36747</v>
      </c>
      <c r="S351" s="44"/>
      <c r="T351" s="44"/>
      <c r="U351" s="19"/>
      <c r="V351" s="44"/>
      <c r="W351" s="44"/>
      <c r="X351" s="39"/>
      <c r="Y351" s="39"/>
      <c r="Z351" s="39"/>
      <c r="AA351" s="40"/>
      <c r="AB351" s="44"/>
      <c r="AC351" s="39"/>
      <c r="AD351" s="40"/>
      <c r="AE351" s="44"/>
      <c r="AF351" s="39"/>
      <c r="AG351" s="40"/>
      <c r="AH351" s="44"/>
    </row>
    <row r="352" spans="1:34" x14ac:dyDescent="0.25">
      <c r="A352" s="105">
        <f t="shared" si="5"/>
        <v>36754</v>
      </c>
      <c r="B352" s="16"/>
      <c r="C352" s="16">
        <f>SUM('Weekly Data'!E349:E352)/4</f>
        <v>2055.25</v>
      </c>
      <c r="D352" s="16"/>
      <c r="E352" s="16">
        <f>SUM('Weekly Data'!G349:G352)/4</f>
        <v>1983.75</v>
      </c>
      <c r="F352" s="16">
        <f>SUM('Weekly Data'!H349:H352)/4</f>
        <v>127.75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9"/>
      <c r="R352" s="13">
        <v>36754</v>
      </c>
      <c r="S352" s="44"/>
      <c r="T352" s="44"/>
      <c r="U352" s="19"/>
      <c r="V352" s="44"/>
      <c r="W352" s="44"/>
      <c r="X352" s="39"/>
      <c r="Y352" s="39"/>
      <c r="Z352" s="39"/>
      <c r="AA352" s="40"/>
      <c r="AB352" s="44"/>
      <c r="AC352" s="39"/>
      <c r="AD352" s="40"/>
      <c r="AE352" s="44"/>
      <c r="AF352" s="39"/>
      <c r="AG352" s="40"/>
      <c r="AH352" s="44"/>
    </row>
    <row r="353" spans="1:34" x14ac:dyDescent="0.25">
      <c r="A353" s="105">
        <f t="shared" si="5"/>
        <v>36761</v>
      </c>
      <c r="B353" s="16"/>
      <c r="C353" s="16">
        <f>SUM('Weekly Data'!E350:E353)/4</f>
        <v>2015</v>
      </c>
      <c r="D353" s="16"/>
      <c r="E353" s="16">
        <f>SUM('Weekly Data'!G350:G353)/4</f>
        <v>2217.5</v>
      </c>
      <c r="F353" s="16">
        <f>SUM('Weekly Data'!H350:H353)/4</f>
        <v>34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9"/>
      <c r="R353" s="13">
        <v>36761</v>
      </c>
      <c r="S353" s="44"/>
      <c r="T353" s="44"/>
      <c r="U353" s="19"/>
      <c r="V353" s="44"/>
      <c r="W353" s="44"/>
      <c r="X353" s="39"/>
      <c r="Y353" s="39"/>
      <c r="Z353" s="39"/>
      <c r="AA353" s="40"/>
      <c r="AB353" s="44"/>
      <c r="AC353" s="39"/>
      <c r="AD353" s="40"/>
      <c r="AE353" s="44"/>
      <c r="AF353" s="39"/>
      <c r="AG353" s="40"/>
      <c r="AH353" s="44"/>
    </row>
    <row r="354" spans="1:34" x14ac:dyDescent="0.25">
      <c r="A354" s="105">
        <f t="shared" si="5"/>
        <v>36768</v>
      </c>
      <c r="B354" s="16"/>
      <c r="C354" s="16">
        <f>SUM('Weekly Data'!E351:E354)/4</f>
        <v>2159</v>
      </c>
      <c r="D354" s="16"/>
      <c r="E354" s="16">
        <f>SUM('Weekly Data'!G351:G354)/4</f>
        <v>2523.25</v>
      </c>
      <c r="F354" s="16">
        <f>SUM('Weekly Data'!H351:H354)/4</f>
        <v>63.5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9"/>
      <c r="R354" s="13">
        <v>36768</v>
      </c>
      <c r="S354" s="44"/>
      <c r="T354" s="44"/>
      <c r="U354" s="19"/>
      <c r="V354" s="44"/>
      <c r="W354" s="44"/>
      <c r="X354" s="39"/>
      <c r="Y354" s="39"/>
      <c r="Z354" s="39"/>
      <c r="AA354" s="40"/>
      <c r="AB354" s="44"/>
      <c r="AC354" s="39"/>
      <c r="AD354" s="40"/>
      <c r="AE354" s="44"/>
      <c r="AF354" s="39"/>
      <c r="AG354" s="40"/>
      <c r="AH354" s="44"/>
    </row>
    <row r="355" spans="1:34" x14ac:dyDescent="0.25">
      <c r="A355" s="105">
        <f t="shared" si="5"/>
        <v>36775</v>
      </c>
      <c r="B355" s="16"/>
      <c r="C355" s="16">
        <f>SUM('Weekly Data'!E352:E355)/4</f>
        <v>2191.5</v>
      </c>
      <c r="D355" s="16"/>
      <c r="E355" s="16">
        <f>SUM('Weekly Data'!G352:G355)/4</f>
        <v>2893.25</v>
      </c>
      <c r="F355" s="16">
        <f>SUM('Weekly Data'!H352:H355)/4</f>
        <v>144.5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9"/>
      <c r="R355" s="13">
        <v>36775</v>
      </c>
      <c r="S355" s="44"/>
      <c r="T355" s="44"/>
      <c r="U355" s="19"/>
      <c r="V355" s="44"/>
      <c r="W355" s="44"/>
      <c r="X355" s="39"/>
      <c r="Y355" s="39"/>
      <c r="Z355" s="39"/>
      <c r="AA355" s="40"/>
      <c r="AB355" s="44"/>
      <c r="AC355" s="39"/>
      <c r="AD355" s="40"/>
      <c r="AE355" s="44"/>
      <c r="AF355" s="39"/>
      <c r="AG355" s="40"/>
      <c r="AH355" s="44"/>
    </row>
    <row r="356" spans="1:34" x14ac:dyDescent="0.25">
      <c r="A356" s="105">
        <f t="shared" si="5"/>
        <v>36782</v>
      </c>
      <c r="B356" s="16"/>
      <c r="C356" s="16">
        <f>SUM('Weekly Data'!E353:E356)/4</f>
        <v>2278.5</v>
      </c>
      <c r="D356" s="16"/>
      <c r="E356" s="16">
        <f>SUM('Weekly Data'!G353:G356)/4</f>
        <v>3045</v>
      </c>
      <c r="F356" s="16">
        <f>SUM('Weekly Data'!H353:H356)/4</f>
        <v>174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9"/>
      <c r="R356" s="13">
        <v>36782</v>
      </c>
      <c r="S356" s="44"/>
      <c r="T356" s="44"/>
      <c r="U356" s="19"/>
      <c r="V356" s="44"/>
      <c r="W356" s="44"/>
      <c r="X356" s="39"/>
      <c r="Y356" s="39"/>
      <c r="Z356" s="39"/>
      <c r="AA356" s="40"/>
      <c r="AB356" s="44"/>
      <c r="AC356" s="39"/>
      <c r="AD356" s="40"/>
      <c r="AE356" s="44"/>
      <c r="AF356" s="39"/>
      <c r="AG356" s="40"/>
      <c r="AH356" s="44"/>
    </row>
    <row r="357" spans="1:34" x14ac:dyDescent="0.25">
      <c r="A357" s="105">
        <f t="shared" si="5"/>
        <v>36789</v>
      </c>
      <c r="B357" s="16"/>
      <c r="C357" s="16">
        <f>SUM('Weekly Data'!E354:E357)/4</f>
        <v>2477.25</v>
      </c>
      <c r="D357" s="16"/>
      <c r="E357" s="16">
        <f>SUM('Weekly Data'!G354:G357)/4</f>
        <v>2875</v>
      </c>
      <c r="F357" s="16">
        <f>SUM('Weekly Data'!H354:H357)/4</f>
        <v>227.75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9"/>
      <c r="R357" s="13">
        <v>36789</v>
      </c>
      <c r="S357" s="44"/>
      <c r="T357" s="44"/>
      <c r="U357" s="19"/>
      <c r="V357" s="44"/>
      <c r="W357" s="44"/>
      <c r="X357" s="39"/>
      <c r="Y357" s="39"/>
      <c r="Z357" s="39"/>
      <c r="AA357" s="40"/>
      <c r="AB357" s="44"/>
      <c r="AC357" s="39"/>
      <c r="AD357" s="40"/>
      <c r="AE357" s="44"/>
      <c r="AF357" s="39"/>
      <c r="AG357" s="40"/>
      <c r="AH357" s="44"/>
    </row>
    <row r="358" spans="1:34" x14ac:dyDescent="0.25">
      <c r="A358" s="105">
        <f t="shared" si="5"/>
        <v>36796</v>
      </c>
      <c r="B358" s="16"/>
      <c r="C358" s="16">
        <f>SUM('Weekly Data'!E355:E358)/4</f>
        <v>2473.75</v>
      </c>
      <c r="D358" s="16"/>
      <c r="E358" s="16">
        <f>SUM('Weekly Data'!G355:G358)/4</f>
        <v>2765</v>
      </c>
      <c r="F358" s="16">
        <f>SUM('Weekly Data'!H355:H358)/4</f>
        <v>261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9"/>
      <c r="R358" s="13">
        <v>36796</v>
      </c>
      <c r="S358" s="44"/>
      <c r="T358" s="44"/>
      <c r="U358" s="19"/>
      <c r="V358" s="44"/>
      <c r="W358" s="44"/>
      <c r="X358" s="39"/>
      <c r="Y358" s="39"/>
      <c r="Z358" s="39"/>
      <c r="AA358" s="40"/>
      <c r="AB358" s="44"/>
      <c r="AC358" s="39"/>
      <c r="AD358" s="40"/>
      <c r="AE358" s="44"/>
      <c r="AF358" s="39"/>
      <c r="AG358" s="40"/>
      <c r="AH358" s="44"/>
    </row>
    <row r="359" spans="1:34" x14ac:dyDescent="0.25">
      <c r="A359" s="105">
        <f t="shared" si="5"/>
        <v>36803</v>
      </c>
      <c r="B359" s="16"/>
      <c r="C359" s="16">
        <f>SUM('Weekly Data'!E356:E359)/4</f>
        <v>2405.75</v>
      </c>
      <c r="D359" s="16"/>
      <c r="E359" s="16">
        <f>SUM('Weekly Data'!G356:G359)/4</f>
        <v>2495.25</v>
      </c>
      <c r="F359" s="16">
        <f>SUM('Weekly Data'!H356:H359)/4</f>
        <v>270.75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9"/>
      <c r="R359" s="13">
        <v>36803</v>
      </c>
      <c r="S359" s="44"/>
      <c r="T359" s="44"/>
      <c r="U359" s="19"/>
      <c r="V359" s="44"/>
      <c r="W359" s="44"/>
      <c r="X359" s="39"/>
      <c r="Y359" s="39"/>
      <c r="Z359" s="39"/>
      <c r="AA359" s="40"/>
      <c r="AB359" s="44"/>
      <c r="AC359" s="39"/>
      <c r="AD359" s="40"/>
      <c r="AE359" s="44"/>
      <c r="AF359" s="39"/>
      <c r="AG359" s="40"/>
      <c r="AH359" s="44"/>
    </row>
    <row r="360" spans="1:34" x14ac:dyDescent="0.25">
      <c r="A360" s="105">
        <f t="shared" si="5"/>
        <v>36810</v>
      </c>
      <c r="B360" s="16"/>
      <c r="C360" s="16">
        <f>SUM('Weekly Data'!E357:E360)/4</f>
        <v>2420.5</v>
      </c>
      <c r="D360" s="16"/>
      <c r="E360" s="16">
        <f>SUM('Weekly Data'!G357:G360)/4</f>
        <v>2541.25</v>
      </c>
      <c r="F360" s="16">
        <f>SUM('Weekly Data'!H357:H360)/4</f>
        <v>378.5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9"/>
      <c r="R360" s="13">
        <v>36810</v>
      </c>
      <c r="S360" s="44"/>
      <c r="T360" s="44"/>
      <c r="U360" s="19"/>
      <c r="V360" s="44"/>
      <c r="W360" s="44"/>
      <c r="X360" s="39"/>
      <c r="Y360" s="39"/>
      <c r="Z360" s="39"/>
      <c r="AA360" s="40"/>
      <c r="AB360" s="44"/>
      <c r="AC360" s="39"/>
      <c r="AD360" s="40"/>
      <c r="AE360" s="44"/>
      <c r="AF360" s="39"/>
      <c r="AG360" s="40"/>
      <c r="AH360" s="44"/>
    </row>
    <row r="361" spans="1:34" x14ac:dyDescent="0.25">
      <c r="A361" s="105">
        <f t="shared" si="5"/>
        <v>36817</v>
      </c>
      <c r="B361" s="16"/>
      <c r="C361" s="16">
        <f>SUM('Weekly Data'!E358:E361)/4</f>
        <v>2173.25</v>
      </c>
      <c r="D361" s="16"/>
      <c r="E361" s="16">
        <f>SUM('Weekly Data'!G358:G361)/4</f>
        <v>2723.75</v>
      </c>
      <c r="F361" s="16">
        <f>SUM('Weekly Data'!H358:H361)/4</f>
        <v>421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9"/>
      <c r="R361" s="13">
        <v>36817</v>
      </c>
      <c r="S361" s="44"/>
      <c r="T361" s="44"/>
      <c r="U361" s="19"/>
      <c r="V361" s="44"/>
      <c r="W361" s="44"/>
      <c r="X361" s="39"/>
      <c r="Y361" s="39"/>
      <c r="Z361" s="39"/>
      <c r="AA361" s="40"/>
      <c r="AB361" s="44"/>
      <c r="AC361" s="39"/>
      <c r="AD361" s="40"/>
      <c r="AE361" s="44"/>
      <c r="AF361" s="39"/>
      <c r="AG361" s="40"/>
      <c r="AH361" s="44"/>
    </row>
    <row r="362" spans="1:34" x14ac:dyDescent="0.25">
      <c r="A362" s="105">
        <f t="shared" si="5"/>
        <v>36824</v>
      </c>
      <c r="B362" s="16"/>
      <c r="C362" s="16">
        <f>SUM('Weekly Data'!E359:E362)/4</f>
        <v>2069.25</v>
      </c>
      <c r="D362" s="16"/>
      <c r="E362" s="16">
        <f>SUM('Weekly Data'!G359:G362)/4</f>
        <v>2886</v>
      </c>
      <c r="F362" s="16">
        <f>SUM('Weekly Data'!H359:H362)/4</f>
        <v>505.25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9"/>
      <c r="R362" s="13">
        <v>36824</v>
      </c>
      <c r="S362" s="44"/>
      <c r="T362" s="44"/>
      <c r="U362" s="19"/>
      <c r="V362" s="44"/>
      <c r="W362" s="44"/>
      <c r="X362" s="39"/>
      <c r="Y362" s="39"/>
      <c r="Z362" s="39"/>
      <c r="AA362" s="40"/>
      <c r="AB362" s="44"/>
      <c r="AC362" s="39"/>
      <c r="AD362" s="40"/>
      <c r="AE362" s="44"/>
      <c r="AF362" s="39"/>
      <c r="AG362" s="40"/>
      <c r="AH362" s="44"/>
    </row>
    <row r="363" spans="1:34" x14ac:dyDescent="0.25">
      <c r="A363" s="105">
        <f t="shared" si="5"/>
        <v>36831</v>
      </c>
      <c r="B363" s="16"/>
      <c r="C363" s="16">
        <f>SUM('Weekly Data'!E360:E363)/4</f>
        <v>2079.75</v>
      </c>
      <c r="D363" s="16"/>
      <c r="E363" s="16">
        <f>SUM('Weekly Data'!G360:G363)/4</f>
        <v>2829.25</v>
      </c>
      <c r="F363" s="16">
        <f>SUM('Weekly Data'!H360:H363)/4</f>
        <v>620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9"/>
      <c r="R363" s="13">
        <v>36831</v>
      </c>
      <c r="S363" s="44"/>
      <c r="T363" s="44"/>
      <c r="U363" s="19"/>
      <c r="V363" s="44"/>
      <c r="W363" s="44"/>
      <c r="X363" s="39"/>
      <c r="Y363" s="39"/>
      <c r="Z363" s="39"/>
      <c r="AA363" s="40"/>
      <c r="AB363" s="44"/>
      <c r="AC363" s="39"/>
      <c r="AD363" s="40"/>
      <c r="AE363" s="44"/>
      <c r="AF363" s="39"/>
      <c r="AG363" s="40"/>
      <c r="AH363" s="44"/>
    </row>
    <row r="364" spans="1:34" x14ac:dyDescent="0.25">
      <c r="A364" s="105">
        <f t="shared" si="5"/>
        <v>36838</v>
      </c>
      <c r="B364" s="16"/>
      <c r="C364" s="16">
        <f>SUM('Weekly Data'!E361:E364)/4</f>
        <v>1875.25</v>
      </c>
      <c r="D364" s="16"/>
      <c r="E364" s="16">
        <f>SUM('Weekly Data'!G361:G364)/4</f>
        <v>2655.75</v>
      </c>
      <c r="F364" s="16">
        <f>SUM('Weekly Data'!H361:H364)/4</f>
        <v>575.75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9"/>
      <c r="R364" s="13">
        <v>36838</v>
      </c>
      <c r="S364" s="44"/>
      <c r="T364" s="44"/>
      <c r="U364" s="19"/>
      <c r="V364" s="44"/>
      <c r="W364" s="44"/>
      <c r="X364" s="39"/>
      <c r="Y364" s="39"/>
      <c r="Z364" s="39"/>
      <c r="AA364" s="40"/>
      <c r="AB364" s="44"/>
      <c r="AC364" s="39"/>
      <c r="AD364" s="40"/>
      <c r="AE364" s="44"/>
      <c r="AF364" s="39"/>
      <c r="AG364" s="40"/>
      <c r="AH364" s="44"/>
    </row>
    <row r="365" spans="1:34" x14ac:dyDescent="0.25">
      <c r="A365" s="105">
        <f t="shared" si="5"/>
        <v>36845</v>
      </c>
      <c r="B365" s="16"/>
      <c r="C365" s="16">
        <f>SUM('Weekly Data'!E362:E365)/4</f>
        <v>1905</v>
      </c>
      <c r="D365" s="16"/>
      <c r="E365" s="16">
        <f>SUM('Weekly Data'!G362:G365)/4</f>
        <v>2466.75</v>
      </c>
      <c r="F365" s="16">
        <f>SUM('Weekly Data'!H362:H365)/4</f>
        <v>608.25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9"/>
      <c r="R365" s="13">
        <v>36845</v>
      </c>
      <c r="S365" s="44"/>
      <c r="T365" s="44"/>
      <c r="U365" s="19"/>
      <c r="V365" s="44"/>
      <c r="W365" s="44"/>
      <c r="X365" s="39"/>
      <c r="Y365" s="39"/>
      <c r="Z365" s="39"/>
      <c r="AA365" s="40"/>
      <c r="AB365" s="44"/>
      <c r="AC365" s="39"/>
      <c r="AD365" s="40"/>
      <c r="AE365" s="44"/>
      <c r="AF365" s="39"/>
      <c r="AG365" s="40"/>
      <c r="AH365" s="44"/>
    </row>
    <row r="366" spans="1:34" x14ac:dyDescent="0.25">
      <c r="A366" s="105">
        <f t="shared" si="5"/>
        <v>36852</v>
      </c>
      <c r="B366" s="16"/>
      <c r="C366" s="16">
        <f>SUM('Weekly Data'!E363:E366)/4</f>
        <v>1825</v>
      </c>
      <c r="D366" s="16"/>
      <c r="E366" s="16">
        <f>SUM('Weekly Data'!G363:G366)/4</f>
        <v>2218.25</v>
      </c>
      <c r="F366" s="16">
        <f>SUM('Weekly Data'!H363:H366)/4</f>
        <v>539.5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9"/>
      <c r="R366" s="13">
        <v>36852</v>
      </c>
      <c r="S366" s="44"/>
      <c r="T366" s="44"/>
      <c r="U366" s="19"/>
      <c r="V366" s="44"/>
      <c r="W366" s="44"/>
      <c r="X366" s="39"/>
      <c r="Y366" s="39"/>
      <c r="Z366" s="39"/>
      <c r="AA366" s="40"/>
      <c r="AB366" s="44"/>
      <c r="AC366" s="39"/>
      <c r="AD366" s="40"/>
      <c r="AE366" s="44"/>
      <c r="AF366" s="39"/>
      <c r="AG366" s="40"/>
      <c r="AH366" s="44"/>
    </row>
    <row r="367" spans="1:34" x14ac:dyDescent="0.25">
      <c r="A367" s="105">
        <f t="shared" si="5"/>
        <v>36859</v>
      </c>
      <c r="B367" s="16"/>
      <c r="C367" s="16">
        <f>SUM('Weekly Data'!E364:E367)/4</f>
        <v>1727.75</v>
      </c>
      <c r="D367" s="16"/>
      <c r="E367" s="16">
        <f>SUM('Weekly Data'!G364:G367)/4</f>
        <v>2121.25</v>
      </c>
      <c r="F367" s="16">
        <f>SUM('Weekly Data'!H364:H367)/4</f>
        <v>424.75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9"/>
      <c r="R367" s="13">
        <v>36859</v>
      </c>
      <c r="S367" s="44"/>
      <c r="T367" s="44"/>
      <c r="U367" s="19"/>
      <c r="V367" s="44"/>
      <c r="W367" s="44"/>
      <c r="X367" s="39"/>
      <c r="Y367" s="39"/>
      <c r="Z367" s="39"/>
      <c r="AA367" s="40"/>
      <c r="AB367" s="44"/>
      <c r="AC367" s="39"/>
      <c r="AD367" s="40"/>
      <c r="AE367" s="44"/>
      <c r="AF367" s="39"/>
      <c r="AG367" s="40"/>
      <c r="AH367" s="44"/>
    </row>
    <row r="368" spans="1:34" x14ac:dyDescent="0.25">
      <c r="A368" s="105">
        <f t="shared" si="5"/>
        <v>36866</v>
      </c>
      <c r="B368" s="16"/>
      <c r="C368" s="16">
        <f>SUM('Weekly Data'!E365:E368)/4</f>
        <v>1684.5</v>
      </c>
      <c r="D368" s="16"/>
      <c r="E368" s="16">
        <f>SUM('Weekly Data'!G365:G368)/4</f>
        <v>1864.5</v>
      </c>
      <c r="F368" s="16">
        <f>SUM('Weekly Data'!H365:H368)/4</f>
        <v>361.25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9"/>
      <c r="R368" s="13">
        <v>36866</v>
      </c>
      <c r="S368" s="44"/>
      <c r="T368" s="44"/>
      <c r="U368" s="19"/>
      <c r="V368" s="44"/>
      <c r="W368" s="44"/>
      <c r="X368" s="39"/>
      <c r="Y368" s="39"/>
      <c r="Z368" s="39"/>
      <c r="AA368" s="40"/>
      <c r="AB368" s="44"/>
      <c r="AC368" s="39"/>
      <c r="AD368" s="40"/>
      <c r="AE368" s="44"/>
      <c r="AF368" s="39"/>
      <c r="AG368" s="40"/>
      <c r="AH368" s="44"/>
    </row>
    <row r="369" spans="1:34" x14ac:dyDescent="0.25">
      <c r="A369" s="105">
        <f t="shared" si="5"/>
        <v>36873</v>
      </c>
      <c r="B369" s="16"/>
      <c r="C369" s="16">
        <f>SUM('Weekly Data'!E366:E369)/4</f>
        <v>1664.5</v>
      </c>
      <c r="D369" s="16"/>
      <c r="E369" s="16">
        <f>SUM('Weekly Data'!G366:G369)/4</f>
        <v>1740.75</v>
      </c>
      <c r="F369" s="16">
        <f>SUM('Weekly Data'!H366:H369)/4</f>
        <v>317.75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9"/>
      <c r="R369" s="13">
        <v>36873</v>
      </c>
      <c r="S369" s="44"/>
      <c r="T369" s="44"/>
      <c r="U369" s="19"/>
      <c r="V369" s="44"/>
      <c r="W369" s="44"/>
      <c r="X369" s="39"/>
      <c r="Y369" s="39"/>
      <c r="Z369" s="39"/>
      <c r="AA369" s="40"/>
      <c r="AB369" s="44"/>
      <c r="AC369" s="39"/>
      <c r="AD369" s="40"/>
      <c r="AE369" s="44"/>
      <c r="AF369" s="39"/>
      <c r="AG369" s="40"/>
      <c r="AH369" s="44"/>
    </row>
    <row r="370" spans="1:34" x14ac:dyDescent="0.25">
      <c r="A370" s="105">
        <f t="shared" si="5"/>
        <v>36880</v>
      </c>
      <c r="B370" s="16"/>
      <c r="C370" s="16">
        <f>SUM('Weekly Data'!E367:E370)/4</f>
        <v>1531.25</v>
      </c>
      <c r="D370" s="16"/>
      <c r="E370" s="16">
        <f>SUM('Weekly Data'!G367:G370)/4</f>
        <v>1688.5</v>
      </c>
      <c r="F370" s="16">
        <f>SUM('Weekly Data'!H367:H370)/4</f>
        <v>260.5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9"/>
      <c r="R370" s="13">
        <v>36880</v>
      </c>
      <c r="S370" s="44"/>
      <c r="T370" s="44"/>
      <c r="U370" s="19"/>
      <c r="V370" s="44"/>
      <c r="W370" s="44"/>
      <c r="X370" s="39"/>
      <c r="Y370" s="39"/>
      <c r="Z370" s="39"/>
      <c r="AA370" s="40"/>
      <c r="AB370" s="44"/>
      <c r="AC370" s="39"/>
      <c r="AD370" s="40"/>
      <c r="AE370" s="44"/>
      <c r="AF370" s="39"/>
      <c r="AG370" s="40"/>
      <c r="AH370" s="44"/>
    </row>
    <row r="371" spans="1:34" x14ac:dyDescent="0.25">
      <c r="A371" s="105">
        <f t="shared" si="5"/>
        <v>36887</v>
      </c>
      <c r="B371" s="16"/>
      <c r="C371" s="16">
        <f>SUM('Weekly Data'!E368:E371)/4</f>
        <v>1425</v>
      </c>
      <c r="D371" s="16"/>
      <c r="E371" s="16">
        <f>SUM('Weekly Data'!G368:G371)/4</f>
        <v>1633.5</v>
      </c>
      <c r="F371" s="16">
        <f>SUM('Weekly Data'!H368:H371)/4</f>
        <v>201.5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9"/>
      <c r="R371" s="13">
        <v>36887</v>
      </c>
      <c r="S371" s="44"/>
      <c r="T371" s="44"/>
      <c r="U371" s="19"/>
      <c r="V371" s="44"/>
      <c r="W371" s="44"/>
      <c r="X371" s="39"/>
      <c r="Y371" s="39"/>
      <c r="Z371" s="39"/>
      <c r="AA371" s="40"/>
      <c r="AB371" s="44"/>
      <c r="AC371" s="39"/>
      <c r="AD371" s="40"/>
      <c r="AE371" s="44"/>
      <c r="AF371" s="39"/>
      <c r="AG371" s="40"/>
      <c r="AH371" s="44"/>
    </row>
    <row r="372" spans="1:34" x14ac:dyDescent="0.25">
      <c r="A372" s="105">
        <f t="shared" si="5"/>
        <v>36894</v>
      </c>
      <c r="B372" s="16"/>
      <c r="C372" s="16">
        <f>SUM('Weekly Data'!E369:E372)/4</f>
        <v>1245</v>
      </c>
      <c r="D372" s="16"/>
      <c r="E372" s="16">
        <f>SUM('Weekly Data'!G369:G372)/4</f>
        <v>1642.25</v>
      </c>
      <c r="F372" s="16">
        <f>SUM('Weekly Data'!H369:H372)/4</f>
        <v>303.75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9"/>
      <c r="R372" s="13">
        <v>36894</v>
      </c>
      <c r="S372" s="44"/>
      <c r="T372" s="44"/>
      <c r="U372" s="19"/>
      <c r="V372" s="44"/>
      <c r="W372" s="44"/>
      <c r="X372" s="39"/>
      <c r="Y372" s="39"/>
      <c r="Z372" s="39"/>
      <c r="AA372" s="40"/>
      <c r="AB372" s="44"/>
      <c r="AC372" s="39"/>
      <c r="AD372" s="40"/>
      <c r="AE372" s="44"/>
      <c r="AF372" s="39"/>
      <c r="AG372" s="40"/>
      <c r="AH372" s="44"/>
    </row>
    <row r="373" spans="1:34" x14ac:dyDescent="0.25">
      <c r="A373" s="105">
        <f t="shared" si="5"/>
        <v>36901</v>
      </c>
      <c r="B373" s="16"/>
      <c r="C373" s="16">
        <f>SUM('Weekly Data'!E370:E373)/4</f>
        <v>1172.5</v>
      </c>
      <c r="D373" s="16"/>
      <c r="E373" s="16">
        <f>SUM('Weekly Data'!G370:G373)/4</f>
        <v>1728.25</v>
      </c>
      <c r="F373" s="16">
        <f>SUM('Weekly Data'!H370:H373)/4</f>
        <v>331.25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9"/>
      <c r="R373" s="13">
        <v>36901</v>
      </c>
      <c r="S373" s="44"/>
      <c r="T373" s="44"/>
      <c r="U373" s="19"/>
      <c r="V373" s="44"/>
      <c r="W373" s="44"/>
      <c r="X373" s="39"/>
      <c r="Y373" s="39"/>
      <c r="Z373" s="39"/>
      <c r="AA373" s="40"/>
      <c r="AB373" s="44"/>
      <c r="AC373" s="39"/>
      <c r="AD373" s="40"/>
      <c r="AE373" s="44"/>
      <c r="AF373" s="39"/>
      <c r="AG373" s="40"/>
      <c r="AH373" s="44"/>
    </row>
    <row r="374" spans="1:34" x14ac:dyDescent="0.25">
      <c r="A374" s="105">
        <f t="shared" si="5"/>
        <v>36908</v>
      </c>
      <c r="B374" s="16"/>
      <c r="C374" s="16">
        <f>SUM('Weekly Data'!E371:E374)/4</f>
        <v>1079.25</v>
      </c>
      <c r="D374" s="16"/>
      <c r="E374" s="16">
        <f>SUM('Weekly Data'!G371:G374)/4</f>
        <v>1987.75</v>
      </c>
      <c r="F374" s="16">
        <f>SUM('Weekly Data'!H371:H374)/4</f>
        <v>542.25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9"/>
      <c r="R374" s="13">
        <v>36908</v>
      </c>
      <c r="S374" s="44"/>
      <c r="T374" s="44"/>
      <c r="U374" s="19"/>
      <c r="V374" s="44"/>
      <c r="W374" s="44"/>
      <c r="X374" s="39"/>
      <c r="Y374" s="39"/>
      <c r="Z374" s="39"/>
      <c r="AA374" s="40"/>
      <c r="AB374" s="44"/>
      <c r="AC374" s="39"/>
      <c r="AD374" s="40"/>
      <c r="AE374" s="44"/>
      <c r="AF374" s="39"/>
      <c r="AG374" s="40"/>
      <c r="AH374" s="44"/>
    </row>
    <row r="375" spans="1:34" x14ac:dyDescent="0.25">
      <c r="A375" s="105">
        <f t="shared" si="5"/>
        <v>36915</v>
      </c>
      <c r="B375" s="16"/>
      <c r="C375" s="16">
        <f>SUM('Weekly Data'!E372:E375)/4</f>
        <v>1116.5</v>
      </c>
      <c r="D375" s="16"/>
      <c r="E375" s="16">
        <f>SUM('Weekly Data'!G372:G375)/4</f>
        <v>2290.25</v>
      </c>
      <c r="F375" s="16">
        <f>SUM('Weekly Data'!H372:H375)/4</f>
        <v>717.25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9"/>
      <c r="R375" s="13">
        <v>36915</v>
      </c>
      <c r="S375" s="44"/>
      <c r="T375" s="44"/>
      <c r="U375" s="19"/>
      <c r="V375" s="44"/>
      <c r="W375" s="44"/>
      <c r="X375" s="39"/>
      <c r="Y375" s="39"/>
      <c r="Z375" s="39"/>
      <c r="AA375" s="40"/>
      <c r="AB375" s="44"/>
      <c r="AC375" s="39"/>
      <c r="AD375" s="40"/>
      <c r="AE375" s="44"/>
      <c r="AF375" s="39"/>
      <c r="AG375" s="40"/>
      <c r="AH375" s="44"/>
    </row>
    <row r="376" spans="1:34" x14ac:dyDescent="0.25">
      <c r="A376" s="105">
        <f t="shared" si="5"/>
        <v>36922</v>
      </c>
      <c r="B376" s="16"/>
      <c r="C376" s="16">
        <f>SUM('Weekly Data'!E373:E376)/4</f>
        <v>1309</v>
      </c>
      <c r="D376" s="16"/>
      <c r="E376" s="16">
        <f>SUM('Weekly Data'!G373:G376)/4</f>
        <v>2648.25</v>
      </c>
      <c r="F376" s="16">
        <f>SUM('Weekly Data'!H373:H376)/4</f>
        <v>787.75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9"/>
      <c r="R376" s="13">
        <v>36922</v>
      </c>
      <c r="S376" s="44"/>
      <c r="T376" s="44"/>
      <c r="U376" s="19"/>
      <c r="V376" s="44"/>
      <c r="W376" s="44"/>
      <c r="X376" s="39"/>
      <c r="Y376" s="39"/>
      <c r="Z376" s="39"/>
      <c r="AA376" s="40"/>
      <c r="AB376" s="44"/>
      <c r="AC376" s="39"/>
      <c r="AD376" s="40"/>
      <c r="AE376" s="44"/>
      <c r="AF376" s="39"/>
      <c r="AG376" s="40"/>
      <c r="AH376" s="44"/>
    </row>
    <row r="377" spans="1:34" x14ac:dyDescent="0.25">
      <c r="A377" s="105">
        <f t="shared" si="5"/>
        <v>36929</v>
      </c>
      <c r="B377" s="16"/>
      <c r="C377" s="16">
        <f>SUM('Weekly Data'!E374:E377)/4</f>
        <v>1557</v>
      </c>
      <c r="D377" s="16"/>
      <c r="E377" s="16">
        <f>SUM('Weekly Data'!G374:G377)/4</f>
        <v>2757.25</v>
      </c>
      <c r="F377" s="16">
        <f>SUM('Weekly Data'!H374:H377)/4</f>
        <v>901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9"/>
      <c r="R377" s="13">
        <v>36929</v>
      </c>
      <c r="S377" s="44"/>
      <c r="T377" s="44"/>
      <c r="U377" s="19"/>
      <c r="V377" s="44"/>
      <c r="W377" s="44"/>
      <c r="X377" s="39"/>
      <c r="Y377" s="39"/>
      <c r="Z377" s="39"/>
      <c r="AA377" s="40"/>
      <c r="AB377" s="44"/>
      <c r="AC377" s="39"/>
      <c r="AD377" s="40"/>
      <c r="AE377" s="44"/>
      <c r="AF377" s="39"/>
      <c r="AG377" s="40"/>
      <c r="AH377" s="44"/>
    </row>
    <row r="378" spans="1:34" x14ac:dyDescent="0.25">
      <c r="A378" s="105">
        <f t="shared" si="5"/>
        <v>36936</v>
      </c>
      <c r="B378" s="16"/>
      <c r="C378" s="16">
        <f>SUM('Weekly Data'!E375:E378)/4</f>
        <v>1918.5</v>
      </c>
      <c r="D378" s="16"/>
      <c r="E378" s="16">
        <f>SUM('Weekly Data'!G375:G378)/4</f>
        <v>2510</v>
      </c>
      <c r="F378" s="16">
        <f>SUM('Weekly Data'!H375:H378)/4</f>
        <v>970.5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9"/>
      <c r="R378" s="13">
        <v>36936</v>
      </c>
      <c r="S378" s="44"/>
      <c r="T378" s="44"/>
      <c r="U378" s="19"/>
      <c r="V378" s="44"/>
      <c r="W378" s="44"/>
      <c r="X378" s="39"/>
      <c r="Y378" s="39"/>
      <c r="Z378" s="39"/>
      <c r="AA378" s="40"/>
      <c r="AB378" s="44"/>
      <c r="AC378" s="39"/>
      <c r="AD378" s="40"/>
      <c r="AE378" s="44"/>
      <c r="AF378" s="39"/>
      <c r="AG378" s="40"/>
      <c r="AH378" s="44"/>
    </row>
    <row r="379" spans="1:34" x14ac:dyDescent="0.25">
      <c r="A379" s="105">
        <f t="shared" si="5"/>
        <v>36943</v>
      </c>
      <c r="B379" s="16"/>
      <c r="C379" s="16">
        <f>SUM('Weekly Data'!E376:E379)/4</f>
        <v>1929.75</v>
      </c>
      <c r="D379" s="16"/>
      <c r="E379" s="16">
        <f>SUM('Weekly Data'!G376:G379)/4</f>
        <v>2593</v>
      </c>
      <c r="F379" s="16">
        <f>SUM('Weekly Data'!H376:H379)/4</f>
        <v>1005.75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9"/>
      <c r="R379" s="13">
        <v>36943</v>
      </c>
      <c r="S379" s="44"/>
      <c r="T379" s="44"/>
      <c r="U379" s="19"/>
      <c r="V379" s="44"/>
      <c r="W379" s="44"/>
      <c r="X379" s="39"/>
      <c r="Y379" s="39"/>
      <c r="Z379" s="39"/>
      <c r="AA379" s="40"/>
      <c r="AB379" s="44"/>
      <c r="AC379" s="39"/>
      <c r="AD379" s="40"/>
      <c r="AE379" s="44"/>
      <c r="AF379" s="39"/>
      <c r="AG379" s="40"/>
      <c r="AH379" s="44"/>
    </row>
    <row r="380" spans="1:34" x14ac:dyDescent="0.25">
      <c r="A380" s="105">
        <f t="shared" si="5"/>
        <v>36950</v>
      </c>
      <c r="B380" s="16"/>
      <c r="C380" s="16">
        <f>SUM('Weekly Data'!E377:E380)/4</f>
        <v>2025.75</v>
      </c>
      <c r="D380" s="16"/>
      <c r="E380" s="16">
        <f>SUM('Weekly Data'!G377:G380)/4</f>
        <v>2579.25</v>
      </c>
      <c r="F380" s="16">
        <f>SUM('Weekly Data'!H377:H380)/4</f>
        <v>1079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9"/>
      <c r="R380" s="13">
        <v>36950</v>
      </c>
      <c r="S380" s="44"/>
      <c r="T380" s="44"/>
      <c r="U380" s="19"/>
      <c r="V380" s="44"/>
      <c r="W380" s="44"/>
      <c r="X380" s="39"/>
      <c r="Y380" s="39"/>
      <c r="Z380" s="39"/>
      <c r="AA380" s="40"/>
      <c r="AB380" s="44"/>
      <c r="AC380" s="39"/>
      <c r="AD380" s="40"/>
      <c r="AE380" s="44"/>
      <c r="AF380" s="39"/>
      <c r="AG380" s="40"/>
      <c r="AH380" s="44"/>
    </row>
    <row r="381" spans="1:34" x14ac:dyDescent="0.25">
      <c r="A381" s="105">
        <f t="shared" si="5"/>
        <v>36957</v>
      </c>
      <c r="B381" s="16"/>
      <c r="C381" s="16">
        <f>SUM('Weekly Data'!E378:E381)/4</f>
        <v>1919.25</v>
      </c>
      <c r="D381" s="16"/>
      <c r="E381" s="16">
        <f>SUM('Weekly Data'!G378:G381)/4</f>
        <v>2516.75</v>
      </c>
      <c r="F381" s="16">
        <f>SUM('Weekly Data'!H378:H381)/4</f>
        <v>1043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9"/>
      <c r="R381" s="13">
        <v>36957</v>
      </c>
      <c r="S381" s="44"/>
      <c r="T381" s="44"/>
      <c r="U381" s="19"/>
      <c r="V381" s="44"/>
      <c r="W381" s="44"/>
      <c r="X381" s="39"/>
      <c r="Y381" s="39"/>
      <c r="Z381" s="39"/>
      <c r="AA381" s="40"/>
      <c r="AB381" s="44"/>
      <c r="AC381" s="39"/>
      <c r="AD381" s="40"/>
      <c r="AE381" s="44"/>
      <c r="AF381" s="39"/>
      <c r="AG381" s="40"/>
      <c r="AH381" s="44"/>
    </row>
    <row r="382" spans="1:34" x14ac:dyDescent="0.25">
      <c r="A382" s="105">
        <f t="shared" si="5"/>
        <v>36964</v>
      </c>
      <c r="B382" s="16"/>
      <c r="C382" s="16">
        <f>SUM('Weekly Data'!E379:E382)/4</f>
        <v>1633.25</v>
      </c>
      <c r="D382" s="16"/>
      <c r="E382" s="16">
        <f>SUM('Weekly Data'!G379:G382)/4</f>
        <v>2705.25</v>
      </c>
      <c r="F382" s="16">
        <f>SUM('Weekly Data'!H379:H382)/4</f>
        <v>965.75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9"/>
      <c r="R382" s="13">
        <v>36964</v>
      </c>
      <c r="S382" s="44"/>
      <c r="T382" s="44"/>
      <c r="U382" s="19"/>
      <c r="V382" s="44"/>
      <c r="W382" s="44"/>
      <c r="X382" s="39"/>
      <c r="Y382" s="39"/>
      <c r="Z382" s="39"/>
      <c r="AA382" s="40"/>
      <c r="AB382" s="44"/>
      <c r="AC382" s="39"/>
      <c r="AD382" s="40"/>
      <c r="AE382" s="44"/>
      <c r="AF382" s="39"/>
      <c r="AG382" s="40"/>
      <c r="AH382" s="44"/>
    </row>
    <row r="383" spans="1:34" x14ac:dyDescent="0.25">
      <c r="A383" s="105">
        <f t="shared" si="5"/>
        <v>36971</v>
      </c>
      <c r="B383" s="16"/>
      <c r="C383" s="16">
        <f>SUM('Weekly Data'!E380:E383)/4</f>
        <v>1501</v>
      </c>
      <c r="D383" s="16"/>
      <c r="E383" s="16">
        <f>SUM('Weekly Data'!G380:G383)/4</f>
        <v>2711.25</v>
      </c>
      <c r="F383" s="16">
        <f>SUM('Weekly Data'!H380:H383)/4</f>
        <v>971.75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9"/>
      <c r="R383" s="13">
        <v>36971</v>
      </c>
      <c r="S383" s="44"/>
      <c r="T383" s="44"/>
      <c r="U383" s="19"/>
      <c r="V383" s="44"/>
      <c r="W383" s="44"/>
      <c r="X383" s="39"/>
      <c r="Y383" s="39"/>
      <c r="Z383" s="39"/>
      <c r="AA383" s="40"/>
      <c r="AB383" s="44"/>
      <c r="AC383" s="39"/>
      <c r="AD383" s="40"/>
      <c r="AE383" s="44"/>
      <c r="AF383" s="39"/>
      <c r="AG383" s="40"/>
      <c r="AH383" s="44"/>
    </row>
    <row r="384" spans="1:34" x14ac:dyDescent="0.25">
      <c r="A384" s="105">
        <f t="shared" si="5"/>
        <v>36978</v>
      </c>
      <c r="B384" s="16"/>
      <c r="C384" s="16">
        <f>SUM('Weekly Data'!E381:E384)/4</f>
        <v>1468.75</v>
      </c>
      <c r="D384" s="16"/>
      <c r="E384" s="16">
        <f>SUM('Weekly Data'!G381:G384)/4</f>
        <v>2835</v>
      </c>
      <c r="F384" s="16">
        <f>SUM('Weekly Data'!H381:H384)/4</f>
        <v>869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9"/>
      <c r="R384" s="13">
        <v>36978</v>
      </c>
      <c r="S384" s="44"/>
      <c r="T384" s="44"/>
      <c r="U384" s="19"/>
      <c r="V384" s="44"/>
      <c r="W384" s="44"/>
      <c r="X384" s="39"/>
      <c r="Y384" s="39"/>
      <c r="Z384" s="39"/>
      <c r="AA384" s="40"/>
      <c r="AB384" s="44"/>
      <c r="AC384" s="39"/>
      <c r="AD384" s="40"/>
      <c r="AE384" s="44"/>
      <c r="AF384" s="39"/>
      <c r="AG384" s="40"/>
      <c r="AH384" s="44"/>
    </row>
    <row r="385" spans="1:34" x14ac:dyDescent="0.25">
      <c r="A385" s="105">
        <f t="shared" si="5"/>
        <v>36985</v>
      </c>
      <c r="B385" s="16"/>
      <c r="C385" s="16">
        <f>SUM('Weekly Data'!E382:E385)/4</f>
        <v>1277.25</v>
      </c>
      <c r="D385" s="16"/>
      <c r="E385" s="16">
        <f>SUM('Weekly Data'!G382:G385)/4</f>
        <v>2994.5</v>
      </c>
      <c r="F385" s="16">
        <f>SUM('Weekly Data'!H382:H385)/4</f>
        <v>779.75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9"/>
      <c r="R385" s="13">
        <v>36985</v>
      </c>
      <c r="S385" s="44"/>
      <c r="T385" s="44"/>
      <c r="U385" s="19"/>
      <c r="V385" s="44"/>
      <c r="W385" s="44"/>
      <c r="X385" s="39"/>
      <c r="Y385" s="39"/>
      <c r="Z385" s="39"/>
      <c r="AA385" s="40"/>
      <c r="AB385" s="44"/>
      <c r="AC385" s="39"/>
      <c r="AD385" s="40"/>
      <c r="AE385" s="44"/>
      <c r="AF385" s="39"/>
      <c r="AG385" s="40"/>
      <c r="AH385" s="44"/>
    </row>
    <row r="386" spans="1:34" x14ac:dyDescent="0.25">
      <c r="A386" s="105">
        <f t="shared" si="5"/>
        <v>36992</v>
      </c>
      <c r="B386" s="16"/>
      <c r="C386" s="16">
        <f>SUM('Weekly Data'!E383:E386)/4</f>
        <v>1451.5</v>
      </c>
      <c r="D386" s="16"/>
      <c r="E386" s="16">
        <f>SUM('Weekly Data'!G383:G386)/4</f>
        <v>2871</v>
      </c>
      <c r="F386" s="16">
        <f>SUM('Weekly Data'!H383:H386)/4</f>
        <v>651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9"/>
      <c r="R386" s="13">
        <v>36992</v>
      </c>
      <c r="S386" s="44"/>
      <c r="T386" s="44"/>
      <c r="U386" s="19"/>
      <c r="V386" s="44"/>
      <c r="W386" s="44"/>
      <c r="X386" s="39"/>
      <c r="Y386" s="39"/>
      <c r="Z386" s="39"/>
      <c r="AA386" s="40"/>
      <c r="AB386" s="44"/>
      <c r="AC386" s="39"/>
      <c r="AD386" s="40"/>
      <c r="AE386" s="44"/>
      <c r="AF386" s="39"/>
      <c r="AG386" s="40"/>
      <c r="AH386" s="44"/>
    </row>
    <row r="387" spans="1:34" x14ac:dyDescent="0.25">
      <c r="A387" s="105">
        <f t="shared" si="5"/>
        <v>36999</v>
      </c>
      <c r="B387" s="16"/>
      <c r="C387" s="16">
        <f>SUM('Weekly Data'!E384:E387)/4</f>
        <v>1746.75</v>
      </c>
      <c r="D387" s="16"/>
      <c r="E387" s="16">
        <f>SUM('Weekly Data'!G384:G387)/4</f>
        <v>2543.75</v>
      </c>
      <c r="F387" s="16">
        <f>SUM('Weekly Data'!H384:H387)/4</f>
        <v>458.25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9"/>
      <c r="R387" s="13">
        <v>36999</v>
      </c>
      <c r="S387" s="44"/>
      <c r="T387" s="44"/>
      <c r="U387" s="19"/>
      <c r="V387" s="44"/>
      <c r="W387" s="44"/>
      <c r="X387" s="39"/>
      <c r="Y387" s="39"/>
      <c r="Z387" s="39"/>
      <c r="AA387" s="40"/>
      <c r="AB387" s="44"/>
      <c r="AC387" s="39"/>
      <c r="AD387" s="40"/>
      <c r="AE387" s="44"/>
      <c r="AF387" s="39"/>
      <c r="AG387" s="40"/>
      <c r="AH387" s="44"/>
    </row>
    <row r="388" spans="1:34" x14ac:dyDescent="0.25">
      <c r="A388" s="105">
        <f t="shared" si="5"/>
        <v>37006</v>
      </c>
      <c r="B388" s="16"/>
      <c r="C388" s="16">
        <f>SUM('Weekly Data'!E385:E388)/4</f>
        <v>1874.75</v>
      </c>
      <c r="D388" s="16"/>
      <c r="E388" s="16">
        <f>SUM('Weekly Data'!G385:G388)/4</f>
        <v>2065</v>
      </c>
      <c r="F388" s="16">
        <f>SUM('Weekly Data'!H385:H388)/4</f>
        <v>276.75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9"/>
      <c r="R388" s="13">
        <v>37006</v>
      </c>
      <c r="S388" s="44"/>
      <c r="T388" s="44"/>
      <c r="U388" s="19"/>
      <c r="V388" s="44"/>
      <c r="W388" s="44"/>
      <c r="X388" s="39"/>
      <c r="Y388" s="39"/>
      <c r="Z388" s="39"/>
      <c r="AA388" s="40"/>
      <c r="AB388" s="44"/>
      <c r="AC388" s="39"/>
      <c r="AD388" s="40"/>
      <c r="AE388" s="44"/>
      <c r="AF388" s="39"/>
      <c r="AG388" s="40"/>
      <c r="AH388" s="44"/>
    </row>
    <row r="389" spans="1:34" x14ac:dyDescent="0.25">
      <c r="A389" s="105">
        <f t="shared" si="5"/>
        <v>37013</v>
      </c>
      <c r="B389" s="16"/>
      <c r="C389" s="16">
        <f>SUM('Weekly Data'!E386:E389)/4</f>
        <v>1943.75</v>
      </c>
      <c r="D389" s="16"/>
      <c r="E389" s="16">
        <f>SUM('Weekly Data'!G386:G389)/4</f>
        <v>1703.5</v>
      </c>
      <c r="F389" s="16">
        <f>SUM('Weekly Data'!H386:H389)/4</f>
        <v>182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9"/>
      <c r="R389" s="13">
        <v>37013</v>
      </c>
      <c r="S389" s="44"/>
      <c r="T389" s="44"/>
      <c r="U389" s="19"/>
      <c r="V389" s="44"/>
      <c r="W389" s="44"/>
      <c r="X389" s="39"/>
      <c r="Y389" s="39"/>
      <c r="Z389" s="39"/>
      <c r="AA389" s="40"/>
      <c r="AB389" s="44"/>
      <c r="AC389" s="39"/>
      <c r="AD389" s="40"/>
      <c r="AE389" s="44"/>
      <c r="AF389" s="39"/>
      <c r="AG389" s="40"/>
      <c r="AH389" s="44"/>
    </row>
    <row r="390" spans="1:34" x14ac:dyDescent="0.25">
      <c r="A390" s="105">
        <f t="shared" si="5"/>
        <v>37020</v>
      </c>
      <c r="B390" s="16"/>
      <c r="C390" s="16">
        <f>SUM('Weekly Data'!E387:E390)/4</f>
        <v>1870.25</v>
      </c>
      <c r="D390" s="16"/>
      <c r="E390" s="16">
        <f>SUM('Weekly Data'!G387:G390)/4</f>
        <v>1437.5</v>
      </c>
      <c r="F390" s="16">
        <f>SUM('Weekly Data'!H387:H390)/4</f>
        <v>104.75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9"/>
      <c r="R390" s="13">
        <v>37020</v>
      </c>
      <c r="S390" s="44"/>
      <c r="T390" s="44"/>
      <c r="U390" s="19"/>
      <c r="V390" s="44"/>
      <c r="W390" s="44"/>
      <c r="X390" s="39"/>
      <c r="Y390" s="39"/>
      <c r="Z390" s="39"/>
      <c r="AA390" s="40"/>
      <c r="AB390" s="44"/>
      <c r="AC390" s="39"/>
      <c r="AD390" s="40"/>
      <c r="AE390" s="44"/>
      <c r="AF390" s="39"/>
      <c r="AG390" s="40"/>
      <c r="AH390" s="44"/>
    </row>
    <row r="391" spans="1:34" x14ac:dyDescent="0.25">
      <c r="A391" s="105">
        <f t="shared" si="5"/>
        <v>37027</v>
      </c>
      <c r="B391" s="16"/>
      <c r="C391" s="16">
        <f>SUM('Weekly Data'!E388:E391)/4</f>
        <v>1629</v>
      </c>
      <c r="D391" s="16"/>
      <c r="E391" s="16">
        <f>SUM('Weekly Data'!G388:G391)/4</f>
        <v>1304.5</v>
      </c>
      <c r="F391" s="16">
        <f>SUM('Weekly Data'!H388:H391)/4</f>
        <v>97.5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9"/>
      <c r="R391" s="13">
        <v>37027</v>
      </c>
      <c r="S391" s="44"/>
      <c r="T391" s="44"/>
      <c r="U391" s="19"/>
      <c r="V391" s="44"/>
      <c r="W391" s="44"/>
      <c r="X391" s="39"/>
      <c r="Y391" s="39"/>
      <c r="Z391" s="39"/>
      <c r="AA391" s="40"/>
      <c r="AB391" s="44"/>
      <c r="AC391" s="39"/>
      <c r="AD391" s="40"/>
      <c r="AE391" s="44"/>
      <c r="AF391" s="39"/>
      <c r="AG391" s="40"/>
      <c r="AH391" s="44"/>
    </row>
    <row r="392" spans="1:34" x14ac:dyDescent="0.25">
      <c r="A392" s="105">
        <f t="shared" si="5"/>
        <v>37034</v>
      </c>
      <c r="B392" s="16"/>
      <c r="C392" s="16">
        <f>SUM('Weekly Data'!E389:E392)/4</f>
        <v>1364.5</v>
      </c>
      <c r="D392" s="16"/>
      <c r="E392" s="16">
        <f>SUM('Weekly Data'!G389:G392)/4</f>
        <v>1256.5</v>
      </c>
      <c r="F392" s="16">
        <f>SUM('Weekly Data'!H389:H392)/4</f>
        <v>183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9"/>
      <c r="R392" s="13">
        <v>37034</v>
      </c>
      <c r="S392" s="44"/>
      <c r="T392" s="44"/>
      <c r="U392" s="19"/>
      <c r="V392" s="44"/>
      <c r="W392" s="44"/>
      <c r="X392" s="39"/>
      <c r="Y392" s="39"/>
      <c r="Z392" s="39"/>
      <c r="AA392" s="40"/>
      <c r="AB392" s="44"/>
      <c r="AC392" s="39"/>
      <c r="AD392" s="40"/>
      <c r="AE392" s="44"/>
      <c r="AF392" s="39"/>
      <c r="AG392" s="40"/>
      <c r="AH392" s="44"/>
    </row>
    <row r="393" spans="1:34" x14ac:dyDescent="0.25">
      <c r="A393" s="105">
        <f t="shared" si="5"/>
        <v>37041</v>
      </c>
      <c r="B393" s="16"/>
      <c r="C393" s="16">
        <f>SUM('Weekly Data'!E390:E393)/4</f>
        <v>1260.75</v>
      </c>
      <c r="D393" s="16"/>
      <c r="E393" s="16">
        <f>SUM('Weekly Data'!G390:G393)/4</f>
        <v>1065.75</v>
      </c>
      <c r="F393" s="16">
        <f>SUM('Weekly Data'!H390:H393)/4</f>
        <v>183.75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9"/>
      <c r="R393" s="13">
        <v>37041</v>
      </c>
      <c r="S393" s="44"/>
      <c r="T393" s="44"/>
      <c r="U393" s="19"/>
      <c r="V393" s="44"/>
      <c r="W393" s="44"/>
      <c r="X393" s="39"/>
      <c r="Y393" s="39"/>
      <c r="Z393" s="39"/>
      <c r="AA393" s="40"/>
      <c r="AB393" s="44"/>
      <c r="AC393" s="39"/>
      <c r="AD393" s="40"/>
      <c r="AE393" s="44"/>
      <c r="AF393" s="39"/>
      <c r="AG393" s="40"/>
      <c r="AH393" s="44"/>
    </row>
    <row r="394" spans="1:34" x14ac:dyDescent="0.25">
      <c r="A394" s="105">
        <f t="shared" si="5"/>
        <v>37048</v>
      </c>
      <c r="B394" s="16"/>
      <c r="C394" s="16">
        <f>SUM('Weekly Data'!E391:E394)/4</f>
        <v>1173</v>
      </c>
      <c r="D394" s="16"/>
      <c r="E394" s="16">
        <f>SUM('Weekly Data'!G391:G394)/4</f>
        <v>1239</v>
      </c>
      <c r="F394" s="16">
        <f>SUM('Weekly Data'!H391:H394)/4</f>
        <v>192.25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9"/>
      <c r="R394" s="13">
        <v>37048</v>
      </c>
      <c r="S394" s="44"/>
      <c r="T394" s="44"/>
      <c r="U394" s="19"/>
      <c r="V394" s="44"/>
      <c r="W394" s="44"/>
      <c r="X394" s="39"/>
      <c r="Y394" s="39"/>
      <c r="Z394" s="39"/>
      <c r="AA394" s="40"/>
      <c r="AB394" s="44"/>
      <c r="AC394" s="39"/>
      <c r="AD394" s="40"/>
      <c r="AE394" s="44"/>
      <c r="AF394" s="39"/>
      <c r="AG394" s="40"/>
      <c r="AH394" s="44"/>
    </row>
    <row r="395" spans="1:34" x14ac:dyDescent="0.25">
      <c r="A395" s="105">
        <f t="shared" si="5"/>
        <v>37055</v>
      </c>
      <c r="B395" s="16"/>
      <c r="C395" s="16">
        <f>SUM('Weekly Data'!E392:E395)/4</f>
        <v>1272</v>
      </c>
      <c r="D395" s="16"/>
      <c r="E395" s="16">
        <f>SUM('Weekly Data'!G392:G395)/4</f>
        <v>1238.5</v>
      </c>
      <c r="F395" s="16">
        <f>SUM('Weekly Data'!H392:H395)/4</f>
        <v>157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9"/>
      <c r="R395" s="13">
        <v>37055</v>
      </c>
      <c r="S395" s="44"/>
      <c r="T395" s="44"/>
      <c r="U395" s="19"/>
      <c r="V395" s="44"/>
      <c r="W395" s="44"/>
      <c r="X395" s="39"/>
      <c r="Y395" s="39"/>
      <c r="Z395" s="39"/>
      <c r="AA395" s="40"/>
      <c r="AB395" s="44"/>
      <c r="AC395" s="39"/>
      <c r="AD395" s="40"/>
      <c r="AE395" s="44"/>
      <c r="AF395" s="39"/>
      <c r="AG395" s="40"/>
      <c r="AH395" s="44"/>
    </row>
    <row r="396" spans="1:34" x14ac:dyDescent="0.25">
      <c r="A396" s="105">
        <f t="shared" si="5"/>
        <v>37062</v>
      </c>
      <c r="B396" s="16"/>
      <c r="C396" s="16">
        <f>SUM('Weekly Data'!E393:E396)/4</f>
        <v>1250.5</v>
      </c>
      <c r="D396" s="16"/>
      <c r="E396" s="16">
        <f>SUM('Weekly Data'!G393:G396)/4</f>
        <v>1336.25</v>
      </c>
      <c r="F396" s="16">
        <f>SUM('Weekly Data'!H393:H396)/4</f>
        <v>85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9"/>
      <c r="R396" s="13">
        <v>37062</v>
      </c>
      <c r="S396" s="44"/>
      <c r="T396" s="44"/>
      <c r="U396" s="19"/>
      <c r="V396" s="44"/>
      <c r="W396" s="44"/>
      <c r="X396" s="39"/>
      <c r="Y396" s="39"/>
      <c r="Z396" s="39"/>
      <c r="AA396" s="40"/>
      <c r="AB396" s="44"/>
      <c r="AC396" s="39"/>
      <c r="AD396" s="40"/>
      <c r="AE396" s="44"/>
      <c r="AF396" s="39"/>
      <c r="AG396" s="40"/>
      <c r="AH396" s="44"/>
    </row>
    <row r="397" spans="1:34" x14ac:dyDescent="0.25">
      <c r="A397" s="105">
        <f t="shared" ref="A397:A460" si="6">A396+7</f>
        <v>37069</v>
      </c>
      <c r="B397" s="16"/>
      <c r="C397" s="16">
        <f>SUM('Weekly Data'!E394:E397)/4</f>
        <v>1517.75</v>
      </c>
      <c r="D397" s="16"/>
      <c r="E397" s="16">
        <f>SUM('Weekly Data'!G394:G397)/4</f>
        <v>1649.75</v>
      </c>
      <c r="F397" s="16">
        <f>SUM('Weekly Data'!H394:H397)/4</f>
        <v>253.5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9"/>
      <c r="R397" s="13">
        <v>37069</v>
      </c>
      <c r="S397" s="44"/>
      <c r="T397" s="44"/>
      <c r="U397" s="19"/>
      <c r="V397" s="44"/>
      <c r="W397" s="44"/>
      <c r="X397" s="39"/>
      <c r="Y397" s="39"/>
      <c r="Z397" s="39"/>
      <c r="AA397" s="40"/>
      <c r="AB397" s="44"/>
      <c r="AC397" s="39"/>
      <c r="AD397" s="40"/>
      <c r="AE397" s="44"/>
      <c r="AF397" s="39"/>
      <c r="AG397" s="40"/>
      <c r="AH397" s="44"/>
    </row>
    <row r="398" spans="1:34" x14ac:dyDescent="0.25">
      <c r="A398" s="105">
        <f t="shared" si="6"/>
        <v>37076</v>
      </c>
      <c r="B398" s="16"/>
      <c r="C398" s="16">
        <f>SUM('Weekly Data'!E395:E398)/4</f>
        <v>1762</v>
      </c>
      <c r="D398" s="16"/>
      <c r="E398" s="16">
        <f>SUM('Weekly Data'!G395:G398)/4</f>
        <v>1661</v>
      </c>
      <c r="F398" s="16">
        <f>SUM('Weekly Data'!H395:H398)/4</f>
        <v>250.25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9"/>
      <c r="R398" s="13">
        <v>37076</v>
      </c>
      <c r="S398" s="44"/>
      <c r="T398" s="44"/>
      <c r="U398" s="19"/>
      <c r="V398" s="44"/>
      <c r="W398" s="44"/>
      <c r="X398" s="39"/>
      <c r="Y398" s="39"/>
      <c r="Z398" s="39"/>
      <c r="AA398" s="40"/>
      <c r="AB398" s="44"/>
      <c r="AC398" s="39"/>
      <c r="AD398" s="40"/>
      <c r="AE398" s="44"/>
      <c r="AF398" s="39"/>
      <c r="AG398" s="40"/>
      <c r="AH398" s="44"/>
    </row>
    <row r="399" spans="1:34" x14ac:dyDescent="0.25">
      <c r="A399" s="105">
        <f t="shared" si="6"/>
        <v>37083</v>
      </c>
      <c r="B399" s="16"/>
      <c r="C399" s="16">
        <f>SUM('Weekly Data'!E396:E399)/4</f>
        <v>1580</v>
      </c>
      <c r="D399" s="16"/>
      <c r="E399" s="16">
        <f>SUM('Weekly Data'!G396:G399)/4</f>
        <v>1972</v>
      </c>
      <c r="F399" s="16">
        <f>SUM('Weekly Data'!H396:H399)/4</f>
        <v>313.75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9"/>
      <c r="R399" s="13">
        <v>37083</v>
      </c>
      <c r="S399" s="44"/>
      <c r="T399" s="44"/>
      <c r="U399" s="19"/>
      <c r="V399" s="44"/>
      <c r="W399" s="44"/>
      <c r="X399" s="39"/>
      <c r="Y399" s="39"/>
      <c r="Z399" s="39"/>
      <c r="AA399" s="40"/>
      <c r="AB399" s="44"/>
      <c r="AC399" s="39"/>
      <c r="AD399" s="40"/>
      <c r="AE399" s="44"/>
      <c r="AF399" s="39"/>
      <c r="AG399" s="40"/>
      <c r="AH399" s="44"/>
    </row>
    <row r="400" spans="1:34" x14ac:dyDescent="0.25">
      <c r="A400" s="105">
        <f t="shared" si="6"/>
        <v>37090</v>
      </c>
      <c r="B400" s="16"/>
      <c r="C400" s="16">
        <f>SUM('Weekly Data'!E397:E400)/4</f>
        <v>1533.5</v>
      </c>
      <c r="D400" s="16"/>
      <c r="E400" s="16">
        <f>SUM('Weekly Data'!G397:G400)/4</f>
        <v>2139.25</v>
      </c>
      <c r="F400" s="16">
        <f>SUM('Weekly Data'!H397:H400)/4</f>
        <v>405.75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9"/>
      <c r="R400" s="13">
        <v>37090</v>
      </c>
      <c r="S400" s="44"/>
      <c r="T400" s="44"/>
      <c r="U400" s="19"/>
      <c r="V400" s="44"/>
      <c r="W400" s="44"/>
      <c r="X400" s="39"/>
      <c r="Y400" s="39"/>
      <c r="Z400" s="39"/>
      <c r="AA400" s="40"/>
      <c r="AB400" s="44"/>
      <c r="AC400" s="39"/>
      <c r="AD400" s="40"/>
      <c r="AE400" s="44"/>
      <c r="AF400" s="39"/>
      <c r="AG400" s="40"/>
      <c r="AH400" s="44"/>
    </row>
    <row r="401" spans="1:34" x14ac:dyDescent="0.25">
      <c r="A401" s="105">
        <f t="shared" si="6"/>
        <v>37097</v>
      </c>
      <c r="B401" s="16"/>
      <c r="C401" s="16">
        <f>SUM('Weekly Data'!E398:E401)/4</f>
        <v>1243.75</v>
      </c>
      <c r="D401" s="16"/>
      <c r="E401" s="16">
        <f>SUM('Weekly Data'!G398:G401)/4</f>
        <v>2369</v>
      </c>
      <c r="F401" s="16">
        <f>SUM('Weekly Data'!H398:H401)/4</f>
        <v>243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9"/>
      <c r="R401" s="13">
        <v>37097</v>
      </c>
      <c r="S401" s="44"/>
      <c r="T401" s="44"/>
      <c r="U401" s="19"/>
      <c r="V401" s="44"/>
      <c r="W401" s="44"/>
      <c r="X401" s="39"/>
      <c r="Y401" s="39"/>
      <c r="Z401" s="39"/>
      <c r="AA401" s="40"/>
      <c r="AB401" s="44"/>
      <c r="AC401" s="39"/>
      <c r="AD401" s="40"/>
      <c r="AE401" s="44"/>
      <c r="AF401" s="39"/>
      <c r="AG401" s="40"/>
      <c r="AH401" s="44"/>
    </row>
    <row r="402" spans="1:34" x14ac:dyDescent="0.25">
      <c r="A402" s="105">
        <f t="shared" si="6"/>
        <v>37104</v>
      </c>
      <c r="B402" s="16"/>
      <c r="C402" s="16">
        <f>SUM('Weekly Data'!E399:E402)/4</f>
        <v>994.25</v>
      </c>
      <c r="D402" s="16"/>
      <c r="E402" s="16">
        <f>SUM('Weekly Data'!G399:G402)/4</f>
        <v>2347.5</v>
      </c>
      <c r="F402" s="16">
        <f>SUM('Weekly Data'!H399:H402)/4</f>
        <v>324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9"/>
      <c r="R402" s="13">
        <v>37104</v>
      </c>
      <c r="S402" s="44"/>
      <c r="T402" s="44"/>
      <c r="U402" s="19"/>
      <c r="V402" s="44"/>
      <c r="W402" s="44"/>
      <c r="X402" s="39"/>
      <c r="Y402" s="39"/>
      <c r="Z402" s="39"/>
      <c r="AA402" s="40"/>
      <c r="AB402" s="44"/>
      <c r="AC402" s="39"/>
      <c r="AD402" s="40"/>
      <c r="AE402" s="44"/>
      <c r="AF402" s="39"/>
      <c r="AG402" s="40"/>
      <c r="AH402" s="44"/>
    </row>
    <row r="403" spans="1:34" x14ac:dyDescent="0.25">
      <c r="A403" s="105">
        <f t="shared" si="6"/>
        <v>37111</v>
      </c>
      <c r="B403" s="16"/>
      <c r="C403" s="16">
        <f>SUM('Weekly Data'!E400:E403)/4</f>
        <v>1073.25</v>
      </c>
      <c r="D403" s="16"/>
      <c r="E403" s="16">
        <f>SUM('Weekly Data'!G400:G403)/4</f>
        <v>2351.75</v>
      </c>
      <c r="F403" s="16">
        <f>SUM('Weekly Data'!H400:H403)/4</f>
        <v>361.5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9"/>
      <c r="R403" s="13">
        <v>37111</v>
      </c>
      <c r="S403" s="44"/>
      <c r="T403" s="44"/>
      <c r="U403" s="19"/>
      <c r="V403" s="44"/>
      <c r="W403" s="44"/>
      <c r="X403" s="39"/>
      <c r="Y403" s="39"/>
      <c r="Z403" s="39"/>
      <c r="AA403" s="40"/>
      <c r="AB403" s="44"/>
      <c r="AC403" s="39"/>
      <c r="AD403" s="40"/>
      <c r="AE403" s="44"/>
      <c r="AF403" s="39"/>
      <c r="AG403" s="40"/>
      <c r="AH403" s="44"/>
    </row>
    <row r="404" spans="1:34" x14ac:dyDescent="0.25">
      <c r="A404" s="105">
        <f t="shared" si="6"/>
        <v>37118</v>
      </c>
      <c r="B404" s="16"/>
      <c r="C404" s="16">
        <f>SUM('Weekly Data'!E401:E404)/4</f>
        <v>1027</v>
      </c>
      <c r="D404" s="16"/>
      <c r="E404" s="16">
        <f>SUM('Weekly Data'!G401:G404)/4</f>
        <v>2164.75</v>
      </c>
      <c r="F404" s="16">
        <f>SUM('Weekly Data'!H401:H404)/4</f>
        <v>353.5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9"/>
      <c r="R404" s="13">
        <v>37118</v>
      </c>
      <c r="S404" s="44"/>
      <c r="T404" s="44"/>
      <c r="U404" s="19"/>
      <c r="V404" s="44"/>
      <c r="W404" s="44"/>
      <c r="X404" s="39"/>
      <c r="Y404" s="39"/>
      <c r="Z404" s="39"/>
      <c r="AA404" s="40"/>
      <c r="AB404" s="44"/>
      <c r="AC404" s="39"/>
      <c r="AD404" s="40"/>
      <c r="AE404" s="44"/>
      <c r="AF404" s="39"/>
      <c r="AG404" s="40"/>
      <c r="AH404" s="44"/>
    </row>
    <row r="405" spans="1:34" x14ac:dyDescent="0.25">
      <c r="A405" s="105">
        <f t="shared" si="6"/>
        <v>37125</v>
      </c>
      <c r="B405" s="16"/>
      <c r="C405" s="16">
        <f>SUM('Weekly Data'!E402:E405)/4</f>
        <v>1176.25</v>
      </c>
      <c r="D405" s="16"/>
      <c r="E405" s="16">
        <f>SUM('Weekly Data'!G402:G405)/4</f>
        <v>1941</v>
      </c>
      <c r="F405" s="16">
        <f>SUM('Weekly Data'!H402:H405)/4</f>
        <v>417.5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9"/>
      <c r="R405" s="13">
        <v>37125</v>
      </c>
      <c r="S405" s="44"/>
      <c r="T405" s="44"/>
      <c r="U405" s="19"/>
      <c r="V405" s="44"/>
      <c r="W405" s="44"/>
      <c r="X405" s="39"/>
      <c r="Y405" s="39"/>
      <c r="Z405" s="39"/>
      <c r="AA405" s="40"/>
      <c r="AB405" s="44"/>
      <c r="AC405" s="39"/>
      <c r="AD405" s="40"/>
      <c r="AE405" s="44"/>
      <c r="AF405" s="39"/>
      <c r="AG405" s="40"/>
      <c r="AH405" s="44"/>
    </row>
    <row r="406" spans="1:34" x14ac:dyDescent="0.25">
      <c r="A406" s="105">
        <f t="shared" si="6"/>
        <v>37132</v>
      </c>
      <c r="B406" s="16"/>
      <c r="C406" s="16">
        <f>SUM('Weekly Data'!E403:E406)/4</f>
        <v>1353</v>
      </c>
      <c r="D406" s="16"/>
      <c r="E406" s="16">
        <f>SUM('Weekly Data'!G403:G406)/4</f>
        <v>2030.25</v>
      </c>
      <c r="F406" s="16">
        <f>SUM('Weekly Data'!H403:H406)/4</f>
        <v>333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9"/>
      <c r="R406" s="13">
        <v>37132</v>
      </c>
      <c r="S406" s="44"/>
      <c r="T406" s="44"/>
      <c r="U406" s="19"/>
      <c r="V406" s="44"/>
      <c r="W406" s="44"/>
      <c r="X406" s="39"/>
      <c r="Y406" s="39"/>
      <c r="Z406" s="39"/>
      <c r="AA406" s="40"/>
      <c r="AB406" s="44"/>
      <c r="AC406" s="39"/>
      <c r="AD406" s="40"/>
      <c r="AE406" s="44"/>
      <c r="AF406" s="39"/>
      <c r="AG406" s="40"/>
      <c r="AH406" s="44"/>
    </row>
    <row r="407" spans="1:34" x14ac:dyDescent="0.25">
      <c r="A407" s="105">
        <f t="shared" si="6"/>
        <v>37139</v>
      </c>
      <c r="B407" s="16"/>
      <c r="C407" s="16">
        <f>SUM('Weekly Data'!E404:E407)/4</f>
        <v>1426</v>
      </c>
      <c r="D407" s="16"/>
      <c r="E407" s="16">
        <f>SUM('Weekly Data'!G404:G407)/4</f>
        <v>1887</v>
      </c>
      <c r="F407" s="16">
        <f>SUM('Weekly Data'!H404:H407)/4</f>
        <v>245.75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9"/>
      <c r="R407" s="13">
        <v>37139</v>
      </c>
      <c r="S407" s="44"/>
      <c r="T407" s="44"/>
      <c r="U407" s="19"/>
      <c r="V407" s="44"/>
      <c r="W407" s="44"/>
      <c r="X407" s="39"/>
      <c r="Y407" s="39"/>
      <c r="Z407" s="39"/>
      <c r="AA407" s="40"/>
      <c r="AB407" s="44"/>
      <c r="AC407" s="39"/>
      <c r="AD407" s="40"/>
      <c r="AE407" s="44"/>
      <c r="AF407" s="39"/>
      <c r="AG407" s="40"/>
      <c r="AH407" s="44"/>
    </row>
    <row r="408" spans="1:34" x14ac:dyDescent="0.25">
      <c r="A408" s="105">
        <f t="shared" si="6"/>
        <v>37146</v>
      </c>
      <c r="B408" s="16"/>
      <c r="C408" s="16">
        <f>SUM('Weekly Data'!E405:E408)/4</f>
        <v>1611.5</v>
      </c>
      <c r="D408" s="16"/>
      <c r="E408" s="16">
        <f>SUM('Weekly Data'!G405:G408)/4</f>
        <v>1854</v>
      </c>
      <c r="F408" s="16">
        <f>SUM('Weekly Data'!H405:H408)/4</f>
        <v>189.75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9"/>
      <c r="R408" s="13">
        <v>37146</v>
      </c>
      <c r="S408" s="44"/>
      <c r="T408" s="44"/>
      <c r="U408" s="19"/>
      <c r="V408" s="44"/>
      <c r="W408" s="44"/>
      <c r="X408" s="39"/>
      <c r="Y408" s="39"/>
      <c r="Z408" s="39"/>
      <c r="AA408" s="40"/>
      <c r="AB408" s="44"/>
      <c r="AC408" s="39"/>
      <c r="AD408" s="40"/>
      <c r="AE408" s="44"/>
      <c r="AF408" s="39"/>
      <c r="AG408" s="40"/>
      <c r="AH408" s="44"/>
    </row>
    <row r="409" spans="1:34" x14ac:dyDescent="0.25">
      <c r="A409" s="105">
        <f t="shared" si="6"/>
        <v>37153</v>
      </c>
      <c r="B409" s="16"/>
      <c r="C409" s="16">
        <f>SUM('Weekly Data'!E406:E409)/4</f>
        <v>1492.5</v>
      </c>
      <c r="D409" s="16"/>
      <c r="E409" s="16">
        <f>SUM('Weekly Data'!G406:G409)/4</f>
        <v>1769.25</v>
      </c>
      <c r="F409" s="16">
        <f>SUM('Weekly Data'!H406:H409)/4</f>
        <v>173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9"/>
      <c r="R409" s="13">
        <v>37153</v>
      </c>
      <c r="S409" s="44"/>
      <c r="T409" s="44"/>
      <c r="U409" s="19"/>
      <c r="V409" s="44"/>
      <c r="W409" s="44"/>
      <c r="X409" s="39"/>
      <c r="Y409" s="39"/>
      <c r="Z409" s="39"/>
      <c r="AA409" s="40"/>
      <c r="AB409" s="44"/>
      <c r="AC409" s="39"/>
      <c r="AD409" s="40"/>
      <c r="AE409" s="44"/>
      <c r="AF409" s="39"/>
      <c r="AG409" s="40"/>
      <c r="AH409" s="44"/>
    </row>
    <row r="410" spans="1:34" x14ac:dyDescent="0.25">
      <c r="A410" s="105">
        <f t="shared" si="6"/>
        <v>37160</v>
      </c>
      <c r="B410" s="16"/>
      <c r="C410" s="16">
        <f>SUM('Weekly Data'!E407:E410)/4</f>
        <v>1488</v>
      </c>
      <c r="D410" s="16"/>
      <c r="E410" s="16">
        <f>SUM('Weekly Data'!G407:G410)/4</f>
        <v>1665.25</v>
      </c>
      <c r="F410" s="16">
        <f>SUM('Weekly Data'!H407:H410)/4</f>
        <v>245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9"/>
      <c r="R410" s="13">
        <v>37160</v>
      </c>
      <c r="S410" s="44"/>
      <c r="T410" s="44"/>
      <c r="U410" s="19"/>
      <c r="V410" s="44"/>
      <c r="W410" s="44"/>
      <c r="X410" s="39"/>
      <c r="Y410" s="39"/>
      <c r="Z410" s="39"/>
      <c r="AA410" s="40"/>
      <c r="AB410" s="44"/>
      <c r="AC410" s="39"/>
      <c r="AD410" s="40"/>
      <c r="AE410" s="44"/>
      <c r="AF410" s="39"/>
      <c r="AG410" s="40"/>
      <c r="AH410" s="44"/>
    </row>
    <row r="411" spans="1:34" x14ac:dyDescent="0.25">
      <c r="A411" s="105">
        <f t="shared" si="6"/>
        <v>37167</v>
      </c>
      <c r="B411" s="16"/>
      <c r="C411" s="16">
        <f>SUM('Weekly Data'!E408:E411)/4</f>
        <v>1458.25</v>
      </c>
      <c r="D411" s="16"/>
      <c r="E411" s="16">
        <f>SUM('Weekly Data'!G408:G411)/4</f>
        <v>1628</v>
      </c>
      <c r="F411" s="16">
        <f>SUM('Weekly Data'!H408:H411)/4</f>
        <v>290.5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9"/>
      <c r="R411" s="13">
        <v>37167</v>
      </c>
      <c r="S411" s="44"/>
      <c r="T411" s="44"/>
      <c r="U411" s="19"/>
      <c r="V411" s="44"/>
      <c r="W411" s="44"/>
      <c r="X411" s="39"/>
      <c r="Y411" s="39"/>
      <c r="Z411" s="39"/>
      <c r="AA411" s="40"/>
      <c r="AB411" s="44"/>
      <c r="AC411" s="39"/>
      <c r="AD411" s="40"/>
      <c r="AE411" s="44"/>
      <c r="AF411" s="39"/>
      <c r="AG411" s="40"/>
      <c r="AH411" s="44"/>
    </row>
    <row r="412" spans="1:34" x14ac:dyDescent="0.25">
      <c r="A412" s="105">
        <f t="shared" si="6"/>
        <v>37174</v>
      </c>
      <c r="B412" s="16"/>
      <c r="C412" s="16">
        <f>SUM('Weekly Data'!E409:E412)/4</f>
        <v>1633.75</v>
      </c>
      <c r="D412" s="16"/>
      <c r="E412" s="16">
        <f>SUM('Weekly Data'!G409:G412)/4</f>
        <v>1948.25</v>
      </c>
      <c r="F412" s="16">
        <f>SUM('Weekly Data'!H409:H412)/4</f>
        <v>366.75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9"/>
      <c r="R412" s="13">
        <v>37174</v>
      </c>
      <c r="S412" s="44"/>
      <c r="T412" s="44"/>
      <c r="U412" s="19"/>
      <c r="V412" s="44"/>
      <c r="W412" s="44"/>
      <c r="X412" s="39"/>
      <c r="Y412" s="39"/>
      <c r="Z412" s="39"/>
      <c r="AA412" s="40"/>
      <c r="AB412" s="44"/>
      <c r="AC412" s="39"/>
      <c r="AD412" s="40"/>
      <c r="AE412" s="44"/>
      <c r="AF412" s="39"/>
      <c r="AG412" s="40"/>
      <c r="AH412" s="44"/>
    </row>
    <row r="413" spans="1:34" x14ac:dyDescent="0.25">
      <c r="A413" s="105">
        <f t="shared" si="6"/>
        <v>37181</v>
      </c>
      <c r="B413" s="16"/>
      <c r="C413" s="16">
        <f>SUM('Weekly Data'!E410:E413)/4</f>
        <v>1732.25</v>
      </c>
      <c r="D413" s="16"/>
      <c r="E413" s="16">
        <f>SUM('Weekly Data'!G410:G413)/4</f>
        <v>2283</v>
      </c>
      <c r="F413" s="16">
        <f>SUM('Weekly Data'!H410:H413)/4</f>
        <v>480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9"/>
      <c r="R413" s="13">
        <v>37181</v>
      </c>
      <c r="S413" s="44"/>
      <c r="T413" s="44"/>
      <c r="U413" s="19"/>
      <c r="V413" s="44"/>
      <c r="W413" s="44"/>
      <c r="X413" s="39"/>
      <c r="Y413" s="39"/>
      <c r="Z413" s="39"/>
      <c r="AA413" s="40"/>
      <c r="AB413" s="44"/>
      <c r="AC413" s="39"/>
      <c r="AD413" s="40"/>
      <c r="AE413" s="44"/>
      <c r="AF413" s="39"/>
      <c r="AG413" s="40"/>
      <c r="AH413" s="44"/>
    </row>
    <row r="414" spans="1:34" x14ac:dyDescent="0.25">
      <c r="A414" s="105">
        <f t="shared" si="6"/>
        <v>37188</v>
      </c>
      <c r="B414" s="16"/>
      <c r="C414" s="16">
        <f>SUM('Weekly Data'!E411:E414)/4</f>
        <v>1616</v>
      </c>
      <c r="D414" s="16"/>
      <c r="E414" s="16">
        <f>SUM('Weekly Data'!G411:G414)/4</f>
        <v>2616.5</v>
      </c>
      <c r="F414" s="16">
        <f>SUM('Weekly Data'!H411:H414)/4</f>
        <v>626.75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9"/>
      <c r="R414" s="13">
        <v>37188</v>
      </c>
      <c r="S414" s="44"/>
      <c r="T414" s="44"/>
      <c r="U414" s="19"/>
      <c r="V414" s="44"/>
      <c r="W414" s="44"/>
      <c r="X414" s="39"/>
      <c r="Y414" s="39"/>
      <c r="Z414" s="39"/>
      <c r="AA414" s="40"/>
      <c r="AB414" s="44"/>
      <c r="AC414" s="39"/>
      <c r="AD414" s="40"/>
      <c r="AE414" s="44"/>
      <c r="AF414" s="39"/>
      <c r="AG414" s="40"/>
      <c r="AH414" s="44"/>
    </row>
    <row r="415" spans="1:34" x14ac:dyDescent="0.25">
      <c r="A415" s="105">
        <f t="shared" si="6"/>
        <v>37195</v>
      </c>
      <c r="B415" s="16"/>
      <c r="C415" s="16">
        <f>SUM('Weekly Data'!E412:E415)/4</f>
        <v>1831</v>
      </c>
      <c r="D415" s="16"/>
      <c r="E415" s="16">
        <f>SUM('Weekly Data'!G412:G415)/4</f>
        <v>3122.25</v>
      </c>
      <c r="F415" s="16">
        <f>SUM('Weekly Data'!H412:H415)/4</f>
        <v>864.25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9"/>
      <c r="R415" s="13">
        <v>37195</v>
      </c>
      <c r="S415" s="44"/>
      <c r="T415" s="44"/>
      <c r="U415" s="19"/>
      <c r="V415" s="44"/>
      <c r="W415" s="44"/>
      <c r="X415" s="39"/>
      <c r="Y415" s="39"/>
      <c r="Z415" s="39"/>
      <c r="AA415" s="40"/>
      <c r="AB415" s="44"/>
      <c r="AC415" s="39"/>
      <c r="AD415" s="40"/>
      <c r="AE415" s="44"/>
      <c r="AF415" s="39"/>
      <c r="AG415" s="40"/>
      <c r="AH415" s="44"/>
    </row>
    <row r="416" spans="1:34" x14ac:dyDescent="0.25">
      <c r="A416" s="105">
        <f t="shared" si="6"/>
        <v>37202</v>
      </c>
      <c r="B416" s="16"/>
      <c r="C416" s="16">
        <f>SUM('Weekly Data'!E413:E416)/4</f>
        <v>1685.75</v>
      </c>
      <c r="D416" s="16"/>
      <c r="E416" s="16">
        <f>SUM('Weekly Data'!G413:G416)/4</f>
        <v>3241</v>
      </c>
      <c r="F416" s="16">
        <f>SUM('Weekly Data'!H413:H416)/4</f>
        <v>867.75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9"/>
      <c r="R416" s="13">
        <v>37202</v>
      </c>
      <c r="S416" s="44"/>
      <c r="T416" s="44"/>
      <c r="U416" s="19"/>
      <c r="V416" s="44"/>
      <c r="W416" s="44"/>
      <c r="X416" s="39"/>
      <c r="Y416" s="39"/>
      <c r="Z416" s="39"/>
      <c r="AA416" s="40"/>
      <c r="AB416" s="44"/>
      <c r="AC416" s="39"/>
      <c r="AD416" s="40"/>
      <c r="AE416" s="44"/>
      <c r="AF416" s="39"/>
      <c r="AG416" s="40"/>
      <c r="AH416" s="44"/>
    </row>
    <row r="417" spans="1:34" x14ac:dyDescent="0.25">
      <c r="A417" s="105">
        <f t="shared" si="6"/>
        <v>37209</v>
      </c>
      <c r="B417" s="16"/>
      <c r="C417" s="16">
        <f>SUM('Weekly Data'!E414:E417)/4</f>
        <v>1880</v>
      </c>
      <c r="D417" s="16"/>
      <c r="E417" s="16">
        <f>SUM('Weekly Data'!G414:G417)/4</f>
        <v>3027.5</v>
      </c>
      <c r="F417" s="16">
        <f>SUM('Weekly Data'!H414:H417)/4</f>
        <v>772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9"/>
      <c r="R417" s="13">
        <v>37209</v>
      </c>
      <c r="S417" s="44"/>
      <c r="T417" s="44"/>
      <c r="U417" s="19"/>
      <c r="V417" s="44"/>
      <c r="W417" s="44"/>
      <c r="X417" s="39"/>
      <c r="Y417" s="39"/>
      <c r="Z417" s="39"/>
      <c r="AA417" s="40"/>
      <c r="AB417" s="44"/>
      <c r="AC417" s="39"/>
      <c r="AD417" s="40"/>
      <c r="AE417" s="44"/>
      <c r="AF417" s="39"/>
      <c r="AG417" s="40"/>
      <c r="AH417" s="44"/>
    </row>
    <row r="418" spans="1:34" x14ac:dyDescent="0.25">
      <c r="A418" s="105">
        <f t="shared" si="6"/>
        <v>37216</v>
      </c>
      <c r="B418" s="16"/>
      <c r="C418" s="16">
        <f>SUM('Weekly Data'!E415:E418)/4</f>
        <v>2099.5</v>
      </c>
      <c r="D418" s="16"/>
      <c r="E418" s="16">
        <f>SUM('Weekly Data'!G415:G418)/4</f>
        <v>2832.5</v>
      </c>
      <c r="F418" s="16">
        <f>SUM('Weekly Data'!H415:H418)/4</f>
        <v>759.25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9"/>
      <c r="R418" s="13">
        <v>37216</v>
      </c>
      <c r="S418" s="44"/>
      <c r="T418" s="44"/>
      <c r="U418" s="19"/>
      <c r="V418" s="44"/>
      <c r="W418" s="44"/>
      <c r="X418" s="39"/>
      <c r="Y418" s="39"/>
      <c r="Z418" s="39"/>
      <c r="AA418" s="40"/>
      <c r="AB418" s="44"/>
      <c r="AC418" s="39"/>
      <c r="AD418" s="40"/>
      <c r="AE418" s="44"/>
      <c r="AF418" s="39"/>
      <c r="AG418" s="40"/>
      <c r="AH418" s="44"/>
    </row>
    <row r="419" spans="1:34" x14ac:dyDescent="0.25">
      <c r="A419" s="105">
        <f t="shared" si="6"/>
        <v>37223</v>
      </c>
      <c r="B419" s="16"/>
      <c r="C419" s="16">
        <f>SUM('Weekly Data'!E416:E419)/4</f>
        <v>1968</v>
      </c>
      <c r="D419" s="16"/>
      <c r="E419" s="16">
        <f>SUM('Weekly Data'!G416:G419)/4</f>
        <v>2326.25</v>
      </c>
      <c r="F419" s="16">
        <f>SUM('Weekly Data'!H416:H419)/4</f>
        <v>582.5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9"/>
      <c r="R419" s="13">
        <v>37223</v>
      </c>
      <c r="S419" s="44"/>
      <c r="T419" s="44"/>
      <c r="U419" s="19"/>
      <c r="V419" s="44"/>
      <c r="W419" s="44"/>
      <c r="X419" s="39"/>
      <c r="Y419" s="39"/>
      <c r="Z419" s="39"/>
      <c r="AA419" s="40"/>
      <c r="AB419" s="44"/>
      <c r="AC419" s="39"/>
      <c r="AD419" s="40"/>
      <c r="AE419" s="44"/>
      <c r="AF419" s="39"/>
      <c r="AG419" s="40"/>
      <c r="AH419" s="44"/>
    </row>
    <row r="420" spans="1:34" x14ac:dyDescent="0.25">
      <c r="A420" s="105">
        <f t="shared" si="6"/>
        <v>37230</v>
      </c>
      <c r="B420" s="16"/>
      <c r="C420" s="16">
        <f>SUM('Weekly Data'!E417:E420)/4</f>
        <v>2136.25</v>
      </c>
      <c r="D420" s="16"/>
      <c r="E420" s="16">
        <f>SUM('Weekly Data'!G417:G420)/4</f>
        <v>1921.5</v>
      </c>
      <c r="F420" s="16">
        <f>SUM('Weekly Data'!H417:H420)/4</f>
        <v>600.5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9"/>
      <c r="R420" s="13">
        <v>37230</v>
      </c>
      <c r="S420" s="44"/>
      <c r="T420" s="44"/>
      <c r="U420" s="19"/>
      <c r="V420" s="44"/>
      <c r="W420" s="44"/>
      <c r="X420" s="39"/>
      <c r="Y420" s="39"/>
      <c r="Z420" s="39"/>
      <c r="AA420" s="40"/>
      <c r="AB420" s="44"/>
      <c r="AC420" s="39"/>
      <c r="AD420" s="40"/>
      <c r="AE420" s="44"/>
      <c r="AF420" s="39"/>
      <c r="AG420" s="40"/>
      <c r="AH420" s="44"/>
    </row>
    <row r="421" spans="1:34" x14ac:dyDescent="0.25">
      <c r="A421" s="105">
        <f t="shared" si="6"/>
        <v>37237</v>
      </c>
      <c r="B421" s="16"/>
      <c r="C421" s="16">
        <f>SUM('Weekly Data'!E418:E421)/4</f>
        <v>2084</v>
      </c>
      <c r="D421" s="16"/>
      <c r="E421" s="16">
        <f>SUM('Weekly Data'!G418:G421)/4</f>
        <v>1813.75</v>
      </c>
      <c r="F421" s="16">
        <f>SUM('Weekly Data'!H418:H421)/4</f>
        <v>683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9"/>
      <c r="R421" s="13">
        <v>37237</v>
      </c>
      <c r="S421" s="44"/>
      <c r="T421" s="44"/>
      <c r="U421" s="19"/>
      <c r="V421" s="44"/>
      <c r="W421" s="44"/>
      <c r="X421" s="39"/>
      <c r="Y421" s="39"/>
      <c r="Z421" s="39"/>
      <c r="AA421" s="40"/>
      <c r="AB421" s="44"/>
      <c r="AC421" s="39"/>
      <c r="AD421" s="40"/>
      <c r="AE421" s="44"/>
      <c r="AF421" s="39"/>
      <c r="AG421" s="40"/>
      <c r="AH421" s="44"/>
    </row>
    <row r="422" spans="1:34" x14ac:dyDescent="0.25">
      <c r="A422" s="105">
        <f t="shared" si="6"/>
        <v>37244</v>
      </c>
      <c r="B422" s="16"/>
      <c r="C422" s="16">
        <f>SUM('Weekly Data'!E419:E422)/4</f>
        <v>1983</v>
      </c>
      <c r="D422" s="16"/>
      <c r="E422" s="16">
        <f>SUM('Weekly Data'!G419:G422)/4</f>
        <v>1707.75</v>
      </c>
      <c r="F422" s="16">
        <f>SUM('Weekly Data'!H419:H422)/4</f>
        <v>572.5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9"/>
      <c r="R422" s="13">
        <v>37244</v>
      </c>
      <c r="S422" s="44"/>
      <c r="T422" s="44"/>
      <c r="U422" s="19"/>
      <c r="V422" s="44"/>
      <c r="W422" s="44"/>
      <c r="X422" s="39"/>
      <c r="Y422" s="39"/>
      <c r="Z422" s="39"/>
      <c r="AA422" s="40"/>
      <c r="AB422" s="44"/>
      <c r="AC422" s="39"/>
      <c r="AD422" s="40"/>
      <c r="AE422" s="44"/>
      <c r="AF422" s="39"/>
      <c r="AG422" s="40"/>
      <c r="AH422" s="44"/>
    </row>
    <row r="423" spans="1:34" x14ac:dyDescent="0.25">
      <c r="A423" s="105">
        <f t="shared" si="6"/>
        <v>37251</v>
      </c>
      <c r="B423" s="16"/>
      <c r="C423" s="16">
        <f>SUM('Weekly Data'!E420:E423)/4</f>
        <v>1919.5</v>
      </c>
      <c r="D423" s="16"/>
      <c r="E423" s="16">
        <f>SUM('Weekly Data'!G420:G423)/4</f>
        <v>1875.5</v>
      </c>
      <c r="F423" s="16">
        <f>SUM('Weekly Data'!H420:H423)/4</f>
        <v>585.25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9"/>
      <c r="R423" s="13">
        <v>37251</v>
      </c>
      <c r="S423" s="44"/>
      <c r="T423" s="44"/>
      <c r="U423" s="19"/>
      <c r="V423" s="44"/>
      <c r="W423" s="44"/>
      <c r="X423" s="39"/>
      <c r="Y423" s="39"/>
      <c r="Z423" s="39"/>
      <c r="AA423" s="40"/>
      <c r="AB423" s="44"/>
      <c r="AC423" s="39"/>
      <c r="AD423" s="40"/>
      <c r="AE423" s="44"/>
      <c r="AF423" s="39"/>
      <c r="AG423" s="40"/>
      <c r="AH423" s="44"/>
    </row>
    <row r="424" spans="1:34" x14ac:dyDescent="0.25">
      <c r="A424" s="105">
        <f t="shared" si="6"/>
        <v>37258</v>
      </c>
      <c r="B424" s="16"/>
      <c r="C424" s="16">
        <f>SUM('Weekly Data'!E421:E424)/4</f>
        <v>1658.5</v>
      </c>
      <c r="D424" s="16"/>
      <c r="E424" s="16">
        <f>SUM('Weekly Data'!G421:G424)/4</f>
        <v>1730.5</v>
      </c>
      <c r="F424" s="16">
        <f>SUM('Weekly Data'!H421:H424)/4</f>
        <v>613.25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9"/>
      <c r="R424" s="34">
        <v>37258</v>
      </c>
      <c r="S424" s="44"/>
      <c r="T424" s="44"/>
      <c r="U424" s="19"/>
      <c r="V424" s="44"/>
      <c r="W424" s="44"/>
      <c r="X424" s="39"/>
      <c r="Y424" s="39"/>
      <c r="Z424" s="39"/>
      <c r="AA424" s="40"/>
      <c r="AB424" s="44"/>
      <c r="AC424" s="39"/>
      <c r="AD424" s="40"/>
      <c r="AE424" s="44"/>
      <c r="AF424" s="39"/>
      <c r="AG424" s="40"/>
      <c r="AH424" s="44"/>
    </row>
    <row r="425" spans="1:34" x14ac:dyDescent="0.25">
      <c r="A425" s="105">
        <f t="shared" si="6"/>
        <v>37265</v>
      </c>
      <c r="B425" s="16"/>
      <c r="C425" s="16">
        <f>SUM('Weekly Data'!E422:E425)/4</f>
        <v>1710.25</v>
      </c>
      <c r="D425" s="16"/>
      <c r="E425" s="16">
        <f>SUM('Weekly Data'!G422:G425)/4</f>
        <v>1831.75</v>
      </c>
      <c r="F425" s="16">
        <f>SUM('Weekly Data'!H422:H425)/4</f>
        <v>694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9"/>
      <c r="R425" s="13">
        <v>37265</v>
      </c>
      <c r="S425" s="44"/>
      <c r="T425" s="44"/>
      <c r="U425" s="19"/>
      <c r="V425" s="44"/>
      <c r="W425" s="44"/>
      <c r="X425" s="39"/>
      <c r="Y425" s="39"/>
      <c r="Z425" s="39"/>
      <c r="AA425" s="40"/>
      <c r="AB425" s="44"/>
      <c r="AC425" s="39"/>
      <c r="AD425" s="40"/>
      <c r="AE425" s="44"/>
      <c r="AF425" s="39"/>
      <c r="AG425" s="40"/>
      <c r="AH425" s="44"/>
    </row>
    <row r="426" spans="1:34" x14ac:dyDescent="0.25">
      <c r="A426" s="105">
        <f t="shared" si="6"/>
        <v>37272</v>
      </c>
      <c r="B426" s="16"/>
      <c r="C426" s="16">
        <f>SUM('Weekly Data'!E423:E426)/4</f>
        <v>1696.5</v>
      </c>
      <c r="D426" s="16"/>
      <c r="E426" s="16">
        <f>SUM('Weekly Data'!G423:G426)/4</f>
        <v>1711.5</v>
      </c>
      <c r="F426" s="16">
        <f>SUM('Weekly Data'!H423:H426)/4</f>
        <v>894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9"/>
      <c r="R426" s="13">
        <v>37272</v>
      </c>
      <c r="S426" s="44"/>
      <c r="T426" s="44"/>
      <c r="U426" s="19"/>
      <c r="V426" s="44"/>
      <c r="W426" s="44"/>
      <c r="X426" s="39"/>
      <c r="Y426" s="39"/>
      <c r="Z426" s="39"/>
      <c r="AA426" s="40"/>
      <c r="AB426" s="44"/>
      <c r="AC426" s="39"/>
      <c r="AD426" s="40"/>
      <c r="AE426" s="44"/>
      <c r="AF426" s="39"/>
      <c r="AG426" s="40"/>
      <c r="AH426" s="44"/>
    </row>
    <row r="427" spans="1:34" x14ac:dyDescent="0.25">
      <c r="A427" s="105">
        <f t="shared" si="6"/>
        <v>37279</v>
      </c>
      <c r="B427" s="16"/>
      <c r="C427" s="16">
        <f>SUM('Weekly Data'!E424:E427)/4</f>
        <v>1728.75</v>
      </c>
      <c r="D427" s="16">
        <f>SUM('Weekly Data'!F424:F427)/4</f>
        <v>459</v>
      </c>
      <c r="E427" s="16">
        <f>SUM('Weekly Data'!G424:G427)/4</f>
        <v>1479</v>
      </c>
      <c r="F427" s="16">
        <f>SUM('Weekly Data'!H424:H427)/4</f>
        <v>988.75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9"/>
      <c r="R427" s="13">
        <v>37279</v>
      </c>
      <c r="S427" s="44"/>
      <c r="T427" s="44"/>
      <c r="U427" s="19"/>
      <c r="V427" s="44"/>
      <c r="W427" s="44"/>
      <c r="X427" s="39"/>
      <c r="Y427" s="39"/>
      <c r="Z427" s="39"/>
      <c r="AA427" s="40"/>
      <c r="AB427" s="44"/>
      <c r="AC427" s="39"/>
      <c r="AD427" s="40"/>
      <c r="AE427" s="44"/>
      <c r="AF427" s="39"/>
      <c r="AG427" s="40"/>
      <c r="AH427" s="44"/>
    </row>
    <row r="428" spans="1:34" x14ac:dyDescent="0.25">
      <c r="A428" s="105">
        <f t="shared" si="6"/>
        <v>37286</v>
      </c>
      <c r="B428" s="16"/>
      <c r="C428" s="16">
        <f>SUM('Weekly Data'!E425:E428)/4</f>
        <v>2135</v>
      </c>
      <c r="D428" s="16">
        <f>SUM('Weekly Data'!F425:F428)/4</f>
        <v>525.25</v>
      </c>
      <c r="E428" s="16">
        <f>SUM('Weekly Data'!G425:G428)/4</f>
        <v>1763.5</v>
      </c>
      <c r="F428" s="16">
        <f>SUM('Weekly Data'!H425:H428)/4</f>
        <v>1027.75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9"/>
      <c r="R428" s="13">
        <v>37286</v>
      </c>
      <c r="S428" s="44"/>
      <c r="T428" s="44"/>
      <c r="U428" s="19"/>
      <c r="V428" s="44"/>
      <c r="W428" s="44"/>
      <c r="X428" s="39"/>
      <c r="Y428" s="39"/>
      <c r="Z428" s="39"/>
      <c r="AA428" s="40"/>
      <c r="AB428" s="44"/>
      <c r="AC428" s="39"/>
      <c r="AD428" s="40"/>
      <c r="AE428" s="44"/>
      <c r="AF428" s="39"/>
      <c r="AG428" s="40"/>
      <c r="AH428" s="44"/>
    </row>
    <row r="429" spans="1:34" x14ac:dyDescent="0.25">
      <c r="A429" s="105">
        <f t="shared" si="6"/>
        <v>37293</v>
      </c>
      <c r="B429" s="16"/>
      <c r="C429" s="16">
        <f>SUM('Weekly Data'!E426:E429)/4</f>
        <v>1909</v>
      </c>
      <c r="D429" s="16">
        <f>SUM('Weekly Data'!F426:F429)/4</f>
        <v>527.25</v>
      </c>
      <c r="E429" s="16">
        <f>SUM('Weekly Data'!G426:G429)/4</f>
        <v>2140.25</v>
      </c>
      <c r="F429" s="16">
        <f>SUM('Weekly Data'!H426:H429)/4</f>
        <v>952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9"/>
      <c r="R429" s="13">
        <v>37293</v>
      </c>
      <c r="S429" s="44"/>
      <c r="T429" s="44"/>
      <c r="U429" s="19"/>
      <c r="V429" s="44"/>
      <c r="W429" s="44"/>
      <c r="X429" s="39"/>
      <c r="Y429" s="39"/>
      <c r="Z429" s="39"/>
      <c r="AA429" s="40"/>
      <c r="AB429" s="44"/>
      <c r="AC429" s="39"/>
      <c r="AD429" s="40"/>
      <c r="AE429" s="44"/>
      <c r="AF429" s="39"/>
      <c r="AG429" s="40"/>
      <c r="AH429" s="44"/>
    </row>
    <row r="430" spans="1:34" x14ac:dyDescent="0.25">
      <c r="A430" s="105">
        <f t="shared" si="6"/>
        <v>37300</v>
      </c>
      <c r="B430" s="16"/>
      <c r="C430" s="16">
        <f>SUM('Weekly Data'!E427:E430)/4</f>
        <v>2218</v>
      </c>
      <c r="D430" s="16">
        <f>SUM('Weekly Data'!F427:F430)/4</f>
        <v>524.75</v>
      </c>
      <c r="E430" s="16">
        <f>SUM('Weekly Data'!G427:G430)/4</f>
        <v>2851.25</v>
      </c>
      <c r="F430" s="16">
        <f>SUM('Weekly Data'!H427:H430)/4</f>
        <v>749.5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9"/>
      <c r="R430" s="13">
        <v>37300</v>
      </c>
      <c r="S430" s="44"/>
      <c r="T430" s="44"/>
      <c r="U430" s="19"/>
      <c r="V430" s="44"/>
      <c r="W430" s="44"/>
      <c r="X430" s="39"/>
      <c r="Y430" s="39"/>
      <c r="Z430" s="39"/>
      <c r="AA430" s="40"/>
      <c r="AB430" s="44"/>
      <c r="AC430" s="39"/>
      <c r="AD430" s="40"/>
      <c r="AE430" s="44"/>
      <c r="AF430" s="39"/>
      <c r="AG430" s="40"/>
      <c r="AH430" s="44"/>
    </row>
    <row r="431" spans="1:34" x14ac:dyDescent="0.25">
      <c r="A431" s="105">
        <f t="shared" si="6"/>
        <v>37307</v>
      </c>
      <c r="B431" s="16"/>
      <c r="C431" s="16">
        <f>SUM('Weekly Data'!E428:E431)/4</f>
        <v>2365.5</v>
      </c>
      <c r="D431" s="16">
        <f>SUM('Weekly Data'!F428:F431)/4</f>
        <v>470.5</v>
      </c>
      <c r="E431" s="16">
        <f>SUM('Weekly Data'!G428:G431)/4</f>
        <v>3143</v>
      </c>
      <c r="F431" s="16">
        <f>SUM('Weekly Data'!H428:H431)/4</f>
        <v>659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9"/>
      <c r="R431" s="13">
        <v>37307</v>
      </c>
      <c r="S431" s="44"/>
      <c r="T431" s="44"/>
      <c r="U431" s="19"/>
      <c r="V431" s="44"/>
      <c r="W431" s="44"/>
      <c r="X431" s="39"/>
      <c r="Y431" s="39"/>
      <c r="Z431" s="39"/>
      <c r="AA431" s="40"/>
      <c r="AB431" s="44"/>
      <c r="AC431" s="39"/>
      <c r="AD431" s="40"/>
      <c r="AE431" s="44"/>
      <c r="AF431" s="39"/>
      <c r="AG431" s="40"/>
      <c r="AH431" s="44"/>
    </row>
    <row r="432" spans="1:34" x14ac:dyDescent="0.25">
      <c r="A432" s="105">
        <f t="shared" si="6"/>
        <v>37314</v>
      </c>
      <c r="B432" s="16"/>
      <c r="C432" s="16">
        <f>SUM('Weekly Data'!E429:E432)/4</f>
        <v>2134.75</v>
      </c>
      <c r="D432" s="16">
        <f>SUM('Weekly Data'!F429:F432)/4</f>
        <v>470</v>
      </c>
      <c r="E432" s="16">
        <f>SUM('Weekly Data'!G429:G432)/4</f>
        <v>3203.75</v>
      </c>
      <c r="F432" s="16">
        <f>SUM('Weekly Data'!H429:H432)/4</f>
        <v>659.5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9"/>
      <c r="R432" s="13">
        <v>37314</v>
      </c>
      <c r="S432" s="44"/>
      <c r="T432" s="44"/>
      <c r="U432" s="19"/>
      <c r="V432" s="44"/>
      <c r="W432" s="44"/>
      <c r="X432" s="39"/>
      <c r="Y432" s="39"/>
      <c r="Z432" s="39"/>
      <c r="AA432" s="40"/>
      <c r="AB432" s="44"/>
      <c r="AC432" s="39"/>
      <c r="AD432" s="40"/>
      <c r="AE432" s="44"/>
      <c r="AF432" s="39"/>
      <c r="AG432" s="40"/>
      <c r="AH432" s="44"/>
    </row>
    <row r="433" spans="1:34" x14ac:dyDescent="0.25">
      <c r="A433" s="105">
        <f t="shared" si="6"/>
        <v>37321</v>
      </c>
      <c r="B433" s="16"/>
      <c r="C433" s="16">
        <f>SUM('Weekly Data'!E430:E433)/4</f>
        <v>2343.25</v>
      </c>
      <c r="D433" s="16">
        <f>SUM('Weekly Data'!F430:F433)/4</f>
        <v>637</v>
      </c>
      <c r="E433" s="16">
        <f>SUM('Weekly Data'!G430:G433)/4</f>
        <v>2974.5</v>
      </c>
      <c r="F433" s="16">
        <f>SUM('Weekly Data'!H430:H433)/4</f>
        <v>588.75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9"/>
      <c r="R433" s="13">
        <v>37321</v>
      </c>
      <c r="S433" s="44"/>
      <c r="T433" s="44"/>
      <c r="U433" s="19"/>
      <c r="V433" s="44"/>
      <c r="W433" s="44"/>
      <c r="X433" s="39"/>
      <c r="Y433" s="39"/>
      <c r="Z433" s="39"/>
      <c r="AA433" s="40"/>
      <c r="AB433" s="44"/>
      <c r="AC433" s="39"/>
      <c r="AD433" s="40"/>
      <c r="AE433" s="44"/>
      <c r="AF433" s="39"/>
      <c r="AG433" s="40"/>
      <c r="AH433" s="44"/>
    </row>
    <row r="434" spans="1:34" x14ac:dyDescent="0.25">
      <c r="A434" s="105">
        <f t="shared" si="6"/>
        <v>37328</v>
      </c>
      <c r="B434" s="16"/>
      <c r="C434" s="16">
        <f>SUM('Weekly Data'!E431:E434)/4</f>
        <v>2025.75</v>
      </c>
      <c r="D434" s="16">
        <f>SUM('Weekly Data'!F431:F434)/4</f>
        <v>930</v>
      </c>
      <c r="E434" s="16">
        <f>SUM('Weekly Data'!G431:G434)/4</f>
        <v>2361.5</v>
      </c>
      <c r="F434" s="16">
        <f>SUM('Weekly Data'!H431:H434)/4</f>
        <v>551.75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9"/>
      <c r="R434" s="13">
        <v>37328</v>
      </c>
      <c r="S434" s="44"/>
      <c r="T434" s="44"/>
      <c r="U434" s="19"/>
      <c r="V434" s="44"/>
      <c r="W434" s="44"/>
      <c r="X434" s="39"/>
      <c r="Y434" s="39"/>
      <c r="Z434" s="39"/>
      <c r="AA434" s="40"/>
      <c r="AB434" s="44"/>
      <c r="AC434" s="39"/>
      <c r="AD434" s="40"/>
      <c r="AE434" s="44"/>
      <c r="AF434" s="39"/>
      <c r="AG434" s="40"/>
      <c r="AH434" s="44"/>
    </row>
    <row r="435" spans="1:34" x14ac:dyDescent="0.25">
      <c r="A435" s="105">
        <f t="shared" si="6"/>
        <v>37335</v>
      </c>
      <c r="B435" s="16"/>
      <c r="C435" s="16">
        <f>SUM('Weekly Data'!E432:E435)/4</f>
        <v>1913.75</v>
      </c>
      <c r="D435" s="16">
        <f>SUM('Weekly Data'!F432:F435)/4</f>
        <v>1219.25</v>
      </c>
      <c r="E435" s="16">
        <f>SUM('Weekly Data'!G432:G435)/4</f>
        <v>2221</v>
      </c>
      <c r="F435" s="16">
        <f>SUM('Weekly Data'!H432:H435)/4</f>
        <v>470.75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9"/>
      <c r="R435" s="13">
        <v>37335</v>
      </c>
      <c r="S435" s="44"/>
      <c r="T435" s="44"/>
      <c r="U435" s="19"/>
      <c r="V435" s="44"/>
      <c r="W435" s="44"/>
      <c r="X435" s="39"/>
      <c r="Y435" s="39"/>
      <c r="Z435" s="39"/>
      <c r="AA435" s="40"/>
      <c r="AB435" s="44"/>
      <c r="AC435" s="39"/>
      <c r="AD435" s="40"/>
      <c r="AE435" s="44"/>
      <c r="AF435" s="39"/>
      <c r="AG435" s="40"/>
      <c r="AH435" s="44"/>
    </row>
    <row r="436" spans="1:34" x14ac:dyDescent="0.25">
      <c r="A436" s="105">
        <f t="shared" si="6"/>
        <v>37342</v>
      </c>
      <c r="B436" s="16"/>
      <c r="C436" s="16">
        <f>SUM('Weekly Data'!E433:E436)/4</f>
        <v>1953.25</v>
      </c>
      <c r="D436" s="16">
        <f>SUM('Weekly Data'!F433:F436)/4</f>
        <v>1353.5</v>
      </c>
      <c r="E436" s="16">
        <f>SUM('Weekly Data'!G433:G436)/4</f>
        <v>2098.25</v>
      </c>
      <c r="F436" s="16">
        <f>SUM('Weekly Data'!H433:H436)/4</f>
        <v>311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9"/>
      <c r="R436" s="13">
        <v>37342</v>
      </c>
      <c r="S436" s="44"/>
      <c r="T436" s="44"/>
      <c r="U436" s="19"/>
      <c r="V436" s="44"/>
      <c r="W436" s="44"/>
      <c r="X436" s="39"/>
      <c r="Y436" s="39"/>
      <c r="Z436" s="39"/>
      <c r="AA436" s="40"/>
      <c r="AB436" s="44"/>
      <c r="AC436" s="39"/>
      <c r="AD436" s="40"/>
      <c r="AE436" s="44"/>
      <c r="AF436" s="39"/>
      <c r="AG436" s="40"/>
      <c r="AH436" s="44"/>
    </row>
    <row r="437" spans="1:34" x14ac:dyDescent="0.25">
      <c r="A437" s="105">
        <f t="shared" si="6"/>
        <v>37349</v>
      </c>
      <c r="B437" s="16"/>
      <c r="C437" s="16">
        <f>SUM('Weekly Data'!E434:E437)/4</f>
        <v>1854.75</v>
      </c>
      <c r="D437" s="16">
        <f>SUM('Weekly Data'!F434:F437)/4</f>
        <v>1291.5</v>
      </c>
      <c r="E437" s="16">
        <f>SUM('Weekly Data'!G434:G437)/4</f>
        <v>1878.75</v>
      </c>
      <c r="F437" s="16">
        <f>SUM('Weekly Data'!H434:H437)/4</f>
        <v>375.5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9"/>
      <c r="R437" s="13">
        <v>37349</v>
      </c>
      <c r="S437" s="44"/>
      <c r="T437" s="44"/>
      <c r="U437" s="19"/>
      <c r="V437" s="44"/>
      <c r="W437" s="44"/>
      <c r="X437" s="39"/>
      <c r="Y437" s="39"/>
      <c r="Z437" s="39"/>
      <c r="AA437" s="40"/>
      <c r="AB437" s="44"/>
      <c r="AC437" s="39"/>
      <c r="AD437" s="40"/>
      <c r="AE437" s="44"/>
      <c r="AF437" s="39"/>
      <c r="AG437" s="40"/>
      <c r="AH437" s="44"/>
    </row>
    <row r="438" spans="1:34" x14ac:dyDescent="0.25">
      <c r="A438" s="105">
        <f t="shared" si="6"/>
        <v>37356</v>
      </c>
      <c r="B438" s="16"/>
      <c r="C438" s="16">
        <f>SUM('Weekly Data'!E435:E438)/4</f>
        <v>2047.5</v>
      </c>
      <c r="D438" s="16">
        <f>SUM('Weekly Data'!F435:F438)/4</f>
        <v>1195.5</v>
      </c>
      <c r="E438" s="16">
        <f>SUM('Weekly Data'!G435:G438)/4</f>
        <v>1694.5</v>
      </c>
      <c r="F438" s="16">
        <f>SUM('Weekly Data'!H435:H438)/4</f>
        <v>357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9"/>
      <c r="R438" s="13">
        <v>37356</v>
      </c>
      <c r="S438" s="44"/>
      <c r="T438" s="44"/>
      <c r="U438" s="19"/>
      <c r="V438" s="44"/>
      <c r="W438" s="44"/>
      <c r="X438" s="39"/>
      <c r="Y438" s="39"/>
      <c r="Z438" s="39"/>
      <c r="AA438" s="40"/>
      <c r="AB438" s="44"/>
      <c r="AC438" s="39"/>
      <c r="AD438" s="40"/>
      <c r="AE438" s="44"/>
      <c r="AF438" s="39"/>
      <c r="AG438" s="40"/>
      <c r="AH438" s="44"/>
    </row>
    <row r="439" spans="1:34" x14ac:dyDescent="0.25">
      <c r="A439" s="105">
        <f t="shared" si="6"/>
        <v>37363</v>
      </c>
      <c r="B439" s="16"/>
      <c r="C439" s="16">
        <f>SUM('Weekly Data'!E436:E439)/4</f>
        <v>1928</v>
      </c>
      <c r="D439" s="16">
        <f>SUM('Weekly Data'!F436:F439)/4</f>
        <v>1107.25</v>
      </c>
      <c r="E439" s="16">
        <f>SUM('Weekly Data'!G436:G439)/4</f>
        <v>1498</v>
      </c>
      <c r="F439" s="16">
        <f>SUM('Weekly Data'!H436:H439)/4</f>
        <v>291.75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9"/>
      <c r="R439" s="13">
        <v>37363</v>
      </c>
      <c r="S439" s="44"/>
      <c r="T439" s="44"/>
      <c r="U439" s="19"/>
      <c r="V439" s="44"/>
      <c r="W439" s="44"/>
      <c r="X439" s="39"/>
      <c r="Y439" s="39"/>
      <c r="Z439" s="39"/>
      <c r="AA439" s="40"/>
      <c r="AB439" s="44"/>
      <c r="AC439" s="39"/>
      <c r="AD439" s="40"/>
      <c r="AE439" s="44"/>
      <c r="AF439" s="39"/>
      <c r="AG439" s="40"/>
      <c r="AH439" s="44"/>
    </row>
    <row r="440" spans="1:34" x14ac:dyDescent="0.25">
      <c r="A440" s="105">
        <f t="shared" si="6"/>
        <v>37370</v>
      </c>
      <c r="B440" s="16"/>
      <c r="C440" s="16">
        <f>SUM('Weekly Data'!E437:E440)/4</f>
        <v>1906.5</v>
      </c>
      <c r="D440" s="16">
        <f>SUM('Weekly Data'!F437:F440)/4</f>
        <v>1026.75</v>
      </c>
      <c r="E440" s="16">
        <f>SUM('Weekly Data'!G437:G440)/4</f>
        <v>1447</v>
      </c>
      <c r="F440" s="16">
        <f>SUM('Weekly Data'!H437:H440)/4</f>
        <v>240.5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9"/>
      <c r="R440" s="13">
        <v>37370</v>
      </c>
      <c r="S440" s="44"/>
      <c r="T440" s="44"/>
      <c r="U440" s="19"/>
      <c r="V440" s="44"/>
      <c r="W440" s="44"/>
      <c r="X440" s="39"/>
      <c r="Y440" s="39"/>
      <c r="Z440" s="39"/>
      <c r="AA440" s="40"/>
      <c r="AB440" s="44"/>
      <c r="AC440" s="39"/>
      <c r="AD440" s="40"/>
      <c r="AE440" s="44"/>
      <c r="AF440" s="39"/>
      <c r="AG440" s="40"/>
      <c r="AH440" s="44"/>
    </row>
    <row r="441" spans="1:34" x14ac:dyDescent="0.25">
      <c r="A441" s="105">
        <f t="shared" si="6"/>
        <v>37377</v>
      </c>
      <c r="B441" s="16"/>
      <c r="C441" s="16">
        <f>SUM('Weekly Data'!E438:E441)/4</f>
        <v>1837.5</v>
      </c>
      <c r="D441" s="16">
        <f>SUM('Weekly Data'!F438:F441)/4</f>
        <v>891.25</v>
      </c>
      <c r="E441" s="16">
        <f>SUM('Weekly Data'!G438:G441)/4</f>
        <v>1356</v>
      </c>
      <c r="F441" s="16">
        <f>SUM('Weekly Data'!H438:H441)/4</f>
        <v>220.25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9"/>
      <c r="R441" s="13">
        <v>37377</v>
      </c>
      <c r="S441" s="44"/>
      <c r="T441" s="44"/>
      <c r="U441" s="19"/>
      <c r="V441" s="44"/>
      <c r="W441" s="44"/>
      <c r="X441" s="39"/>
      <c r="Y441" s="39"/>
      <c r="Z441" s="39"/>
      <c r="AA441" s="40"/>
      <c r="AB441" s="44"/>
      <c r="AC441" s="39"/>
      <c r="AD441" s="40"/>
      <c r="AE441" s="44"/>
      <c r="AF441" s="39"/>
      <c r="AG441" s="40"/>
      <c r="AH441" s="44"/>
    </row>
    <row r="442" spans="1:34" x14ac:dyDescent="0.25">
      <c r="A442" s="105">
        <f t="shared" si="6"/>
        <v>37384</v>
      </c>
      <c r="B442" s="16"/>
      <c r="C442" s="16">
        <f>SUM('Weekly Data'!E439:E442)/4</f>
        <v>1650</v>
      </c>
      <c r="D442" s="16">
        <f>SUM('Weekly Data'!F439:F442)/4</f>
        <v>751.25</v>
      </c>
      <c r="E442" s="16">
        <f>SUM('Weekly Data'!G439:G442)/4</f>
        <v>1457.5</v>
      </c>
      <c r="F442" s="16">
        <f>SUM('Weekly Data'!H439:H442)/4</f>
        <v>229.75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9"/>
      <c r="R442" s="13">
        <v>37384</v>
      </c>
      <c r="S442" s="44"/>
      <c r="T442" s="44"/>
      <c r="U442" s="19"/>
      <c r="V442" s="44"/>
      <c r="W442" s="44"/>
      <c r="X442" s="39"/>
      <c r="Y442" s="39"/>
      <c r="Z442" s="39"/>
      <c r="AA442" s="40"/>
      <c r="AB442" s="44"/>
      <c r="AC442" s="39"/>
      <c r="AD442" s="40"/>
      <c r="AE442" s="44"/>
      <c r="AF442" s="39"/>
      <c r="AG442" s="40"/>
      <c r="AH442" s="44"/>
    </row>
    <row r="443" spans="1:34" x14ac:dyDescent="0.25">
      <c r="A443" s="105">
        <f t="shared" si="6"/>
        <v>37391</v>
      </c>
      <c r="B443" s="16"/>
      <c r="C443" s="16">
        <f>SUM('Weekly Data'!E440:E443)/4</f>
        <v>1684</v>
      </c>
      <c r="D443" s="16">
        <f>SUM('Weekly Data'!F440:F443)/4</f>
        <v>694</v>
      </c>
      <c r="E443" s="16">
        <f>SUM('Weekly Data'!G440:G443)/4</f>
        <v>1633.75</v>
      </c>
      <c r="F443" s="16">
        <f>SUM('Weekly Data'!H440:H443)/4</f>
        <v>304.25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9"/>
      <c r="R443" s="13">
        <v>37391</v>
      </c>
      <c r="S443" s="44"/>
      <c r="T443" s="44"/>
      <c r="U443" s="19"/>
      <c r="V443" s="44"/>
      <c r="W443" s="44"/>
      <c r="X443" s="39"/>
      <c r="Y443" s="39"/>
      <c r="Z443" s="39"/>
      <c r="AA443" s="40"/>
      <c r="AB443" s="44"/>
      <c r="AC443" s="39"/>
      <c r="AD443" s="40"/>
      <c r="AE443" s="44"/>
      <c r="AF443" s="39"/>
      <c r="AG443" s="40"/>
      <c r="AH443" s="44"/>
    </row>
    <row r="444" spans="1:34" x14ac:dyDescent="0.25">
      <c r="A444" s="105">
        <f t="shared" si="6"/>
        <v>37398</v>
      </c>
      <c r="B444" s="16"/>
      <c r="C444" s="16">
        <f>SUM('Weekly Data'!E441:E444)/4</f>
        <v>1540</v>
      </c>
      <c r="D444" s="16">
        <f>SUM('Weekly Data'!F441:F444)/4</f>
        <v>718.5</v>
      </c>
      <c r="E444" s="16">
        <f>SUM('Weekly Data'!G441:G444)/4</f>
        <v>1605.25</v>
      </c>
      <c r="F444" s="16">
        <f>SUM('Weekly Data'!H441:H444)/4</f>
        <v>331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9"/>
      <c r="R444" s="13">
        <v>37398</v>
      </c>
      <c r="S444" s="44"/>
      <c r="T444" s="44"/>
      <c r="U444" s="19"/>
      <c r="V444" s="44"/>
      <c r="W444" s="44"/>
      <c r="X444" s="39"/>
      <c r="Y444" s="39"/>
      <c r="Z444" s="39"/>
      <c r="AA444" s="40"/>
      <c r="AB444" s="44"/>
      <c r="AC444" s="39"/>
      <c r="AD444" s="40"/>
      <c r="AE444" s="44"/>
      <c r="AF444" s="39"/>
      <c r="AG444" s="40"/>
      <c r="AH444" s="44"/>
    </row>
    <row r="445" spans="1:34" x14ac:dyDescent="0.25">
      <c r="A445" s="105">
        <f t="shared" si="6"/>
        <v>37405</v>
      </c>
      <c r="B445" s="16"/>
      <c r="C445" s="16">
        <f>SUM('Weekly Data'!E442:E445)/4</f>
        <v>1516.75</v>
      </c>
      <c r="D445" s="16">
        <f>SUM('Weekly Data'!F442:F445)/4</f>
        <v>710.75</v>
      </c>
      <c r="E445" s="16">
        <f>SUM('Weekly Data'!G442:G445)/4</f>
        <v>1721.75</v>
      </c>
      <c r="F445" s="16">
        <f>SUM('Weekly Data'!H442:H445)/4</f>
        <v>293.25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9"/>
      <c r="R445" s="13">
        <v>37405</v>
      </c>
      <c r="S445" s="44"/>
      <c r="T445" s="44"/>
      <c r="U445" s="19"/>
      <c r="V445" s="44"/>
      <c r="W445" s="44"/>
      <c r="X445" s="39"/>
      <c r="Y445" s="39"/>
      <c r="Z445" s="39"/>
      <c r="AA445" s="40"/>
      <c r="AB445" s="44"/>
      <c r="AC445" s="39"/>
      <c r="AD445" s="40"/>
      <c r="AE445" s="44"/>
      <c r="AF445" s="39"/>
      <c r="AG445" s="40"/>
      <c r="AH445" s="44"/>
    </row>
    <row r="446" spans="1:34" x14ac:dyDescent="0.25">
      <c r="A446" s="105">
        <f t="shared" si="6"/>
        <v>37412</v>
      </c>
      <c r="B446" s="16"/>
      <c r="C446" s="16">
        <f>SUM('Weekly Data'!E443:E446)/4</f>
        <v>1475.75</v>
      </c>
      <c r="D446" s="16">
        <f>SUM('Weekly Data'!F443:F446)/4</f>
        <v>945</v>
      </c>
      <c r="E446" s="16">
        <f>SUM('Weekly Data'!G443:G446)/4</f>
        <v>1768.75</v>
      </c>
      <c r="F446" s="16">
        <f>SUM('Weekly Data'!H443:H446)/4</f>
        <v>347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9"/>
      <c r="R446" s="13">
        <v>37412</v>
      </c>
      <c r="S446" s="44"/>
      <c r="T446" s="44"/>
      <c r="U446" s="19"/>
      <c r="V446" s="44"/>
      <c r="W446" s="44"/>
      <c r="X446" s="39"/>
      <c r="Y446" s="39"/>
      <c r="Z446" s="39"/>
      <c r="AA446" s="40"/>
      <c r="AB446" s="44"/>
      <c r="AC446" s="39"/>
      <c r="AD446" s="40"/>
      <c r="AE446" s="44"/>
      <c r="AF446" s="39"/>
      <c r="AG446" s="40"/>
      <c r="AH446" s="44"/>
    </row>
    <row r="447" spans="1:34" x14ac:dyDescent="0.25">
      <c r="A447" s="105">
        <f t="shared" si="6"/>
        <v>37419</v>
      </c>
      <c r="B447" s="16"/>
      <c r="C447" s="16">
        <f>SUM('Weekly Data'!E444:E447)/4</f>
        <v>1480.25</v>
      </c>
      <c r="D447" s="16">
        <f>SUM('Weekly Data'!F444:F447)/4</f>
        <v>1058.75</v>
      </c>
      <c r="E447" s="16">
        <f>SUM('Weekly Data'!G444:G447)/4</f>
        <v>1540.75</v>
      </c>
      <c r="F447" s="16">
        <f>SUM('Weekly Data'!H444:H447)/4</f>
        <v>346.5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9"/>
      <c r="R447" s="13">
        <v>37419</v>
      </c>
      <c r="S447" s="44"/>
      <c r="T447" s="44"/>
      <c r="U447" s="19"/>
      <c r="V447" s="44"/>
      <c r="W447" s="44"/>
      <c r="X447" s="39"/>
      <c r="Y447" s="39"/>
      <c r="Z447" s="39"/>
      <c r="AA447" s="40"/>
      <c r="AB447" s="44"/>
      <c r="AC447" s="39"/>
      <c r="AD447" s="40"/>
      <c r="AE447" s="44"/>
      <c r="AF447" s="39"/>
      <c r="AG447" s="40"/>
      <c r="AH447" s="44"/>
    </row>
    <row r="448" spans="1:34" x14ac:dyDescent="0.25">
      <c r="A448" s="105">
        <f t="shared" si="6"/>
        <v>37426</v>
      </c>
      <c r="B448" s="16"/>
      <c r="C448" s="16">
        <f>SUM('Weekly Data'!E445:E448)/4</f>
        <v>1630</v>
      </c>
      <c r="D448" s="16">
        <f>SUM('Weekly Data'!F445:F448)/4</f>
        <v>1050</v>
      </c>
      <c r="E448" s="16">
        <f>SUM('Weekly Data'!G445:G448)/4</f>
        <v>1367.25</v>
      </c>
      <c r="F448" s="16">
        <f>SUM('Weekly Data'!H445:H448)/4</f>
        <v>326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9"/>
      <c r="R448" s="13">
        <v>37426</v>
      </c>
      <c r="S448" s="44"/>
      <c r="T448" s="44"/>
      <c r="U448" s="19"/>
      <c r="V448" s="44"/>
      <c r="W448" s="44"/>
      <c r="X448" s="39"/>
      <c r="Y448" s="39"/>
      <c r="Z448" s="39"/>
      <c r="AA448" s="40"/>
      <c r="AB448" s="44"/>
      <c r="AC448" s="39"/>
      <c r="AD448" s="40"/>
      <c r="AE448" s="44"/>
      <c r="AF448" s="39"/>
      <c r="AG448" s="40"/>
      <c r="AH448" s="44"/>
    </row>
    <row r="449" spans="1:34" x14ac:dyDescent="0.25">
      <c r="A449" s="105">
        <f t="shared" si="6"/>
        <v>37433</v>
      </c>
      <c r="B449" s="16"/>
      <c r="C449" s="16">
        <f>SUM('Weekly Data'!E446:E449)/4</f>
        <v>1709</v>
      </c>
      <c r="D449" s="16">
        <f>SUM('Weekly Data'!F446:F449)/4</f>
        <v>1148.75</v>
      </c>
      <c r="E449" s="16">
        <f>SUM('Weekly Data'!G446:G449)/4</f>
        <v>1440.75</v>
      </c>
      <c r="F449" s="16">
        <f>SUM('Weekly Data'!H446:H449)/4</f>
        <v>300.25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9"/>
      <c r="R449" s="13">
        <v>37433</v>
      </c>
      <c r="S449" s="44"/>
      <c r="T449" s="44"/>
      <c r="U449" s="19"/>
      <c r="V449" s="44"/>
      <c r="W449" s="44"/>
      <c r="X449" s="39"/>
      <c r="Y449" s="39"/>
      <c r="Z449" s="39"/>
      <c r="AA449" s="40"/>
      <c r="AB449" s="44"/>
      <c r="AC449" s="39"/>
      <c r="AD449" s="40"/>
      <c r="AE449" s="44"/>
      <c r="AF449" s="39"/>
      <c r="AG449" s="40"/>
      <c r="AH449" s="44"/>
    </row>
    <row r="450" spans="1:34" x14ac:dyDescent="0.25">
      <c r="A450" s="105">
        <f t="shared" si="6"/>
        <v>37440</v>
      </c>
      <c r="B450" s="16"/>
      <c r="C450" s="16">
        <f>SUM('Weekly Data'!E447:E450)/4</f>
        <v>1792</v>
      </c>
      <c r="D450" s="16">
        <f>SUM('Weekly Data'!F447:F450)/4</f>
        <v>893.25</v>
      </c>
      <c r="E450" s="16">
        <f>SUM('Weekly Data'!G447:G450)/4</f>
        <v>1537.5</v>
      </c>
      <c r="F450" s="16">
        <f>SUM('Weekly Data'!H447:H450)/4</f>
        <v>339.75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9"/>
      <c r="R450" s="13">
        <v>37440</v>
      </c>
      <c r="S450" s="44"/>
      <c r="T450" s="44"/>
      <c r="U450" s="19"/>
      <c r="V450" s="44"/>
      <c r="W450" s="44"/>
      <c r="X450" s="39"/>
      <c r="Y450" s="39"/>
      <c r="Z450" s="39"/>
      <c r="AA450" s="40"/>
      <c r="AB450" s="44"/>
      <c r="AC450" s="39"/>
      <c r="AD450" s="40"/>
      <c r="AE450" s="44"/>
      <c r="AF450" s="39"/>
      <c r="AG450" s="40"/>
      <c r="AH450" s="44"/>
    </row>
    <row r="451" spans="1:34" x14ac:dyDescent="0.25">
      <c r="A451" s="105">
        <f t="shared" si="6"/>
        <v>37447</v>
      </c>
      <c r="B451" s="16"/>
      <c r="C451" s="16">
        <f>SUM('Weekly Data'!E448:E451)/4</f>
        <v>1854.5</v>
      </c>
      <c r="D451" s="16">
        <f>SUM('Weekly Data'!F448:F451)/4</f>
        <v>622.5</v>
      </c>
      <c r="E451" s="16">
        <f>SUM('Weekly Data'!G448:G451)/4</f>
        <v>1792</v>
      </c>
      <c r="F451" s="16">
        <f>SUM('Weekly Data'!H448:H451)/4</f>
        <v>293.5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9"/>
      <c r="R451" s="13">
        <v>37447</v>
      </c>
      <c r="S451" s="44"/>
      <c r="T451" s="44"/>
      <c r="U451" s="19"/>
      <c r="V451" s="44"/>
      <c r="W451" s="44"/>
      <c r="X451" s="39"/>
      <c r="Y451" s="39"/>
      <c r="Z451" s="39"/>
      <c r="AA451" s="40"/>
      <c r="AB451" s="44"/>
      <c r="AC451" s="39"/>
      <c r="AD451" s="40"/>
      <c r="AE451" s="44"/>
      <c r="AF451" s="39"/>
      <c r="AG451" s="40"/>
      <c r="AH451" s="44"/>
    </row>
    <row r="452" spans="1:34" x14ac:dyDescent="0.25">
      <c r="A452" s="105">
        <f t="shared" si="6"/>
        <v>37454</v>
      </c>
      <c r="B452" s="16"/>
      <c r="C452" s="16">
        <f>SUM('Weekly Data'!E449:E452)/4</f>
        <v>1936.75</v>
      </c>
      <c r="D452" s="16">
        <f>SUM('Weekly Data'!F449:F452)/4</f>
        <v>660.5</v>
      </c>
      <c r="E452" s="16">
        <f>SUM('Weekly Data'!G449:G452)/4</f>
        <v>1889.5</v>
      </c>
      <c r="F452" s="16">
        <f>SUM('Weekly Data'!H449:H452)/4</f>
        <v>328.75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9"/>
      <c r="R452" s="13">
        <v>37454</v>
      </c>
      <c r="S452" s="44"/>
      <c r="T452" s="44"/>
      <c r="U452" s="19"/>
      <c r="V452" s="44"/>
      <c r="W452" s="44"/>
      <c r="X452" s="39"/>
      <c r="Y452" s="39"/>
      <c r="Z452" s="39"/>
      <c r="AA452" s="40"/>
      <c r="AB452" s="44"/>
      <c r="AC452" s="39"/>
      <c r="AD452" s="40"/>
      <c r="AE452" s="44"/>
      <c r="AF452" s="39"/>
      <c r="AG452" s="40"/>
      <c r="AH452" s="44"/>
    </row>
    <row r="453" spans="1:34" x14ac:dyDescent="0.25">
      <c r="A453" s="105">
        <f t="shared" si="6"/>
        <v>37461</v>
      </c>
      <c r="B453" s="16"/>
      <c r="C453" s="16">
        <f>SUM('Weekly Data'!E450:E453)/4</f>
        <v>2019.75</v>
      </c>
      <c r="D453" s="16">
        <f>SUM('Weekly Data'!F450:F453)/4</f>
        <v>583.25</v>
      </c>
      <c r="E453" s="16">
        <f>SUM('Weekly Data'!G450:G453)/4</f>
        <v>2000.75</v>
      </c>
      <c r="F453" s="16">
        <f>SUM('Weekly Data'!H450:H453)/4</f>
        <v>321.5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9"/>
      <c r="R453" s="13">
        <v>37461</v>
      </c>
      <c r="S453" s="44"/>
      <c r="T453" s="44"/>
      <c r="U453" s="19"/>
      <c r="V453" s="44"/>
      <c r="W453" s="44"/>
      <c r="X453" s="39"/>
      <c r="Y453" s="39"/>
      <c r="Z453" s="39"/>
      <c r="AA453" s="40"/>
      <c r="AB453" s="44"/>
      <c r="AC453" s="39"/>
      <c r="AD453" s="40"/>
      <c r="AE453" s="44"/>
      <c r="AF453" s="39"/>
      <c r="AG453" s="40"/>
      <c r="AH453" s="44"/>
    </row>
    <row r="454" spans="1:34" x14ac:dyDescent="0.25">
      <c r="A454" s="105">
        <f t="shared" si="6"/>
        <v>37468</v>
      </c>
      <c r="B454" s="16"/>
      <c r="C454" s="16">
        <f>SUM('Weekly Data'!E451:E454)/4</f>
        <v>1985.75</v>
      </c>
      <c r="D454" s="16">
        <f>SUM('Weekly Data'!F451:F454)/4</f>
        <v>558.25</v>
      </c>
      <c r="E454" s="16">
        <f>SUM('Weekly Data'!G451:G454)/4</f>
        <v>2070.25</v>
      </c>
      <c r="F454" s="16">
        <f>SUM('Weekly Data'!H451:H454)/4</f>
        <v>314.75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9"/>
      <c r="R454" s="13">
        <v>37468</v>
      </c>
      <c r="S454" s="44"/>
      <c r="T454" s="44"/>
      <c r="U454" s="19"/>
      <c r="V454" s="44"/>
      <c r="W454" s="44"/>
      <c r="X454" s="39"/>
      <c r="Y454" s="39"/>
      <c r="Z454" s="39"/>
      <c r="AA454" s="40"/>
      <c r="AB454" s="44"/>
      <c r="AC454" s="39"/>
      <c r="AD454" s="40"/>
      <c r="AE454" s="44"/>
      <c r="AF454" s="39"/>
      <c r="AG454" s="40"/>
      <c r="AH454" s="44"/>
    </row>
    <row r="455" spans="1:34" x14ac:dyDescent="0.25">
      <c r="A455" s="105">
        <f t="shared" si="6"/>
        <v>37475</v>
      </c>
      <c r="B455" s="16"/>
      <c r="C455" s="16">
        <f>SUM('Weekly Data'!E452:E455)/4</f>
        <v>1894.75</v>
      </c>
      <c r="D455" s="16">
        <f>SUM('Weekly Data'!F452:F455)/4</f>
        <v>610.25</v>
      </c>
      <c r="E455" s="16">
        <f>SUM('Weekly Data'!G452:G455)/4</f>
        <v>1904.5</v>
      </c>
      <c r="F455" s="16">
        <f>SUM('Weekly Data'!H452:H455)/4</f>
        <v>322.75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9"/>
      <c r="R455" s="13">
        <v>37475</v>
      </c>
      <c r="S455" s="44"/>
      <c r="T455" s="44"/>
      <c r="U455" s="19"/>
      <c r="V455" s="44"/>
      <c r="W455" s="44"/>
      <c r="X455" s="39"/>
      <c r="Y455" s="39"/>
      <c r="Z455" s="39"/>
      <c r="AA455" s="40"/>
      <c r="AB455" s="44"/>
      <c r="AC455" s="39"/>
      <c r="AD455" s="40"/>
      <c r="AE455" s="44"/>
      <c r="AF455" s="39"/>
      <c r="AG455" s="40"/>
      <c r="AH455" s="44"/>
    </row>
    <row r="456" spans="1:34" x14ac:dyDescent="0.25">
      <c r="A456" s="105">
        <f t="shared" si="6"/>
        <v>37482</v>
      </c>
      <c r="B456" s="16"/>
      <c r="C456" s="16">
        <f>SUM('Weekly Data'!E453:E456)/4</f>
        <v>1774</v>
      </c>
      <c r="D456" s="16">
        <f>SUM('Weekly Data'!F453:F456)/4</f>
        <v>538</v>
      </c>
      <c r="E456" s="16">
        <f>SUM('Weekly Data'!G453:G456)/4</f>
        <v>1939.25</v>
      </c>
      <c r="F456" s="16">
        <f>SUM('Weekly Data'!H453:H456)/4</f>
        <v>346.25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9"/>
      <c r="R456" s="13">
        <v>37482</v>
      </c>
      <c r="S456" s="44"/>
      <c r="T456" s="44"/>
      <c r="U456" s="19"/>
      <c r="V456" s="44"/>
      <c r="W456" s="44"/>
      <c r="X456" s="39"/>
      <c r="Y456" s="39"/>
      <c r="Z456" s="39"/>
      <c r="AA456" s="40"/>
      <c r="AB456" s="44"/>
      <c r="AC456" s="39"/>
      <c r="AD456" s="40"/>
      <c r="AE456" s="44"/>
      <c r="AF456" s="39"/>
      <c r="AG456" s="40"/>
      <c r="AH456" s="44"/>
    </row>
    <row r="457" spans="1:34" x14ac:dyDescent="0.25">
      <c r="A457" s="105">
        <f t="shared" si="6"/>
        <v>37489</v>
      </c>
      <c r="B457" s="16"/>
      <c r="C457" s="16">
        <f>SUM('Weekly Data'!E454:E457)/4</f>
        <v>1549.75</v>
      </c>
      <c r="D457" s="16">
        <f>SUM('Weekly Data'!F454:F457)/4</f>
        <v>533.25</v>
      </c>
      <c r="E457" s="16">
        <f>SUM('Weekly Data'!G454:G457)/4</f>
        <v>1683</v>
      </c>
      <c r="F457" s="16">
        <f>SUM('Weekly Data'!H454:H457)/4</f>
        <v>377.75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9"/>
      <c r="R457" s="13">
        <v>37489</v>
      </c>
      <c r="S457" s="44"/>
      <c r="T457" s="44"/>
      <c r="U457" s="19"/>
      <c r="V457" s="44"/>
      <c r="W457" s="44"/>
      <c r="X457" s="39"/>
      <c r="Y457" s="39"/>
      <c r="Z457" s="39"/>
      <c r="AA457" s="40"/>
      <c r="AB457" s="44"/>
      <c r="AC457" s="39"/>
      <c r="AD457" s="40"/>
      <c r="AE457" s="44"/>
      <c r="AF457" s="39"/>
      <c r="AG457" s="40"/>
      <c r="AH457" s="44"/>
    </row>
    <row r="458" spans="1:34" x14ac:dyDescent="0.25">
      <c r="A458" s="105">
        <f t="shared" si="6"/>
        <v>37496</v>
      </c>
      <c r="B458" s="16"/>
      <c r="C458" s="16">
        <f>SUM('Weekly Data'!E455:E458)/4</f>
        <v>1433</v>
      </c>
      <c r="D458" s="16">
        <f>SUM('Weekly Data'!F455:F458)/4</f>
        <v>683</v>
      </c>
      <c r="E458" s="16">
        <f>SUM('Weekly Data'!G455:G458)/4</f>
        <v>1423.5</v>
      </c>
      <c r="F458" s="16">
        <f>SUM('Weekly Data'!H455:H458)/4</f>
        <v>213.5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9"/>
      <c r="R458" s="13">
        <v>37496</v>
      </c>
      <c r="S458" s="44"/>
      <c r="T458" s="44"/>
      <c r="U458" s="19"/>
      <c r="V458" s="44"/>
      <c r="W458" s="44"/>
      <c r="X458" s="39"/>
      <c r="Y458" s="39"/>
      <c r="Z458" s="39"/>
      <c r="AA458" s="40"/>
      <c r="AB458" s="44"/>
      <c r="AC458" s="39"/>
      <c r="AD458" s="40"/>
      <c r="AE458" s="44"/>
      <c r="AF458" s="39"/>
      <c r="AG458" s="40"/>
      <c r="AH458" s="44"/>
    </row>
    <row r="459" spans="1:34" x14ac:dyDescent="0.25">
      <c r="A459" s="105">
        <f t="shared" si="6"/>
        <v>37503</v>
      </c>
      <c r="B459" s="16"/>
      <c r="C459" s="16">
        <f>SUM('Weekly Data'!E456:E459)/4</f>
        <v>1517.75</v>
      </c>
      <c r="D459" s="16">
        <f>SUM('Weekly Data'!F456:F459)/4</f>
        <v>624.5</v>
      </c>
      <c r="E459" s="16">
        <f>SUM('Weekly Data'!G456:G459)/4</f>
        <v>1510.75</v>
      </c>
      <c r="F459" s="16">
        <f>SUM('Weekly Data'!H456:H459)/4</f>
        <v>176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9"/>
      <c r="R459" s="13">
        <v>37503</v>
      </c>
      <c r="S459" s="44"/>
      <c r="T459" s="44"/>
      <c r="U459" s="19"/>
      <c r="V459" s="44"/>
      <c r="W459" s="44"/>
      <c r="X459" s="39"/>
      <c r="Y459" s="39"/>
      <c r="Z459" s="39"/>
      <c r="AA459" s="40"/>
      <c r="AB459" s="44"/>
      <c r="AC459" s="39"/>
      <c r="AD459" s="40"/>
      <c r="AE459" s="44"/>
      <c r="AF459" s="39"/>
      <c r="AG459" s="40"/>
      <c r="AH459" s="44"/>
    </row>
    <row r="460" spans="1:34" x14ac:dyDescent="0.25">
      <c r="A460" s="105">
        <f t="shared" si="6"/>
        <v>37510</v>
      </c>
      <c r="B460" s="16"/>
      <c r="C460" s="16">
        <f>SUM('Weekly Data'!E457:E460)/4</f>
        <v>1463.25</v>
      </c>
      <c r="D460" s="16">
        <f>SUM('Weekly Data'!F457:F460)/4</f>
        <v>629</v>
      </c>
      <c r="E460" s="16">
        <f>SUM('Weekly Data'!G457:G460)/4</f>
        <v>1431</v>
      </c>
      <c r="F460" s="16">
        <f>SUM('Weekly Data'!H457:H460)/4</f>
        <v>103.25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9"/>
      <c r="R460" s="13">
        <v>37510</v>
      </c>
      <c r="S460" s="44"/>
      <c r="T460" s="44"/>
      <c r="U460" s="19"/>
      <c r="V460" s="44"/>
      <c r="W460" s="44"/>
      <c r="X460" s="39"/>
      <c r="Y460" s="39"/>
      <c r="Z460" s="39"/>
      <c r="AA460" s="40"/>
      <c r="AB460" s="44"/>
      <c r="AC460" s="39"/>
      <c r="AD460" s="40"/>
      <c r="AE460" s="44"/>
      <c r="AF460" s="39"/>
      <c r="AG460" s="40"/>
      <c r="AH460" s="44"/>
    </row>
    <row r="461" spans="1:34" x14ac:dyDescent="0.25">
      <c r="A461" s="105">
        <f t="shared" ref="A461:A524" si="7">A460+7</f>
        <v>37517</v>
      </c>
      <c r="B461" s="16"/>
      <c r="C461" s="16">
        <f>SUM('Weekly Data'!E458:E461)/4</f>
        <v>1460.75</v>
      </c>
      <c r="D461" s="16">
        <f>SUM('Weekly Data'!F458:F461)/4</f>
        <v>654.75</v>
      </c>
      <c r="E461" s="16">
        <f>SUM('Weekly Data'!G458:G461)/4</f>
        <v>1274.75</v>
      </c>
      <c r="F461" s="16">
        <f>SUM('Weekly Data'!H458:H461)/4</f>
        <v>3.25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9"/>
      <c r="R461" s="13">
        <v>37517</v>
      </c>
      <c r="S461" s="44"/>
      <c r="T461" s="44"/>
      <c r="U461" s="19"/>
      <c r="V461" s="44"/>
      <c r="W461" s="44"/>
      <c r="X461" s="39"/>
      <c r="Y461" s="39"/>
      <c r="Z461" s="39"/>
      <c r="AA461" s="40"/>
      <c r="AB461" s="44"/>
      <c r="AC461" s="39"/>
      <c r="AD461" s="40"/>
      <c r="AE461" s="44"/>
      <c r="AF461" s="39"/>
      <c r="AG461" s="40"/>
      <c r="AH461" s="44"/>
    </row>
    <row r="462" spans="1:34" x14ac:dyDescent="0.25">
      <c r="A462" s="105">
        <f t="shared" si="7"/>
        <v>37524</v>
      </c>
      <c r="B462" s="16"/>
      <c r="C462" s="16">
        <f>SUM('Weekly Data'!E459:E462)/4</f>
        <v>1309.75</v>
      </c>
      <c r="D462" s="16">
        <f>SUM('Weekly Data'!F459:F462)/4</f>
        <v>555.75</v>
      </c>
      <c r="E462" s="16">
        <f>SUM('Weekly Data'!G459:G462)/4</f>
        <v>1355.5</v>
      </c>
      <c r="F462" s="16">
        <f>SUM('Weekly Data'!H459:H462)/4</f>
        <v>20.5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9"/>
      <c r="R462" s="13">
        <v>37524</v>
      </c>
      <c r="S462" s="44"/>
      <c r="T462" s="44"/>
      <c r="U462" s="19"/>
      <c r="V462" s="44"/>
      <c r="W462" s="44"/>
      <c r="X462" s="39"/>
      <c r="Y462" s="39"/>
      <c r="Z462" s="39"/>
      <c r="AA462" s="40"/>
      <c r="AB462" s="44"/>
      <c r="AC462" s="39"/>
      <c r="AD462" s="40"/>
      <c r="AE462" s="44"/>
      <c r="AF462" s="39"/>
      <c r="AG462" s="40"/>
      <c r="AH462" s="44"/>
    </row>
    <row r="463" spans="1:34" x14ac:dyDescent="0.25">
      <c r="A463" s="105">
        <f t="shared" si="7"/>
        <v>37531</v>
      </c>
      <c r="B463" s="16"/>
      <c r="C463" s="16">
        <f>SUM('Weekly Data'!E460:E463)/4</f>
        <v>1159.25</v>
      </c>
      <c r="D463" s="16">
        <f>SUM('Weekly Data'!F460:F463)/4</f>
        <v>586.75</v>
      </c>
      <c r="E463" s="16">
        <f>SUM('Weekly Data'!G460:G463)/4</f>
        <v>1408.75</v>
      </c>
      <c r="F463" s="16">
        <f>SUM('Weekly Data'!H460:H463)/4</f>
        <v>31.5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9"/>
      <c r="R463" s="13">
        <v>37531</v>
      </c>
      <c r="S463" s="44"/>
      <c r="T463" s="44"/>
      <c r="U463" s="19"/>
      <c r="V463" s="44"/>
      <c r="W463" s="44"/>
      <c r="X463" s="39"/>
      <c r="Y463" s="39"/>
      <c r="Z463" s="39"/>
      <c r="AA463" s="40"/>
      <c r="AB463" s="44"/>
      <c r="AC463" s="39"/>
      <c r="AD463" s="40"/>
      <c r="AE463" s="44"/>
      <c r="AF463" s="39"/>
      <c r="AG463" s="40"/>
      <c r="AH463" s="44"/>
    </row>
    <row r="464" spans="1:34" x14ac:dyDescent="0.25">
      <c r="A464" s="105">
        <f t="shared" si="7"/>
        <v>37538</v>
      </c>
      <c r="B464" s="16"/>
      <c r="C464" s="16">
        <f>SUM('Weekly Data'!E461:E464)/4</f>
        <v>913</v>
      </c>
      <c r="D464" s="16">
        <f>SUM('Weekly Data'!F461:F464)/4</f>
        <v>737.25</v>
      </c>
      <c r="E464" s="16">
        <f>SUM('Weekly Data'!G461:G464)/4</f>
        <v>1443.5</v>
      </c>
      <c r="F464" s="16">
        <f>SUM('Weekly Data'!H461:H464)/4</f>
        <v>51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9"/>
      <c r="R464" s="13">
        <v>37538</v>
      </c>
      <c r="S464" s="44"/>
      <c r="T464" s="44"/>
      <c r="U464" s="19"/>
      <c r="V464" s="44"/>
      <c r="W464" s="44"/>
      <c r="X464" s="39"/>
      <c r="Y464" s="39"/>
      <c r="Z464" s="39"/>
      <c r="AA464" s="40"/>
      <c r="AB464" s="44"/>
      <c r="AC464" s="39"/>
      <c r="AD464" s="40"/>
      <c r="AE464" s="44"/>
      <c r="AF464" s="39"/>
      <c r="AG464" s="40"/>
      <c r="AH464" s="44"/>
    </row>
    <row r="465" spans="1:34" x14ac:dyDescent="0.25">
      <c r="A465" s="105">
        <f t="shared" si="7"/>
        <v>37545</v>
      </c>
      <c r="B465" s="16"/>
      <c r="C465" s="16">
        <f>SUM('Weekly Data'!E462:E465)/4</f>
        <v>900.75</v>
      </c>
      <c r="D465" s="16">
        <f>SUM('Weekly Data'!F462:F465)/4</f>
        <v>908.5</v>
      </c>
      <c r="E465" s="16">
        <f>SUM('Weekly Data'!G462:G465)/4</f>
        <v>2053.25</v>
      </c>
      <c r="F465" s="16">
        <f>SUM('Weekly Data'!H462:H465)/4</f>
        <v>138.75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9"/>
      <c r="R465" s="13">
        <v>37545</v>
      </c>
      <c r="S465" s="44"/>
      <c r="T465" s="44"/>
      <c r="U465" s="19"/>
      <c r="V465" s="44"/>
      <c r="W465" s="44"/>
      <c r="X465" s="39"/>
      <c r="Y465" s="39"/>
      <c r="Z465" s="39"/>
      <c r="AA465" s="40"/>
      <c r="AB465" s="44"/>
      <c r="AC465" s="39"/>
      <c r="AD465" s="40"/>
      <c r="AE465" s="44"/>
      <c r="AF465" s="39"/>
      <c r="AG465" s="40"/>
      <c r="AH465" s="44"/>
    </row>
    <row r="466" spans="1:34" x14ac:dyDescent="0.25">
      <c r="A466" s="105">
        <f t="shared" si="7"/>
        <v>37552</v>
      </c>
      <c r="B466" s="16"/>
      <c r="C466" s="16">
        <f>SUM('Weekly Data'!E463:E466)/4</f>
        <v>948</v>
      </c>
      <c r="D466" s="16">
        <f>SUM('Weekly Data'!F463:F466)/4</f>
        <v>971</v>
      </c>
      <c r="E466" s="16">
        <f>SUM('Weekly Data'!G463:G466)/4</f>
        <v>2703.25</v>
      </c>
      <c r="F466" s="16">
        <f>SUM('Weekly Data'!H463:H466)/4</f>
        <v>291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9"/>
      <c r="R466" s="13">
        <v>37552</v>
      </c>
      <c r="S466" s="44"/>
      <c r="T466" s="44"/>
      <c r="U466" s="19"/>
      <c r="V466" s="44"/>
      <c r="W466" s="44"/>
      <c r="X466" s="39"/>
      <c r="Y466" s="39"/>
      <c r="Z466" s="39"/>
      <c r="AA466" s="40"/>
      <c r="AB466" s="44"/>
      <c r="AC466" s="39"/>
      <c r="AD466" s="40"/>
      <c r="AE466" s="44"/>
      <c r="AF466" s="39"/>
      <c r="AG466" s="40"/>
      <c r="AH466" s="44"/>
    </row>
    <row r="467" spans="1:34" x14ac:dyDescent="0.25">
      <c r="A467" s="105">
        <f t="shared" si="7"/>
        <v>37559</v>
      </c>
      <c r="B467" s="16"/>
      <c r="C467" s="16">
        <f>SUM('Weekly Data'!E464:E467)/4</f>
        <v>1024</v>
      </c>
      <c r="D467" s="16">
        <f>SUM('Weekly Data'!F464:F467)/4</f>
        <v>1064.25</v>
      </c>
      <c r="E467" s="16">
        <f>SUM('Weekly Data'!G464:G467)/4</f>
        <v>3138</v>
      </c>
      <c r="F467" s="16">
        <f>SUM('Weekly Data'!H464:H467)/4</f>
        <v>462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9"/>
      <c r="R467" s="13">
        <v>37559</v>
      </c>
      <c r="S467" s="44"/>
      <c r="T467" s="44"/>
      <c r="U467" s="19"/>
      <c r="V467" s="44"/>
      <c r="W467" s="44"/>
      <c r="X467" s="39"/>
      <c r="Y467" s="39"/>
      <c r="Z467" s="39"/>
      <c r="AA467" s="40"/>
      <c r="AB467" s="44"/>
      <c r="AC467" s="39"/>
      <c r="AD467" s="40"/>
      <c r="AE467" s="44"/>
      <c r="AF467" s="39"/>
      <c r="AG467" s="40"/>
      <c r="AH467" s="44"/>
    </row>
    <row r="468" spans="1:34" x14ac:dyDescent="0.25">
      <c r="A468" s="105">
        <f t="shared" si="7"/>
        <v>37566</v>
      </c>
      <c r="B468" s="16"/>
      <c r="C468" s="16">
        <f>SUM('Weekly Data'!E465:E468)/4</f>
        <v>1183.75</v>
      </c>
      <c r="D468" s="16">
        <f>SUM('Weekly Data'!F465:F468)/4</f>
        <v>927.25</v>
      </c>
      <c r="E468" s="16">
        <f>SUM('Weekly Data'!G465:G468)/4</f>
        <v>3734.25</v>
      </c>
      <c r="F468" s="16">
        <f>SUM('Weekly Data'!H465:H468)/4</f>
        <v>581.75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9"/>
      <c r="R468" s="13">
        <v>37566</v>
      </c>
      <c r="S468" s="44"/>
      <c r="T468" s="44"/>
      <c r="U468" s="19"/>
      <c r="V468" s="44"/>
      <c r="W468" s="44"/>
      <c r="X468" s="39"/>
      <c r="Y468" s="39"/>
      <c r="Z468" s="39"/>
      <c r="AA468" s="40"/>
      <c r="AB468" s="44"/>
      <c r="AC468" s="39"/>
      <c r="AD468" s="40"/>
      <c r="AE468" s="44"/>
      <c r="AF468" s="39"/>
      <c r="AG468" s="40"/>
      <c r="AH468" s="44"/>
    </row>
    <row r="469" spans="1:34" x14ac:dyDescent="0.25">
      <c r="A469" s="105">
        <f t="shared" si="7"/>
        <v>37573</v>
      </c>
      <c r="B469" s="16"/>
      <c r="C469" s="16">
        <f>SUM('Weekly Data'!E466:E469)/4</f>
        <v>1192.25</v>
      </c>
      <c r="D469" s="16">
        <f>SUM('Weekly Data'!F466:F469)/4</f>
        <v>811.75</v>
      </c>
      <c r="E469" s="16">
        <f>SUM('Weekly Data'!G466:G469)/4</f>
        <v>3799.5</v>
      </c>
      <c r="F469" s="16">
        <f>SUM('Weekly Data'!H466:H469)/4</f>
        <v>618.5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9"/>
      <c r="R469" s="13">
        <v>37573</v>
      </c>
      <c r="S469" s="44"/>
      <c r="T469" s="44"/>
      <c r="U469" s="19"/>
      <c r="V469" s="44"/>
      <c r="W469" s="44"/>
      <c r="X469" s="39"/>
      <c r="Y469" s="39"/>
      <c r="Z469" s="39"/>
      <c r="AA469" s="40"/>
      <c r="AB469" s="44"/>
      <c r="AC469" s="39"/>
      <c r="AD469" s="40"/>
      <c r="AE469" s="44"/>
      <c r="AF469" s="39"/>
      <c r="AG469" s="40"/>
      <c r="AH469" s="44"/>
    </row>
    <row r="470" spans="1:34" x14ac:dyDescent="0.25">
      <c r="A470" s="105">
        <f t="shared" si="7"/>
        <v>37580</v>
      </c>
      <c r="B470" s="16"/>
      <c r="C470" s="16">
        <f>SUM('Weekly Data'!E467:E470)/4</f>
        <v>1353</v>
      </c>
      <c r="D470" s="16">
        <f>SUM('Weekly Data'!F467:F470)/4</f>
        <v>802.5</v>
      </c>
      <c r="E470" s="16">
        <f>SUM('Weekly Data'!G467:G470)/4</f>
        <v>3697.75</v>
      </c>
      <c r="F470" s="16">
        <f>SUM('Weekly Data'!H467:H470)/4</f>
        <v>574.5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9"/>
      <c r="R470" s="13">
        <v>37580</v>
      </c>
      <c r="S470" s="44"/>
      <c r="T470" s="44"/>
      <c r="U470" s="19"/>
      <c r="V470" s="44"/>
      <c r="W470" s="44"/>
      <c r="X470" s="39"/>
      <c r="Y470" s="39"/>
      <c r="Z470" s="39"/>
      <c r="AA470" s="40"/>
      <c r="AB470" s="44"/>
      <c r="AC470" s="39"/>
      <c r="AD470" s="40"/>
      <c r="AE470" s="44"/>
      <c r="AF470" s="39"/>
      <c r="AG470" s="40"/>
      <c r="AH470" s="44"/>
    </row>
    <row r="471" spans="1:34" x14ac:dyDescent="0.25">
      <c r="A471" s="105">
        <f t="shared" si="7"/>
        <v>37587</v>
      </c>
      <c r="B471" s="16"/>
      <c r="C471" s="16">
        <f>SUM('Weekly Data'!E468:E471)/4</f>
        <v>1496</v>
      </c>
      <c r="D471" s="16">
        <f>SUM('Weekly Data'!F468:F471)/4</f>
        <v>746</v>
      </c>
      <c r="E471" s="16">
        <f>SUM('Weekly Data'!G468:G471)/4</f>
        <v>3735</v>
      </c>
      <c r="F471" s="16">
        <f>SUM('Weekly Data'!H468:H471)/4</f>
        <v>414.5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9"/>
      <c r="R471" s="13">
        <v>37587</v>
      </c>
      <c r="S471" s="44"/>
      <c r="T471" s="44"/>
      <c r="U471" s="19"/>
      <c r="V471" s="44"/>
      <c r="W471" s="44"/>
      <c r="X471" s="39"/>
      <c r="Y471" s="39"/>
      <c r="Z471" s="39"/>
      <c r="AA471" s="40"/>
      <c r="AB471" s="44"/>
      <c r="AC471" s="39"/>
      <c r="AD471" s="40"/>
      <c r="AE471" s="44"/>
      <c r="AF471" s="39"/>
      <c r="AG471" s="40"/>
      <c r="AH471" s="44"/>
    </row>
    <row r="472" spans="1:34" x14ac:dyDescent="0.25">
      <c r="A472" s="105">
        <f t="shared" si="7"/>
        <v>37594</v>
      </c>
      <c r="B472" s="16"/>
      <c r="C472" s="16">
        <f>SUM('Weekly Data'!E469:E472)/4</f>
        <v>1412.5</v>
      </c>
      <c r="D472" s="16">
        <f>SUM('Weekly Data'!F469:F472)/4</f>
        <v>785.5</v>
      </c>
      <c r="E472" s="16">
        <f>SUM('Weekly Data'!G469:G472)/4</f>
        <v>3560.75</v>
      </c>
      <c r="F472" s="16">
        <f>SUM('Weekly Data'!H469:H472)/4</f>
        <v>378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9"/>
      <c r="R472" s="13">
        <v>37594</v>
      </c>
      <c r="S472" s="44"/>
      <c r="T472" s="44"/>
      <c r="U472" s="19"/>
      <c r="V472" s="44"/>
      <c r="W472" s="44"/>
      <c r="X472" s="39"/>
      <c r="Y472" s="39"/>
      <c r="Z472" s="39"/>
      <c r="AA472" s="40"/>
      <c r="AB472" s="44"/>
      <c r="AC472" s="39"/>
      <c r="AD472" s="40"/>
      <c r="AE472" s="44"/>
      <c r="AF472" s="39"/>
      <c r="AG472" s="40"/>
      <c r="AH472" s="44"/>
    </row>
    <row r="473" spans="1:34" x14ac:dyDescent="0.25">
      <c r="A473" s="105">
        <f t="shared" si="7"/>
        <v>37601</v>
      </c>
      <c r="B473" s="16"/>
      <c r="C473" s="16">
        <f>SUM('Weekly Data'!E470:E473)/4</f>
        <v>1310.25</v>
      </c>
      <c r="D473" s="16">
        <f>SUM('Weekly Data'!F470:F473)/4</f>
        <v>782.75</v>
      </c>
      <c r="E473" s="16">
        <f>SUM('Weekly Data'!G470:G473)/4</f>
        <v>3311.5</v>
      </c>
      <c r="F473" s="16">
        <f>SUM('Weekly Data'!H470:H473)/4</f>
        <v>296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9"/>
      <c r="R473" s="13">
        <v>37601</v>
      </c>
      <c r="S473" s="44"/>
      <c r="T473" s="44"/>
      <c r="U473" s="19"/>
      <c r="V473" s="44"/>
      <c r="W473" s="44"/>
      <c r="X473" s="39"/>
      <c r="Y473" s="39"/>
      <c r="Z473" s="39"/>
      <c r="AA473" s="40"/>
      <c r="AB473" s="44"/>
      <c r="AC473" s="39"/>
      <c r="AD473" s="40"/>
      <c r="AE473" s="44"/>
      <c r="AF473" s="39"/>
      <c r="AG473" s="40"/>
      <c r="AH473" s="44"/>
    </row>
    <row r="474" spans="1:34" x14ac:dyDescent="0.25">
      <c r="A474" s="105">
        <f t="shared" si="7"/>
        <v>37608</v>
      </c>
      <c r="B474" s="16"/>
      <c r="C474" s="16">
        <f>SUM('Weekly Data'!E471:E474)/4</f>
        <v>1181.75</v>
      </c>
      <c r="D474" s="16">
        <f>SUM('Weekly Data'!F471:F474)/4</f>
        <v>848</v>
      </c>
      <c r="E474" s="16">
        <f>SUM('Weekly Data'!G471:G474)/4</f>
        <v>2960.75</v>
      </c>
      <c r="F474" s="16">
        <f>SUM('Weekly Data'!H471:H474)/4</f>
        <v>340.75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9"/>
      <c r="R474" s="13">
        <v>37608</v>
      </c>
      <c r="S474" s="44"/>
      <c r="T474" s="44"/>
      <c r="U474" s="19"/>
      <c r="V474" s="44"/>
      <c r="W474" s="44"/>
      <c r="X474" s="39"/>
      <c r="Y474" s="39"/>
      <c r="Z474" s="39"/>
      <c r="AA474" s="40"/>
      <c r="AB474" s="44"/>
      <c r="AC474" s="39"/>
      <c r="AD474" s="40"/>
      <c r="AE474" s="44"/>
      <c r="AF474" s="39"/>
      <c r="AG474" s="40"/>
      <c r="AH474" s="44"/>
    </row>
    <row r="475" spans="1:34" x14ac:dyDescent="0.25">
      <c r="A475" s="105">
        <f t="shared" si="7"/>
        <v>37615</v>
      </c>
      <c r="B475" s="16"/>
      <c r="C475" s="16">
        <f>SUM('Weekly Data'!E472:E475)/4</f>
        <v>945.75</v>
      </c>
      <c r="D475" s="16">
        <f>SUM('Weekly Data'!F472:F475)/4</f>
        <v>953.75</v>
      </c>
      <c r="E475" s="16">
        <f>SUM('Weekly Data'!G472:G475)/4</f>
        <v>2613.25</v>
      </c>
      <c r="F475" s="16">
        <f>SUM('Weekly Data'!H472:H475)/4</f>
        <v>473.25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9"/>
      <c r="R475" s="13">
        <v>37615</v>
      </c>
      <c r="S475" s="44"/>
      <c r="T475" s="44"/>
      <c r="U475" s="19"/>
      <c r="V475" s="44"/>
      <c r="W475" s="44"/>
      <c r="X475" s="39"/>
      <c r="Y475" s="39"/>
      <c r="Z475" s="39"/>
      <c r="AA475" s="40"/>
      <c r="AB475" s="44"/>
      <c r="AC475" s="39"/>
      <c r="AD475" s="40"/>
      <c r="AE475" s="44"/>
      <c r="AF475" s="39"/>
      <c r="AG475" s="40"/>
      <c r="AH475" s="44"/>
    </row>
    <row r="476" spans="1:34" x14ac:dyDescent="0.25">
      <c r="A476" s="105">
        <f t="shared" si="7"/>
        <v>37622</v>
      </c>
      <c r="B476" s="16"/>
      <c r="C476" s="16">
        <f>SUM('Weekly Data'!E473:E476)/4</f>
        <v>992.5</v>
      </c>
      <c r="D476" s="16">
        <f>SUM('Weekly Data'!F473:F476)/4</f>
        <v>830.25</v>
      </c>
      <c r="E476" s="16">
        <f>SUM('Weekly Data'!G473:G476)/4</f>
        <v>2356.5</v>
      </c>
      <c r="F476" s="16">
        <f>SUM('Weekly Data'!H473:H476)/4</f>
        <v>550.5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9"/>
      <c r="R476" s="13">
        <v>37622</v>
      </c>
      <c r="S476" s="44"/>
      <c r="T476" s="44"/>
      <c r="U476" s="19"/>
      <c r="V476" s="44"/>
      <c r="W476" s="44"/>
      <c r="X476" s="39"/>
      <c r="Y476" s="39"/>
      <c r="Z476" s="39"/>
      <c r="AA476" s="40"/>
      <c r="AB476" s="44"/>
      <c r="AC476" s="39"/>
      <c r="AD476" s="40"/>
      <c r="AE476" s="44"/>
      <c r="AF476" s="39"/>
      <c r="AG476" s="40"/>
      <c r="AH476" s="44"/>
    </row>
    <row r="477" spans="1:34" x14ac:dyDescent="0.25">
      <c r="A477" s="105">
        <f t="shared" si="7"/>
        <v>37629</v>
      </c>
      <c r="B477" s="16"/>
      <c r="C477" s="16">
        <f>SUM('Weekly Data'!E474:E477)/4</f>
        <v>1170.5</v>
      </c>
      <c r="D477" s="16">
        <f>SUM('Weekly Data'!F474:F477)/4</f>
        <v>898.5</v>
      </c>
      <c r="E477" s="16">
        <f>SUM('Weekly Data'!G474:G477)/4</f>
        <v>2316</v>
      </c>
      <c r="F477" s="16">
        <f>SUM('Weekly Data'!H474:H477)/4</f>
        <v>686.75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9"/>
      <c r="R477" s="13">
        <v>37629</v>
      </c>
      <c r="S477" s="44"/>
      <c r="T477" s="44"/>
      <c r="U477" s="19"/>
      <c r="V477" s="44"/>
      <c r="W477" s="44"/>
      <c r="X477" s="39"/>
      <c r="Y477" s="39"/>
      <c r="Z477" s="39"/>
      <c r="AA477" s="40"/>
      <c r="AB477" s="44"/>
      <c r="AC477" s="39"/>
      <c r="AD477" s="40"/>
      <c r="AE477" s="44"/>
      <c r="AF477" s="39"/>
      <c r="AG477" s="40"/>
      <c r="AH477" s="44"/>
    </row>
    <row r="478" spans="1:34" x14ac:dyDescent="0.25">
      <c r="A478" s="105">
        <f t="shared" si="7"/>
        <v>37636</v>
      </c>
      <c r="B478" s="16"/>
      <c r="C478" s="16">
        <f>SUM('Weekly Data'!E475:E478)/4</f>
        <v>1118.5</v>
      </c>
      <c r="D478" s="16">
        <f>SUM('Weekly Data'!F475:F478)/4</f>
        <v>886</v>
      </c>
      <c r="E478" s="16">
        <f>SUM('Weekly Data'!G475:G478)/4</f>
        <v>2231.5</v>
      </c>
      <c r="F478" s="16">
        <f>SUM('Weekly Data'!H475:H478)/4</f>
        <v>665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9"/>
      <c r="R478" s="13">
        <v>37636</v>
      </c>
      <c r="S478" s="44"/>
      <c r="T478" s="44"/>
      <c r="U478" s="19"/>
      <c r="V478" s="44"/>
      <c r="W478" s="44"/>
      <c r="X478" s="39"/>
      <c r="Y478" s="39"/>
      <c r="Z478" s="39"/>
      <c r="AA478" s="40"/>
      <c r="AB478" s="44"/>
      <c r="AC478" s="39"/>
      <c r="AD478" s="40"/>
      <c r="AE478" s="44"/>
      <c r="AF478" s="39"/>
      <c r="AG478" s="40"/>
      <c r="AH478" s="44"/>
    </row>
    <row r="479" spans="1:34" x14ac:dyDescent="0.25">
      <c r="A479" s="105">
        <f t="shared" si="7"/>
        <v>37643</v>
      </c>
      <c r="B479" s="16"/>
      <c r="C479" s="16">
        <f>SUM('Weekly Data'!E476:E479)/4</f>
        <v>1006</v>
      </c>
      <c r="D479" s="16">
        <f>SUM('Weekly Data'!F476:F479)/4</f>
        <v>901.75</v>
      </c>
      <c r="E479" s="16">
        <f>SUM('Weekly Data'!G476:G479)/4</f>
        <v>2396.5</v>
      </c>
      <c r="F479" s="16">
        <f>SUM('Weekly Data'!H476:H479)/4</f>
        <v>716.5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9"/>
      <c r="R479" s="13">
        <v>37643</v>
      </c>
      <c r="S479" s="44"/>
      <c r="T479" s="44"/>
      <c r="U479" s="19"/>
      <c r="V479" s="44"/>
      <c r="W479" s="44"/>
      <c r="X479" s="40"/>
      <c r="Y479" s="39"/>
      <c r="Z479" s="39"/>
      <c r="AA479" s="40"/>
      <c r="AB479" s="44"/>
      <c r="AC479" s="39"/>
      <c r="AD479" s="40"/>
      <c r="AE479" s="44"/>
      <c r="AF479" s="39"/>
      <c r="AG479" s="40"/>
      <c r="AH479" s="44"/>
    </row>
    <row r="480" spans="1:34" x14ac:dyDescent="0.25">
      <c r="A480" s="105">
        <f t="shared" si="7"/>
        <v>37650</v>
      </c>
      <c r="B480" s="16"/>
      <c r="C480" s="16">
        <f>SUM('Weekly Data'!E477:E480)/4</f>
        <v>1028.25</v>
      </c>
      <c r="D480" s="16">
        <f>SUM('Weekly Data'!F477:F480)/4</f>
        <v>924</v>
      </c>
      <c r="E480" s="16">
        <f>SUM('Weekly Data'!G477:G480)/4</f>
        <v>2786.75</v>
      </c>
      <c r="F480" s="16">
        <f>SUM('Weekly Data'!H477:H480)/4</f>
        <v>705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9"/>
      <c r="R480" s="13">
        <v>37650</v>
      </c>
      <c r="S480" s="44"/>
      <c r="T480" s="44"/>
      <c r="U480" s="19"/>
      <c r="V480" s="44"/>
      <c r="W480" s="44"/>
      <c r="X480" s="40"/>
      <c r="Y480" s="39"/>
      <c r="Z480" s="39"/>
      <c r="AA480" s="40"/>
      <c r="AB480" s="44"/>
      <c r="AC480" s="39"/>
      <c r="AD480" s="40"/>
      <c r="AE480" s="44"/>
      <c r="AF480" s="39"/>
      <c r="AG480" s="40"/>
      <c r="AH480" s="44"/>
    </row>
    <row r="481" spans="1:34" x14ac:dyDescent="0.25">
      <c r="A481" s="105">
        <f t="shared" si="7"/>
        <v>37657</v>
      </c>
      <c r="B481" s="16"/>
      <c r="C481" s="16">
        <f>SUM('Weekly Data'!E478:E481)/4</f>
        <v>1022.75</v>
      </c>
      <c r="D481" s="16">
        <f>SUM('Weekly Data'!F478:F481)/4</f>
        <v>840.75</v>
      </c>
      <c r="E481" s="16">
        <f>SUM('Weekly Data'!G478:G481)/4</f>
        <v>3121.25</v>
      </c>
      <c r="F481" s="16">
        <f>SUM('Weekly Data'!H478:H481)/4</f>
        <v>750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9"/>
      <c r="R481" s="13">
        <v>37657</v>
      </c>
      <c r="S481" s="44"/>
      <c r="T481" s="44"/>
      <c r="U481" s="19"/>
      <c r="V481" s="44"/>
      <c r="W481" s="44"/>
      <c r="X481" s="40"/>
      <c r="Y481" s="39"/>
      <c r="Z481" s="39"/>
      <c r="AA481" s="40"/>
      <c r="AB481" s="44"/>
      <c r="AC481" s="39"/>
      <c r="AD481" s="40"/>
      <c r="AE481" s="44"/>
      <c r="AF481" s="39"/>
      <c r="AG481" s="40"/>
      <c r="AH481" s="44"/>
    </row>
    <row r="482" spans="1:34" x14ac:dyDescent="0.25">
      <c r="A482" s="105">
        <f t="shared" si="7"/>
        <v>37664</v>
      </c>
      <c r="B482" s="16"/>
      <c r="C482" s="16">
        <f>SUM('Weekly Data'!E479:E482)/4</f>
        <v>1181.75</v>
      </c>
      <c r="D482" s="16">
        <f>SUM('Weekly Data'!F479:F482)/4</f>
        <v>714.75</v>
      </c>
      <c r="E482" s="16">
        <f>SUM('Weekly Data'!G479:G482)/4</f>
        <v>3660</v>
      </c>
      <c r="F482" s="16">
        <f>SUM('Weekly Data'!H479:H482)/4</f>
        <v>756.75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9"/>
      <c r="R482" s="13">
        <v>37664</v>
      </c>
      <c r="S482" s="44"/>
      <c r="T482" s="44"/>
      <c r="U482" s="19"/>
      <c r="V482" s="44"/>
      <c r="W482" s="44"/>
      <c r="X482" s="40"/>
      <c r="Y482" s="39"/>
      <c r="Z482" s="39"/>
      <c r="AA482" s="40"/>
      <c r="AB482" s="44"/>
      <c r="AC482" s="39"/>
      <c r="AD482" s="40"/>
      <c r="AE482" s="44"/>
      <c r="AF482" s="39"/>
      <c r="AG482" s="40"/>
      <c r="AH482" s="44"/>
    </row>
    <row r="483" spans="1:34" x14ac:dyDescent="0.25">
      <c r="A483" s="105">
        <f t="shared" si="7"/>
        <v>37671</v>
      </c>
      <c r="B483" s="16"/>
      <c r="C483" s="16">
        <f>SUM('Weekly Data'!E480:E483)/4</f>
        <v>1262.5</v>
      </c>
      <c r="D483" s="16">
        <f>SUM('Weekly Data'!F480:F483)/4</f>
        <v>671</v>
      </c>
      <c r="E483" s="16">
        <f>SUM('Weekly Data'!G480:G483)/4</f>
        <v>3676</v>
      </c>
      <c r="F483" s="16">
        <f>SUM('Weekly Data'!H480:H483)/4</f>
        <v>716.75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9"/>
      <c r="R483" s="13">
        <v>37671</v>
      </c>
      <c r="S483" s="44"/>
      <c r="T483" s="44"/>
      <c r="U483" s="19"/>
      <c r="V483" s="44"/>
      <c r="W483" s="44"/>
      <c r="X483" s="40"/>
      <c r="Y483" s="39"/>
      <c r="Z483" s="39"/>
      <c r="AA483" s="40"/>
      <c r="AB483" s="44"/>
      <c r="AC483" s="39"/>
      <c r="AD483" s="40"/>
      <c r="AE483" s="44"/>
      <c r="AF483" s="39"/>
      <c r="AG483" s="40"/>
      <c r="AH483" s="44"/>
    </row>
    <row r="484" spans="1:34" x14ac:dyDescent="0.25">
      <c r="A484" s="105">
        <f t="shared" si="7"/>
        <v>37678</v>
      </c>
      <c r="B484" s="16"/>
      <c r="C484" s="16">
        <f>SUM('Weekly Data'!E481:E484)/4</f>
        <v>1302.5</v>
      </c>
      <c r="D484" s="16">
        <f>SUM('Weekly Data'!F481:F484)/4</f>
        <v>660.75</v>
      </c>
      <c r="E484" s="16">
        <f>SUM('Weekly Data'!G481:G484)/4</f>
        <v>3627.5</v>
      </c>
      <c r="F484" s="16">
        <f>SUM('Weekly Data'!H481:H484)/4</f>
        <v>764.75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9"/>
      <c r="R484" s="13">
        <v>37678</v>
      </c>
      <c r="S484" s="44"/>
      <c r="T484" s="44"/>
      <c r="U484" s="19"/>
      <c r="V484" s="44"/>
      <c r="W484" s="44"/>
      <c r="X484" s="40"/>
      <c r="Y484" s="39"/>
      <c r="Z484" s="39"/>
      <c r="AA484" s="40"/>
      <c r="AB484" s="44"/>
      <c r="AC484" s="39"/>
      <c r="AD484" s="40"/>
      <c r="AE484" s="44"/>
      <c r="AF484" s="39"/>
      <c r="AG484" s="40"/>
      <c r="AH484" s="44"/>
    </row>
    <row r="485" spans="1:34" x14ac:dyDescent="0.25">
      <c r="A485" s="105">
        <f t="shared" si="7"/>
        <v>37685</v>
      </c>
      <c r="B485" s="16"/>
      <c r="C485" s="16">
        <f>SUM('Weekly Data'!E482:E485)/4</f>
        <v>1173.25</v>
      </c>
      <c r="D485" s="16">
        <f>SUM('Weekly Data'!F482:F485)/4</f>
        <v>649.25</v>
      </c>
      <c r="E485" s="16">
        <f>SUM('Weekly Data'!G482:G485)/4</f>
        <v>3754</v>
      </c>
      <c r="F485" s="16">
        <f>SUM('Weekly Data'!H482:H485)/4</f>
        <v>639.25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9"/>
      <c r="R485" s="13">
        <v>37685</v>
      </c>
      <c r="S485" s="44"/>
      <c r="T485" s="44"/>
      <c r="U485" s="19"/>
      <c r="V485" s="44"/>
      <c r="W485" s="44"/>
      <c r="X485" s="40"/>
      <c r="Y485" s="39"/>
      <c r="Z485" s="39"/>
      <c r="AA485" s="40"/>
      <c r="AB485" s="44"/>
      <c r="AC485" s="39"/>
      <c r="AD485" s="40"/>
      <c r="AE485" s="44"/>
      <c r="AF485" s="39"/>
      <c r="AG485" s="40"/>
      <c r="AH485" s="44"/>
    </row>
    <row r="486" spans="1:34" x14ac:dyDescent="0.25">
      <c r="A486" s="105">
        <f t="shared" si="7"/>
        <v>37692</v>
      </c>
      <c r="B486" s="16"/>
      <c r="C486" s="16">
        <f>SUM('Weekly Data'!E483:E486)/4</f>
        <v>1009</v>
      </c>
      <c r="D486" s="16">
        <f>SUM('Weekly Data'!F483:F486)/4</f>
        <v>780.5</v>
      </c>
      <c r="E486" s="16">
        <f>SUM('Weekly Data'!G483:G486)/4</f>
        <v>3477.75</v>
      </c>
      <c r="F486" s="16">
        <f>SUM('Weekly Data'!H483:H486)/4</f>
        <v>542.5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9"/>
      <c r="R486" s="13">
        <v>37692</v>
      </c>
      <c r="S486" s="44"/>
      <c r="T486" s="44"/>
      <c r="U486" s="19"/>
      <c r="V486" s="44"/>
      <c r="W486" s="44"/>
      <c r="X486" s="40"/>
      <c r="Y486" s="39"/>
      <c r="Z486" s="39"/>
      <c r="AA486" s="40"/>
      <c r="AB486" s="44"/>
      <c r="AC486" s="39"/>
      <c r="AD486" s="40"/>
      <c r="AE486" s="44"/>
      <c r="AF486" s="39"/>
      <c r="AG486" s="40"/>
      <c r="AH486" s="44"/>
    </row>
    <row r="487" spans="1:34" x14ac:dyDescent="0.25">
      <c r="A487" s="105">
        <f t="shared" si="7"/>
        <v>37699</v>
      </c>
      <c r="B487" s="16"/>
      <c r="C487" s="16">
        <f>SUM('Weekly Data'!E484:E487)/4</f>
        <v>984.75</v>
      </c>
      <c r="D487" s="16">
        <f>SUM('Weekly Data'!F484:F487)/4</f>
        <v>902.25</v>
      </c>
      <c r="E487" s="16">
        <f>SUM('Weekly Data'!G484:G487)/4</f>
        <v>3748</v>
      </c>
      <c r="F487" s="16">
        <f>SUM('Weekly Data'!H484:H487)/4</f>
        <v>544.25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9"/>
      <c r="R487" s="13">
        <v>37699</v>
      </c>
      <c r="S487" s="44"/>
      <c r="T487" s="44"/>
      <c r="U487" s="19"/>
      <c r="V487" s="44"/>
      <c r="W487" s="44"/>
      <c r="X487" s="40"/>
      <c r="Y487" s="39"/>
      <c r="Z487" s="39"/>
      <c r="AA487" s="40"/>
      <c r="AB487" s="44"/>
      <c r="AC487" s="39"/>
      <c r="AD487" s="40"/>
      <c r="AE487" s="44"/>
      <c r="AF487" s="39"/>
      <c r="AG487" s="40"/>
      <c r="AH487" s="44"/>
    </row>
    <row r="488" spans="1:34" x14ac:dyDescent="0.25">
      <c r="A488" s="105">
        <f t="shared" si="7"/>
        <v>37706</v>
      </c>
      <c r="B488" s="16"/>
      <c r="C488" s="16">
        <f>SUM('Weekly Data'!E485:E488)/4</f>
        <v>1037</v>
      </c>
      <c r="D488" s="16">
        <f>SUM('Weekly Data'!F485:F488)/4</f>
        <v>1041.25</v>
      </c>
      <c r="E488" s="16">
        <f>SUM('Weekly Data'!G485:G488)/4</f>
        <v>3932.25</v>
      </c>
      <c r="F488" s="16">
        <f>SUM('Weekly Data'!H485:H488)/4</f>
        <v>404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9"/>
      <c r="R488" s="13">
        <v>37706</v>
      </c>
      <c r="S488" s="44"/>
      <c r="T488" s="44"/>
      <c r="U488" s="19"/>
      <c r="V488" s="44"/>
      <c r="W488" s="44"/>
      <c r="X488" s="40"/>
      <c r="Y488" s="39"/>
      <c r="Z488" s="39"/>
      <c r="AA488" s="40"/>
      <c r="AB488" s="44"/>
      <c r="AC488" s="39"/>
      <c r="AD488" s="40"/>
      <c r="AE488" s="44"/>
      <c r="AF488" s="39"/>
      <c r="AG488" s="40"/>
      <c r="AH488" s="44"/>
    </row>
    <row r="489" spans="1:34" x14ac:dyDescent="0.25">
      <c r="A489" s="105">
        <f t="shared" si="7"/>
        <v>37713</v>
      </c>
      <c r="B489" s="16"/>
      <c r="C489" s="16">
        <f>SUM('Weekly Data'!E486:E489)/4</f>
        <v>1161.25</v>
      </c>
      <c r="D489" s="16">
        <f>SUM('Weekly Data'!F486:F489)/4</f>
        <v>1000.25</v>
      </c>
      <c r="E489" s="16">
        <f>SUM('Weekly Data'!G486:G489)/4</f>
        <v>3951.25</v>
      </c>
      <c r="F489" s="16">
        <f>SUM('Weekly Data'!H486:H489)/4</f>
        <v>364.25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9"/>
      <c r="R489" s="13">
        <v>37713</v>
      </c>
      <c r="S489" s="44"/>
      <c r="T489" s="44"/>
      <c r="U489" s="19"/>
      <c r="V489" s="44"/>
      <c r="W489" s="44"/>
      <c r="X489" s="40"/>
      <c r="Y489" s="39"/>
      <c r="Z489" s="39"/>
      <c r="AA489" s="40"/>
      <c r="AB489" s="44"/>
      <c r="AC489" s="39"/>
      <c r="AD489" s="40"/>
      <c r="AE489" s="44"/>
      <c r="AF489" s="39"/>
      <c r="AG489" s="40"/>
      <c r="AH489" s="44"/>
    </row>
    <row r="490" spans="1:34" x14ac:dyDescent="0.25">
      <c r="A490" s="105">
        <f t="shared" si="7"/>
        <v>37720</v>
      </c>
      <c r="B490" s="16"/>
      <c r="C490" s="16">
        <f>SUM('Weekly Data'!E487:E490)/4</f>
        <v>1335.25</v>
      </c>
      <c r="D490" s="16">
        <f>SUM('Weekly Data'!F487:F490)/4</f>
        <v>1093.25</v>
      </c>
      <c r="E490" s="16">
        <f>SUM('Weekly Data'!G487:G490)/4</f>
        <v>4124.5</v>
      </c>
      <c r="F490" s="16">
        <f>SUM('Weekly Data'!H487:H490)/4</f>
        <v>346.75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9"/>
      <c r="R490" s="13">
        <v>37720</v>
      </c>
      <c r="S490" s="44"/>
      <c r="T490" s="44"/>
      <c r="U490" s="19"/>
      <c r="V490" s="44"/>
      <c r="W490" s="44"/>
      <c r="X490" s="40"/>
      <c r="Y490" s="39"/>
      <c r="Z490" s="39"/>
      <c r="AA490" s="40"/>
      <c r="AB490" s="44"/>
      <c r="AC490" s="39"/>
      <c r="AD490" s="40"/>
      <c r="AE490" s="44"/>
      <c r="AF490" s="39"/>
      <c r="AG490" s="40"/>
      <c r="AH490" s="44"/>
    </row>
    <row r="491" spans="1:34" x14ac:dyDescent="0.25">
      <c r="A491" s="105">
        <f t="shared" si="7"/>
        <v>37727</v>
      </c>
      <c r="B491" s="16"/>
      <c r="C491" s="16">
        <f>SUM('Weekly Data'!E488:E491)/4</f>
        <v>1535.25</v>
      </c>
      <c r="D491" s="16">
        <f>SUM('Weekly Data'!F488:F491)/4</f>
        <v>1040.5</v>
      </c>
      <c r="E491" s="16">
        <f>SUM('Weekly Data'!G488:G491)/4</f>
        <v>3735.75</v>
      </c>
      <c r="F491" s="16">
        <f>SUM('Weekly Data'!H488:H491)/4</f>
        <v>247.5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9"/>
      <c r="R491" s="13">
        <v>37727</v>
      </c>
      <c r="S491" s="44"/>
      <c r="T491" s="44"/>
      <c r="U491" s="19"/>
      <c r="V491" s="44"/>
      <c r="W491" s="44"/>
      <c r="X491" s="40"/>
      <c r="Y491" s="39"/>
      <c r="Z491" s="39"/>
      <c r="AA491" s="40"/>
      <c r="AB491" s="44"/>
      <c r="AC491" s="39"/>
      <c r="AD491" s="40"/>
      <c r="AE491" s="44"/>
      <c r="AF491" s="39"/>
      <c r="AG491" s="40"/>
      <c r="AH491" s="44"/>
    </row>
    <row r="492" spans="1:34" x14ac:dyDescent="0.25">
      <c r="A492" s="105">
        <f t="shared" si="7"/>
        <v>37734</v>
      </c>
      <c r="B492" s="16"/>
      <c r="C492" s="16">
        <f>SUM('Weekly Data'!E489:E492)/4</f>
        <v>1252.75</v>
      </c>
      <c r="D492" s="16">
        <f>SUM('Weekly Data'!F489:F492)/4</f>
        <v>1025.75</v>
      </c>
      <c r="E492" s="16">
        <f>SUM('Weekly Data'!G489:G492)/4</f>
        <v>3457.5</v>
      </c>
      <c r="F492" s="16">
        <f>SUM('Weekly Data'!H489:H492)/4</f>
        <v>196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9"/>
      <c r="R492" s="13">
        <v>37734</v>
      </c>
      <c r="S492" s="44"/>
      <c r="T492" s="44"/>
      <c r="U492" s="19"/>
      <c r="V492" s="44"/>
      <c r="W492" s="44"/>
      <c r="X492" s="40"/>
      <c r="Y492" s="39"/>
      <c r="Z492" s="39"/>
      <c r="AA492" s="40"/>
      <c r="AB492" s="44"/>
      <c r="AC492" s="39"/>
      <c r="AD492" s="40"/>
      <c r="AE492" s="44"/>
      <c r="AF492" s="39"/>
      <c r="AG492" s="40"/>
      <c r="AH492" s="44"/>
    </row>
    <row r="493" spans="1:34" x14ac:dyDescent="0.25">
      <c r="A493" s="105">
        <f t="shared" si="7"/>
        <v>37741</v>
      </c>
      <c r="B493" s="16"/>
      <c r="C493" s="16">
        <f>SUM('Weekly Data'!E490:E493)/4</f>
        <v>1070</v>
      </c>
      <c r="D493" s="16">
        <f>SUM('Weekly Data'!F490:F493)/4</f>
        <v>1124.25</v>
      </c>
      <c r="E493" s="16">
        <f>SUM('Weekly Data'!G490:G493)/4</f>
        <v>3028</v>
      </c>
      <c r="F493" s="16">
        <f>SUM('Weekly Data'!H490:H493)/4</f>
        <v>209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9"/>
      <c r="R493" s="13">
        <v>37741</v>
      </c>
      <c r="S493" s="44"/>
      <c r="T493" s="44"/>
      <c r="U493" s="19"/>
      <c r="V493" s="44"/>
      <c r="W493" s="44"/>
      <c r="X493" s="40"/>
      <c r="Y493" s="39"/>
      <c r="Z493" s="39"/>
      <c r="AA493" s="40"/>
      <c r="AB493" s="44"/>
      <c r="AC493" s="39"/>
      <c r="AD493" s="40"/>
      <c r="AE493" s="44"/>
      <c r="AF493" s="39"/>
      <c r="AG493" s="40"/>
      <c r="AH493" s="44"/>
    </row>
    <row r="494" spans="1:34" x14ac:dyDescent="0.25">
      <c r="A494" s="105">
        <f t="shared" si="7"/>
        <v>37748</v>
      </c>
      <c r="B494" s="16"/>
      <c r="C494" s="16">
        <f>SUM('Weekly Data'!E491:E494)/4</f>
        <v>819.75</v>
      </c>
      <c r="D494" s="16">
        <f>SUM('Weekly Data'!F491:F494)/4</f>
        <v>1078.75</v>
      </c>
      <c r="E494" s="16">
        <f>SUM('Weekly Data'!G491:G494)/4</f>
        <v>2768.5</v>
      </c>
      <c r="F494" s="16">
        <f>SUM('Weekly Data'!H491:H494)/4</f>
        <v>221.75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9"/>
      <c r="R494" s="13">
        <v>37748</v>
      </c>
      <c r="S494" s="44"/>
      <c r="T494" s="44"/>
      <c r="U494" s="19"/>
      <c r="V494" s="44"/>
      <c r="W494" s="44"/>
      <c r="X494" s="40"/>
      <c r="Y494" s="39"/>
      <c r="Z494" s="39"/>
      <c r="AA494" s="40"/>
      <c r="AB494" s="44"/>
      <c r="AC494" s="39"/>
      <c r="AD494" s="40"/>
      <c r="AE494" s="44"/>
      <c r="AF494" s="39"/>
      <c r="AG494" s="40"/>
      <c r="AH494" s="44"/>
    </row>
    <row r="495" spans="1:34" x14ac:dyDescent="0.25">
      <c r="A495" s="105">
        <f t="shared" si="7"/>
        <v>37755</v>
      </c>
      <c r="B495" s="16"/>
      <c r="C495" s="16">
        <f>SUM('Weekly Data'!E492:E495)/4</f>
        <v>630.75</v>
      </c>
      <c r="D495" s="16">
        <f>SUM('Weekly Data'!F492:F495)/4</f>
        <v>1013</v>
      </c>
      <c r="E495" s="16">
        <f>SUM('Weekly Data'!G492:G495)/4</f>
        <v>2606.5</v>
      </c>
      <c r="F495" s="16">
        <f>SUM('Weekly Data'!H492:H495)/4</f>
        <v>158.75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9"/>
      <c r="R495" s="13">
        <v>37755</v>
      </c>
      <c r="S495" s="44"/>
      <c r="T495" s="44"/>
      <c r="U495" s="19"/>
      <c r="V495" s="44"/>
      <c r="W495" s="44"/>
      <c r="X495" s="40"/>
      <c r="Y495" s="39"/>
      <c r="Z495" s="39"/>
      <c r="AA495" s="40"/>
      <c r="AB495" s="44"/>
      <c r="AC495" s="39"/>
      <c r="AD495" s="40"/>
      <c r="AE495" s="44"/>
      <c r="AF495" s="39"/>
      <c r="AG495" s="40"/>
      <c r="AH495" s="44"/>
    </row>
    <row r="496" spans="1:34" x14ac:dyDescent="0.25">
      <c r="A496" s="105">
        <f t="shared" si="7"/>
        <v>37762</v>
      </c>
      <c r="B496" s="16"/>
      <c r="C496" s="16">
        <f>SUM('Weekly Data'!E493:E496)/4</f>
        <v>821.25</v>
      </c>
      <c r="D496" s="16">
        <f>SUM('Weekly Data'!F493:F496)/4</f>
        <v>983.25</v>
      </c>
      <c r="E496" s="16">
        <f>SUM('Weekly Data'!G493:G496)/4</f>
        <v>2253.5</v>
      </c>
      <c r="F496" s="16">
        <f>SUM('Weekly Data'!H493:H496)/4</f>
        <v>149.25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9"/>
      <c r="R496" s="13">
        <v>37762</v>
      </c>
      <c r="S496" s="44"/>
      <c r="T496" s="44"/>
      <c r="U496" s="19"/>
      <c r="V496" s="44"/>
      <c r="W496" s="44"/>
      <c r="X496" s="40"/>
      <c r="Y496" s="39"/>
      <c r="Z496" s="39"/>
      <c r="AA496" s="40"/>
      <c r="AB496" s="44"/>
      <c r="AC496" s="39"/>
      <c r="AD496" s="40"/>
      <c r="AE496" s="44"/>
      <c r="AF496" s="39"/>
      <c r="AG496" s="40"/>
      <c r="AH496" s="44"/>
    </row>
    <row r="497" spans="1:34" x14ac:dyDescent="0.25">
      <c r="A497" s="105">
        <f t="shared" si="7"/>
        <v>37769</v>
      </c>
      <c r="B497" s="16"/>
      <c r="C497" s="16">
        <f>SUM('Weekly Data'!E494:E497)/4</f>
        <v>906.75</v>
      </c>
      <c r="D497" s="16">
        <f>SUM('Weekly Data'!F494:F497)/4</f>
        <v>947.5</v>
      </c>
      <c r="E497" s="16">
        <f>SUM('Weekly Data'!G494:G497)/4</f>
        <v>2053.5</v>
      </c>
      <c r="F497" s="16">
        <f>SUM('Weekly Data'!H494:H497)/4</f>
        <v>101.25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9"/>
      <c r="R497" s="13">
        <v>37769</v>
      </c>
      <c r="S497" s="44"/>
      <c r="T497" s="44"/>
      <c r="U497" s="19"/>
      <c r="V497" s="44"/>
      <c r="W497" s="44"/>
      <c r="X497" s="40"/>
      <c r="Y497" s="39"/>
      <c r="Z497" s="39"/>
      <c r="AA497" s="40"/>
      <c r="AB497" s="44"/>
      <c r="AC497" s="39"/>
      <c r="AD497" s="40"/>
      <c r="AE497" s="44"/>
      <c r="AF497" s="39"/>
      <c r="AG497" s="40"/>
      <c r="AH497" s="44"/>
    </row>
    <row r="498" spans="1:34" x14ac:dyDescent="0.25">
      <c r="A498" s="105">
        <f t="shared" si="7"/>
        <v>37776</v>
      </c>
      <c r="B498" s="16"/>
      <c r="C498" s="16">
        <f>SUM('Weekly Data'!E495:E498)/4</f>
        <v>1130.75</v>
      </c>
      <c r="D498" s="16">
        <f>SUM('Weekly Data'!F495:F498)/4</f>
        <v>837</v>
      </c>
      <c r="E498" s="16">
        <f>SUM('Weekly Data'!G495:G498)/4</f>
        <v>1767.25</v>
      </c>
      <c r="F498" s="16">
        <f>SUM('Weekly Data'!H495:H498)/4</f>
        <v>91.5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9"/>
      <c r="R498" s="13">
        <v>37776</v>
      </c>
      <c r="S498" s="44"/>
      <c r="T498" s="44"/>
      <c r="U498" s="19"/>
      <c r="V498" s="44"/>
      <c r="W498" s="44"/>
      <c r="X498" s="40"/>
      <c r="Y498" s="39"/>
      <c r="Z498" s="39"/>
      <c r="AA498" s="40"/>
      <c r="AB498" s="44"/>
      <c r="AC498" s="39"/>
      <c r="AD498" s="40"/>
      <c r="AE498" s="44"/>
      <c r="AF498" s="39"/>
      <c r="AG498" s="40"/>
      <c r="AH498" s="44"/>
    </row>
    <row r="499" spans="1:34" x14ac:dyDescent="0.25">
      <c r="A499" s="105">
        <f t="shared" si="7"/>
        <v>37783</v>
      </c>
      <c r="B499" s="16"/>
      <c r="C499" s="16">
        <f>SUM('Weekly Data'!E496:E499)/4</f>
        <v>1451.75</v>
      </c>
      <c r="D499" s="16">
        <f>SUM('Weekly Data'!F496:F499)/4</f>
        <v>810</v>
      </c>
      <c r="E499" s="16">
        <f>SUM('Weekly Data'!G496:G499)/4</f>
        <v>1780.75</v>
      </c>
      <c r="F499" s="16">
        <f>SUM('Weekly Data'!H496:H499)/4</f>
        <v>105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9"/>
      <c r="R499" s="13">
        <v>37783</v>
      </c>
      <c r="S499" s="44"/>
      <c r="T499" s="44"/>
      <c r="U499" s="19"/>
      <c r="V499" s="44"/>
      <c r="W499" s="44"/>
      <c r="X499" s="40"/>
      <c r="Y499" s="39"/>
      <c r="Z499" s="39"/>
      <c r="AA499" s="40"/>
      <c r="AB499" s="44"/>
      <c r="AC499" s="39"/>
      <c r="AD499" s="40"/>
      <c r="AE499" s="44"/>
      <c r="AF499" s="39"/>
      <c r="AG499" s="40"/>
      <c r="AH499" s="44"/>
    </row>
    <row r="500" spans="1:34" x14ac:dyDescent="0.25">
      <c r="A500" s="105">
        <f t="shared" si="7"/>
        <v>37790</v>
      </c>
      <c r="B500" s="16"/>
      <c r="C500" s="16">
        <f>SUM('Weekly Data'!E497:E500)/4</f>
        <v>1563</v>
      </c>
      <c r="D500" s="16">
        <f>SUM('Weekly Data'!F497:F500)/4</f>
        <v>736.5</v>
      </c>
      <c r="E500" s="16">
        <f>SUM('Weekly Data'!G497:G500)/4</f>
        <v>1713</v>
      </c>
      <c r="F500" s="16">
        <f>SUM('Weekly Data'!H497:H500)/4</f>
        <v>130.25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9"/>
      <c r="R500" s="13">
        <v>37790</v>
      </c>
      <c r="S500" s="44"/>
      <c r="T500" s="44"/>
      <c r="U500" s="19"/>
      <c r="V500" s="44"/>
      <c r="W500" s="44"/>
      <c r="X500" s="40"/>
      <c r="Y500" s="39"/>
      <c r="Z500" s="39"/>
      <c r="AA500" s="40"/>
      <c r="AB500" s="44"/>
      <c r="AC500" s="39"/>
      <c r="AD500" s="40"/>
      <c r="AE500" s="44"/>
      <c r="AF500" s="39"/>
      <c r="AG500" s="40"/>
      <c r="AH500" s="44"/>
    </row>
    <row r="501" spans="1:34" x14ac:dyDescent="0.25">
      <c r="A501" s="105">
        <f t="shared" si="7"/>
        <v>37797</v>
      </c>
      <c r="B501" s="16"/>
      <c r="C501" s="16">
        <f>SUM('Weekly Data'!E498:E501)/4</f>
        <v>1730.5</v>
      </c>
      <c r="D501" s="16">
        <f>SUM('Weekly Data'!F498:F501)/4</f>
        <v>690.25</v>
      </c>
      <c r="E501" s="16">
        <f>SUM('Weekly Data'!G498:G501)/4</f>
        <v>1739.25</v>
      </c>
      <c r="F501" s="16">
        <f>SUM('Weekly Data'!H498:H501)/4</f>
        <v>143.25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9"/>
      <c r="R501" s="13">
        <v>37797</v>
      </c>
      <c r="S501" s="44"/>
      <c r="T501" s="44"/>
      <c r="U501" s="19"/>
      <c r="V501" s="44"/>
      <c r="W501" s="44"/>
      <c r="X501" s="40"/>
      <c r="Y501" s="39"/>
      <c r="Z501" s="39"/>
      <c r="AA501" s="40"/>
      <c r="AB501" s="44"/>
      <c r="AC501" s="39"/>
      <c r="AD501" s="40"/>
      <c r="AE501" s="44"/>
      <c r="AF501" s="39"/>
      <c r="AG501" s="40"/>
      <c r="AH501" s="44"/>
    </row>
    <row r="502" spans="1:34" x14ac:dyDescent="0.25">
      <c r="A502" s="105">
        <f t="shared" si="7"/>
        <v>37804</v>
      </c>
      <c r="B502" s="16"/>
      <c r="C502" s="16">
        <f>SUM('Weekly Data'!E499:E502)/4</f>
        <v>1960.75</v>
      </c>
      <c r="D502" s="16">
        <f>SUM('Weekly Data'!F499:F502)/4</f>
        <v>635.75</v>
      </c>
      <c r="E502" s="16">
        <f>SUM('Weekly Data'!G499:G502)/4</f>
        <v>1831.5</v>
      </c>
      <c r="F502" s="16">
        <f>SUM('Weekly Data'!H499:H502)/4</f>
        <v>226.75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9"/>
      <c r="R502" s="13">
        <v>37804</v>
      </c>
      <c r="S502" s="44"/>
      <c r="T502" s="44"/>
      <c r="U502" s="39"/>
      <c r="V502" s="44"/>
      <c r="W502" s="44"/>
      <c r="X502" s="40"/>
      <c r="Y502" s="39"/>
      <c r="Z502" s="39"/>
      <c r="AA502" s="40"/>
      <c r="AB502" s="44"/>
      <c r="AC502" s="39"/>
      <c r="AD502" s="40"/>
      <c r="AE502" s="44"/>
      <c r="AF502" s="39"/>
      <c r="AG502" s="40"/>
      <c r="AH502" s="44"/>
    </row>
    <row r="503" spans="1:34" x14ac:dyDescent="0.25">
      <c r="A503" s="105">
        <f t="shared" si="7"/>
        <v>37811</v>
      </c>
      <c r="B503" s="16"/>
      <c r="C503" s="16">
        <f>SUM('Weekly Data'!E500:E503)/4</f>
        <v>1792.25</v>
      </c>
      <c r="D503" s="16">
        <f>SUM('Weekly Data'!F500:F503)/4</f>
        <v>630</v>
      </c>
      <c r="E503" s="16">
        <f>SUM('Weekly Data'!G500:G503)/4</f>
        <v>1833.75</v>
      </c>
      <c r="F503" s="16">
        <f>SUM('Weekly Data'!H500:H503)/4</f>
        <v>259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9"/>
      <c r="R503" s="13">
        <v>37811</v>
      </c>
      <c r="S503" s="44"/>
      <c r="T503" s="44"/>
      <c r="U503" s="39"/>
      <c r="V503" s="44"/>
      <c r="W503" s="44"/>
      <c r="X503" s="40"/>
      <c r="Y503" s="39"/>
      <c r="Z503" s="39"/>
      <c r="AA503" s="40"/>
      <c r="AB503" s="44"/>
      <c r="AC503" s="39"/>
      <c r="AD503" s="40"/>
      <c r="AE503" s="44"/>
      <c r="AF503" s="39"/>
      <c r="AG503" s="40"/>
      <c r="AH503" s="44"/>
    </row>
    <row r="504" spans="1:34" x14ac:dyDescent="0.25">
      <c r="A504" s="105">
        <f t="shared" si="7"/>
        <v>37818</v>
      </c>
      <c r="B504" s="16"/>
      <c r="C504" s="16">
        <f>SUM('Weekly Data'!E501:E504)/4</f>
        <v>1776.75</v>
      </c>
      <c r="D504" s="16">
        <f>SUM('Weekly Data'!F501:F504)/4</f>
        <v>674.25</v>
      </c>
      <c r="E504" s="16">
        <f>SUM('Weekly Data'!G501:G504)/4</f>
        <v>1969.5</v>
      </c>
      <c r="F504" s="16">
        <f>SUM('Weekly Data'!H501:H504)/4</f>
        <v>256.5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9"/>
      <c r="R504" s="13">
        <v>37818</v>
      </c>
      <c r="S504" s="44"/>
      <c r="T504" s="44"/>
      <c r="U504" s="39"/>
      <c r="V504" s="44"/>
      <c r="W504" s="44"/>
      <c r="X504" s="40"/>
      <c r="Y504" s="39"/>
      <c r="Z504" s="39"/>
      <c r="AA504" s="40"/>
      <c r="AB504" s="44"/>
      <c r="AC504" s="39"/>
      <c r="AD504" s="40"/>
      <c r="AE504" s="44"/>
      <c r="AF504" s="39"/>
      <c r="AG504" s="40"/>
      <c r="AH504" s="44"/>
    </row>
    <row r="505" spans="1:34" x14ac:dyDescent="0.25">
      <c r="A505" s="105">
        <f t="shared" si="7"/>
        <v>37825</v>
      </c>
      <c r="B505" s="16"/>
      <c r="C505" s="16">
        <f>SUM('Weekly Data'!E502:E505)/4</f>
        <v>1829.75</v>
      </c>
      <c r="D505" s="16">
        <f>SUM('Weekly Data'!F502:F505)/4</f>
        <v>674.5</v>
      </c>
      <c r="E505" s="16">
        <f>SUM('Weekly Data'!G502:G505)/4</f>
        <v>2036.75</v>
      </c>
      <c r="F505" s="16">
        <f>SUM('Weekly Data'!H502:H505)/4</f>
        <v>249.75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9"/>
      <c r="R505" s="13">
        <v>37825</v>
      </c>
      <c r="S505" s="44"/>
      <c r="T505" s="44"/>
      <c r="U505" s="39"/>
      <c r="V505" s="44"/>
      <c r="W505" s="44"/>
      <c r="X505" s="40"/>
      <c r="Y505" s="39"/>
      <c r="Z505" s="39"/>
      <c r="AA505" s="40"/>
      <c r="AB505" s="44"/>
      <c r="AC505" s="39"/>
      <c r="AD505" s="40"/>
      <c r="AE505" s="44"/>
      <c r="AF505" s="39"/>
      <c r="AG505" s="40"/>
      <c r="AH505" s="44"/>
    </row>
    <row r="506" spans="1:34" x14ac:dyDescent="0.25">
      <c r="A506" s="105">
        <f t="shared" si="7"/>
        <v>37832</v>
      </c>
      <c r="B506" s="16"/>
      <c r="C506" s="16">
        <f>SUM('Weekly Data'!E503:E506)/4</f>
        <v>1717.25</v>
      </c>
      <c r="D506" s="16">
        <f>SUM('Weekly Data'!F503:F506)/4</f>
        <v>725.5</v>
      </c>
      <c r="E506" s="16">
        <f>SUM('Weekly Data'!G503:G506)/4</f>
        <v>1939.5</v>
      </c>
      <c r="F506" s="16">
        <f>SUM('Weekly Data'!H503:H506)/4</f>
        <v>160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9"/>
      <c r="R506" s="13">
        <v>37832</v>
      </c>
      <c r="S506" s="44"/>
      <c r="T506" s="44"/>
      <c r="U506" s="39"/>
      <c r="V506" s="44"/>
      <c r="W506" s="44"/>
      <c r="X506" s="40"/>
      <c r="Y506" s="39"/>
      <c r="Z506" s="39"/>
      <c r="AA506" s="40"/>
      <c r="AB506" s="44"/>
      <c r="AC506" s="39"/>
      <c r="AD506" s="40"/>
      <c r="AE506" s="44"/>
      <c r="AF506" s="39"/>
      <c r="AG506" s="40"/>
      <c r="AH506" s="44"/>
    </row>
    <row r="507" spans="1:34" x14ac:dyDescent="0.25">
      <c r="A507" s="105">
        <f t="shared" si="7"/>
        <v>37839</v>
      </c>
      <c r="B507" s="16"/>
      <c r="C507" s="16">
        <f>SUM('Weekly Data'!E504:E507)/4</f>
        <v>1943.25</v>
      </c>
      <c r="D507" s="16">
        <f>SUM('Weekly Data'!F504:F507)/4</f>
        <v>728</v>
      </c>
      <c r="E507" s="16">
        <f>SUM('Weekly Data'!G504:G507)/4</f>
        <v>2082</v>
      </c>
      <c r="F507" s="16">
        <f>SUM('Weekly Data'!H504:H507)/4</f>
        <v>132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9"/>
      <c r="R507" s="13">
        <v>37839</v>
      </c>
      <c r="S507" s="44"/>
      <c r="T507" s="44"/>
      <c r="U507" s="39"/>
      <c r="V507" s="44"/>
      <c r="W507" s="44"/>
      <c r="X507" s="40"/>
      <c r="Y507" s="39"/>
      <c r="Z507" s="39"/>
      <c r="AA507" s="40"/>
      <c r="AB507" s="44"/>
      <c r="AC507" s="39"/>
      <c r="AD507" s="40"/>
      <c r="AE507" s="44"/>
      <c r="AF507" s="39"/>
      <c r="AG507" s="40"/>
      <c r="AH507" s="44"/>
    </row>
    <row r="508" spans="1:34" x14ac:dyDescent="0.25">
      <c r="A508" s="105">
        <f t="shared" si="7"/>
        <v>37846</v>
      </c>
      <c r="B508" s="16"/>
      <c r="C508" s="16">
        <f>SUM('Weekly Data'!E505:E508)/4</f>
        <v>2188.5</v>
      </c>
      <c r="D508" s="16">
        <f>SUM('Weekly Data'!F505:F508)/4</f>
        <v>721.5</v>
      </c>
      <c r="E508" s="16">
        <f>SUM('Weekly Data'!G505:G508)/4</f>
        <v>2133.25</v>
      </c>
      <c r="F508" s="16">
        <f>SUM('Weekly Data'!H505:H508)/4</f>
        <v>126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9"/>
      <c r="R508" s="13">
        <v>37846</v>
      </c>
      <c r="S508" s="44"/>
      <c r="T508" s="44"/>
      <c r="U508" s="39"/>
      <c r="V508" s="44"/>
      <c r="W508" s="44"/>
      <c r="X508" s="40"/>
      <c r="Y508" s="39"/>
      <c r="Z508" s="39"/>
      <c r="AA508" s="40"/>
      <c r="AB508" s="44"/>
      <c r="AC508" s="39"/>
      <c r="AD508" s="40"/>
      <c r="AE508" s="44"/>
      <c r="AF508" s="39"/>
      <c r="AG508" s="40"/>
      <c r="AH508" s="44"/>
    </row>
    <row r="509" spans="1:34" x14ac:dyDescent="0.25">
      <c r="A509" s="105">
        <f t="shared" si="7"/>
        <v>37853</v>
      </c>
      <c r="B509" s="16"/>
      <c r="C509" s="16">
        <f>SUM('Weekly Data'!E506:E509)/4</f>
        <v>2284</v>
      </c>
      <c r="D509" s="16">
        <f>SUM('Weekly Data'!F506:F509)/4</f>
        <v>817.5</v>
      </c>
      <c r="E509" s="16">
        <f>SUM('Weekly Data'!G506:G509)/4</f>
        <v>2081.25</v>
      </c>
      <c r="F509" s="16">
        <f>SUM('Weekly Data'!H506:H509)/4</f>
        <v>137.25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9"/>
      <c r="R509" s="13">
        <v>37853</v>
      </c>
      <c r="S509" s="44"/>
      <c r="T509" s="44"/>
      <c r="U509" s="39"/>
      <c r="V509" s="44"/>
      <c r="W509" s="44"/>
      <c r="X509" s="40"/>
      <c r="Y509" s="39"/>
      <c r="Z509" s="39"/>
      <c r="AA509" s="40"/>
      <c r="AB509" s="44"/>
      <c r="AC509" s="39"/>
      <c r="AD509" s="40"/>
      <c r="AE509" s="44"/>
      <c r="AF509" s="39"/>
      <c r="AG509" s="40"/>
      <c r="AH509" s="44"/>
    </row>
    <row r="510" spans="1:34" x14ac:dyDescent="0.25">
      <c r="A510" s="105">
        <f t="shared" si="7"/>
        <v>37860</v>
      </c>
      <c r="B510" s="16"/>
      <c r="C510" s="16">
        <f>SUM('Weekly Data'!E507:E510)/4</f>
        <v>2495.25</v>
      </c>
      <c r="D510" s="16">
        <f>SUM('Weekly Data'!F507:F510)/4</f>
        <v>835</v>
      </c>
      <c r="E510" s="16">
        <f>SUM('Weekly Data'!G507:G510)/4</f>
        <v>2261.5</v>
      </c>
      <c r="F510" s="16">
        <f>SUM('Weekly Data'!H507:H510)/4</f>
        <v>146.25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9"/>
      <c r="R510" s="13">
        <v>37860</v>
      </c>
      <c r="S510" s="44"/>
      <c r="T510" s="44"/>
      <c r="U510" s="39"/>
      <c r="V510" s="44"/>
      <c r="W510" s="44"/>
      <c r="X510" s="40"/>
      <c r="Y510" s="39"/>
      <c r="Z510" s="39"/>
      <c r="AA510" s="40"/>
      <c r="AB510" s="44"/>
      <c r="AC510" s="39"/>
      <c r="AD510" s="40"/>
      <c r="AE510" s="44"/>
      <c r="AF510" s="39"/>
      <c r="AG510" s="40"/>
      <c r="AH510" s="44"/>
    </row>
    <row r="511" spans="1:34" x14ac:dyDescent="0.25">
      <c r="A511" s="105">
        <f t="shared" si="7"/>
        <v>37867</v>
      </c>
      <c r="B511" s="16"/>
      <c r="C511" s="16">
        <f>SUM('Weekly Data'!E508:E511)/4</f>
        <v>2612.75</v>
      </c>
      <c r="D511" s="16">
        <f>SUM('Weekly Data'!F508:F511)/4</f>
        <v>771.25</v>
      </c>
      <c r="E511" s="16">
        <f>SUM('Weekly Data'!G508:G511)/4</f>
        <v>2248.75</v>
      </c>
      <c r="F511" s="16">
        <f>SUM('Weekly Data'!H508:H511)/4</f>
        <v>145.25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9"/>
      <c r="R511" s="34">
        <v>37867</v>
      </c>
      <c r="S511" s="44"/>
      <c r="T511" s="44"/>
      <c r="U511" s="39"/>
      <c r="V511" s="44"/>
      <c r="W511" s="44"/>
      <c r="X511" s="40"/>
      <c r="Y511" s="39"/>
      <c r="Z511" s="39"/>
      <c r="AA511" s="40"/>
      <c r="AB511" s="44"/>
      <c r="AC511" s="39"/>
      <c r="AD511" s="40"/>
      <c r="AE511" s="44"/>
      <c r="AF511" s="39"/>
      <c r="AG511" s="40"/>
      <c r="AH511" s="44"/>
    </row>
    <row r="512" spans="1:34" x14ac:dyDescent="0.25">
      <c r="A512" s="105">
        <f t="shared" si="7"/>
        <v>37874</v>
      </c>
      <c r="B512" s="16"/>
      <c r="C512" s="16">
        <f>SUM('Weekly Data'!E509:E512)/4</f>
        <v>2654.75</v>
      </c>
      <c r="D512" s="16">
        <f>SUM('Weekly Data'!F509:F512)/4</f>
        <v>816.75</v>
      </c>
      <c r="E512" s="16">
        <f>SUM('Weekly Data'!G509:G512)/4</f>
        <v>2415.5</v>
      </c>
      <c r="F512" s="16">
        <f>SUM('Weekly Data'!H509:H512)/4</f>
        <v>122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9"/>
      <c r="R512" s="13">
        <v>37874</v>
      </c>
      <c r="S512" s="44"/>
      <c r="T512" s="44"/>
      <c r="U512" s="39"/>
      <c r="V512" s="44"/>
      <c r="W512" s="44"/>
      <c r="X512" s="40"/>
      <c r="Y512" s="39"/>
      <c r="Z512" s="39"/>
      <c r="AA512" s="40"/>
      <c r="AB512" s="44"/>
      <c r="AC512" s="39"/>
      <c r="AD512" s="40"/>
      <c r="AE512" s="44"/>
      <c r="AF512" s="39"/>
      <c r="AG512" s="40"/>
      <c r="AH512" s="44"/>
    </row>
    <row r="513" spans="1:34" x14ac:dyDescent="0.25">
      <c r="A513" s="105">
        <f t="shared" si="7"/>
        <v>37881</v>
      </c>
      <c r="B513" s="16"/>
      <c r="C513" s="16">
        <f>SUM('Weekly Data'!E510:E513)/4</f>
        <v>2851.25</v>
      </c>
      <c r="D513" s="16">
        <f>SUM('Weekly Data'!F510:F513)/4</f>
        <v>795</v>
      </c>
      <c r="E513" s="16">
        <f>SUM('Weekly Data'!G510:G513)/4</f>
        <v>2661.5</v>
      </c>
      <c r="F513" s="16">
        <f>SUM('Weekly Data'!H510:H513)/4</f>
        <v>84.25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9"/>
      <c r="R513" s="13">
        <v>37881</v>
      </c>
      <c r="S513" s="44"/>
      <c r="T513" s="44"/>
      <c r="U513" s="39"/>
      <c r="V513" s="44"/>
      <c r="W513" s="44"/>
      <c r="X513" s="40"/>
      <c r="Y513" s="39"/>
      <c r="Z513" s="39"/>
      <c r="AA513" s="40"/>
      <c r="AB513" s="44"/>
      <c r="AC513" s="39"/>
      <c r="AD513" s="40"/>
      <c r="AE513" s="44"/>
      <c r="AF513" s="39"/>
      <c r="AG513" s="40"/>
      <c r="AH513" s="44"/>
    </row>
    <row r="514" spans="1:34" x14ac:dyDescent="0.25">
      <c r="A514" s="105">
        <f t="shared" si="7"/>
        <v>37888</v>
      </c>
      <c r="B514" s="16"/>
      <c r="C514" s="16">
        <f>SUM('Weekly Data'!E511:E514)/4</f>
        <v>2798.5</v>
      </c>
      <c r="D514" s="16">
        <f>SUM('Weekly Data'!F511:F514)/4</f>
        <v>807.5</v>
      </c>
      <c r="E514" s="16">
        <f>SUM('Weekly Data'!G511:G514)/4</f>
        <v>2758.25</v>
      </c>
      <c r="F514" s="16">
        <f>SUM('Weekly Data'!H511:H514)/4</f>
        <v>44.25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9"/>
      <c r="R514" s="13">
        <v>37888</v>
      </c>
      <c r="S514" s="44"/>
      <c r="T514" s="44"/>
      <c r="U514" s="39"/>
      <c r="V514" s="44"/>
      <c r="W514" s="44"/>
      <c r="X514" s="40"/>
      <c r="Y514" s="39"/>
      <c r="Z514" s="39"/>
      <c r="AA514" s="40"/>
      <c r="AB514" s="44"/>
      <c r="AC514" s="39"/>
      <c r="AD514" s="40"/>
      <c r="AE514" s="44"/>
      <c r="AF514" s="39"/>
      <c r="AG514" s="40"/>
      <c r="AH514" s="44"/>
    </row>
    <row r="515" spans="1:34" x14ac:dyDescent="0.25">
      <c r="A515" s="105">
        <f t="shared" si="7"/>
        <v>37895</v>
      </c>
      <c r="B515" s="16"/>
      <c r="C515" s="16">
        <f>SUM('Weekly Data'!E512:E515)/4</f>
        <v>2773</v>
      </c>
      <c r="D515" s="16">
        <f>SUM('Weekly Data'!F512:F515)/4</f>
        <v>998.75</v>
      </c>
      <c r="E515" s="16">
        <f>SUM('Weekly Data'!G512:G515)/4</f>
        <v>3107.5</v>
      </c>
      <c r="F515" s="16">
        <f>SUM('Weekly Data'!H512:H515)/4</f>
        <v>35.25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9"/>
      <c r="R515" s="13">
        <v>37895</v>
      </c>
      <c r="S515" s="44"/>
      <c r="T515" s="44"/>
      <c r="U515" s="39"/>
      <c r="V515" s="44"/>
      <c r="W515" s="44"/>
      <c r="X515" s="40"/>
      <c r="Y515" s="39"/>
      <c r="Z515" s="39"/>
      <c r="AA515" s="40"/>
      <c r="AB515" s="44"/>
      <c r="AC515" s="39"/>
      <c r="AD515" s="40"/>
      <c r="AE515" s="44"/>
      <c r="AF515" s="39"/>
      <c r="AG515" s="40"/>
      <c r="AH515" s="44"/>
    </row>
    <row r="516" spans="1:34" x14ac:dyDescent="0.25">
      <c r="A516" s="105">
        <f t="shared" si="7"/>
        <v>37902</v>
      </c>
      <c r="B516" s="16"/>
      <c r="C516" s="16">
        <f>SUM('Weekly Data'!E513:E516)/4</f>
        <v>2586.75</v>
      </c>
      <c r="D516" s="16">
        <f>SUM('Weekly Data'!F513:F516)/4</f>
        <v>957.5</v>
      </c>
      <c r="E516" s="16">
        <f>SUM('Weekly Data'!G513:G516)/4</f>
        <v>3614</v>
      </c>
      <c r="F516" s="16">
        <f>SUM('Weekly Data'!H513:H516)/4</f>
        <v>31.75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9"/>
      <c r="R516" s="13">
        <v>37902</v>
      </c>
      <c r="S516" s="44"/>
      <c r="T516" s="44"/>
      <c r="U516" s="39"/>
      <c r="V516" s="44"/>
      <c r="W516" s="44"/>
      <c r="X516" s="40"/>
      <c r="Y516" s="39"/>
      <c r="Z516" s="39"/>
      <c r="AA516" s="40"/>
      <c r="AB516" s="44"/>
      <c r="AC516" s="39"/>
      <c r="AD516" s="40"/>
      <c r="AE516" s="44"/>
      <c r="AF516" s="39"/>
      <c r="AG516" s="40"/>
      <c r="AH516" s="44"/>
    </row>
    <row r="517" spans="1:34" x14ac:dyDescent="0.25">
      <c r="A517" s="105">
        <f t="shared" si="7"/>
        <v>37909</v>
      </c>
      <c r="B517" s="16"/>
      <c r="C517" s="16">
        <f>SUM('Weekly Data'!E514:E517)/4</f>
        <v>2271.75</v>
      </c>
      <c r="D517" s="16">
        <f>SUM('Weekly Data'!F514:F517)/4</f>
        <v>973.25</v>
      </c>
      <c r="E517" s="16">
        <f>SUM('Weekly Data'!G514:G517)/4</f>
        <v>3957.5</v>
      </c>
      <c r="F517" s="16">
        <f>SUM('Weekly Data'!H514:H517)/4</f>
        <v>65.5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9"/>
      <c r="R517" s="13">
        <v>37909</v>
      </c>
      <c r="S517" s="44"/>
      <c r="T517" s="44"/>
      <c r="U517" s="39"/>
      <c r="V517" s="44"/>
      <c r="W517" s="44"/>
      <c r="X517" s="40"/>
      <c r="Y517" s="39"/>
      <c r="Z517" s="39"/>
      <c r="AA517" s="40"/>
      <c r="AB517" s="44"/>
      <c r="AC517" s="39"/>
      <c r="AD517" s="40"/>
      <c r="AE517" s="44"/>
      <c r="AF517" s="39"/>
      <c r="AG517" s="40"/>
      <c r="AH517" s="44"/>
    </row>
    <row r="518" spans="1:34" x14ac:dyDescent="0.25">
      <c r="A518" s="105">
        <f t="shared" si="7"/>
        <v>37916</v>
      </c>
      <c r="B518" s="16"/>
      <c r="C518" s="16">
        <f>SUM('Weekly Data'!E515:E518)/4</f>
        <v>1950.75</v>
      </c>
      <c r="D518" s="16">
        <f>SUM('Weekly Data'!F515:F518)/4</f>
        <v>1009</v>
      </c>
      <c r="E518" s="16">
        <f>SUM('Weekly Data'!G515:G518)/4</f>
        <v>4314</v>
      </c>
      <c r="F518" s="16">
        <f>SUM('Weekly Data'!H515:H518)/4</f>
        <v>260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9"/>
      <c r="R518" s="13">
        <v>37916</v>
      </c>
      <c r="S518" s="44"/>
      <c r="T518" s="44"/>
      <c r="U518" s="39"/>
      <c r="V518" s="44"/>
      <c r="W518" s="44"/>
      <c r="X518" s="40"/>
      <c r="Y518" s="39"/>
      <c r="Z518" s="39"/>
      <c r="AA518" s="40"/>
      <c r="AB518" s="44"/>
      <c r="AC518" s="39"/>
      <c r="AD518" s="40"/>
      <c r="AE518" s="44"/>
      <c r="AF518" s="39"/>
      <c r="AG518" s="40"/>
      <c r="AH518" s="44"/>
    </row>
    <row r="519" spans="1:34" x14ac:dyDescent="0.25">
      <c r="A519" s="105">
        <f t="shared" si="7"/>
        <v>37923</v>
      </c>
      <c r="B519" s="16"/>
      <c r="C519" s="16">
        <f>SUM('Weekly Data'!E516:E519)/4</f>
        <v>1639</v>
      </c>
      <c r="D519" s="16">
        <f>SUM('Weekly Data'!F516:F519)/4</f>
        <v>1041.25</v>
      </c>
      <c r="E519" s="16">
        <f>SUM('Weekly Data'!G516:G519)/4</f>
        <v>4374.5</v>
      </c>
      <c r="F519" s="16">
        <f>SUM('Weekly Data'!H516:H519)/4</f>
        <v>465.5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9"/>
      <c r="R519" s="13">
        <v>37923</v>
      </c>
      <c r="S519" s="44"/>
      <c r="T519" s="44"/>
      <c r="U519" s="39"/>
      <c r="V519" s="44"/>
      <c r="W519" s="44"/>
      <c r="X519" s="40"/>
      <c r="Y519" s="39"/>
      <c r="Z519" s="39"/>
      <c r="AA519" s="40"/>
      <c r="AB519" s="44"/>
      <c r="AC519" s="39"/>
      <c r="AD519" s="40"/>
      <c r="AE519" s="44"/>
      <c r="AF519" s="39"/>
      <c r="AG519" s="40"/>
      <c r="AH519" s="44"/>
    </row>
    <row r="520" spans="1:34" x14ac:dyDescent="0.25">
      <c r="A520" s="105">
        <f t="shared" si="7"/>
        <v>37930</v>
      </c>
      <c r="B520" s="16"/>
      <c r="C520" s="16">
        <f>SUM('Weekly Data'!E517:E520)/4</f>
        <v>1683.5</v>
      </c>
      <c r="D520" s="16">
        <f>SUM('Weekly Data'!F517:F520)/4</f>
        <v>1079</v>
      </c>
      <c r="E520" s="16">
        <f>SUM('Weekly Data'!G517:G520)/4</f>
        <v>3984</v>
      </c>
      <c r="F520" s="16">
        <f>SUM('Weekly Data'!H517:H520)/4</f>
        <v>798.75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9"/>
      <c r="R520" s="13">
        <v>37930</v>
      </c>
      <c r="S520" s="44"/>
      <c r="T520" s="44"/>
      <c r="U520" s="39"/>
      <c r="V520" s="44"/>
      <c r="W520" s="44"/>
      <c r="X520" s="40"/>
      <c r="Y520" s="39"/>
      <c r="Z520" s="39"/>
      <c r="AA520" s="40"/>
      <c r="AB520" s="44"/>
      <c r="AC520" s="39"/>
      <c r="AD520" s="40"/>
      <c r="AE520" s="44"/>
      <c r="AF520" s="39"/>
      <c r="AG520" s="40"/>
      <c r="AH520" s="44"/>
    </row>
    <row r="521" spans="1:34" x14ac:dyDescent="0.25">
      <c r="A521" s="105">
        <f t="shared" si="7"/>
        <v>37937</v>
      </c>
      <c r="B521" s="16"/>
      <c r="C521" s="16">
        <f>SUM('Weekly Data'!E518:E521)/4</f>
        <v>1893.5</v>
      </c>
      <c r="D521" s="16">
        <f>SUM('Weekly Data'!F518:F521)/4</f>
        <v>1110.25</v>
      </c>
      <c r="E521" s="16">
        <f>SUM('Weekly Data'!G518:G521)/4</f>
        <v>3909</v>
      </c>
      <c r="F521" s="16">
        <f>SUM('Weekly Data'!H518:H521)/4</f>
        <v>1080.75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9"/>
      <c r="R521" s="13">
        <v>37937</v>
      </c>
      <c r="S521" s="44"/>
      <c r="T521" s="44"/>
      <c r="U521" s="39"/>
      <c r="V521" s="44"/>
      <c r="W521" s="44"/>
      <c r="X521" s="40"/>
      <c r="Y521" s="39"/>
      <c r="Z521" s="39"/>
      <c r="AA521" s="40"/>
      <c r="AB521" s="44"/>
      <c r="AC521" s="39"/>
      <c r="AD521" s="40"/>
      <c r="AE521" s="44"/>
      <c r="AF521" s="39"/>
      <c r="AG521" s="40"/>
      <c r="AH521" s="44"/>
    </row>
    <row r="522" spans="1:34" x14ac:dyDescent="0.25">
      <c r="A522" s="105">
        <f t="shared" si="7"/>
        <v>37944</v>
      </c>
      <c r="B522" s="16"/>
      <c r="C522" s="16">
        <f>SUM('Weekly Data'!E519:E522)/4</f>
        <v>2155.25</v>
      </c>
      <c r="D522" s="16">
        <f>SUM('Weekly Data'!F519:F522)/4</f>
        <v>1259.25</v>
      </c>
      <c r="E522" s="16">
        <f>SUM('Weekly Data'!G519:G522)/4</f>
        <v>4016.5</v>
      </c>
      <c r="F522" s="16">
        <f>SUM('Weekly Data'!H519:H522)/4</f>
        <v>960.75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9"/>
      <c r="R522" s="13">
        <v>37944</v>
      </c>
      <c r="S522" s="44"/>
      <c r="T522" s="44"/>
      <c r="U522" s="39"/>
      <c r="V522" s="44"/>
      <c r="W522" s="44"/>
      <c r="X522" s="40"/>
      <c r="Y522" s="39"/>
      <c r="Z522" s="39"/>
      <c r="AA522" s="40"/>
      <c r="AB522" s="44"/>
      <c r="AC522" s="39"/>
      <c r="AD522" s="40"/>
      <c r="AE522" s="44"/>
      <c r="AF522" s="39"/>
      <c r="AG522" s="40"/>
      <c r="AH522" s="44"/>
    </row>
    <row r="523" spans="1:34" x14ac:dyDescent="0.25">
      <c r="A523" s="105">
        <f t="shared" si="7"/>
        <v>37951</v>
      </c>
      <c r="B523" s="16"/>
      <c r="C523" s="16">
        <f>SUM('Weekly Data'!E520:E523)/4</f>
        <v>2286.5</v>
      </c>
      <c r="D523" s="16">
        <f>SUM('Weekly Data'!F520:F523)/4</f>
        <v>1135.75</v>
      </c>
      <c r="E523" s="16">
        <f>SUM('Weekly Data'!G520:G523)/4</f>
        <v>4150.75</v>
      </c>
      <c r="F523" s="16">
        <f>SUM('Weekly Data'!H520:H523)/4</f>
        <v>1014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9"/>
      <c r="R523" s="13">
        <v>37951</v>
      </c>
      <c r="S523" s="44"/>
      <c r="T523" s="44"/>
      <c r="U523" s="39"/>
      <c r="V523" s="44"/>
      <c r="W523" s="44"/>
      <c r="X523" s="40"/>
      <c r="Y523" s="39"/>
      <c r="Z523" s="39"/>
      <c r="AA523" s="40"/>
      <c r="AB523" s="44"/>
      <c r="AC523" s="39"/>
      <c r="AD523" s="40"/>
      <c r="AE523" s="44"/>
      <c r="AF523" s="39"/>
      <c r="AG523" s="40"/>
      <c r="AH523" s="44"/>
    </row>
    <row r="524" spans="1:34" x14ac:dyDescent="0.25">
      <c r="A524" s="105">
        <f t="shared" si="7"/>
        <v>37958</v>
      </c>
      <c r="B524" s="16"/>
      <c r="C524" s="16">
        <f>SUM('Weekly Data'!E521:E524)/4</f>
        <v>2306.25</v>
      </c>
      <c r="D524" s="16">
        <f>SUM('Weekly Data'!F521:F524)/4</f>
        <v>1292.75</v>
      </c>
      <c r="E524" s="16">
        <f>SUM('Weekly Data'!G521:G524)/4</f>
        <v>4148</v>
      </c>
      <c r="F524" s="16">
        <f>SUM('Weekly Data'!H521:H524)/4</f>
        <v>829.25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9"/>
      <c r="R524" s="13">
        <v>37958</v>
      </c>
      <c r="S524" s="44"/>
      <c r="T524" s="44"/>
      <c r="U524" s="39"/>
      <c r="V524" s="44"/>
      <c r="W524" s="44"/>
      <c r="X524" s="40"/>
      <c r="Y524" s="39"/>
      <c r="Z524" s="39"/>
      <c r="AA524" s="40"/>
      <c r="AB524" s="44"/>
      <c r="AC524" s="39"/>
      <c r="AD524" s="40"/>
      <c r="AE524" s="44"/>
      <c r="AF524" s="39"/>
      <c r="AG524" s="40"/>
      <c r="AH524" s="44"/>
    </row>
    <row r="525" spans="1:34" x14ac:dyDescent="0.25">
      <c r="A525" s="105">
        <f t="shared" ref="A525:A588" si="8">A524+7</f>
        <v>37965</v>
      </c>
      <c r="B525" s="16"/>
      <c r="C525" s="16">
        <f>SUM('Weekly Data'!E522:E525)/4</f>
        <v>2202.5</v>
      </c>
      <c r="D525" s="16">
        <f>SUM('Weekly Data'!F522:F525)/4</f>
        <v>1323.75</v>
      </c>
      <c r="E525" s="16">
        <f>SUM('Weekly Data'!G522:G525)/4</f>
        <v>4077.25</v>
      </c>
      <c r="F525" s="16">
        <f>SUM('Weekly Data'!H522:H525)/4</f>
        <v>614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9"/>
      <c r="R525" s="13">
        <v>37965</v>
      </c>
      <c r="S525" s="44"/>
      <c r="T525" s="44"/>
      <c r="U525" s="39"/>
      <c r="V525" s="44"/>
      <c r="W525" s="44"/>
      <c r="X525" s="40"/>
      <c r="Y525" s="39"/>
      <c r="Z525" s="39"/>
      <c r="AA525" s="40"/>
      <c r="AB525" s="44"/>
      <c r="AC525" s="39"/>
      <c r="AD525" s="40"/>
      <c r="AE525" s="44"/>
      <c r="AF525" s="39"/>
      <c r="AG525" s="40"/>
      <c r="AH525" s="44"/>
    </row>
    <row r="526" spans="1:34" x14ac:dyDescent="0.25">
      <c r="A526" s="105">
        <f t="shared" si="8"/>
        <v>37972</v>
      </c>
      <c r="B526" s="16"/>
      <c r="C526" s="16">
        <f>SUM('Weekly Data'!E523:E526)/4</f>
        <v>2004</v>
      </c>
      <c r="D526" s="16">
        <f>SUM('Weekly Data'!F523:F526)/4</f>
        <v>1388.25</v>
      </c>
      <c r="E526" s="16">
        <f>SUM('Weekly Data'!G523:G526)/4</f>
        <v>3778</v>
      </c>
      <c r="F526" s="16">
        <f>SUM('Weekly Data'!H523:H526)/4</f>
        <v>712.5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9"/>
      <c r="R526" s="13">
        <v>37972</v>
      </c>
      <c r="S526" s="44"/>
      <c r="T526" s="44"/>
      <c r="U526" s="39"/>
      <c r="V526" s="44"/>
      <c r="W526" s="44"/>
      <c r="X526" s="40"/>
      <c r="Y526" s="39"/>
      <c r="Z526" s="39"/>
      <c r="AA526" s="40"/>
      <c r="AB526" s="44"/>
      <c r="AC526" s="39"/>
      <c r="AD526" s="40"/>
      <c r="AE526" s="44"/>
      <c r="AF526" s="39"/>
      <c r="AG526" s="40"/>
      <c r="AH526" s="44"/>
    </row>
    <row r="527" spans="1:34" x14ac:dyDescent="0.25">
      <c r="A527" s="105">
        <f t="shared" si="8"/>
        <v>37979</v>
      </c>
      <c r="B527" s="16"/>
      <c r="C527" s="16">
        <f>SUM('Weekly Data'!E524:E527)/4</f>
        <v>2130.75</v>
      </c>
      <c r="D527" s="16">
        <f>SUM('Weekly Data'!F524:F527)/4</f>
        <v>1557.75</v>
      </c>
      <c r="E527" s="16">
        <f>SUM('Weekly Data'!G524:G527)/4</f>
        <v>3540.5</v>
      </c>
      <c r="F527" s="16">
        <f>SUM('Weekly Data'!H524:H527)/4</f>
        <v>587.5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9"/>
      <c r="R527" s="13">
        <v>37979</v>
      </c>
      <c r="S527" s="44"/>
      <c r="T527" s="44"/>
      <c r="U527" s="39"/>
      <c r="V527" s="44"/>
      <c r="W527" s="44"/>
      <c r="X527" s="40"/>
      <c r="Y527" s="39"/>
      <c r="Z527" s="39"/>
      <c r="AA527" s="40"/>
      <c r="AB527" s="44"/>
      <c r="AC527" s="39"/>
      <c r="AD527" s="40"/>
      <c r="AE527" s="44"/>
      <c r="AF527" s="39"/>
      <c r="AG527" s="40"/>
      <c r="AH527" s="44"/>
    </row>
    <row r="528" spans="1:34" x14ac:dyDescent="0.25">
      <c r="A528" s="105">
        <f t="shared" si="8"/>
        <v>37986</v>
      </c>
      <c r="B528" s="16"/>
      <c r="C528" s="16">
        <f>SUM('Weekly Data'!E525:E528)/4</f>
        <v>2156.75</v>
      </c>
      <c r="D528" s="16">
        <f>SUM('Weekly Data'!F525:F528)/4</f>
        <v>1470.5</v>
      </c>
      <c r="E528" s="16">
        <f>SUM('Weekly Data'!G525:G528)/4</f>
        <v>3395.5</v>
      </c>
      <c r="F528" s="16">
        <f>SUM('Weekly Data'!H525:H528)/4</f>
        <v>493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9"/>
      <c r="R528" s="13">
        <v>37986</v>
      </c>
      <c r="S528" s="44"/>
      <c r="T528" s="44"/>
      <c r="U528" s="39"/>
      <c r="V528" s="44"/>
      <c r="W528" s="44"/>
      <c r="X528" s="40"/>
      <c r="Y528" s="39"/>
      <c r="Z528" s="39"/>
      <c r="AA528" s="40"/>
      <c r="AB528" s="44"/>
      <c r="AC528" s="39"/>
      <c r="AD528" s="40"/>
      <c r="AE528" s="44"/>
      <c r="AF528" s="39"/>
      <c r="AG528" s="40"/>
      <c r="AH528" s="44"/>
    </row>
    <row r="529" spans="1:34" x14ac:dyDescent="0.25">
      <c r="A529" s="105">
        <f t="shared" si="8"/>
        <v>37993</v>
      </c>
      <c r="B529" s="16"/>
      <c r="C529" s="16">
        <f>SUM('Weekly Data'!E526:E529)/4</f>
        <v>2183.25</v>
      </c>
      <c r="D529" s="16">
        <f>SUM('Weekly Data'!F526:F529)/4</f>
        <v>1299.5</v>
      </c>
      <c r="E529" s="16">
        <f>SUM('Weekly Data'!G526:G529)/4</f>
        <v>3149.5</v>
      </c>
      <c r="F529" s="16">
        <f>SUM('Weekly Data'!H526:H529)/4</f>
        <v>428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9"/>
      <c r="R529" s="13">
        <v>37993</v>
      </c>
      <c r="S529" s="44"/>
      <c r="T529" s="44"/>
      <c r="U529" s="39"/>
      <c r="V529" s="44"/>
      <c r="W529" s="44"/>
      <c r="X529" s="40"/>
      <c r="Y529" s="39"/>
      <c r="Z529" s="39"/>
      <c r="AA529" s="40"/>
      <c r="AB529" s="44"/>
      <c r="AC529" s="39"/>
      <c r="AD529" s="40"/>
      <c r="AE529" s="44"/>
      <c r="AF529" s="39"/>
      <c r="AG529" s="40"/>
      <c r="AH529" s="44"/>
    </row>
    <row r="530" spans="1:34" x14ac:dyDescent="0.25">
      <c r="A530" s="105">
        <f t="shared" si="8"/>
        <v>38000</v>
      </c>
      <c r="B530" s="16"/>
      <c r="C530" s="16">
        <f>SUM('Weekly Data'!E527:E530)/4</f>
        <v>2778.5</v>
      </c>
      <c r="D530" s="16">
        <f>SUM('Weekly Data'!F527:F530)/4</f>
        <v>1158</v>
      </c>
      <c r="E530" s="16">
        <f>SUM('Weekly Data'!G527:G530)/4</f>
        <v>3173.75</v>
      </c>
      <c r="F530" s="16">
        <f>SUM('Weekly Data'!H527:H530)/4</f>
        <v>360.25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9"/>
      <c r="R530" s="13">
        <v>38000</v>
      </c>
      <c r="S530" s="44"/>
      <c r="T530" s="44"/>
      <c r="U530" s="39"/>
      <c r="V530" s="44"/>
      <c r="W530" s="44"/>
      <c r="X530" s="40"/>
      <c r="Y530" s="39"/>
      <c r="Z530" s="39"/>
      <c r="AA530" s="40"/>
      <c r="AB530" s="44"/>
      <c r="AC530" s="39"/>
      <c r="AD530" s="40"/>
      <c r="AE530" s="44"/>
      <c r="AF530" s="39"/>
      <c r="AG530" s="40"/>
      <c r="AH530" s="44"/>
    </row>
    <row r="531" spans="1:34" x14ac:dyDescent="0.25">
      <c r="A531" s="105">
        <f t="shared" si="8"/>
        <v>38007</v>
      </c>
      <c r="B531" s="16"/>
      <c r="C531" s="16">
        <f>SUM('Weekly Data'!E528:E531)/4</f>
        <v>2839</v>
      </c>
      <c r="D531" s="16">
        <f>SUM('Weekly Data'!F528:F531)/4</f>
        <v>914.5</v>
      </c>
      <c r="E531" s="16">
        <f>SUM('Weekly Data'!G528:G531)/4</f>
        <v>3137.25</v>
      </c>
      <c r="F531" s="16">
        <f>SUM('Weekly Data'!H528:H531)/4</f>
        <v>323.5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9"/>
      <c r="R531" s="13">
        <v>38007</v>
      </c>
      <c r="S531" s="44"/>
      <c r="T531" s="44"/>
      <c r="U531" s="39"/>
      <c r="V531" s="44"/>
      <c r="W531" s="44"/>
      <c r="X531" s="40"/>
      <c r="Y531" s="39"/>
      <c r="Z531" s="39"/>
      <c r="AA531" s="40"/>
      <c r="AB531" s="44"/>
      <c r="AC531" s="39"/>
      <c r="AD531" s="40"/>
      <c r="AE531" s="44"/>
      <c r="AF531" s="39"/>
      <c r="AG531" s="40"/>
      <c r="AH531" s="44"/>
    </row>
    <row r="532" spans="1:34" x14ac:dyDescent="0.25">
      <c r="A532" s="105">
        <f t="shared" si="8"/>
        <v>38014</v>
      </c>
      <c r="B532" s="59">
        <f>SUM('Weekly Data'!D529:D532)/4</f>
        <v>1294.5</v>
      </c>
      <c r="C532" s="16">
        <f>SUM('Weekly Data'!E529:E532)/4</f>
        <v>2871.75</v>
      </c>
      <c r="D532" s="16">
        <f>SUM('Weekly Data'!F529:F532)/4</f>
        <v>870.75</v>
      </c>
      <c r="E532" s="16">
        <f>SUM('Weekly Data'!G529:G532)/4</f>
        <v>3554.25</v>
      </c>
      <c r="F532" s="16">
        <f>SUM('Weekly Data'!H529:H532)/4</f>
        <v>336.75</v>
      </c>
      <c r="G532" s="16">
        <f>SUM('Weekly Data'!I529:I532)/4</f>
        <v>8057.25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9"/>
      <c r="R532" s="13">
        <v>38014</v>
      </c>
      <c r="S532" s="44"/>
      <c r="T532" s="44"/>
      <c r="U532" s="39"/>
      <c r="V532" s="44"/>
      <c r="W532" s="44"/>
      <c r="X532" s="40"/>
      <c r="Y532" s="39"/>
      <c r="Z532" s="39"/>
      <c r="AA532" s="40"/>
      <c r="AB532" s="44"/>
      <c r="AC532" s="39"/>
      <c r="AD532" s="40"/>
      <c r="AE532" s="44"/>
      <c r="AF532" s="39"/>
      <c r="AG532" s="40"/>
      <c r="AH532" s="44"/>
    </row>
    <row r="533" spans="1:34" x14ac:dyDescent="0.25">
      <c r="A533" s="105">
        <f t="shared" si="8"/>
        <v>38021</v>
      </c>
      <c r="B533" s="59">
        <f>SUM('Weekly Data'!D530:D533)/4</f>
        <v>1225.75</v>
      </c>
      <c r="C533" s="16">
        <f>SUM('Weekly Data'!E530:E533)/4</f>
        <v>2961</v>
      </c>
      <c r="D533" s="16">
        <f>SUM('Weekly Data'!F530:F533)/4</f>
        <v>868</v>
      </c>
      <c r="E533" s="16">
        <f>SUM('Weekly Data'!G530:G533)/4</f>
        <v>3764.75</v>
      </c>
      <c r="F533" s="16">
        <f>SUM('Weekly Data'!H530:H533)/4</f>
        <v>333.25</v>
      </c>
      <c r="G533" s="16">
        <f>SUM('Weekly Data'!I530:I533)/4</f>
        <v>8284.75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9"/>
      <c r="R533" s="13">
        <v>38021</v>
      </c>
      <c r="S533" s="44"/>
      <c r="T533" s="44"/>
      <c r="U533" s="39"/>
      <c r="V533" s="44"/>
      <c r="W533" s="44"/>
      <c r="X533" s="40"/>
      <c r="Y533" s="39"/>
      <c r="Z533" s="39"/>
      <c r="AA533" s="40"/>
      <c r="AB533" s="44"/>
      <c r="AC533" s="39"/>
      <c r="AD533" s="40"/>
      <c r="AE533" s="44"/>
      <c r="AF533" s="39"/>
      <c r="AG533" s="40"/>
      <c r="AH533" s="44"/>
    </row>
    <row r="534" spans="1:34" x14ac:dyDescent="0.25">
      <c r="A534" s="105">
        <f t="shared" si="8"/>
        <v>38028</v>
      </c>
      <c r="B534" s="59">
        <f>SUM('Weekly Data'!D531:D534)/4</f>
        <v>1153.75</v>
      </c>
      <c r="C534" s="16">
        <f>SUM('Weekly Data'!E531:E534)/4</f>
        <v>2576.5</v>
      </c>
      <c r="D534" s="16">
        <f>SUM('Weekly Data'!F531:F534)/4</f>
        <v>794.75</v>
      </c>
      <c r="E534" s="16">
        <f>SUM('Weekly Data'!G531:G534)/4</f>
        <v>4020.5</v>
      </c>
      <c r="F534" s="16">
        <f>SUM('Weekly Data'!H531:H534)/4</f>
        <v>383.5</v>
      </c>
      <c r="G534" s="16">
        <f>SUM('Weekly Data'!I531:I534)/4</f>
        <v>8134.25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9"/>
      <c r="R534" s="13">
        <v>38028</v>
      </c>
      <c r="S534" s="44"/>
      <c r="T534" s="44"/>
      <c r="U534" s="39"/>
      <c r="V534" s="44"/>
      <c r="W534" s="44"/>
      <c r="X534" s="40"/>
      <c r="Y534" s="39"/>
      <c r="Z534" s="39"/>
      <c r="AA534" s="40"/>
      <c r="AB534" s="44"/>
      <c r="AC534" s="39"/>
      <c r="AD534" s="40"/>
      <c r="AE534" s="44"/>
      <c r="AF534" s="39"/>
      <c r="AG534" s="40"/>
      <c r="AH534" s="44"/>
    </row>
    <row r="535" spans="1:34" x14ac:dyDescent="0.25">
      <c r="A535" s="105">
        <f t="shared" si="8"/>
        <v>38035</v>
      </c>
      <c r="B535" s="59">
        <f>SUM('Weekly Data'!D532:D535)/4</f>
        <v>1015.75</v>
      </c>
      <c r="C535" s="16">
        <f>SUM('Weekly Data'!E532:E535)/4</f>
        <v>2374.25</v>
      </c>
      <c r="D535" s="16">
        <f>SUM('Weekly Data'!F532:F535)/4</f>
        <v>837.5</v>
      </c>
      <c r="E535" s="16">
        <f>SUM('Weekly Data'!G532:G535)/4</f>
        <v>4438</v>
      </c>
      <c r="F535" s="16">
        <f>SUM('Weekly Data'!H532:H535)/4</f>
        <v>346.5</v>
      </c>
      <c r="G535" s="16">
        <f>SUM('Weekly Data'!I532:I535)/4</f>
        <v>8174.5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9"/>
      <c r="R535" s="13">
        <v>38035</v>
      </c>
      <c r="S535" s="44"/>
      <c r="T535" s="44"/>
      <c r="U535" s="39"/>
      <c r="V535" s="44"/>
      <c r="W535" s="44"/>
      <c r="X535" s="40"/>
      <c r="Y535" s="39"/>
      <c r="Z535" s="39"/>
      <c r="AA535" s="40"/>
      <c r="AB535" s="44"/>
      <c r="AC535" s="39"/>
      <c r="AD535" s="40"/>
      <c r="AE535" s="44"/>
      <c r="AF535" s="39"/>
      <c r="AG535" s="40"/>
      <c r="AH535" s="44"/>
    </row>
    <row r="536" spans="1:34" x14ac:dyDescent="0.25">
      <c r="A536" s="105">
        <f t="shared" si="8"/>
        <v>38042</v>
      </c>
      <c r="B536" s="59">
        <f>SUM('Weekly Data'!D533:D536)/4</f>
        <v>1022.25</v>
      </c>
      <c r="C536" s="16">
        <f>SUM('Weekly Data'!E533:E536)/4</f>
        <v>2391.25</v>
      </c>
      <c r="D536" s="16">
        <f>SUM('Weekly Data'!F533:F536)/4</f>
        <v>825.5</v>
      </c>
      <c r="E536" s="16">
        <f>SUM('Weekly Data'!G533:G536)/4</f>
        <v>4638</v>
      </c>
      <c r="F536" s="16">
        <f>SUM('Weekly Data'!H533:H536)/4</f>
        <v>328</v>
      </c>
      <c r="G536" s="16">
        <f>SUM('Weekly Data'!I533:I536)/4</f>
        <v>8379.5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9"/>
      <c r="R536" s="13">
        <v>38042</v>
      </c>
      <c r="S536" s="44"/>
      <c r="T536" s="44"/>
      <c r="U536" s="39"/>
      <c r="V536" s="44"/>
      <c r="W536" s="44"/>
      <c r="X536" s="40"/>
      <c r="Y536" s="39"/>
      <c r="Z536" s="39"/>
      <c r="AA536" s="40"/>
      <c r="AB536" s="44"/>
      <c r="AC536" s="39"/>
      <c r="AD536" s="40"/>
      <c r="AE536" s="44"/>
      <c r="AF536" s="39"/>
      <c r="AG536" s="40"/>
      <c r="AH536" s="44"/>
    </row>
    <row r="537" spans="1:34" x14ac:dyDescent="0.25">
      <c r="A537" s="105">
        <f t="shared" si="8"/>
        <v>38049</v>
      </c>
      <c r="B537" s="59">
        <f>SUM('Weekly Data'!D534:D537)/4</f>
        <v>1014</v>
      </c>
      <c r="C537" s="16">
        <f>SUM('Weekly Data'!E534:E537)/4</f>
        <v>2229.25</v>
      </c>
      <c r="D537" s="16">
        <f>SUM('Weekly Data'!F534:F537)/4</f>
        <v>989.75</v>
      </c>
      <c r="E537" s="16">
        <f>SUM('Weekly Data'!G534:G537)/4</f>
        <v>4966.5</v>
      </c>
      <c r="F537" s="16">
        <f>SUM('Weekly Data'!H534:H537)/4</f>
        <v>305.75</v>
      </c>
      <c r="G537" s="16">
        <f>SUM('Weekly Data'!I534:I537)/4</f>
        <v>8515.5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9"/>
      <c r="R537" s="13">
        <v>38049</v>
      </c>
      <c r="S537" s="44"/>
      <c r="T537" s="44"/>
      <c r="U537" s="39"/>
      <c r="V537" s="44"/>
      <c r="W537" s="44"/>
      <c r="X537" s="40"/>
      <c r="Y537" s="39"/>
      <c r="Z537" s="39"/>
      <c r="AA537" s="40"/>
      <c r="AB537" s="44"/>
      <c r="AC537" s="39"/>
      <c r="AD537" s="40"/>
      <c r="AE537" s="44"/>
      <c r="AF537" s="39"/>
      <c r="AG537" s="40"/>
      <c r="AH537" s="44"/>
    </row>
    <row r="538" spans="1:34" x14ac:dyDescent="0.25">
      <c r="A538" s="105">
        <f t="shared" si="8"/>
        <v>38056</v>
      </c>
      <c r="B538" s="59">
        <f>SUM('Weekly Data'!D535:D538)/4</f>
        <v>899.75</v>
      </c>
      <c r="C538" s="16">
        <f>SUM('Weekly Data'!E535:E538)/4</f>
        <v>2355</v>
      </c>
      <c r="D538" s="16">
        <f>SUM('Weekly Data'!F535:F538)/4</f>
        <v>907.25</v>
      </c>
      <c r="E538" s="16">
        <f>SUM('Weekly Data'!G535:G538)/4</f>
        <v>5098.5</v>
      </c>
      <c r="F538" s="16">
        <f>SUM('Weekly Data'!H535:H538)/4</f>
        <v>165</v>
      </c>
      <c r="G538" s="16">
        <f>SUM('Weekly Data'!I535:I538)/4</f>
        <v>8518.25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9"/>
      <c r="R538" s="13">
        <v>38056</v>
      </c>
      <c r="S538" s="44"/>
      <c r="T538" s="44"/>
      <c r="U538" s="39"/>
      <c r="V538" s="44"/>
      <c r="W538" s="44"/>
      <c r="X538" s="40"/>
      <c r="Y538" s="39"/>
      <c r="Z538" s="39"/>
      <c r="AA538" s="40"/>
      <c r="AB538" s="44"/>
      <c r="AC538" s="39"/>
      <c r="AD538" s="40"/>
      <c r="AE538" s="44"/>
      <c r="AF538" s="39"/>
      <c r="AG538" s="40"/>
      <c r="AH538" s="44"/>
    </row>
    <row r="539" spans="1:34" x14ac:dyDescent="0.25">
      <c r="A539" s="105">
        <f t="shared" si="8"/>
        <v>38063</v>
      </c>
      <c r="B539" s="59">
        <f>SUM('Weekly Data'!D536:D539)/4</f>
        <v>883.75</v>
      </c>
      <c r="C539" s="16">
        <f>SUM('Weekly Data'!E536:E539)/4</f>
        <v>2421.25</v>
      </c>
      <c r="D539" s="16">
        <f>SUM('Weekly Data'!F536:F539)/4</f>
        <v>877.25</v>
      </c>
      <c r="E539" s="16">
        <f>SUM('Weekly Data'!G536:G539)/4</f>
        <v>4919.75</v>
      </c>
      <c r="F539" s="16">
        <f>SUM('Weekly Data'!H536:H539)/4</f>
        <v>190.5</v>
      </c>
      <c r="G539" s="16">
        <f>SUM('Weekly Data'!I536:I539)/4</f>
        <v>8415.25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9"/>
      <c r="R539" s="13">
        <v>38063</v>
      </c>
      <c r="S539" s="44"/>
      <c r="T539" s="44"/>
      <c r="U539" s="39"/>
      <c r="V539" s="44"/>
      <c r="W539" s="44"/>
      <c r="X539" s="40"/>
      <c r="Y539" s="39"/>
      <c r="Z539" s="39"/>
      <c r="AA539" s="40"/>
      <c r="AB539" s="44"/>
      <c r="AC539" s="39"/>
      <c r="AD539" s="40"/>
      <c r="AE539" s="44"/>
      <c r="AF539" s="39"/>
      <c r="AG539" s="40"/>
      <c r="AH539" s="44"/>
    </row>
    <row r="540" spans="1:34" x14ac:dyDescent="0.25">
      <c r="A540" s="105">
        <f t="shared" si="8"/>
        <v>38070</v>
      </c>
      <c r="B540" s="59">
        <f>SUM('Weekly Data'!D537:D540)/4</f>
        <v>807.75</v>
      </c>
      <c r="C540" s="16">
        <f>SUM('Weekly Data'!E537:E540)/4</f>
        <v>2292.75</v>
      </c>
      <c r="D540" s="16">
        <f>SUM('Weekly Data'!F537:F540)/4</f>
        <v>826.5</v>
      </c>
      <c r="E540" s="16">
        <f>SUM('Weekly Data'!G537:G540)/4</f>
        <v>4925.75</v>
      </c>
      <c r="F540" s="16">
        <f>SUM('Weekly Data'!H537:H540)/4</f>
        <v>155.5</v>
      </c>
      <c r="G540" s="16">
        <f>SUM('Weekly Data'!I537:I540)/4</f>
        <v>8181.75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9"/>
      <c r="R540" s="13">
        <v>38070</v>
      </c>
      <c r="S540" s="44"/>
      <c r="T540" s="44"/>
      <c r="U540" s="39"/>
      <c r="V540" s="44"/>
      <c r="W540" s="44"/>
      <c r="X540" s="40"/>
      <c r="Y540" s="39"/>
      <c r="Z540" s="39"/>
      <c r="AA540" s="40"/>
      <c r="AB540" s="44"/>
      <c r="AC540" s="39"/>
      <c r="AD540" s="40"/>
      <c r="AE540" s="44"/>
      <c r="AF540" s="39"/>
      <c r="AG540" s="40"/>
      <c r="AH540" s="44"/>
    </row>
    <row r="541" spans="1:34" x14ac:dyDescent="0.25">
      <c r="A541" s="105">
        <f t="shared" si="8"/>
        <v>38077</v>
      </c>
      <c r="B541" s="59">
        <f>SUM('Weekly Data'!D538:D541)/4</f>
        <v>650.5</v>
      </c>
      <c r="C541" s="16">
        <f>SUM('Weekly Data'!E538:E541)/4</f>
        <v>2389.25</v>
      </c>
      <c r="D541" s="16">
        <f>SUM('Weekly Data'!F538:F541)/4</f>
        <v>778.25</v>
      </c>
      <c r="E541" s="16">
        <f>SUM('Weekly Data'!G538:G541)/4</f>
        <v>4715.25</v>
      </c>
      <c r="F541" s="16">
        <f>SUM('Weekly Data'!H538:H541)/4</f>
        <v>154</v>
      </c>
      <c r="G541" s="16">
        <f>SUM('Weekly Data'!I538:I541)/4</f>
        <v>7909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9"/>
      <c r="R541" s="13">
        <v>38077</v>
      </c>
      <c r="S541" s="44"/>
      <c r="T541" s="44"/>
      <c r="U541" s="39"/>
      <c r="V541" s="44"/>
      <c r="W541" s="44"/>
      <c r="X541" s="40"/>
      <c r="Y541" s="39"/>
      <c r="Z541" s="39"/>
      <c r="AA541" s="40"/>
      <c r="AB541" s="44"/>
      <c r="AC541" s="39"/>
      <c r="AD541" s="40"/>
      <c r="AE541" s="44"/>
      <c r="AF541" s="39"/>
      <c r="AG541" s="40"/>
      <c r="AH541" s="44"/>
    </row>
    <row r="542" spans="1:34" x14ac:dyDescent="0.25">
      <c r="A542" s="105">
        <f t="shared" si="8"/>
        <v>38084</v>
      </c>
      <c r="B542" s="59">
        <f>SUM('Weekly Data'!D539:D542)/4</f>
        <v>655.25</v>
      </c>
      <c r="C542" s="16">
        <f>SUM('Weekly Data'!E539:E542)/4</f>
        <v>2143.25</v>
      </c>
      <c r="D542" s="16">
        <f>SUM('Weekly Data'!F539:F542)/4</f>
        <v>853.75</v>
      </c>
      <c r="E542" s="16">
        <f>SUM('Weekly Data'!G539:G542)/4</f>
        <v>4457.5</v>
      </c>
      <c r="F542" s="16">
        <f>SUM('Weekly Data'!H539:H542)/4</f>
        <v>132</v>
      </c>
      <c r="G542" s="16">
        <f>SUM('Weekly Data'!I539:I542)/4</f>
        <v>7388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9"/>
      <c r="R542" s="13">
        <v>38084</v>
      </c>
      <c r="S542" s="44"/>
      <c r="T542" s="44"/>
      <c r="U542" s="39"/>
      <c r="V542" s="44"/>
      <c r="W542" s="44"/>
      <c r="X542" s="40"/>
      <c r="Y542" s="39"/>
      <c r="Z542" s="39"/>
      <c r="AA542" s="40"/>
      <c r="AB542" s="44"/>
      <c r="AC542" s="39"/>
      <c r="AD542" s="40"/>
      <c r="AE542" s="44"/>
      <c r="AF542" s="39"/>
      <c r="AG542" s="40"/>
      <c r="AH542" s="44"/>
    </row>
    <row r="543" spans="1:34" x14ac:dyDescent="0.25">
      <c r="A543" s="105">
        <f t="shared" si="8"/>
        <v>38091</v>
      </c>
      <c r="B543" s="59">
        <f>SUM('Weekly Data'!D540:D543)/4</f>
        <v>659.25</v>
      </c>
      <c r="C543" s="16">
        <f>SUM('Weekly Data'!E540:E543)/4</f>
        <v>2191.75</v>
      </c>
      <c r="D543" s="16">
        <f>SUM('Weekly Data'!F540:F543)/4</f>
        <v>936.25</v>
      </c>
      <c r="E543" s="16">
        <f>SUM('Weekly Data'!G540:G543)/4</f>
        <v>3984.25</v>
      </c>
      <c r="F543" s="16">
        <f>SUM('Weekly Data'!H540:H543)/4</f>
        <v>45.5</v>
      </c>
      <c r="G543" s="16">
        <f>SUM('Weekly Data'!I540:I543)/4</f>
        <v>6880.75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9"/>
      <c r="R543" s="13">
        <v>38091</v>
      </c>
      <c r="S543" s="44"/>
      <c r="T543" s="44"/>
      <c r="U543" s="39"/>
      <c r="V543" s="44"/>
      <c r="W543" s="44"/>
      <c r="X543" s="40"/>
      <c r="Y543" s="39"/>
      <c r="Z543" s="39"/>
      <c r="AA543" s="40"/>
      <c r="AB543" s="44"/>
      <c r="AC543" s="39"/>
      <c r="AD543" s="40"/>
      <c r="AE543" s="44"/>
      <c r="AF543" s="39"/>
      <c r="AG543" s="40"/>
      <c r="AH543" s="44"/>
    </row>
    <row r="544" spans="1:34" x14ac:dyDescent="0.25">
      <c r="A544" s="105">
        <f t="shared" si="8"/>
        <v>38098</v>
      </c>
      <c r="B544" s="59">
        <f>SUM('Weekly Data'!D541:D544)/4</f>
        <v>603</v>
      </c>
      <c r="C544" s="16">
        <f>SUM('Weekly Data'!E541:E544)/4</f>
        <v>2078.75</v>
      </c>
      <c r="D544" s="16">
        <f>SUM('Weekly Data'!F541:F544)/4</f>
        <v>1064</v>
      </c>
      <c r="E544" s="16">
        <f>SUM('Weekly Data'!G541:G544)/4</f>
        <v>3552.75</v>
      </c>
      <c r="F544" s="16">
        <f>SUM('Weekly Data'!H541:H544)/4</f>
        <v>26.5</v>
      </c>
      <c r="G544" s="16">
        <f>SUM('Weekly Data'!I541:I544)/4</f>
        <v>6261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9"/>
      <c r="R544" s="13">
        <v>38098</v>
      </c>
      <c r="S544" s="44"/>
      <c r="T544" s="44"/>
      <c r="U544" s="39"/>
      <c r="V544" s="44"/>
      <c r="W544" s="44"/>
      <c r="X544" s="40"/>
      <c r="Y544" s="39"/>
      <c r="Z544" s="39"/>
      <c r="AA544" s="40"/>
      <c r="AB544" s="44"/>
      <c r="AC544" s="39"/>
      <c r="AD544" s="40"/>
      <c r="AE544" s="44"/>
      <c r="AF544" s="39"/>
      <c r="AG544" s="40"/>
      <c r="AH544" s="44"/>
    </row>
    <row r="545" spans="1:34" x14ac:dyDescent="0.25">
      <c r="A545" s="105">
        <f t="shared" si="8"/>
        <v>38105</v>
      </c>
      <c r="B545" s="59">
        <f>SUM('Weekly Data'!D542:D545)/4</f>
        <v>572.25</v>
      </c>
      <c r="C545" s="16">
        <f>SUM('Weekly Data'!E542:E545)/4</f>
        <v>1810.5</v>
      </c>
      <c r="D545" s="16">
        <f>SUM('Weekly Data'!F542:F545)/4</f>
        <v>1306.75</v>
      </c>
      <c r="E545" s="16">
        <f>SUM('Weekly Data'!G542:G545)/4</f>
        <v>3727.25</v>
      </c>
      <c r="F545" s="16">
        <f>SUM('Weekly Data'!H542:H545)/4</f>
        <v>19.75</v>
      </c>
      <c r="G545" s="16">
        <f>SUM('Weekly Data'!I542:I545)/4</f>
        <v>6129.75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9"/>
      <c r="R545" s="13">
        <v>38105</v>
      </c>
      <c r="S545" s="44"/>
      <c r="T545" s="44"/>
      <c r="U545" s="39"/>
      <c r="V545" s="44"/>
      <c r="W545" s="44"/>
      <c r="X545" s="40"/>
      <c r="Y545" s="39"/>
      <c r="Z545" s="39"/>
      <c r="AA545" s="40"/>
      <c r="AB545" s="44"/>
      <c r="AC545" s="39"/>
      <c r="AD545" s="40"/>
      <c r="AE545" s="44"/>
      <c r="AF545" s="39"/>
      <c r="AG545" s="40"/>
      <c r="AH545" s="44"/>
    </row>
    <row r="546" spans="1:34" x14ac:dyDescent="0.25">
      <c r="A546" s="105">
        <f t="shared" si="8"/>
        <v>38112</v>
      </c>
      <c r="B546" s="59">
        <f>SUM('Weekly Data'!D543:D546)/4</f>
        <v>542</v>
      </c>
      <c r="C546" s="16">
        <f>SUM('Weekly Data'!E543:E546)/4</f>
        <v>1863</v>
      </c>
      <c r="D546" s="16">
        <f>SUM('Weekly Data'!F543:F546)/4</f>
        <v>1423</v>
      </c>
      <c r="E546" s="16">
        <f>SUM('Weekly Data'!G543:G546)/4</f>
        <v>3833.25</v>
      </c>
      <c r="F546" s="16">
        <f>SUM('Weekly Data'!H543:H546)/4</f>
        <v>36</v>
      </c>
      <c r="G546" s="16">
        <f>SUM('Weekly Data'!I543:I546)/4</f>
        <v>6274.25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9"/>
      <c r="R546" s="13">
        <v>38112</v>
      </c>
      <c r="S546" s="44"/>
      <c r="T546" s="44"/>
      <c r="U546" s="39"/>
      <c r="V546" s="44"/>
      <c r="W546" s="44"/>
      <c r="X546" s="40"/>
      <c r="Y546" s="39"/>
      <c r="Z546" s="39"/>
      <c r="AA546" s="40"/>
      <c r="AB546" s="44"/>
      <c r="AC546" s="39"/>
      <c r="AD546" s="40"/>
      <c r="AE546" s="44"/>
      <c r="AF546" s="39"/>
      <c r="AG546" s="40"/>
      <c r="AH546" s="44"/>
    </row>
    <row r="547" spans="1:34" x14ac:dyDescent="0.25">
      <c r="A547" s="105">
        <f t="shared" si="8"/>
        <v>38119</v>
      </c>
      <c r="B547" s="59">
        <f>SUM('Weekly Data'!D544:D547)/4</f>
        <v>373.5</v>
      </c>
      <c r="C547" s="16">
        <f>SUM('Weekly Data'!E544:E547)/4</f>
        <v>1826</v>
      </c>
      <c r="D547" s="16">
        <f>SUM('Weekly Data'!F544:F547)/4</f>
        <v>1518.5</v>
      </c>
      <c r="E547" s="16">
        <f>SUM('Weekly Data'!G544:G547)/4</f>
        <v>4176.75</v>
      </c>
      <c r="F547" s="16">
        <f>SUM('Weekly Data'!H544:H547)/4</f>
        <v>24.5</v>
      </c>
      <c r="G547" s="16">
        <f>SUM('Weekly Data'!I544:I547)/4</f>
        <v>6400.75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9"/>
      <c r="R547" s="13">
        <v>38119</v>
      </c>
      <c r="S547" s="44"/>
      <c r="T547" s="44"/>
      <c r="U547" s="39"/>
      <c r="V547" s="44"/>
      <c r="W547" s="44"/>
      <c r="X547" s="40"/>
      <c r="Y547" s="39"/>
      <c r="Z547" s="39"/>
      <c r="AA547" s="40"/>
      <c r="AB547" s="44"/>
      <c r="AC547" s="39"/>
      <c r="AD547" s="40"/>
      <c r="AE547" s="44"/>
      <c r="AF547" s="39"/>
      <c r="AG547" s="40"/>
      <c r="AH547" s="44"/>
    </row>
    <row r="548" spans="1:34" x14ac:dyDescent="0.25">
      <c r="A548" s="105">
        <f t="shared" si="8"/>
        <v>38126</v>
      </c>
      <c r="B548" s="59">
        <f>SUM('Weekly Data'!D545:D548)/4</f>
        <v>319.75</v>
      </c>
      <c r="C548" s="16">
        <f>SUM('Weekly Data'!E545:E548)/4</f>
        <v>1821.5</v>
      </c>
      <c r="D548" s="16">
        <f>SUM('Weekly Data'!F545:F548)/4</f>
        <v>1481</v>
      </c>
      <c r="E548" s="16">
        <f>SUM('Weekly Data'!G545:G548)/4</f>
        <v>4345</v>
      </c>
      <c r="F548" s="16">
        <f>SUM('Weekly Data'!H545:H548)/4</f>
        <v>61.5</v>
      </c>
      <c r="G548" s="16">
        <f>SUM('Weekly Data'!I545:I548)/4</f>
        <v>6547.75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9"/>
      <c r="R548" s="13">
        <v>38126</v>
      </c>
      <c r="S548" s="44"/>
      <c r="T548" s="44"/>
      <c r="U548" s="39"/>
      <c r="V548" s="44"/>
      <c r="W548" s="44"/>
      <c r="X548" s="40"/>
      <c r="Y548" s="39"/>
      <c r="Z548" s="39"/>
      <c r="AA548" s="40"/>
      <c r="AB548" s="44"/>
      <c r="AC548" s="39"/>
      <c r="AD548" s="40"/>
      <c r="AE548" s="44"/>
      <c r="AF548" s="39"/>
      <c r="AG548" s="40"/>
      <c r="AH548" s="44"/>
    </row>
    <row r="549" spans="1:34" x14ac:dyDescent="0.25">
      <c r="A549" s="105">
        <f t="shared" si="8"/>
        <v>38133</v>
      </c>
      <c r="B549" s="59">
        <f>SUM('Weekly Data'!D546:D549)/4</f>
        <v>363</v>
      </c>
      <c r="C549" s="16">
        <f>SUM('Weekly Data'!E546:E549)/4</f>
        <v>1899.25</v>
      </c>
      <c r="D549" s="16">
        <f>SUM('Weekly Data'!F546:F549)/4</f>
        <v>1287.25</v>
      </c>
      <c r="E549" s="16">
        <f>SUM('Weekly Data'!G546:G549)/4</f>
        <v>4257.25</v>
      </c>
      <c r="F549" s="16">
        <f>SUM('Weekly Data'!H546:H549)/4</f>
        <v>99.25</v>
      </c>
      <c r="G549" s="16">
        <f>SUM('Weekly Data'!I546:I549)/4</f>
        <v>6618.75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9"/>
      <c r="R549" s="13">
        <v>38133</v>
      </c>
      <c r="S549" s="44"/>
      <c r="T549" s="44"/>
      <c r="U549" s="39"/>
      <c r="V549" s="44"/>
      <c r="W549" s="44"/>
      <c r="X549" s="40"/>
      <c r="Y549" s="39"/>
      <c r="Z549" s="39"/>
      <c r="AA549" s="40"/>
      <c r="AB549" s="44"/>
      <c r="AC549" s="39"/>
      <c r="AD549" s="40"/>
      <c r="AE549" s="44"/>
      <c r="AF549" s="39"/>
      <c r="AG549" s="40"/>
      <c r="AH549" s="44"/>
    </row>
    <row r="550" spans="1:34" x14ac:dyDescent="0.25">
      <c r="A550" s="105">
        <f t="shared" si="8"/>
        <v>38140</v>
      </c>
      <c r="B550" s="59">
        <f>SUM('Weekly Data'!D547:D550)/4</f>
        <v>354.25</v>
      </c>
      <c r="C550" s="16">
        <f>SUM('Weekly Data'!E547:E550)/4</f>
        <v>1817</v>
      </c>
      <c r="D550" s="16">
        <f>SUM('Weekly Data'!F547:F550)/4</f>
        <v>1129.75</v>
      </c>
      <c r="E550" s="16">
        <f>SUM('Weekly Data'!G547:G550)/4</f>
        <v>4409</v>
      </c>
      <c r="F550" s="16">
        <f>SUM('Weekly Data'!H547:H550)/4</f>
        <v>83.25</v>
      </c>
      <c r="G550" s="16">
        <f>SUM('Weekly Data'!I547:I550)/4</f>
        <v>6663.5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9"/>
      <c r="R550" s="13">
        <v>38140</v>
      </c>
      <c r="S550" s="44"/>
      <c r="T550" s="44"/>
      <c r="U550" s="39"/>
      <c r="V550" s="44"/>
      <c r="W550" s="44"/>
      <c r="X550" s="40"/>
      <c r="Y550" s="39"/>
      <c r="Z550" s="39"/>
      <c r="AA550" s="40"/>
      <c r="AB550" s="44"/>
      <c r="AC550" s="39"/>
      <c r="AD550" s="40"/>
      <c r="AE550" s="44"/>
      <c r="AF550" s="39"/>
      <c r="AG550" s="40"/>
      <c r="AH550" s="44"/>
    </row>
    <row r="551" spans="1:34" x14ac:dyDescent="0.25">
      <c r="A551" s="105">
        <f t="shared" si="8"/>
        <v>38147</v>
      </c>
      <c r="B551" s="59">
        <f>SUM('Weekly Data'!D548:D551)/4</f>
        <v>409</v>
      </c>
      <c r="C551" s="16">
        <f>SUM('Weekly Data'!E548:E551)/4</f>
        <v>1905.75</v>
      </c>
      <c r="D551" s="16">
        <f>SUM('Weekly Data'!F548:F551)/4</f>
        <v>1012.5</v>
      </c>
      <c r="E551" s="16">
        <f>SUM('Weekly Data'!G548:G551)/4</f>
        <v>4353.25</v>
      </c>
      <c r="F551" s="16">
        <f>SUM('Weekly Data'!H548:H551)/4</f>
        <v>86.75</v>
      </c>
      <c r="G551" s="16">
        <f>SUM('Weekly Data'!I548:I551)/4</f>
        <v>6754.75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9"/>
      <c r="R551" s="13">
        <v>38147</v>
      </c>
      <c r="S551" s="44"/>
      <c r="T551" s="44"/>
      <c r="U551" s="39"/>
      <c r="V551" s="44"/>
      <c r="W551" s="44"/>
      <c r="X551" s="40"/>
      <c r="Y551" s="39"/>
      <c r="Z551" s="39"/>
      <c r="AA551" s="40"/>
      <c r="AB551" s="44"/>
      <c r="AC551" s="39"/>
      <c r="AD551" s="40"/>
      <c r="AE551" s="44"/>
      <c r="AF551" s="39"/>
      <c r="AG551" s="40"/>
      <c r="AH551" s="44"/>
    </row>
    <row r="552" spans="1:34" x14ac:dyDescent="0.25">
      <c r="A552" s="105">
        <f t="shared" si="8"/>
        <v>38154</v>
      </c>
      <c r="B552" s="59">
        <f>SUM('Weekly Data'!D549:D552)/4</f>
        <v>407.5</v>
      </c>
      <c r="C552" s="16">
        <f>SUM('Weekly Data'!E549:E552)/4</f>
        <v>1951.25</v>
      </c>
      <c r="D552" s="16">
        <f>SUM('Weekly Data'!F549:F552)/4</f>
        <v>959.5</v>
      </c>
      <c r="E552" s="16">
        <f>SUM('Weekly Data'!G549:G552)/4</f>
        <v>4490.25</v>
      </c>
      <c r="F552" s="16">
        <f>SUM('Weekly Data'!H549:H552)/4</f>
        <v>76.25</v>
      </c>
      <c r="G552" s="16">
        <f>SUM('Weekly Data'!I549:I552)/4</f>
        <v>6925.25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9"/>
      <c r="R552" s="13">
        <v>38154</v>
      </c>
      <c r="S552" s="44"/>
      <c r="T552" s="44"/>
      <c r="U552" s="39"/>
      <c r="V552" s="44"/>
      <c r="W552" s="44"/>
      <c r="X552" s="40"/>
      <c r="Y552" s="39"/>
      <c r="Z552" s="39"/>
      <c r="AA552" s="40"/>
      <c r="AB552" s="44"/>
      <c r="AC552" s="39"/>
      <c r="AD552" s="40"/>
      <c r="AE552" s="44"/>
      <c r="AF552" s="39"/>
      <c r="AG552" s="40"/>
      <c r="AH552" s="44"/>
    </row>
    <row r="553" spans="1:34" x14ac:dyDescent="0.25">
      <c r="A553" s="105">
        <f t="shared" si="8"/>
        <v>38161</v>
      </c>
      <c r="B553" s="59">
        <f>SUM('Weekly Data'!D550:D553)/4</f>
        <v>404.75</v>
      </c>
      <c r="C553" s="16">
        <f>SUM('Weekly Data'!E550:E553)/4</f>
        <v>1970.25</v>
      </c>
      <c r="D553" s="16">
        <f>SUM('Weekly Data'!F550:F553)/4</f>
        <v>782.25</v>
      </c>
      <c r="E553" s="16">
        <f>SUM('Weekly Data'!G550:G553)/4</f>
        <v>4217.25</v>
      </c>
      <c r="F553" s="16">
        <f>SUM('Weekly Data'!H550:H553)/4</f>
        <v>66.25</v>
      </c>
      <c r="G553" s="16">
        <f>SUM('Weekly Data'!I550:I553)/4</f>
        <v>6658.5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9"/>
      <c r="R553" s="13">
        <v>38161</v>
      </c>
      <c r="S553" s="44"/>
      <c r="T553" s="44"/>
      <c r="U553" s="39"/>
      <c r="V553" s="44"/>
      <c r="W553" s="44"/>
      <c r="X553" s="40"/>
      <c r="Y553" s="39"/>
      <c r="Z553" s="39"/>
      <c r="AA553" s="40"/>
      <c r="AB553" s="44"/>
      <c r="AC553" s="39"/>
      <c r="AD553" s="40"/>
      <c r="AE553" s="44"/>
      <c r="AF553" s="39"/>
      <c r="AG553" s="40"/>
      <c r="AH553" s="44"/>
    </row>
    <row r="554" spans="1:34" x14ac:dyDescent="0.25">
      <c r="A554" s="105">
        <f t="shared" si="8"/>
        <v>38168</v>
      </c>
      <c r="B554" s="59">
        <f>SUM('Weekly Data'!D551:D554)/4</f>
        <v>310.25</v>
      </c>
      <c r="C554" s="16">
        <f>SUM('Weekly Data'!E551:E554)/4</f>
        <v>2059.5</v>
      </c>
      <c r="D554" s="16">
        <f>SUM('Weekly Data'!F551:F554)/4</f>
        <v>850.5</v>
      </c>
      <c r="E554" s="16">
        <f>SUM('Weekly Data'!G551:G554)/4</f>
        <v>3817.5</v>
      </c>
      <c r="F554" s="16">
        <f>SUM('Weekly Data'!H551:H554)/4</f>
        <v>79.25</v>
      </c>
      <c r="G554" s="16">
        <f>SUM('Weekly Data'!I551:I554)/4</f>
        <v>6266.5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9"/>
      <c r="R554" s="13">
        <v>38168</v>
      </c>
      <c r="S554" s="44"/>
      <c r="T554" s="44"/>
      <c r="U554" s="39"/>
      <c r="V554" s="44"/>
      <c r="W554" s="44"/>
      <c r="X554" s="40"/>
      <c r="Y554" s="39"/>
      <c r="Z554" s="39"/>
      <c r="AA554" s="40"/>
      <c r="AB554" s="44"/>
      <c r="AC554" s="39"/>
      <c r="AD554" s="40"/>
      <c r="AE554" s="44"/>
      <c r="AF554" s="39"/>
      <c r="AG554" s="40"/>
      <c r="AH554" s="44"/>
    </row>
    <row r="555" spans="1:34" x14ac:dyDescent="0.25">
      <c r="A555" s="105">
        <f t="shared" si="8"/>
        <v>38175</v>
      </c>
      <c r="B555" s="59">
        <f>SUM('Weekly Data'!D552:D555)/4</f>
        <v>254.25</v>
      </c>
      <c r="C555" s="16">
        <f>SUM('Weekly Data'!E552:E555)/4</f>
        <v>1872</v>
      </c>
      <c r="D555" s="16">
        <f>SUM('Weekly Data'!F552:F555)/4</f>
        <v>723.5</v>
      </c>
      <c r="E555" s="16">
        <f>SUM('Weekly Data'!G552:G555)/4</f>
        <v>3708.25</v>
      </c>
      <c r="F555" s="16">
        <f>SUM('Weekly Data'!H552:H555)/4</f>
        <v>105.25</v>
      </c>
      <c r="G555" s="16">
        <f>SUM('Weekly Data'!I552:I555)/4</f>
        <v>5939.75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9"/>
      <c r="R555" s="13">
        <v>38175</v>
      </c>
      <c r="S555" s="44"/>
      <c r="T555" s="44"/>
      <c r="U555" s="39"/>
      <c r="V555" s="44"/>
      <c r="W555" s="44"/>
      <c r="X555" s="40"/>
      <c r="Y555" s="39"/>
      <c r="Z555" s="39"/>
      <c r="AA555" s="40"/>
      <c r="AB555" s="44"/>
      <c r="AC555" s="39"/>
      <c r="AD555" s="40"/>
      <c r="AE555" s="44"/>
      <c r="AF555" s="39"/>
      <c r="AG555" s="40"/>
      <c r="AH555" s="44"/>
    </row>
    <row r="556" spans="1:34" x14ac:dyDescent="0.25">
      <c r="A556" s="105">
        <f t="shared" si="8"/>
        <v>38182</v>
      </c>
      <c r="B556" s="59">
        <f>SUM('Weekly Data'!D553:D556)/4</f>
        <v>278.5</v>
      </c>
      <c r="C556" s="16">
        <f>SUM('Weekly Data'!E553:E556)/4</f>
        <v>1752.5</v>
      </c>
      <c r="D556" s="16">
        <f>SUM('Weekly Data'!F553:F556)/4</f>
        <v>750</v>
      </c>
      <c r="E556" s="16">
        <f>SUM('Weekly Data'!G553:G556)/4</f>
        <v>3405.5</v>
      </c>
      <c r="F556" s="16">
        <f>SUM('Weekly Data'!H553:H556)/4</f>
        <v>99.5</v>
      </c>
      <c r="G556" s="16">
        <f>SUM('Weekly Data'!I553:I556)/4</f>
        <v>5536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9"/>
      <c r="R556" s="13">
        <v>38182</v>
      </c>
      <c r="S556" s="44"/>
      <c r="T556" s="44"/>
      <c r="U556" s="39"/>
      <c r="V556" s="44"/>
      <c r="W556" s="44"/>
      <c r="X556" s="40"/>
      <c r="Y556" s="39"/>
      <c r="Z556" s="39"/>
      <c r="AA556" s="40"/>
      <c r="AB556" s="44"/>
      <c r="AC556" s="39"/>
      <c r="AD556" s="40"/>
      <c r="AE556" s="44"/>
      <c r="AF556" s="39"/>
      <c r="AG556" s="40"/>
      <c r="AH556" s="44"/>
    </row>
    <row r="557" spans="1:34" x14ac:dyDescent="0.25">
      <c r="A557" s="105">
        <f t="shared" si="8"/>
        <v>38189</v>
      </c>
      <c r="B557" s="59">
        <f>SUM('Weekly Data'!D554:D557)/4</f>
        <v>269.75</v>
      </c>
      <c r="C557" s="16">
        <f>SUM('Weekly Data'!E554:E557)/4</f>
        <v>1622</v>
      </c>
      <c r="D557" s="16">
        <f>SUM('Weekly Data'!F554:F557)/4</f>
        <v>833</v>
      </c>
      <c r="E557" s="16">
        <f>SUM('Weekly Data'!G554:G557)/4</f>
        <v>3493.25</v>
      </c>
      <c r="F557" s="16">
        <f>SUM('Weekly Data'!H554:H557)/4</f>
        <v>70.25</v>
      </c>
      <c r="G557" s="16">
        <f>SUM('Weekly Data'!I554:I557)/4</f>
        <v>5455.25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9"/>
      <c r="R557" s="13">
        <v>38189</v>
      </c>
      <c r="S557" s="44"/>
      <c r="T557" s="44"/>
      <c r="U557" s="39"/>
      <c r="V557" s="44"/>
      <c r="W557" s="44"/>
      <c r="X557" s="40"/>
      <c r="Y557" s="39"/>
      <c r="Z557" s="39"/>
      <c r="AA557" s="40"/>
      <c r="AB557" s="44"/>
      <c r="AC557" s="39"/>
      <c r="AD557" s="40"/>
      <c r="AE557" s="44"/>
      <c r="AF557" s="39"/>
      <c r="AG557" s="40"/>
      <c r="AH557" s="44"/>
    </row>
    <row r="558" spans="1:34" x14ac:dyDescent="0.25">
      <c r="A558" s="105">
        <f t="shared" si="8"/>
        <v>38196</v>
      </c>
      <c r="B558" s="59">
        <f>SUM('Weekly Data'!D555:D558)/4</f>
        <v>293.25</v>
      </c>
      <c r="C558" s="16">
        <f>SUM('Weekly Data'!E555:E558)/4</f>
        <v>1480.75</v>
      </c>
      <c r="D558" s="16">
        <f>SUM('Weekly Data'!F555:F558)/4</f>
        <v>916</v>
      </c>
      <c r="E558" s="16">
        <f>SUM('Weekly Data'!G555:G558)/4</f>
        <v>3362.5</v>
      </c>
      <c r="F558" s="16">
        <f>SUM('Weekly Data'!H555:H558)/4</f>
        <v>108.25</v>
      </c>
      <c r="G558" s="16">
        <f>SUM('Weekly Data'!I555:I558)/4</f>
        <v>5244.75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9"/>
      <c r="R558" s="13">
        <v>38196</v>
      </c>
      <c r="S558" s="44"/>
      <c r="T558" s="44"/>
      <c r="U558" s="39"/>
      <c r="V558" s="44"/>
      <c r="W558" s="44"/>
      <c r="X558" s="40"/>
      <c r="Y558" s="39"/>
      <c r="Z558" s="39"/>
      <c r="AA558" s="40"/>
      <c r="AB558" s="44"/>
      <c r="AC558" s="39"/>
      <c r="AD558" s="40"/>
      <c r="AE558" s="44"/>
      <c r="AF558" s="39"/>
      <c r="AG558" s="40"/>
      <c r="AH558" s="44"/>
    </row>
    <row r="559" spans="1:34" x14ac:dyDescent="0.25">
      <c r="A559" s="105">
        <f t="shared" si="8"/>
        <v>38203</v>
      </c>
      <c r="B559" s="59">
        <f>SUM('Weekly Data'!D556:D559)/4</f>
        <v>291.25</v>
      </c>
      <c r="C559" s="16">
        <f>SUM('Weekly Data'!E556:E559)/4</f>
        <v>1383.5</v>
      </c>
      <c r="D559" s="16">
        <f>SUM('Weekly Data'!F556:F559)/4</f>
        <v>1049.75</v>
      </c>
      <c r="E559" s="16">
        <f>SUM('Weekly Data'!G556:G559)/4</f>
        <v>3096</v>
      </c>
      <c r="F559" s="16">
        <f>SUM('Weekly Data'!H556:H559)/4</f>
        <v>79</v>
      </c>
      <c r="G559" s="16">
        <f>SUM('Weekly Data'!I556:I559)/4</f>
        <v>4849.75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9"/>
      <c r="R559" s="13">
        <v>38203</v>
      </c>
      <c r="S559" s="44"/>
      <c r="T559" s="44"/>
      <c r="U559" s="39"/>
      <c r="V559" s="44"/>
      <c r="W559" s="44"/>
      <c r="X559" s="40"/>
      <c r="Y559" s="39"/>
      <c r="Z559" s="39"/>
      <c r="AA559" s="40"/>
      <c r="AB559" s="44"/>
      <c r="AC559" s="39"/>
      <c r="AD559" s="40"/>
      <c r="AE559" s="44"/>
      <c r="AF559" s="39"/>
      <c r="AG559" s="40"/>
      <c r="AH559" s="44"/>
    </row>
    <row r="560" spans="1:34" x14ac:dyDescent="0.25">
      <c r="A560" s="105">
        <f t="shared" si="8"/>
        <v>38210</v>
      </c>
      <c r="B560" s="59">
        <f>SUM('Weekly Data'!D557:D560)/4</f>
        <v>357.25</v>
      </c>
      <c r="C560" s="16">
        <f>SUM('Weekly Data'!E557:E560)/4</f>
        <v>1366</v>
      </c>
      <c r="D560" s="16">
        <f>SUM('Weekly Data'!F557:F560)/4</f>
        <v>1001.5</v>
      </c>
      <c r="E560" s="16">
        <f>SUM('Weekly Data'!G557:G560)/4</f>
        <v>2833.25</v>
      </c>
      <c r="F560" s="16">
        <f>SUM('Weekly Data'!H557:H560)/4</f>
        <v>100.75</v>
      </c>
      <c r="G560" s="16">
        <f>SUM('Weekly Data'!I557:I560)/4</f>
        <v>4657.25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9"/>
      <c r="R560" s="13">
        <v>38210</v>
      </c>
      <c r="S560" s="44"/>
      <c r="T560" s="44"/>
      <c r="U560" s="39"/>
      <c r="V560" s="44"/>
      <c r="W560" s="44"/>
      <c r="X560" s="40"/>
      <c r="Y560" s="39"/>
      <c r="Z560" s="39"/>
      <c r="AA560" s="40"/>
      <c r="AB560" s="44"/>
      <c r="AC560" s="39"/>
      <c r="AD560" s="40"/>
      <c r="AE560" s="44"/>
      <c r="AF560" s="39"/>
      <c r="AG560" s="40"/>
      <c r="AH560" s="44"/>
    </row>
    <row r="561" spans="1:34" x14ac:dyDescent="0.25">
      <c r="A561" s="105">
        <f t="shared" si="8"/>
        <v>38217</v>
      </c>
      <c r="B561" s="59">
        <f>SUM('Weekly Data'!D558:D561)/4</f>
        <v>456</v>
      </c>
      <c r="C561" s="16">
        <f>SUM('Weekly Data'!E558:E561)/4</f>
        <v>1387</v>
      </c>
      <c r="D561" s="16">
        <f>SUM('Weekly Data'!F558:F561)/4</f>
        <v>1008.25</v>
      </c>
      <c r="E561" s="16">
        <f>SUM('Weekly Data'!G558:G561)/4</f>
        <v>2603.25</v>
      </c>
      <c r="F561" s="16">
        <f>SUM('Weekly Data'!H558:H561)/4</f>
        <v>125.75</v>
      </c>
      <c r="G561" s="16">
        <f>SUM('Weekly Data'!I558:I561)/4</f>
        <v>4572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9"/>
      <c r="R561" s="13">
        <v>38217</v>
      </c>
      <c r="S561" s="44"/>
      <c r="T561" s="44"/>
      <c r="U561" s="39"/>
      <c r="V561" s="44"/>
      <c r="W561" s="44"/>
      <c r="X561" s="40"/>
      <c r="Y561" s="39"/>
      <c r="Z561" s="39"/>
      <c r="AA561" s="40"/>
      <c r="AB561" s="44"/>
      <c r="AC561" s="39"/>
      <c r="AD561" s="40"/>
      <c r="AE561" s="44"/>
      <c r="AF561" s="39"/>
      <c r="AG561" s="40"/>
      <c r="AH561" s="44"/>
    </row>
    <row r="562" spans="1:34" x14ac:dyDescent="0.25">
      <c r="A562" s="105">
        <f t="shared" si="8"/>
        <v>38224</v>
      </c>
      <c r="B562" s="59">
        <f>SUM('Weekly Data'!D559:D562)/4</f>
        <v>577.75</v>
      </c>
      <c r="C562" s="16">
        <f>SUM('Weekly Data'!E559:E562)/4</f>
        <v>1301.75</v>
      </c>
      <c r="D562" s="16">
        <f>SUM('Weekly Data'!F559:F562)/4</f>
        <v>861.75</v>
      </c>
      <c r="E562" s="16">
        <f>SUM('Weekly Data'!G559:G562)/4</f>
        <v>2632</v>
      </c>
      <c r="F562" s="16">
        <f>SUM('Weekly Data'!H559:H562)/4</f>
        <v>82.5</v>
      </c>
      <c r="G562" s="16">
        <f>SUM('Weekly Data'!I559:I562)/4</f>
        <v>4594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9"/>
      <c r="R562" s="13">
        <v>38224</v>
      </c>
      <c r="S562" s="44"/>
      <c r="T562" s="44"/>
      <c r="U562" s="39"/>
      <c r="V562" s="44"/>
      <c r="W562" s="44"/>
      <c r="X562" s="40"/>
      <c r="Y562" s="39"/>
      <c r="Z562" s="39"/>
      <c r="AA562" s="40"/>
      <c r="AB562" s="44"/>
      <c r="AC562" s="39"/>
      <c r="AD562" s="40"/>
      <c r="AE562" s="44"/>
      <c r="AF562" s="39"/>
      <c r="AG562" s="40"/>
      <c r="AH562" s="44"/>
    </row>
    <row r="563" spans="1:34" x14ac:dyDescent="0.25">
      <c r="A563" s="105">
        <f t="shared" si="8"/>
        <v>38231</v>
      </c>
      <c r="B563" s="59">
        <f>SUM('Weekly Data'!D560:D563)/4</f>
        <v>671.25</v>
      </c>
      <c r="C563" s="16">
        <f>SUM('Weekly Data'!E560:E563)/4</f>
        <v>1234.5</v>
      </c>
      <c r="D563" s="16">
        <f>SUM('Weekly Data'!F560:F563)/4</f>
        <v>942.5</v>
      </c>
      <c r="E563" s="16">
        <f>SUM('Weekly Data'!G560:G563)/4</f>
        <v>3004.25</v>
      </c>
      <c r="F563" s="16">
        <f>SUM('Weekly Data'!H560:H563)/4</f>
        <v>85.75</v>
      </c>
      <c r="G563" s="16">
        <f>SUM('Weekly Data'!I560:I563)/4</f>
        <v>4995.75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9"/>
      <c r="R563" s="13">
        <v>38231</v>
      </c>
      <c r="S563" s="44"/>
      <c r="T563" s="44"/>
      <c r="U563" s="39"/>
      <c r="V563" s="44"/>
      <c r="W563" s="44"/>
      <c r="X563" s="40"/>
      <c r="Y563" s="39"/>
      <c r="Z563" s="39"/>
      <c r="AA563" s="40"/>
      <c r="AB563" s="44"/>
      <c r="AC563" s="39"/>
      <c r="AD563" s="40"/>
      <c r="AE563" s="44"/>
      <c r="AF563" s="39"/>
      <c r="AG563" s="40"/>
      <c r="AH563" s="44"/>
    </row>
    <row r="564" spans="1:34" x14ac:dyDescent="0.25">
      <c r="A564" s="105">
        <f t="shared" si="8"/>
        <v>38238</v>
      </c>
      <c r="B564" s="59">
        <f>SUM('Weekly Data'!D561:D564)/4</f>
        <v>679</v>
      </c>
      <c r="C564" s="16">
        <f>SUM('Weekly Data'!E561:E564)/4</f>
        <v>1207.75</v>
      </c>
      <c r="D564" s="16">
        <f>SUM('Weekly Data'!F561:F564)/4</f>
        <v>952.5</v>
      </c>
      <c r="E564" s="16">
        <f>SUM('Weekly Data'!G561:G564)/4</f>
        <v>3198.5</v>
      </c>
      <c r="F564" s="16">
        <f>SUM('Weekly Data'!H561:H564)/4</f>
        <v>57.5</v>
      </c>
      <c r="G564" s="16">
        <f>SUM('Weekly Data'!I561:I564)/4</f>
        <v>5142.75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9"/>
      <c r="R564" s="13">
        <v>38238</v>
      </c>
      <c r="S564" s="44"/>
      <c r="T564" s="44"/>
      <c r="U564" s="39"/>
      <c r="V564" s="44"/>
      <c r="W564" s="44"/>
      <c r="X564" s="40"/>
      <c r="Y564" s="39"/>
      <c r="Z564" s="39"/>
      <c r="AA564" s="40"/>
      <c r="AB564" s="44"/>
      <c r="AC564" s="39"/>
      <c r="AD564" s="40"/>
      <c r="AE564" s="44"/>
      <c r="AF564" s="39"/>
      <c r="AG564" s="40"/>
      <c r="AH564" s="44"/>
    </row>
    <row r="565" spans="1:34" x14ac:dyDescent="0.25">
      <c r="A565" s="105">
        <f t="shared" si="8"/>
        <v>38245</v>
      </c>
      <c r="B565" s="59">
        <f>SUM('Weekly Data'!D562:D565)/4</f>
        <v>683</v>
      </c>
      <c r="C565" s="16">
        <f>SUM('Weekly Data'!E562:E565)/4</f>
        <v>1262.75</v>
      </c>
      <c r="D565" s="16">
        <f>SUM('Weekly Data'!F562:F565)/4</f>
        <v>963.75</v>
      </c>
      <c r="E565" s="16">
        <f>SUM('Weekly Data'!G562:G565)/4</f>
        <v>3243</v>
      </c>
      <c r="F565" s="16">
        <f>SUM('Weekly Data'!H562:H565)/4</f>
        <v>66.5</v>
      </c>
      <c r="G565" s="16">
        <f>SUM('Weekly Data'!I562:I565)/4</f>
        <v>5255.25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9"/>
      <c r="R565" s="13">
        <v>38245</v>
      </c>
      <c r="S565" s="44"/>
      <c r="T565" s="44"/>
      <c r="U565" s="39"/>
      <c r="V565" s="44"/>
      <c r="W565" s="44"/>
      <c r="X565" s="40"/>
      <c r="Y565" s="39"/>
      <c r="Z565" s="39"/>
      <c r="AA565" s="40"/>
      <c r="AB565" s="44"/>
      <c r="AC565" s="39"/>
      <c r="AD565" s="40"/>
      <c r="AE565" s="44"/>
      <c r="AF565" s="39"/>
      <c r="AG565" s="40"/>
      <c r="AH565" s="44"/>
    </row>
    <row r="566" spans="1:34" x14ac:dyDescent="0.25">
      <c r="A566" s="105">
        <f t="shared" si="8"/>
        <v>38252</v>
      </c>
      <c r="B566" s="59">
        <f>SUM('Weekly Data'!D563:D566)/4</f>
        <v>649</v>
      </c>
      <c r="C566" s="16">
        <f>SUM('Weekly Data'!E563:E566)/4</f>
        <v>1174.75</v>
      </c>
      <c r="D566" s="16">
        <f>SUM('Weekly Data'!F563:F566)/4</f>
        <v>1079.5</v>
      </c>
      <c r="E566" s="16">
        <f>SUM('Weekly Data'!G563:G566)/4</f>
        <v>3138.75</v>
      </c>
      <c r="F566" s="16">
        <f>SUM('Weekly Data'!H563:H566)/4</f>
        <v>64</v>
      </c>
      <c r="G566" s="16">
        <f>SUM('Weekly Data'!I563:I566)/4</f>
        <v>5026.5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9"/>
      <c r="R566" s="13">
        <v>38252</v>
      </c>
      <c r="S566" s="44"/>
      <c r="T566" s="44"/>
      <c r="U566" s="39"/>
      <c r="V566" s="44"/>
      <c r="W566" s="44"/>
      <c r="X566" s="40"/>
      <c r="Y566" s="39"/>
      <c r="Z566" s="39"/>
      <c r="AA566" s="40"/>
      <c r="AB566" s="44"/>
      <c r="AC566" s="39"/>
      <c r="AD566" s="40"/>
      <c r="AE566" s="44"/>
      <c r="AF566" s="39"/>
      <c r="AG566" s="40"/>
      <c r="AH566" s="44"/>
    </row>
    <row r="567" spans="1:34" x14ac:dyDescent="0.25">
      <c r="A567" s="105">
        <f t="shared" si="8"/>
        <v>38259</v>
      </c>
      <c r="B567" s="59">
        <f>SUM('Weekly Data'!D564:D567)/4</f>
        <v>785</v>
      </c>
      <c r="C567" s="16">
        <f>SUM('Weekly Data'!E564:E567)/4</f>
        <v>1210.5</v>
      </c>
      <c r="D567" s="16">
        <f>SUM('Weekly Data'!F564:F567)/4</f>
        <v>990.75</v>
      </c>
      <c r="E567" s="16">
        <f>SUM('Weekly Data'!G564:G567)/4</f>
        <v>2963.75</v>
      </c>
      <c r="F567" s="16">
        <f>SUM('Weekly Data'!H564:H567)/4</f>
        <v>99.5</v>
      </c>
      <c r="G567" s="16">
        <f>SUM('Weekly Data'!I564:I567)/4</f>
        <v>5058.75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9"/>
      <c r="R567" s="13">
        <v>38259</v>
      </c>
      <c r="S567" s="44"/>
      <c r="T567" s="44"/>
      <c r="U567" s="39"/>
      <c r="V567" s="44"/>
      <c r="W567" s="44"/>
      <c r="X567" s="40"/>
      <c r="Y567" s="39"/>
      <c r="Z567" s="39"/>
      <c r="AA567" s="40"/>
      <c r="AB567" s="44"/>
      <c r="AC567" s="39"/>
      <c r="AD567" s="40"/>
      <c r="AE567" s="44"/>
      <c r="AF567" s="39"/>
      <c r="AG567" s="40"/>
      <c r="AH567" s="44"/>
    </row>
    <row r="568" spans="1:34" x14ac:dyDescent="0.25">
      <c r="A568" s="105">
        <f t="shared" si="8"/>
        <v>38266</v>
      </c>
      <c r="B568" s="59">
        <f>SUM('Weekly Data'!D565:D568)/4</f>
        <v>919</v>
      </c>
      <c r="C568" s="16">
        <f>SUM('Weekly Data'!E565:E568)/4</f>
        <v>1342.5</v>
      </c>
      <c r="D568" s="16">
        <f>SUM('Weekly Data'!F565:F568)/4</f>
        <v>1094</v>
      </c>
      <c r="E568" s="16">
        <f>SUM('Weekly Data'!G565:G568)/4</f>
        <v>3160</v>
      </c>
      <c r="F568" s="16">
        <f>SUM('Weekly Data'!H565:H568)/4</f>
        <v>121.25</v>
      </c>
      <c r="G568" s="16">
        <f>SUM('Weekly Data'!I565:I568)/4</f>
        <v>5542.75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9"/>
      <c r="R568" s="13">
        <v>38266</v>
      </c>
      <c r="S568" s="44"/>
      <c r="T568" s="44"/>
      <c r="U568" s="39"/>
      <c r="V568" s="44"/>
      <c r="W568" s="44"/>
      <c r="X568" s="40"/>
      <c r="Y568" s="39"/>
      <c r="Z568" s="39"/>
      <c r="AA568" s="40"/>
      <c r="AB568" s="44"/>
      <c r="AC568" s="39"/>
      <c r="AD568" s="40"/>
      <c r="AE568" s="44"/>
      <c r="AF568" s="39"/>
      <c r="AG568" s="40"/>
      <c r="AH568" s="44"/>
    </row>
    <row r="569" spans="1:34" x14ac:dyDescent="0.25">
      <c r="A569" s="105">
        <f t="shared" si="8"/>
        <v>38273</v>
      </c>
      <c r="B569" s="59">
        <f>SUM('Weekly Data'!D566:D569)/4</f>
        <v>1187.75</v>
      </c>
      <c r="C569" s="16">
        <f>SUM('Weekly Data'!E566:E569)/4</f>
        <v>1189.75</v>
      </c>
      <c r="D569" s="16">
        <f>SUM('Weekly Data'!F566:F569)/4</f>
        <v>1311.25</v>
      </c>
      <c r="E569" s="16">
        <f>SUM('Weekly Data'!G566:G569)/4</f>
        <v>3799.5</v>
      </c>
      <c r="F569" s="16">
        <f>SUM('Weekly Data'!H566:H569)/4</f>
        <v>151.5</v>
      </c>
      <c r="G569" s="16">
        <f>SUM('Weekly Data'!I566:I569)/4</f>
        <v>6328.5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9"/>
      <c r="R569" s="13">
        <v>38273</v>
      </c>
      <c r="S569" s="44"/>
      <c r="T569" s="44"/>
      <c r="U569" s="39"/>
      <c r="V569" s="44"/>
      <c r="W569" s="44"/>
      <c r="X569" s="40"/>
      <c r="Y569" s="39"/>
      <c r="Z569" s="39"/>
      <c r="AA569" s="40"/>
      <c r="AB569" s="44"/>
      <c r="AC569" s="39"/>
      <c r="AD569" s="40"/>
      <c r="AE569" s="44"/>
      <c r="AF569" s="39"/>
      <c r="AG569" s="40"/>
      <c r="AH569" s="44"/>
    </row>
    <row r="570" spans="1:34" x14ac:dyDescent="0.25">
      <c r="A570" s="105">
        <f t="shared" si="8"/>
        <v>38280</v>
      </c>
      <c r="B570" s="59">
        <f>SUM('Weekly Data'!D567:D570)/4</f>
        <v>1516.25</v>
      </c>
      <c r="C570" s="16">
        <f>SUM('Weekly Data'!E567:E570)/4</f>
        <v>1265.25</v>
      </c>
      <c r="D570" s="16">
        <f>SUM('Weekly Data'!F567:F570)/4</f>
        <v>1318</v>
      </c>
      <c r="E570" s="16">
        <f>SUM('Weekly Data'!G567:G570)/4</f>
        <v>4473.25</v>
      </c>
      <c r="F570" s="16">
        <f>SUM('Weekly Data'!H567:H570)/4</f>
        <v>197.25</v>
      </c>
      <c r="G570" s="16">
        <f>SUM('Weekly Data'!I567:I570)/4</f>
        <v>7452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9"/>
      <c r="R570" s="13">
        <v>38280</v>
      </c>
      <c r="S570" s="44"/>
      <c r="T570" s="44"/>
      <c r="U570" s="39"/>
      <c r="V570" s="44"/>
      <c r="W570" s="44"/>
      <c r="X570" s="40"/>
      <c r="Y570" s="39"/>
      <c r="Z570" s="39"/>
      <c r="AA570" s="40"/>
      <c r="AB570" s="44"/>
      <c r="AC570" s="39"/>
      <c r="AD570" s="40"/>
      <c r="AE570" s="44"/>
      <c r="AF570" s="39"/>
      <c r="AG570" s="40"/>
      <c r="AH570" s="44"/>
    </row>
    <row r="571" spans="1:34" x14ac:dyDescent="0.25">
      <c r="A571" s="105">
        <f t="shared" si="8"/>
        <v>38287</v>
      </c>
      <c r="B571" s="59">
        <f>SUM('Weekly Data'!D568:D571)/4</f>
        <v>1582</v>
      </c>
      <c r="C571" s="16">
        <f>SUM('Weekly Data'!E568:E571)/4</f>
        <v>1344.5</v>
      </c>
      <c r="D571" s="16">
        <f>SUM('Weekly Data'!F568:F571)/4</f>
        <v>1370.5</v>
      </c>
      <c r="E571" s="16">
        <f>SUM('Weekly Data'!G568:G571)/4</f>
        <v>4957</v>
      </c>
      <c r="F571" s="16">
        <f>SUM('Weekly Data'!H568:H571)/4</f>
        <v>288.25</v>
      </c>
      <c r="G571" s="16">
        <f>SUM('Weekly Data'!I568:I571)/4</f>
        <v>8171.75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9"/>
      <c r="R571" s="13">
        <v>38287</v>
      </c>
      <c r="S571" s="44"/>
      <c r="T571" s="44"/>
      <c r="U571" s="39"/>
      <c r="V571" s="44"/>
      <c r="W571" s="44"/>
      <c r="X571" s="40"/>
      <c r="Y571" s="39"/>
      <c r="Z571" s="39"/>
      <c r="AA571" s="40"/>
      <c r="AB571" s="44"/>
      <c r="AC571" s="39"/>
      <c r="AD571" s="40"/>
      <c r="AE571" s="44"/>
      <c r="AF571" s="39"/>
      <c r="AG571" s="40"/>
      <c r="AH571" s="44"/>
    </row>
    <row r="572" spans="1:34" x14ac:dyDescent="0.25">
      <c r="A572" s="105">
        <f t="shared" si="8"/>
        <v>38294</v>
      </c>
      <c r="B572" s="59">
        <f>SUM('Weekly Data'!D569:D572)/4</f>
        <v>1624</v>
      </c>
      <c r="C572" s="16">
        <f>SUM('Weekly Data'!E569:E572)/4</f>
        <v>1220</v>
      </c>
      <c r="D572" s="16">
        <f>SUM('Weekly Data'!F569:F572)/4</f>
        <v>1372.5</v>
      </c>
      <c r="E572" s="16">
        <f>SUM('Weekly Data'!G569:G572)/4</f>
        <v>5105.25</v>
      </c>
      <c r="F572" s="16">
        <f>SUM('Weekly Data'!H569:H572)/4</f>
        <v>371.75</v>
      </c>
      <c r="G572" s="16">
        <f>SUM('Weekly Data'!I569:I572)/4</f>
        <v>8321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9"/>
      <c r="R572" s="13">
        <v>38294</v>
      </c>
      <c r="S572" s="44"/>
      <c r="T572" s="44"/>
      <c r="U572" s="39"/>
      <c r="V572" s="44"/>
      <c r="W572" s="44"/>
      <c r="X572" s="40"/>
      <c r="Y572" s="39"/>
      <c r="Z572" s="39"/>
      <c r="AA572" s="40"/>
      <c r="AB572" s="44"/>
      <c r="AC572" s="39"/>
      <c r="AD572" s="40"/>
      <c r="AE572" s="44"/>
      <c r="AF572" s="39"/>
      <c r="AG572" s="40"/>
      <c r="AH572" s="44"/>
    </row>
    <row r="573" spans="1:34" x14ac:dyDescent="0.25">
      <c r="A573" s="105">
        <f t="shared" si="8"/>
        <v>38301</v>
      </c>
      <c r="B573" s="59">
        <f>SUM('Weekly Data'!D570:D573)/4</f>
        <v>1480.5</v>
      </c>
      <c r="C573" s="16">
        <f>SUM('Weekly Data'!E570:E573)/4</f>
        <v>1178</v>
      </c>
      <c r="D573" s="16">
        <f>SUM('Weekly Data'!F570:F573)/4</f>
        <v>1335.5</v>
      </c>
      <c r="E573" s="16">
        <f>SUM('Weekly Data'!G570:G573)/4</f>
        <v>5239.25</v>
      </c>
      <c r="F573" s="16">
        <f>SUM('Weekly Data'!H570:H573)/4</f>
        <v>504</v>
      </c>
      <c r="G573" s="16">
        <f>SUM('Weekly Data'!I570:I573)/4</f>
        <v>8401.75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9"/>
      <c r="R573" s="13">
        <v>38301</v>
      </c>
      <c r="S573" s="44"/>
      <c r="T573" s="44"/>
      <c r="U573" s="39"/>
      <c r="V573" s="44"/>
      <c r="W573" s="44"/>
      <c r="X573" s="40"/>
      <c r="Y573" s="39"/>
      <c r="Z573" s="39"/>
      <c r="AA573" s="40"/>
      <c r="AB573" s="44"/>
      <c r="AC573" s="39"/>
      <c r="AD573" s="40"/>
      <c r="AE573" s="44"/>
      <c r="AF573" s="39"/>
      <c r="AG573" s="40"/>
      <c r="AH573" s="44"/>
    </row>
    <row r="574" spans="1:34" x14ac:dyDescent="0.25">
      <c r="A574" s="105">
        <f t="shared" si="8"/>
        <v>38308</v>
      </c>
      <c r="B574" s="59">
        <f>SUM('Weekly Data'!D571:D574)/4</f>
        <v>1396</v>
      </c>
      <c r="C574" s="16">
        <f>SUM('Weekly Data'!E571:E574)/4</f>
        <v>1251</v>
      </c>
      <c r="D574" s="16">
        <f>SUM('Weekly Data'!F571:F574)/4</f>
        <v>1363</v>
      </c>
      <c r="E574" s="16">
        <f>SUM('Weekly Data'!G571:G574)/4</f>
        <v>5048.5</v>
      </c>
      <c r="F574" s="16">
        <f>SUM('Weekly Data'!H571:H574)/4</f>
        <v>659.25</v>
      </c>
      <c r="G574" s="16">
        <f>SUM('Weekly Data'!I571:I574)/4</f>
        <v>8354.75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9"/>
      <c r="R574" s="13">
        <v>38308</v>
      </c>
      <c r="S574" s="44"/>
      <c r="T574" s="44"/>
      <c r="U574" s="39"/>
      <c r="V574" s="44"/>
      <c r="W574" s="44"/>
      <c r="X574" s="40"/>
      <c r="Y574" s="39"/>
      <c r="Z574" s="39"/>
      <c r="AA574" s="40"/>
      <c r="AB574" s="44"/>
      <c r="AC574" s="39"/>
      <c r="AD574" s="40"/>
      <c r="AE574" s="44"/>
      <c r="AF574" s="39"/>
      <c r="AG574" s="40"/>
      <c r="AH574" s="44"/>
    </row>
    <row r="575" spans="1:34" x14ac:dyDescent="0.25">
      <c r="A575" s="105">
        <f t="shared" si="8"/>
        <v>38315</v>
      </c>
      <c r="B575" s="59">
        <f>SUM('Weekly Data'!D572:D575)/4</f>
        <v>1456.75</v>
      </c>
      <c r="C575" s="16">
        <f>SUM('Weekly Data'!E572:E575)/4</f>
        <v>1213.75</v>
      </c>
      <c r="D575" s="16">
        <f>SUM('Weekly Data'!F572:F575)/4</f>
        <v>1543</v>
      </c>
      <c r="E575" s="16">
        <f>SUM('Weekly Data'!G572:G575)/4</f>
        <v>4959.25</v>
      </c>
      <c r="F575" s="16">
        <f>SUM('Weekly Data'!H572:H575)/4</f>
        <v>608.5</v>
      </c>
      <c r="G575" s="16">
        <f>SUM('Weekly Data'!I572:I575)/4</f>
        <v>8238.25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9"/>
      <c r="R575" s="13">
        <v>38315</v>
      </c>
      <c r="S575" s="44"/>
      <c r="T575" s="44"/>
      <c r="U575" s="39"/>
      <c r="V575" s="44"/>
      <c r="W575" s="44"/>
      <c r="X575" s="40"/>
      <c r="Y575" s="39"/>
      <c r="Z575" s="39"/>
      <c r="AA575" s="40"/>
      <c r="AB575" s="44"/>
      <c r="AC575" s="39"/>
      <c r="AD575" s="40"/>
      <c r="AE575" s="44"/>
      <c r="AF575" s="39"/>
      <c r="AG575" s="40"/>
      <c r="AH575" s="44"/>
    </row>
    <row r="576" spans="1:34" x14ac:dyDescent="0.25">
      <c r="A576" s="105">
        <f t="shared" si="8"/>
        <v>38322</v>
      </c>
      <c r="B576" s="59">
        <f>SUM('Weekly Data'!D573:D576)/4</f>
        <v>1340.75</v>
      </c>
      <c r="C576" s="16">
        <f>SUM('Weekly Data'!E573:E576)/4</f>
        <v>1332.75</v>
      </c>
      <c r="D576" s="16">
        <f>SUM('Weekly Data'!F573:F576)/4</f>
        <v>1738.5</v>
      </c>
      <c r="E576" s="16">
        <f>SUM('Weekly Data'!G573:G576)/4</f>
        <v>4962</v>
      </c>
      <c r="F576" s="16">
        <f>SUM('Weekly Data'!H573:H576)/4</f>
        <v>613</v>
      </c>
      <c r="G576" s="16">
        <f>SUM('Weekly Data'!I573:I576)/4</f>
        <v>8248.5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9"/>
      <c r="R576" s="13">
        <v>38322</v>
      </c>
      <c r="S576" s="44"/>
      <c r="T576" s="44"/>
      <c r="U576" s="39"/>
      <c r="V576" s="44"/>
      <c r="W576" s="44"/>
      <c r="X576" s="40"/>
      <c r="Y576" s="39"/>
      <c r="Z576" s="39"/>
      <c r="AA576" s="40"/>
      <c r="AB576" s="44"/>
      <c r="AC576" s="39"/>
      <c r="AD576" s="40"/>
      <c r="AE576" s="44"/>
      <c r="AF576" s="39"/>
      <c r="AG576" s="40"/>
      <c r="AH576" s="44"/>
    </row>
    <row r="577" spans="1:34" x14ac:dyDescent="0.25">
      <c r="A577" s="105">
        <f t="shared" si="8"/>
        <v>38329</v>
      </c>
      <c r="B577" s="59">
        <f>SUM('Weekly Data'!D574:D577)/4</f>
        <v>1304.5</v>
      </c>
      <c r="C577" s="16">
        <f>SUM('Weekly Data'!E574:E577)/4</f>
        <v>1438.75</v>
      </c>
      <c r="D577" s="16">
        <f>SUM('Weekly Data'!F574:F577)/4</f>
        <v>1789.25</v>
      </c>
      <c r="E577" s="16">
        <f>SUM('Weekly Data'!G574:G577)/4</f>
        <v>4419.5</v>
      </c>
      <c r="F577" s="16">
        <f>SUM('Weekly Data'!H574:H577)/4</f>
        <v>497.5</v>
      </c>
      <c r="G577" s="16">
        <f>SUM('Weekly Data'!I574:I577)/4</f>
        <v>7660.25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9"/>
      <c r="R577" s="13">
        <v>38329</v>
      </c>
      <c r="S577" s="44"/>
      <c r="T577" s="44"/>
      <c r="U577" s="39"/>
      <c r="V577" s="44"/>
      <c r="W577" s="44"/>
      <c r="X577" s="40"/>
      <c r="Y577" s="39"/>
      <c r="Z577" s="39"/>
      <c r="AA577" s="40"/>
      <c r="AB577" s="44"/>
      <c r="AC577" s="39"/>
      <c r="AD577" s="40"/>
      <c r="AE577" s="44"/>
      <c r="AF577" s="39"/>
      <c r="AG577" s="40"/>
      <c r="AH577" s="44"/>
    </row>
    <row r="578" spans="1:34" x14ac:dyDescent="0.25">
      <c r="A578" s="105">
        <f t="shared" si="8"/>
        <v>38336</v>
      </c>
      <c r="B578" s="59">
        <f>SUM('Weekly Data'!D575:D578)/4</f>
        <v>1226.25</v>
      </c>
      <c r="C578" s="16">
        <f>SUM('Weekly Data'!E575:E578)/4</f>
        <v>1549</v>
      </c>
      <c r="D578" s="16">
        <f>SUM('Weekly Data'!F575:F578)/4</f>
        <v>1920</v>
      </c>
      <c r="E578" s="16">
        <f>SUM('Weekly Data'!G575:G578)/4</f>
        <v>4295.25</v>
      </c>
      <c r="F578" s="16">
        <f>SUM('Weekly Data'!H575:H578)/4</f>
        <v>408</v>
      </c>
      <c r="G578" s="16">
        <f>SUM('Weekly Data'!I575:I578)/4</f>
        <v>7478.5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9"/>
      <c r="R578" s="13">
        <v>38336</v>
      </c>
      <c r="S578" s="44"/>
      <c r="T578" s="44"/>
      <c r="U578" s="39"/>
      <c r="V578" s="44"/>
      <c r="W578" s="44"/>
      <c r="X578" s="40"/>
      <c r="Y578" s="39"/>
      <c r="Z578" s="39"/>
      <c r="AA578" s="40"/>
      <c r="AB578" s="44"/>
      <c r="AC578" s="39"/>
      <c r="AD578" s="40"/>
      <c r="AE578" s="44"/>
      <c r="AF578" s="39"/>
      <c r="AG578" s="40"/>
      <c r="AH578" s="44"/>
    </row>
    <row r="579" spans="1:34" x14ac:dyDescent="0.25">
      <c r="A579" s="105">
        <f t="shared" si="8"/>
        <v>38343</v>
      </c>
      <c r="B579" s="59">
        <f>SUM('Weekly Data'!D576:D579)/4</f>
        <v>1052</v>
      </c>
      <c r="C579" s="16">
        <f>SUM('Weekly Data'!E576:E579)/4</f>
        <v>1558.25</v>
      </c>
      <c r="D579" s="16">
        <f>SUM('Weekly Data'!F576:F579)/4</f>
        <v>1994.25</v>
      </c>
      <c r="E579" s="16">
        <f>SUM('Weekly Data'!G576:G579)/4</f>
        <v>4385.75</v>
      </c>
      <c r="F579" s="16">
        <f>SUM('Weekly Data'!H576:H579)/4</f>
        <v>455.75</v>
      </c>
      <c r="G579" s="16">
        <f>SUM('Weekly Data'!I576:I579)/4</f>
        <v>7451.75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9"/>
      <c r="R579" s="13">
        <v>38343</v>
      </c>
      <c r="S579" s="44"/>
      <c r="T579" s="44"/>
      <c r="U579" s="39"/>
      <c r="V579" s="44"/>
      <c r="W579" s="44"/>
      <c r="X579" s="40"/>
      <c r="Y579" s="39"/>
      <c r="Z579" s="39"/>
      <c r="AA579" s="40"/>
      <c r="AB579" s="44"/>
      <c r="AC579" s="39"/>
      <c r="AD579" s="40"/>
      <c r="AE579" s="44"/>
      <c r="AF579" s="39"/>
      <c r="AG579" s="40"/>
      <c r="AH579" s="44"/>
    </row>
    <row r="580" spans="1:34" x14ac:dyDescent="0.25">
      <c r="A580" s="105">
        <f t="shared" si="8"/>
        <v>38350</v>
      </c>
      <c r="B580" s="59">
        <f>SUM('Weekly Data'!D577:D580)/4</f>
        <v>1122.25</v>
      </c>
      <c r="C580" s="16">
        <f>SUM('Weekly Data'!E577:E580)/4</f>
        <v>1389.5</v>
      </c>
      <c r="D580" s="16">
        <f>SUM('Weekly Data'!F577:F580)/4</f>
        <v>1839.25</v>
      </c>
      <c r="E580" s="16">
        <f>SUM('Weekly Data'!G577:G580)/4</f>
        <v>4235.75</v>
      </c>
      <c r="F580" s="16">
        <f>SUM('Weekly Data'!H577:H580)/4</f>
        <v>398.25</v>
      </c>
      <c r="G580" s="16">
        <f>SUM('Weekly Data'!I577:I580)/4</f>
        <v>7145.75</v>
      </c>
      <c r="H580" s="16"/>
      <c r="I580" s="16"/>
      <c r="J580" s="16"/>
      <c r="K580" s="16"/>
      <c r="L580" s="16"/>
      <c r="M580" s="16"/>
      <c r="N580" s="16"/>
      <c r="O580" s="16"/>
      <c r="P580" s="16"/>
      <c r="R580" s="13">
        <v>38350</v>
      </c>
      <c r="S580" s="44"/>
      <c r="T580" s="44"/>
      <c r="U580" s="39"/>
      <c r="V580" s="44"/>
      <c r="W580" s="44"/>
      <c r="X580" s="40"/>
      <c r="Y580" s="39"/>
      <c r="Z580" s="39"/>
      <c r="AA580" s="40"/>
      <c r="AB580" s="44"/>
      <c r="AC580" s="39"/>
      <c r="AD580" s="40"/>
      <c r="AE580" s="44"/>
      <c r="AF580" s="39"/>
      <c r="AG580" s="40"/>
      <c r="AH580" s="44"/>
    </row>
    <row r="581" spans="1:34" x14ac:dyDescent="0.25">
      <c r="A581" s="105">
        <f t="shared" si="8"/>
        <v>38357</v>
      </c>
      <c r="B581" s="59">
        <f>SUM('Weekly Data'!D578:D581)/4</f>
        <v>1133.75</v>
      </c>
      <c r="C581" s="16">
        <f>SUM('Weekly Data'!E578:E581)/4</f>
        <v>1445</v>
      </c>
      <c r="D581" s="16">
        <f>SUM('Weekly Data'!F578:F581)/4</f>
        <v>1900.5</v>
      </c>
      <c r="E581" s="16">
        <f>SUM('Weekly Data'!G578:G581)/4</f>
        <v>4156.25</v>
      </c>
      <c r="F581" s="16">
        <f>SUM('Weekly Data'!H578:H581)/4</f>
        <v>402.25</v>
      </c>
      <c r="G581" s="16">
        <f>SUM('Weekly Data'!I578:I581)/4</f>
        <v>7137.25</v>
      </c>
      <c r="H581" s="16"/>
      <c r="I581" s="16"/>
      <c r="J581" s="16" t="s">
        <v>34</v>
      </c>
      <c r="K581" s="16">
        <f>AVERAGE('Weekly Data'!E529,'Weekly Data'!E477,'Weekly Data'!E425,'Weekly Data'!E373)</f>
        <v>1893.25</v>
      </c>
      <c r="L581" s="16"/>
      <c r="M581" s="16">
        <f>AVERAGE('Weekly Data'!G529,'Weekly Data'!G477,'Weekly Data'!G425,'Weekly Data'!G373)</f>
        <v>2236.5</v>
      </c>
      <c r="N581" s="16">
        <f>AVERAGE('Weekly Data'!H529,'Weekly Data'!H477,'Weekly Data'!H425,'Weekly Data'!H373)</f>
        <v>572.75</v>
      </c>
      <c r="O581" s="16" t="s">
        <v>34</v>
      </c>
      <c r="P581" s="16"/>
      <c r="R581" s="13">
        <v>38357</v>
      </c>
      <c r="S581" s="16" t="s">
        <v>34</v>
      </c>
      <c r="T581" s="107">
        <f t="shared" ref="T581:T634" si="9">AVERAGE(C529,C477,C425,C373)</f>
        <v>1559.125</v>
      </c>
      <c r="U581" s="16" t="s">
        <v>34</v>
      </c>
      <c r="V581" s="16">
        <f t="shared" ref="V581:V633" si="10">AVERAGE(E529,E477,E425,E373)</f>
        <v>2256.375</v>
      </c>
      <c r="W581" s="16">
        <f t="shared" ref="W581:W633" si="11">AVERAGE(F529,F477,F425,F373)</f>
        <v>535</v>
      </c>
      <c r="X581" s="16" t="s">
        <v>34</v>
      </c>
      <c r="Y581" s="39"/>
      <c r="Z581" s="39"/>
      <c r="AA581" s="40"/>
      <c r="AB581" s="44"/>
      <c r="AC581" s="39"/>
      <c r="AD581" s="40"/>
      <c r="AE581" s="44"/>
      <c r="AF581" s="39"/>
      <c r="AG581" s="40"/>
      <c r="AH581" s="44"/>
    </row>
    <row r="582" spans="1:34" x14ac:dyDescent="0.25">
      <c r="A582" s="105">
        <f t="shared" si="8"/>
        <v>38364</v>
      </c>
      <c r="B582" s="59">
        <f>SUM('Weekly Data'!D579:D582)/4</f>
        <v>1175</v>
      </c>
      <c r="C582" s="16">
        <f>SUM('Weekly Data'!E579:E582)/4</f>
        <v>1272</v>
      </c>
      <c r="D582" s="16">
        <f>SUM('Weekly Data'!F579:F582)/4</f>
        <v>1671.5</v>
      </c>
      <c r="E582" s="16">
        <f>SUM('Weekly Data'!G579:G582)/4</f>
        <v>4104.75</v>
      </c>
      <c r="F582" s="16">
        <f>SUM('Weekly Data'!H579:H582)/4</f>
        <v>423.75</v>
      </c>
      <c r="G582" s="16">
        <f>SUM('Weekly Data'!I579:I582)/4</f>
        <v>6975.5</v>
      </c>
      <c r="H582" s="16"/>
      <c r="I582" s="16"/>
      <c r="J582" s="16" t="s">
        <v>34</v>
      </c>
      <c r="K582" s="16">
        <f>AVERAGE('Weekly Data'!E530,'Weekly Data'!E478,'Weekly Data'!E426,'Weekly Data'!E374)</f>
        <v>1828.25</v>
      </c>
      <c r="L582" s="16"/>
      <c r="M582" s="16">
        <f>AVERAGE('Weekly Data'!G530,'Weekly Data'!G478,'Weekly Data'!G426,'Weekly Data'!G374)</f>
        <v>2536.25</v>
      </c>
      <c r="N582" s="16">
        <f>AVERAGE('Weekly Data'!H530,'Weekly Data'!H478,'Weekly Data'!H426,'Weekly Data'!H374)</f>
        <v>831.5</v>
      </c>
      <c r="O582" s="16" t="s">
        <v>34</v>
      </c>
      <c r="P582" s="16"/>
      <c r="R582" s="13">
        <v>38364</v>
      </c>
      <c r="S582" s="16" t="s">
        <v>34</v>
      </c>
      <c r="T582" s="107">
        <f t="shared" si="9"/>
        <v>1668.1875</v>
      </c>
      <c r="U582" s="16" t="s">
        <v>34</v>
      </c>
      <c r="V582" s="16">
        <f t="shared" si="10"/>
        <v>2276.125</v>
      </c>
      <c r="W582" s="16">
        <f t="shared" si="11"/>
        <v>615.375</v>
      </c>
      <c r="X582" s="16" t="s">
        <v>34</v>
      </c>
      <c r="Y582" s="39"/>
      <c r="Z582" s="39"/>
      <c r="AA582" s="40"/>
      <c r="AB582" s="44"/>
      <c r="AC582" s="39"/>
      <c r="AD582" s="40"/>
      <c r="AE582" s="44"/>
      <c r="AF582" s="39"/>
      <c r="AG582" s="40"/>
      <c r="AH582" s="44"/>
    </row>
    <row r="583" spans="1:34" x14ac:dyDescent="0.25">
      <c r="A583" s="105">
        <f t="shared" si="8"/>
        <v>38371</v>
      </c>
      <c r="B583" s="59">
        <f>SUM('Weekly Data'!D580:D583)/4</f>
        <v>1385.25</v>
      </c>
      <c r="C583" s="16">
        <f>SUM('Weekly Data'!E580:E583)/4</f>
        <v>1269.75</v>
      </c>
      <c r="D583" s="16">
        <f>SUM('Weekly Data'!F580:F583)/4</f>
        <v>1394.25</v>
      </c>
      <c r="E583" s="16">
        <f>SUM('Weekly Data'!G580:G583)/4</f>
        <v>3857.5</v>
      </c>
      <c r="F583" s="16">
        <f>SUM('Weekly Data'!H580:H583)/4</f>
        <v>454.25</v>
      </c>
      <c r="G583" s="16">
        <f>SUM('Weekly Data'!I580:I583)/4</f>
        <v>6966.75</v>
      </c>
      <c r="H583" s="16"/>
      <c r="I583" s="16"/>
      <c r="J583" s="16" t="s">
        <v>34</v>
      </c>
      <c r="K583" s="16">
        <f>AVERAGE('Weekly Data'!E531,'Weekly Data'!E479,'Weekly Data'!E427,'Weekly Data'!E375)</f>
        <v>1558.75</v>
      </c>
      <c r="L583" s="16"/>
      <c r="M583" s="16">
        <f>AVERAGE('Weekly Data'!G531,'Weekly Data'!G479,'Weekly Data'!G427,'Weekly Data'!G375)</f>
        <v>2675.75</v>
      </c>
      <c r="N583" s="16">
        <f>AVERAGE('Weekly Data'!H531,'Weekly Data'!H479,'Weekly Data'!H427,'Weekly Data'!H375)</f>
        <v>770.75</v>
      </c>
      <c r="O583" s="16" t="s">
        <v>34</v>
      </c>
      <c r="P583" s="16"/>
      <c r="R583" s="13">
        <v>38371</v>
      </c>
      <c r="S583" s="16" t="s">
        <v>34</v>
      </c>
      <c r="T583" s="107">
        <f t="shared" si="9"/>
        <v>1672.5625</v>
      </c>
      <c r="U583" s="16" t="s">
        <v>34</v>
      </c>
      <c r="V583" s="16">
        <f t="shared" si="10"/>
        <v>2325.75</v>
      </c>
      <c r="W583" s="16">
        <f t="shared" si="11"/>
        <v>686.5</v>
      </c>
      <c r="X583" s="16" t="s">
        <v>34</v>
      </c>
      <c r="Y583" s="40"/>
      <c r="Z583" s="39"/>
      <c r="AA583" s="40"/>
      <c r="AB583" s="44"/>
      <c r="AC583" s="39"/>
      <c r="AD583" s="40"/>
      <c r="AE583" s="44"/>
      <c r="AF583" s="39"/>
      <c r="AG583" s="40"/>
      <c r="AH583" s="44"/>
    </row>
    <row r="584" spans="1:34" x14ac:dyDescent="0.25">
      <c r="A584" s="105">
        <f t="shared" si="8"/>
        <v>38378</v>
      </c>
      <c r="B584" s="59">
        <f>SUM('Weekly Data'!D581:D584)/4</f>
        <v>1614.25</v>
      </c>
      <c r="C584" s="16">
        <f>SUM('Weekly Data'!E581:E584)/4</f>
        <v>1577.25</v>
      </c>
      <c r="D584" s="16">
        <f>SUM('Weekly Data'!F581:F584)/4</f>
        <v>1273.25</v>
      </c>
      <c r="E584" s="16">
        <f>SUM('Weekly Data'!G581:G584)/4</f>
        <v>4088</v>
      </c>
      <c r="F584" s="16">
        <f>SUM('Weekly Data'!H581:H584)/4</f>
        <v>502.25</v>
      </c>
      <c r="G584" s="16">
        <f>SUM('Weekly Data'!I581:I584)/4</f>
        <v>7781.75</v>
      </c>
      <c r="H584" s="16"/>
      <c r="I584" s="16"/>
      <c r="J584" s="16" t="s">
        <v>34</v>
      </c>
      <c r="K584" s="16">
        <f>AVERAGE('Weekly Data'!E532,'Weekly Data'!E480,'Weekly Data'!E428,'Weekly Data'!E376)</f>
        <v>2063.75</v>
      </c>
      <c r="L584" s="16"/>
      <c r="M584" s="16">
        <f>AVERAGE('Weekly Data'!G532,'Weekly Data'!G480,'Weekly Data'!G428,'Weekly Data'!G376)</f>
        <v>3304.25</v>
      </c>
      <c r="N584" s="16">
        <f>AVERAGE('Weekly Data'!H532,'Weekly Data'!H480,'Weekly Data'!H428,'Weekly Data'!H376)</f>
        <v>682.25</v>
      </c>
      <c r="O584" s="16" t="s">
        <v>34</v>
      </c>
      <c r="P584" s="16"/>
      <c r="R584" s="13">
        <v>38378</v>
      </c>
      <c r="S584" s="16" t="s">
        <v>34</v>
      </c>
      <c r="T584" s="107">
        <f t="shared" si="9"/>
        <v>1836</v>
      </c>
      <c r="U584" s="16" t="s">
        <v>34</v>
      </c>
      <c r="V584" s="16">
        <f t="shared" si="10"/>
        <v>2688.1875</v>
      </c>
      <c r="W584" s="16">
        <f t="shared" si="11"/>
        <v>714.3125</v>
      </c>
      <c r="X584" s="16" t="s">
        <v>34</v>
      </c>
      <c r="Y584" s="40"/>
      <c r="Z584" s="39"/>
      <c r="AA584" s="40"/>
      <c r="AB584" s="44"/>
      <c r="AC584" s="39"/>
      <c r="AD584" s="40"/>
      <c r="AE584" s="44"/>
      <c r="AF584" s="39"/>
      <c r="AG584" s="40"/>
      <c r="AH584" s="65"/>
    </row>
    <row r="585" spans="1:34" x14ac:dyDescent="0.25">
      <c r="A585" s="105">
        <f t="shared" si="8"/>
        <v>38385</v>
      </c>
      <c r="B585" s="59">
        <f>SUM('Weekly Data'!D582:D585)/4</f>
        <v>1679</v>
      </c>
      <c r="C585" s="16">
        <f>SUM('Weekly Data'!E582:E585)/4</f>
        <v>1667.5</v>
      </c>
      <c r="D585" s="16">
        <f>SUM('Weekly Data'!F582:F585)/4</f>
        <v>1043.25</v>
      </c>
      <c r="E585" s="16">
        <f>SUM('Weekly Data'!G582:G585)/4</f>
        <v>4414.75</v>
      </c>
      <c r="F585" s="16">
        <f>SUM('Weekly Data'!H582:H585)/4</f>
        <v>526</v>
      </c>
      <c r="G585" s="16">
        <f>SUM('Weekly Data'!I582:I585)/4</f>
        <v>8287.25</v>
      </c>
      <c r="H585" s="16"/>
      <c r="I585" s="16"/>
      <c r="J585" s="16" t="s">
        <v>34</v>
      </c>
      <c r="K585" s="16">
        <f>AVERAGE('Weekly Data'!E533,'Weekly Data'!E481,'Weekly Data'!E429,'Weekly Data'!E377)</f>
        <v>1999</v>
      </c>
      <c r="L585" s="16"/>
      <c r="M585" s="16">
        <f>AVERAGE('Weekly Data'!G533,'Weekly Data'!G481,'Weekly Data'!G429,'Weekly Data'!G377)</f>
        <v>3267.25</v>
      </c>
      <c r="N585" s="16">
        <f>AVERAGE('Weekly Data'!H533,'Weekly Data'!H481,'Weekly Data'!H429,'Weekly Data'!H377)</f>
        <v>651.75</v>
      </c>
      <c r="O585" s="16" t="s">
        <v>34</v>
      </c>
      <c r="P585" s="16"/>
      <c r="R585" s="13">
        <v>38385</v>
      </c>
      <c r="S585" s="16" t="s">
        <v>34</v>
      </c>
      <c r="T585" s="107">
        <f t="shared" si="9"/>
        <v>1862.4375</v>
      </c>
      <c r="U585" s="16" t="s">
        <v>34</v>
      </c>
      <c r="V585" s="16">
        <f t="shared" si="10"/>
        <v>2945.875</v>
      </c>
      <c r="W585" s="16">
        <f t="shared" si="11"/>
        <v>734.0625</v>
      </c>
      <c r="X585" s="16" t="s">
        <v>34</v>
      </c>
      <c r="Y585" s="40"/>
      <c r="Z585" s="39"/>
      <c r="AA585" s="40"/>
      <c r="AB585" s="44"/>
      <c r="AC585" s="39"/>
      <c r="AD585" s="40"/>
      <c r="AE585" s="44"/>
      <c r="AF585" s="39"/>
      <c r="AG585" s="40"/>
      <c r="AH585" s="65"/>
    </row>
    <row r="586" spans="1:34" x14ac:dyDescent="0.25">
      <c r="A586" s="105">
        <f t="shared" si="8"/>
        <v>38392</v>
      </c>
      <c r="B586" s="59">
        <f>SUM('Weekly Data'!D583:D586)/4</f>
        <v>1698.25</v>
      </c>
      <c r="C586" s="16">
        <f>SUM('Weekly Data'!E583:E586)/4</f>
        <v>1756.75</v>
      </c>
      <c r="D586" s="16">
        <f>SUM('Weekly Data'!F583:F586)/4</f>
        <v>1090.25</v>
      </c>
      <c r="E586" s="16">
        <f>SUM('Weekly Data'!G583:G586)/4</f>
        <v>4700.5</v>
      </c>
      <c r="F586" s="16">
        <f>SUM('Weekly Data'!H583:H586)/4</f>
        <v>511</v>
      </c>
      <c r="G586" s="16">
        <f>SUM('Weekly Data'!I583:I586)/4</f>
        <v>8666.5</v>
      </c>
      <c r="H586" s="16"/>
      <c r="I586" s="16"/>
      <c r="J586" s="16" t="s">
        <v>34</v>
      </c>
      <c r="K586" s="16">
        <f>AVERAGE('Weekly Data'!E534,'Weekly Data'!E482,'Weekly Data'!E430,'Weekly Data'!E378)</f>
        <v>2273.25</v>
      </c>
      <c r="L586" s="16"/>
      <c r="M586" s="16">
        <f>AVERAGE('Weekly Data'!G534,'Weekly Data'!G482,'Weekly Data'!G430,'Weekly Data'!G378)</f>
        <v>3794.5</v>
      </c>
      <c r="N586" s="16">
        <f>AVERAGE('Weekly Data'!H534,'Weekly Data'!H482,'Weekly Data'!H430,'Weekly Data'!H378)</f>
        <v>755.5</v>
      </c>
      <c r="O586" s="16" t="s">
        <v>34</v>
      </c>
      <c r="P586" s="16"/>
      <c r="R586" s="13">
        <v>38392</v>
      </c>
      <c r="S586" s="16" t="s">
        <v>34</v>
      </c>
      <c r="T586" s="107">
        <f t="shared" si="9"/>
        <v>1973.6875</v>
      </c>
      <c r="U586" s="16" t="s">
        <v>34</v>
      </c>
      <c r="V586" s="16">
        <f t="shared" si="10"/>
        <v>3260.4375</v>
      </c>
      <c r="W586" s="16">
        <f t="shared" si="11"/>
        <v>715.0625</v>
      </c>
      <c r="X586" s="16" t="s">
        <v>34</v>
      </c>
      <c r="Y586" s="40"/>
      <c r="Z586" s="39"/>
      <c r="AA586" s="40"/>
      <c r="AB586" s="44"/>
      <c r="AC586" s="39"/>
      <c r="AD586" s="40"/>
      <c r="AE586" s="44"/>
      <c r="AF586" s="39"/>
      <c r="AG586" s="40"/>
      <c r="AH586" s="65"/>
    </row>
    <row r="587" spans="1:34" x14ac:dyDescent="0.25">
      <c r="A587" s="105">
        <f t="shared" si="8"/>
        <v>38399</v>
      </c>
      <c r="B587" s="59">
        <f>SUM('Weekly Data'!D584:D587)/4</f>
        <v>1604</v>
      </c>
      <c r="C587" s="16">
        <f>SUM('Weekly Data'!E584:E587)/4</f>
        <v>1832.5</v>
      </c>
      <c r="D587" s="16">
        <f>SUM('Weekly Data'!F584:F587)/4</f>
        <v>1038.25</v>
      </c>
      <c r="E587" s="16">
        <f>SUM('Weekly Data'!G584:G587)/4</f>
        <v>5016.5</v>
      </c>
      <c r="F587" s="16">
        <f>SUM('Weekly Data'!H584:H587)/4</f>
        <v>515</v>
      </c>
      <c r="G587" s="16">
        <f>SUM('Weekly Data'!I584:I587)/4</f>
        <v>8968</v>
      </c>
      <c r="H587" s="16"/>
      <c r="I587" s="16"/>
      <c r="J587" s="16" t="s">
        <v>34</v>
      </c>
      <c r="K587" s="16">
        <f>AVERAGE('Weekly Data'!E535,'Weekly Data'!E483,'Weekly Data'!E431,'Weekly Data'!E379)</f>
        <v>1596</v>
      </c>
      <c r="L587" s="16"/>
      <c r="M587" s="16">
        <f>AVERAGE('Weekly Data'!G535,'Weekly Data'!G483,'Weekly Data'!G431,'Weekly Data'!G379)</f>
        <v>3484</v>
      </c>
      <c r="N587" s="16">
        <f>AVERAGE('Weekly Data'!H535,'Weekly Data'!H483,'Weekly Data'!H431,'Weekly Data'!H379)</f>
        <v>638.5</v>
      </c>
      <c r="O587" s="16" t="s">
        <v>34</v>
      </c>
      <c r="P587" s="16"/>
      <c r="R587" s="13">
        <v>38399</v>
      </c>
      <c r="S587" s="16" t="s">
        <v>34</v>
      </c>
      <c r="T587" s="107">
        <f t="shared" si="9"/>
        <v>1983</v>
      </c>
      <c r="U587" s="16" t="s">
        <v>34</v>
      </c>
      <c r="V587" s="16">
        <f t="shared" si="10"/>
        <v>3462.5</v>
      </c>
      <c r="W587" s="16">
        <f t="shared" si="11"/>
        <v>682</v>
      </c>
      <c r="X587" s="16" t="s">
        <v>34</v>
      </c>
      <c r="Y587" s="40"/>
      <c r="Z587" s="39"/>
      <c r="AA587" s="40"/>
      <c r="AB587" s="44"/>
      <c r="AC587" s="39"/>
      <c r="AD587" s="40"/>
      <c r="AE587" s="44"/>
      <c r="AF587" s="39"/>
      <c r="AG587" s="40"/>
      <c r="AH587" s="65"/>
    </row>
    <row r="588" spans="1:34" x14ac:dyDescent="0.25">
      <c r="A588" s="105">
        <f t="shared" si="8"/>
        <v>38406</v>
      </c>
      <c r="B588" s="59">
        <f>SUM('Weekly Data'!D585:D588)/4</f>
        <v>1445</v>
      </c>
      <c r="C588" s="16">
        <f>SUM('Weekly Data'!E585:E588)/4</f>
        <v>1822.5</v>
      </c>
      <c r="D588" s="16">
        <f>SUM('Weekly Data'!F585:F588)/4</f>
        <v>1119</v>
      </c>
      <c r="E588" s="16">
        <f>SUM('Weekly Data'!G585:G588)/4</f>
        <v>5107.75</v>
      </c>
      <c r="F588" s="16">
        <f>SUM('Weekly Data'!H585:H588)/4</f>
        <v>525</v>
      </c>
      <c r="G588" s="16">
        <f>SUM('Weekly Data'!I585:I588)/4</f>
        <v>8900.25</v>
      </c>
      <c r="H588" s="16"/>
      <c r="I588" s="16"/>
      <c r="J588" s="16" t="s">
        <v>34</v>
      </c>
      <c r="K588" s="16">
        <f>AVERAGE('Weekly Data'!E536,'Weekly Data'!E484,'Weekly Data'!E432,'Weekly Data'!E380)</f>
        <v>1986</v>
      </c>
      <c r="L588" s="16"/>
      <c r="M588" s="16">
        <f>AVERAGE('Weekly Data'!G536,'Weekly Data'!G484,'Weekly Data'!G432,'Weekly Data'!G380)</f>
        <v>3502.75</v>
      </c>
      <c r="N588" s="16">
        <f>AVERAGE('Weekly Data'!H536,'Weekly Data'!H484,'Weekly Data'!H432,'Weekly Data'!H380)</f>
        <v>785.5</v>
      </c>
      <c r="O588" s="16" t="s">
        <v>34</v>
      </c>
      <c r="P588" s="16"/>
      <c r="R588" s="13">
        <v>38406</v>
      </c>
      <c r="S588" s="16" t="s">
        <v>34</v>
      </c>
      <c r="T588" s="107">
        <f t="shared" si="9"/>
        <v>1963.5625</v>
      </c>
      <c r="U588" s="16" t="s">
        <v>34</v>
      </c>
      <c r="V588" s="16">
        <f t="shared" si="10"/>
        <v>3512.125</v>
      </c>
      <c r="W588" s="16">
        <f t="shared" si="11"/>
        <v>707.8125</v>
      </c>
      <c r="X588" s="16" t="s">
        <v>34</v>
      </c>
      <c r="Y588" s="40"/>
      <c r="Z588" s="39"/>
      <c r="AA588" s="40"/>
      <c r="AB588" s="44"/>
      <c r="AC588" s="39"/>
      <c r="AD588" s="40"/>
      <c r="AE588" s="44"/>
      <c r="AF588" s="39"/>
      <c r="AG588" s="40"/>
      <c r="AH588" s="65"/>
    </row>
    <row r="589" spans="1:34" x14ac:dyDescent="0.25">
      <c r="A589" s="105">
        <f t="shared" ref="A589:A652" si="12">A588+7</f>
        <v>38413</v>
      </c>
      <c r="B589" s="59">
        <f>SUM('Weekly Data'!D586:D589)/4</f>
        <v>1389.25</v>
      </c>
      <c r="C589" s="16">
        <f>SUM('Weekly Data'!E586:E589)/4</f>
        <v>1935.5</v>
      </c>
      <c r="D589" s="16">
        <f>SUM('Weekly Data'!F586:F589)/4</f>
        <v>1247</v>
      </c>
      <c r="E589" s="16">
        <f>SUM('Weekly Data'!G586:G589)/4</f>
        <v>5106.75</v>
      </c>
      <c r="F589" s="16">
        <f>SUM('Weekly Data'!H586:H589)/4</f>
        <v>535.25</v>
      </c>
      <c r="G589" s="16">
        <f>SUM('Weekly Data'!I586:I589)/4</f>
        <v>8966.75</v>
      </c>
      <c r="H589" s="16"/>
      <c r="I589" s="16"/>
      <c r="J589" s="16" t="s">
        <v>34</v>
      </c>
      <c r="K589" s="16">
        <f>AVERAGE('Weekly Data'!E537,'Weekly Data'!E485,'Weekly Data'!E433,'Weekly Data'!E381)</f>
        <v>1809.75</v>
      </c>
      <c r="L589" s="16"/>
      <c r="M589" s="16">
        <f>AVERAGE('Weekly Data'!G537,'Weekly Data'!G485,'Weekly Data'!G433,'Weekly Data'!G381)</f>
        <v>3430.5</v>
      </c>
      <c r="N589" s="16">
        <f>AVERAGE('Weekly Data'!H537,'Weekly Data'!H485,'Weekly Data'!H433,'Weekly Data'!H381)</f>
        <v>397.25</v>
      </c>
      <c r="O589" s="16" t="s">
        <v>34</v>
      </c>
      <c r="P589" s="16"/>
      <c r="R589" s="13">
        <v>38413</v>
      </c>
      <c r="S589" s="16" t="s">
        <v>34</v>
      </c>
      <c r="T589" s="107">
        <f t="shared" si="9"/>
        <v>1916.25</v>
      </c>
      <c r="U589" s="16" t="s">
        <v>34</v>
      </c>
      <c r="V589" s="16">
        <f t="shared" si="10"/>
        <v>3552.9375</v>
      </c>
      <c r="W589" s="16">
        <f t="shared" si="11"/>
        <v>644.1875</v>
      </c>
      <c r="X589" s="16" t="s">
        <v>34</v>
      </c>
      <c r="Y589" s="40"/>
      <c r="Z589" s="39"/>
      <c r="AA589" s="40"/>
      <c r="AB589" s="44"/>
      <c r="AC589" s="39"/>
      <c r="AD589" s="40"/>
      <c r="AE589" s="44"/>
      <c r="AF589" s="39"/>
      <c r="AG589" s="40"/>
      <c r="AH589" s="65"/>
    </row>
    <row r="590" spans="1:34" x14ac:dyDescent="0.25">
      <c r="A590" s="105">
        <f t="shared" si="12"/>
        <v>38420</v>
      </c>
      <c r="B590" s="59">
        <f>SUM('Weekly Data'!D587:D590)/4</f>
        <v>1378.25</v>
      </c>
      <c r="C590" s="16">
        <f>SUM('Weekly Data'!E587:E590)/4</f>
        <v>2084.75</v>
      </c>
      <c r="D590" s="16">
        <f>SUM('Weekly Data'!F587:F590)/4</f>
        <v>1316</v>
      </c>
      <c r="E590" s="16">
        <f>SUM('Weekly Data'!G587:G590)/4</f>
        <v>5199.5</v>
      </c>
      <c r="F590" s="16">
        <f>SUM('Weekly Data'!H587:H590)/4</f>
        <v>527</v>
      </c>
      <c r="G590" s="16">
        <f>SUM('Weekly Data'!I587:I590)/4</f>
        <v>9189.5</v>
      </c>
      <c r="H590" s="16"/>
      <c r="I590" s="16"/>
      <c r="J590" s="16" t="s">
        <v>34</v>
      </c>
      <c r="K590" s="16">
        <f>AVERAGE('Weekly Data'!E538,'Weekly Data'!E486,'Weekly Data'!E434,'Weekly Data'!E382)</f>
        <v>1631.25</v>
      </c>
      <c r="L590" s="16"/>
      <c r="M590" s="16">
        <f>AVERAGE('Weekly Data'!G538,'Weekly Data'!G486,'Weekly Data'!G434,'Weekly Data'!G382)</f>
        <v>3225.75</v>
      </c>
      <c r="N590" s="16">
        <f>AVERAGE('Weekly Data'!H538,'Weekly Data'!H486,'Weekly Data'!H434,'Weekly Data'!H382)</f>
        <v>403.75</v>
      </c>
      <c r="O590" s="16" t="s">
        <v>34</v>
      </c>
      <c r="P590" s="16"/>
      <c r="R590" s="13">
        <v>38420</v>
      </c>
      <c r="S590" s="16" t="s">
        <v>34</v>
      </c>
      <c r="T590" s="107">
        <f t="shared" si="9"/>
        <v>1755.75</v>
      </c>
      <c r="U590" s="16" t="s">
        <v>34</v>
      </c>
      <c r="V590" s="16">
        <f t="shared" si="10"/>
        <v>3410.75</v>
      </c>
      <c r="W590" s="16">
        <f t="shared" si="11"/>
        <v>556.25</v>
      </c>
      <c r="X590" s="16" t="s">
        <v>34</v>
      </c>
      <c r="Y590" s="40"/>
      <c r="Z590" s="39"/>
      <c r="AA590" s="40"/>
      <c r="AB590" s="44"/>
      <c r="AC590" s="39"/>
      <c r="AD590" s="40"/>
      <c r="AE590" s="44"/>
      <c r="AF590" s="39"/>
      <c r="AG590" s="40"/>
      <c r="AH590" s="65"/>
    </row>
    <row r="591" spans="1:34" x14ac:dyDescent="0.25">
      <c r="A591" s="105">
        <f t="shared" si="12"/>
        <v>38427</v>
      </c>
      <c r="B591" s="59">
        <f>SUM('Weekly Data'!D588:D591)/4</f>
        <v>1180.25</v>
      </c>
      <c r="C591" s="16">
        <f>SUM('Weekly Data'!E588:E591)/4</f>
        <v>2235.75</v>
      </c>
      <c r="D591" s="16">
        <f>SUM('Weekly Data'!F588:F591)/4</f>
        <v>1398.25</v>
      </c>
      <c r="E591" s="16">
        <f>SUM('Weekly Data'!G588:G591)/4</f>
        <v>5107</v>
      </c>
      <c r="F591" s="16">
        <f>SUM('Weekly Data'!H588:H591)/4</f>
        <v>495</v>
      </c>
      <c r="G591" s="16">
        <f>SUM('Weekly Data'!I588:I591)/4</f>
        <v>9018</v>
      </c>
      <c r="H591" s="16"/>
      <c r="I591" s="16"/>
      <c r="J591" s="16" t="s">
        <v>34</v>
      </c>
      <c r="K591" s="16">
        <f>AVERAGE('Weekly Data'!E539,'Weekly Data'!E487,'Weekly Data'!E435,'Weekly Data'!E383)</f>
        <v>1393.75</v>
      </c>
      <c r="L591" s="16"/>
      <c r="M591" s="16">
        <f>AVERAGE('Weekly Data'!G539,'Weekly Data'!G487,'Weekly Data'!G435,'Weekly Data'!G383)</f>
        <v>3441</v>
      </c>
      <c r="N591" s="16">
        <f>AVERAGE('Weekly Data'!H539,'Weekly Data'!H487,'Weekly Data'!H435,'Weekly Data'!H383)</f>
        <v>590.75</v>
      </c>
      <c r="O591" s="16" t="s">
        <v>34</v>
      </c>
      <c r="P591" s="16"/>
      <c r="R591" s="13">
        <v>38427</v>
      </c>
      <c r="S591" s="16" t="s">
        <v>34</v>
      </c>
      <c r="T591" s="107">
        <f t="shared" si="9"/>
        <v>1705.1875</v>
      </c>
      <c r="U591" s="16" t="s">
        <v>34</v>
      </c>
      <c r="V591" s="16">
        <f t="shared" si="10"/>
        <v>3400</v>
      </c>
      <c r="W591" s="16">
        <f t="shared" si="11"/>
        <v>544.3125</v>
      </c>
      <c r="X591" s="16" t="s">
        <v>34</v>
      </c>
      <c r="Y591" s="40"/>
      <c r="Z591" s="39"/>
      <c r="AA591" s="40"/>
      <c r="AB591" s="44"/>
      <c r="AC591" s="39"/>
      <c r="AD591" s="40"/>
      <c r="AE591" s="44"/>
      <c r="AF591" s="39"/>
      <c r="AG591" s="40"/>
      <c r="AH591" s="65"/>
    </row>
    <row r="592" spans="1:34" x14ac:dyDescent="0.25">
      <c r="A592" s="105">
        <f t="shared" si="12"/>
        <v>38434</v>
      </c>
      <c r="B592" s="59">
        <f>SUM('Weekly Data'!D589:D592)/4</f>
        <v>1196.75</v>
      </c>
      <c r="C592" s="16">
        <f>SUM('Weekly Data'!E589:E592)/4</f>
        <v>2069.75</v>
      </c>
      <c r="D592" s="16">
        <f>SUM('Weekly Data'!F589:F592)/4</f>
        <v>1537.25</v>
      </c>
      <c r="E592" s="16">
        <f>SUM('Weekly Data'!G589:G592)/4</f>
        <v>4688.5</v>
      </c>
      <c r="F592" s="16">
        <f>SUM('Weekly Data'!H589:H592)/4</f>
        <v>444.25</v>
      </c>
      <c r="G592" s="16">
        <f>SUM('Weekly Data'!I589:I592)/4</f>
        <v>8399.25</v>
      </c>
      <c r="H592" s="16"/>
      <c r="I592" s="16"/>
      <c r="J592" s="16" t="s">
        <v>34</v>
      </c>
      <c r="K592" s="16">
        <f>AVERAGE('Weekly Data'!E540,'Weekly Data'!E488,'Weekly Data'!E436,'Weekly Data'!E384)</f>
        <v>1917</v>
      </c>
      <c r="L592" s="16"/>
      <c r="M592" s="16">
        <f>AVERAGE('Weekly Data'!G540,'Weekly Data'!G488,'Weekly Data'!G436,'Weekly Data'!G384)</f>
        <v>3694</v>
      </c>
      <c r="N592" s="16">
        <f>AVERAGE('Weekly Data'!H540,'Weekly Data'!H488,'Weekly Data'!H436,'Weekly Data'!H384)</f>
        <v>347.75</v>
      </c>
      <c r="O592" s="16" t="s">
        <v>34</v>
      </c>
      <c r="P592" s="16"/>
      <c r="R592" s="13">
        <v>38434</v>
      </c>
      <c r="S592" s="16" t="s">
        <v>34</v>
      </c>
      <c r="T592" s="107">
        <f t="shared" si="9"/>
        <v>1687.9375</v>
      </c>
      <c r="U592" s="16" t="s">
        <v>34</v>
      </c>
      <c r="V592" s="16">
        <f t="shared" si="10"/>
        <v>3447.8125</v>
      </c>
      <c r="W592" s="16">
        <f t="shared" si="11"/>
        <v>434.875</v>
      </c>
      <c r="X592" s="16" t="s">
        <v>34</v>
      </c>
      <c r="Y592" s="40"/>
      <c r="Z592" s="39"/>
      <c r="AA592" s="40"/>
      <c r="AB592" s="44"/>
      <c r="AC592" s="39"/>
      <c r="AD592" s="40"/>
      <c r="AE592" s="44"/>
      <c r="AF592" s="39"/>
      <c r="AG592" s="40"/>
      <c r="AH592" s="65"/>
    </row>
    <row r="593" spans="1:34" x14ac:dyDescent="0.25">
      <c r="A593" s="105">
        <f t="shared" si="12"/>
        <v>38441</v>
      </c>
      <c r="B593" s="59">
        <f>SUM('Weekly Data'!D590:D593)/4</f>
        <v>1137.5</v>
      </c>
      <c r="C593" s="16">
        <f>SUM('Weekly Data'!E590:E593)/4</f>
        <v>1956.75</v>
      </c>
      <c r="D593" s="16">
        <f>SUM('Weekly Data'!F590:F593)/4</f>
        <v>1551.5</v>
      </c>
      <c r="E593" s="16">
        <f>SUM('Weekly Data'!G590:G593)/4</f>
        <v>4460</v>
      </c>
      <c r="F593" s="16">
        <f>SUM('Weekly Data'!H590:H593)/4</f>
        <v>387.25</v>
      </c>
      <c r="G593" s="16">
        <f>SUM('Weekly Data'!I590:I593)/4</f>
        <v>7941.5</v>
      </c>
      <c r="H593" s="16"/>
      <c r="I593" s="16"/>
      <c r="J593" s="16" t="s">
        <v>34</v>
      </c>
      <c r="K593" s="16">
        <f>AVERAGE('Weekly Data'!E541,'Weekly Data'!E489,'Weekly Data'!E437,'Weekly Data'!E385)</f>
        <v>1740.5</v>
      </c>
      <c r="L593" s="16"/>
      <c r="M593" s="16">
        <f>AVERAGE('Weekly Data'!G541,'Weekly Data'!G489,'Weekly Data'!G437,'Weekly Data'!G385)</f>
        <v>3179</v>
      </c>
      <c r="N593" s="16">
        <f>AVERAGE('Weekly Data'!H541,'Weekly Data'!H489,'Weekly Data'!H437,'Weekly Data'!H385)</f>
        <v>331.25</v>
      </c>
      <c r="O593" s="16" t="s">
        <v>34</v>
      </c>
      <c r="P593" s="16"/>
      <c r="R593" s="13">
        <v>38441</v>
      </c>
      <c r="S593" s="16" t="s">
        <v>34</v>
      </c>
      <c r="T593" s="107">
        <f t="shared" si="9"/>
        <v>1670.625</v>
      </c>
      <c r="U593" s="16" t="s">
        <v>34</v>
      </c>
      <c r="V593" s="16">
        <f t="shared" si="10"/>
        <v>3384.9375</v>
      </c>
      <c r="W593" s="16">
        <f t="shared" si="11"/>
        <v>418.375</v>
      </c>
      <c r="X593" s="16" t="s">
        <v>34</v>
      </c>
      <c r="Y593" s="40"/>
      <c r="Z593" s="39"/>
      <c r="AA593" s="40"/>
      <c r="AB593" s="44"/>
      <c r="AC593" s="39"/>
      <c r="AD593" s="40"/>
      <c r="AE593" s="44"/>
      <c r="AF593" s="39"/>
      <c r="AG593" s="40"/>
      <c r="AH593" s="65"/>
    </row>
    <row r="594" spans="1:34" x14ac:dyDescent="0.25">
      <c r="A594" s="105">
        <f t="shared" si="12"/>
        <v>38448</v>
      </c>
      <c r="B594" s="59">
        <f>SUM('Weekly Data'!D591:D594)/4</f>
        <v>1016</v>
      </c>
      <c r="C594" s="16">
        <f>SUM('Weekly Data'!E591:E594)/4</f>
        <v>1846</v>
      </c>
      <c r="D594" s="16">
        <f>SUM('Weekly Data'!F591:F594)/4</f>
        <v>1496.25</v>
      </c>
      <c r="E594" s="16">
        <f>SUM('Weekly Data'!G591:G594)/4</f>
        <v>4209</v>
      </c>
      <c r="F594" s="16">
        <f>SUM('Weekly Data'!H591:H594)/4</f>
        <v>321</v>
      </c>
      <c r="G594" s="16">
        <f>SUM('Weekly Data'!I591:I594)/4</f>
        <v>7392</v>
      </c>
      <c r="H594" s="16"/>
      <c r="I594" s="16"/>
      <c r="J594" s="16" t="s">
        <v>34</v>
      </c>
      <c r="K594" s="16">
        <f>AVERAGE('Weekly Data'!E542,'Weekly Data'!E490,'Weekly Data'!E438,'Weekly Data'!E386)</f>
        <v>1926.25</v>
      </c>
      <c r="L594" s="16"/>
      <c r="M594" s="16">
        <f>AVERAGE('Weekly Data'!G542,'Weekly Data'!G490,'Weekly Data'!G438,'Weekly Data'!G386)</f>
        <v>2833.5</v>
      </c>
      <c r="N594" s="16">
        <f>AVERAGE('Weekly Data'!H542,'Weekly Data'!H490,'Weekly Data'!H438,'Weekly Data'!H386)</f>
        <v>217</v>
      </c>
      <c r="O594" s="16" t="s">
        <v>34</v>
      </c>
      <c r="P594" s="16"/>
      <c r="R594" s="13">
        <v>38448</v>
      </c>
      <c r="S594" s="16" t="s">
        <v>34</v>
      </c>
      <c r="T594" s="107">
        <f t="shared" si="9"/>
        <v>1744.375</v>
      </c>
      <c r="U594" s="16" t="s">
        <v>34</v>
      </c>
      <c r="V594" s="16">
        <f t="shared" si="10"/>
        <v>3286.875</v>
      </c>
      <c r="W594" s="16">
        <f t="shared" si="11"/>
        <v>371.6875</v>
      </c>
      <c r="X594" s="16" t="s">
        <v>34</v>
      </c>
      <c r="Y594" s="40"/>
      <c r="Z594" s="39"/>
      <c r="AA594" s="40"/>
      <c r="AB594" s="44"/>
      <c r="AC594" s="39"/>
      <c r="AD594" s="40"/>
      <c r="AE594" s="44"/>
      <c r="AF594" s="39"/>
      <c r="AG594" s="40"/>
      <c r="AH594" s="65"/>
    </row>
    <row r="595" spans="1:34" x14ac:dyDescent="0.25">
      <c r="A595" s="105">
        <f t="shared" si="12"/>
        <v>38455</v>
      </c>
      <c r="B595" s="59">
        <f>SUM('Weekly Data'!D592:D595)/4</f>
        <v>1137.75</v>
      </c>
      <c r="C595" s="16">
        <f>SUM('Weekly Data'!E592:E595)/4</f>
        <v>1611</v>
      </c>
      <c r="D595" s="16">
        <f>SUM('Weekly Data'!F592:F595)/4</f>
        <v>1636.25</v>
      </c>
      <c r="E595" s="16">
        <f>SUM('Weekly Data'!G592:G595)/4</f>
        <v>4085.75</v>
      </c>
      <c r="F595" s="16">
        <f>SUM('Weekly Data'!H592:H595)/4</f>
        <v>215</v>
      </c>
      <c r="G595" s="16">
        <f>SUM('Weekly Data'!I592:I595)/4</f>
        <v>7049.5</v>
      </c>
      <c r="H595" s="16"/>
      <c r="I595" s="16"/>
      <c r="J595" s="16" t="s">
        <v>34</v>
      </c>
      <c r="K595" s="16">
        <f>AVERAGE('Weekly Data'!E543,'Weekly Data'!E491,'Weekly Data'!E439,'Weekly Data'!E387)</f>
        <v>1818</v>
      </c>
      <c r="L595" s="16"/>
      <c r="M595" s="16">
        <f>AVERAGE('Weekly Data'!G543,'Weekly Data'!G491,'Weekly Data'!G439,'Weekly Data'!G387)</f>
        <v>2055.25</v>
      </c>
      <c r="N595" s="16">
        <f>AVERAGE('Weekly Data'!H543,'Weekly Data'!H491,'Weekly Data'!H439,'Weekly Data'!H387)</f>
        <v>147</v>
      </c>
      <c r="O595" s="16" t="s">
        <v>34</v>
      </c>
      <c r="P595" s="16"/>
      <c r="R595" s="13">
        <v>38455</v>
      </c>
      <c r="S595" s="16" t="s">
        <v>34</v>
      </c>
      <c r="T595" s="107">
        <f t="shared" si="9"/>
        <v>1850.4375</v>
      </c>
      <c r="U595" s="16" t="s">
        <v>34</v>
      </c>
      <c r="V595" s="16">
        <f t="shared" si="10"/>
        <v>2940.4375</v>
      </c>
      <c r="W595" s="16">
        <f t="shared" si="11"/>
        <v>260.75</v>
      </c>
      <c r="X595" s="16" t="s">
        <v>34</v>
      </c>
      <c r="Y595" s="40"/>
      <c r="Z595" s="39"/>
      <c r="AA595" s="40"/>
      <c r="AB595" s="44"/>
      <c r="AC595" s="39"/>
      <c r="AD595" s="40"/>
      <c r="AE595" s="44"/>
      <c r="AF595" s="39"/>
      <c r="AG595" s="40"/>
      <c r="AH595" s="65"/>
    </row>
    <row r="596" spans="1:34" x14ac:dyDescent="0.25">
      <c r="A596" s="105">
        <f t="shared" si="12"/>
        <v>38462</v>
      </c>
      <c r="B596" s="59">
        <f>SUM('Weekly Data'!D593:D596)/4</f>
        <v>879.75</v>
      </c>
      <c r="C596" s="16">
        <f>SUM('Weekly Data'!E593:E596)/4</f>
        <v>1633.25</v>
      </c>
      <c r="D596" s="16">
        <f>SUM('Weekly Data'!F593:F596)/4</f>
        <v>1548.75</v>
      </c>
      <c r="E596" s="16">
        <f>SUM('Weekly Data'!G593:G596)/4</f>
        <v>4216.75</v>
      </c>
      <c r="F596" s="16">
        <f>SUM('Weekly Data'!H593:H596)/4</f>
        <v>205</v>
      </c>
      <c r="G596" s="16">
        <f>SUM('Weekly Data'!I593:I596)/4</f>
        <v>6934.75</v>
      </c>
      <c r="H596" s="16"/>
      <c r="I596" s="16"/>
      <c r="J596" s="16" t="s">
        <v>34</v>
      </c>
      <c r="K596" s="16">
        <f>AVERAGE('Weekly Data'!E544,'Weekly Data'!E492,'Weekly Data'!E440,'Weekly Data'!E388)</f>
        <v>1628</v>
      </c>
      <c r="L596" s="16"/>
      <c r="M596" s="16">
        <f>AVERAGE('Weekly Data'!G544,'Weekly Data'!G492,'Weekly Data'!G440,'Weekly Data'!G388)</f>
        <v>2454.5</v>
      </c>
      <c r="N596" s="16">
        <f>AVERAGE('Weekly Data'!H544,'Weekly Data'!H492,'Weekly Data'!H440,'Weekly Data'!H388)</f>
        <v>44.5</v>
      </c>
      <c r="O596" s="16" t="s">
        <v>34</v>
      </c>
      <c r="P596" s="16"/>
      <c r="R596" s="13">
        <v>38462</v>
      </c>
      <c r="S596" s="16" t="s">
        <v>34</v>
      </c>
      <c r="T596" s="107">
        <f t="shared" si="9"/>
        <v>1778.1875</v>
      </c>
      <c r="U596" s="16" t="s">
        <v>34</v>
      </c>
      <c r="V596" s="16">
        <f t="shared" si="10"/>
        <v>2630.5625</v>
      </c>
      <c r="W596" s="16">
        <f t="shared" si="11"/>
        <v>184.9375</v>
      </c>
      <c r="X596" s="16" t="s">
        <v>34</v>
      </c>
      <c r="Y596" s="40"/>
      <c r="Z596" s="39"/>
      <c r="AA596" s="40"/>
      <c r="AB596" s="44"/>
      <c r="AC596" s="39"/>
      <c r="AD596" s="40"/>
      <c r="AE596" s="44"/>
      <c r="AF596" s="39"/>
      <c r="AG596" s="40"/>
      <c r="AH596" s="65"/>
    </row>
    <row r="597" spans="1:34" x14ac:dyDescent="0.25">
      <c r="A597" s="105">
        <f t="shared" si="12"/>
        <v>38469</v>
      </c>
      <c r="B597" s="59">
        <f>SUM('Weekly Data'!D594:D597)/4</f>
        <v>752.5</v>
      </c>
      <c r="C597" s="16">
        <f>SUM('Weekly Data'!E594:E597)/4</f>
        <v>1486.5</v>
      </c>
      <c r="D597" s="16">
        <f>SUM('Weekly Data'!F594:F597)/4</f>
        <v>1541.75</v>
      </c>
      <c r="E597" s="16">
        <f>SUM('Weekly Data'!G594:G597)/4</f>
        <v>4407.75</v>
      </c>
      <c r="F597" s="16">
        <f>SUM('Weekly Data'!H594:H597)/4</f>
        <v>165.5</v>
      </c>
      <c r="G597" s="16">
        <f>SUM('Weekly Data'!I594:I597)/4</f>
        <v>6812.25</v>
      </c>
      <c r="H597" s="16"/>
      <c r="I597" s="16"/>
      <c r="J597" s="16" t="s">
        <v>34</v>
      </c>
      <c r="K597" s="16">
        <f>AVERAGE('Weekly Data'!E545,'Weekly Data'!E493,'Weekly Data'!E441,'Weekly Data'!E389)</f>
        <v>1289.5</v>
      </c>
      <c r="L597" s="16"/>
      <c r="M597" s="16">
        <f>AVERAGE('Weekly Data'!G545,'Weekly Data'!G493,'Weekly Data'!G441,'Weekly Data'!G389)</f>
        <v>2471.5</v>
      </c>
      <c r="N597" s="16">
        <f>AVERAGE('Weekly Data'!H545,'Weekly Data'!H493,'Weekly Data'!H441,'Weekly Data'!H389)</f>
        <v>222.5</v>
      </c>
      <c r="O597" s="16" t="s">
        <v>34</v>
      </c>
      <c r="P597" s="16"/>
      <c r="R597" s="13">
        <v>38469</v>
      </c>
      <c r="S597" s="16" t="s">
        <v>34</v>
      </c>
      <c r="T597" s="107">
        <f t="shared" si="9"/>
        <v>1665.4375</v>
      </c>
      <c r="U597" s="16" t="s">
        <v>34</v>
      </c>
      <c r="V597" s="16">
        <f t="shared" si="10"/>
        <v>2453.6875</v>
      </c>
      <c r="W597" s="16">
        <f t="shared" si="11"/>
        <v>157.75</v>
      </c>
      <c r="X597" s="16" t="s">
        <v>34</v>
      </c>
      <c r="Y597" s="40"/>
      <c r="Z597" s="39"/>
      <c r="AA597" s="40"/>
      <c r="AB597" s="44"/>
      <c r="AC597" s="39"/>
      <c r="AD597" s="40"/>
      <c r="AE597" s="44"/>
      <c r="AF597" s="39"/>
      <c r="AG597" s="40"/>
      <c r="AH597" s="65"/>
    </row>
    <row r="598" spans="1:34" x14ac:dyDescent="0.25">
      <c r="A598" s="105">
        <f t="shared" si="12"/>
        <v>38476</v>
      </c>
      <c r="B598" s="59">
        <f>SUM('Weekly Data'!D595:D598)/4</f>
        <v>641.5</v>
      </c>
      <c r="C598" s="16">
        <f>SUM('Weekly Data'!E595:E598)/4</f>
        <v>1522.25</v>
      </c>
      <c r="D598" s="16">
        <f>SUM('Weekly Data'!F595:F598)/4</f>
        <v>1703.25</v>
      </c>
      <c r="E598" s="16">
        <f>SUM('Weekly Data'!G595:G598)/4</f>
        <v>4351.75</v>
      </c>
      <c r="F598" s="16">
        <f>SUM('Weekly Data'!H595:H598)/4</f>
        <v>128.5</v>
      </c>
      <c r="G598" s="16">
        <f>SUM('Weekly Data'!I595:I598)/4</f>
        <v>6644</v>
      </c>
      <c r="H598" s="16"/>
      <c r="I598" s="16"/>
      <c r="J598" s="16" t="s">
        <v>34</v>
      </c>
      <c r="K598" s="16">
        <f>AVERAGE('Weekly Data'!E546,'Weekly Data'!E494,'Weekly Data'!E442,'Weekly Data'!E390)</f>
        <v>1467.5</v>
      </c>
      <c r="L598" s="16"/>
      <c r="M598" s="16">
        <f>AVERAGE('Weekly Data'!G546,'Weekly Data'!G494,'Weekly Data'!G442,'Weekly Data'!G390)</f>
        <v>2515.5</v>
      </c>
      <c r="N598" s="16">
        <f>AVERAGE('Weekly Data'!H546,'Weekly Data'!H494,'Weekly Data'!H442,'Weekly Data'!H390)</f>
        <v>178.25</v>
      </c>
      <c r="O598" s="16" t="s">
        <v>34</v>
      </c>
      <c r="P598" s="16"/>
      <c r="R598" s="13">
        <v>38476</v>
      </c>
      <c r="S598" s="16" t="s">
        <v>34</v>
      </c>
      <c r="T598" s="107">
        <f t="shared" si="9"/>
        <v>1550.75</v>
      </c>
      <c r="U598" s="16" t="s">
        <v>34</v>
      </c>
      <c r="V598" s="16">
        <f t="shared" si="10"/>
        <v>2374.1875</v>
      </c>
      <c r="W598" s="16">
        <f t="shared" si="11"/>
        <v>148.0625</v>
      </c>
      <c r="X598" s="16" t="s">
        <v>34</v>
      </c>
      <c r="Y598" s="40"/>
      <c r="Z598" s="39"/>
      <c r="AA598" s="40"/>
      <c r="AB598" s="44"/>
      <c r="AC598" s="39"/>
      <c r="AD598" s="40"/>
      <c r="AE598" s="44"/>
      <c r="AF598" s="39"/>
      <c r="AG598" s="40"/>
      <c r="AH598" s="65"/>
    </row>
    <row r="599" spans="1:34" x14ac:dyDescent="0.25">
      <c r="A599" s="105">
        <f t="shared" si="12"/>
        <v>38483</v>
      </c>
      <c r="B599" s="59">
        <f>SUM('Weekly Data'!D596:D599)/4</f>
        <v>589</v>
      </c>
      <c r="C599" s="16">
        <f>SUM('Weekly Data'!E596:E599)/4</f>
        <v>1432.75</v>
      </c>
      <c r="D599" s="16">
        <f>SUM('Weekly Data'!F596:F599)/4</f>
        <v>1489.5</v>
      </c>
      <c r="E599" s="16">
        <f>SUM('Weekly Data'!G596:G599)/4</f>
        <v>4341.25</v>
      </c>
      <c r="F599" s="16">
        <f>SUM('Weekly Data'!H596:H599)/4</f>
        <v>120</v>
      </c>
      <c r="G599" s="16">
        <f>SUM('Weekly Data'!I596:I599)/4</f>
        <v>6483</v>
      </c>
      <c r="H599" s="16"/>
      <c r="I599" s="16"/>
      <c r="J599" s="16" t="s">
        <v>34</v>
      </c>
      <c r="K599" s="16">
        <f>AVERAGE('Weekly Data'!E547,'Weekly Data'!E495,'Weekly Data'!E443,'Weekly Data'!E391)</f>
        <v>1384.75</v>
      </c>
      <c r="L599" s="16"/>
      <c r="M599" s="16">
        <f>AVERAGE('Weekly Data'!G547,'Weekly Data'!G495,'Weekly Data'!G443,'Weekly Data'!G391)</f>
        <v>2280</v>
      </c>
      <c r="N599" s="16">
        <f>AVERAGE('Weekly Data'!H547,'Weekly Data'!H495,'Weekly Data'!H443,'Weekly Data'!H391)</f>
        <v>139.75</v>
      </c>
      <c r="O599" s="16" t="s">
        <v>34</v>
      </c>
      <c r="P599" s="16"/>
      <c r="R599" s="13">
        <v>38483</v>
      </c>
      <c r="S599" s="16" t="s">
        <v>34</v>
      </c>
      <c r="T599" s="107">
        <f t="shared" si="9"/>
        <v>1442.4375</v>
      </c>
      <c r="U599" s="16" t="s">
        <v>34</v>
      </c>
      <c r="V599" s="16">
        <f t="shared" si="10"/>
        <v>2430.375</v>
      </c>
      <c r="W599" s="16">
        <f t="shared" si="11"/>
        <v>146.25</v>
      </c>
      <c r="X599" s="16" t="s">
        <v>34</v>
      </c>
      <c r="Y599" s="40"/>
      <c r="Z599" s="39"/>
      <c r="AA599" s="40"/>
      <c r="AB599" s="44"/>
      <c r="AC599" s="39"/>
      <c r="AD599" s="40"/>
      <c r="AE599" s="44"/>
      <c r="AF599" s="39"/>
      <c r="AG599" s="40"/>
      <c r="AH599" s="65"/>
    </row>
    <row r="600" spans="1:34" x14ac:dyDescent="0.25">
      <c r="A600" s="105">
        <f t="shared" si="12"/>
        <v>38490</v>
      </c>
      <c r="B600" s="59">
        <f>SUM('Weekly Data'!D597:D600)/4</f>
        <v>582.5</v>
      </c>
      <c r="C600" s="16">
        <f>SUM('Weekly Data'!E597:E600)/4</f>
        <v>1314.75</v>
      </c>
      <c r="D600" s="16">
        <f>SUM('Weekly Data'!F597:F600)/4</f>
        <v>1544.75</v>
      </c>
      <c r="E600" s="16">
        <f>SUM('Weekly Data'!G597:G600)/4</f>
        <v>4420</v>
      </c>
      <c r="F600" s="16">
        <f>SUM('Weekly Data'!H597:H600)/4</f>
        <v>91.5</v>
      </c>
      <c r="G600" s="16">
        <f>SUM('Weekly Data'!I597:I600)/4</f>
        <v>6408.75</v>
      </c>
      <c r="H600" s="16"/>
      <c r="I600" s="16"/>
      <c r="J600" s="16" t="s">
        <v>34</v>
      </c>
      <c r="K600" s="16">
        <f>AVERAGE('Weekly Data'!E548,'Weekly Data'!E496,'Weekly Data'!E444,'Weekly Data'!E392)</f>
        <v>1405.5</v>
      </c>
      <c r="L600" s="16"/>
      <c r="M600" s="16">
        <f>AVERAGE('Weekly Data'!G548,'Weekly Data'!G496,'Weekly Data'!G444,'Weekly Data'!G392)</f>
        <v>2193.25</v>
      </c>
      <c r="N600" s="16">
        <f>AVERAGE('Weekly Data'!H548,'Weekly Data'!H496,'Weekly Data'!H444,'Weekly Data'!H392)</f>
        <v>184.25</v>
      </c>
      <c r="O600" s="16" t="s">
        <v>34</v>
      </c>
      <c r="P600" s="16"/>
      <c r="R600" s="13">
        <v>38490</v>
      </c>
      <c r="S600" s="16" t="s">
        <v>34</v>
      </c>
      <c r="T600" s="107">
        <f t="shared" si="9"/>
        <v>1386.8125</v>
      </c>
      <c r="U600" s="16" t="s">
        <v>34</v>
      </c>
      <c r="V600" s="16">
        <f t="shared" si="10"/>
        <v>2365.0625</v>
      </c>
      <c r="W600" s="16">
        <f t="shared" si="11"/>
        <v>181.1875</v>
      </c>
      <c r="X600" s="16" t="s">
        <v>34</v>
      </c>
      <c r="Y600" s="40"/>
      <c r="Z600" s="39"/>
      <c r="AA600" s="40"/>
      <c r="AB600" s="44"/>
      <c r="AC600" s="39"/>
      <c r="AD600" s="40"/>
      <c r="AE600" s="44"/>
      <c r="AF600" s="39"/>
      <c r="AG600" s="40"/>
      <c r="AH600" s="65"/>
    </row>
    <row r="601" spans="1:34" x14ac:dyDescent="0.25">
      <c r="A601" s="105">
        <f t="shared" si="12"/>
        <v>38497</v>
      </c>
      <c r="B601" s="59">
        <f>SUM('Weekly Data'!D598:D601)/4</f>
        <v>574.75</v>
      </c>
      <c r="C601" s="16">
        <f>SUM('Weekly Data'!E598:E601)/4</f>
        <v>1338.5</v>
      </c>
      <c r="D601" s="16">
        <f>SUM('Weekly Data'!F598:F601)/4</f>
        <v>1218.75</v>
      </c>
      <c r="E601" s="16">
        <f>SUM('Weekly Data'!G598:G601)/4</f>
        <v>4369</v>
      </c>
      <c r="F601" s="16">
        <f>SUM('Weekly Data'!H598:H601)/4</f>
        <v>85.25</v>
      </c>
      <c r="G601" s="16">
        <f>SUM('Weekly Data'!I598:I601)/4</f>
        <v>6367.5</v>
      </c>
      <c r="H601" s="16"/>
      <c r="I601" s="16"/>
      <c r="J601" s="16" t="s">
        <v>34</v>
      </c>
      <c r="K601" s="16">
        <f>AVERAGE('Weekly Data'!E549,'Weekly Data'!E497,'Weekly Data'!E445,'Weekly Data'!E393)</f>
        <v>1325.75</v>
      </c>
      <c r="L601" s="16"/>
      <c r="M601" s="16">
        <f>AVERAGE('Weekly Data'!G549,'Weekly Data'!G497,'Weekly Data'!G445,'Weekly Data'!G393)</f>
        <v>2109.5</v>
      </c>
      <c r="N601" s="16">
        <f>AVERAGE('Weekly Data'!H549,'Weekly Data'!H497,'Weekly Data'!H445,'Weekly Data'!H393)</f>
        <v>175.25</v>
      </c>
      <c r="O601" s="16" t="s">
        <v>34</v>
      </c>
      <c r="P601" s="16"/>
      <c r="R601" s="13">
        <v>38497</v>
      </c>
      <c r="S601" s="16" t="s">
        <v>34</v>
      </c>
      <c r="T601" s="107">
        <f t="shared" si="9"/>
        <v>1395.875</v>
      </c>
      <c r="U601" s="16" t="s">
        <v>34</v>
      </c>
      <c r="V601" s="16">
        <f t="shared" si="10"/>
        <v>2274.5625</v>
      </c>
      <c r="W601" s="16">
        <f t="shared" si="11"/>
        <v>169.375</v>
      </c>
      <c r="X601" s="16" t="s">
        <v>34</v>
      </c>
      <c r="Y601" s="40"/>
      <c r="Z601" s="39"/>
      <c r="AA601" s="40"/>
      <c r="AB601" s="44"/>
      <c r="AC601" s="39"/>
      <c r="AD601" s="40"/>
      <c r="AE601" s="44"/>
      <c r="AF601" s="39"/>
      <c r="AG601" s="40"/>
      <c r="AH601" s="65"/>
    </row>
    <row r="602" spans="1:34" x14ac:dyDescent="0.25">
      <c r="A602" s="105">
        <f t="shared" si="12"/>
        <v>38504</v>
      </c>
      <c r="B602" s="59">
        <f>SUM('Weekly Data'!D599:D602)/4</f>
        <v>630.25</v>
      </c>
      <c r="C602" s="16">
        <f>SUM('Weekly Data'!E599:E602)/4</f>
        <v>1134</v>
      </c>
      <c r="D602" s="16">
        <f>SUM('Weekly Data'!F599:F602)/4</f>
        <v>1029.25</v>
      </c>
      <c r="E602" s="16">
        <f>SUM('Weekly Data'!G599:G602)/4</f>
        <v>4471.5</v>
      </c>
      <c r="F602" s="16">
        <f>SUM('Weekly Data'!H599:H602)/4</f>
        <v>73.25</v>
      </c>
      <c r="G602" s="16">
        <f>SUM('Weekly Data'!I599:I602)/4</f>
        <v>6309</v>
      </c>
      <c r="H602" s="16"/>
      <c r="I602" s="16"/>
      <c r="J602" s="16" t="s">
        <v>34</v>
      </c>
      <c r="K602" s="16">
        <f>AVERAGE('Weekly Data'!E550,'Weekly Data'!E498,'Weekly Data'!E446,'Weekly Data'!E394)</f>
        <v>1480.5</v>
      </c>
      <c r="L602" s="16"/>
      <c r="M602" s="16">
        <f>AVERAGE('Weekly Data'!G550,'Weekly Data'!G498,'Weekly Data'!G446,'Weekly Data'!G394)</f>
        <v>2601.25</v>
      </c>
      <c r="N602" s="16">
        <f>AVERAGE('Weekly Data'!H550,'Weekly Data'!H498,'Weekly Data'!H446,'Weekly Data'!H394)</f>
        <v>214.75</v>
      </c>
      <c r="O602" s="16" t="s">
        <v>34</v>
      </c>
      <c r="P602" s="16"/>
      <c r="R602" s="13">
        <v>38504</v>
      </c>
      <c r="S602" s="16" t="s">
        <v>34</v>
      </c>
      <c r="T602" s="107">
        <f t="shared" si="9"/>
        <v>1399.125</v>
      </c>
      <c r="U602" s="16" t="s">
        <v>34</v>
      </c>
      <c r="V602" s="16">
        <f t="shared" si="10"/>
        <v>2296</v>
      </c>
      <c r="W602" s="16">
        <f t="shared" si="11"/>
        <v>178.5</v>
      </c>
      <c r="X602" s="16" t="s">
        <v>34</v>
      </c>
      <c r="Y602" s="40"/>
      <c r="Z602" s="39"/>
      <c r="AA602" s="40"/>
      <c r="AB602" s="44"/>
      <c r="AC602" s="39"/>
      <c r="AD602" s="40"/>
      <c r="AE602" s="44"/>
      <c r="AF602" s="39"/>
      <c r="AG602" s="40"/>
      <c r="AH602" s="65"/>
    </row>
    <row r="603" spans="1:34" x14ac:dyDescent="0.25">
      <c r="A603" s="105">
        <f t="shared" si="12"/>
        <v>38511</v>
      </c>
      <c r="B603" s="59">
        <f>SUM('Weekly Data'!D600:D603)/4</f>
        <v>507</v>
      </c>
      <c r="C603" s="16">
        <f>SUM('Weekly Data'!E600:E603)/4</f>
        <v>1275.75</v>
      </c>
      <c r="D603" s="16">
        <f>SUM('Weekly Data'!F600:F603)/4</f>
        <v>1093.25</v>
      </c>
      <c r="E603" s="16">
        <f>SUM('Weekly Data'!G600:G603)/4</f>
        <v>4166.75</v>
      </c>
      <c r="F603" s="16">
        <f>SUM('Weekly Data'!H600:H603)/4</f>
        <v>59</v>
      </c>
      <c r="G603" s="16">
        <f>SUM('Weekly Data'!I600:I603)/4</f>
        <v>6008.5</v>
      </c>
      <c r="H603" s="16"/>
      <c r="I603" s="16"/>
      <c r="J603" s="16" t="s">
        <v>34</v>
      </c>
      <c r="K603" s="16">
        <f>AVERAGE('Weekly Data'!E551,'Weekly Data'!E499,'Weekly Data'!E447,'Weekly Data'!E395)</f>
        <v>1898</v>
      </c>
      <c r="L603" s="16"/>
      <c r="M603" s="16">
        <f>AVERAGE('Weekly Data'!G551,'Weekly Data'!G499,'Weekly Data'!G447,'Weekly Data'!G395)</f>
        <v>2009.25</v>
      </c>
      <c r="N603" s="16">
        <f>AVERAGE('Weekly Data'!H551,'Weekly Data'!H499,'Weekly Data'!H447,'Weekly Data'!H395)</f>
        <v>121</v>
      </c>
      <c r="O603" s="16" t="s">
        <v>34</v>
      </c>
      <c r="P603" s="16"/>
      <c r="R603" s="13">
        <v>38511</v>
      </c>
      <c r="S603" s="16" t="s">
        <v>34</v>
      </c>
      <c r="T603" s="107">
        <f t="shared" si="9"/>
        <v>1527.4375</v>
      </c>
      <c r="U603" s="16" t="s">
        <v>34</v>
      </c>
      <c r="V603" s="16">
        <f t="shared" si="10"/>
        <v>2228.3125</v>
      </c>
      <c r="W603" s="16">
        <f t="shared" si="11"/>
        <v>173.8125</v>
      </c>
      <c r="X603" s="16" t="s">
        <v>34</v>
      </c>
      <c r="Y603" s="40"/>
      <c r="Z603" s="39"/>
      <c r="AA603" s="40"/>
      <c r="AB603" s="44"/>
      <c r="AC603" s="39"/>
      <c r="AD603" s="40"/>
      <c r="AE603" s="44"/>
      <c r="AF603" s="39"/>
      <c r="AG603" s="40"/>
      <c r="AH603" s="65"/>
    </row>
    <row r="604" spans="1:34" x14ac:dyDescent="0.25">
      <c r="A604" s="105">
        <f t="shared" si="12"/>
        <v>38518</v>
      </c>
      <c r="B604" s="59">
        <f>SUM('Weekly Data'!D601:D604)/4</f>
        <v>559.5</v>
      </c>
      <c r="C604" s="16">
        <f>SUM('Weekly Data'!E601:E604)/4</f>
        <v>1387</v>
      </c>
      <c r="D604" s="16">
        <f>SUM('Weekly Data'!F601:F604)/4</f>
        <v>850</v>
      </c>
      <c r="E604" s="16">
        <f>SUM('Weekly Data'!G601:G604)/4</f>
        <v>3911.5</v>
      </c>
      <c r="F604" s="16">
        <f>SUM('Weekly Data'!H601:H604)/4</f>
        <v>33</v>
      </c>
      <c r="G604" s="16">
        <f>SUM('Weekly Data'!I601:I604)/4</f>
        <v>5891</v>
      </c>
      <c r="H604" s="16"/>
      <c r="I604" s="16"/>
      <c r="J604" s="16" t="s">
        <v>34</v>
      </c>
      <c r="K604" s="16">
        <f>AVERAGE('Weekly Data'!E552,'Weekly Data'!E500,'Weekly Data'!E448,'Weekly Data'!E396)</f>
        <v>1690.5</v>
      </c>
      <c r="L604" s="16"/>
      <c r="M604" s="16">
        <f>AVERAGE('Weekly Data'!G552,'Weekly Data'!G500,'Weekly Data'!G448,'Weekly Data'!G396)</f>
        <v>2186.75</v>
      </c>
      <c r="N604" s="16">
        <f>AVERAGE('Weekly Data'!H552,'Weekly Data'!H500,'Weekly Data'!H448,'Weekly Data'!H396)</f>
        <v>106.5</v>
      </c>
      <c r="O604" s="16" t="s">
        <v>34</v>
      </c>
      <c r="P604" s="16"/>
      <c r="R604" s="13">
        <v>38518</v>
      </c>
      <c r="S604" s="16" t="s">
        <v>34</v>
      </c>
      <c r="T604" s="107">
        <f t="shared" si="9"/>
        <v>1598.6875</v>
      </c>
      <c r="U604" s="16" t="s">
        <v>34</v>
      </c>
      <c r="V604" s="16">
        <f t="shared" si="10"/>
        <v>2226.6875</v>
      </c>
      <c r="W604" s="16">
        <f t="shared" si="11"/>
        <v>154.375</v>
      </c>
      <c r="X604" s="16" t="s">
        <v>34</v>
      </c>
      <c r="Y604" s="40"/>
      <c r="Z604" s="39"/>
      <c r="AA604" s="40"/>
      <c r="AB604" s="44"/>
      <c r="AC604" s="39"/>
      <c r="AD604" s="40"/>
      <c r="AE604" s="44"/>
      <c r="AF604" s="39"/>
      <c r="AG604" s="40"/>
      <c r="AH604" s="65"/>
    </row>
    <row r="605" spans="1:34" x14ac:dyDescent="0.25">
      <c r="A605" s="105">
        <f t="shared" si="12"/>
        <v>38525</v>
      </c>
      <c r="B605" s="59">
        <f>SUM('Weekly Data'!D602:D605)/4</f>
        <v>521.25</v>
      </c>
      <c r="C605" s="16">
        <f>SUM('Weekly Data'!E602:E605)/4</f>
        <v>1440.5</v>
      </c>
      <c r="D605" s="16">
        <f>SUM('Weekly Data'!F602:F605)/4</f>
        <v>948</v>
      </c>
      <c r="E605" s="16">
        <f>SUM('Weekly Data'!G602:G605)/4</f>
        <v>3754.5</v>
      </c>
      <c r="F605" s="16">
        <f>SUM('Weekly Data'!H602:H605)/4</f>
        <v>51.75</v>
      </c>
      <c r="G605" s="16">
        <f>SUM('Weekly Data'!I602:I605)/4</f>
        <v>5768</v>
      </c>
      <c r="H605" s="16"/>
      <c r="I605" s="16"/>
      <c r="J605" s="16" t="s">
        <v>34</v>
      </c>
      <c r="K605" s="16">
        <f>AVERAGE('Weekly Data'!E553,'Weekly Data'!E501,'Weekly Data'!E449,'Weekly Data'!E397)</f>
        <v>1858.5</v>
      </c>
      <c r="L605" s="16"/>
      <c r="M605" s="16">
        <f>AVERAGE('Weekly Data'!G553,'Weekly Data'!G501,'Weekly Data'!G449,'Weekly Data'!G397)</f>
        <v>2249.75</v>
      </c>
      <c r="N605" s="16">
        <f>AVERAGE('Weekly Data'!H553,'Weekly Data'!H501,'Weekly Data'!H449,'Weekly Data'!H397)</f>
        <v>321</v>
      </c>
      <c r="O605" s="16" t="s">
        <v>34</v>
      </c>
      <c r="P605" s="16"/>
      <c r="R605" s="13">
        <v>38525</v>
      </c>
      <c r="S605" s="16" t="s">
        <v>34</v>
      </c>
      <c r="T605" s="107">
        <f t="shared" si="9"/>
        <v>1731.875</v>
      </c>
      <c r="U605" s="16" t="s">
        <v>34</v>
      </c>
      <c r="V605" s="16">
        <f t="shared" si="10"/>
        <v>2261.75</v>
      </c>
      <c r="W605" s="16">
        <f t="shared" si="11"/>
        <v>190.8125</v>
      </c>
      <c r="X605" s="16" t="s">
        <v>34</v>
      </c>
      <c r="Y605" s="40"/>
      <c r="Z605" s="39"/>
      <c r="AA605" s="40"/>
      <c r="AB605" s="44"/>
      <c r="AC605" s="39"/>
      <c r="AD605" s="40"/>
      <c r="AE605" s="44"/>
      <c r="AF605" s="39"/>
      <c r="AG605" s="40"/>
      <c r="AH605" s="65"/>
    </row>
    <row r="606" spans="1:34" x14ac:dyDescent="0.25">
      <c r="A606" s="105">
        <f t="shared" si="12"/>
        <v>38532</v>
      </c>
      <c r="B606" s="59">
        <f>SUM('Weekly Data'!D603:D606)/4</f>
        <v>427.25</v>
      </c>
      <c r="C606" s="16">
        <f>SUM('Weekly Data'!E603:E606)/4</f>
        <v>1638.5</v>
      </c>
      <c r="D606" s="16">
        <f>SUM('Weekly Data'!F603:F606)/4</f>
        <v>937.5</v>
      </c>
      <c r="E606" s="16">
        <f>SUM('Weekly Data'!G603:G606)/4</f>
        <v>3708.25</v>
      </c>
      <c r="F606" s="16">
        <f>SUM('Weekly Data'!H603:H606)/4</f>
        <v>70.75</v>
      </c>
      <c r="G606" s="16">
        <f>SUM('Weekly Data'!I603:I606)/4</f>
        <v>5844.75</v>
      </c>
      <c r="H606" s="16"/>
      <c r="I606" s="16"/>
      <c r="J606" s="16" t="s">
        <v>34</v>
      </c>
      <c r="K606" s="16">
        <f>AVERAGE('Weekly Data'!E554,'Weekly Data'!E502,'Weekly Data'!E450,'Weekly Data'!E398)</f>
        <v>2127.25</v>
      </c>
      <c r="L606" s="16"/>
      <c r="M606" s="16">
        <f>AVERAGE('Weekly Data'!G554,'Weekly Data'!G502,'Weekly Data'!G450,'Weekly Data'!G398)</f>
        <v>2401.75</v>
      </c>
      <c r="N606" s="16">
        <f>AVERAGE('Weekly Data'!H554,'Weekly Data'!H502,'Weekly Data'!H450,'Weekly Data'!H398)</f>
        <v>347.5</v>
      </c>
      <c r="O606" s="16" t="s">
        <v>34</v>
      </c>
      <c r="P606" s="16"/>
      <c r="R606" s="13">
        <v>38532</v>
      </c>
      <c r="S606" s="16" t="s">
        <v>34</v>
      </c>
      <c r="T606" s="107">
        <f t="shared" si="9"/>
        <v>1893.5625</v>
      </c>
      <c r="U606" s="16" t="s">
        <v>34</v>
      </c>
      <c r="V606" s="16">
        <f t="shared" si="10"/>
        <v>2211.875</v>
      </c>
      <c r="W606" s="16">
        <f t="shared" si="11"/>
        <v>224</v>
      </c>
      <c r="X606" s="16" t="s">
        <v>34</v>
      </c>
      <c r="Y606" s="40"/>
      <c r="Z606" s="39"/>
      <c r="AA606" s="40"/>
      <c r="AB606" s="44"/>
      <c r="AC606" s="39"/>
      <c r="AD606" s="40"/>
      <c r="AE606" s="44"/>
      <c r="AF606" s="39"/>
      <c r="AG606" s="40"/>
      <c r="AH606" s="65"/>
    </row>
    <row r="607" spans="1:34" x14ac:dyDescent="0.25">
      <c r="A607" s="105">
        <f t="shared" si="12"/>
        <v>38539</v>
      </c>
      <c r="B607" s="59">
        <f>SUM('Weekly Data'!D604:D607)/4</f>
        <v>424</v>
      </c>
      <c r="C607" s="16">
        <f>SUM('Weekly Data'!E604:E607)/4</f>
        <v>1713.75</v>
      </c>
      <c r="D607" s="16">
        <f>SUM('Weekly Data'!F604:F607)/4</f>
        <v>986.5</v>
      </c>
      <c r="E607" s="16">
        <f>SUM('Weekly Data'!G604:G607)/4</f>
        <v>3710</v>
      </c>
      <c r="F607" s="16">
        <f>SUM('Weekly Data'!H604:H607)/4</f>
        <v>87.75</v>
      </c>
      <c r="G607" s="16">
        <f>SUM('Weekly Data'!I604:I607)/4</f>
        <v>5935.5</v>
      </c>
      <c r="H607" s="16"/>
      <c r="I607" s="16"/>
      <c r="J607" s="16" t="s">
        <v>34</v>
      </c>
      <c r="K607" s="16">
        <f>AVERAGE('Weekly Data'!E555,'Weekly Data'!E503,'Weekly Data'!E451,'Weekly Data'!E399)</f>
        <v>1422.5</v>
      </c>
      <c r="L607" s="16"/>
      <c r="M607" s="16">
        <f>AVERAGE('Weekly Data'!G555,'Weekly Data'!G503,'Weekly Data'!G451,'Weekly Data'!G399)</f>
        <v>2467.75</v>
      </c>
      <c r="N607" s="16">
        <f>AVERAGE('Weekly Data'!H555,'Weekly Data'!H503,'Weekly Data'!H451,'Weekly Data'!H399)</f>
        <v>196.5</v>
      </c>
      <c r="O607" s="16" t="s">
        <v>34</v>
      </c>
      <c r="P607" s="16"/>
      <c r="R607" s="13">
        <v>38539</v>
      </c>
      <c r="S607" s="16" t="s">
        <v>34</v>
      </c>
      <c r="T607" s="107">
        <f t="shared" si="9"/>
        <v>1774.6875</v>
      </c>
      <c r="U607" s="16" t="s">
        <v>34</v>
      </c>
      <c r="V607" s="16">
        <f t="shared" si="10"/>
        <v>2326.5</v>
      </c>
      <c r="W607" s="16">
        <f t="shared" si="11"/>
        <v>242.875</v>
      </c>
      <c r="X607" s="16" t="s">
        <v>34</v>
      </c>
      <c r="Y607" s="40"/>
      <c r="Z607" s="39"/>
      <c r="AA607" s="40"/>
      <c r="AB607" s="44"/>
      <c r="AC607" s="39"/>
      <c r="AD607" s="40"/>
      <c r="AE607" s="44"/>
      <c r="AF607" s="39"/>
      <c r="AG607" s="40"/>
      <c r="AH607" s="65"/>
    </row>
    <row r="608" spans="1:34" x14ac:dyDescent="0.25">
      <c r="A608" s="105">
        <f t="shared" si="12"/>
        <v>38546</v>
      </c>
      <c r="B608" s="59">
        <f>SUM('Weekly Data'!D605:D608)/4</f>
        <v>319.25</v>
      </c>
      <c r="C608" s="16">
        <f>SUM('Weekly Data'!E605:E608)/4</f>
        <v>1832</v>
      </c>
      <c r="D608" s="16">
        <f>SUM('Weekly Data'!F605:F608)/4</f>
        <v>1093.5</v>
      </c>
      <c r="E608" s="16">
        <f>SUM('Weekly Data'!G605:G608)/4</f>
        <v>3563.5</v>
      </c>
      <c r="F608" s="16">
        <f>SUM('Weekly Data'!H605:H608)/4</f>
        <v>112</v>
      </c>
      <c r="G608" s="16">
        <f>SUM('Weekly Data'!I605:I608)/4</f>
        <v>5826.75</v>
      </c>
      <c r="H608" s="16"/>
      <c r="I608" s="16"/>
      <c r="J608" s="16" t="s">
        <v>34</v>
      </c>
      <c r="K608" s="16">
        <f>AVERAGE('Weekly Data'!E556,'Weekly Data'!E504,'Weekly Data'!E452,'Weekly Data'!E400)</f>
        <v>1591.25</v>
      </c>
      <c r="L608" s="16"/>
      <c r="M608" s="16">
        <f>AVERAGE('Weekly Data'!G556,'Weekly Data'!G504,'Weekly Data'!G452,'Weekly Data'!G400)</f>
        <v>2284.5</v>
      </c>
      <c r="N608" s="16">
        <f>AVERAGE('Weekly Data'!H556,'Weekly Data'!H504,'Weekly Data'!H452,'Weekly Data'!H400)</f>
        <v>225.5</v>
      </c>
      <c r="O608" s="16" t="s">
        <v>34</v>
      </c>
      <c r="P608" s="16"/>
      <c r="R608" s="13">
        <v>38546</v>
      </c>
      <c r="S608" s="16" t="s">
        <v>34</v>
      </c>
      <c r="T608" s="107">
        <f t="shared" si="9"/>
        <v>1749.875</v>
      </c>
      <c r="U608" s="16" t="s">
        <v>34</v>
      </c>
      <c r="V608" s="16">
        <f t="shared" si="10"/>
        <v>2350.9375</v>
      </c>
      <c r="W608" s="16">
        <f t="shared" si="11"/>
        <v>272.625</v>
      </c>
      <c r="X608" s="16" t="s">
        <v>34</v>
      </c>
      <c r="Y608" s="40"/>
      <c r="Z608" s="39"/>
      <c r="AA608" s="40"/>
      <c r="AB608" s="44"/>
      <c r="AC608" s="39"/>
      <c r="AD608" s="40"/>
      <c r="AE608" s="44"/>
      <c r="AF608" s="39"/>
      <c r="AG608" s="40"/>
      <c r="AH608" s="65"/>
    </row>
    <row r="609" spans="1:34" x14ac:dyDescent="0.25">
      <c r="A609" s="105">
        <f t="shared" si="12"/>
        <v>38553</v>
      </c>
      <c r="B609" s="59">
        <f>SUM('Weekly Data'!D606:D609)/4</f>
        <v>423</v>
      </c>
      <c r="C609" s="16">
        <f>SUM('Weekly Data'!E606:E609)/4</f>
        <v>1908</v>
      </c>
      <c r="D609" s="16">
        <f>SUM('Weekly Data'!F606:F609)/4</f>
        <v>1152</v>
      </c>
      <c r="E609" s="16">
        <f>SUM('Weekly Data'!G606:G609)/4</f>
        <v>3519.5</v>
      </c>
      <c r="F609" s="16">
        <f>SUM('Weekly Data'!H606:H609)/4</f>
        <v>93.25</v>
      </c>
      <c r="G609" s="16">
        <f>SUM('Weekly Data'!I606:I609)/4</f>
        <v>5943.75</v>
      </c>
      <c r="H609" s="16"/>
      <c r="I609" s="16"/>
      <c r="J609" s="16" t="s">
        <v>34</v>
      </c>
      <c r="K609" s="16">
        <f>AVERAGE('Weekly Data'!E557,'Weekly Data'!E505,'Weekly Data'!E453,'Weekly Data'!E401)</f>
        <v>1574.25</v>
      </c>
      <c r="L609" s="16"/>
      <c r="M609" s="16">
        <f>AVERAGE('Weekly Data'!G557,'Weekly Data'!G505,'Weekly Data'!G453,'Weekly Data'!G401)</f>
        <v>2745.75</v>
      </c>
      <c r="N609" s="16">
        <f>AVERAGE('Weekly Data'!H557,'Weekly Data'!H505,'Weekly Data'!H453,'Weekly Data'!H401)</f>
        <v>115</v>
      </c>
      <c r="O609" s="16" t="s">
        <v>34</v>
      </c>
      <c r="P609" s="16"/>
      <c r="R609" s="13">
        <v>38553</v>
      </c>
      <c r="S609" s="16" t="s">
        <v>34</v>
      </c>
      <c r="T609" s="107">
        <f t="shared" si="9"/>
        <v>1678.8125</v>
      </c>
      <c r="U609" s="16" t="s">
        <v>34</v>
      </c>
      <c r="V609" s="16">
        <f t="shared" si="10"/>
        <v>2474.9375</v>
      </c>
      <c r="W609" s="16">
        <f t="shared" si="11"/>
        <v>221.125</v>
      </c>
      <c r="X609" s="16" t="s">
        <v>34</v>
      </c>
      <c r="Y609" s="40"/>
      <c r="Z609" s="39"/>
      <c r="AA609" s="40"/>
      <c r="AB609" s="44"/>
      <c r="AC609" s="39"/>
      <c r="AD609" s="40"/>
      <c r="AE609" s="44"/>
      <c r="AF609" s="39"/>
      <c r="AG609" s="40"/>
      <c r="AH609" s="65"/>
    </row>
    <row r="610" spans="1:34" x14ac:dyDescent="0.25">
      <c r="A610" s="105">
        <f t="shared" si="12"/>
        <v>38560</v>
      </c>
      <c r="B610" s="59">
        <f>SUM('Weekly Data'!D607:D610)/4</f>
        <v>403.5</v>
      </c>
      <c r="C610" s="16">
        <f>SUM('Weekly Data'!E607:E610)/4</f>
        <v>1958</v>
      </c>
      <c r="D610" s="16">
        <f>SUM('Weekly Data'!F607:F610)/4</f>
        <v>1097.5</v>
      </c>
      <c r="E610" s="16">
        <f>SUM('Weekly Data'!G607:G610)/4</f>
        <v>3188.75</v>
      </c>
      <c r="F610" s="16">
        <f>SUM('Weekly Data'!H607:H610)/4</f>
        <v>82.75</v>
      </c>
      <c r="G610" s="16">
        <f>SUM('Weekly Data'!I607:I610)/4</f>
        <v>5633</v>
      </c>
      <c r="H610" s="16"/>
      <c r="I610" s="16"/>
      <c r="J610" s="16" t="s">
        <v>34</v>
      </c>
      <c r="K610" s="16">
        <f>AVERAGE('Weekly Data'!E558,'Weekly Data'!E506,'Weekly Data'!E454,'Weekly Data'!E402)</f>
        <v>1590</v>
      </c>
      <c r="L610" s="16"/>
      <c r="M610" s="16">
        <f>AVERAGE('Weekly Data'!G558,'Weekly Data'!G506,'Weekly Data'!G454,'Weekly Data'!G402)</f>
        <v>2221.75</v>
      </c>
      <c r="N610" s="16">
        <f>AVERAGE('Weekly Data'!H558,'Weekly Data'!H506,'Weekly Data'!H454,'Weekly Data'!H402)</f>
        <v>370</v>
      </c>
      <c r="O610" s="16" t="s">
        <v>34</v>
      </c>
      <c r="P610" s="16"/>
      <c r="R610" s="13">
        <v>38560</v>
      </c>
      <c r="S610" s="16" t="s">
        <v>34</v>
      </c>
      <c r="T610" s="107">
        <f t="shared" si="9"/>
        <v>1544.5</v>
      </c>
      <c r="U610" s="16" t="s">
        <v>34</v>
      </c>
      <c r="V610" s="16">
        <f t="shared" si="10"/>
        <v>2429.9375</v>
      </c>
      <c r="W610" s="16">
        <f t="shared" si="11"/>
        <v>226.75</v>
      </c>
      <c r="X610" s="16" t="s">
        <v>34</v>
      </c>
      <c r="Y610" s="40"/>
      <c r="Z610" s="39"/>
      <c r="AA610" s="40"/>
      <c r="AB610" s="44"/>
      <c r="AC610" s="39"/>
      <c r="AD610" s="40"/>
      <c r="AE610" s="44"/>
      <c r="AF610" s="39"/>
      <c r="AG610" s="40"/>
      <c r="AH610" s="65"/>
    </row>
    <row r="611" spans="1:34" x14ac:dyDescent="0.25">
      <c r="A611" s="105">
        <f t="shared" si="12"/>
        <v>38567</v>
      </c>
      <c r="B611" s="59">
        <f>SUM('Weekly Data'!D608:D611)/4</f>
        <v>324.5</v>
      </c>
      <c r="C611" s="16">
        <f>SUM('Weekly Data'!E608:E611)/4</f>
        <v>2101.5</v>
      </c>
      <c r="D611" s="16">
        <f>SUM('Weekly Data'!F608:F611)/4</f>
        <v>987</v>
      </c>
      <c r="E611" s="16">
        <f>SUM('Weekly Data'!G608:G611)/4</f>
        <v>3367.75</v>
      </c>
      <c r="F611" s="16">
        <f>SUM('Weekly Data'!H608:H611)/4</f>
        <v>90.25</v>
      </c>
      <c r="G611" s="16">
        <f>SUM('Weekly Data'!I608:I611)/4</f>
        <v>5884</v>
      </c>
      <c r="H611" s="16"/>
      <c r="I611" s="16"/>
      <c r="J611" s="16" t="s">
        <v>34</v>
      </c>
      <c r="K611" s="16">
        <f>AVERAGE('Weekly Data'!E559,'Weekly Data'!E507,'Weekly Data'!E455,'Weekly Data'!E403)</f>
        <v>1539.25</v>
      </c>
      <c r="L611" s="16"/>
      <c r="M611" s="16">
        <f>AVERAGE('Weekly Data'!G559,'Weekly Data'!G507,'Weekly Data'!G455,'Weekly Data'!G403)</f>
        <v>2182.25</v>
      </c>
      <c r="N611" s="16">
        <f>AVERAGE('Weekly Data'!H559,'Weekly Data'!H507,'Weekly Data'!H455,'Weekly Data'!H403)</f>
        <v>184.75</v>
      </c>
      <c r="O611" s="16" t="s">
        <v>34</v>
      </c>
      <c r="P611" s="16"/>
      <c r="R611" s="13">
        <v>38567</v>
      </c>
      <c r="S611" s="16" t="s">
        <v>34</v>
      </c>
      <c r="T611" s="107">
        <f t="shared" si="9"/>
        <v>1573.6875</v>
      </c>
      <c r="U611" s="16" t="s">
        <v>34</v>
      </c>
      <c r="V611" s="16">
        <f t="shared" si="10"/>
        <v>2358.5625</v>
      </c>
      <c r="W611" s="16">
        <f t="shared" si="11"/>
        <v>223.8125</v>
      </c>
      <c r="X611" s="16" t="s">
        <v>34</v>
      </c>
      <c r="Y611" s="40"/>
      <c r="Z611" s="39"/>
      <c r="AA611" s="40"/>
      <c r="AB611" s="44"/>
      <c r="AC611" s="39"/>
      <c r="AD611" s="40"/>
      <c r="AE611" s="44"/>
      <c r="AF611" s="39"/>
      <c r="AG611" s="40"/>
      <c r="AH611" s="65"/>
    </row>
    <row r="612" spans="1:34" x14ac:dyDescent="0.25">
      <c r="A612" s="105">
        <f t="shared" si="12"/>
        <v>38574</v>
      </c>
      <c r="B612" s="59">
        <f>SUM('Weekly Data'!D609:D612)/4</f>
        <v>395.25</v>
      </c>
      <c r="C612" s="16">
        <f>SUM('Weekly Data'!E609:E612)/4</f>
        <v>2205</v>
      </c>
      <c r="D612" s="16">
        <f>SUM('Weekly Data'!F609:F612)/4</f>
        <v>958.75</v>
      </c>
      <c r="E612" s="16">
        <f>SUM('Weekly Data'!G609:G612)/4</f>
        <v>3509</v>
      </c>
      <c r="F612" s="16">
        <f>SUM('Weekly Data'!H609:H612)/4</f>
        <v>61.5</v>
      </c>
      <c r="G612" s="16">
        <f>SUM('Weekly Data'!I609:I612)/4</f>
        <v>6170.75</v>
      </c>
      <c r="H612" s="16"/>
      <c r="I612" s="16"/>
      <c r="J612" s="16" t="s">
        <v>34</v>
      </c>
      <c r="K612" s="16">
        <f>AVERAGE('Weekly Data'!E560,'Weekly Data'!E508,'Weekly Data'!E456,'Weekly Data'!E404)</f>
        <v>1652</v>
      </c>
      <c r="L612" s="16"/>
      <c r="M612" s="16">
        <f>AVERAGE('Weekly Data'!G560,'Weekly Data'!G508,'Weekly Data'!G456,'Weekly Data'!G404)</f>
        <v>1920.75</v>
      </c>
      <c r="N612" s="16">
        <f>AVERAGE('Weekly Data'!H560,'Weekly Data'!H508,'Weekly Data'!H456,'Weekly Data'!H404)</f>
        <v>256.75</v>
      </c>
      <c r="O612" s="16" t="s">
        <v>34</v>
      </c>
      <c r="P612" s="16"/>
      <c r="R612" s="13">
        <v>38574</v>
      </c>
      <c r="S612" s="16" t="s">
        <v>34</v>
      </c>
      <c r="T612" s="107">
        <f t="shared" si="9"/>
        <v>1588.875</v>
      </c>
      <c r="U612" s="16" t="s">
        <v>34</v>
      </c>
      <c r="V612" s="16">
        <f t="shared" si="10"/>
        <v>2267.625</v>
      </c>
      <c r="W612" s="16">
        <f t="shared" si="11"/>
        <v>231.625</v>
      </c>
      <c r="X612" s="16" t="s">
        <v>34</v>
      </c>
      <c r="Y612" s="40"/>
      <c r="Z612" s="39"/>
      <c r="AA612" s="40"/>
      <c r="AB612" s="44"/>
      <c r="AC612" s="39"/>
      <c r="AD612" s="40"/>
      <c r="AE612" s="44"/>
      <c r="AF612" s="39"/>
      <c r="AG612" s="40"/>
      <c r="AH612" s="65"/>
    </row>
    <row r="613" spans="1:34" x14ac:dyDescent="0.25">
      <c r="A613" s="105">
        <f t="shared" si="12"/>
        <v>38581</v>
      </c>
      <c r="B613" s="59">
        <f>SUM('Weekly Data'!D610:D613)/4</f>
        <v>322.75</v>
      </c>
      <c r="C613" s="16">
        <f>SUM('Weekly Data'!E610:E613)/4</f>
        <v>2358.5</v>
      </c>
      <c r="D613" s="16">
        <f>SUM('Weekly Data'!F610:F613)/4</f>
        <v>878.25</v>
      </c>
      <c r="E613" s="16">
        <f>SUM('Weekly Data'!G610:G613)/4</f>
        <v>3566</v>
      </c>
      <c r="F613" s="16">
        <f>SUM('Weekly Data'!H610:H613)/4</f>
        <v>52</v>
      </c>
      <c r="G613" s="16">
        <f>SUM('Weekly Data'!I610:I613)/4</f>
        <v>6299.25</v>
      </c>
      <c r="H613" s="16"/>
      <c r="I613" s="16"/>
      <c r="J613" s="16" t="s">
        <v>34</v>
      </c>
      <c r="K613" s="16">
        <f>AVERAGE('Weekly Data'!E561,'Weekly Data'!E509,'Weekly Data'!E457,'Weekly Data'!E405)</f>
        <v>1615.75</v>
      </c>
      <c r="L613" s="16"/>
      <c r="M613" s="16">
        <f>AVERAGE('Weekly Data'!G561,'Weekly Data'!G509,'Weekly Data'!G457,'Weekly Data'!G405)</f>
        <v>1983.75</v>
      </c>
      <c r="N613" s="16">
        <f>AVERAGE('Weekly Data'!H561,'Weekly Data'!H509,'Weekly Data'!H457,'Weekly Data'!H405)</f>
        <v>246.75</v>
      </c>
      <c r="O613" s="16" t="s">
        <v>34</v>
      </c>
      <c r="P613" s="16"/>
      <c r="R613" s="13">
        <v>38581</v>
      </c>
      <c r="S613" s="16" t="s">
        <v>34</v>
      </c>
      <c r="T613" s="107">
        <f t="shared" si="9"/>
        <v>1599.25</v>
      </c>
      <c r="U613" s="16" t="s">
        <v>34</v>
      </c>
      <c r="V613" s="16">
        <f t="shared" si="10"/>
        <v>2077.125</v>
      </c>
      <c r="W613" s="16">
        <f t="shared" si="11"/>
        <v>264.5625</v>
      </c>
      <c r="X613" s="16" t="s">
        <v>34</v>
      </c>
      <c r="Y613" s="40"/>
      <c r="Z613" s="39"/>
      <c r="AA613" s="40"/>
      <c r="AB613" s="44"/>
      <c r="AC613" s="39"/>
      <c r="AD613" s="40"/>
      <c r="AE613" s="44"/>
      <c r="AF613" s="39"/>
      <c r="AG613" s="40"/>
      <c r="AH613" s="65"/>
    </row>
    <row r="614" spans="1:34" x14ac:dyDescent="0.25">
      <c r="A614" s="105">
        <f t="shared" si="12"/>
        <v>38588</v>
      </c>
      <c r="B614" s="59">
        <f>SUM('Weekly Data'!D611:D614)/4</f>
        <v>371</v>
      </c>
      <c r="C614" s="16">
        <f>SUM('Weekly Data'!E611:E614)/4</f>
        <v>2363.5</v>
      </c>
      <c r="D614" s="16">
        <f>SUM('Weekly Data'!F611:F614)/4</f>
        <v>728.75</v>
      </c>
      <c r="E614" s="16">
        <f>SUM('Weekly Data'!G611:G614)/4</f>
        <v>3760.75</v>
      </c>
      <c r="F614" s="16">
        <f>SUM('Weekly Data'!H611:H614)/4</f>
        <v>48.5</v>
      </c>
      <c r="G614" s="16">
        <f>SUM('Weekly Data'!I611:I614)/4</f>
        <v>6543.75</v>
      </c>
      <c r="H614" s="16"/>
      <c r="I614" s="16"/>
      <c r="J614" s="16" t="s">
        <v>34</v>
      </c>
      <c r="K614" s="16">
        <f>AVERAGE('Weekly Data'!E562,'Weekly Data'!E510,'Weekly Data'!E458,'Weekly Data'!E406)</f>
        <v>1776</v>
      </c>
      <c r="L614" s="16"/>
      <c r="M614" s="16">
        <f>AVERAGE('Weekly Data'!G562,'Weekly Data'!G510,'Weekly Data'!G458,'Weekly Data'!G406)</f>
        <v>2260.5</v>
      </c>
      <c r="N614" s="16">
        <f>AVERAGE('Weekly Data'!H562,'Weekly Data'!H510,'Weekly Data'!H458,'Weekly Data'!H406)</f>
        <v>87</v>
      </c>
      <c r="O614" s="16" t="s">
        <v>34</v>
      </c>
      <c r="P614" s="16"/>
      <c r="R614" s="13">
        <v>38588</v>
      </c>
      <c r="S614" s="16" t="s">
        <v>34</v>
      </c>
      <c r="T614" s="107">
        <f t="shared" si="9"/>
        <v>1645.75</v>
      </c>
      <c r="U614" s="16" t="s">
        <v>34</v>
      </c>
      <c r="V614" s="16">
        <f t="shared" si="10"/>
        <v>2086.8125</v>
      </c>
      <c r="W614" s="16">
        <f t="shared" si="11"/>
        <v>193.8125</v>
      </c>
      <c r="X614" s="16" t="s">
        <v>34</v>
      </c>
      <c r="Y614" s="40"/>
      <c r="Z614" s="39"/>
      <c r="AA614" s="40"/>
      <c r="AB614" s="44"/>
      <c r="AC614" s="39"/>
      <c r="AD614" s="40"/>
      <c r="AE614" s="44"/>
      <c r="AF614" s="39"/>
      <c r="AG614" s="40"/>
      <c r="AH614" s="65"/>
    </row>
    <row r="615" spans="1:34" ht="15.6" x14ac:dyDescent="0.25">
      <c r="A615" s="105">
        <f t="shared" si="12"/>
        <v>38595</v>
      </c>
      <c r="B615" s="59">
        <f>SUM('Weekly Data'!D612:D615)/4</f>
        <v>422</v>
      </c>
      <c r="C615" s="16">
        <f>SUM('Weekly Data'!E612:E615)/4</f>
        <v>2271.75</v>
      </c>
      <c r="D615" s="16">
        <f>SUM('Weekly Data'!F612:F615)/4</f>
        <v>685.75</v>
      </c>
      <c r="E615" s="16">
        <f>SUM('Weekly Data'!G612:G615)/4</f>
        <v>3866</v>
      </c>
      <c r="F615" s="16">
        <f>SUM('Weekly Data'!H612:H615)/4</f>
        <v>37.75</v>
      </c>
      <c r="G615" s="16">
        <f>SUM('Weekly Data'!I612:I615)/4</f>
        <v>6597.5</v>
      </c>
      <c r="H615" s="16"/>
      <c r="I615" s="16"/>
      <c r="J615" s="16" t="s">
        <v>34</v>
      </c>
      <c r="K615" s="16">
        <f>AVERAGE('Weekly Data'!E563,'Weekly Data'!E511,'Weekly Data'!E459,'Weekly Data'!E407)</f>
        <v>1747.25</v>
      </c>
      <c r="L615" s="16"/>
      <c r="M615" s="16">
        <f>AVERAGE('Weekly Data'!G563,'Weekly Data'!G511,'Weekly Data'!G459,'Weekly Data'!G407)</f>
        <v>2485.75</v>
      </c>
      <c r="N615" s="16">
        <f>AVERAGE('Weekly Data'!H563,'Weekly Data'!H511,'Weekly Data'!H459,'Weekly Data'!H407)</f>
        <v>62.25</v>
      </c>
      <c r="O615" s="16" t="s">
        <v>34</v>
      </c>
      <c r="P615" s="16"/>
      <c r="R615" s="13" t="s">
        <v>23</v>
      </c>
      <c r="S615" s="16" t="s">
        <v>34</v>
      </c>
      <c r="T615" s="107">
        <f t="shared" si="9"/>
        <v>1697.75</v>
      </c>
      <c r="U615" s="16" t="s">
        <v>34</v>
      </c>
      <c r="V615" s="16">
        <f t="shared" si="10"/>
        <v>2162.6875</v>
      </c>
      <c r="W615" s="16">
        <f t="shared" si="11"/>
        <v>163.1875</v>
      </c>
      <c r="X615" s="16" t="s">
        <v>34</v>
      </c>
      <c r="Y615" s="40"/>
      <c r="Z615" s="39"/>
      <c r="AA615" s="40"/>
      <c r="AB615" s="44"/>
      <c r="AC615" s="39"/>
      <c r="AD615" s="40"/>
      <c r="AE615" s="44"/>
      <c r="AF615" s="39"/>
      <c r="AG615" s="40"/>
      <c r="AH615" s="65"/>
    </row>
    <row r="616" spans="1:34" ht="15.6" x14ac:dyDescent="0.25">
      <c r="A616" s="105">
        <f t="shared" si="12"/>
        <v>38602</v>
      </c>
      <c r="B616" s="59">
        <f>SUM('Weekly Data'!D613:D616)/4</f>
        <v>301</v>
      </c>
      <c r="C616" s="16">
        <f>SUM('Weekly Data'!E613:E616)/4</f>
        <v>2175.25</v>
      </c>
      <c r="D616" s="16">
        <f>SUM('Weekly Data'!F613:F616)/4</f>
        <v>657.5</v>
      </c>
      <c r="E616" s="16">
        <f>SUM('Weekly Data'!G613:G616)/4</f>
        <v>4015</v>
      </c>
      <c r="F616" s="16">
        <f>SUM('Weekly Data'!H613:H616)/4</f>
        <v>51.75</v>
      </c>
      <c r="G616" s="16">
        <f>SUM('Weekly Data'!I613:I616)/4</f>
        <v>6543</v>
      </c>
      <c r="H616" s="16"/>
      <c r="I616" s="16"/>
      <c r="J616" s="16" t="s">
        <v>34</v>
      </c>
      <c r="K616" s="16">
        <f>AVERAGE('Weekly Data'!E564,'Weekly Data'!E512,'Weekly Data'!E460,'Weekly Data'!E408)</f>
        <v>1798.25</v>
      </c>
      <c r="L616" s="16"/>
      <c r="M616" s="16">
        <f>AVERAGE('Weekly Data'!G564,'Weekly Data'!G512,'Weekly Data'!G460,'Weekly Data'!G408)</f>
        <v>2169</v>
      </c>
      <c r="N616" s="16">
        <f>AVERAGE('Weekly Data'!H564,'Weekly Data'!H512,'Weekly Data'!H460,'Weekly Data'!H408)</f>
        <v>76.5</v>
      </c>
      <c r="O616" s="16" t="s">
        <v>34</v>
      </c>
      <c r="P616" s="16"/>
      <c r="R616" s="13" t="s">
        <v>22</v>
      </c>
      <c r="S616" s="16" t="s">
        <v>34</v>
      </c>
      <c r="T616" s="107">
        <f t="shared" si="9"/>
        <v>1734.3125</v>
      </c>
      <c r="U616" s="16" t="s">
        <v>34</v>
      </c>
      <c r="V616" s="16">
        <f t="shared" si="10"/>
        <v>2224.75</v>
      </c>
      <c r="W616" s="16">
        <f t="shared" si="11"/>
        <v>118.125</v>
      </c>
      <c r="X616" s="16" t="s">
        <v>34</v>
      </c>
      <c r="Y616" s="40"/>
      <c r="Z616" s="39"/>
      <c r="AA616" s="40"/>
      <c r="AB616" s="44"/>
      <c r="AC616" s="39"/>
      <c r="AD616" s="40"/>
      <c r="AE616" s="44"/>
      <c r="AF616" s="39"/>
      <c r="AG616" s="40"/>
      <c r="AH616" s="65"/>
    </row>
    <row r="617" spans="1:34" x14ac:dyDescent="0.25">
      <c r="A617" s="105">
        <f t="shared" si="12"/>
        <v>38609</v>
      </c>
      <c r="B617" s="59">
        <f>SUM('Weekly Data'!D614:D617)/4</f>
        <v>243.5</v>
      </c>
      <c r="C617" s="16">
        <f>SUM('Weekly Data'!E614:E617)/4</f>
        <v>2331.75</v>
      </c>
      <c r="D617" s="16">
        <f>SUM('Weekly Data'!F614:F617)/4</f>
        <v>690.75</v>
      </c>
      <c r="E617" s="16">
        <f>SUM('Weekly Data'!G614:G617)/4</f>
        <v>4134</v>
      </c>
      <c r="F617" s="16">
        <f>SUM('Weekly Data'!H614:H617)/4</f>
        <v>89.25</v>
      </c>
      <c r="G617" s="16">
        <f>SUM('Weekly Data'!I614:I617)/4</f>
        <v>6798.5</v>
      </c>
      <c r="H617" s="16"/>
      <c r="I617" s="16"/>
      <c r="J617" s="16" t="s">
        <v>34</v>
      </c>
      <c r="K617" s="16">
        <f>AVERAGE('Weekly Data'!E565,'Weekly Data'!E513,'Weekly Data'!E461,'Weekly Data'!E409)</f>
        <v>1745.75</v>
      </c>
      <c r="L617" s="16"/>
      <c r="M617" s="16">
        <f>AVERAGE('Weekly Data'!G565,'Weekly Data'!G513,'Weekly Data'!G461,'Weekly Data'!G409)</f>
        <v>2033.25</v>
      </c>
      <c r="N617" s="16">
        <f>AVERAGE('Weekly Data'!H565,'Weekly Data'!H513,'Weekly Data'!H461,'Weekly Data'!H409)</f>
        <v>101.25</v>
      </c>
      <c r="O617" s="16" t="s">
        <v>34</v>
      </c>
      <c r="P617" s="16"/>
      <c r="Q617" s="39"/>
      <c r="R617" s="43">
        <v>38609</v>
      </c>
      <c r="S617" s="16" t="s">
        <v>34</v>
      </c>
      <c r="T617" s="107">
        <f t="shared" si="9"/>
        <v>1766.8125</v>
      </c>
      <c r="U617" s="16" t="s">
        <v>34</v>
      </c>
      <c r="V617" s="16">
        <f t="shared" si="10"/>
        <v>2237.125</v>
      </c>
      <c r="W617" s="16">
        <f t="shared" si="11"/>
        <v>81.75</v>
      </c>
      <c r="X617" s="16" t="s">
        <v>34</v>
      </c>
      <c r="Y617" s="40"/>
      <c r="Z617" s="39"/>
      <c r="AA617" s="40"/>
      <c r="AB617" s="44"/>
      <c r="AC617" s="39"/>
      <c r="AD617" s="40"/>
      <c r="AE617" s="44"/>
      <c r="AF617" s="39"/>
      <c r="AG617" s="40"/>
      <c r="AH617" s="65"/>
    </row>
    <row r="618" spans="1:34" x14ac:dyDescent="0.25">
      <c r="A618" s="105">
        <f t="shared" si="12"/>
        <v>38616</v>
      </c>
      <c r="B618" s="59">
        <f>SUM('Weekly Data'!D615:D618)/4</f>
        <v>383</v>
      </c>
      <c r="C618" s="16">
        <f>SUM('Weekly Data'!E615:E618)/4</f>
        <v>2454.25</v>
      </c>
      <c r="D618" s="16">
        <f>SUM('Weekly Data'!F615:F618)/4</f>
        <v>920.25</v>
      </c>
      <c r="E618" s="16">
        <f>SUM('Weekly Data'!G615:G618)/4</f>
        <v>3932.5</v>
      </c>
      <c r="F618" s="16">
        <f>SUM('Weekly Data'!H615:H618)/4</f>
        <v>186.5</v>
      </c>
      <c r="G618" s="16">
        <f>SUM('Weekly Data'!I615:I618)/4</f>
        <v>6956.25</v>
      </c>
      <c r="H618" s="16"/>
      <c r="I618" s="16"/>
      <c r="J618" s="16" t="s">
        <v>34</v>
      </c>
      <c r="K618" s="16">
        <f>AVERAGE('Weekly Data'!E566,'Weekly Data'!E514,'Weekly Data'!E462,'Weekly Data'!E410)</f>
        <v>1479.75</v>
      </c>
      <c r="L618" s="16"/>
      <c r="M618" s="16">
        <f>AVERAGE('Weekly Data'!G566,'Weekly Data'!G514,'Weekly Data'!G462,'Weekly Data'!G410)</f>
        <v>2229.75</v>
      </c>
      <c r="N618" s="16">
        <f>AVERAGE('Weekly Data'!H566,'Weekly Data'!H514,'Weekly Data'!H462,'Weekly Data'!H410)</f>
        <v>133.75</v>
      </c>
      <c r="O618" s="16" t="s">
        <v>34</v>
      </c>
      <c r="P618" s="16"/>
      <c r="Q618" s="39"/>
      <c r="R618" s="43">
        <v>38616</v>
      </c>
      <c r="S618" s="16" t="s">
        <v>34</v>
      </c>
      <c r="T618" s="107">
        <f t="shared" si="9"/>
        <v>1692.75</v>
      </c>
      <c r="U618" s="16" t="s">
        <v>34</v>
      </c>
      <c r="V618" s="16">
        <f t="shared" si="10"/>
        <v>2229.4375</v>
      </c>
      <c r="W618" s="16">
        <f t="shared" si="11"/>
        <v>93.4375</v>
      </c>
      <c r="X618" s="16" t="s">
        <v>34</v>
      </c>
      <c r="Y618" s="40"/>
      <c r="Z618" s="39"/>
      <c r="AA618" s="40"/>
      <c r="AB618" s="44"/>
      <c r="AC618" s="39"/>
      <c r="AD618" s="40"/>
      <c r="AE618" s="44"/>
      <c r="AF618" s="39"/>
      <c r="AG618" s="40"/>
      <c r="AH618" s="65"/>
    </row>
    <row r="619" spans="1:34" x14ac:dyDescent="0.25">
      <c r="A619" s="105">
        <f t="shared" si="12"/>
        <v>38623</v>
      </c>
      <c r="B619" s="59">
        <f>SUM('Weekly Data'!D616:D619)/4</f>
        <v>650.5</v>
      </c>
      <c r="C619" s="16">
        <f>SUM('Weekly Data'!E616:E619)/4</f>
        <v>2178.75</v>
      </c>
      <c r="D619" s="16">
        <f>SUM('Weekly Data'!F616:F619)/4</f>
        <v>919.25</v>
      </c>
      <c r="E619" s="16">
        <f>SUM('Weekly Data'!G616:G619)/4</f>
        <v>4014.5</v>
      </c>
      <c r="F619" s="16">
        <f>SUM('Weekly Data'!H616:H619)/4</f>
        <v>258.25</v>
      </c>
      <c r="G619" s="16">
        <f>SUM('Weekly Data'!I616:I619)/4</f>
        <v>7102</v>
      </c>
      <c r="H619" s="16"/>
      <c r="I619" s="16"/>
      <c r="J619" s="16" t="s">
        <v>34</v>
      </c>
      <c r="K619" s="16">
        <f>AVERAGE('Weekly Data'!E567,'Weekly Data'!E515,'Weekly Data'!E463,'Weekly Data'!E411)</f>
        <v>1577.25</v>
      </c>
      <c r="L619" s="16"/>
      <c r="M619" s="16">
        <f>AVERAGE('Weekly Data'!G567,'Weekly Data'!G515,'Weekly Data'!G463,'Weekly Data'!G411)</f>
        <v>2676</v>
      </c>
      <c r="N619" s="16">
        <f>AVERAGE('Weekly Data'!H567,'Weekly Data'!H515,'Weekly Data'!H463,'Weekly Data'!H411)</f>
        <v>145.25</v>
      </c>
      <c r="O619" s="16" t="s">
        <v>34</v>
      </c>
      <c r="P619" s="16"/>
      <c r="Q619" s="39"/>
      <c r="R619" s="43">
        <v>38623</v>
      </c>
      <c r="S619" s="16" t="s">
        <v>34</v>
      </c>
      <c r="T619" s="107">
        <f t="shared" si="9"/>
        <v>1650.25</v>
      </c>
      <c r="U619" s="16" t="s">
        <v>34</v>
      </c>
      <c r="V619" s="16">
        <f t="shared" si="10"/>
        <v>2277</v>
      </c>
      <c r="W619" s="16">
        <f t="shared" si="11"/>
        <v>114.1875</v>
      </c>
      <c r="X619" s="16" t="s">
        <v>34</v>
      </c>
      <c r="Y619" s="40"/>
      <c r="Z619" s="39"/>
      <c r="AA619" s="40"/>
      <c r="AB619" s="44"/>
      <c r="AC619" s="39"/>
      <c r="AD619" s="40"/>
      <c r="AE619" s="44"/>
      <c r="AF619" s="39"/>
      <c r="AG619" s="40"/>
      <c r="AH619" s="65"/>
    </row>
    <row r="620" spans="1:34" x14ac:dyDescent="0.25">
      <c r="A620" s="105">
        <f t="shared" si="12"/>
        <v>38630</v>
      </c>
      <c r="B620" s="59">
        <f>SUM('Weekly Data'!D617:D620)/4</f>
        <v>965.25</v>
      </c>
      <c r="C620" s="16">
        <f>SUM('Weekly Data'!E617:E620)/4</f>
        <v>2472.75</v>
      </c>
      <c r="D620" s="16">
        <f>SUM('Weekly Data'!F617:F620)/4</f>
        <v>909</v>
      </c>
      <c r="E620" s="16">
        <f>SUM('Weekly Data'!G617:G620)/4</f>
        <v>4289.75</v>
      </c>
      <c r="F620" s="16">
        <f>SUM('Weekly Data'!H617:H620)/4</f>
        <v>349.5</v>
      </c>
      <c r="G620" s="16">
        <f>SUM('Weekly Data'!I617:I620)/4</f>
        <v>8077.25</v>
      </c>
      <c r="H620" s="16"/>
      <c r="I620" s="39"/>
      <c r="J620" s="16" t="s">
        <v>34</v>
      </c>
      <c r="K620" s="16">
        <f>AVERAGE('Weekly Data'!E568,'Weekly Data'!E516,'Weekly Data'!E464,'Weekly Data'!E412)</f>
        <v>1673.25</v>
      </c>
      <c r="L620" s="16"/>
      <c r="M620" s="16">
        <f>AVERAGE('Weekly Data'!G568,'Weekly Data'!G516,'Weekly Data'!G464,'Weekly Data'!G412)</f>
        <v>3226.75</v>
      </c>
      <c r="N620" s="16">
        <f>AVERAGE('Weekly Data'!H568,'Weekly Data'!H516,'Weekly Data'!H464,'Weekly Data'!H412)</f>
        <v>190.5</v>
      </c>
      <c r="O620" s="16" t="s">
        <v>34</v>
      </c>
      <c r="P620" s="16"/>
      <c r="Q620" s="39"/>
      <c r="R620" s="43">
        <v>38630</v>
      </c>
      <c r="S620" s="16" t="s">
        <v>34</v>
      </c>
      <c r="T620" s="107">
        <f t="shared" si="9"/>
        <v>1619</v>
      </c>
      <c r="U620" s="16" t="s">
        <v>34</v>
      </c>
      <c r="V620" s="16">
        <f t="shared" si="10"/>
        <v>2541.4375</v>
      </c>
      <c r="W620" s="16">
        <f t="shared" si="11"/>
        <v>142.6875</v>
      </c>
      <c r="X620" s="16" t="s">
        <v>34</v>
      </c>
      <c r="Y620" s="40"/>
      <c r="Z620" s="39"/>
      <c r="AA620" s="40"/>
      <c r="AB620" s="44"/>
      <c r="AC620" s="39"/>
      <c r="AD620" s="40"/>
      <c r="AE620" s="44"/>
      <c r="AF620" s="39"/>
      <c r="AG620" s="40"/>
      <c r="AH620" s="65"/>
    </row>
    <row r="621" spans="1:34" x14ac:dyDescent="0.25">
      <c r="A621" s="105">
        <f t="shared" si="12"/>
        <v>38637</v>
      </c>
      <c r="B621" s="59">
        <f>SUM('Weekly Data'!D618:D621)/4</f>
        <v>1328.25</v>
      </c>
      <c r="C621" s="16">
        <f>SUM('Weekly Data'!E618:E621)/4</f>
        <v>2307.5</v>
      </c>
      <c r="D621" s="16">
        <f>SUM('Weekly Data'!F618:F621)/4</f>
        <v>1061</v>
      </c>
      <c r="E621" s="16">
        <f>SUM('Weekly Data'!G618:G621)/4</f>
        <v>4668.5</v>
      </c>
      <c r="F621" s="16">
        <f>SUM('Weekly Data'!H618:H621)/4</f>
        <v>495</v>
      </c>
      <c r="G621" s="16">
        <f>SUM('Weekly Data'!I618:I621)/4</f>
        <v>8799.25</v>
      </c>
      <c r="H621" s="16"/>
      <c r="I621" s="39"/>
      <c r="J621" s="16" t="s">
        <v>34</v>
      </c>
      <c r="K621" s="16">
        <f>AVERAGE('Weekly Data'!E569,'Weekly Data'!E517,'Weekly Data'!E465,'Weekly Data'!E413)</f>
        <v>1364.25</v>
      </c>
      <c r="L621" s="16"/>
      <c r="M621" s="16">
        <f>AVERAGE('Weekly Data'!G569,'Weekly Data'!G517,'Weekly Data'!G465,'Weekly Data'!G413)</f>
        <v>3960.75</v>
      </c>
      <c r="N621" s="16">
        <f>AVERAGE('Weekly Data'!H569,'Weekly Data'!H517,'Weekly Data'!H465,'Weekly Data'!H413)</f>
        <v>366.25</v>
      </c>
      <c r="O621" s="16" t="s">
        <v>34</v>
      </c>
      <c r="P621" s="16"/>
      <c r="Q621" s="39"/>
      <c r="R621" s="43">
        <v>38637</v>
      </c>
      <c r="S621" s="16" t="s">
        <v>34</v>
      </c>
      <c r="T621" s="107">
        <f t="shared" si="9"/>
        <v>1523.625</v>
      </c>
      <c r="U621" s="16" t="s">
        <v>34</v>
      </c>
      <c r="V621" s="16">
        <f t="shared" si="10"/>
        <v>3023.3125</v>
      </c>
      <c r="W621" s="16">
        <f t="shared" si="11"/>
        <v>208.9375</v>
      </c>
      <c r="X621" s="16" t="s">
        <v>34</v>
      </c>
      <c r="Y621" s="40"/>
      <c r="Z621" s="39"/>
      <c r="AA621" s="40"/>
      <c r="AB621" s="44"/>
      <c r="AC621" s="39"/>
      <c r="AD621" s="40"/>
      <c r="AE621" s="44"/>
      <c r="AF621" s="39"/>
      <c r="AG621" s="40"/>
      <c r="AH621" s="65"/>
    </row>
    <row r="622" spans="1:34" x14ac:dyDescent="0.25">
      <c r="A622" s="105">
        <f t="shared" si="12"/>
        <v>38644</v>
      </c>
      <c r="B622" s="59">
        <f>SUM('Weekly Data'!D619:D622)/4</f>
        <v>1399.75</v>
      </c>
      <c r="C622" s="16">
        <f>SUM('Weekly Data'!E619:E622)/4</f>
        <v>2226.75</v>
      </c>
      <c r="D622" s="16">
        <f>SUM('Weekly Data'!F619:F622)/4</f>
        <v>1105.75</v>
      </c>
      <c r="E622" s="16">
        <f>SUM('Weekly Data'!G619:G622)/4</f>
        <v>5310.5</v>
      </c>
      <c r="F622" s="16">
        <f>SUM('Weekly Data'!H619:H622)/4</f>
        <v>498.75</v>
      </c>
      <c r="G622" s="16">
        <f>SUM('Weekly Data'!I619:I622)/4</f>
        <v>9435.75</v>
      </c>
      <c r="H622" s="16"/>
      <c r="I622" s="39"/>
      <c r="J622" s="16" t="s">
        <v>34</v>
      </c>
      <c r="K622" s="16">
        <f>AVERAGE('Weekly Data'!E570,'Weekly Data'!E518,'Weekly Data'!E466,'Weekly Data'!E414)</f>
        <v>1165.25</v>
      </c>
      <c r="L622" s="16"/>
      <c r="M622" s="16">
        <f>AVERAGE('Weekly Data'!G570,'Weekly Data'!G518,'Weekly Data'!G466,'Weekly Data'!G414)</f>
        <v>4243.5</v>
      </c>
      <c r="N622" s="16">
        <f>AVERAGE('Weekly Data'!H570,'Weekly Data'!H518,'Weekly Data'!H466,'Weekly Data'!H414)</f>
        <v>673</v>
      </c>
      <c r="O622" s="16" t="s">
        <v>34</v>
      </c>
      <c r="P622" s="16"/>
      <c r="Q622" s="39"/>
      <c r="R622" s="43">
        <v>38644</v>
      </c>
      <c r="S622" s="16" t="s">
        <v>34</v>
      </c>
      <c r="T622" s="107">
        <f t="shared" si="9"/>
        <v>1445</v>
      </c>
      <c r="U622" s="16" t="s">
        <v>34</v>
      </c>
      <c r="V622" s="16">
        <f t="shared" si="10"/>
        <v>3526.75</v>
      </c>
      <c r="W622" s="16">
        <f t="shared" si="11"/>
        <v>343.75</v>
      </c>
      <c r="X622" s="16" t="s">
        <v>34</v>
      </c>
      <c r="Y622" s="40"/>
      <c r="Z622" s="39"/>
      <c r="AA622" s="40"/>
      <c r="AB622" s="44"/>
      <c r="AC622" s="39"/>
      <c r="AD622" s="40"/>
      <c r="AE622" s="44"/>
      <c r="AF622" s="39"/>
      <c r="AG622" s="40"/>
      <c r="AH622" s="65"/>
    </row>
    <row r="623" spans="1:34" x14ac:dyDescent="0.25">
      <c r="A623" s="105">
        <f t="shared" si="12"/>
        <v>38651</v>
      </c>
      <c r="B623" s="59">
        <f>SUM('Weekly Data'!D620:D623)/4</f>
        <v>1577</v>
      </c>
      <c r="C623" s="16">
        <f>SUM('Weekly Data'!E620:E623)/4</f>
        <v>2653</v>
      </c>
      <c r="D623" s="16">
        <f>SUM('Weekly Data'!F620:F623)/4</f>
        <v>1279</v>
      </c>
      <c r="E623" s="16">
        <f>SUM('Weekly Data'!G620:G623)/4</f>
        <v>5485</v>
      </c>
      <c r="F623" s="16">
        <f>SUM('Weekly Data'!H620:H623)/4</f>
        <v>572.5</v>
      </c>
      <c r="G623" s="16">
        <f>SUM('Weekly Data'!I620:I623)/4</f>
        <v>10287.5</v>
      </c>
      <c r="H623" s="16"/>
      <c r="I623" s="39"/>
      <c r="J623" s="16" t="s">
        <v>34</v>
      </c>
      <c r="K623" s="16">
        <f>AVERAGE('Weekly Data'!E571,'Weekly Data'!E519,'Weekly Data'!E467,'Weekly Data'!E415)</f>
        <v>1635.75</v>
      </c>
      <c r="L623" s="16"/>
      <c r="M623" s="16">
        <f>AVERAGE('Weekly Data'!G571,'Weekly Data'!G519,'Weekly Data'!G467,'Weekly Data'!G415)</f>
        <v>4160.75</v>
      </c>
      <c r="N623" s="16">
        <f>AVERAGE('Weekly Data'!H571,'Weekly Data'!H519,'Weekly Data'!H467,'Weekly Data'!H415)</f>
        <v>850.25</v>
      </c>
      <c r="O623" s="16" t="s">
        <v>34</v>
      </c>
      <c r="P623" s="16"/>
      <c r="Q623" s="39"/>
      <c r="R623" s="43">
        <v>38651</v>
      </c>
      <c r="S623" s="16" t="s">
        <v>34</v>
      </c>
      <c r="T623" s="107">
        <f t="shared" si="9"/>
        <v>1459.625</v>
      </c>
      <c r="U623" s="16" t="s">
        <v>34</v>
      </c>
      <c r="V623" s="16">
        <f t="shared" si="10"/>
        <v>3897.9375</v>
      </c>
      <c r="W623" s="16">
        <f t="shared" si="11"/>
        <v>520</v>
      </c>
      <c r="X623" s="16" t="s">
        <v>34</v>
      </c>
      <c r="Y623" s="40"/>
      <c r="Z623" s="39"/>
      <c r="AA623" s="40"/>
      <c r="AB623" s="44"/>
      <c r="AC623" s="39"/>
      <c r="AD623" s="40"/>
      <c r="AE623" s="44"/>
      <c r="AF623" s="39"/>
      <c r="AG623" s="40"/>
      <c r="AH623" s="65"/>
    </row>
    <row r="624" spans="1:34" x14ac:dyDescent="0.25">
      <c r="A624" s="105">
        <f t="shared" si="12"/>
        <v>38658</v>
      </c>
      <c r="B624" s="59">
        <f>SUM('Weekly Data'!D621:D624)/4</f>
        <v>1797.75</v>
      </c>
      <c r="C624" s="16">
        <f>SUM('Weekly Data'!E621:E624)/4</f>
        <v>2264.25</v>
      </c>
      <c r="D624" s="16">
        <f>SUM('Weekly Data'!F621:F624)/4</f>
        <v>1483.75</v>
      </c>
      <c r="E624" s="16">
        <f>SUM('Weekly Data'!G621:G624)/4</f>
        <v>5472.5</v>
      </c>
      <c r="F624" s="16">
        <f>SUM('Weekly Data'!H621:H624)/4</f>
        <v>621</v>
      </c>
      <c r="G624" s="16">
        <f>SUM('Weekly Data'!I621:I624)/4</f>
        <v>10155.5</v>
      </c>
      <c r="H624" s="16"/>
      <c r="I624" s="39"/>
      <c r="J624" s="16" t="s">
        <v>34</v>
      </c>
      <c r="K624" s="16">
        <f>AVERAGE('Weekly Data'!E572,'Weekly Data'!E520,'Weekly Data'!E468,'Weekly Data'!E416)</f>
        <v>1607.75</v>
      </c>
      <c r="L624" s="16"/>
      <c r="M624" s="16">
        <f>AVERAGE('Weekly Data'!G572,'Weekly Data'!G520,'Weekly Data'!G468,'Weekly Data'!G416)</f>
        <v>3699.5</v>
      </c>
      <c r="N624" s="16">
        <f>AVERAGE('Weekly Data'!H572,'Weekly Data'!H520,'Weekly Data'!H468,'Weekly Data'!H416)</f>
        <v>730.5</v>
      </c>
      <c r="O624" s="16" t="s">
        <v>34</v>
      </c>
      <c r="P624" s="16"/>
      <c r="Q624" s="39"/>
      <c r="R624" s="43">
        <v>38658</v>
      </c>
      <c r="S624" s="16" t="s">
        <v>34</v>
      </c>
      <c r="T624" s="107">
        <f t="shared" si="9"/>
        <v>1443.25</v>
      </c>
      <c r="U624" s="16" t="s">
        <v>34</v>
      </c>
      <c r="V624" s="16">
        <f t="shared" si="10"/>
        <v>4016.125</v>
      </c>
      <c r="W624" s="16">
        <f t="shared" si="11"/>
        <v>655</v>
      </c>
      <c r="X624" s="16" t="s">
        <v>34</v>
      </c>
      <c r="Y624" s="40"/>
      <c r="Z624" s="39"/>
      <c r="AA624" s="40"/>
      <c r="AB624" s="44"/>
      <c r="AC624" s="39"/>
      <c r="AD624" s="40"/>
      <c r="AE624" s="44"/>
      <c r="AF624" s="39"/>
      <c r="AG624" s="40"/>
      <c r="AH624" s="65"/>
    </row>
    <row r="625" spans="1:34" x14ac:dyDescent="0.25">
      <c r="A625" s="105">
        <f t="shared" si="12"/>
        <v>38665</v>
      </c>
      <c r="B625" s="59">
        <f>SUM('Weekly Data'!D622:D625)/4</f>
        <v>1813.75</v>
      </c>
      <c r="C625" s="16">
        <f>SUM('Weekly Data'!E622:E625)/4</f>
        <v>2232.25</v>
      </c>
      <c r="D625" s="16">
        <f>SUM('Weekly Data'!F622:F625)/4</f>
        <v>1433.5</v>
      </c>
      <c r="E625" s="16">
        <f>SUM('Weekly Data'!G622:G625)/4</f>
        <v>5009.75</v>
      </c>
      <c r="F625" s="16">
        <f>SUM('Weekly Data'!H622:H625)/4</f>
        <v>577.25</v>
      </c>
      <c r="G625" s="16">
        <f>SUM('Weekly Data'!I622:I625)/4</f>
        <v>9633</v>
      </c>
      <c r="H625" s="16"/>
      <c r="I625" s="39"/>
      <c r="J625" s="16" t="s">
        <v>34</v>
      </c>
      <c r="K625" s="16">
        <f>AVERAGE('Weekly Data'!E573,'Weekly Data'!E521,'Weekly Data'!E469,'Weekly Data'!E417)</f>
        <v>1735</v>
      </c>
      <c r="L625" s="16"/>
      <c r="M625" s="16">
        <f>AVERAGE('Weekly Data'!G573,'Weekly Data'!G521,'Weekly Data'!G469,'Weekly Data'!G417)</f>
        <v>3871.5</v>
      </c>
      <c r="N625" s="16">
        <f>AVERAGE('Weekly Data'!H573,'Weekly Data'!H521,'Weekly Data'!H469,'Weekly Data'!H417)</f>
        <v>721.5</v>
      </c>
      <c r="O625" s="16" t="s">
        <v>34</v>
      </c>
      <c r="P625" s="16"/>
      <c r="Q625" s="39"/>
      <c r="R625" s="43">
        <v>38665</v>
      </c>
      <c r="S625" s="16" t="s">
        <v>34</v>
      </c>
      <c r="T625" s="107">
        <f t="shared" si="9"/>
        <v>1535.9375</v>
      </c>
      <c r="U625" s="16" t="s">
        <v>34</v>
      </c>
      <c r="V625" s="16">
        <f t="shared" si="10"/>
        <v>3993.8125</v>
      </c>
      <c r="W625" s="16">
        <f t="shared" si="11"/>
        <v>743.8125</v>
      </c>
      <c r="X625" s="16" t="s">
        <v>34</v>
      </c>
      <c r="Y625" s="40"/>
      <c r="Z625" s="39"/>
      <c r="AA625" s="40"/>
      <c r="AB625" s="44"/>
      <c r="AC625" s="39"/>
      <c r="AD625" s="40"/>
      <c r="AE625" s="44"/>
      <c r="AF625" s="39"/>
      <c r="AG625" s="40"/>
      <c r="AH625" s="65"/>
    </row>
    <row r="626" spans="1:34" x14ac:dyDescent="0.25">
      <c r="A626" s="105">
        <f t="shared" si="12"/>
        <v>38672</v>
      </c>
      <c r="B626" s="59">
        <f>SUM('Weekly Data'!D623:D626)/4</f>
        <v>1769.75</v>
      </c>
      <c r="C626" s="16">
        <f>SUM('Weekly Data'!E623:E626)/4</f>
        <v>2131.5</v>
      </c>
      <c r="D626" s="16">
        <f>SUM('Weekly Data'!F623:F626)/4</f>
        <v>1245</v>
      </c>
      <c r="E626" s="16">
        <f>SUM('Weekly Data'!G623:G626)/4</f>
        <v>4795.25</v>
      </c>
      <c r="F626" s="16">
        <f>SUM('Weekly Data'!H623:H626)/4</f>
        <v>648</v>
      </c>
      <c r="G626" s="16">
        <f>SUM('Weekly Data'!I623:I626)/4</f>
        <v>9344.5</v>
      </c>
      <c r="H626" s="16"/>
      <c r="I626" s="39"/>
      <c r="J626" s="16" t="s">
        <v>34</v>
      </c>
      <c r="K626" s="16">
        <f>AVERAGE('Weekly Data'!E574,'Weekly Data'!E522,'Weekly Data'!E470,'Weekly Data'!E418)</f>
        <v>1880.25</v>
      </c>
      <c r="L626" s="16"/>
      <c r="M626" s="16">
        <f>AVERAGE('Weekly Data'!G574,'Weekly Data'!G522,'Weekly Data'!G470,'Weekly Data'!G418)</f>
        <v>3863.5</v>
      </c>
      <c r="N626" s="16">
        <f>AVERAGE('Weekly Data'!H574,'Weekly Data'!H522,'Weekly Data'!H470,'Weekly Data'!H418)</f>
        <v>651.5</v>
      </c>
      <c r="O626" s="16" t="s">
        <v>34</v>
      </c>
      <c r="P626" s="16"/>
      <c r="Q626" s="39"/>
      <c r="R626" s="43">
        <v>38672</v>
      </c>
      <c r="S626" s="16" t="s">
        <v>34</v>
      </c>
      <c r="T626" s="107">
        <f t="shared" si="9"/>
        <v>1714.6875</v>
      </c>
      <c r="U626" s="16" t="s">
        <v>34</v>
      </c>
      <c r="V626" s="16">
        <f t="shared" si="10"/>
        <v>3898.8125</v>
      </c>
      <c r="W626" s="16">
        <f t="shared" si="11"/>
        <v>738.4375</v>
      </c>
      <c r="X626" s="16" t="s">
        <v>34</v>
      </c>
      <c r="Y626" s="40"/>
      <c r="Z626" s="39"/>
      <c r="AA626" s="40"/>
      <c r="AB626" s="44"/>
      <c r="AC626" s="39"/>
      <c r="AD626" s="40"/>
      <c r="AE626" s="44"/>
      <c r="AF626" s="39"/>
      <c r="AG626" s="40"/>
      <c r="AH626" s="65"/>
    </row>
    <row r="627" spans="1:34" x14ac:dyDescent="0.25">
      <c r="A627" s="105">
        <f t="shared" si="12"/>
        <v>38679</v>
      </c>
      <c r="B627" s="59">
        <f>SUM('Weekly Data'!D624:D627)/4</f>
        <v>1622</v>
      </c>
      <c r="C627" s="16">
        <f>SUM('Weekly Data'!E624:E627)/4</f>
        <v>2031</v>
      </c>
      <c r="D627" s="16">
        <f>SUM('Weekly Data'!F624:F627)/4</f>
        <v>1089.25</v>
      </c>
      <c r="E627" s="16">
        <f>SUM('Weekly Data'!G624:G627)/4</f>
        <v>4608.75</v>
      </c>
      <c r="F627" s="16">
        <f>SUM('Weekly Data'!H624:H627)/4</f>
        <v>631.75</v>
      </c>
      <c r="G627" s="16">
        <f>SUM('Weekly Data'!I624:I627)/4</f>
        <v>8893.5</v>
      </c>
      <c r="H627" s="16"/>
      <c r="I627" s="39"/>
      <c r="J627" s="16" t="s">
        <v>34</v>
      </c>
      <c r="K627" s="16">
        <f>AVERAGE('Weekly Data'!E575,'Weekly Data'!E523,'Weekly Data'!E471,'Weekly Data'!E419)</f>
        <v>1741.25</v>
      </c>
      <c r="L627" s="16"/>
      <c r="M627" s="16">
        <f>AVERAGE('Weekly Data'!G575,'Weekly Data'!G523,'Weekly Data'!G471,'Weekly Data'!G419)</f>
        <v>3736.75</v>
      </c>
      <c r="N627" s="16">
        <f>AVERAGE('Weekly Data'!H575,'Weekly Data'!H523,'Weekly Data'!H471,'Weekly Data'!H419)</f>
        <v>516</v>
      </c>
      <c r="O627" s="16" t="s">
        <v>34</v>
      </c>
      <c r="P627" s="16"/>
      <c r="Q627" s="39"/>
      <c r="R627" s="43">
        <v>38679</v>
      </c>
      <c r="S627" s="16" t="s">
        <v>34</v>
      </c>
      <c r="T627" s="107">
        <f t="shared" si="9"/>
        <v>1741.0625</v>
      </c>
      <c r="U627" s="16" t="s">
        <v>34</v>
      </c>
      <c r="V627" s="16">
        <f t="shared" si="10"/>
        <v>3792.8125</v>
      </c>
      <c r="W627" s="16">
        <f t="shared" si="11"/>
        <v>654.875</v>
      </c>
      <c r="X627" s="16" t="s">
        <v>34</v>
      </c>
      <c r="Y627" s="40"/>
      <c r="Z627" s="39"/>
      <c r="AA627" s="40"/>
      <c r="AB627" s="44"/>
      <c r="AC627" s="39"/>
      <c r="AD627" s="40"/>
      <c r="AE627" s="44"/>
      <c r="AF627" s="39"/>
      <c r="AG627" s="40"/>
      <c r="AH627" s="65"/>
    </row>
    <row r="628" spans="1:34" x14ac:dyDescent="0.25">
      <c r="A628" s="105">
        <f t="shared" si="12"/>
        <v>38686</v>
      </c>
      <c r="B628" s="59">
        <f>SUM('Weekly Data'!D625:D628)/4</f>
        <v>1336.25</v>
      </c>
      <c r="C628" s="16">
        <f>SUM('Weekly Data'!E625:E628)/4</f>
        <v>2231</v>
      </c>
      <c r="D628" s="16">
        <f>SUM('Weekly Data'!F625:F628)/4</f>
        <v>1024</v>
      </c>
      <c r="E628" s="16">
        <f>SUM('Weekly Data'!G625:G628)/4</f>
        <v>4413.5</v>
      </c>
      <c r="F628" s="16">
        <f>SUM('Weekly Data'!H625:H628)/4</f>
        <v>605.5</v>
      </c>
      <c r="G628" s="16">
        <f>SUM('Weekly Data'!I625:I628)/4</f>
        <v>8586.25</v>
      </c>
      <c r="H628" s="16"/>
      <c r="I628" s="39"/>
      <c r="J628" s="16" t="s">
        <v>34</v>
      </c>
      <c r="K628" s="16">
        <f>AVERAGE('Weekly Data'!E576,'Weekly Data'!E524,'Weekly Data'!E472,'Weekly Data'!E420)</f>
        <v>1831.25</v>
      </c>
      <c r="L628" s="16"/>
      <c r="M628" s="16">
        <f>AVERAGE('Weekly Data'!G576,'Weekly Data'!G524,'Weekly Data'!G472,'Weekly Data'!G420)</f>
        <v>3120.5</v>
      </c>
      <c r="N628" s="16">
        <f>AVERAGE('Weekly Data'!H576,'Weekly Data'!H524,'Weekly Data'!H472,'Weekly Data'!H420)</f>
        <v>531.75</v>
      </c>
      <c r="O628" s="16" t="s">
        <v>34</v>
      </c>
      <c r="P628" s="16"/>
      <c r="Q628" s="39"/>
      <c r="R628" s="43">
        <v>38686</v>
      </c>
      <c r="S628" s="16" t="s">
        <v>34</v>
      </c>
      <c r="T628" s="107">
        <f t="shared" si="9"/>
        <v>1796.9375</v>
      </c>
      <c r="U628" s="16" t="s">
        <v>34</v>
      </c>
      <c r="V628" s="16">
        <f t="shared" si="10"/>
        <v>3648.0625</v>
      </c>
      <c r="W628" s="16">
        <f t="shared" si="11"/>
        <v>605.1875</v>
      </c>
      <c r="X628" s="16" t="s">
        <v>34</v>
      </c>
      <c r="Y628" s="40"/>
      <c r="Z628" s="39"/>
      <c r="AA628" s="40"/>
      <c r="AB628" s="44"/>
      <c r="AC628" s="39"/>
      <c r="AD628" s="40"/>
      <c r="AE628" s="44"/>
      <c r="AF628" s="39"/>
      <c r="AG628" s="40"/>
      <c r="AH628" s="65"/>
    </row>
    <row r="629" spans="1:34" x14ac:dyDescent="0.25">
      <c r="A629" s="105">
        <f t="shared" si="12"/>
        <v>38693</v>
      </c>
      <c r="B629" s="59">
        <f>SUM('Weekly Data'!D626:D629)/4</f>
        <v>1263.25</v>
      </c>
      <c r="C629" s="16">
        <f>SUM('Weekly Data'!E626:E629)/4</f>
        <v>2211.75</v>
      </c>
      <c r="D629" s="16">
        <f>SUM('Weekly Data'!F626:F629)/4</f>
        <v>1033</v>
      </c>
      <c r="E629" s="16">
        <f>SUM('Weekly Data'!G626:G629)/4</f>
        <v>4438.75</v>
      </c>
      <c r="F629" s="16">
        <f>SUM('Weekly Data'!H626:H629)/4</f>
        <v>551.25</v>
      </c>
      <c r="G629" s="16">
        <f>SUM('Weekly Data'!I626:I629)/4</f>
        <v>8465</v>
      </c>
      <c r="H629" s="16"/>
      <c r="I629" s="39"/>
      <c r="J629" s="16" t="s">
        <v>34</v>
      </c>
      <c r="K629" s="16">
        <f>AVERAGE('Weekly Data'!E577,'Weekly Data'!E525,'Weekly Data'!E473,'Weekly Data'!E421)</f>
        <v>1582.75</v>
      </c>
      <c r="L629" s="16"/>
      <c r="M629" s="16">
        <f>AVERAGE('Weekly Data'!G577,'Weekly Data'!G525,'Weekly Data'!G473,'Weekly Data'!G421)</f>
        <v>2901.25</v>
      </c>
      <c r="N629" s="16">
        <f>AVERAGE('Weekly Data'!H577,'Weekly Data'!H525,'Weekly Data'!H473,'Weekly Data'!H421)</f>
        <v>391.25</v>
      </c>
      <c r="O629" s="16" t="s">
        <v>34</v>
      </c>
      <c r="P629" s="16"/>
      <c r="Q629" s="39"/>
      <c r="R629" s="43">
        <v>38693</v>
      </c>
      <c r="S629" s="16" t="s">
        <v>34</v>
      </c>
      <c r="T629" s="107">
        <f t="shared" si="9"/>
        <v>1758.875</v>
      </c>
      <c r="U629" s="16" t="s">
        <v>34</v>
      </c>
      <c r="V629" s="16">
        <f t="shared" si="10"/>
        <v>3405.5</v>
      </c>
      <c r="W629" s="16">
        <f t="shared" si="11"/>
        <v>522.625</v>
      </c>
      <c r="X629" s="16" t="s">
        <v>34</v>
      </c>
      <c r="Y629" s="40"/>
      <c r="Z629" s="39"/>
      <c r="AA629" s="40"/>
      <c r="AB629" s="44"/>
      <c r="AC629" s="39"/>
      <c r="AD629" s="40"/>
      <c r="AE629" s="44"/>
      <c r="AF629" s="39"/>
      <c r="AG629" s="40"/>
      <c r="AH629" s="65"/>
    </row>
    <row r="630" spans="1:34" x14ac:dyDescent="0.25">
      <c r="A630" s="105">
        <f t="shared" si="12"/>
        <v>38700</v>
      </c>
      <c r="B630" s="59">
        <f>SUM('Weekly Data'!D627:D630)/4</f>
        <v>1252.25</v>
      </c>
      <c r="C630" s="16">
        <f>SUM('Weekly Data'!E627:E630)/4</f>
        <v>2169</v>
      </c>
      <c r="D630" s="16">
        <f>SUM('Weekly Data'!F627:F630)/4</f>
        <v>1150.5</v>
      </c>
      <c r="E630" s="16">
        <f>SUM('Weekly Data'!G627:G630)/4</f>
        <v>4436.75</v>
      </c>
      <c r="F630" s="16">
        <f>SUM('Weekly Data'!H627:H630)/4</f>
        <v>458</v>
      </c>
      <c r="G630" s="16">
        <f>SUM('Weekly Data'!I627:I630)/4</f>
        <v>8316</v>
      </c>
      <c r="H630" s="16"/>
      <c r="I630" s="39"/>
      <c r="J630" s="16" t="s">
        <v>34</v>
      </c>
      <c r="K630" s="16">
        <f>AVERAGE('Weekly Data'!E578,'Weekly Data'!E526,'Weekly Data'!E474,'Weekly Data'!E422)</f>
        <v>1562.5</v>
      </c>
      <c r="L630" s="16"/>
      <c r="M630" s="16">
        <f>AVERAGE('Weekly Data'!G578,'Weekly Data'!G526,'Weekly Data'!G474,'Weekly Data'!G422)</f>
        <v>2983.25</v>
      </c>
      <c r="N630" s="16">
        <f>AVERAGE('Weekly Data'!H578,'Weekly Data'!H526,'Weekly Data'!H474,'Weekly Data'!H422)</f>
        <v>594.75</v>
      </c>
      <c r="O630" s="16" t="s">
        <v>34</v>
      </c>
      <c r="P630" s="16"/>
      <c r="Q630" s="39"/>
      <c r="R630" s="43">
        <v>38700</v>
      </c>
      <c r="S630" s="16" t="s">
        <v>34</v>
      </c>
      <c r="T630" s="107">
        <f t="shared" si="9"/>
        <v>1679.4375</v>
      </c>
      <c r="U630" s="16" t="s">
        <v>34</v>
      </c>
      <c r="V630" s="16">
        <f t="shared" si="10"/>
        <v>3185.4375</v>
      </c>
      <c r="W630" s="16">
        <f t="shared" si="11"/>
        <v>508.4375</v>
      </c>
      <c r="X630" s="16" t="s">
        <v>34</v>
      </c>
      <c r="Y630" s="40"/>
      <c r="Z630" s="39"/>
      <c r="AA630" s="40"/>
      <c r="AB630" s="44"/>
      <c r="AC630" s="39"/>
      <c r="AD630" s="40"/>
      <c r="AE630" s="44"/>
      <c r="AF630" s="39"/>
      <c r="AG630" s="40"/>
      <c r="AH630" s="65"/>
    </row>
    <row r="631" spans="1:34" x14ac:dyDescent="0.25">
      <c r="A631" s="105">
        <f t="shared" si="12"/>
        <v>38707</v>
      </c>
      <c r="B631" s="59">
        <f>SUM('Weekly Data'!D628:D631)/4</f>
        <v>1250.75</v>
      </c>
      <c r="C631" s="16">
        <f>SUM('Weekly Data'!E628:E631)/4</f>
        <v>2162.5</v>
      </c>
      <c r="D631" s="16">
        <f>SUM('Weekly Data'!F628:F631)/4</f>
        <v>1291.25</v>
      </c>
      <c r="E631" s="16">
        <f>SUM('Weekly Data'!G628:G631)/4</f>
        <v>4393</v>
      </c>
      <c r="F631" s="16">
        <f>SUM('Weekly Data'!H628:H631)/4</f>
        <v>386</v>
      </c>
      <c r="G631" s="16">
        <f>SUM('Weekly Data'!I628:I631)/4</f>
        <v>8192.25</v>
      </c>
      <c r="H631" s="16"/>
      <c r="I631" s="39"/>
      <c r="J631" s="16" t="s">
        <v>34</v>
      </c>
      <c r="K631" s="16">
        <f>AVERAGE('Weekly Data'!E579,'Weekly Data'!E527,'Weekly Data'!E475,'Weekly Data'!E423)</f>
        <v>1577.75</v>
      </c>
      <c r="L631" s="16"/>
      <c r="M631" s="16">
        <f>AVERAGE('Weekly Data'!G579,'Weekly Data'!G527,'Weekly Data'!G475,'Weekly Data'!G423)</f>
        <v>3410</v>
      </c>
      <c r="N631" s="16">
        <f>AVERAGE('Weekly Data'!H579,'Weekly Data'!H527,'Weekly Data'!H475,'Weekly Data'!H423)</f>
        <v>584</v>
      </c>
      <c r="O631" s="16" t="s">
        <v>34</v>
      </c>
      <c r="P631" s="16"/>
      <c r="Q631" s="39"/>
      <c r="R631" s="43">
        <v>38707</v>
      </c>
      <c r="S631" s="16" t="s">
        <v>34</v>
      </c>
      <c r="T631" s="107">
        <f t="shared" si="9"/>
        <v>1638.5625</v>
      </c>
      <c r="U631" s="16" t="s">
        <v>34</v>
      </c>
      <c r="V631" s="16">
        <f t="shared" si="10"/>
        <v>3103.75</v>
      </c>
      <c r="W631" s="16">
        <f t="shared" si="11"/>
        <v>525.4375</v>
      </c>
      <c r="X631" s="16" t="s">
        <v>34</v>
      </c>
      <c r="Y631" s="40"/>
      <c r="Z631" s="39"/>
      <c r="AA631" s="40"/>
      <c r="AB631" s="44"/>
      <c r="AC631" s="39"/>
      <c r="AD631" s="40"/>
      <c r="AE631" s="44"/>
      <c r="AF631" s="39"/>
      <c r="AG631" s="40"/>
      <c r="AH631" s="65"/>
    </row>
    <row r="632" spans="1:34" x14ac:dyDescent="0.25">
      <c r="A632" s="105">
        <f t="shared" si="12"/>
        <v>38714</v>
      </c>
      <c r="B632" s="59">
        <f>SUM('Weekly Data'!D629:D632)/4</f>
        <v>1276.75</v>
      </c>
      <c r="C632" s="16">
        <f>SUM('Weekly Data'!E629:E632)/4</f>
        <v>1981.25</v>
      </c>
      <c r="D632" s="16">
        <f>SUM('Weekly Data'!F629:F632)/4</f>
        <v>1220.25</v>
      </c>
      <c r="E632" s="16">
        <f>SUM('Weekly Data'!G629:G632)/4</f>
        <v>4136.25</v>
      </c>
      <c r="F632" s="16">
        <f>SUM('Weekly Data'!H629:H632)/4</f>
        <v>335.75</v>
      </c>
      <c r="G632" s="16">
        <f>SUM('Weekly Data'!I629:I632)/4</f>
        <v>7730</v>
      </c>
      <c r="H632" s="16"/>
      <c r="I632" s="39"/>
      <c r="J632" s="16" t="s">
        <v>34</v>
      </c>
      <c r="K632" s="16">
        <f>AVERAGE('Weekly Data'!E580,'Weekly Data'!E528,'Weekly Data'!E476,'Weekly Data'!E424)</f>
        <v>1474.25</v>
      </c>
      <c r="L632" s="16"/>
      <c r="M632" s="16">
        <f>AVERAGE('Weekly Data'!G580,'Weekly Data'!G528,'Weekly Data'!G476,'Weekly Data'!G424)</f>
        <v>2423.75</v>
      </c>
      <c r="N632" s="16">
        <f>AVERAGE('Weekly Data'!H580,'Weekly Data'!H528,'Weekly Data'!H476,'Weekly Data'!H424)</f>
        <v>485</v>
      </c>
      <c r="O632" s="16" t="s">
        <v>34</v>
      </c>
      <c r="P632" s="16"/>
      <c r="Q632" s="39"/>
      <c r="R632" s="43">
        <v>38714</v>
      </c>
      <c r="S632" s="16" t="s">
        <v>34</v>
      </c>
      <c r="T632" s="107">
        <f t="shared" si="9"/>
        <v>1549.3125</v>
      </c>
      <c r="U632" s="16" t="s">
        <v>34</v>
      </c>
      <c r="V632" s="16">
        <f t="shared" si="10"/>
        <v>2929.5625</v>
      </c>
      <c r="W632" s="16">
        <f t="shared" si="11"/>
        <v>513.75</v>
      </c>
      <c r="X632" s="16" t="s">
        <v>34</v>
      </c>
      <c r="Y632" s="40"/>
      <c r="Z632" s="39"/>
      <c r="AA632" s="40"/>
      <c r="AB632" s="44"/>
      <c r="AC632" s="39"/>
      <c r="AD632" s="40"/>
      <c r="AE632" s="44"/>
      <c r="AF632" s="39"/>
      <c r="AG632" s="40"/>
      <c r="AH632" s="65"/>
    </row>
    <row r="633" spans="1:34" x14ac:dyDescent="0.25">
      <c r="A633" s="105">
        <f t="shared" si="12"/>
        <v>38721</v>
      </c>
      <c r="B633" s="59">
        <f>SUM('Weekly Data'!D630:D633)/4</f>
        <v>1252.25</v>
      </c>
      <c r="C633" s="16">
        <f>SUM('Weekly Data'!E630:E633)/4</f>
        <v>2042.5</v>
      </c>
      <c r="D633" s="16">
        <f>SUM('Weekly Data'!F630:F633)/4</f>
        <v>1076.25</v>
      </c>
      <c r="E633" s="16">
        <f>SUM('Weekly Data'!G630:G633)/4</f>
        <v>4137.5</v>
      </c>
      <c r="F633" s="16">
        <f>SUM('Weekly Data'!H630:H633)/4</f>
        <v>370.75</v>
      </c>
      <c r="G633" s="16">
        <f>SUM('Weekly Data'!I630:I633)/4</f>
        <v>7803</v>
      </c>
      <c r="H633" s="16"/>
      <c r="I633" s="39"/>
      <c r="J633" s="16" t="s">
        <v>34</v>
      </c>
      <c r="K633" s="16">
        <f>AVERAGE('Weekly Data'!E581,'Weekly Data'!E529,'Weekly Data'!E477,'Weekly Data'!E425)</f>
        <v>1894.5</v>
      </c>
      <c r="L633" s="16"/>
      <c r="M633" s="16">
        <f>AVERAGE('Weekly Data'!G581,'Weekly Data'!G529,'Weekly Data'!G477,'Weekly Data'!G425)</f>
        <v>2636.5</v>
      </c>
      <c r="N633" s="16">
        <f>AVERAGE('Weekly Data'!H581,'Weekly Data'!H529,'Weekly Data'!H477,'Weekly Data'!H425)</f>
        <v>547.25</v>
      </c>
      <c r="O633" s="16" t="s">
        <v>34</v>
      </c>
      <c r="P633" s="16"/>
      <c r="Q633" s="39"/>
      <c r="R633" s="13">
        <v>38721</v>
      </c>
      <c r="S633" s="16" t="s">
        <v>34</v>
      </c>
      <c r="T633" s="107">
        <f t="shared" si="9"/>
        <v>1627.25</v>
      </c>
      <c r="U633" s="16" t="s">
        <v>34</v>
      </c>
      <c r="V633" s="16">
        <f t="shared" si="10"/>
        <v>2863.375</v>
      </c>
      <c r="W633" s="16">
        <f t="shared" si="11"/>
        <v>552.75</v>
      </c>
      <c r="X633" s="16" t="s">
        <v>34</v>
      </c>
      <c r="Y633" s="39"/>
      <c r="Z633" s="39"/>
      <c r="AA633" s="39"/>
      <c r="AB633" s="39"/>
      <c r="AC633" s="39"/>
      <c r="AD633" s="39"/>
      <c r="AE633" s="39"/>
      <c r="AF633" s="39"/>
      <c r="AG633" s="39"/>
      <c r="AH633" s="65"/>
    </row>
    <row r="634" spans="1:34" x14ac:dyDescent="0.25">
      <c r="A634" s="105">
        <f t="shared" si="12"/>
        <v>38728</v>
      </c>
      <c r="B634" s="59">
        <f>SUM('Weekly Data'!D631:D634)/4</f>
        <v>1295.25</v>
      </c>
      <c r="C634" s="16">
        <f>SUM('Weekly Data'!E631:E634)/4</f>
        <v>2249.75</v>
      </c>
      <c r="D634" s="16">
        <f>SUM('Weekly Data'!F631:F634)/4</f>
        <v>868.5</v>
      </c>
      <c r="E634" s="16">
        <f>SUM('Weekly Data'!G631:G634)/4</f>
        <v>3946.25</v>
      </c>
      <c r="F634" s="16">
        <f>SUM('Weekly Data'!H631:H634)/4</f>
        <v>454.25</v>
      </c>
      <c r="G634" s="16">
        <f>SUM('Weekly Data'!I631:I634)/4</f>
        <v>7945.5</v>
      </c>
      <c r="H634" s="16"/>
      <c r="I634" s="39"/>
      <c r="J634" s="16" t="s">
        <v>34</v>
      </c>
      <c r="K634" s="16">
        <f>AVERAGE('Weekly Data'!E582,'Weekly Data'!E530,'Weekly Data'!E478,'Weekly Data'!E426)</f>
        <v>1919</v>
      </c>
      <c r="L634" s="16"/>
      <c r="M634" s="16">
        <f>AVERAGE('Weekly Data'!G582,'Weekly Data'!G530,'Weekly Data'!G478,'Weekly Data'!G426)</f>
        <v>2751.25</v>
      </c>
      <c r="N634" s="16">
        <f>AVERAGE('Weekly Data'!H582,'Weekly Data'!H530,'Weekly Data'!H478,'Weekly Data'!H426)</f>
        <v>726.75</v>
      </c>
      <c r="O634" s="16" t="s">
        <v>34</v>
      </c>
      <c r="P634" s="16"/>
      <c r="Q634" s="39"/>
      <c r="R634" s="13">
        <v>38728</v>
      </c>
      <c r="S634" s="16" t="s">
        <v>34</v>
      </c>
      <c r="T634" s="107">
        <f t="shared" si="9"/>
        <v>1716.375</v>
      </c>
      <c r="U634" s="16" t="s">
        <v>34</v>
      </c>
      <c r="V634" s="16">
        <f>AVERAGE(E582,E530,E478,E426)</f>
        <v>2805.375</v>
      </c>
      <c r="W634" s="16">
        <f>AVERAGE(F582,F530,F478,F426)</f>
        <v>585.75</v>
      </c>
      <c r="X634" s="16" t="s">
        <v>34</v>
      </c>
      <c r="Y634" s="39"/>
      <c r="Z634" s="39"/>
      <c r="AA634" s="39"/>
      <c r="AB634" s="39"/>
      <c r="AC634" s="39"/>
      <c r="AD634" s="39"/>
      <c r="AE634" s="39"/>
      <c r="AF634" s="39"/>
      <c r="AG634" s="39"/>
      <c r="AH634" s="65"/>
    </row>
    <row r="635" spans="1:34" x14ac:dyDescent="0.25">
      <c r="A635" s="105">
        <f t="shared" si="12"/>
        <v>38735</v>
      </c>
      <c r="B635" s="59">
        <f>SUM('Weekly Data'!D632:D635)/4</f>
        <v>1443.25</v>
      </c>
      <c r="C635" s="16">
        <f>SUM('Weekly Data'!E632:E635)/4</f>
        <v>2174.75</v>
      </c>
      <c r="D635" s="16">
        <f>SUM('Weekly Data'!F632:F635)/4</f>
        <v>771</v>
      </c>
      <c r="E635" s="16">
        <f>SUM('Weekly Data'!G632:G635)/4</f>
        <v>3796</v>
      </c>
      <c r="F635" s="16">
        <f>SUM('Weekly Data'!H632:H635)/4</f>
        <v>431.25</v>
      </c>
      <c r="G635" s="16">
        <f>SUM('Weekly Data'!I632:I635)/4</f>
        <v>7845.25</v>
      </c>
      <c r="H635" s="16"/>
      <c r="I635" s="39"/>
      <c r="J635" s="16" t="s">
        <v>34</v>
      </c>
      <c r="K635" s="16">
        <f>AVERAGE('Weekly Data'!E583,'Weekly Data'!E531,'Weekly Data'!E479,'Weekly Data'!E427)</f>
        <v>1555.75</v>
      </c>
      <c r="L635" s="16">
        <f>AVERAGE('Weekly Data'!F583,'Weekly Data'!F531,'Weekly Data'!F479,'Weekly Data'!F427)</f>
        <v>881.5</v>
      </c>
      <c r="M635" s="16">
        <f>AVERAGE('Weekly Data'!G583,'Weekly Data'!G531,'Weekly Data'!G479,'Weekly Data'!G427)</f>
        <v>3058.75</v>
      </c>
      <c r="N635" s="16">
        <f>AVERAGE('Weekly Data'!H583,'Weekly Data'!H531,'Weekly Data'!H479,'Weekly Data'!H427)</f>
        <v>724</v>
      </c>
      <c r="O635" s="16" t="s">
        <v>34</v>
      </c>
      <c r="P635" s="16"/>
      <c r="Q635" s="39"/>
      <c r="R635" s="13">
        <v>38735</v>
      </c>
      <c r="S635" s="16" t="s">
        <v>34</v>
      </c>
      <c r="T635" s="106">
        <f t="shared" ref="T635:T698" si="13">AVERAGE(C583,C531,C479,C426)</f>
        <v>1702.8125</v>
      </c>
      <c r="U635" s="109">
        <f t="shared" ref="U635:U698" si="14">AVERAGE(D583,D531,D479,D426)</f>
        <v>1070.1666666666667</v>
      </c>
      <c r="V635" s="109">
        <f t="shared" ref="V635:V698" si="15">AVERAGE(E583,E531,E479,E426)</f>
        <v>2775.6875</v>
      </c>
      <c r="W635" s="110">
        <f t="shared" ref="W635:W698" si="16">AVERAGE(F583,F531,F479,F426)</f>
        <v>597.0625</v>
      </c>
      <c r="X635" s="16" t="s">
        <v>34</v>
      </c>
      <c r="Y635" s="39"/>
      <c r="Z635" s="39"/>
      <c r="AA635" s="39"/>
      <c r="AB635" s="39"/>
      <c r="AC635" s="39"/>
      <c r="AD635" s="39"/>
      <c r="AE635" s="39"/>
      <c r="AF635" s="39"/>
      <c r="AG635" s="39"/>
      <c r="AH635" s="65"/>
    </row>
    <row r="636" spans="1:34" x14ac:dyDescent="0.25">
      <c r="A636" s="105">
        <f t="shared" si="12"/>
        <v>38742</v>
      </c>
      <c r="B636" s="59">
        <f>SUM('Weekly Data'!D633:D636)/4</f>
        <v>1807</v>
      </c>
      <c r="C636" s="16">
        <f>SUM('Weekly Data'!E633:E636)/4</f>
        <v>2193.25</v>
      </c>
      <c r="D636" s="16">
        <f>SUM('Weekly Data'!F633:F636)/4</f>
        <v>666</v>
      </c>
      <c r="E636" s="16">
        <f>SUM('Weekly Data'!G633:G636)/4</f>
        <v>4142.5</v>
      </c>
      <c r="F636" s="16">
        <f>SUM('Weekly Data'!H633:H636)/4</f>
        <v>510.25</v>
      </c>
      <c r="G636" s="16">
        <f>SUM('Weekly Data'!I633:I636)/4</f>
        <v>8653</v>
      </c>
      <c r="H636" s="16"/>
      <c r="I636" s="39"/>
      <c r="J636" s="16" t="s">
        <v>34</v>
      </c>
      <c r="K636" s="16">
        <f>AVERAGE('Weekly Data'!E584,'Weekly Data'!E532,'Weekly Data'!E480,'Weekly Data'!E428)</f>
        <v>2243</v>
      </c>
      <c r="L636" s="16">
        <f>AVERAGE('Weekly Data'!F584,'Weekly Data'!F532,'Weekly Data'!F480,'Weekly Data'!F428)</f>
        <v>745.5</v>
      </c>
      <c r="M636" s="16">
        <f>AVERAGE('Weekly Data'!G584,'Weekly Data'!G532,'Weekly Data'!G480,'Weekly Data'!G428)</f>
        <v>3746</v>
      </c>
      <c r="N636" s="16">
        <f>AVERAGE('Weekly Data'!H584,'Weekly Data'!H532,'Weekly Data'!H480,'Weekly Data'!H428)</f>
        <v>573.75</v>
      </c>
      <c r="O636" s="16" t="s">
        <v>34</v>
      </c>
      <c r="P636" s="16"/>
      <c r="Q636" s="39"/>
      <c r="R636" s="13">
        <v>38742</v>
      </c>
      <c r="S636" s="16" t="s">
        <v>34</v>
      </c>
      <c r="T636" s="106">
        <f t="shared" si="13"/>
        <v>1801.5</v>
      </c>
      <c r="U636" s="109">
        <f t="shared" si="14"/>
        <v>881.75</v>
      </c>
      <c r="V636" s="109">
        <f t="shared" si="15"/>
        <v>2977</v>
      </c>
      <c r="W636" s="110">
        <f t="shared" si="16"/>
        <v>633.1875</v>
      </c>
      <c r="X636" s="16" t="s">
        <v>34</v>
      </c>
      <c r="Y636" s="39"/>
      <c r="Z636" s="39"/>
      <c r="AA636" s="39"/>
      <c r="AB636" s="39"/>
      <c r="AC636" s="39"/>
      <c r="AD636" s="39"/>
      <c r="AE636" s="39"/>
      <c r="AF636" s="39"/>
      <c r="AG636" s="39"/>
      <c r="AH636" s="65"/>
    </row>
    <row r="637" spans="1:34" x14ac:dyDescent="0.25">
      <c r="A637" s="105">
        <f t="shared" si="12"/>
        <v>38749</v>
      </c>
      <c r="B637" s="59">
        <f>SUM('Weekly Data'!D634:D637)/4</f>
        <v>1913</v>
      </c>
      <c r="C637" s="16">
        <f>SUM('Weekly Data'!E634:E637)/4</f>
        <v>2299.25</v>
      </c>
      <c r="D637" s="16">
        <f>SUM('Weekly Data'!F634:F637)/4</f>
        <v>569</v>
      </c>
      <c r="E637" s="16">
        <f>SUM('Weekly Data'!G634:G637)/4</f>
        <v>4189.5</v>
      </c>
      <c r="F637" s="16">
        <f>SUM('Weekly Data'!H634:H637)/4</f>
        <v>514</v>
      </c>
      <c r="G637" s="16">
        <f>SUM('Weekly Data'!I634:I637)/4</f>
        <v>8915.75</v>
      </c>
      <c r="H637" s="16"/>
      <c r="I637" s="39"/>
      <c r="J637" s="16" t="s">
        <v>34</v>
      </c>
      <c r="K637" s="16">
        <f>AVERAGE('Weekly Data'!E585,'Weekly Data'!E533,'Weekly Data'!E481,'Weekly Data'!E429)</f>
        <v>1842.5</v>
      </c>
      <c r="L637" s="16">
        <f>AVERAGE('Weekly Data'!F585,'Weekly Data'!F533,'Weekly Data'!F481,'Weekly Data'!F429)</f>
        <v>784.25</v>
      </c>
      <c r="M637" s="16">
        <f>AVERAGE('Weekly Data'!G585,'Weekly Data'!G533,'Weekly Data'!G481,'Weekly Data'!G429)</f>
        <v>3885</v>
      </c>
      <c r="N637" s="16">
        <f>AVERAGE('Weekly Data'!H585,'Weekly Data'!H533,'Weekly Data'!H481,'Weekly Data'!H429)</f>
        <v>536.75</v>
      </c>
      <c r="O637" s="16" t="s">
        <v>34</v>
      </c>
      <c r="P637" s="16"/>
      <c r="Q637" s="39"/>
      <c r="R637" s="13">
        <v>38749</v>
      </c>
      <c r="S637" s="16" t="s">
        <v>34</v>
      </c>
      <c r="T637" s="106">
        <f t="shared" si="13"/>
        <v>1946.5625</v>
      </c>
      <c r="U637" s="109">
        <f t="shared" si="14"/>
        <v>819.3125</v>
      </c>
      <c r="V637" s="109">
        <f t="shared" si="15"/>
        <v>3266.0625</v>
      </c>
      <c r="W637" s="110">
        <f t="shared" si="16"/>
        <v>659.25</v>
      </c>
      <c r="X637" s="16" t="s">
        <v>34</v>
      </c>
      <c r="Y637" s="39"/>
      <c r="Z637" s="39"/>
      <c r="AA637" s="39"/>
      <c r="AB637" s="39"/>
      <c r="AC637" s="39"/>
      <c r="AD637" s="39"/>
      <c r="AE637" s="39"/>
      <c r="AF637" s="39"/>
      <c r="AG637" s="39"/>
      <c r="AH637" s="65"/>
    </row>
    <row r="638" spans="1:34" x14ac:dyDescent="0.25">
      <c r="A638" s="105">
        <f t="shared" si="12"/>
        <v>38756</v>
      </c>
      <c r="B638" s="59">
        <f>SUM('Weekly Data'!D635:D638)/4</f>
        <v>2259</v>
      </c>
      <c r="C638" s="16">
        <f>SUM('Weekly Data'!E635:E638)/4</f>
        <v>2297</v>
      </c>
      <c r="D638" s="16">
        <f>SUM('Weekly Data'!F635:F638)/4</f>
        <v>595.25</v>
      </c>
      <c r="E638" s="16">
        <f>SUM('Weekly Data'!G635:G638)/4</f>
        <v>4151.25</v>
      </c>
      <c r="F638" s="16">
        <f>SUM('Weekly Data'!H635:H638)/4</f>
        <v>416.5</v>
      </c>
      <c r="G638" s="16">
        <f>SUM('Weekly Data'!I635:I638)/4</f>
        <v>9123.75</v>
      </c>
      <c r="H638" s="16"/>
      <c r="I638" s="39"/>
      <c r="J638" s="16" t="s">
        <v>34</v>
      </c>
      <c r="K638" s="16">
        <f>AVERAGE('Weekly Data'!E586,'Weekly Data'!E534,'Weekly Data'!E482,'Weekly Data'!E430)</f>
        <v>2091.75</v>
      </c>
      <c r="L638" s="16">
        <f>AVERAGE('Weekly Data'!F586,'Weekly Data'!F534,'Weekly Data'!F482,'Weekly Data'!F430)</f>
        <v>713.25</v>
      </c>
      <c r="M638" s="16">
        <f>AVERAGE('Weekly Data'!G586,'Weekly Data'!G534,'Weekly Data'!G482,'Weekly Data'!G430)</f>
        <v>4542.5</v>
      </c>
      <c r="N638" s="16">
        <f>AVERAGE('Weekly Data'!H586,'Weekly Data'!H534,'Weekly Data'!H482,'Weekly Data'!H430)</f>
        <v>566.25</v>
      </c>
      <c r="O638" s="16" t="s">
        <v>34</v>
      </c>
      <c r="P638" s="16"/>
      <c r="Q638" s="39"/>
      <c r="R638" s="13">
        <v>38756</v>
      </c>
      <c r="S638" s="16" t="s">
        <v>34</v>
      </c>
      <c r="T638" s="106">
        <f t="shared" si="13"/>
        <v>1856</v>
      </c>
      <c r="U638" s="109">
        <f t="shared" si="14"/>
        <v>781.75</v>
      </c>
      <c r="V638" s="109">
        <f t="shared" si="15"/>
        <v>3630.3125</v>
      </c>
      <c r="W638" s="110">
        <f t="shared" si="16"/>
        <v>650.8125</v>
      </c>
      <c r="X638" s="16" t="s">
        <v>34</v>
      </c>
      <c r="Y638" s="39"/>
      <c r="Z638" s="39"/>
      <c r="AA638" s="39"/>
      <c r="AB638" s="39"/>
      <c r="AC638" s="39"/>
      <c r="AD638" s="39"/>
      <c r="AE638" s="39"/>
      <c r="AF638" s="39"/>
      <c r="AG638" s="39"/>
      <c r="AH638" s="65"/>
    </row>
    <row r="639" spans="1:34" x14ac:dyDescent="0.25">
      <c r="A639" s="105">
        <f t="shared" si="12"/>
        <v>38763</v>
      </c>
      <c r="B639" s="59">
        <f>SUM('Weekly Data'!D636:D639)/4</f>
        <v>2338.25</v>
      </c>
      <c r="C639" s="16">
        <f>SUM('Weekly Data'!E636:E639)/4</f>
        <v>2466.75</v>
      </c>
      <c r="D639" s="16">
        <f>SUM('Weekly Data'!F636:F639)/4</f>
        <v>558.5</v>
      </c>
      <c r="E639" s="16">
        <f>SUM('Weekly Data'!G636:G639)/4</f>
        <v>4328</v>
      </c>
      <c r="F639" s="16">
        <f>SUM('Weekly Data'!H636:H639)/4</f>
        <v>505.5</v>
      </c>
      <c r="G639" s="16">
        <f>SUM('Weekly Data'!I636:I639)/4</f>
        <v>9638.5</v>
      </c>
      <c r="H639" s="16"/>
      <c r="I639" s="39"/>
      <c r="J639" s="16" t="s">
        <v>34</v>
      </c>
      <c r="K639" s="16">
        <f>AVERAGE('Weekly Data'!E587,'Weekly Data'!E535,'Weekly Data'!E483,'Weekly Data'!E431)</f>
        <v>1657.5</v>
      </c>
      <c r="L639" s="16">
        <f>AVERAGE('Weekly Data'!F587,'Weekly Data'!F535,'Weekly Data'!F483,'Weekly Data'!F431)</f>
        <v>774.25</v>
      </c>
      <c r="M639" s="16">
        <f>AVERAGE('Weekly Data'!G587,'Weekly Data'!G535,'Weekly Data'!G483,'Weekly Data'!G431)</f>
        <v>4100</v>
      </c>
      <c r="N639" s="16">
        <f>AVERAGE('Weekly Data'!H587,'Weekly Data'!H535,'Weekly Data'!H483,'Weekly Data'!H431)</f>
        <v>560.5</v>
      </c>
      <c r="O639" s="16" t="s">
        <v>34</v>
      </c>
      <c r="P639" s="16"/>
      <c r="Q639" s="39"/>
      <c r="R639" s="13">
        <v>38763</v>
      </c>
      <c r="S639" s="16" t="s">
        <v>34</v>
      </c>
      <c r="T639" s="106">
        <f t="shared" si="13"/>
        <v>1921.8125</v>
      </c>
      <c r="U639" s="109">
        <f t="shared" si="14"/>
        <v>767.875</v>
      </c>
      <c r="V639" s="109">
        <f t="shared" si="15"/>
        <v>3995.4375</v>
      </c>
      <c r="W639" s="110">
        <f t="shared" si="16"/>
        <v>581.9375</v>
      </c>
      <c r="X639" s="16" t="s">
        <v>34</v>
      </c>
      <c r="Y639" s="39"/>
      <c r="Z639" s="39"/>
      <c r="AA639" s="39"/>
      <c r="AB639" s="39"/>
      <c r="AC639" s="39"/>
      <c r="AD639" s="39"/>
      <c r="AE639" s="39"/>
      <c r="AF639" s="39"/>
      <c r="AG639" s="39"/>
      <c r="AH639" s="65"/>
    </row>
    <row r="640" spans="1:34" x14ac:dyDescent="0.25">
      <c r="A640" s="105">
        <f t="shared" si="12"/>
        <v>38770</v>
      </c>
      <c r="B640" s="59">
        <f>SUM('Weekly Data'!D637:D640)/4</f>
        <v>2318</v>
      </c>
      <c r="C640" s="16">
        <f>SUM('Weekly Data'!E637:E640)/4</f>
        <v>2630</v>
      </c>
      <c r="D640" s="16">
        <f>SUM('Weekly Data'!F637:F640)/4</f>
        <v>539</v>
      </c>
      <c r="E640" s="16">
        <f>SUM('Weekly Data'!G637:G640)/4</f>
        <v>4168.75</v>
      </c>
      <c r="F640" s="16">
        <f>SUM('Weekly Data'!H637:H640)/4</f>
        <v>484.5</v>
      </c>
      <c r="G640" s="16">
        <f>SUM('Weekly Data'!I637:I640)/4</f>
        <v>9601.25</v>
      </c>
      <c r="H640" s="16"/>
      <c r="I640" s="39"/>
      <c r="J640" s="16" t="s">
        <v>34</v>
      </c>
      <c r="K640" s="16">
        <f>AVERAGE('Weekly Data'!E588,'Weekly Data'!E536,'Weekly Data'!E484,'Weekly Data'!E432)</f>
        <v>2059.25</v>
      </c>
      <c r="L640" s="16">
        <f>AVERAGE('Weekly Data'!F588,'Weekly Data'!F536,'Weekly Data'!F484,'Weekly Data'!F432)</f>
        <v>803.5</v>
      </c>
      <c r="M640" s="16">
        <f>AVERAGE('Weekly Data'!G588,'Weekly Data'!G536,'Weekly Data'!G484,'Weekly Data'!G432)</f>
        <v>4049.5</v>
      </c>
      <c r="N640" s="16">
        <f>AVERAGE('Weekly Data'!H588,'Weekly Data'!H536,'Weekly Data'!H484,'Weekly Data'!H432)</f>
        <v>613.75</v>
      </c>
      <c r="O640" s="16" t="s">
        <v>34</v>
      </c>
      <c r="P640" s="16"/>
      <c r="Q640" s="39"/>
      <c r="R640" s="13">
        <v>38770</v>
      </c>
      <c r="S640" s="16" t="s">
        <v>34</v>
      </c>
      <c r="T640" s="106">
        <f t="shared" si="13"/>
        <v>1970.4375</v>
      </c>
      <c r="U640" s="109">
        <f t="shared" si="14"/>
        <v>768.9375</v>
      </c>
      <c r="V640" s="109">
        <f t="shared" si="15"/>
        <v>4129.0625</v>
      </c>
      <c r="W640" s="110">
        <f t="shared" si="16"/>
        <v>569.1875</v>
      </c>
      <c r="X640" s="16" t="s">
        <v>34</v>
      </c>
      <c r="Y640" s="39"/>
      <c r="Z640" s="39"/>
      <c r="AA640" s="39"/>
      <c r="AB640" s="39"/>
      <c r="AC640" s="39"/>
      <c r="AD640" s="39"/>
      <c r="AE640" s="39"/>
      <c r="AF640" s="39"/>
      <c r="AG640" s="39"/>
      <c r="AH640" s="65"/>
    </row>
    <row r="641" spans="1:34" x14ac:dyDescent="0.25">
      <c r="A641" s="105">
        <f t="shared" si="12"/>
        <v>38777</v>
      </c>
      <c r="B641" s="59">
        <f>SUM('Weekly Data'!D638:D641)/4</f>
        <v>2460.25</v>
      </c>
      <c r="C641" s="16">
        <f>SUM('Weekly Data'!E638:E641)/4</f>
        <v>2321.5</v>
      </c>
      <c r="D641" s="16">
        <f>SUM('Weekly Data'!F638:F641)/4</f>
        <v>778.5</v>
      </c>
      <c r="E641" s="16">
        <f>SUM('Weekly Data'!G638:G641)/4</f>
        <v>4155.5</v>
      </c>
      <c r="F641" s="16">
        <f>SUM('Weekly Data'!H638:H641)/4</f>
        <v>508</v>
      </c>
      <c r="G641" s="16">
        <f>SUM('Weekly Data'!I638:I641)/4</f>
        <v>9445.25</v>
      </c>
      <c r="H641" s="16"/>
      <c r="I641" s="39"/>
      <c r="J641" s="16" t="s">
        <v>34</v>
      </c>
      <c r="K641" s="16">
        <f>AVERAGE('Weekly Data'!E589,'Weekly Data'!E537,'Weekly Data'!E485,'Weekly Data'!E433)</f>
        <v>1872.75</v>
      </c>
      <c r="L641" s="16">
        <f>AVERAGE('Weekly Data'!F589,'Weekly Data'!F537,'Weekly Data'!F485,'Weekly Data'!F433)</f>
        <v>1232</v>
      </c>
      <c r="M641" s="16">
        <f>AVERAGE('Weekly Data'!G589,'Weekly Data'!G537,'Weekly Data'!G485,'Weekly Data'!G433)</f>
        <v>4109.75</v>
      </c>
      <c r="N641" s="16">
        <f>AVERAGE('Weekly Data'!H589,'Weekly Data'!H537,'Weekly Data'!H485,'Weekly Data'!H433)</f>
        <v>328.5</v>
      </c>
      <c r="O641" s="16" t="s">
        <v>34</v>
      </c>
      <c r="P641" s="16"/>
      <c r="Q641" s="39"/>
      <c r="R641" s="13">
        <v>38777</v>
      </c>
      <c r="S641" s="16" t="s">
        <v>34</v>
      </c>
      <c r="T641" s="106">
        <f t="shared" si="13"/>
        <v>1868.1875</v>
      </c>
      <c r="U641" s="109">
        <f t="shared" si="14"/>
        <v>839</v>
      </c>
      <c r="V641" s="109">
        <f t="shared" si="15"/>
        <v>4257.75</v>
      </c>
      <c r="W641" s="110">
        <f t="shared" si="16"/>
        <v>534.9375</v>
      </c>
      <c r="X641" s="16" t="s">
        <v>34</v>
      </c>
      <c r="Y641" s="39"/>
      <c r="Z641" s="39"/>
      <c r="AA641" s="39"/>
      <c r="AB641" s="39"/>
      <c r="AC641" s="39"/>
      <c r="AD641" s="39"/>
      <c r="AE641" s="39"/>
      <c r="AF641" s="39"/>
      <c r="AG641" s="39"/>
      <c r="AH641" s="65"/>
    </row>
    <row r="642" spans="1:34" x14ac:dyDescent="0.25">
      <c r="A642" s="105">
        <f t="shared" si="12"/>
        <v>38784</v>
      </c>
      <c r="B642" s="59">
        <f>SUM('Weekly Data'!D639:D642)/4</f>
        <v>2543.75</v>
      </c>
      <c r="C642" s="16">
        <f>SUM('Weekly Data'!E639:E642)/4</f>
        <v>2251.5</v>
      </c>
      <c r="D642" s="16">
        <f>SUM('Weekly Data'!F639:F642)/4</f>
        <v>970.75</v>
      </c>
      <c r="E642" s="16">
        <f>SUM('Weekly Data'!G639:G642)/4</f>
        <v>4264.75</v>
      </c>
      <c r="F642" s="16">
        <f>SUM('Weekly Data'!H639:H642)/4</f>
        <v>619</v>
      </c>
      <c r="G642" s="16">
        <f>SUM('Weekly Data'!I639:I642)/4</f>
        <v>9679</v>
      </c>
      <c r="H642" s="16"/>
      <c r="I642" s="39"/>
      <c r="J642" s="16" t="s">
        <v>34</v>
      </c>
      <c r="K642" s="16">
        <f>AVERAGE('Weekly Data'!E590,'Weekly Data'!E538,'Weekly Data'!E486,'Weekly Data'!E434)</f>
        <v>1885</v>
      </c>
      <c r="L642" s="16">
        <f>AVERAGE('Weekly Data'!F590,'Weekly Data'!F538,'Weekly Data'!F486,'Weekly Data'!F434)</f>
        <v>1124</v>
      </c>
      <c r="M642" s="16">
        <f>AVERAGE('Weekly Data'!G590,'Weekly Data'!G538,'Weekly Data'!G486,'Weekly Data'!G434)</f>
        <v>3878</v>
      </c>
      <c r="N642" s="16">
        <f>AVERAGE('Weekly Data'!H590,'Weekly Data'!H538,'Weekly Data'!H486,'Weekly Data'!H434)</f>
        <v>283.5</v>
      </c>
      <c r="O642" s="16" t="s">
        <v>34</v>
      </c>
      <c r="P642" s="16"/>
      <c r="Q642" s="39"/>
      <c r="R642" s="13">
        <v>38784</v>
      </c>
      <c r="S642" s="16" t="s">
        <v>34</v>
      </c>
      <c r="T642" s="106">
        <f t="shared" si="13"/>
        <v>1948</v>
      </c>
      <c r="U642" s="109">
        <f t="shared" si="14"/>
        <v>910.1875</v>
      </c>
      <c r="V642" s="109">
        <f t="shared" si="15"/>
        <v>4187.5625</v>
      </c>
      <c r="W642" s="110">
        <f t="shared" si="16"/>
        <v>455.8125</v>
      </c>
      <c r="X642" s="16" t="s">
        <v>34</v>
      </c>
      <c r="Y642" s="39"/>
      <c r="Z642" s="39"/>
      <c r="AA642" s="39"/>
      <c r="AB642" s="39"/>
      <c r="AC642" s="39"/>
      <c r="AD642" s="39"/>
      <c r="AE642" s="39"/>
      <c r="AF642" s="39"/>
      <c r="AG642" s="39"/>
      <c r="AH642" s="65"/>
    </row>
    <row r="643" spans="1:34" x14ac:dyDescent="0.25">
      <c r="A643" s="105">
        <f t="shared" si="12"/>
        <v>38791</v>
      </c>
      <c r="B643" s="59">
        <f>SUM('Weekly Data'!D640:D643)/4</f>
        <v>2495.75</v>
      </c>
      <c r="C643" s="16">
        <f>SUM('Weekly Data'!E640:E643)/4</f>
        <v>2084</v>
      </c>
      <c r="D643" s="16">
        <f>SUM('Weekly Data'!F640:F643)/4</f>
        <v>1017.75</v>
      </c>
      <c r="E643" s="16">
        <f>SUM('Weekly Data'!G640:G643)/4</f>
        <v>4378</v>
      </c>
      <c r="F643" s="16">
        <f>SUM('Weekly Data'!H640:H643)/4</f>
        <v>607.5</v>
      </c>
      <c r="G643" s="16">
        <f>SUM('Weekly Data'!I640:I643)/4</f>
        <v>9565.25</v>
      </c>
      <c r="H643" s="16"/>
      <c r="I643" s="39"/>
      <c r="J643" s="16" t="s">
        <v>34</v>
      </c>
      <c r="K643" s="16">
        <f>AVERAGE('Weekly Data'!E591,'Weekly Data'!E539,'Weekly Data'!E487,'Weekly Data'!E435)</f>
        <v>1738.5</v>
      </c>
      <c r="L643" s="16">
        <f>AVERAGE('Weekly Data'!F591,'Weekly Data'!F539,'Weekly Data'!F487,'Weekly Data'!F435)</f>
        <v>1237.5</v>
      </c>
      <c r="M643" s="16">
        <f>AVERAGE('Weekly Data'!G591,'Weekly Data'!G539,'Weekly Data'!G487,'Weekly Data'!G435)</f>
        <v>3958.5</v>
      </c>
      <c r="N643" s="16">
        <f>AVERAGE('Weekly Data'!H591,'Weekly Data'!H539,'Weekly Data'!H487,'Weekly Data'!H435)</f>
        <v>474.75</v>
      </c>
      <c r="O643" s="16" t="s">
        <v>34</v>
      </c>
      <c r="P643" s="16"/>
      <c r="Q643" s="39"/>
      <c r="R643" s="13">
        <v>38791</v>
      </c>
      <c r="S643" s="16" t="s">
        <v>34</v>
      </c>
      <c r="T643" s="106">
        <f t="shared" si="13"/>
        <v>1916.875</v>
      </c>
      <c r="U643" s="109">
        <f t="shared" si="14"/>
        <v>1026.9375</v>
      </c>
      <c r="V643" s="109">
        <f t="shared" si="15"/>
        <v>4034.0625</v>
      </c>
      <c r="W643" s="110">
        <f t="shared" si="16"/>
        <v>445.375</v>
      </c>
      <c r="X643" s="16" t="s">
        <v>34</v>
      </c>
      <c r="Y643" s="39"/>
      <c r="Z643" s="39"/>
      <c r="AA643" s="39"/>
      <c r="AB643" s="39"/>
      <c r="AC643" s="39"/>
      <c r="AD643" s="39"/>
      <c r="AE643" s="39"/>
      <c r="AF643" s="39"/>
      <c r="AG643" s="39"/>
      <c r="AH643" s="65"/>
    </row>
    <row r="644" spans="1:34" x14ac:dyDescent="0.25">
      <c r="A644" s="105">
        <f t="shared" si="12"/>
        <v>38798</v>
      </c>
      <c r="B644" s="59">
        <f>SUM('Weekly Data'!D641:D644)/4</f>
        <v>2322.25</v>
      </c>
      <c r="C644" s="16">
        <f>SUM('Weekly Data'!E641:E644)/4</f>
        <v>2109.25</v>
      </c>
      <c r="D644" s="16">
        <f>SUM('Weekly Data'!F641:F644)/4</f>
        <v>1167</v>
      </c>
      <c r="E644" s="16">
        <f>SUM('Weekly Data'!G641:G644)/4</f>
        <v>4516</v>
      </c>
      <c r="F644" s="16">
        <f>SUM('Weekly Data'!H641:H644)/4</f>
        <v>616</v>
      </c>
      <c r="G644" s="16">
        <f>SUM('Weekly Data'!I641:I644)/4</f>
        <v>9563.5</v>
      </c>
      <c r="H644" s="16"/>
      <c r="I644" s="39"/>
      <c r="J644" s="16" t="s">
        <v>34</v>
      </c>
      <c r="K644" s="16">
        <f>AVERAGE('Weekly Data'!E592,'Weekly Data'!E540,'Weekly Data'!E488,'Weekly Data'!E436)</f>
        <v>1856.5</v>
      </c>
      <c r="L644" s="16">
        <f>AVERAGE('Weekly Data'!F592,'Weekly Data'!F540,'Weekly Data'!F488,'Weekly Data'!F436)</f>
        <v>1165</v>
      </c>
      <c r="M644" s="16">
        <f>AVERAGE('Weekly Data'!G592,'Weekly Data'!G540,'Weekly Data'!G488,'Weekly Data'!G436)</f>
        <v>3698.5</v>
      </c>
      <c r="N644" s="16">
        <f>AVERAGE('Weekly Data'!H592,'Weekly Data'!H540,'Weekly Data'!H488,'Weekly Data'!H436)</f>
        <v>228</v>
      </c>
      <c r="O644" s="16" t="s">
        <v>34</v>
      </c>
      <c r="P644" s="16"/>
      <c r="Q644" s="39"/>
      <c r="R644" s="13">
        <v>38798</v>
      </c>
      <c r="S644" s="16" t="s">
        <v>34</v>
      </c>
      <c r="T644" s="106">
        <f t="shared" si="13"/>
        <v>1828.3125</v>
      </c>
      <c r="U644" s="109">
        <f t="shared" si="14"/>
        <v>1156.0625</v>
      </c>
      <c r="V644" s="109">
        <f t="shared" si="15"/>
        <v>3941.875</v>
      </c>
      <c r="W644" s="110">
        <f t="shared" si="16"/>
        <v>368.625</v>
      </c>
      <c r="X644" s="16" t="s">
        <v>34</v>
      </c>
      <c r="Y644" s="39"/>
      <c r="Z644" s="39"/>
      <c r="AA644" s="39"/>
      <c r="AB644" s="39"/>
      <c r="AC644" s="39"/>
      <c r="AD644" s="39"/>
      <c r="AE644" s="39"/>
      <c r="AF644" s="39"/>
      <c r="AG644" s="39"/>
      <c r="AH644" s="65"/>
    </row>
    <row r="645" spans="1:34" x14ac:dyDescent="0.25">
      <c r="A645" s="105">
        <f t="shared" si="12"/>
        <v>38805</v>
      </c>
      <c r="B645" s="59">
        <f>SUM('Weekly Data'!D642:D645)/4</f>
        <v>2027.25</v>
      </c>
      <c r="C645" s="16">
        <f>SUM('Weekly Data'!E642:E645)/4</f>
        <v>2346.75</v>
      </c>
      <c r="D645" s="16">
        <f>SUM('Weekly Data'!F642:F645)/4</f>
        <v>1064.5</v>
      </c>
      <c r="E645" s="16">
        <f>SUM('Weekly Data'!G642:G645)/4</f>
        <v>4447.75</v>
      </c>
      <c r="F645" s="16">
        <f>SUM('Weekly Data'!H642:H645)/4</f>
        <v>604.25</v>
      </c>
      <c r="G645" s="16">
        <f>SUM('Weekly Data'!I642:I645)/4</f>
        <v>9426</v>
      </c>
      <c r="H645" s="16"/>
      <c r="I645" s="39"/>
      <c r="J645" s="16" t="s">
        <v>34</v>
      </c>
      <c r="K645" s="16">
        <f>AVERAGE('Weekly Data'!E593,'Weekly Data'!E541,'Weekly Data'!E489,'Weekly Data'!E437)</f>
        <v>1882</v>
      </c>
      <c r="L645" s="16">
        <f>AVERAGE('Weekly Data'!F593,'Weekly Data'!F541,'Weekly Data'!F489,'Weekly Data'!F437)</f>
        <v>1095</v>
      </c>
      <c r="M645" s="16">
        <f>AVERAGE('Weekly Data'!G593,'Weekly Data'!G541,'Weekly Data'!G489,'Weekly Data'!G437)</f>
        <v>3470.25</v>
      </c>
      <c r="N645" s="16">
        <f>AVERAGE('Weekly Data'!H593,'Weekly Data'!H541,'Weekly Data'!H489,'Weekly Data'!H437)</f>
        <v>294.75</v>
      </c>
      <c r="O645" s="16" t="s">
        <v>34</v>
      </c>
      <c r="P645" s="16"/>
      <c r="Q645" s="39"/>
      <c r="R645" s="13">
        <v>38805</v>
      </c>
      <c r="S645" s="16" t="s">
        <v>34</v>
      </c>
      <c r="T645" s="106">
        <f t="shared" si="13"/>
        <v>1865.125</v>
      </c>
      <c r="U645" s="109">
        <f t="shared" si="14"/>
        <v>1170.875</v>
      </c>
      <c r="V645" s="109">
        <f t="shared" si="15"/>
        <v>3806.1875</v>
      </c>
      <c r="W645" s="110">
        <f t="shared" si="16"/>
        <v>304.125</v>
      </c>
      <c r="X645" s="16" t="s">
        <v>34</v>
      </c>
      <c r="Y645" s="39"/>
      <c r="Z645" s="39"/>
      <c r="AA645" s="39"/>
      <c r="AB645" s="39"/>
      <c r="AC645" s="39"/>
      <c r="AD645" s="39"/>
      <c r="AE645" s="39"/>
      <c r="AF645" s="39"/>
      <c r="AG645" s="39"/>
      <c r="AH645" s="65"/>
    </row>
    <row r="646" spans="1:34" x14ac:dyDescent="0.25">
      <c r="A646" s="105">
        <f t="shared" si="12"/>
        <v>38812</v>
      </c>
      <c r="B646" s="59">
        <f>SUM('Weekly Data'!D643:D646)/4</f>
        <v>1698</v>
      </c>
      <c r="C646" s="16">
        <f>SUM('Weekly Data'!E643:E646)/4</f>
        <v>2363.75</v>
      </c>
      <c r="D646" s="16">
        <f>SUM('Weekly Data'!F643:F646)/4</f>
        <v>1165.5</v>
      </c>
      <c r="E646" s="16">
        <f>SUM('Weekly Data'!G643:G646)/4</f>
        <v>4414</v>
      </c>
      <c r="F646" s="16">
        <f>SUM('Weekly Data'!H643:H646)/4</f>
        <v>559.5</v>
      </c>
      <c r="G646" s="16">
        <f>SUM('Weekly Data'!I643:I646)/4</f>
        <v>9035.25</v>
      </c>
      <c r="H646" s="16"/>
      <c r="I646" s="39"/>
      <c r="J646" s="16" t="s">
        <v>34</v>
      </c>
      <c r="K646" s="16">
        <f>AVERAGE('Weekly Data'!E594,'Weekly Data'!E542,'Weekly Data'!E490,'Weekly Data'!E438)</f>
        <v>1895</v>
      </c>
      <c r="L646" s="16">
        <f>AVERAGE('Weekly Data'!F594,'Weekly Data'!F542,'Weekly Data'!F490,'Weekly Data'!F438)</f>
        <v>1141.25</v>
      </c>
      <c r="M646" s="16">
        <f>AVERAGE('Weekly Data'!G594,'Weekly Data'!G542,'Weekly Data'!G490,'Weekly Data'!G438)</f>
        <v>3358.25</v>
      </c>
      <c r="N646" s="16">
        <f>AVERAGE('Weekly Data'!H594,'Weekly Data'!H542,'Weekly Data'!H490,'Weekly Data'!H438)</f>
        <v>159.25</v>
      </c>
      <c r="O646" s="16" t="s">
        <v>34</v>
      </c>
      <c r="P646" s="16"/>
      <c r="Q646" s="39"/>
      <c r="R646" s="13">
        <v>38812</v>
      </c>
      <c r="S646" s="16" t="s">
        <v>34</v>
      </c>
      <c r="T646" s="106">
        <f t="shared" si="13"/>
        <v>1794.8125</v>
      </c>
      <c r="U646" s="109">
        <f t="shared" si="14"/>
        <v>1183.6875</v>
      </c>
      <c r="V646" s="109">
        <f t="shared" si="15"/>
        <v>3667.4375</v>
      </c>
      <c r="W646" s="110">
        <f t="shared" si="16"/>
        <v>293.8125</v>
      </c>
      <c r="X646" s="16" t="s">
        <v>34</v>
      </c>
      <c r="Y646" s="39"/>
      <c r="Z646" s="39"/>
      <c r="AA646" s="39"/>
      <c r="AB646" s="39"/>
      <c r="AC646" s="39"/>
      <c r="AD646" s="39"/>
      <c r="AE646" s="39"/>
      <c r="AF646" s="39"/>
      <c r="AG646" s="39"/>
      <c r="AH646" s="65"/>
    </row>
    <row r="647" spans="1:34" x14ac:dyDescent="0.25">
      <c r="A647" s="105">
        <f t="shared" si="12"/>
        <v>38819</v>
      </c>
      <c r="B647" s="59">
        <f>SUM('Weekly Data'!D644:D647)/4</f>
        <v>1459.25</v>
      </c>
      <c r="C647" s="16">
        <f>SUM('Weekly Data'!E644:E647)/4</f>
        <v>2247.75</v>
      </c>
      <c r="D647" s="16">
        <f>SUM('Weekly Data'!F644:F647)/4</f>
        <v>1175.5</v>
      </c>
      <c r="E647" s="16">
        <f>SUM('Weekly Data'!G644:G647)/4</f>
        <v>4039.25</v>
      </c>
      <c r="F647" s="16">
        <f>SUM('Weekly Data'!H644:H647)/4</f>
        <v>501</v>
      </c>
      <c r="G647" s="16">
        <f>SUM('Weekly Data'!I644:I647)/4</f>
        <v>8247.25</v>
      </c>
      <c r="H647" s="16"/>
      <c r="I647" s="39"/>
      <c r="J647" s="16" t="s">
        <v>34</v>
      </c>
      <c r="K647" s="16">
        <f>AVERAGE('Weekly Data'!E595,'Weekly Data'!E543,'Weekly Data'!E491,'Weekly Data'!E439)</f>
        <v>1632.5</v>
      </c>
      <c r="L647" s="16">
        <f>AVERAGE('Weekly Data'!F595,'Weekly Data'!F543,'Weekly Data'!F491,'Weekly Data'!F439)</f>
        <v>1319</v>
      </c>
      <c r="M647" s="16">
        <f>AVERAGE('Weekly Data'!G595,'Weekly Data'!G543,'Weekly Data'!G491,'Weekly Data'!G439)</f>
        <v>2776.75</v>
      </c>
      <c r="N647" s="16">
        <f>AVERAGE('Weekly Data'!H595,'Weekly Data'!H543,'Weekly Data'!H491,'Weekly Data'!H439)</f>
        <v>117.75</v>
      </c>
      <c r="O647" s="16" t="s">
        <v>34</v>
      </c>
      <c r="P647" s="16"/>
      <c r="Q647" s="39"/>
      <c r="R647" s="13">
        <v>38819</v>
      </c>
      <c r="S647" s="16" t="s">
        <v>34</v>
      </c>
      <c r="T647" s="106">
        <f t="shared" si="13"/>
        <v>1846.375</v>
      </c>
      <c r="U647" s="109">
        <f t="shared" si="14"/>
        <v>1202.125</v>
      </c>
      <c r="V647" s="109">
        <f t="shared" si="15"/>
        <v>3375.0625</v>
      </c>
      <c r="W647" s="110">
        <f t="shared" si="16"/>
        <v>216.25</v>
      </c>
      <c r="X647" s="16" t="s">
        <v>34</v>
      </c>
      <c r="Y647" s="39"/>
      <c r="Z647" s="39"/>
      <c r="AA647" s="39"/>
      <c r="AB647" s="39"/>
      <c r="AC647" s="39"/>
      <c r="AD647" s="39"/>
      <c r="AE647" s="39"/>
      <c r="AF647" s="39"/>
      <c r="AG647" s="39"/>
      <c r="AH647" s="65"/>
    </row>
    <row r="648" spans="1:34" x14ac:dyDescent="0.25">
      <c r="A648" s="105">
        <f t="shared" si="12"/>
        <v>38826</v>
      </c>
      <c r="B648" s="59">
        <f>SUM('Weekly Data'!D645:D648)/4</f>
        <v>1133.25</v>
      </c>
      <c r="C648" s="16">
        <f>SUM('Weekly Data'!E645:E648)/4</f>
        <v>2128.75</v>
      </c>
      <c r="D648" s="16">
        <f>SUM('Weekly Data'!F645:F648)/4</f>
        <v>1044</v>
      </c>
      <c r="E648" s="16">
        <f>SUM('Weekly Data'!G645:G648)/4</f>
        <v>3969</v>
      </c>
      <c r="F648" s="16">
        <f>SUM('Weekly Data'!H645:H648)/4</f>
        <v>406.25</v>
      </c>
      <c r="G648" s="16">
        <f>SUM('Weekly Data'!I645:I648)/4</f>
        <v>7637.25</v>
      </c>
      <c r="H648" s="16"/>
      <c r="I648" s="39"/>
      <c r="J648" s="16" t="s">
        <v>34</v>
      </c>
      <c r="K648" s="16">
        <f>AVERAGE('Weekly Data'!E596,'Weekly Data'!E544,'Weekly Data'!E492,'Weekly Data'!E440)</f>
        <v>1461.75</v>
      </c>
      <c r="L648" s="16">
        <f>AVERAGE('Weekly Data'!F596,'Weekly Data'!F544,'Weekly Data'!F492,'Weekly Data'!F440)</f>
        <v>1110</v>
      </c>
      <c r="M648" s="16">
        <f>AVERAGE('Weekly Data'!G596,'Weekly Data'!G544,'Weekly Data'!G492,'Weekly Data'!G440)</f>
        <v>3068.75</v>
      </c>
      <c r="N648" s="16">
        <f>AVERAGE('Weekly Data'!H596,'Weekly Data'!H544,'Weekly Data'!H492,'Weekly Data'!H440)</f>
        <v>96.25</v>
      </c>
      <c r="O648" s="16" t="s">
        <v>34</v>
      </c>
      <c r="P648" s="16"/>
      <c r="Q648" s="39"/>
      <c r="R648" s="13">
        <v>38826</v>
      </c>
      <c r="S648" s="16" t="s">
        <v>34</v>
      </c>
      <c r="T648" s="106">
        <f t="shared" si="13"/>
        <v>1723.1875</v>
      </c>
      <c r="U648" s="109">
        <f t="shared" si="14"/>
        <v>1186.4375</v>
      </c>
      <c r="V648" s="109">
        <f t="shared" si="15"/>
        <v>3181.25</v>
      </c>
      <c r="W648" s="110">
        <f t="shared" si="16"/>
        <v>179.8125</v>
      </c>
      <c r="X648" s="16" t="s">
        <v>34</v>
      </c>
      <c r="Y648" s="39"/>
      <c r="Z648" s="39"/>
      <c r="AA648" s="39"/>
      <c r="AB648" s="39"/>
      <c r="AC648" s="39"/>
      <c r="AD648" s="39"/>
      <c r="AE648" s="39"/>
      <c r="AF648" s="39"/>
      <c r="AG648" s="39"/>
      <c r="AH648" s="65"/>
    </row>
    <row r="649" spans="1:34" x14ac:dyDescent="0.25">
      <c r="A649" s="105">
        <f t="shared" si="12"/>
        <v>38833</v>
      </c>
      <c r="B649" s="59">
        <f>SUM('Weekly Data'!D646:D649)/4</f>
        <v>1130.5</v>
      </c>
      <c r="C649" s="16">
        <f>SUM('Weekly Data'!E646:E649)/4</f>
        <v>2179.5</v>
      </c>
      <c r="D649" s="16">
        <f>SUM('Weekly Data'!F646:F649)/4</f>
        <v>1076.25</v>
      </c>
      <c r="E649" s="16">
        <f>SUM('Weekly Data'!G646:G649)/4</f>
        <v>3963.5</v>
      </c>
      <c r="F649" s="16">
        <f>SUM('Weekly Data'!H646:H649)/4</f>
        <v>365.25</v>
      </c>
      <c r="G649" s="16">
        <f>SUM('Weekly Data'!I646:I649)/4</f>
        <v>7638.75</v>
      </c>
      <c r="H649" s="16"/>
      <c r="I649" s="39"/>
      <c r="J649" s="16" t="s">
        <v>34</v>
      </c>
      <c r="K649" s="16">
        <f>AVERAGE('Weekly Data'!E597,'Weekly Data'!E545,'Weekly Data'!E493,'Weekly Data'!E441)</f>
        <v>1215.25</v>
      </c>
      <c r="L649" s="16">
        <f>AVERAGE('Weekly Data'!F597,'Weekly Data'!F545,'Weekly Data'!F493,'Weekly Data'!F441)</f>
        <v>1293.75</v>
      </c>
      <c r="M649" s="16">
        <f>AVERAGE('Weekly Data'!G597,'Weekly Data'!G545,'Weekly Data'!G493,'Weekly Data'!G441)</f>
        <v>3315.25</v>
      </c>
      <c r="N649" s="16">
        <f>AVERAGE('Weekly Data'!H597,'Weekly Data'!H545,'Weekly Data'!H493,'Weekly Data'!H441)</f>
        <v>241.25</v>
      </c>
      <c r="O649" s="16" t="s">
        <v>34</v>
      </c>
      <c r="P649" s="16"/>
      <c r="Q649" s="39"/>
      <c r="R649" s="13">
        <v>38833</v>
      </c>
      <c r="S649" s="16" t="s">
        <v>34</v>
      </c>
      <c r="T649" s="106">
        <f t="shared" si="13"/>
        <v>1568.375</v>
      </c>
      <c r="U649" s="109">
        <f t="shared" si="14"/>
        <v>1249.875</v>
      </c>
      <c r="V649" s="109">
        <f t="shared" si="15"/>
        <v>3152.5</v>
      </c>
      <c r="W649" s="110">
        <f t="shared" si="16"/>
        <v>158.6875</v>
      </c>
      <c r="X649" s="16" t="s">
        <v>34</v>
      </c>
      <c r="Y649" s="39"/>
      <c r="Z649" s="39"/>
      <c r="AA649" s="39"/>
      <c r="AB649" s="39"/>
      <c r="AC649" s="39"/>
      <c r="AD649" s="39"/>
      <c r="AE649" s="39"/>
      <c r="AF649" s="39"/>
      <c r="AG649" s="39"/>
      <c r="AH649" s="65"/>
    </row>
    <row r="650" spans="1:34" x14ac:dyDescent="0.25">
      <c r="A650" s="105">
        <f t="shared" si="12"/>
        <v>38840</v>
      </c>
      <c r="B650" s="59">
        <f>SUM('Weekly Data'!D647:D650)/4</f>
        <v>927.75</v>
      </c>
      <c r="C650" s="16">
        <f>SUM('Weekly Data'!E647:E650)/4</f>
        <v>2211.5</v>
      </c>
      <c r="D650" s="16">
        <f>SUM('Weekly Data'!F647:F650)/4</f>
        <v>1162.75</v>
      </c>
      <c r="E650" s="16">
        <f>SUM('Weekly Data'!G647:G650)/4</f>
        <v>3809.25</v>
      </c>
      <c r="F650" s="16">
        <f>SUM('Weekly Data'!H647:H650)/4</f>
        <v>344.5</v>
      </c>
      <c r="G650" s="16">
        <f>SUM('Weekly Data'!I647:I650)/4</f>
        <v>7293</v>
      </c>
      <c r="H650" s="16"/>
      <c r="I650" s="39"/>
      <c r="J650" s="16" t="s">
        <v>34</v>
      </c>
      <c r="K650" s="16">
        <f>AVERAGE('Weekly Data'!E598,'Weekly Data'!E546,'Weekly Data'!E494,'Weekly Data'!E442)</f>
        <v>1545.5</v>
      </c>
      <c r="L650" s="16">
        <f>AVERAGE('Weekly Data'!F598,'Weekly Data'!F546,'Weekly Data'!F494,'Weekly Data'!F442)</f>
        <v>1233.5</v>
      </c>
      <c r="M650" s="16">
        <f>AVERAGE('Weekly Data'!G598,'Weekly Data'!G546,'Weekly Data'!G494,'Weekly Data'!G442)</f>
        <v>3250.25</v>
      </c>
      <c r="N650" s="16">
        <f>AVERAGE('Weekly Data'!H598,'Weekly Data'!H546,'Weekly Data'!H494,'Weekly Data'!H442)</f>
        <v>160.75</v>
      </c>
      <c r="O650" s="16" t="s">
        <v>34</v>
      </c>
      <c r="P650" s="16"/>
      <c r="Q650" s="39"/>
      <c r="R650" s="13">
        <v>38840</v>
      </c>
      <c r="S650" s="16" t="s">
        <v>34</v>
      </c>
      <c r="T650" s="106">
        <f t="shared" si="13"/>
        <v>1510.625</v>
      </c>
      <c r="U650" s="109">
        <f t="shared" si="14"/>
        <v>1274.0625</v>
      </c>
      <c r="V650" s="109">
        <f t="shared" si="15"/>
        <v>3077.375</v>
      </c>
      <c r="W650" s="110">
        <f t="shared" si="16"/>
        <v>151.625</v>
      </c>
      <c r="X650" s="16" t="s">
        <v>34</v>
      </c>
      <c r="Y650" s="39"/>
      <c r="Z650" s="39"/>
      <c r="AA650" s="39"/>
      <c r="AB650" s="39"/>
      <c r="AC650" s="39"/>
      <c r="AD650" s="39"/>
      <c r="AE650" s="39"/>
      <c r="AF650" s="39"/>
      <c r="AG650" s="39"/>
      <c r="AH650" s="65"/>
    </row>
    <row r="651" spans="1:34" x14ac:dyDescent="0.25">
      <c r="A651" s="105">
        <f t="shared" si="12"/>
        <v>38847</v>
      </c>
      <c r="B651" s="59">
        <f>SUM('Weekly Data'!D648:D651)/4</f>
        <v>828</v>
      </c>
      <c r="C651" s="90">
        <f>SUM('Weekly Data'!E648:E651)/4</f>
        <v>2307.25</v>
      </c>
      <c r="D651" s="90">
        <f>SUM('Weekly Data'!F648:F651)/4</f>
        <v>1097.25</v>
      </c>
      <c r="E651" s="90">
        <f>SUM('Weekly Data'!G648:G651)/4</f>
        <v>3720.5</v>
      </c>
      <c r="F651" s="90">
        <f>SUM('Weekly Data'!H648:H651)/4</f>
        <v>396</v>
      </c>
      <c r="G651" s="90">
        <f>SUM('Weekly Data'!I648:I651)/4</f>
        <v>7251.75</v>
      </c>
      <c r="H651" s="90"/>
      <c r="I651" s="39"/>
      <c r="J651" s="16" t="s">
        <v>34</v>
      </c>
      <c r="K651" s="16">
        <f>AVERAGE('Weekly Data'!E599,'Weekly Data'!E547,'Weekly Data'!E495,'Weekly Data'!E443)</f>
        <v>1351</v>
      </c>
      <c r="L651" s="16">
        <f>AVERAGE('Weekly Data'!F599,'Weekly Data'!F547,'Weekly Data'!F495,'Weekly Data'!F443)</f>
        <v>1077.75</v>
      </c>
      <c r="M651" s="16">
        <f>AVERAGE('Weekly Data'!G599,'Weekly Data'!G547,'Weekly Data'!G495,'Weekly Data'!G443)</f>
        <v>3124</v>
      </c>
      <c r="N651" s="16">
        <f>AVERAGE('Weekly Data'!H599,'Weekly Data'!H547,'Weekly Data'!H495,'Weekly Data'!H443)</f>
        <v>109.25</v>
      </c>
      <c r="O651" s="16" t="s">
        <v>34</v>
      </c>
      <c r="P651" s="16"/>
      <c r="Q651" s="39"/>
      <c r="R651" s="13">
        <v>38847</v>
      </c>
      <c r="S651" s="16" t="s">
        <v>34</v>
      </c>
      <c r="T651" s="106">
        <f t="shared" si="13"/>
        <v>1384.875</v>
      </c>
      <c r="U651" s="109">
        <f t="shared" si="14"/>
        <v>1193.0625</v>
      </c>
      <c r="V651" s="109">
        <f t="shared" si="15"/>
        <v>3145.5</v>
      </c>
      <c r="W651" s="110">
        <f t="shared" si="16"/>
        <v>133.25</v>
      </c>
      <c r="X651" s="16" t="s">
        <v>34</v>
      </c>
      <c r="Y651" s="39"/>
      <c r="Z651" s="39"/>
      <c r="AA651" s="39"/>
      <c r="AB651" s="39"/>
      <c r="AC651" s="39"/>
      <c r="AD651" s="39"/>
      <c r="AE651" s="39"/>
      <c r="AF651" s="39"/>
      <c r="AG651" s="39"/>
      <c r="AH651" s="65"/>
    </row>
    <row r="652" spans="1:34" x14ac:dyDescent="0.25">
      <c r="A652" s="105">
        <f t="shared" si="12"/>
        <v>38854</v>
      </c>
      <c r="B652" s="59">
        <f>SUM('Weekly Data'!D649:D652)/4</f>
        <v>884.75</v>
      </c>
      <c r="C652" s="90">
        <f>SUM('Weekly Data'!E649:E652)/4</f>
        <v>2216.75</v>
      </c>
      <c r="D652" s="90">
        <f>SUM('Weekly Data'!F649:F652)/4</f>
        <v>1152.75</v>
      </c>
      <c r="E652" s="90">
        <f>SUM('Weekly Data'!G649:G652)/4</f>
        <v>3684.25</v>
      </c>
      <c r="F652" s="90">
        <f>SUM('Weekly Data'!H649:H652)/4</f>
        <v>436</v>
      </c>
      <c r="G652" s="90">
        <f>SUM('Weekly Data'!I649:I652)/4</f>
        <v>7221.75</v>
      </c>
      <c r="H652" s="90"/>
      <c r="I652" s="39"/>
      <c r="J652" s="16" t="s">
        <v>34</v>
      </c>
      <c r="K652" s="16">
        <f>AVERAGE('Weekly Data'!E600,'Weekly Data'!E548,'Weekly Data'!E496,'Weekly Data'!E444)</f>
        <v>1385.75</v>
      </c>
      <c r="L652" s="16">
        <f>AVERAGE('Weekly Data'!F600,'Weekly Data'!F548,'Weekly Data'!F496,'Weekly Data'!F444)</f>
        <v>1122.5</v>
      </c>
      <c r="M652" s="16">
        <f>AVERAGE('Weekly Data'!G600,'Weekly Data'!G548,'Weekly Data'!G496,'Weekly Data'!G444)</f>
        <v>2934.25</v>
      </c>
      <c r="N652" s="16">
        <f>AVERAGE('Weekly Data'!H600,'Weekly Data'!H548,'Weekly Data'!H496,'Weekly Data'!H444)</f>
        <v>122</v>
      </c>
      <c r="O652" s="16" t="s">
        <v>34</v>
      </c>
      <c r="P652" s="16"/>
      <c r="Q652" s="39"/>
      <c r="R652" s="13">
        <v>38854</v>
      </c>
      <c r="S652" s="16" t="s">
        <v>34</v>
      </c>
      <c r="T652" s="106">
        <f t="shared" si="13"/>
        <v>1410.375</v>
      </c>
      <c r="U652" s="109">
        <f t="shared" si="14"/>
        <v>1175.75</v>
      </c>
      <c r="V652" s="109">
        <f t="shared" si="15"/>
        <v>3163.0625</v>
      </c>
      <c r="W652" s="110">
        <f t="shared" si="16"/>
        <v>151.625</v>
      </c>
      <c r="X652" s="16" t="s">
        <v>34</v>
      </c>
      <c r="Y652" s="39"/>
      <c r="Z652" s="39"/>
      <c r="AA652" s="39"/>
      <c r="AB652" s="39"/>
      <c r="AC652" s="39"/>
      <c r="AD652" s="39"/>
      <c r="AE652" s="39"/>
      <c r="AF652" s="39"/>
      <c r="AG652" s="39"/>
      <c r="AH652" s="65"/>
    </row>
    <row r="653" spans="1:34" x14ac:dyDescent="0.25">
      <c r="A653" s="105">
        <f t="shared" ref="A653:A716" si="17">A652+7</f>
        <v>38861</v>
      </c>
      <c r="B653" s="59">
        <f>SUM('Weekly Data'!D650:D653)/4</f>
        <v>798.25</v>
      </c>
      <c r="C653" s="90">
        <f>SUM('Weekly Data'!E650:E653)/4</f>
        <v>2054.5</v>
      </c>
      <c r="D653" s="90">
        <f>SUM('Weekly Data'!F650:F653)/4</f>
        <v>1125.5</v>
      </c>
      <c r="E653" s="90">
        <f>SUM('Weekly Data'!G650:G653)/4</f>
        <v>3795.25</v>
      </c>
      <c r="F653" s="90">
        <f>SUM('Weekly Data'!H650:H653)/4</f>
        <v>438</v>
      </c>
      <c r="G653" s="90">
        <f>SUM('Weekly Data'!I650:I653)/4</f>
        <v>7086</v>
      </c>
      <c r="H653" s="90"/>
      <c r="I653" s="39"/>
      <c r="J653" s="16" t="s">
        <v>34</v>
      </c>
      <c r="K653" s="16">
        <f>AVERAGE('Weekly Data'!E601,'Weekly Data'!E549,'Weekly Data'!E497,'Weekly Data'!E445)</f>
        <v>1379</v>
      </c>
      <c r="L653" s="16">
        <f>AVERAGE('Weekly Data'!F601,'Weekly Data'!F549,'Weekly Data'!F497,'Weekly Data'!F445)</f>
        <v>730.5</v>
      </c>
      <c r="M653" s="16">
        <f>AVERAGE('Weekly Data'!G601,'Weekly Data'!G549,'Weekly Data'!G497,'Weekly Data'!G445)</f>
        <v>3093</v>
      </c>
      <c r="N653" s="16">
        <f>AVERAGE('Weekly Data'!H601,'Weekly Data'!H549,'Weekly Data'!H497,'Weekly Data'!H445)</f>
        <v>187</v>
      </c>
      <c r="O653" s="16" t="s">
        <v>34</v>
      </c>
      <c r="P653" s="16"/>
      <c r="Q653" s="39"/>
      <c r="R653" s="13">
        <v>38861</v>
      </c>
      <c r="S653" s="16" t="s">
        <v>34</v>
      </c>
      <c r="T653" s="106">
        <f t="shared" si="13"/>
        <v>1421.125</v>
      </c>
      <c r="U653" s="109">
        <f t="shared" si="14"/>
        <v>1043</v>
      </c>
      <c r="V653" s="109">
        <f t="shared" si="15"/>
        <v>3071.25</v>
      </c>
      <c r="W653" s="110">
        <f t="shared" si="16"/>
        <v>154.1875</v>
      </c>
      <c r="X653" s="16" t="s">
        <v>34</v>
      </c>
      <c r="Y653" s="39"/>
      <c r="Z653" s="39"/>
      <c r="AA653" s="39"/>
      <c r="AB653" s="39"/>
      <c r="AC653" s="39"/>
      <c r="AD653" s="39"/>
      <c r="AE653" s="39"/>
      <c r="AF653" s="39"/>
      <c r="AG653" s="39"/>
      <c r="AH653" s="65"/>
    </row>
    <row r="654" spans="1:34" x14ac:dyDescent="0.25">
      <c r="A654" s="105">
        <f t="shared" si="17"/>
        <v>38868</v>
      </c>
      <c r="B654" s="59">
        <f>SUM('Weekly Data'!D651:D654)/4</f>
        <v>871.75</v>
      </c>
      <c r="C654" s="90">
        <f>SUM('Weekly Data'!E651:E654)/4</f>
        <v>1990.5</v>
      </c>
      <c r="D654" s="90">
        <f>SUM('Weekly Data'!F651:F654)/4</f>
        <v>934</v>
      </c>
      <c r="E654" s="90">
        <f>SUM('Weekly Data'!G651:G654)/4</f>
        <v>3997.75</v>
      </c>
      <c r="F654" s="90">
        <f>SUM('Weekly Data'!H651:H654)/4</f>
        <v>396.5</v>
      </c>
      <c r="G654" s="90">
        <f>SUM('Weekly Data'!I651:I654)/4</f>
        <v>7256.5</v>
      </c>
      <c r="H654" s="90"/>
      <c r="I654" s="39"/>
      <c r="J654" s="16" t="s">
        <v>34</v>
      </c>
      <c r="K654" s="16">
        <f>AVERAGE('Weekly Data'!E602,'Weekly Data'!E550,'Weekly Data'!E498,'Weekly Data'!E446)</f>
        <v>1441.75</v>
      </c>
      <c r="L654" s="16">
        <f>AVERAGE('Weekly Data'!F602,'Weekly Data'!F550,'Weekly Data'!F498,'Weekly Data'!F446)</f>
        <v>1010.25</v>
      </c>
      <c r="M654" s="16">
        <f>AVERAGE('Weekly Data'!G602,'Weekly Data'!G550,'Weekly Data'!G498,'Weekly Data'!G446)</f>
        <v>3265.25</v>
      </c>
      <c r="N654" s="16">
        <f>AVERAGE('Weekly Data'!H602,'Weekly Data'!H550,'Weekly Data'!H498,'Weekly Data'!H446)</f>
        <v>176.75</v>
      </c>
      <c r="O654" s="16" t="s">
        <v>34</v>
      </c>
      <c r="P654" s="16"/>
      <c r="Q654" s="39"/>
      <c r="R654" s="13">
        <v>38868</v>
      </c>
      <c r="S654" s="16" t="s">
        <v>34</v>
      </c>
      <c r="T654" s="106">
        <f t="shared" si="13"/>
        <v>1399.625</v>
      </c>
      <c r="U654" s="109">
        <f t="shared" si="14"/>
        <v>926.6875</v>
      </c>
      <c r="V654" s="109">
        <f t="shared" si="15"/>
        <v>3092.375</v>
      </c>
      <c r="W654" s="110">
        <f t="shared" si="16"/>
        <v>135.3125</v>
      </c>
      <c r="X654" s="16" t="s">
        <v>34</v>
      </c>
      <c r="Y654" s="39"/>
      <c r="Z654" s="39"/>
      <c r="AA654" s="39"/>
      <c r="AB654" s="39"/>
      <c r="AC654" s="39"/>
      <c r="AD654" s="39"/>
      <c r="AE654" s="39"/>
      <c r="AF654" s="39"/>
      <c r="AG654" s="39"/>
      <c r="AH654" s="65"/>
    </row>
    <row r="655" spans="1:34" x14ac:dyDescent="0.25">
      <c r="A655" s="105">
        <f t="shared" si="17"/>
        <v>38875</v>
      </c>
      <c r="B655" s="59">
        <f>SUM('Weekly Data'!D652:D655)/4</f>
        <v>839</v>
      </c>
      <c r="C655" s="90">
        <f>SUM('Weekly Data'!E652:E655)/4</f>
        <v>1801.25</v>
      </c>
      <c r="D655" s="90">
        <f>SUM('Weekly Data'!F652:F655)/4</f>
        <v>943</v>
      </c>
      <c r="E655" s="90">
        <f>SUM('Weekly Data'!G652:G655)/4</f>
        <v>4181.75</v>
      </c>
      <c r="F655" s="90">
        <f>SUM('Weekly Data'!H652:H655)/4</f>
        <v>331.5</v>
      </c>
      <c r="G655" s="90">
        <f>SUM('Weekly Data'!I652:I655)/4</f>
        <v>7153.5</v>
      </c>
      <c r="H655" s="90"/>
      <c r="I655" s="39"/>
      <c r="J655" s="16" t="s">
        <v>34</v>
      </c>
      <c r="K655" s="16">
        <f>AVERAGE('Weekly Data'!E603,'Weekly Data'!E551,'Weekly Data'!E499,'Weekly Data'!E447)</f>
        <v>1907</v>
      </c>
      <c r="L655" s="16">
        <f>AVERAGE('Weekly Data'!F603,'Weekly Data'!F551,'Weekly Data'!F499,'Weekly Data'!F447)</f>
        <v>1111.25</v>
      </c>
      <c r="M655" s="16">
        <f>AVERAGE('Weekly Data'!G603,'Weekly Data'!G551,'Weekly Data'!G499,'Weekly Data'!G447)</f>
        <v>2549</v>
      </c>
      <c r="N655" s="16">
        <f>AVERAGE('Weekly Data'!H603,'Weekly Data'!H551,'Weekly Data'!H499,'Weekly Data'!H447)</f>
        <v>111.5</v>
      </c>
      <c r="O655" s="16" t="s">
        <v>34</v>
      </c>
      <c r="P655" s="16"/>
      <c r="Q655" s="39"/>
      <c r="R655" s="13">
        <v>38875</v>
      </c>
      <c r="S655" s="16" t="s">
        <v>34</v>
      </c>
      <c r="T655" s="106">
        <f t="shared" si="13"/>
        <v>1527.25</v>
      </c>
      <c r="U655" s="109">
        <f t="shared" si="14"/>
        <v>965.1875</v>
      </c>
      <c r="V655" s="109">
        <f t="shared" si="15"/>
        <v>3017.375</v>
      </c>
      <c r="W655" s="110">
        <f t="shared" si="16"/>
        <v>149.4375</v>
      </c>
      <c r="X655" s="16" t="s">
        <v>34</v>
      </c>
      <c r="Y655" s="39"/>
      <c r="Z655" s="39"/>
      <c r="AA655" s="39"/>
      <c r="AB655" s="39"/>
      <c r="AC655" s="39"/>
      <c r="AD655" s="39"/>
      <c r="AE655" s="39"/>
      <c r="AF655" s="39"/>
      <c r="AG655" s="39"/>
      <c r="AH655" s="65"/>
    </row>
    <row r="656" spans="1:34" x14ac:dyDescent="0.25">
      <c r="A656" s="105">
        <f t="shared" si="17"/>
        <v>38882</v>
      </c>
      <c r="B656" s="59">
        <f>SUM('Weekly Data'!D653:D656)/4</f>
        <v>894.75</v>
      </c>
      <c r="C656" s="90">
        <f>SUM('Weekly Data'!E653:E656)/4</f>
        <v>2034.5</v>
      </c>
      <c r="D656" s="90">
        <f>SUM('Weekly Data'!F653:F656)/4</f>
        <v>876.5</v>
      </c>
      <c r="E656" s="90">
        <f>SUM('Weekly Data'!G653:G656)/4</f>
        <v>4041.25</v>
      </c>
      <c r="F656" s="90">
        <f>SUM('Weekly Data'!H653:H656)/4</f>
        <v>314.5</v>
      </c>
      <c r="G656" s="90">
        <f>SUM('Weekly Data'!I653:I656)/4</f>
        <v>7285</v>
      </c>
      <c r="H656" s="90"/>
      <c r="I656" s="39"/>
      <c r="J656" s="16" t="s">
        <v>34</v>
      </c>
      <c r="K656" s="16">
        <f>AVERAGE('Weekly Data'!E604,'Weekly Data'!E552,'Weekly Data'!E500,'Weekly Data'!E448)</f>
        <v>1803.5</v>
      </c>
      <c r="L656" s="16">
        <f>AVERAGE('Weekly Data'!F604,'Weekly Data'!F552,'Weekly Data'!F500,'Weekly Data'!F448)</f>
        <v>744</v>
      </c>
      <c r="M656" s="16">
        <f>AVERAGE('Weekly Data'!G604,'Weekly Data'!G552,'Weekly Data'!G500,'Weekly Data'!G448)</f>
        <v>2574.75</v>
      </c>
      <c r="N656" s="16">
        <f>AVERAGE('Weekly Data'!H604,'Weekly Data'!H552,'Weekly Data'!H500,'Weekly Data'!H448)</f>
        <v>90.25</v>
      </c>
      <c r="O656" s="16" t="s">
        <v>34</v>
      </c>
      <c r="P656" s="16"/>
      <c r="Q656" s="39"/>
      <c r="R656" s="13">
        <v>38882</v>
      </c>
      <c r="S656" s="16" t="s">
        <v>34</v>
      </c>
      <c r="T656" s="106">
        <f t="shared" si="13"/>
        <v>1595.375</v>
      </c>
      <c r="U656" s="109">
        <f t="shared" si="14"/>
        <v>901.1875</v>
      </c>
      <c r="V656" s="109">
        <f t="shared" si="15"/>
        <v>2913.875</v>
      </c>
      <c r="W656" s="110">
        <f t="shared" si="16"/>
        <v>146.5</v>
      </c>
      <c r="X656" s="16" t="s">
        <v>34</v>
      </c>
      <c r="Y656" s="39"/>
      <c r="Z656" s="39"/>
      <c r="AA656" s="39"/>
      <c r="AB656" s="39"/>
      <c r="AC656" s="39"/>
      <c r="AD656" s="39"/>
      <c r="AE656" s="39"/>
      <c r="AF656" s="39"/>
      <c r="AG656" s="39"/>
      <c r="AH656" s="65"/>
    </row>
    <row r="657" spans="1:34" x14ac:dyDescent="0.25">
      <c r="A657" s="105">
        <f t="shared" si="17"/>
        <v>38889</v>
      </c>
      <c r="B657" s="59">
        <f>SUM('Weekly Data'!D654:D657)/4</f>
        <v>945</v>
      </c>
      <c r="C657" s="90">
        <f>SUM('Weekly Data'!E654:E657)/4</f>
        <v>1815.5</v>
      </c>
      <c r="D657" s="90">
        <f>SUM('Weekly Data'!F654:F657)/4</f>
        <v>790.25</v>
      </c>
      <c r="E657" s="90">
        <f>SUM('Weekly Data'!G654:G657)/4</f>
        <v>4007.25</v>
      </c>
      <c r="F657" s="90">
        <f>SUM('Weekly Data'!H654:H657)/4</f>
        <v>287.25</v>
      </c>
      <c r="G657" s="90">
        <f>SUM('Weekly Data'!I654:I657)/4</f>
        <v>7055</v>
      </c>
      <c r="H657" s="90"/>
      <c r="I657" s="39"/>
      <c r="J657" s="16" t="s">
        <v>34</v>
      </c>
      <c r="K657" s="16">
        <f>AVERAGE('Weekly Data'!E605,'Weekly Data'!E553,'Weekly Data'!E501,'Weekly Data'!E449)</f>
        <v>1698</v>
      </c>
      <c r="L657" s="16">
        <f>AVERAGE('Weekly Data'!F605,'Weekly Data'!F553,'Weekly Data'!F501,'Weekly Data'!F449)</f>
        <v>703.75</v>
      </c>
      <c r="M657" s="16">
        <f>AVERAGE('Weekly Data'!G605,'Weekly Data'!G553,'Weekly Data'!G501,'Weekly Data'!G449)</f>
        <v>2762.75</v>
      </c>
      <c r="N657" s="16">
        <f>AVERAGE('Weekly Data'!H605,'Weekly Data'!H553,'Weekly Data'!H501,'Weekly Data'!H449)</f>
        <v>183</v>
      </c>
      <c r="O657" s="16" t="s">
        <v>34</v>
      </c>
      <c r="P657" s="16"/>
      <c r="Q657" s="39"/>
      <c r="R657" s="13">
        <v>38889</v>
      </c>
      <c r="S657" s="16" t="s">
        <v>34</v>
      </c>
      <c r="T657" s="106">
        <f t="shared" si="13"/>
        <v>1692.8125</v>
      </c>
      <c r="U657" s="109">
        <f t="shared" si="14"/>
        <v>867.625</v>
      </c>
      <c r="V657" s="109">
        <f t="shared" si="15"/>
        <v>2769.5625</v>
      </c>
      <c r="W657" s="110">
        <f t="shared" si="16"/>
        <v>146.8125</v>
      </c>
      <c r="X657" s="16" t="s">
        <v>34</v>
      </c>
      <c r="Y657" s="39"/>
      <c r="Z657" s="39"/>
      <c r="AA657" s="39"/>
      <c r="AB657" s="39"/>
      <c r="AC657" s="39"/>
      <c r="AD657" s="39"/>
      <c r="AE657" s="39"/>
      <c r="AF657" s="39"/>
      <c r="AG657" s="39"/>
      <c r="AH657" s="65"/>
    </row>
    <row r="658" spans="1:34" x14ac:dyDescent="0.25">
      <c r="A658" s="105">
        <f t="shared" si="17"/>
        <v>38896</v>
      </c>
      <c r="B658" s="59">
        <f>SUM('Weekly Data'!D655:D658)/4</f>
        <v>971.25</v>
      </c>
      <c r="C658" s="90">
        <f>SUM('Weekly Data'!E655:E658)/4</f>
        <v>1749.5</v>
      </c>
      <c r="D658" s="90">
        <f>SUM('Weekly Data'!F655:F658)/4</f>
        <v>676.75</v>
      </c>
      <c r="E658" s="90">
        <f>SUM('Weekly Data'!G655:G658)/4</f>
        <v>3981.75</v>
      </c>
      <c r="F658" s="90">
        <f>SUM('Weekly Data'!H655:H658)/4</f>
        <v>242.25</v>
      </c>
      <c r="G658" s="90">
        <f>SUM('Weekly Data'!I655:I658)/4</f>
        <v>6944.75</v>
      </c>
      <c r="H658" s="90"/>
      <c r="I658" s="39"/>
      <c r="J658" s="16" t="s">
        <v>34</v>
      </c>
      <c r="K658" s="16">
        <f>AVERAGE('Weekly Data'!E606,'Weekly Data'!E554,'Weekly Data'!E502,'Weekly Data'!E450)</f>
        <v>2042.25</v>
      </c>
      <c r="L658" s="16">
        <f>AVERAGE('Weekly Data'!F606,'Weekly Data'!F554,'Weekly Data'!F502,'Weekly Data'!F450)</f>
        <v>758</v>
      </c>
      <c r="M658" s="16">
        <f>AVERAGE('Weekly Data'!G606,'Weekly Data'!G554,'Weekly Data'!G502,'Weekly Data'!G450)</f>
        <v>3008.25</v>
      </c>
      <c r="N658" s="16">
        <f>AVERAGE('Weekly Data'!H606,'Weekly Data'!H554,'Weekly Data'!H502,'Weekly Data'!H450)</f>
        <v>331.75</v>
      </c>
      <c r="O658" s="16" t="s">
        <v>34</v>
      </c>
      <c r="P658" s="16"/>
      <c r="Q658" s="39"/>
      <c r="R658" s="13">
        <v>38896</v>
      </c>
      <c r="S658" s="16" t="s">
        <v>34</v>
      </c>
      <c r="T658" s="106">
        <f t="shared" si="13"/>
        <v>1841.9375</v>
      </c>
      <c r="U658" s="109">
        <f t="shared" si="14"/>
        <v>893.125</v>
      </c>
      <c r="V658" s="109">
        <f t="shared" si="15"/>
        <v>2699.5</v>
      </c>
      <c r="W658" s="110">
        <f t="shared" si="16"/>
        <v>169.25</v>
      </c>
      <c r="X658" s="16" t="s">
        <v>34</v>
      </c>
      <c r="Y658" s="39"/>
      <c r="Z658" s="39"/>
      <c r="AA658" s="39"/>
      <c r="AB658" s="39"/>
      <c r="AC658" s="39"/>
      <c r="AD658" s="39"/>
      <c r="AE658" s="39"/>
      <c r="AF658" s="39"/>
      <c r="AG658" s="39"/>
      <c r="AH658" s="65"/>
    </row>
    <row r="659" spans="1:34" x14ac:dyDescent="0.25">
      <c r="A659" s="105">
        <f t="shared" si="17"/>
        <v>38903</v>
      </c>
      <c r="B659" s="59">
        <f>SUM('Weekly Data'!D656:D659)/4</f>
        <v>1100</v>
      </c>
      <c r="C659" s="90">
        <f>SUM('Weekly Data'!E656:E659)/4</f>
        <v>1777</v>
      </c>
      <c r="D659" s="90">
        <f>SUM('Weekly Data'!F656:F659)/4</f>
        <v>583</v>
      </c>
      <c r="E659" s="90">
        <f>SUM('Weekly Data'!G656:G659)/4</f>
        <v>3699.25</v>
      </c>
      <c r="F659" s="90">
        <f>SUM('Weekly Data'!H656:H659)/4</f>
        <v>294.75</v>
      </c>
      <c r="G659" s="90">
        <f>SUM('Weekly Data'!I656:I659)/4</f>
        <v>6871</v>
      </c>
      <c r="H659" s="90"/>
      <c r="I659" s="39"/>
      <c r="J659" s="16" t="s">
        <v>34</v>
      </c>
      <c r="K659" s="16">
        <f>AVERAGE('Weekly Data'!E607,'Weekly Data'!E555,'Weekly Data'!E503,'Weekly Data'!E451)</f>
        <v>1688.75</v>
      </c>
      <c r="L659" s="16">
        <f>AVERAGE('Weekly Data'!F607,'Weekly Data'!F555,'Weekly Data'!F503,'Weekly Data'!F451)</f>
        <v>756.75</v>
      </c>
      <c r="M659" s="16">
        <f>AVERAGE('Weekly Data'!G607,'Weekly Data'!G555,'Weekly Data'!G503,'Weekly Data'!G451)</f>
        <v>2698.25</v>
      </c>
      <c r="N659" s="16">
        <f>AVERAGE('Weekly Data'!H607,'Weekly Data'!H555,'Weekly Data'!H503,'Weekly Data'!H451)</f>
        <v>140.5</v>
      </c>
      <c r="O659" s="16" t="s">
        <v>34</v>
      </c>
      <c r="P659" s="16"/>
      <c r="Q659" s="39"/>
      <c r="R659" s="13">
        <v>38903</v>
      </c>
      <c r="S659" s="16" t="s">
        <v>34</v>
      </c>
      <c r="T659" s="106">
        <f t="shared" si="13"/>
        <v>1792.5</v>
      </c>
      <c r="U659" s="109">
        <f t="shared" si="14"/>
        <v>808.3125</v>
      </c>
      <c r="V659" s="109">
        <f t="shared" si="15"/>
        <v>2697.375</v>
      </c>
      <c r="W659" s="110">
        <f t="shared" si="16"/>
        <v>197.9375</v>
      </c>
      <c r="X659" s="16" t="s">
        <v>34</v>
      </c>
      <c r="Y659" s="39"/>
      <c r="Z659" s="39"/>
      <c r="AA659" s="39"/>
      <c r="AB659" s="39"/>
      <c r="AC659" s="39"/>
      <c r="AD659" s="39"/>
      <c r="AE659" s="39"/>
      <c r="AF659" s="39"/>
      <c r="AG659" s="39"/>
      <c r="AH659" s="65"/>
    </row>
    <row r="660" spans="1:34" x14ac:dyDescent="0.25">
      <c r="A660" s="105">
        <f t="shared" si="17"/>
        <v>38910</v>
      </c>
      <c r="B660" s="59">
        <f>SUM('Weekly Data'!D657:D660)/4</f>
        <v>1227.75</v>
      </c>
      <c r="C660" s="90">
        <f>SUM('Weekly Data'!E657:E660)/4</f>
        <v>1534</v>
      </c>
      <c r="D660" s="90">
        <f>SUM('Weekly Data'!F657:F660)/4</f>
        <v>707.5</v>
      </c>
      <c r="E660" s="90">
        <f>SUM('Weekly Data'!G657:G660)/4</f>
        <v>3980.75</v>
      </c>
      <c r="F660" s="90">
        <f>SUM('Weekly Data'!H657:H660)/4</f>
        <v>320.75</v>
      </c>
      <c r="G660" s="90">
        <f>SUM('Weekly Data'!I657:I660)/4</f>
        <v>7063.25</v>
      </c>
      <c r="H660" s="90"/>
      <c r="I660" s="39"/>
      <c r="J660" s="16" t="s">
        <v>34</v>
      </c>
      <c r="K660" s="16">
        <f>AVERAGE('Weekly Data'!E608,'Weekly Data'!E556,'Weekly Data'!E504,'Weekly Data'!E452)</f>
        <v>1869</v>
      </c>
      <c r="L660" s="16">
        <f>AVERAGE('Weekly Data'!F608,'Weekly Data'!F556,'Weekly Data'!F504,'Weekly Data'!F452)</f>
        <v>959.75</v>
      </c>
      <c r="M660" s="16">
        <f>AVERAGE('Weekly Data'!G608,'Weekly Data'!G556,'Weekly Data'!G504,'Weekly Data'!G452)</f>
        <v>2358.75</v>
      </c>
      <c r="N660" s="16">
        <f>AVERAGE('Weekly Data'!H608,'Weekly Data'!H556,'Weekly Data'!H504,'Weekly Data'!H452)</f>
        <v>141.5</v>
      </c>
      <c r="O660" s="16" t="s">
        <v>34</v>
      </c>
      <c r="P660" s="16"/>
      <c r="Q660" s="39"/>
      <c r="R660" s="13">
        <v>38910</v>
      </c>
      <c r="S660" s="16" t="s">
        <v>34</v>
      </c>
      <c r="T660" s="106">
        <f t="shared" si="13"/>
        <v>1803.9375</v>
      </c>
      <c r="U660" s="109">
        <f t="shared" si="14"/>
        <v>785.0625</v>
      </c>
      <c r="V660" s="109">
        <f t="shared" si="15"/>
        <v>2682.625</v>
      </c>
      <c r="W660" s="110">
        <f t="shared" si="16"/>
        <v>190.375</v>
      </c>
      <c r="X660" s="16" t="s">
        <v>34</v>
      </c>
      <c r="Y660" s="39"/>
      <c r="Z660" s="39"/>
      <c r="AA660" s="39"/>
      <c r="AB660" s="39"/>
      <c r="AC660" s="39"/>
      <c r="AD660" s="39"/>
      <c r="AE660" s="39"/>
      <c r="AF660" s="39"/>
      <c r="AG660" s="39"/>
      <c r="AH660" s="65"/>
    </row>
    <row r="661" spans="1:34" x14ac:dyDescent="0.25">
      <c r="A661" s="105">
        <f t="shared" si="17"/>
        <v>38917</v>
      </c>
      <c r="B661" s="59">
        <f>SUM('Weekly Data'!D658:D661)/4</f>
        <v>1397</v>
      </c>
      <c r="C661" s="90">
        <f>SUM('Weekly Data'!E658:E661)/4</f>
        <v>1550.5</v>
      </c>
      <c r="D661" s="90">
        <f>SUM('Weekly Data'!F658:F661)/4</f>
        <v>740.25</v>
      </c>
      <c r="E661" s="90">
        <f>SUM('Weekly Data'!G658:G661)/4</f>
        <v>3852.5</v>
      </c>
      <c r="F661" s="90">
        <f>SUM('Weekly Data'!H658:H661)/4</f>
        <v>344.5</v>
      </c>
      <c r="G661" s="90">
        <f>SUM('Weekly Data'!I658:I661)/4</f>
        <v>7144.5</v>
      </c>
      <c r="H661" s="90"/>
      <c r="I661" s="39"/>
      <c r="J661" s="16" t="s">
        <v>34</v>
      </c>
      <c r="K661" s="16">
        <f>AVERAGE('Weekly Data'!E609,'Weekly Data'!E557,'Weekly Data'!E505,'Weekly Data'!E453)</f>
        <v>1779.5</v>
      </c>
      <c r="L661" s="16">
        <f>AVERAGE('Weekly Data'!F609,'Weekly Data'!F557,'Weekly Data'!F505,'Weekly Data'!F453)</f>
        <v>768.25</v>
      </c>
      <c r="M661" s="16">
        <f>AVERAGE('Weekly Data'!G609,'Weekly Data'!G557,'Weekly Data'!G505,'Weekly Data'!G453)</f>
        <v>2985</v>
      </c>
      <c r="N661" s="16">
        <f>AVERAGE('Weekly Data'!H609,'Weekly Data'!H557,'Weekly Data'!H505,'Weekly Data'!H453)</f>
        <v>121</v>
      </c>
      <c r="O661" s="16" t="s">
        <v>34</v>
      </c>
      <c r="P661" s="16"/>
      <c r="Q661" s="39"/>
      <c r="R661" s="13">
        <v>38917</v>
      </c>
      <c r="S661" s="16" t="s">
        <v>34</v>
      </c>
      <c r="T661" s="106">
        <f t="shared" si="13"/>
        <v>1824.125</v>
      </c>
      <c r="U661" s="109">
        <f t="shared" si="14"/>
        <v>830</v>
      </c>
      <c r="V661" s="109">
        <f t="shared" si="15"/>
        <v>2734.75</v>
      </c>
      <c r="W661" s="110">
        <f t="shared" si="16"/>
        <v>185.5</v>
      </c>
      <c r="X661" s="16" t="s">
        <v>34</v>
      </c>
      <c r="Y661" s="39"/>
      <c r="Z661" s="39"/>
      <c r="AA661" s="39"/>
      <c r="AB661" s="39"/>
      <c r="AC661" s="39"/>
      <c r="AD661" s="39"/>
      <c r="AE661" s="39"/>
      <c r="AF661" s="39"/>
      <c r="AG661" s="39"/>
      <c r="AH661" s="65"/>
    </row>
    <row r="662" spans="1:34" x14ac:dyDescent="0.25">
      <c r="A662" s="105">
        <f t="shared" si="17"/>
        <v>38924</v>
      </c>
      <c r="B662" s="59">
        <f>SUM('Weekly Data'!D659:D662)/4</f>
        <v>1540</v>
      </c>
      <c r="C662" s="90">
        <f>SUM('Weekly Data'!E659:E662)/4</f>
        <v>1411.5</v>
      </c>
      <c r="D662" s="90">
        <f>SUM('Weekly Data'!F659:F662)/4</f>
        <v>739.25</v>
      </c>
      <c r="E662" s="90">
        <f>SUM('Weekly Data'!G659:G662)/4</f>
        <v>3710.75</v>
      </c>
      <c r="F662" s="90">
        <f>SUM('Weekly Data'!H659:H662)/4</f>
        <v>391.5</v>
      </c>
      <c r="G662" s="90">
        <f>SUM('Weekly Data'!I659:I662)/4</f>
        <v>7053.75</v>
      </c>
      <c r="H662" s="90"/>
      <c r="I662" s="39"/>
      <c r="J662" s="16" t="s">
        <v>34</v>
      </c>
      <c r="K662" s="16">
        <f>AVERAGE('Weekly Data'!E610,'Weekly Data'!E558,'Weekly Data'!E506,'Weekly Data'!E454)</f>
        <v>1804.5</v>
      </c>
      <c r="L662" s="16">
        <f>AVERAGE('Weekly Data'!F610,'Weekly Data'!F558,'Weekly Data'!F506,'Weekly Data'!F454)</f>
        <v>812.5</v>
      </c>
      <c r="M662" s="16">
        <f>AVERAGE('Weekly Data'!G610,'Weekly Data'!G558,'Weekly Data'!G506,'Weekly Data'!G454)</f>
        <v>2519</v>
      </c>
      <c r="N662" s="16">
        <f>AVERAGE('Weekly Data'!H610,'Weekly Data'!H558,'Weekly Data'!H506,'Weekly Data'!H454)</f>
        <v>262.75</v>
      </c>
      <c r="O662" s="16" t="s">
        <v>34</v>
      </c>
      <c r="P662" s="16"/>
      <c r="Q662" s="39"/>
      <c r="R662" s="13">
        <v>38924</v>
      </c>
      <c r="S662" s="16" t="s">
        <v>34</v>
      </c>
      <c r="T662" s="106">
        <f t="shared" si="13"/>
        <v>1793.9375</v>
      </c>
      <c r="U662" s="109">
        <f t="shared" si="14"/>
        <v>830.5625</v>
      </c>
      <c r="V662" s="109">
        <f t="shared" si="15"/>
        <v>2622.875</v>
      </c>
      <c r="W662" s="110">
        <f t="shared" si="16"/>
        <v>168.125</v>
      </c>
      <c r="X662" s="16" t="s">
        <v>34</v>
      </c>
      <c r="Y662" s="39"/>
      <c r="Z662" s="39"/>
      <c r="AA662" s="39"/>
      <c r="AB662" s="39"/>
      <c r="AC662" s="39"/>
      <c r="AD662" s="39"/>
      <c r="AE662" s="39"/>
      <c r="AF662" s="39"/>
      <c r="AG662" s="39"/>
      <c r="AH662" s="65"/>
    </row>
    <row r="663" spans="1:34" x14ac:dyDescent="0.25">
      <c r="A663" s="105">
        <f t="shared" si="17"/>
        <v>38931</v>
      </c>
      <c r="B663" s="59">
        <f>SUM('Weekly Data'!D660:D663)/4</f>
        <v>1611.5</v>
      </c>
      <c r="C663" s="90">
        <f>SUM('Weekly Data'!E660:E663)/4</f>
        <v>1330.25</v>
      </c>
      <c r="D663" s="90">
        <f>SUM('Weekly Data'!F660:F663)/4</f>
        <v>706.75</v>
      </c>
      <c r="E663" s="90">
        <f>SUM('Weekly Data'!G660:G663)/4</f>
        <v>4156.5</v>
      </c>
      <c r="F663" s="90">
        <f>SUM('Weekly Data'!H660:H663)/4</f>
        <v>399</v>
      </c>
      <c r="G663" s="90">
        <f>SUM('Weekly Data'!I660:I663)/4</f>
        <v>7497.25</v>
      </c>
      <c r="H663" s="90"/>
      <c r="I663" s="39"/>
      <c r="J663" s="16" t="s">
        <v>34</v>
      </c>
      <c r="K663" s="16">
        <f>AVERAGE('Weekly Data'!E611,'Weekly Data'!E559,'Weekly Data'!E507,'Weekly Data'!E455)</f>
        <v>1870</v>
      </c>
      <c r="L663" s="16">
        <f>AVERAGE('Weekly Data'!F611,'Weekly Data'!F559,'Weekly Data'!F507,'Weekly Data'!F455)</f>
        <v>834.5</v>
      </c>
      <c r="M663" s="16">
        <f>AVERAGE('Weekly Data'!G611,'Weekly Data'!G559,'Weekly Data'!G507,'Weekly Data'!G455)</f>
        <v>2587.5</v>
      </c>
      <c r="N663" s="16">
        <f>AVERAGE('Weekly Data'!H611,'Weekly Data'!H559,'Weekly Data'!H507,'Weekly Data'!H455)</f>
        <v>98.75</v>
      </c>
      <c r="O663" s="16" t="s">
        <v>34</v>
      </c>
      <c r="P663" s="16"/>
      <c r="Q663" s="39"/>
      <c r="R663" s="13">
        <v>38931</v>
      </c>
      <c r="S663" s="16" t="s">
        <v>34</v>
      </c>
      <c r="T663" s="106">
        <f t="shared" si="13"/>
        <v>1853.5</v>
      </c>
      <c r="U663" s="109">
        <f t="shared" si="14"/>
        <v>830.75</v>
      </c>
      <c r="V663" s="109">
        <f t="shared" si="15"/>
        <v>2654</v>
      </c>
      <c r="W663" s="110">
        <f t="shared" si="16"/>
        <v>154</v>
      </c>
      <c r="X663" s="16" t="s">
        <v>34</v>
      </c>
      <c r="Y663" s="39"/>
      <c r="Z663" s="39"/>
      <c r="AA663" s="39"/>
      <c r="AB663" s="39"/>
      <c r="AC663" s="39"/>
      <c r="AD663" s="39"/>
      <c r="AE663" s="39"/>
      <c r="AF663" s="39"/>
      <c r="AG663" s="39"/>
      <c r="AH663" s="65"/>
    </row>
    <row r="664" spans="1:34" x14ac:dyDescent="0.25">
      <c r="A664" s="105">
        <f t="shared" si="17"/>
        <v>38938</v>
      </c>
      <c r="B664" s="59">
        <f>SUM('Weekly Data'!D661:D664)/4</f>
        <v>1857.25</v>
      </c>
      <c r="C664" s="90">
        <f>SUM('Weekly Data'!E661:E664)/4</f>
        <v>1241.25</v>
      </c>
      <c r="D664" s="90">
        <f>SUM('Weekly Data'!F661:F664)/4</f>
        <v>536.5</v>
      </c>
      <c r="E664" s="90">
        <f>SUM('Weekly Data'!G661:G664)/4</f>
        <v>4024</v>
      </c>
      <c r="F664" s="90">
        <f>SUM('Weekly Data'!H661:H664)/4</f>
        <v>452.25</v>
      </c>
      <c r="G664" s="90">
        <f>SUM('Weekly Data'!I661:I664)/4</f>
        <v>7574.75</v>
      </c>
      <c r="H664" s="90"/>
      <c r="I664" s="39"/>
      <c r="J664" s="16" t="s">
        <v>34</v>
      </c>
      <c r="K664" s="16">
        <f>AVERAGE('Weekly Data'!E612,'Weekly Data'!E560,'Weekly Data'!E508,'Weekly Data'!E456)</f>
        <v>2079.5</v>
      </c>
      <c r="L664" s="16">
        <f>AVERAGE('Weekly Data'!F612,'Weekly Data'!F560,'Weekly Data'!F508,'Weekly Data'!F456)</f>
        <v>804.5</v>
      </c>
      <c r="M664" s="16">
        <f>AVERAGE('Weekly Data'!G612,'Weekly Data'!G560,'Weekly Data'!G508,'Weekly Data'!G456)</f>
        <v>2323.25</v>
      </c>
      <c r="N664" s="16">
        <f>AVERAGE('Weekly Data'!H612,'Weekly Data'!H560,'Weekly Data'!H508,'Weekly Data'!H456)</f>
        <v>152</v>
      </c>
      <c r="O664" s="16" t="s">
        <v>34</v>
      </c>
      <c r="P664" s="16"/>
      <c r="Q664" s="39"/>
      <c r="R664" s="13">
        <v>38938</v>
      </c>
      <c r="S664" s="16" t="s">
        <v>34</v>
      </c>
      <c r="T664" s="106">
        <f t="shared" si="13"/>
        <v>1913.5625</v>
      </c>
      <c r="U664" s="109">
        <f t="shared" si="14"/>
        <v>823</v>
      </c>
      <c r="V664" s="109">
        <f t="shared" si="15"/>
        <v>2595</v>
      </c>
      <c r="W664" s="110">
        <f t="shared" si="16"/>
        <v>152.75</v>
      </c>
      <c r="X664" s="16" t="s">
        <v>34</v>
      </c>
      <c r="Y664" s="39"/>
      <c r="Z664" s="39"/>
      <c r="AA664" s="39"/>
      <c r="AB664" s="39"/>
      <c r="AC664" s="39"/>
      <c r="AD664" s="39"/>
      <c r="AE664" s="39"/>
      <c r="AF664" s="39"/>
      <c r="AG664" s="39"/>
      <c r="AH664" s="65"/>
    </row>
    <row r="665" spans="1:34" x14ac:dyDescent="0.25">
      <c r="A665" s="105">
        <f t="shared" si="17"/>
        <v>38945</v>
      </c>
      <c r="B665" s="59">
        <f>SUM('Weekly Data'!D662:D665)/4</f>
        <v>1853.5</v>
      </c>
      <c r="C665" s="90">
        <f>SUM('Weekly Data'!E662:E665)/4</f>
        <v>1424.75</v>
      </c>
      <c r="D665" s="90">
        <f>SUM('Weekly Data'!F662:F665)/4</f>
        <v>560.75</v>
      </c>
      <c r="E665" s="90">
        <f>SUM('Weekly Data'!G662:G665)/4</f>
        <v>4080.75</v>
      </c>
      <c r="F665" s="90">
        <f>SUM('Weekly Data'!H662:H665)/4</f>
        <v>486</v>
      </c>
      <c r="G665" s="90">
        <f>SUM('Weekly Data'!I662:I665)/4</f>
        <v>7845</v>
      </c>
      <c r="H665" s="90"/>
      <c r="I665" s="39"/>
      <c r="J665" s="16" t="s">
        <v>34</v>
      </c>
      <c r="K665" s="16">
        <f>AVERAGE('Weekly Data'!E613,'Weekly Data'!E561,'Weekly Data'!E509,'Weekly Data'!E457)</f>
        <v>1825.25</v>
      </c>
      <c r="L665" s="16">
        <f>AVERAGE('Weekly Data'!F613,'Weekly Data'!F561,'Weekly Data'!F509,'Weekly Data'!F457)</f>
        <v>785.75</v>
      </c>
      <c r="M665" s="16">
        <f>AVERAGE('Weekly Data'!G613,'Weekly Data'!G561,'Weekly Data'!G509,'Weekly Data'!G457)</f>
        <v>2503.75</v>
      </c>
      <c r="N665" s="16">
        <f>AVERAGE('Weekly Data'!H613,'Weekly Data'!H561,'Weekly Data'!H509,'Weekly Data'!H457)</f>
        <v>179.25</v>
      </c>
      <c r="O665" s="16" t="s">
        <v>34</v>
      </c>
      <c r="P665" s="16"/>
      <c r="Q665" s="39"/>
      <c r="R665" s="13">
        <v>38945</v>
      </c>
      <c r="S665" s="16" t="s">
        <v>34</v>
      </c>
      <c r="T665" s="106">
        <f t="shared" si="13"/>
        <v>1950.875</v>
      </c>
      <c r="U665" s="109">
        <f t="shared" si="14"/>
        <v>810.5</v>
      </c>
      <c r="V665" s="109">
        <f t="shared" si="15"/>
        <v>2547.4375</v>
      </c>
      <c r="W665" s="110">
        <f t="shared" si="16"/>
        <v>165.3125</v>
      </c>
      <c r="X665" s="16" t="s">
        <v>34</v>
      </c>
      <c r="Y665" s="39"/>
      <c r="Z665" s="39"/>
      <c r="AA665" s="39"/>
      <c r="AB665" s="39"/>
      <c r="AC665" s="39"/>
      <c r="AD665" s="39"/>
      <c r="AE665" s="39"/>
      <c r="AF665" s="39"/>
      <c r="AG665" s="39"/>
      <c r="AH665" s="65"/>
    </row>
    <row r="666" spans="1:34" x14ac:dyDescent="0.25">
      <c r="A666" s="105">
        <f t="shared" si="17"/>
        <v>38952</v>
      </c>
      <c r="B666" s="59">
        <f>SUM('Weekly Data'!D663:D666)/4</f>
        <v>1996.75</v>
      </c>
      <c r="C666" s="90">
        <f>SUM('Weekly Data'!E663:E666)/4</f>
        <v>1641</v>
      </c>
      <c r="D666" s="90">
        <f>SUM('Weekly Data'!F663:F666)/4</f>
        <v>696.5</v>
      </c>
      <c r="E666" s="90">
        <f>SUM('Weekly Data'!G663:G666)/4</f>
        <v>4088.5</v>
      </c>
      <c r="F666" s="90">
        <f>SUM('Weekly Data'!H663:H666)/4</f>
        <v>497.75</v>
      </c>
      <c r="G666" s="90">
        <f>SUM('Weekly Data'!I663:I666)/4</f>
        <v>8224</v>
      </c>
      <c r="H666" s="90"/>
      <c r="I666" s="39"/>
      <c r="J666" s="16" t="s">
        <v>34</v>
      </c>
      <c r="K666" s="16">
        <f>AVERAGE('Weekly Data'!E614,'Weekly Data'!E562,'Weekly Data'!E510,'Weekly Data'!E458)</f>
        <v>1818.75</v>
      </c>
      <c r="L666" s="16">
        <f>AVERAGE('Weekly Data'!F614,'Weekly Data'!F562,'Weekly Data'!F510,'Weekly Data'!F458)</f>
        <v>683.75</v>
      </c>
      <c r="M666" s="16">
        <f>AVERAGE('Weekly Data'!G614,'Weekly Data'!G562,'Weekly Data'!G510,'Weekly Data'!G458)</f>
        <v>2663.25</v>
      </c>
      <c r="N666" s="16">
        <f>AVERAGE('Weekly Data'!H614,'Weekly Data'!H562,'Weekly Data'!H510,'Weekly Data'!H458)</f>
        <v>60.75</v>
      </c>
      <c r="O666" s="16" t="s">
        <v>34</v>
      </c>
      <c r="P666" s="16"/>
      <c r="Q666" s="39"/>
      <c r="R666" s="13">
        <v>38952</v>
      </c>
      <c r="S666" s="16" t="s">
        <v>34</v>
      </c>
      <c r="T666" s="106">
        <f t="shared" si="13"/>
        <v>1927.5625</v>
      </c>
      <c r="U666" s="109">
        <f t="shared" si="14"/>
        <v>739.6875</v>
      </c>
      <c r="V666" s="109">
        <f t="shared" si="15"/>
        <v>2584.3125</v>
      </c>
      <c r="W666" s="110">
        <f t="shared" si="16"/>
        <v>163.75</v>
      </c>
      <c r="X666" s="16" t="s">
        <v>34</v>
      </c>
      <c r="Y666" s="39"/>
      <c r="Z666" s="39"/>
      <c r="AA666" s="39"/>
      <c r="AB666" s="39"/>
      <c r="AC666" s="39"/>
      <c r="AD666" s="39"/>
      <c r="AE666" s="39"/>
      <c r="AF666" s="39"/>
      <c r="AG666" s="39"/>
      <c r="AH666" s="65"/>
    </row>
    <row r="667" spans="1:34" x14ac:dyDescent="0.25">
      <c r="A667" s="105">
        <f t="shared" si="17"/>
        <v>38959</v>
      </c>
      <c r="B667" s="59">
        <f>SUM('Weekly Data'!D664:D667)/4</f>
        <v>2157.25</v>
      </c>
      <c r="C667" s="90">
        <f>SUM('Weekly Data'!E664:E667)/4</f>
        <v>1714.75</v>
      </c>
      <c r="D667" s="90">
        <f>SUM('Weekly Data'!F664:F667)/4</f>
        <v>768</v>
      </c>
      <c r="E667" s="90">
        <f>SUM('Weekly Data'!G664:G667)/4</f>
        <v>4008</v>
      </c>
      <c r="F667" s="90">
        <f>SUM('Weekly Data'!H664:H667)/4</f>
        <v>593.5</v>
      </c>
      <c r="G667" s="90">
        <f>SUM('Weekly Data'!I664:I667)/4</f>
        <v>8473.5</v>
      </c>
      <c r="H667" s="90"/>
      <c r="I667" s="39"/>
      <c r="J667" s="16" t="s">
        <v>34</v>
      </c>
      <c r="K667" s="16">
        <f>AVERAGE('Weekly Data'!E615,'Weekly Data'!E563,'Weekly Data'!E511,'Weekly Data'!E459)</f>
        <v>1913.25</v>
      </c>
      <c r="L667" s="16">
        <f>AVERAGE('Weekly Data'!F615,'Weekly Data'!F563,'Weekly Data'!F511,'Weekly Data'!F459)</f>
        <v>750</v>
      </c>
      <c r="M667" s="16">
        <f>AVERAGE('Weekly Data'!G615,'Weekly Data'!G563,'Weekly Data'!G511,'Weekly Data'!G459)</f>
        <v>3139.5</v>
      </c>
      <c r="N667" s="16">
        <f>AVERAGE('Weekly Data'!H615,'Weekly Data'!H563,'Weekly Data'!H511,'Weekly Data'!H459)</f>
        <v>52.75</v>
      </c>
      <c r="O667" s="16" t="s">
        <v>34</v>
      </c>
      <c r="P667" s="16"/>
      <c r="Q667" s="39"/>
      <c r="R667" s="13">
        <v>38959</v>
      </c>
      <c r="S667" s="16" t="s">
        <v>34</v>
      </c>
      <c r="T667" s="106">
        <f t="shared" si="13"/>
        <v>1888</v>
      </c>
      <c r="U667" s="109">
        <f t="shared" si="14"/>
        <v>770.625</v>
      </c>
      <c r="V667" s="109">
        <f t="shared" si="15"/>
        <v>2635.625</v>
      </c>
      <c r="W667" s="110">
        <f t="shared" si="16"/>
        <v>120.5625</v>
      </c>
      <c r="X667" s="16" t="s">
        <v>34</v>
      </c>
      <c r="Y667" s="39"/>
      <c r="Z667" s="39"/>
      <c r="AA667" s="39"/>
      <c r="AB667" s="39"/>
      <c r="AC667" s="39"/>
      <c r="AD667" s="39"/>
      <c r="AE667" s="39"/>
      <c r="AF667" s="39"/>
      <c r="AG667" s="39"/>
      <c r="AH667" s="65"/>
    </row>
    <row r="668" spans="1:34" x14ac:dyDescent="0.25">
      <c r="A668" s="105">
        <f t="shared" si="17"/>
        <v>38966</v>
      </c>
      <c r="B668" s="59">
        <f>SUM('Weekly Data'!D665:D668)/4</f>
        <v>1923.75</v>
      </c>
      <c r="C668" s="90">
        <f>SUM('Weekly Data'!E665:E668)/4</f>
        <v>1803.25</v>
      </c>
      <c r="D668" s="90">
        <f>SUM('Weekly Data'!F665:F668)/4</f>
        <v>926.75</v>
      </c>
      <c r="E668" s="90">
        <f>SUM('Weekly Data'!G665:G668)/4</f>
        <v>3936.5</v>
      </c>
      <c r="F668" s="90">
        <f>SUM('Weekly Data'!H665:H668)/4</f>
        <v>559.25</v>
      </c>
      <c r="G668" s="90">
        <f>SUM('Weekly Data'!I665:I668)/4</f>
        <v>8222.75</v>
      </c>
      <c r="H668" s="90"/>
      <c r="I668" s="39"/>
      <c r="J668" s="16" t="s">
        <v>34</v>
      </c>
      <c r="K668" s="16">
        <f>AVERAGE('Weekly Data'!E616,'Weekly Data'!E564,'Weekly Data'!E512,'Weekly Data'!E460)</f>
        <v>1943.75</v>
      </c>
      <c r="L668" s="16">
        <f>AVERAGE('Weekly Data'!F616,'Weekly Data'!F564,'Weekly Data'!F512,'Weekly Data'!F460)</f>
        <v>836.25</v>
      </c>
      <c r="M668" s="16">
        <f>AVERAGE('Weekly Data'!G616,'Weekly Data'!G564,'Weekly Data'!G512,'Weekly Data'!G460)</f>
        <v>2753.5</v>
      </c>
      <c r="N668" s="16">
        <f>AVERAGE('Weekly Data'!H616,'Weekly Data'!H564,'Weekly Data'!H512,'Weekly Data'!H460)</f>
        <v>41.75</v>
      </c>
      <c r="O668" s="16" t="s">
        <v>34</v>
      </c>
      <c r="P668" s="16"/>
      <c r="Q668" s="39"/>
      <c r="R668" s="13">
        <v>38966</v>
      </c>
      <c r="S668" s="16" t="s">
        <v>34</v>
      </c>
      <c r="T668" s="106">
        <f t="shared" si="13"/>
        <v>1888.875</v>
      </c>
      <c r="U668" s="109">
        <f t="shared" si="14"/>
        <v>762.8125</v>
      </c>
      <c r="V668" s="109">
        <f t="shared" si="15"/>
        <v>2784.9375</v>
      </c>
      <c r="W668" s="110">
        <f t="shared" si="16"/>
        <v>101.8125</v>
      </c>
      <c r="X668" s="16" t="s">
        <v>34</v>
      </c>
      <c r="Y668" s="39"/>
      <c r="Z668" s="39"/>
      <c r="AA668" s="39"/>
      <c r="AB668" s="39"/>
      <c r="AC668" s="39"/>
      <c r="AD668" s="39"/>
      <c r="AE668" s="39"/>
      <c r="AF668" s="39"/>
      <c r="AG668" s="39"/>
      <c r="AH668" s="65"/>
    </row>
    <row r="669" spans="1:34" x14ac:dyDescent="0.25">
      <c r="A669" s="105">
        <f t="shared" si="17"/>
        <v>38973</v>
      </c>
      <c r="B669" s="59">
        <f>SUM('Weekly Data'!D666:D669)/4</f>
        <v>2191.75</v>
      </c>
      <c r="C669" s="90">
        <f>SUM('Weekly Data'!E666:E669)/4</f>
        <v>1720.5</v>
      </c>
      <c r="D669" s="90">
        <f>SUM('Weekly Data'!F666:F669)/4</f>
        <v>999.25</v>
      </c>
      <c r="E669" s="90">
        <f>SUM('Weekly Data'!G666:G669)/4</f>
        <v>3785.75</v>
      </c>
      <c r="F669" s="90">
        <f>SUM('Weekly Data'!H666:H669)/4</f>
        <v>630.5</v>
      </c>
      <c r="G669" s="90">
        <f>SUM('Weekly Data'!I666:I669)/4</f>
        <v>8328.5</v>
      </c>
      <c r="H669" s="90"/>
      <c r="I669" s="39"/>
      <c r="J669" s="16" t="s">
        <v>34</v>
      </c>
      <c r="K669" s="16">
        <f>AVERAGE('Weekly Data'!E617,'Weekly Data'!E565,'Weekly Data'!E513,'Weekly Data'!E461)</f>
        <v>2230.75</v>
      </c>
      <c r="L669" s="16">
        <f>AVERAGE('Weekly Data'!F617,'Weekly Data'!F565,'Weekly Data'!F513,'Weekly Data'!F461)</f>
        <v>834.25</v>
      </c>
      <c r="M669" s="16">
        <f>AVERAGE('Weekly Data'!G617,'Weekly Data'!G565,'Weekly Data'!G513,'Weekly Data'!G461)</f>
        <v>2757</v>
      </c>
      <c r="N669" s="16">
        <f>AVERAGE('Weekly Data'!H617,'Weekly Data'!H565,'Weekly Data'!H513,'Weekly Data'!H461)</f>
        <v>88</v>
      </c>
      <c r="O669" s="16" t="s">
        <v>34</v>
      </c>
      <c r="P669" s="16"/>
      <c r="Q669" s="39"/>
      <c r="R669" s="13">
        <v>38973</v>
      </c>
      <c r="S669" s="16" t="s">
        <v>34</v>
      </c>
      <c r="T669" s="106">
        <f t="shared" si="13"/>
        <v>1977.25</v>
      </c>
      <c r="U669" s="109">
        <f t="shared" si="14"/>
        <v>769.625</v>
      </c>
      <c r="V669" s="109">
        <f t="shared" si="15"/>
        <v>2867.375</v>
      </c>
      <c r="W669" s="110">
        <f t="shared" si="16"/>
        <v>85.8125</v>
      </c>
      <c r="X669" s="16" t="s">
        <v>34</v>
      </c>
      <c r="Y669" s="39"/>
      <c r="Z669" s="39"/>
      <c r="AA669" s="39"/>
      <c r="AB669" s="39"/>
      <c r="AC669" s="39"/>
      <c r="AD669" s="39"/>
      <c r="AE669" s="39"/>
      <c r="AF669" s="39"/>
      <c r="AG669" s="39"/>
      <c r="AH669" s="65"/>
    </row>
    <row r="670" spans="1:34" x14ac:dyDescent="0.25">
      <c r="A670" s="105">
        <f t="shared" si="17"/>
        <v>38980</v>
      </c>
      <c r="B670" s="59">
        <f>SUM('Weekly Data'!D667:D670)/4</f>
        <v>2295.25</v>
      </c>
      <c r="C670" s="90">
        <f>SUM('Weekly Data'!E667:E670)/4</f>
        <v>1668</v>
      </c>
      <c r="D670" s="90">
        <f>SUM('Weekly Data'!F667:F670)/4</f>
        <v>999</v>
      </c>
      <c r="E670" s="90">
        <f>SUM('Weekly Data'!G667:G670)/4</f>
        <v>3826.25</v>
      </c>
      <c r="F670" s="90">
        <f>SUM('Weekly Data'!H667:H670)/4</f>
        <v>715</v>
      </c>
      <c r="G670" s="90">
        <f>SUM('Weekly Data'!I667:I670)/4</f>
        <v>8504.5</v>
      </c>
      <c r="H670" s="90"/>
      <c r="I670" s="39"/>
      <c r="J670" s="16" t="s">
        <v>34</v>
      </c>
      <c r="K670" s="16">
        <f>AVERAGE('Weekly Data'!E618,'Weekly Data'!E566,'Weekly Data'!E514,'Weekly Data'!E462)</f>
        <v>1649.5</v>
      </c>
      <c r="L670" s="16">
        <f>AVERAGE('Weekly Data'!F618,'Weekly Data'!F566,'Weekly Data'!F514,'Weekly Data'!F462)</f>
        <v>942.5</v>
      </c>
      <c r="M670" s="16">
        <f>AVERAGE('Weekly Data'!G618,'Weekly Data'!G566,'Weekly Data'!G514,'Weekly Data'!G462)</f>
        <v>2535</v>
      </c>
      <c r="N670" s="16">
        <f>AVERAGE('Weekly Data'!H618,'Weekly Data'!H566,'Weekly Data'!H514,'Weekly Data'!H462)</f>
        <v>132.75</v>
      </c>
      <c r="O670" s="16" t="s">
        <v>34</v>
      </c>
      <c r="P670" s="16"/>
      <c r="Q670" s="39"/>
      <c r="R670" s="13">
        <v>38980</v>
      </c>
      <c r="S670" s="16" t="s">
        <v>34</v>
      </c>
      <c r="T670" s="106">
        <f t="shared" si="13"/>
        <v>1972.0625</v>
      </c>
      <c r="U670" s="109">
        <f t="shared" si="14"/>
        <v>865.5</v>
      </c>
      <c r="V670" s="109">
        <f t="shared" si="15"/>
        <v>2776.0625</v>
      </c>
      <c r="W670" s="110">
        <f t="shared" si="16"/>
        <v>74.5</v>
      </c>
      <c r="X670" s="16" t="s">
        <v>34</v>
      </c>
      <c r="Y670" s="39"/>
      <c r="Z670" s="39"/>
      <c r="AA670" s="39"/>
      <c r="AB670" s="39"/>
      <c r="AC670" s="39"/>
      <c r="AD670" s="39"/>
      <c r="AE670" s="39"/>
      <c r="AF670" s="39"/>
      <c r="AG670" s="39"/>
      <c r="AH670" s="65"/>
    </row>
    <row r="671" spans="1:34" x14ac:dyDescent="0.25">
      <c r="A671" s="105">
        <f t="shared" si="17"/>
        <v>38987</v>
      </c>
      <c r="B671" s="59">
        <f>SUM('Weekly Data'!D668:D671)/4</f>
        <v>2283.5</v>
      </c>
      <c r="C671" s="90">
        <f>SUM('Weekly Data'!E668:E671)/4</f>
        <v>1779</v>
      </c>
      <c r="D671" s="90">
        <f>SUM('Weekly Data'!F668:F671)/4</f>
        <v>1113.25</v>
      </c>
      <c r="E671" s="90">
        <f>SUM('Weekly Data'!G668:G671)/4</f>
        <v>3658.25</v>
      </c>
      <c r="F671" s="90">
        <f>SUM('Weekly Data'!H668:H671)/4</f>
        <v>667.75</v>
      </c>
      <c r="G671" s="90">
        <f>SUM('Weekly Data'!I668:I671)/4</f>
        <v>8388.5</v>
      </c>
      <c r="H671" s="90"/>
      <c r="I671" s="39"/>
      <c r="J671" s="16" t="s">
        <v>34</v>
      </c>
      <c r="K671" s="16">
        <f>AVERAGE('Weekly Data'!E619,'Weekly Data'!E567,'Weekly Data'!E515,'Weekly Data'!E463)</f>
        <v>1497.5</v>
      </c>
      <c r="L671" s="16">
        <f>AVERAGE('Weekly Data'!F619,'Weekly Data'!F567,'Weekly Data'!F515,'Weekly Data'!F463)</f>
        <v>882.5</v>
      </c>
      <c r="M671" s="16">
        <f>AVERAGE('Weekly Data'!G619,'Weekly Data'!G567,'Weekly Data'!G515,'Weekly Data'!G463)</f>
        <v>3449</v>
      </c>
      <c r="N671" s="16">
        <f>AVERAGE('Weekly Data'!H619,'Weekly Data'!H567,'Weekly Data'!H515,'Weekly Data'!H463)</f>
        <v>162</v>
      </c>
      <c r="O671" s="16" t="s">
        <v>34</v>
      </c>
      <c r="P671" s="16"/>
      <c r="Q671" s="39"/>
      <c r="R671" s="13">
        <v>38987</v>
      </c>
      <c r="S671" s="16" t="s">
        <v>34</v>
      </c>
      <c r="T671" s="106">
        <f t="shared" si="13"/>
        <v>1868</v>
      </c>
      <c r="U671" s="109">
        <f t="shared" si="14"/>
        <v>866.125</v>
      </c>
      <c r="V671" s="109">
        <f t="shared" si="15"/>
        <v>2860.3125</v>
      </c>
      <c r="W671" s="110">
        <f t="shared" si="16"/>
        <v>103.375</v>
      </c>
      <c r="X671" s="16" t="s">
        <v>34</v>
      </c>
      <c r="Y671" s="39"/>
      <c r="Z671" s="39"/>
      <c r="AA671" s="39"/>
      <c r="AB671" s="39"/>
      <c r="AC671" s="39"/>
      <c r="AD671" s="39"/>
      <c r="AE671" s="39"/>
      <c r="AF671" s="39"/>
      <c r="AG671" s="39"/>
      <c r="AH671" s="65"/>
    </row>
    <row r="672" spans="1:34" x14ac:dyDescent="0.25">
      <c r="A672" s="105">
        <f t="shared" si="17"/>
        <v>38994</v>
      </c>
      <c r="B672" s="59">
        <f>SUM('Weekly Data'!D669:D672)/4</f>
        <v>2702</v>
      </c>
      <c r="C672" s="90">
        <f>SUM('Weekly Data'!E669:E672)/4</f>
        <v>1674.25</v>
      </c>
      <c r="D672" s="90">
        <f>SUM('Weekly Data'!F669:F672)/4</f>
        <v>1214.75</v>
      </c>
      <c r="E672" s="90">
        <f>SUM('Weekly Data'!G669:G672)/4</f>
        <v>3613</v>
      </c>
      <c r="F672" s="90">
        <f>SUM('Weekly Data'!H669:H672)/4</f>
        <v>756</v>
      </c>
      <c r="G672" s="90">
        <f>SUM('Weekly Data'!I669:I672)/4</f>
        <v>8745.25</v>
      </c>
      <c r="H672" s="90"/>
      <c r="I672" s="39"/>
      <c r="J672" s="16" t="s">
        <v>34</v>
      </c>
      <c r="K672" s="16">
        <f>AVERAGE('Weekly Data'!E620,'Weekly Data'!E568,'Weekly Data'!E516,'Weekly Data'!E464)</f>
        <v>1937.25</v>
      </c>
      <c r="L672" s="16">
        <f>AVERAGE('Weekly Data'!F620,'Weekly Data'!F568,'Weekly Data'!F516,'Weekly Data'!F464)</f>
        <v>1038.5</v>
      </c>
      <c r="M672" s="16">
        <f>AVERAGE('Weekly Data'!G620,'Weekly Data'!G568,'Weekly Data'!G516,'Weekly Data'!G464)</f>
        <v>3766.25</v>
      </c>
      <c r="N672" s="16">
        <f>AVERAGE('Weekly Data'!H620,'Weekly Data'!H568,'Weekly Data'!H516,'Weekly Data'!H464)</f>
        <v>170.75</v>
      </c>
      <c r="O672" s="16" t="s">
        <v>34</v>
      </c>
      <c r="P672" s="16"/>
      <c r="Q672" s="39"/>
      <c r="R672" s="13">
        <v>38994</v>
      </c>
      <c r="S672" s="16" t="s">
        <v>34</v>
      </c>
      <c r="T672" s="106">
        <f t="shared" si="13"/>
        <v>1890.3125</v>
      </c>
      <c r="U672" s="109">
        <f t="shared" si="14"/>
        <v>886.8125</v>
      </c>
      <c r="V672" s="109">
        <f t="shared" si="15"/>
        <v>3118.125</v>
      </c>
      <c r="W672" s="110">
        <f t="shared" si="16"/>
        <v>133.5</v>
      </c>
      <c r="X672" s="16" t="s">
        <v>34</v>
      </c>
      <c r="Y672" s="39"/>
      <c r="Z672" s="39"/>
      <c r="AA672" s="39"/>
      <c r="AB672" s="39"/>
      <c r="AC672" s="39"/>
      <c r="AD672" s="39"/>
      <c r="AE672" s="39"/>
      <c r="AF672" s="39"/>
      <c r="AG672" s="39"/>
      <c r="AH672" s="65"/>
    </row>
    <row r="673" spans="1:34" x14ac:dyDescent="0.25">
      <c r="A673" s="105">
        <f t="shared" si="17"/>
        <v>39001</v>
      </c>
      <c r="B673" s="59">
        <f>SUM('Weekly Data'!D670:D673)/4</f>
        <v>2820.25</v>
      </c>
      <c r="C673" s="90">
        <f>SUM('Weekly Data'!E670:E673)/4</f>
        <v>1789</v>
      </c>
      <c r="D673" s="90">
        <f>SUM('Weekly Data'!F670:F673)/4</f>
        <v>1268</v>
      </c>
      <c r="E673" s="90">
        <f>SUM('Weekly Data'!G670:G673)/4</f>
        <v>4008.25</v>
      </c>
      <c r="F673" s="90">
        <f>SUM('Weekly Data'!H670:H673)/4</f>
        <v>757.75</v>
      </c>
      <c r="G673" s="90">
        <f>SUM('Weekly Data'!I670:I673)/4</f>
        <v>9375.25</v>
      </c>
      <c r="H673" s="90"/>
      <c r="I673" s="39"/>
      <c r="J673" s="16" t="s">
        <v>34</v>
      </c>
      <c r="K673" s="16">
        <f>AVERAGE('Weekly Data'!E621,'Weekly Data'!E569,'Weekly Data'!E517,'Weekly Data'!E465)</f>
        <v>1585.5</v>
      </c>
      <c r="L673" s="16">
        <f>AVERAGE('Weekly Data'!F621,'Weekly Data'!F569,'Weekly Data'!F517,'Weekly Data'!F465)</f>
        <v>1390.5</v>
      </c>
      <c r="M673" s="16">
        <f>AVERAGE('Weekly Data'!G621,'Weekly Data'!G569,'Weekly Data'!G517,'Weekly Data'!G465)</f>
        <v>4728.5</v>
      </c>
      <c r="N673" s="16">
        <f>AVERAGE('Weekly Data'!H621,'Weekly Data'!H569,'Weekly Data'!H517,'Weekly Data'!H465)</f>
        <v>385.25</v>
      </c>
      <c r="O673" s="16" t="s">
        <v>34</v>
      </c>
      <c r="P673" s="16"/>
      <c r="Q673" s="39"/>
      <c r="R673" s="13">
        <v>39001</v>
      </c>
      <c r="S673" s="16" t="s">
        <v>34</v>
      </c>
      <c r="T673" s="106">
        <f t="shared" si="13"/>
        <v>1670.5</v>
      </c>
      <c r="U673" s="109">
        <f t="shared" si="14"/>
        <v>1020.6875</v>
      </c>
      <c r="V673" s="109">
        <f t="shared" si="15"/>
        <v>3467.25</v>
      </c>
      <c r="W673" s="110">
        <f t="shared" si="16"/>
        <v>190.75</v>
      </c>
      <c r="X673" s="16" t="s">
        <v>34</v>
      </c>
      <c r="Y673" s="39"/>
      <c r="Z673" s="39"/>
      <c r="AA673" s="39"/>
      <c r="AB673" s="39"/>
      <c r="AC673" s="39"/>
      <c r="AD673" s="39"/>
      <c r="AE673" s="39"/>
      <c r="AF673" s="39"/>
      <c r="AG673" s="39"/>
      <c r="AH673" s="65"/>
    </row>
    <row r="674" spans="1:34" x14ac:dyDescent="0.25">
      <c r="A674" s="105">
        <f t="shared" si="17"/>
        <v>39008</v>
      </c>
      <c r="B674" s="59">
        <f>SUM('Weekly Data'!D671:D674)/4</f>
        <v>2860.5</v>
      </c>
      <c r="C674" s="90">
        <f>SUM('Weekly Data'!E671:E674)/4</f>
        <v>1636.75</v>
      </c>
      <c r="D674" s="90">
        <f>SUM('Weekly Data'!F671:F674)/4</f>
        <v>1288.25</v>
      </c>
      <c r="E674" s="90">
        <f>SUM('Weekly Data'!G671:G674)/4</f>
        <v>4348.5</v>
      </c>
      <c r="F674" s="90">
        <f>SUM('Weekly Data'!H671:H674)/4</f>
        <v>849</v>
      </c>
      <c r="G674" s="90">
        <f>SUM('Weekly Data'!I671:I674)/4</f>
        <v>9694.75</v>
      </c>
      <c r="H674" s="90"/>
      <c r="I674" s="39"/>
      <c r="J674" s="16" t="s">
        <v>34</v>
      </c>
      <c r="K674" s="16">
        <f>AVERAGE('Weekly Data'!E622,'Weekly Data'!E570,'Weekly Data'!E518,'Weekly Data'!E466)</f>
        <v>1370.5</v>
      </c>
      <c r="L674" s="16">
        <f>AVERAGE('Weekly Data'!F622,'Weekly Data'!F570,'Weekly Data'!F518,'Weekly Data'!F466)</f>
        <v>1092.25</v>
      </c>
      <c r="M674" s="16">
        <f>AVERAGE('Weekly Data'!G622,'Weekly Data'!G570,'Weekly Data'!G518,'Weekly Data'!G466)</f>
        <v>4857.25</v>
      </c>
      <c r="N674" s="16">
        <f>AVERAGE('Weekly Data'!H622,'Weekly Data'!H570,'Weekly Data'!H518,'Weekly Data'!H466)</f>
        <v>529</v>
      </c>
      <c r="O674" s="16" t="s">
        <v>34</v>
      </c>
      <c r="P674" s="16"/>
      <c r="Q674" s="39"/>
      <c r="R674" s="13">
        <v>39008</v>
      </c>
      <c r="S674" s="16" t="s">
        <v>34</v>
      </c>
      <c r="T674" s="106">
        <f t="shared" si="13"/>
        <v>1585.875</v>
      </c>
      <c r="U674" s="109">
        <f t="shared" si="14"/>
        <v>1085.3125</v>
      </c>
      <c r="V674" s="109">
        <f t="shared" si="15"/>
        <v>4037.75</v>
      </c>
      <c r="W674" s="110">
        <f t="shared" si="16"/>
        <v>273.6875</v>
      </c>
      <c r="X674" s="16" t="s">
        <v>34</v>
      </c>
      <c r="Y674" s="39"/>
      <c r="Z674" s="39"/>
      <c r="AA674" s="39"/>
      <c r="AB674" s="39"/>
      <c r="AC674" s="39"/>
      <c r="AD674" s="39"/>
      <c r="AE674" s="39"/>
      <c r="AF674" s="39"/>
      <c r="AG674" s="39"/>
      <c r="AH674" s="65"/>
    </row>
    <row r="675" spans="1:34" x14ac:dyDescent="0.25">
      <c r="A675" s="105">
        <f t="shared" si="17"/>
        <v>39015</v>
      </c>
      <c r="B675" s="59">
        <f>SUM('Weekly Data'!D672:D675)/4</f>
        <v>2950.5</v>
      </c>
      <c r="C675" s="90">
        <f>SUM('Weekly Data'!E672:E675)/4</f>
        <v>1577.75</v>
      </c>
      <c r="D675" s="90">
        <f>SUM('Weekly Data'!F672:F675)/4</f>
        <v>1145</v>
      </c>
      <c r="E675" s="90">
        <f>SUM('Weekly Data'!G672:G675)/4</f>
        <v>4617.25</v>
      </c>
      <c r="F675" s="90">
        <f>SUM('Weekly Data'!H672:H675)/4</f>
        <v>977.75</v>
      </c>
      <c r="G675" s="90">
        <f>SUM('Weekly Data'!I672:I675)/4</f>
        <v>10123.25</v>
      </c>
      <c r="H675" s="90"/>
      <c r="I675" s="39"/>
      <c r="J675" s="16" t="s">
        <v>34</v>
      </c>
      <c r="K675" s="16">
        <f>AVERAGE('Weekly Data'!E623,'Weekly Data'!E571,'Weekly Data'!E519,'Weekly Data'!E467)</f>
        <v>1767.25</v>
      </c>
      <c r="L675" s="16">
        <f>AVERAGE('Weekly Data'!F623,'Weekly Data'!F571,'Weekly Data'!F519,'Weekly Data'!F467)</f>
        <v>1233.75</v>
      </c>
      <c r="M675" s="16">
        <f>AVERAGE('Weekly Data'!G623,'Weekly Data'!G571,'Weekly Data'!G519,'Weekly Data'!G467)</f>
        <v>4602.5</v>
      </c>
      <c r="N675" s="16">
        <f>AVERAGE('Weekly Data'!H623,'Weekly Data'!H571,'Weekly Data'!H519,'Weekly Data'!H467)</f>
        <v>703.25</v>
      </c>
      <c r="O675" s="16" t="s">
        <v>34</v>
      </c>
      <c r="P675" s="16"/>
      <c r="Q675" s="39"/>
      <c r="R675" s="13">
        <v>39015</v>
      </c>
      <c r="S675" s="16" t="s">
        <v>34</v>
      </c>
      <c r="T675" s="106">
        <f t="shared" si="13"/>
        <v>1646.125</v>
      </c>
      <c r="U675" s="109">
        <f t="shared" si="14"/>
        <v>1165.4375</v>
      </c>
      <c r="V675" s="109">
        <f t="shared" si="15"/>
        <v>4379.9375</v>
      </c>
      <c r="W675" s="110">
        <f t="shared" si="16"/>
        <v>404.3125</v>
      </c>
      <c r="X675" s="16" t="s">
        <v>34</v>
      </c>
      <c r="Y675" s="39"/>
      <c r="Z675" s="39"/>
      <c r="AA675" s="39"/>
      <c r="AB675" s="39"/>
      <c r="AC675" s="39"/>
      <c r="AD675" s="39"/>
      <c r="AE675" s="39"/>
      <c r="AF675" s="39"/>
      <c r="AG675" s="39"/>
      <c r="AH675" s="65"/>
    </row>
    <row r="676" spans="1:34" x14ac:dyDescent="0.25">
      <c r="A676" s="105">
        <f t="shared" si="17"/>
        <v>39022</v>
      </c>
      <c r="B676" s="59">
        <f>SUM('Weekly Data'!D673:D676)/4</f>
        <v>2728.25</v>
      </c>
      <c r="C676" s="90">
        <f>SUM('Weekly Data'!E673:E676)/4</f>
        <v>1585.25</v>
      </c>
      <c r="D676" s="90">
        <f>SUM('Weekly Data'!F673:F676)/4</f>
        <v>946</v>
      </c>
      <c r="E676" s="90">
        <f>SUM('Weekly Data'!G673:G676)/4</f>
        <v>5038.5</v>
      </c>
      <c r="F676" s="90">
        <f>SUM('Weekly Data'!H673:H676)/4</f>
        <v>1053.75</v>
      </c>
      <c r="G676" s="90">
        <f>SUM('Weekly Data'!I673:I676)/4</f>
        <v>10405.75</v>
      </c>
      <c r="H676" s="90"/>
      <c r="I676" s="39"/>
      <c r="J676" s="16" t="s">
        <v>34</v>
      </c>
      <c r="K676" s="16">
        <f>AVERAGE('Weekly Data'!E624,'Weekly Data'!E572,'Weekly Data'!E520,'Weekly Data'!E468)</f>
        <v>1628.25</v>
      </c>
      <c r="L676" s="16">
        <f>AVERAGE('Weekly Data'!F624,'Weekly Data'!F572,'Weekly Data'!F520,'Weekly Data'!F468)</f>
        <v>1146</v>
      </c>
      <c r="M676" s="16">
        <f>AVERAGE('Weekly Data'!G624,'Weekly Data'!G572,'Weekly Data'!G520,'Weekly Data'!G468)</f>
        <v>4107.75</v>
      </c>
      <c r="N676" s="16">
        <f>AVERAGE('Weekly Data'!H624,'Weekly Data'!H572,'Weekly Data'!H520,'Weekly Data'!H468)</f>
        <v>755.75</v>
      </c>
      <c r="O676" s="16" t="s">
        <v>34</v>
      </c>
      <c r="P676" s="16"/>
      <c r="Q676" s="39"/>
      <c r="R676" s="13">
        <v>39022</v>
      </c>
      <c r="S676" s="16" t="s">
        <v>34</v>
      </c>
      <c r="T676" s="106">
        <f t="shared" si="13"/>
        <v>1547.9375</v>
      </c>
      <c r="U676" s="109">
        <f t="shared" si="14"/>
        <v>1249.875</v>
      </c>
      <c r="V676" s="109">
        <f t="shared" si="15"/>
        <v>4424.9375</v>
      </c>
      <c r="W676" s="110">
        <f t="shared" si="16"/>
        <v>563.375</v>
      </c>
      <c r="X676" s="16" t="s">
        <v>34</v>
      </c>
      <c r="Y676" s="39"/>
      <c r="Z676" s="39"/>
      <c r="AA676" s="39"/>
      <c r="AB676" s="39"/>
      <c r="AC676" s="39"/>
      <c r="AD676" s="39"/>
      <c r="AE676" s="39"/>
      <c r="AF676" s="39"/>
      <c r="AG676" s="39"/>
      <c r="AH676" s="65"/>
    </row>
    <row r="677" spans="1:34" x14ac:dyDescent="0.25">
      <c r="A677" s="105">
        <f t="shared" si="17"/>
        <v>39029</v>
      </c>
      <c r="B677" s="59">
        <f>SUM('Weekly Data'!D674:D677)/4</f>
        <v>2561.5</v>
      </c>
      <c r="C677" s="90">
        <f>SUM('Weekly Data'!E674:E677)/4</f>
        <v>1533.25</v>
      </c>
      <c r="D677" s="90">
        <f>SUM('Weekly Data'!F674:F677)/4</f>
        <v>866</v>
      </c>
      <c r="E677" s="90">
        <f>SUM('Weekly Data'!G674:G677)/4</f>
        <v>4740.5</v>
      </c>
      <c r="F677" s="90">
        <f>SUM('Weekly Data'!H674:H677)/4</f>
        <v>1117</v>
      </c>
      <c r="G677" s="90">
        <f>SUM('Weekly Data'!I674:I677)/4</f>
        <v>9952.25</v>
      </c>
      <c r="H677" s="90"/>
      <c r="I677" s="39"/>
      <c r="J677" s="16" t="s">
        <v>34</v>
      </c>
      <c r="K677" s="16">
        <f>AVERAGE('Weekly Data'!E625,'Weekly Data'!E573,'Weekly Data'!E521,'Weekly Data'!E469)</f>
        <v>1730</v>
      </c>
      <c r="L677" s="16">
        <f>AVERAGE('Weekly Data'!F625,'Weekly Data'!F573,'Weekly Data'!F521,'Weekly Data'!F469)</f>
        <v>1219</v>
      </c>
      <c r="M677" s="16">
        <f>AVERAGE('Weekly Data'!G625,'Weekly Data'!G573,'Weekly Data'!G521,'Weekly Data'!G469)</f>
        <v>4390</v>
      </c>
      <c r="N677" s="16">
        <f>AVERAGE('Weekly Data'!H625,'Weekly Data'!H573,'Weekly Data'!H521,'Weekly Data'!H469)</f>
        <v>792.5</v>
      </c>
      <c r="O677" s="16" t="s">
        <v>34</v>
      </c>
      <c r="P677" s="16"/>
      <c r="Q677" s="39"/>
      <c r="R677" s="13">
        <v>39029</v>
      </c>
      <c r="S677" s="16" t="s">
        <v>34</v>
      </c>
      <c r="T677" s="106">
        <f t="shared" si="13"/>
        <v>1621.875</v>
      </c>
      <c r="U677" s="109">
        <f t="shared" si="14"/>
        <v>1201.625</v>
      </c>
      <c r="V677" s="109">
        <f t="shared" si="15"/>
        <v>4473.0625</v>
      </c>
      <c r="W677" s="110">
        <f t="shared" si="16"/>
        <v>685.9375</v>
      </c>
      <c r="X677" s="16" t="s">
        <v>34</v>
      </c>
      <c r="Y677" s="39"/>
      <c r="Z677" s="39"/>
      <c r="AA677" s="39"/>
      <c r="AB677" s="39"/>
      <c r="AC677" s="39"/>
      <c r="AD677" s="39"/>
      <c r="AE677" s="39"/>
      <c r="AF677" s="39"/>
      <c r="AG677" s="39"/>
      <c r="AH677" s="65"/>
    </row>
    <row r="678" spans="1:34" x14ac:dyDescent="0.25">
      <c r="A678" s="105">
        <f t="shared" si="17"/>
        <v>39036</v>
      </c>
      <c r="B678" s="59">
        <f>SUM('Weekly Data'!D675:D678)/4</f>
        <v>2557.25</v>
      </c>
      <c r="C678" s="90">
        <f>SUM('Weekly Data'!E675:E678)/4</f>
        <v>1632.25</v>
      </c>
      <c r="D678" s="90">
        <f>SUM('Weekly Data'!F675:F678)/4</f>
        <v>744.25</v>
      </c>
      <c r="E678" s="90">
        <f>SUM('Weekly Data'!G675:G678)/4</f>
        <v>4384.5</v>
      </c>
      <c r="F678" s="90">
        <f>SUM('Weekly Data'!H675:H678)/4</f>
        <v>1084.25</v>
      </c>
      <c r="G678" s="90">
        <f>SUM('Weekly Data'!I675:I678)/4</f>
        <v>9658.25</v>
      </c>
      <c r="H678" s="90"/>
      <c r="I678" s="39"/>
      <c r="J678" s="16" t="s">
        <v>34</v>
      </c>
      <c r="K678" s="16">
        <f>AVERAGE('Weekly Data'!E626,'Weekly Data'!E574,'Weekly Data'!E522,'Weekly Data'!E470)</f>
        <v>1765.25</v>
      </c>
      <c r="L678" s="16">
        <f>AVERAGE('Weekly Data'!F626,'Weekly Data'!F574,'Weekly Data'!F522,'Weekly Data'!F470)</f>
        <v>1071</v>
      </c>
      <c r="M678" s="16">
        <f>AVERAGE('Weekly Data'!G626,'Weekly Data'!G574,'Weekly Data'!G522,'Weekly Data'!G470)</f>
        <v>4457.75</v>
      </c>
      <c r="N678" s="16">
        <f>AVERAGE('Weekly Data'!H626,'Weekly Data'!H574,'Weekly Data'!H522,'Weekly Data'!H470)</f>
        <v>591</v>
      </c>
      <c r="O678" s="16" t="s">
        <v>34</v>
      </c>
      <c r="P678" s="16"/>
      <c r="Q678" s="39"/>
      <c r="R678" s="13">
        <v>39036</v>
      </c>
      <c r="S678" s="16" t="s">
        <v>34</v>
      </c>
      <c r="T678" s="106">
        <f t="shared" si="13"/>
        <v>1682.5</v>
      </c>
      <c r="U678" s="109">
        <f t="shared" si="14"/>
        <v>1169.75</v>
      </c>
      <c r="V678" s="109">
        <f t="shared" si="15"/>
        <v>4414.9375</v>
      </c>
      <c r="W678" s="110">
        <f t="shared" si="16"/>
        <v>721.625</v>
      </c>
      <c r="X678" s="16" t="s">
        <v>34</v>
      </c>
      <c r="Y678" s="39"/>
      <c r="Z678" s="39"/>
      <c r="AA678" s="39"/>
      <c r="AB678" s="39"/>
      <c r="AC678" s="39"/>
      <c r="AD678" s="39"/>
      <c r="AE678" s="39"/>
      <c r="AF678" s="39"/>
      <c r="AG678" s="39"/>
      <c r="AH678" s="65"/>
    </row>
    <row r="679" spans="1:34" x14ac:dyDescent="0.25">
      <c r="A679" s="105">
        <f t="shared" si="17"/>
        <v>39043</v>
      </c>
      <c r="B679" s="59">
        <f>SUM('Weekly Data'!D676:D679)/4</f>
        <v>2447.25</v>
      </c>
      <c r="C679" s="90">
        <f>SUM('Weekly Data'!E676:E679)/4</f>
        <v>1754.25</v>
      </c>
      <c r="D679" s="90">
        <f>SUM('Weekly Data'!F676:F679)/4</f>
        <v>743.25</v>
      </c>
      <c r="E679" s="90">
        <f>SUM('Weekly Data'!G676:G679)/4</f>
        <v>4577.5</v>
      </c>
      <c r="F679" s="90">
        <f>SUM('Weekly Data'!H676:H679)/4</f>
        <v>906.25</v>
      </c>
      <c r="G679" s="90">
        <f>SUM('Weekly Data'!I676:I679)/4</f>
        <v>9685.25</v>
      </c>
      <c r="H679" s="90"/>
      <c r="I679" s="39"/>
      <c r="J679" s="16" t="s">
        <v>34</v>
      </c>
      <c r="K679" s="16">
        <f>AVERAGE('Weekly Data'!E627,'Weekly Data'!E575,'Weekly Data'!E523,'Weekly Data'!E471)</f>
        <v>1903.75</v>
      </c>
      <c r="L679" s="16">
        <f>AVERAGE('Weekly Data'!F627,'Weekly Data'!F575,'Weekly Data'!F523,'Weekly Data'!F471)</f>
        <v>1078</v>
      </c>
      <c r="M679" s="16">
        <f>AVERAGE('Weekly Data'!G627,'Weekly Data'!G575,'Weekly Data'!G523,'Weekly Data'!G471)</f>
        <v>4498.25</v>
      </c>
      <c r="N679" s="16">
        <f>AVERAGE('Weekly Data'!H627,'Weekly Data'!H575,'Weekly Data'!H523,'Weekly Data'!H471)</f>
        <v>529.5</v>
      </c>
      <c r="O679" s="16" t="s">
        <v>34</v>
      </c>
      <c r="P679" s="16"/>
      <c r="Q679" s="39"/>
      <c r="R679" s="13">
        <v>39043</v>
      </c>
      <c r="S679" s="16" t="s">
        <v>34</v>
      </c>
      <c r="T679" s="106">
        <f t="shared" si="13"/>
        <v>1721.0625</v>
      </c>
      <c r="U679" s="109">
        <f t="shared" si="14"/>
        <v>1142.625</v>
      </c>
      <c r="V679" s="109">
        <f t="shared" si="15"/>
        <v>4354.125</v>
      </c>
      <c r="W679" s="110">
        <f t="shared" si="16"/>
        <v>707.1875</v>
      </c>
      <c r="X679" s="16" t="s">
        <v>34</v>
      </c>
      <c r="Y679" s="39"/>
      <c r="Z679" s="39"/>
      <c r="AA679" s="39"/>
      <c r="AB679" s="39"/>
      <c r="AC679" s="39"/>
      <c r="AD679" s="39"/>
      <c r="AE679" s="39"/>
      <c r="AF679" s="39"/>
      <c r="AG679" s="39"/>
      <c r="AH679" s="65"/>
    </row>
    <row r="680" spans="1:34" x14ac:dyDescent="0.25">
      <c r="A680" s="105">
        <f t="shared" si="17"/>
        <v>39050</v>
      </c>
      <c r="B680" s="59">
        <f>SUM('Weekly Data'!D677:D680)/4</f>
        <v>2291.5</v>
      </c>
      <c r="C680" s="90">
        <f>SUM('Weekly Data'!E677:E680)/4</f>
        <v>1976.25</v>
      </c>
      <c r="D680" s="90">
        <f>SUM('Weekly Data'!F677:F680)/4</f>
        <v>681.5</v>
      </c>
      <c r="E680" s="90">
        <f>SUM('Weekly Data'!G677:G680)/4</f>
        <v>3966.25</v>
      </c>
      <c r="F680" s="90">
        <f>SUM('Weekly Data'!H677:H680)/4</f>
        <v>827.25</v>
      </c>
      <c r="G680" s="90">
        <f>SUM('Weekly Data'!I677:I680)/4</f>
        <v>9061.25</v>
      </c>
      <c r="H680" s="90"/>
      <c r="I680" s="39"/>
      <c r="J680" s="16" t="s">
        <v>34</v>
      </c>
      <c r="K680" s="16">
        <f>AVERAGE('Weekly Data'!E628,'Weekly Data'!E576,'Weekly Data'!E524,'Weekly Data'!E472)</f>
        <v>1883.5</v>
      </c>
      <c r="L680" s="16">
        <f>AVERAGE('Weekly Data'!F628,'Weekly Data'!F576,'Weekly Data'!F524,'Weekly Data'!F472)</f>
        <v>1472.75</v>
      </c>
      <c r="M680" s="16">
        <f>AVERAGE('Weekly Data'!G628,'Weekly Data'!G576,'Weekly Data'!G524,'Weekly Data'!G472)</f>
        <v>3738.25</v>
      </c>
      <c r="N680" s="16">
        <f>AVERAGE('Weekly Data'!H628,'Weekly Data'!H576,'Weekly Data'!H524,'Weekly Data'!H472)</f>
        <v>512.75</v>
      </c>
      <c r="O680" s="16" t="s">
        <v>34</v>
      </c>
      <c r="P680" s="16"/>
      <c r="Q680" s="39"/>
      <c r="R680" s="13">
        <v>39050</v>
      </c>
      <c r="S680" s="16" t="s">
        <v>34</v>
      </c>
      <c r="T680" s="106">
        <f t="shared" si="13"/>
        <v>1841.5</v>
      </c>
      <c r="U680" s="109">
        <f t="shared" si="14"/>
        <v>1200.3125</v>
      </c>
      <c r="V680" s="109">
        <f t="shared" si="15"/>
        <v>4314.625</v>
      </c>
      <c r="W680" s="110">
        <f t="shared" si="16"/>
        <v>615.5625</v>
      </c>
      <c r="X680" s="16" t="s">
        <v>34</v>
      </c>
      <c r="Y680" s="39"/>
      <c r="Z680" s="39"/>
      <c r="AA680" s="39"/>
      <c r="AB680" s="39"/>
      <c r="AC680" s="39"/>
      <c r="AD680" s="39"/>
      <c r="AE680" s="39"/>
      <c r="AF680" s="39"/>
      <c r="AG680" s="39"/>
      <c r="AH680" s="65"/>
    </row>
    <row r="681" spans="1:34" x14ac:dyDescent="0.25">
      <c r="A681" s="105">
        <f t="shared" si="17"/>
        <v>39057</v>
      </c>
      <c r="B681" s="59">
        <f>SUM('Weekly Data'!D678:D681)/4</f>
        <v>2255.75</v>
      </c>
      <c r="C681" s="90">
        <f>SUM('Weekly Data'!E678:E681)/4</f>
        <v>1872.5</v>
      </c>
      <c r="D681" s="90">
        <f>SUM('Weekly Data'!F678:F681)/4</f>
        <v>692.75</v>
      </c>
      <c r="E681" s="90">
        <f>SUM('Weekly Data'!G678:G681)/4</f>
        <v>4128.75</v>
      </c>
      <c r="F681" s="90">
        <f>SUM('Weekly Data'!H678:H681)/4</f>
        <v>756.5</v>
      </c>
      <c r="G681" s="90">
        <f>SUM('Weekly Data'!I678:I681)/4</f>
        <v>9013.5</v>
      </c>
      <c r="H681" s="90"/>
      <c r="I681" s="39"/>
      <c r="J681" s="16" t="s">
        <v>34</v>
      </c>
      <c r="K681" s="16">
        <f>AVERAGE('Weekly Data'!E629,'Weekly Data'!E577,'Weekly Data'!E525,'Weekly Data'!E473)</f>
        <v>1610.75</v>
      </c>
      <c r="L681" s="16">
        <f>AVERAGE('Weekly Data'!F629,'Weekly Data'!F577,'Weekly Data'!F525,'Weekly Data'!F473)</f>
        <v>1307</v>
      </c>
      <c r="M681" s="16">
        <f>AVERAGE('Weekly Data'!G629,'Weekly Data'!G577,'Weekly Data'!G525,'Weekly Data'!G473)</f>
        <v>3552.75</v>
      </c>
      <c r="N681" s="16">
        <f>AVERAGE('Weekly Data'!H629,'Weekly Data'!H577,'Weekly Data'!H525,'Weekly Data'!H473)</f>
        <v>325.5</v>
      </c>
      <c r="O681" s="16" t="s">
        <v>34</v>
      </c>
      <c r="P681" s="16"/>
      <c r="Q681" s="39"/>
      <c r="R681" s="13">
        <v>39057</v>
      </c>
      <c r="S681" s="16" t="s">
        <v>34</v>
      </c>
      <c r="T681" s="106">
        <f t="shared" si="13"/>
        <v>1816.375</v>
      </c>
      <c r="U681" s="109">
        <f t="shared" si="14"/>
        <v>1232.875</v>
      </c>
      <c r="V681" s="109">
        <f t="shared" si="15"/>
        <v>4124.0625</v>
      </c>
      <c r="W681" s="110">
        <f t="shared" si="16"/>
        <v>510.1875</v>
      </c>
      <c r="X681" s="16" t="s">
        <v>34</v>
      </c>
      <c r="Y681" s="39"/>
      <c r="Z681" s="39"/>
      <c r="AA681" s="39"/>
      <c r="AB681" s="39"/>
      <c r="AC681" s="39"/>
      <c r="AD681" s="39"/>
      <c r="AE681" s="39"/>
      <c r="AF681" s="39"/>
      <c r="AG681" s="39"/>
      <c r="AH681" s="65"/>
    </row>
    <row r="682" spans="1:34" x14ac:dyDescent="0.25">
      <c r="A682" s="105">
        <f t="shared" si="17"/>
        <v>39064</v>
      </c>
      <c r="B682" s="59">
        <f>SUM('Weekly Data'!D679:D682)/4</f>
        <v>2053</v>
      </c>
      <c r="C682" s="90">
        <f>SUM('Weekly Data'!E679:E682)/4</f>
        <v>2023.5</v>
      </c>
      <c r="D682" s="90">
        <f>SUM('Weekly Data'!F679:F682)/4</f>
        <v>817.5</v>
      </c>
      <c r="E682" s="90">
        <f>SUM('Weekly Data'!G679:G682)/4</f>
        <v>4369.5</v>
      </c>
      <c r="F682" s="90">
        <f>SUM('Weekly Data'!H679:H682)/4</f>
        <v>707.75</v>
      </c>
      <c r="G682" s="90">
        <f>SUM('Weekly Data'!I679:I682)/4</f>
        <v>9153.75</v>
      </c>
      <c r="H682" s="90"/>
      <c r="I682" s="39"/>
      <c r="J682" s="16" t="s">
        <v>34</v>
      </c>
      <c r="K682" s="16">
        <f>AVERAGE('Weekly Data'!E630,'Weekly Data'!E578,'Weekly Data'!E526,'Weekly Data'!E474)</f>
        <v>1505.75</v>
      </c>
      <c r="L682" s="16">
        <f>AVERAGE('Weekly Data'!F630,'Weekly Data'!F578,'Weekly Data'!F526,'Weekly Data'!F474)</f>
        <v>1449</v>
      </c>
      <c r="M682" s="16">
        <f>AVERAGE('Weekly Data'!G630,'Weekly Data'!G578,'Weekly Data'!G526,'Weekly Data'!G474)</f>
        <v>3681.5</v>
      </c>
      <c r="N682" s="16">
        <f>AVERAGE('Weekly Data'!H630,'Weekly Data'!H578,'Weekly Data'!H526,'Weekly Data'!H474)</f>
        <v>551.5</v>
      </c>
      <c r="O682" s="16" t="s">
        <v>34</v>
      </c>
      <c r="P682" s="16"/>
      <c r="Q682" s="39"/>
      <c r="R682" s="13">
        <v>39064</v>
      </c>
      <c r="S682" s="16" t="s">
        <v>34</v>
      </c>
      <c r="T682" s="106">
        <f t="shared" si="13"/>
        <v>1758.0625</v>
      </c>
      <c r="U682" s="109">
        <f t="shared" si="14"/>
        <v>1310.375</v>
      </c>
      <c r="V682" s="109">
        <f t="shared" si="15"/>
        <v>3955.375</v>
      </c>
      <c r="W682" s="110">
        <f t="shared" si="16"/>
        <v>468.625</v>
      </c>
      <c r="X682" s="16" t="s">
        <v>34</v>
      </c>
      <c r="Y682" s="39"/>
      <c r="Z682" s="39"/>
      <c r="AA682" s="39"/>
      <c r="AB682" s="39"/>
      <c r="AC682" s="39"/>
      <c r="AD682" s="39"/>
      <c r="AE682" s="39"/>
      <c r="AF682" s="39"/>
      <c r="AG682" s="39"/>
      <c r="AH682" s="65"/>
    </row>
    <row r="683" spans="1:34" x14ac:dyDescent="0.25">
      <c r="A683" s="105">
        <f t="shared" si="17"/>
        <v>39071</v>
      </c>
      <c r="B683" s="59">
        <f>SUM('Weekly Data'!D680:D683)/4</f>
        <v>2040.25</v>
      </c>
      <c r="C683" s="90">
        <f>SUM('Weekly Data'!E680:E683)/4</f>
        <v>2018</v>
      </c>
      <c r="D683" s="90">
        <f>SUM('Weekly Data'!F680:F683)/4</f>
        <v>906</v>
      </c>
      <c r="E683" s="90">
        <f>SUM('Weekly Data'!G680:G683)/4</f>
        <v>4175.75</v>
      </c>
      <c r="F683" s="90">
        <f>SUM('Weekly Data'!H680:H683)/4</f>
        <v>693.5</v>
      </c>
      <c r="G683" s="90">
        <f>SUM('Weekly Data'!I680:I683)/4</f>
        <v>8927.5</v>
      </c>
      <c r="H683" s="90"/>
      <c r="I683" s="39"/>
      <c r="J683" s="16" t="s">
        <v>34</v>
      </c>
      <c r="K683" s="16">
        <f>AVERAGE('Weekly Data'!E631,'Weekly Data'!E579,'Weekly Data'!E527,'Weekly Data'!E475)</f>
        <v>1797.25</v>
      </c>
      <c r="L683" s="16">
        <f>AVERAGE('Weekly Data'!F631,'Weekly Data'!F579,'Weekly Data'!F527,'Weekly Data'!F475)</f>
        <v>1568.25</v>
      </c>
      <c r="M683" s="16">
        <f>AVERAGE('Weekly Data'!G631,'Weekly Data'!G579,'Weekly Data'!G527,'Weekly Data'!G475)</f>
        <v>3960</v>
      </c>
      <c r="N683" s="16">
        <f>AVERAGE('Weekly Data'!H631,'Weekly Data'!H579,'Weekly Data'!H527,'Weekly Data'!H475)</f>
        <v>512.75</v>
      </c>
      <c r="O683" s="16" t="s">
        <v>34</v>
      </c>
      <c r="P683" s="16"/>
      <c r="Q683" s="39"/>
      <c r="R683" s="13">
        <v>39071</v>
      </c>
      <c r="S683" s="16" t="s">
        <v>34</v>
      </c>
      <c r="T683" s="106">
        <f t="shared" si="13"/>
        <v>1758.3125</v>
      </c>
      <c r="U683" s="109">
        <f t="shared" si="14"/>
        <v>1422.8125</v>
      </c>
      <c r="V683" s="109">
        <f t="shared" si="15"/>
        <v>3820</v>
      </c>
      <c r="W683" s="110">
        <f t="shared" si="16"/>
        <v>442.5</v>
      </c>
      <c r="X683" s="16" t="s">
        <v>34</v>
      </c>
      <c r="Y683" s="39"/>
      <c r="Z683" s="39"/>
      <c r="AA683" s="39"/>
      <c r="AB683" s="39"/>
      <c r="AC683" s="39"/>
      <c r="AD683" s="39"/>
      <c r="AE683" s="39"/>
      <c r="AF683" s="39"/>
      <c r="AG683" s="39"/>
      <c r="AH683" s="65"/>
    </row>
    <row r="684" spans="1:34" x14ac:dyDescent="0.25">
      <c r="A684" s="105">
        <f t="shared" si="17"/>
        <v>39078</v>
      </c>
      <c r="B684" s="59">
        <f>SUM('Weekly Data'!D681:D684)/4</f>
        <v>2057.75</v>
      </c>
      <c r="C684" s="90">
        <f>SUM('Weekly Data'!E681:E684)/4</f>
        <v>1839.75</v>
      </c>
      <c r="D684" s="90">
        <f>SUM('Weekly Data'!F681:F684)/4</f>
        <v>969.75</v>
      </c>
      <c r="E684" s="90">
        <f>SUM('Weekly Data'!G681:G684)/4</f>
        <v>4339.75</v>
      </c>
      <c r="F684" s="90">
        <f>SUM('Weekly Data'!H681:H684)/4</f>
        <v>596.75</v>
      </c>
      <c r="G684" s="90">
        <f>SUM('Weekly Data'!I681:I684)/4</f>
        <v>8834</v>
      </c>
      <c r="H684" s="90"/>
      <c r="I684" s="39"/>
      <c r="J684" s="16" t="s">
        <v>34</v>
      </c>
      <c r="K684" s="16">
        <f>AVERAGE('Weekly Data'!E632,'Weekly Data'!E580,'Weekly Data'!E528,'Weekly Data'!E476)</f>
        <v>1606.25</v>
      </c>
      <c r="L684" s="16">
        <f>AVERAGE('Weekly Data'!F632,'Weekly Data'!F580,'Weekly Data'!F528,'Weekly Data'!F476)</f>
        <v>1036</v>
      </c>
      <c r="M684" s="16">
        <f>AVERAGE('Weekly Data'!G632,'Weekly Data'!G580,'Weekly Data'!G528,'Weekly Data'!G476)</f>
        <v>2929.75</v>
      </c>
      <c r="N684" s="16">
        <f>AVERAGE('Weekly Data'!H632,'Weekly Data'!H580,'Weekly Data'!H528,'Weekly Data'!H476)</f>
        <v>387.75</v>
      </c>
      <c r="O684" s="16" t="s">
        <v>34</v>
      </c>
      <c r="P684" s="16"/>
      <c r="Q684" s="39"/>
      <c r="R684" s="13">
        <v>39078</v>
      </c>
      <c r="S684" s="16" t="s">
        <v>34</v>
      </c>
      <c r="T684" s="106">
        <f t="shared" si="13"/>
        <v>1618.3125</v>
      </c>
      <c r="U684" s="109">
        <f t="shared" si="14"/>
        <v>1370.9375</v>
      </c>
      <c r="V684" s="109">
        <f t="shared" si="15"/>
        <v>3595.1875</v>
      </c>
      <c r="W684" s="110">
        <f t="shared" si="16"/>
        <v>425.0625</v>
      </c>
      <c r="X684" s="16" t="s">
        <v>34</v>
      </c>
      <c r="Y684" s="39"/>
      <c r="Z684" s="39"/>
      <c r="AA684" s="39"/>
      <c r="AB684" s="39"/>
      <c r="AC684" s="39"/>
      <c r="AD684" s="39"/>
      <c r="AE684" s="39"/>
      <c r="AF684" s="39"/>
      <c r="AG684" s="39"/>
      <c r="AH684" s="65"/>
    </row>
    <row r="685" spans="1:34" x14ac:dyDescent="0.25">
      <c r="A685" s="105">
        <f t="shared" si="17"/>
        <v>39085</v>
      </c>
      <c r="B685" s="59">
        <f>SUM('Weekly Data'!D682:D685)/4</f>
        <v>1880.25</v>
      </c>
      <c r="C685" s="90">
        <f>SUM('Weekly Data'!E682:E685)/4</f>
        <v>1992</v>
      </c>
      <c r="D685" s="90">
        <f>SUM('Weekly Data'!F682:F685)/4</f>
        <v>831.75</v>
      </c>
      <c r="E685" s="90">
        <f>SUM('Weekly Data'!G682:G685)/4</f>
        <v>4316.75</v>
      </c>
      <c r="F685" s="90">
        <f>SUM('Weekly Data'!H682:H685)/4</f>
        <v>546.25</v>
      </c>
      <c r="G685" s="90">
        <f>SUM('Weekly Data'!I682:I685)/4</f>
        <v>8735.25</v>
      </c>
      <c r="H685" s="90"/>
      <c r="I685" s="39"/>
      <c r="J685" s="95">
        <f>AVERAGE('Weekly Data'!D633,'Weekly Data'!D581,'Weekly Data'!D529)</f>
        <v>1267.3333333333333</v>
      </c>
      <c r="K685" s="16">
        <f>AVERAGE('Weekly Data'!E633,'Weekly Data'!E581,'Weekly Data'!E529,'Weekly Data'!E477)</f>
        <v>1932</v>
      </c>
      <c r="L685" s="16">
        <f>AVERAGE('Weekly Data'!F633,'Weekly Data'!F581,'Weekly Data'!F529,'Weekly Data'!F477)</f>
        <v>1121.5</v>
      </c>
      <c r="M685" s="16">
        <f>AVERAGE('Weekly Data'!G633,'Weekly Data'!G581,'Weekly Data'!G529,'Weekly Data'!G477)</f>
        <v>3188</v>
      </c>
      <c r="N685" s="16">
        <f>AVERAGE('Weekly Data'!H633,'Weekly Data'!H581,'Weekly Data'!H529,'Weekly Data'!H477)</f>
        <v>435.75</v>
      </c>
      <c r="O685" s="95">
        <f>AVERAGE('Weekly Data'!I633,'Weekly Data'!I581,'Weekly Data'!I529)</f>
        <v>7151.333333333333</v>
      </c>
      <c r="P685" s="203"/>
      <c r="Q685" s="39"/>
      <c r="R685" s="13">
        <v>39085</v>
      </c>
      <c r="S685" s="94">
        <f t="shared" ref="S685:S716" si="18">AVERAGE(B633,B581,B529)</f>
        <v>1193</v>
      </c>
      <c r="T685" s="106">
        <f t="shared" si="13"/>
        <v>1665.8125</v>
      </c>
      <c r="U685" s="109">
        <f t="shared" si="14"/>
        <v>1276.625</v>
      </c>
      <c r="V685" s="109">
        <f t="shared" si="15"/>
        <v>3449.9375</v>
      </c>
      <c r="W685" s="110">
        <f t="shared" si="16"/>
        <v>437.875</v>
      </c>
      <c r="X685" s="94">
        <f t="shared" ref="X685:X716" si="19">AVERAGE(G633,G581,G529)</f>
        <v>7470.125</v>
      </c>
      <c r="Y685" s="39"/>
      <c r="Z685" s="39"/>
      <c r="AA685" s="39"/>
      <c r="AB685" s="39"/>
      <c r="AC685" s="39"/>
      <c r="AD685" s="39"/>
      <c r="AE685" s="39"/>
      <c r="AF685" s="39"/>
      <c r="AG685" s="39"/>
      <c r="AH685" s="65"/>
    </row>
    <row r="686" spans="1:34" x14ac:dyDescent="0.25">
      <c r="A686" s="105">
        <f t="shared" si="17"/>
        <v>39092</v>
      </c>
      <c r="B686" s="59">
        <f>SUM('Weekly Data'!D683:D686)/4</f>
        <v>1884.75</v>
      </c>
      <c r="C686" s="90">
        <f>SUM('Weekly Data'!E683:E686)/4</f>
        <v>1788.25</v>
      </c>
      <c r="D686" s="90">
        <f>SUM('Weekly Data'!F683:F686)/4</f>
        <v>588.75</v>
      </c>
      <c r="E686" s="90">
        <f>SUM('Weekly Data'!G683:G686)/4</f>
        <v>4396.5</v>
      </c>
      <c r="F686" s="90">
        <f>SUM('Weekly Data'!H683:H686)/4</f>
        <v>605.25</v>
      </c>
      <c r="G686" s="90">
        <f>SUM('Weekly Data'!I683:I686)/4</f>
        <v>8674.75</v>
      </c>
      <c r="H686" s="90"/>
      <c r="I686" s="39"/>
      <c r="J686" s="95">
        <f>AVERAGE('Weekly Data'!D634,'Weekly Data'!D582,'Weekly Data'!D530)</f>
        <v>1327</v>
      </c>
      <c r="K686" s="16">
        <f>AVERAGE('Weekly Data'!E634,'Weekly Data'!E582,'Weekly Data'!E530,'Weekly Data'!E478)</f>
        <v>2083.25</v>
      </c>
      <c r="L686" s="16">
        <f>AVERAGE('Weekly Data'!F634,'Weekly Data'!F582,'Weekly Data'!F530,'Weekly Data'!F478)</f>
        <v>858.25</v>
      </c>
      <c r="M686" s="16">
        <f>AVERAGE('Weekly Data'!G634,'Weekly Data'!G582,'Weekly Data'!G530,'Weekly Data'!G478)</f>
        <v>3378.5</v>
      </c>
      <c r="N686" s="16">
        <f>AVERAGE('Weekly Data'!H634,'Weekly Data'!H582,'Weekly Data'!H530,'Weekly Data'!H478)</f>
        <v>567</v>
      </c>
      <c r="O686" s="95">
        <f>AVERAGE('Weekly Data'!I634,'Weekly Data'!I582,'Weekly Data'!I530)</f>
        <v>8177.333333333333</v>
      </c>
      <c r="P686" s="203"/>
      <c r="Q686" s="39"/>
      <c r="R686" s="13">
        <v>39092</v>
      </c>
      <c r="S686" s="94">
        <f t="shared" si="18"/>
        <v>1235.125</v>
      </c>
      <c r="T686" s="106">
        <f t="shared" si="13"/>
        <v>1867.6875</v>
      </c>
      <c r="U686" s="109">
        <f t="shared" si="14"/>
        <v>1149.125</v>
      </c>
      <c r="V686" s="109">
        <f t="shared" si="15"/>
        <v>3385.1875</v>
      </c>
      <c r="W686" s="110">
        <f t="shared" si="16"/>
        <v>481.25</v>
      </c>
      <c r="X686" s="94">
        <f t="shared" si="19"/>
        <v>7460.5</v>
      </c>
      <c r="Y686" s="39"/>
      <c r="Z686" s="39"/>
      <c r="AA686" s="39"/>
      <c r="AB686" s="39"/>
      <c r="AC686" s="39"/>
      <c r="AD686" s="39"/>
      <c r="AE686" s="39"/>
      <c r="AF686" s="39"/>
      <c r="AG686" s="39"/>
      <c r="AH686" s="65"/>
    </row>
    <row r="687" spans="1:34" x14ac:dyDescent="0.25">
      <c r="A687" s="105">
        <f t="shared" si="17"/>
        <v>39099</v>
      </c>
      <c r="B687" s="59">
        <f>SUM('Weekly Data'!D684:D687)/4</f>
        <v>1964.25</v>
      </c>
      <c r="C687" s="90">
        <f>SUM('Weekly Data'!E684:E687)/4</f>
        <v>1492</v>
      </c>
      <c r="D687" s="90">
        <f>SUM('Weekly Data'!F684:F687)/4</f>
        <v>471.75</v>
      </c>
      <c r="E687" s="90">
        <f>SUM('Weekly Data'!G684:G687)/4</f>
        <v>4348.25</v>
      </c>
      <c r="F687" s="90">
        <f>SUM('Weekly Data'!H684:H687)/4</f>
        <v>592.25</v>
      </c>
      <c r="G687" s="90">
        <f>SUM('Weekly Data'!I684:I687)/4</f>
        <v>8396.75</v>
      </c>
      <c r="H687" s="90"/>
      <c r="I687" s="39"/>
      <c r="J687" s="95">
        <f>AVERAGE('Weekly Data'!D635,'Weekly Data'!D583,'Weekly Data'!D531)</f>
        <v>1827.3333333333333</v>
      </c>
      <c r="K687" s="16">
        <f>AVERAGE('Weekly Data'!E635,'Weekly Data'!E583,'Weekly Data'!E531,'Weekly Data'!E479)</f>
        <v>1668</v>
      </c>
      <c r="L687" s="16">
        <f>AVERAGE('Weekly Data'!F635,'Weekly Data'!F583,'Weekly Data'!F531,'Weekly Data'!F479)</f>
        <v>965.75</v>
      </c>
      <c r="M687" s="16">
        <f>AVERAGE('Weekly Data'!G635,'Weekly Data'!G583,'Weekly Data'!G531,'Weekly Data'!G479)</f>
        <v>3691</v>
      </c>
      <c r="N687" s="16">
        <f>AVERAGE('Weekly Data'!H635,'Weekly Data'!H583,'Weekly Data'!H531,'Weekly Data'!H479)</f>
        <v>535</v>
      </c>
      <c r="O687" s="95">
        <f>AVERAGE('Weekly Data'!I635,'Weekly Data'!I583,'Weekly Data'!I531)</f>
        <v>8219</v>
      </c>
      <c r="P687" s="203"/>
      <c r="Q687" s="39"/>
      <c r="R687" s="13">
        <v>39099</v>
      </c>
      <c r="S687" s="94">
        <f t="shared" si="18"/>
        <v>1414.25</v>
      </c>
      <c r="T687" s="106">
        <f t="shared" si="13"/>
        <v>1850.5</v>
      </c>
      <c r="U687" s="109">
        <f t="shared" si="14"/>
        <v>991.4375</v>
      </c>
      <c r="V687" s="109">
        <f t="shared" si="15"/>
        <v>3255.5625</v>
      </c>
      <c r="W687" s="110">
        <f t="shared" si="16"/>
        <v>468.5</v>
      </c>
      <c r="X687" s="94">
        <f t="shared" si="19"/>
        <v>7406</v>
      </c>
      <c r="Y687" s="39"/>
      <c r="Z687" s="39"/>
      <c r="AA687" s="39"/>
      <c r="AB687" s="39"/>
      <c r="AC687" s="39"/>
      <c r="AD687" s="39"/>
      <c r="AE687" s="39"/>
      <c r="AF687" s="39"/>
      <c r="AG687" s="39"/>
      <c r="AH687" s="65"/>
    </row>
    <row r="688" spans="1:34" x14ac:dyDescent="0.25">
      <c r="A688" s="105">
        <f t="shared" si="17"/>
        <v>39106</v>
      </c>
      <c r="B688" s="59">
        <f>SUM('Weekly Data'!D685:D688)/4</f>
        <v>1935.75</v>
      </c>
      <c r="C688" s="90">
        <f>SUM('Weekly Data'!E685:E688)/4</f>
        <v>1557</v>
      </c>
      <c r="D688" s="90">
        <f>SUM('Weekly Data'!F685:F688)/4</f>
        <v>531</v>
      </c>
      <c r="E688" s="90">
        <f>SUM('Weekly Data'!G685:G688)/4</f>
        <v>4833.25</v>
      </c>
      <c r="F688" s="90">
        <f>SUM('Weekly Data'!H685:H688)/4</f>
        <v>631.75</v>
      </c>
      <c r="G688" s="90">
        <f>SUM('Weekly Data'!I685:I688)/4</f>
        <v>8957.75</v>
      </c>
      <c r="H688" s="90"/>
      <c r="I688" s="39"/>
      <c r="J688" s="95">
        <f>AVERAGE('Weekly Data'!D636,'Weekly Data'!D584,'Weekly Data'!D532)</f>
        <v>1866</v>
      </c>
      <c r="K688" s="16">
        <f>AVERAGE('Weekly Data'!E636,'Weekly Data'!E584,'Weekly Data'!E532,'Weekly Data'!E480)</f>
        <v>1987.25</v>
      </c>
      <c r="L688" s="16">
        <f>AVERAGE('Weekly Data'!F636,'Weekly Data'!F584,'Weekly Data'!F532,'Weekly Data'!F480)</f>
        <v>788.5</v>
      </c>
      <c r="M688" s="16">
        <f>AVERAGE('Weekly Data'!G636,'Weekly Data'!G584,'Weekly Data'!G532,'Weekly Data'!G480)</f>
        <v>4314</v>
      </c>
      <c r="N688" s="16">
        <f>AVERAGE('Weekly Data'!H636,'Weekly Data'!H584,'Weekly Data'!H532,'Weekly Data'!H480)</f>
        <v>516.5</v>
      </c>
      <c r="O688" s="95">
        <f>AVERAGE('Weekly Data'!I636,'Weekly Data'!I584,'Weekly Data'!I532)</f>
        <v>9108.3333333333339</v>
      </c>
      <c r="P688" s="203"/>
      <c r="Q688" s="39"/>
      <c r="R688" s="13">
        <v>39106</v>
      </c>
      <c r="S688" s="94">
        <f t="shared" si="18"/>
        <v>1571.9166666666667</v>
      </c>
      <c r="T688" s="106">
        <f t="shared" si="13"/>
        <v>1912.0625</v>
      </c>
      <c r="U688" s="109">
        <f t="shared" si="14"/>
        <v>927.9375</v>
      </c>
      <c r="V688" s="109">
        <f t="shared" si="15"/>
        <v>3545.3125</v>
      </c>
      <c r="W688" s="110">
        <f t="shared" si="16"/>
        <v>516.4375</v>
      </c>
      <c r="X688" s="94">
        <f t="shared" si="19"/>
        <v>8164</v>
      </c>
      <c r="Y688" s="39"/>
      <c r="Z688" s="39"/>
      <c r="AA688" s="39"/>
      <c r="AB688" s="39"/>
      <c r="AC688" s="39"/>
      <c r="AD688" s="39"/>
      <c r="AE688" s="39"/>
      <c r="AF688" s="39"/>
      <c r="AG688" s="39"/>
      <c r="AH688" s="65"/>
    </row>
    <row r="689" spans="1:34" x14ac:dyDescent="0.25">
      <c r="A689" s="105">
        <f t="shared" si="17"/>
        <v>39113</v>
      </c>
      <c r="B689" s="59">
        <f>SUM('Weekly Data'!D686:D689)/4</f>
        <v>2023.25</v>
      </c>
      <c r="C689" s="90">
        <f>SUM('Weekly Data'!E686:E689)/4</f>
        <v>1407.25</v>
      </c>
      <c r="D689" s="90">
        <f>SUM('Weekly Data'!F686:F689)/4</f>
        <v>589.5</v>
      </c>
      <c r="E689" s="90">
        <f>SUM('Weekly Data'!G686:G689)/4</f>
        <v>4966.75</v>
      </c>
      <c r="F689" s="90">
        <f>SUM('Weekly Data'!H686:H689)/4</f>
        <v>709</v>
      </c>
      <c r="G689" s="90">
        <f>SUM('Weekly Data'!I686:I689)/4</f>
        <v>9106.25</v>
      </c>
      <c r="H689" s="90"/>
      <c r="I689" s="39"/>
      <c r="J689" s="95">
        <f>AVERAGE('Weekly Data'!D637,'Weekly Data'!D585,'Weekly Data'!D533)</f>
        <v>1403.3333333333333</v>
      </c>
      <c r="K689" s="16">
        <f>AVERAGE('Weekly Data'!E637,'Weekly Data'!E585,'Weekly Data'!E533,'Weekly Data'!E481)</f>
        <v>2212</v>
      </c>
      <c r="L689" s="16">
        <f>AVERAGE('Weekly Data'!F637,'Weekly Data'!F585,'Weekly Data'!F533,'Weekly Data'!F481)</f>
        <v>708.5</v>
      </c>
      <c r="M689" s="16">
        <f>AVERAGE('Weekly Data'!G637,'Weekly Data'!G585,'Weekly Data'!G533,'Weekly Data'!G481)</f>
        <v>4106.75</v>
      </c>
      <c r="N689" s="16">
        <f>AVERAGE('Weekly Data'!H637,'Weekly Data'!H585,'Weekly Data'!H533,'Weekly Data'!H481)</f>
        <v>504.75</v>
      </c>
      <c r="O689" s="95">
        <f>AVERAGE('Weekly Data'!I637,'Weekly Data'!I585,'Weekly Data'!I533)</f>
        <v>8479</v>
      </c>
      <c r="P689" s="203"/>
      <c r="Q689" s="39"/>
      <c r="R689" s="13">
        <v>39113</v>
      </c>
      <c r="S689" s="94">
        <f t="shared" si="18"/>
        <v>1605.9166666666667</v>
      </c>
      <c r="T689" s="106">
        <f t="shared" si="13"/>
        <v>1989</v>
      </c>
      <c r="U689" s="109">
        <f t="shared" si="14"/>
        <v>851.0625</v>
      </c>
      <c r="V689" s="109">
        <f t="shared" si="15"/>
        <v>3788.9375</v>
      </c>
      <c r="W689" s="110">
        <f t="shared" si="16"/>
        <v>519.5625</v>
      </c>
      <c r="X689" s="94">
        <f t="shared" si="19"/>
        <v>8495.9166666666661</v>
      </c>
      <c r="Y689" s="39"/>
      <c r="Z689" s="39"/>
      <c r="AA689" s="39"/>
      <c r="AB689" s="39"/>
      <c r="AC689" s="39"/>
      <c r="AD689" s="39"/>
      <c r="AE689" s="39"/>
      <c r="AF689" s="39"/>
      <c r="AG689" s="39"/>
      <c r="AH689" s="65"/>
    </row>
    <row r="690" spans="1:34" x14ac:dyDescent="0.25">
      <c r="A690" s="105">
        <f t="shared" si="17"/>
        <v>39120</v>
      </c>
      <c r="B690" s="59">
        <f>SUM('Weekly Data'!D687:D690)/4</f>
        <v>1828.75</v>
      </c>
      <c r="C690" s="90">
        <f>SUM('Weekly Data'!E687:E690)/4</f>
        <v>1356.5</v>
      </c>
      <c r="D690" s="90">
        <f>SUM('Weekly Data'!F687:F690)/4</f>
        <v>650.25</v>
      </c>
      <c r="E690" s="90">
        <f>SUM('Weekly Data'!G687:G690)/4</f>
        <v>4748.5</v>
      </c>
      <c r="F690" s="90">
        <f>SUM('Weekly Data'!H687:H690)/4</f>
        <v>545.75</v>
      </c>
      <c r="G690" s="90">
        <f>SUM('Weekly Data'!I687:I690)/4</f>
        <v>8479.5</v>
      </c>
      <c r="H690" s="90"/>
      <c r="I690" s="39"/>
      <c r="J690" s="95">
        <f>AVERAGE('Weekly Data'!D638,'Weekly Data'!D586,'Weekly Data'!D534)</f>
        <v>1718</v>
      </c>
      <c r="K690" s="16">
        <f>AVERAGE('Weekly Data'!E638,'Weekly Data'!E586,'Weekly Data'!E534,'Weekly Data'!E482)</f>
        <v>1944.75</v>
      </c>
      <c r="L690" s="16">
        <f>AVERAGE('Weekly Data'!F638,'Weekly Data'!F586,'Weekly Data'!F534,'Weekly Data'!F482)</f>
        <v>732.25</v>
      </c>
      <c r="M690" s="16">
        <f>AVERAGE('Weekly Data'!G638,'Weekly Data'!G586,'Weekly Data'!G534,'Weekly Data'!G482)</f>
        <v>4420.5</v>
      </c>
      <c r="N690" s="16">
        <f>AVERAGE('Weekly Data'!H638,'Weekly Data'!H586,'Weekly Data'!H534,'Weekly Data'!H482)</f>
        <v>511.5</v>
      </c>
      <c r="O690" s="95">
        <f>AVERAGE('Weekly Data'!I638,'Weekly Data'!I586,'Weekly Data'!I534)</f>
        <v>8759.6666666666661</v>
      </c>
      <c r="P690" s="203"/>
      <c r="Q690" s="39"/>
      <c r="R690" s="13">
        <v>39120</v>
      </c>
      <c r="S690" s="94">
        <f t="shared" si="18"/>
        <v>1703.6666666666667</v>
      </c>
      <c r="T690" s="106">
        <f t="shared" si="13"/>
        <v>1913.25</v>
      </c>
      <c r="U690" s="109">
        <f t="shared" si="14"/>
        <v>830.25</v>
      </c>
      <c r="V690" s="109">
        <f t="shared" si="15"/>
        <v>3998.375</v>
      </c>
      <c r="W690" s="110">
        <f t="shared" si="16"/>
        <v>515.25</v>
      </c>
      <c r="X690" s="94">
        <f t="shared" si="19"/>
        <v>8641.5</v>
      </c>
      <c r="Y690" s="39"/>
      <c r="Z690" s="39"/>
      <c r="AA690" s="39"/>
      <c r="AB690" s="39"/>
      <c r="AC690" s="39"/>
      <c r="AD690" s="39"/>
      <c r="AE690" s="39"/>
      <c r="AF690" s="39"/>
      <c r="AG690" s="39"/>
      <c r="AH690" s="65"/>
    </row>
    <row r="691" spans="1:34" x14ac:dyDescent="0.25">
      <c r="A691" s="105">
        <f t="shared" si="17"/>
        <v>39127</v>
      </c>
      <c r="B691" s="59">
        <f>SUM('Weekly Data'!D688:D691)/4</f>
        <v>1655.75</v>
      </c>
      <c r="C691" s="90">
        <f>SUM('Weekly Data'!E688:E691)/4</f>
        <v>1538</v>
      </c>
      <c r="D691" s="90">
        <f>SUM('Weekly Data'!F688:F691)/4</f>
        <v>850.5</v>
      </c>
      <c r="E691" s="90">
        <f>SUM('Weekly Data'!G688:G691)/4</f>
        <v>5019.25</v>
      </c>
      <c r="F691" s="90">
        <f>SUM('Weekly Data'!H688:H691)/4</f>
        <v>619</v>
      </c>
      <c r="G691" s="90">
        <f>SUM('Weekly Data'!I688:I691)/4</f>
        <v>8832</v>
      </c>
      <c r="H691" s="90"/>
      <c r="I691" s="39"/>
      <c r="J691" s="95">
        <f>AVERAGE('Weekly Data'!D639,'Weekly Data'!D587,'Weekly Data'!D535)</f>
        <v>1623.3333333333333</v>
      </c>
      <c r="K691" s="16">
        <f>AVERAGE('Weekly Data'!E639,'Weekly Data'!E587,'Weekly Data'!E535,'Weekly Data'!E483)</f>
        <v>1792</v>
      </c>
      <c r="L691" s="16">
        <f>AVERAGE('Weekly Data'!F639,'Weekly Data'!F587,'Weekly Data'!F535,'Weekly Data'!F483)</f>
        <v>876</v>
      </c>
      <c r="M691" s="16">
        <f>AVERAGE('Weekly Data'!G639,'Weekly Data'!G587,'Weekly Data'!G535,'Weekly Data'!G483)</f>
        <v>4617.25</v>
      </c>
      <c r="N691" s="16">
        <f>AVERAGE('Weekly Data'!H639,'Weekly Data'!H587,'Weekly Data'!H535,'Weekly Data'!H483)</f>
        <v>551</v>
      </c>
      <c r="O691" s="95">
        <f>AVERAGE('Weekly Data'!I639,'Weekly Data'!I587,'Weekly Data'!I535)</f>
        <v>9361</v>
      </c>
      <c r="P691" s="203"/>
      <c r="Q691" s="39"/>
      <c r="R691" s="13">
        <v>39127</v>
      </c>
      <c r="S691" s="94">
        <f t="shared" si="18"/>
        <v>1652.6666666666667</v>
      </c>
      <c r="T691" s="106">
        <f t="shared" si="13"/>
        <v>1963.8125</v>
      </c>
      <c r="U691" s="109">
        <f t="shared" si="14"/>
        <v>787.25</v>
      </c>
      <c r="V691" s="109">
        <f t="shared" si="15"/>
        <v>4360.625</v>
      </c>
      <c r="W691" s="110">
        <f t="shared" si="16"/>
        <v>530.9375</v>
      </c>
      <c r="X691" s="94">
        <f t="shared" si="19"/>
        <v>8927</v>
      </c>
      <c r="Y691" s="39"/>
      <c r="Z691" s="39"/>
      <c r="AA691" s="39"/>
      <c r="AB691" s="39"/>
      <c r="AC691" s="39"/>
      <c r="AD691" s="39"/>
      <c r="AE691" s="39"/>
      <c r="AF691" s="39"/>
      <c r="AG691" s="39"/>
      <c r="AH691" s="65"/>
    </row>
    <row r="692" spans="1:34" x14ac:dyDescent="0.25">
      <c r="A692" s="105">
        <f t="shared" si="17"/>
        <v>39134</v>
      </c>
      <c r="B692" s="59">
        <f>SUM('Weekly Data'!D689:D692)/4</f>
        <v>1514</v>
      </c>
      <c r="C692" s="90">
        <f>SUM('Weekly Data'!E689:E692)/4</f>
        <v>1437.25</v>
      </c>
      <c r="D692" s="90">
        <f>SUM('Weekly Data'!F689:F692)/4</f>
        <v>661.25</v>
      </c>
      <c r="E692" s="90">
        <f>SUM('Weekly Data'!G689:G692)/4</f>
        <v>4536.25</v>
      </c>
      <c r="F692" s="90">
        <f>SUM('Weekly Data'!H689:H692)/4</f>
        <v>562.5</v>
      </c>
      <c r="G692" s="90">
        <f>SUM('Weekly Data'!I689:I692)/4</f>
        <v>8050</v>
      </c>
      <c r="H692" s="90"/>
      <c r="I692" s="39"/>
      <c r="J692" s="95">
        <f>AVERAGE('Weekly Data'!D640,'Weekly Data'!D588,'Weekly Data'!D536)</f>
        <v>1635.6666666666667</v>
      </c>
      <c r="K692" s="16">
        <f>AVERAGE('Weekly Data'!E640,'Weekly Data'!E588,'Weekly Data'!E536,'Weekly Data'!E484)</f>
        <v>2197.5</v>
      </c>
      <c r="L692" s="16">
        <f>AVERAGE('Weekly Data'!F640,'Weekly Data'!F588,'Weekly Data'!F536,'Weekly Data'!F484)</f>
        <v>827.5</v>
      </c>
      <c r="M692" s="16">
        <f>AVERAGE('Weekly Data'!G640,'Weekly Data'!G588,'Weekly Data'!G536,'Weekly Data'!G484)</f>
        <v>4397.5</v>
      </c>
      <c r="N692" s="16">
        <f>AVERAGE('Weekly Data'!H640,'Weekly Data'!H588,'Weekly Data'!H536,'Weekly Data'!H484)</f>
        <v>535</v>
      </c>
      <c r="O692" s="95">
        <f>AVERAGE('Weekly Data'!I640,'Weekly Data'!I588,'Weekly Data'!I536)</f>
        <v>9241.6666666666661</v>
      </c>
      <c r="P692" s="203"/>
      <c r="Q692" s="39"/>
      <c r="R692" s="13">
        <v>39134</v>
      </c>
      <c r="S692" s="94">
        <f t="shared" si="18"/>
        <v>1595.0833333333333</v>
      </c>
      <c r="T692" s="106">
        <f t="shared" si="13"/>
        <v>2026.5625</v>
      </c>
      <c r="U692" s="109">
        <f t="shared" si="14"/>
        <v>788.625</v>
      </c>
      <c r="V692" s="109">
        <f t="shared" si="15"/>
        <v>4397.625</v>
      </c>
      <c r="W692" s="110">
        <f t="shared" si="16"/>
        <v>513.5625</v>
      </c>
      <c r="X692" s="94">
        <f t="shared" si="19"/>
        <v>8960.3333333333339</v>
      </c>
      <c r="Y692" s="39"/>
      <c r="Z692" s="39"/>
      <c r="AA692" s="39"/>
      <c r="AB692" s="39"/>
      <c r="AC692" s="39"/>
      <c r="AD692" s="39"/>
      <c r="AE692" s="39"/>
      <c r="AF692" s="39"/>
      <c r="AG692" s="39"/>
      <c r="AH692" s="65"/>
    </row>
    <row r="693" spans="1:34" x14ac:dyDescent="0.25">
      <c r="A693" s="105">
        <f t="shared" si="17"/>
        <v>39141</v>
      </c>
      <c r="B693" s="59">
        <f>SUM('Weekly Data'!D690:D693)/4</f>
        <v>1380.25</v>
      </c>
      <c r="C693" s="90">
        <f>SUM('Weekly Data'!E690:E693)/4</f>
        <v>1580.25</v>
      </c>
      <c r="D693" s="90">
        <f>SUM('Weekly Data'!F690:F693)/4</f>
        <v>768.25</v>
      </c>
      <c r="E693" s="90">
        <f>SUM('Weekly Data'!G690:G693)/4</f>
        <v>4527.75</v>
      </c>
      <c r="F693" s="90">
        <f>SUM('Weekly Data'!H690:H693)/4</f>
        <v>469.25</v>
      </c>
      <c r="G693" s="90">
        <f>SUM('Weekly Data'!I690:I693)/4</f>
        <v>7957.5</v>
      </c>
      <c r="H693" s="90"/>
      <c r="I693" s="39"/>
      <c r="J693" s="95">
        <f>AVERAGE('Weekly Data'!D641,'Weekly Data'!D589,'Weekly Data'!D537)</f>
        <v>1507.6666666666667</v>
      </c>
      <c r="K693" s="16">
        <f>AVERAGE('Weekly Data'!E641,'Weekly Data'!E589,'Weekly Data'!E537,'Weekly Data'!E485)</f>
        <v>1725.25</v>
      </c>
      <c r="L693" s="16">
        <f>AVERAGE('Weekly Data'!F641,'Weekly Data'!F589,'Weekly Data'!F537,'Weekly Data'!F485)</f>
        <v>1228.75</v>
      </c>
      <c r="M693" s="16">
        <f>AVERAGE('Weekly Data'!G641,'Weekly Data'!G589,'Weekly Data'!G537,'Weekly Data'!G485)</f>
        <v>4547.5</v>
      </c>
      <c r="N693" s="16">
        <f>AVERAGE('Weekly Data'!H641,'Weekly Data'!H589,'Weekly Data'!H537,'Weekly Data'!H485)</f>
        <v>390.75</v>
      </c>
      <c r="O693" s="95">
        <f>AVERAGE('Weekly Data'!I641,'Weekly Data'!I589,'Weekly Data'!I537)</f>
        <v>8541</v>
      </c>
      <c r="P693" s="203"/>
      <c r="Q693" s="39"/>
      <c r="R693" s="13">
        <v>39141</v>
      </c>
      <c r="S693" s="94">
        <f t="shared" si="18"/>
        <v>1621.1666666666667</v>
      </c>
      <c r="T693" s="106">
        <f t="shared" si="13"/>
        <v>1947.1875</v>
      </c>
      <c r="U693" s="109">
        <f t="shared" si="14"/>
        <v>919</v>
      </c>
      <c r="V693" s="109">
        <f t="shared" si="15"/>
        <v>4464.0625</v>
      </c>
      <c r="W693" s="110">
        <f t="shared" si="16"/>
        <v>528.4375</v>
      </c>
      <c r="X693" s="94">
        <f t="shared" si="19"/>
        <v>8975.8333333333339</v>
      </c>
      <c r="Y693" s="39"/>
      <c r="Z693" s="39"/>
      <c r="AA693" s="39"/>
      <c r="AB693" s="39"/>
      <c r="AC693" s="39"/>
      <c r="AD693" s="39"/>
      <c r="AE693" s="39"/>
      <c r="AF693" s="39"/>
      <c r="AG693" s="39"/>
      <c r="AH693" s="65"/>
    </row>
    <row r="694" spans="1:34" x14ac:dyDescent="0.25">
      <c r="A694" s="105">
        <f t="shared" si="17"/>
        <v>39148</v>
      </c>
      <c r="B694" s="59">
        <f>SUM('Weekly Data'!D691:D694)/4</f>
        <v>1346.75</v>
      </c>
      <c r="C694" s="90">
        <f>SUM('Weekly Data'!E691:E694)/4</f>
        <v>1670.75</v>
      </c>
      <c r="D694" s="90">
        <f>SUM('Weekly Data'!F691:F694)/4</f>
        <v>920.25</v>
      </c>
      <c r="E694" s="90">
        <f>SUM('Weekly Data'!G691:G694)/4</f>
        <v>4528</v>
      </c>
      <c r="F694" s="90">
        <f>SUM('Weekly Data'!H691:H694)/4</f>
        <v>500</v>
      </c>
      <c r="G694" s="90">
        <f>SUM('Weekly Data'!I691:I694)/4</f>
        <v>8045.5</v>
      </c>
      <c r="H694" s="90"/>
      <c r="I694" s="39"/>
      <c r="J694" s="95">
        <f>AVERAGE('Weekly Data'!D642,'Weekly Data'!D590,'Weekly Data'!D538)</f>
        <v>1662.3333333333333</v>
      </c>
      <c r="K694" s="16">
        <f>AVERAGE('Weekly Data'!E642,'Weekly Data'!E590,'Weekly Data'!E538,'Weekly Data'!E486)</f>
        <v>1985.5</v>
      </c>
      <c r="L694" s="16">
        <f>AVERAGE('Weekly Data'!F642,'Weekly Data'!F590,'Weekly Data'!F538,'Weekly Data'!F486)</f>
        <v>1042.25</v>
      </c>
      <c r="M694" s="16">
        <f>AVERAGE('Weekly Data'!G642,'Weekly Data'!G590,'Weekly Data'!G538,'Weekly Data'!G486)</f>
        <v>4478.25</v>
      </c>
      <c r="N694" s="16">
        <f>AVERAGE('Weekly Data'!H642,'Weekly Data'!H590,'Weekly Data'!H538,'Weekly Data'!H486)</f>
        <v>376.75</v>
      </c>
      <c r="O694" s="95">
        <f>AVERAGE('Weekly Data'!I642,'Weekly Data'!I590,'Weekly Data'!I538)</f>
        <v>9372</v>
      </c>
      <c r="P694" s="203"/>
      <c r="Q694" s="39"/>
      <c r="R694" s="13">
        <v>39148</v>
      </c>
      <c r="S694" s="94">
        <f t="shared" si="18"/>
        <v>1607.25</v>
      </c>
      <c r="T694" s="106">
        <f t="shared" si="13"/>
        <v>1966.125</v>
      </c>
      <c r="U694" s="109">
        <f t="shared" si="14"/>
        <v>960.8125</v>
      </c>
      <c r="V694" s="109">
        <f t="shared" si="15"/>
        <v>4579.1875</v>
      </c>
      <c r="W694" s="110">
        <f t="shared" si="16"/>
        <v>487.5625</v>
      </c>
      <c r="X694" s="94">
        <f t="shared" si="19"/>
        <v>9128.9166666666661</v>
      </c>
      <c r="Y694" s="39"/>
      <c r="Z694" s="39"/>
      <c r="AA694" s="39"/>
      <c r="AB694" s="39"/>
      <c r="AC694" s="39"/>
      <c r="AD694" s="39"/>
      <c r="AE694" s="39"/>
      <c r="AF694" s="39"/>
      <c r="AG694" s="39"/>
      <c r="AH694" s="65"/>
    </row>
    <row r="695" spans="1:34" x14ac:dyDescent="0.25">
      <c r="A695" s="105">
        <f t="shared" si="17"/>
        <v>39155</v>
      </c>
      <c r="B695" s="59">
        <f>SUM('Weekly Data'!D692:D695)/4</f>
        <v>1269</v>
      </c>
      <c r="C695" s="90">
        <f>SUM('Weekly Data'!E692:E695)/4</f>
        <v>1826</v>
      </c>
      <c r="D695" s="90">
        <f>SUM('Weekly Data'!F692:F695)/4</f>
        <v>799.25</v>
      </c>
      <c r="E695" s="90">
        <f>SUM('Weekly Data'!G692:G695)/4</f>
        <v>4245.5</v>
      </c>
      <c r="F695" s="90">
        <f>SUM('Weekly Data'!H692:H695)/4</f>
        <v>416.75</v>
      </c>
      <c r="G695" s="90">
        <f>SUM('Weekly Data'!I692:I695)/4</f>
        <v>7757.25</v>
      </c>
      <c r="H695" s="90"/>
      <c r="I695" s="39"/>
      <c r="J695" s="95">
        <f>AVERAGE('Weekly Data'!D643,'Weekly Data'!D591,'Weekly Data'!D539)</f>
        <v>1274</v>
      </c>
      <c r="K695" s="16">
        <f>AVERAGE('Weekly Data'!E643,'Weekly Data'!E591,'Weekly Data'!E539,'Weekly Data'!E487)</f>
        <v>1817.5</v>
      </c>
      <c r="L695" s="16">
        <f>AVERAGE('Weekly Data'!F643,'Weekly Data'!F591,'Weekly Data'!F539,'Weekly Data'!F487)</f>
        <v>1097</v>
      </c>
      <c r="M695" s="16">
        <f>AVERAGE('Weekly Data'!G643,'Weekly Data'!G591,'Weekly Data'!G539,'Weekly Data'!G487)</f>
        <v>4729.5</v>
      </c>
      <c r="N695" s="16">
        <f>AVERAGE('Weekly Data'!H643,'Weekly Data'!H591,'Weekly Data'!H539,'Weekly Data'!H487)</f>
        <v>534.75</v>
      </c>
      <c r="O695" s="95">
        <f>AVERAGE('Weekly Data'!I643,'Weekly Data'!I591,'Weekly Data'!I539)</f>
        <v>8843.3333333333339</v>
      </c>
      <c r="P695" s="203"/>
      <c r="Q695" s="39"/>
      <c r="R695" s="13">
        <v>39155</v>
      </c>
      <c r="S695" s="94">
        <f t="shared" si="18"/>
        <v>1519.9166666666667</v>
      </c>
      <c r="T695" s="106">
        <f t="shared" si="13"/>
        <v>1937.5</v>
      </c>
      <c r="U695" s="109">
        <f t="shared" si="14"/>
        <v>1018.4375</v>
      </c>
      <c r="V695" s="109">
        <f t="shared" si="15"/>
        <v>4470.625</v>
      </c>
      <c r="W695" s="110">
        <f t="shared" si="16"/>
        <v>458.875</v>
      </c>
      <c r="X695" s="94">
        <f t="shared" si="19"/>
        <v>8999.5</v>
      </c>
      <c r="Y695" s="39"/>
      <c r="Z695" s="39"/>
      <c r="AA695" s="39"/>
      <c r="AB695" s="39"/>
      <c r="AC695" s="39"/>
      <c r="AD695" s="39"/>
      <c r="AE695" s="39"/>
      <c r="AF695" s="39"/>
      <c r="AG695" s="39"/>
      <c r="AH695" s="65"/>
    </row>
    <row r="696" spans="1:34" x14ac:dyDescent="0.25">
      <c r="A696" s="105">
        <f t="shared" si="17"/>
        <v>39162</v>
      </c>
      <c r="B696" s="59">
        <f>SUM('Weekly Data'!D693:D696)/4</f>
        <v>1271</v>
      </c>
      <c r="C696" s="90">
        <f>SUM('Weekly Data'!E693:E696)/4</f>
        <v>1844.25</v>
      </c>
      <c r="D696" s="90">
        <f>SUM('Weekly Data'!F693:F696)/4</f>
        <v>1016.25</v>
      </c>
      <c r="E696" s="90">
        <f>SUM('Weekly Data'!G693:G696)/4</f>
        <v>4546.25</v>
      </c>
      <c r="F696" s="90">
        <f>SUM('Weekly Data'!H693:H696)/4</f>
        <v>413</v>
      </c>
      <c r="G696" s="90">
        <f>SUM('Weekly Data'!I693:I696)/4</f>
        <v>8074.5</v>
      </c>
      <c r="H696" s="90"/>
      <c r="I696" s="39"/>
      <c r="J696" s="95">
        <f>AVERAGE('Weekly Data'!D644,'Weekly Data'!D592,'Weekly Data'!D540)</f>
        <v>1325</v>
      </c>
      <c r="K696" s="16">
        <f>AVERAGE('Weekly Data'!E644,'Weekly Data'!E592,'Weekly Data'!E540,'Weekly Data'!E488)</f>
        <v>1980.5</v>
      </c>
      <c r="L696" s="16">
        <f>AVERAGE('Weekly Data'!F644,'Weekly Data'!F592,'Weekly Data'!F540,'Weekly Data'!F488)</f>
        <v>1204</v>
      </c>
      <c r="M696" s="16">
        <f>AVERAGE('Weekly Data'!G644,'Weekly Data'!G592,'Weekly Data'!G540,'Weekly Data'!G488)</f>
        <v>4307.25</v>
      </c>
      <c r="N696" s="16">
        <f>AVERAGE('Weekly Data'!H644,'Weekly Data'!H592,'Weekly Data'!H540,'Weekly Data'!H488)</f>
        <v>317.5</v>
      </c>
      <c r="O696" s="95">
        <f>AVERAGE('Weekly Data'!I644,'Weekly Data'!I592,'Weekly Data'!I540)</f>
        <v>8103</v>
      </c>
      <c r="P696" s="203"/>
      <c r="Q696" s="39"/>
      <c r="R696" s="13">
        <v>39162</v>
      </c>
      <c r="S696" s="94">
        <f t="shared" si="18"/>
        <v>1442.25</v>
      </c>
      <c r="T696" s="106">
        <f t="shared" si="13"/>
        <v>1864.125</v>
      </c>
      <c r="U696" s="109">
        <f t="shared" si="14"/>
        <v>1108.25</v>
      </c>
      <c r="V696" s="109">
        <f t="shared" si="15"/>
        <v>4469.5625</v>
      </c>
      <c r="W696" s="110">
        <f t="shared" si="16"/>
        <v>440</v>
      </c>
      <c r="X696" s="94">
        <f t="shared" si="19"/>
        <v>8714.8333333333339</v>
      </c>
      <c r="Y696" s="39"/>
      <c r="Z696" s="39"/>
      <c r="AA696" s="39"/>
      <c r="AB696" s="39"/>
      <c r="AC696" s="39"/>
      <c r="AD696" s="39"/>
      <c r="AE696" s="39"/>
      <c r="AF696" s="39"/>
      <c r="AG696" s="39"/>
      <c r="AH696" s="65"/>
    </row>
    <row r="697" spans="1:34" x14ac:dyDescent="0.25">
      <c r="A697" s="105">
        <f t="shared" si="17"/>
        <v>39169</v>
      </c>
      <c r="B697" s="59">
        <f>SUM('Weekly Data'!D694:D697)/4</f>
        <v>1104.75</v>
      </c>
      <c r="C697" s="90">
        <f>SUM('Weekly Data'!E694:E697)/4</f>
        <v>1631</v>
      </c>
      <c r="D697" s="90">
        <f>SUM('Weekly Data'!F694:F697)/4</f>
        <v>972.5</v>
      </c>
      <c r="E697" s="90">
        <f>SUM('Weekly Data'!G694:G697)/4</f>
        <v>4820.25</v>
      </c>
      <c r="F697" s="90">
        <f>SUM('Weekly Data'!H694:H697)/4</f>
        <v>388.75</v>
      </c>
      <c r="G697" s="90">
        <f>SUM('Weekly Data'!I694:I697)/4</f>
        <v>7944.75</v>
      </c>
      <c r="H697" s="90"/>
      <c r="I697" s="39"/>
      <c r="J697" s="95">
        <f>AVERAGE('Weekly Data'!D645,'Weekly Data'!D593,'Weekly Data'!D541)</f>
        <v>825.66666666666663</v>
      </c>
      <c r="K697" s="16">
        <f>AVERAGE('Weekly Data'!E645,'Weekly Data'!E593,'Weekly Data'!E541,'Weekly Data'!E489)</f>
        <v>2070.5</v>
      </c>
      <c r="L697" s="16">
        <f>AVERAGE('Weekly Data'!F645,'Weekly Data'!F593,'Weekly Data'!F541,'Weekly Data'!F489)</f>
        <v>1051.25</v>
      </c>
      <c r="M697" s="16">
        <f>AVERAGE('Weekly Data'!G645,'Weekly Data'!G593,'Weekly Data'!G541,'Weekly Data'!G489)</f>
        <v>4059.25</v>
      </c>
      <c r="N697" s="16">
        <f>AVERAGE('Weekly Data'!H645,'Weekly Data'!H593,'Weekly Data'!H541,'Weekly Data'!H489)</f>
        <v>280.75</v>
      </c>
      <c r="O697" s="95">
        <f>AVERAGE('Weekly Data'!I645,'Weekly Data'!I593,'Weekly Data'!I541)</f>
        <v>7383.666666666667</v>
      </c>
      <c r="P697" s="203"/>
      <c r="Q697" s="39"/>
      <c r="R697" s="13">
        <v>39169</v>
      </c>
      <c r="S697" s="94">
        <f t="shared" si="18"/>
        <v>1271.75</v>
      </c>
      <c r="T697" s="106">
        <f t="shared" si="13"/>
        <v>1932.4375</v>
      </c>
      <c r="U697" s="109">
        <f t="shared" si="14"/>
        <v>1108.875</v>
      </c>
      <c r="V697" s="109">
        <f t="shared" si="15"/>
        <v>4388.8125</v>
      </c>
      <c r="W697" s="110">
        <f t="shared" si="16"/>
        <v>387.375</v>
      </c>
      <c r="X697" s="94">
        <f t="shared" si="19"/>
        <v>8425.5</v>
      </c>
      <c r="Y697" s="39"/>
      <c r="Z697" s="39"/>
      <c r="AA697" s="39"/>
      <c r="AB697" s="39"/>
      <c r="AC697" s="39"/>
      <c r="AD697" s="39"/>
      <c r="AE697" s="39"/>
      <c r="AF697" s="39"/>
      <c r="AG697" s="39"/>
      <c r="AH697" s="65"/>
    </row>
    <row r="698" spans="1:34" x14ac:dyDescent="0.25">
      <c r="A698" s="105">
        <f t="shared" si="17"/>
        <v>39176</v>
      </c>
      <c r="B698" s="59">
        <f>SUM('Weekly Data'!D695:D698)/4</f>
        <v>961.5</v>
      </c>
      <c r="C698" s="90">
        <f>SUM('Weekly Data'!E695:E698)/4</f>
        <v>1498.5</v>
      </c>
      <c r="D698" s="90">
        <f>SUM('Weekly Data'!F695:F698)/4</f>
        <v>935</v>
      </c>
      <c r="E698" s="90">
        <f>SUM('Weekly Data'!G695:G698)/4</f>
        <v>4917.5</v>
      </c>
      <c r="F698" s="90">
        <f>SUM('Weekly Data'!H695:H698)/4</f>
        <v>391.75</v>
      </c>
      <c r="G698" s="90">
        <f>SUM('Weekly Data'!I695:I698)/4</f>
        <v>7769.25</v>
      </c>
      <c r="H698" s="90"/>
      <c r="I698" s="39"/>
      <c r="J698" s="95">
        <f>AVERAGE('Weekly Data'!D646,'Weekly Data'!D594,'Weekly Data'!D542)</f>
        <v>1067.6666666666667</v>
      </c>
      <c r="K698" s="16">
        <f>AVERAGE('Weekly Data'!E646,'Weekly Data'!E594,'Weekly Data'!E542,'Weekly Data'!E490)</f>
        <v>1819.75</v>
      </c>
      <c r="L698" s="16">
        <f>AVERAGE('Weekly Data'!F646,'Weekly Data'!F594,'Weekly Data'!F542,'Weekly Data'!F490)</f>
        <v>1256.5</v>
      </c>
      <c r="M698" s="16">
        <f>AVERAGE('Weekly Data'!G646,'Weekly Data'!G594,'Weekly Data'!G542,'Weekly Data'!G490)</f>
        <v>4109</v>
      </c>
      <c r="N698" s="16">
        <f>AVERAGE('Weekly Data'!H646,'Weekly Data'!H594,'Weekly Data'!H542,'Weekly Data'!H490)</f>
        <v>226.25</v>
      </c>
      <c r="O698" s="95">
        <f>AVERAGE('Weekly Data'!I646,'Weekly Data'!I594,'Weekly Data'!I542)</f>
        <v>7423.666666666667</v>
      </c>
      <c r="P698" s="203"/>
      <c r="Q698" s="39"/>
      <c r="R698" s="13">
        <v>39176</v>
      </c>
      <c r="S698" s="94">
        <f t="shared" si="18"/>
        <v>1123.0833333333333</v>
      </c>
      <c r="T698" s="106">
        <f t="shared" si="13"/>
        <v>1878.5625</v>
      </c>
      <c r="U698" s="109">
        <f t="shared" si="14"/>
        <v>1128.9375</v>
      </c>
      <c r="V698" s="109">
        <f t="shared" si="15"/>
        <v>4257.9375</v>
      </c>
      <c r="W698" s="110">
        <f t="shared" si="16"/>
        <v>344.1875</v>
      </c>
      <c r="X698" s="94">
        <f t="shared" si="19"/>
        <v>7938.416666666667</v>
      </c>
      <c r="Y698" s="39"/>
      <c r="Z698" s="39"/>
      <c r="AA698" s="39"/>
      <c r="AB698" s="39"/>
      <c r="AC698" s="39"/>
      <c r="AD698" s="39"/>
      <c r="AE698" s="39"/>
      <c r="AF698" s="39"/>
      <c r="AG698" s="39"/>
      <c r="AH698" s="65"/>
    </row>
    <row r="699" spans="1:34" x14ac:dyDescent="0.25">
      <c r="A699" s="105">
        <f t="shared" si="17"/>
        <v>39183</v>
      </c>
      <c r="B699" s="59">
        <f>SUM('Weekly Data'!D696:D699)/4</f>
        <v>760</v>
      </c>
      <c r="C699" s="90">
        <f>SUM('Weekly Data'!E696:E699)/4</f>
        <v>1394</v>
      </c>
      <c r="D699" s="90">
        <f>SUM('Weekly Data'!F696:F699)/4</f>
        <v>927.25</v>
      </c>
      <c r="E699" s="90">
        <f>SUM('Weekly Data'!G696:G699)/4</f>
        <v>4946</v>
      </c>
      <c r="F699" s="90">
        <f>SUM('Weekly Data'!H696:H699)/4</f>
        <v>426.5</v>
      </c>
      <c r="G699" s="90">
        <f>SUM('Weekly Data'!I696:I699)/4</f>
        <v>7526.5</v>
      </c>
      <c r="H699" s="90"/>
      <c r="I699" s="39"/>
      <c r="J699" s="95">
        <f>AVERAGE('Weekly Data'!D647,'Weekly Data'!D595,'Weekly Data'!D543)</f>
        <v>1123.3333333333333</v>
      </c>
      <c r="K699" s="16">
        <f>AVERAGE('Weekly Data'!E647,'Weekly Data'!E595,'Weekly Data'!E543,'Weekly Data'!E491)</f>
        <v>1715</v>
      </c>
      <c r="L699" s="16">
        <f>AVERAGE('Weekly Data'!F647,'Weekly Data'!F595,'Weekly Data'!F543,'Weekly Data'!F491)</f>
        <v>1276.75</v>
      </c>
      <c r="M699" s="16">
        <f>AVERAGE('Weekly Data'!G647,'Weekly Data'!G595,'Weekly Data'!G543,'Weekly Data'!G491)</f>
        <v>3369.5</v>
      </c>
      <c r="N699" s="16">
        <f>AVERAGE('Weekly Data'!H647,'Weekly Data'!H595,'Weekly Data'!H543,'Weekly Data'!H491)</f>
        <v>184.5</v>
      </c>
      <c r="O699" s="95">
        <f>AVERAGE('Weekly Data'!I647,'Weekly Data'!I595,'Weekly Data'!I543)</f>
        <v>6659.666666666667</v>
      </c>
      <c r="P699" s="203"/>
      <c r="Q699" s="39"/>
      <c r="R699" s="13">
        <v>39183</v>
      </c>
      <c r="S699" s="94">
        <f t="shared" si="18"/>
        <v>1085.4166666666667</v>
      </c>
      <c r="T699" s="106">
        <f t="shared" ref="T699:T742" si="20">AVERAGE(C647,C595,C543,C490)</f>
        <v>1846.4375</v>
      </c>
      <c r="U699" s="109">
        <f t="shared" ref="U699:U742" si="21">AVERAGE(D647,D595,D543,D490)</f>
        <v>1210.3125</v>
      </c>
      <c r="V699" s="109">
        <f t="shared" ref="V699:V742" si="22">AVERAGE(E647,E595,E543,E490)</f>
        <v>4058.4375</v>
      </c>
      <c r="W699" s="110">
        <f t="shared" ref="W699:W742" si="23">AVERAGE(F647,F595,F543,F490)</f>
        <v>277.0625</v>
      </c>
      <c r="X699" s="94">
        <f t="shared" si="19"/>
        <v>7392.5</v>
      </c>
      <c r="Y699" s="39"/>
      <c r="Z699" s="39"/>
      <c r="AA699" s="39"/>
      <c r="AB699" s="39"/>
      <c r="AC699" s="39"/>
      <c r="AD699" s="39"/>
      <c r="AE699" s="39"/>
      <c r="AF699" s="39"/>
      <c r="AG699" s="39"/>
      <c r="AH699" s="65"/>
    </row>
    <row r="700" spans="1:34" x14ac:dyDescent="0.25">
      <c r="A700" s="105">
        <f t="shared" si="17"/>
        <v>39190</v>
      </c>
      <c r="B700" s="59">
        <f>SUM('Weekly Data'!D697:D700)/4</f>
        <v>648</v>
      </c>
      <c r="C700" s="90">
        <f>SUM('Weekly Data'!E697:E700)/4</f>
        <v>1460.5</v>
      </c>
      <c r="D700" s="90">
        <f>SUM('Weekly Data'!F697:F700)/4</f>
        <v>936</v>
      </c>
      <c r="E700" s="90">
        <f>SUM('Weekly Data'!G697:G700)/4</f>
        <v>4868</v>
      </c>
      <c r="F700" s="90">
        <f>SUM('Weekly Data'!H697:H700)/4</f>
        <v>447.75</v>
      </c>
      <c r="G700" s="90">
        <f>SUM('Weekly Data'!I697:I700)/4</f>
        <v>7424.25</v>
      </c>
      <c r="H700" s="90"/>
      <c r="I700" s="39"/>
      <c r="J700" s="95">
        <f>AVERAGE('Weekly Data'!D648,'Weekly Data'!D596,'Weekly Data'!D544)</f>
        <v>471.33333333333331</v>
      </c>
      <c r="K700" s="16">
        <f>AVERAGE('Weekly Data'!E648,'Weekly Data'!E596,'Weekly Data'!E544,'Weekly Data'!E492)</f>
        <v>1488.25</v>
      </c>
      <c r="L700" s="16">
        <f>AVERAGE('Weekly Data'!F648,'Weekly Data'!F596,'Weekly Data'!F544,'Weekly Data'!F492)</f>
        <v>1098</v>
      </c>
      <c r="M700" s="16">
        <f>AVERAGE('Weekly Data'!G648,'Weekly Data'!G596,'Weekly Data'!G544,'Weekly Data'!G492)</f>
        <v>3658.25</v>
      </c>
      <c r="N700" s="16">
        <f>AVERAGE('Weekly Data'!H648,'Weekly Data'!H596,'Weekly Data'!H544,'Weekly Data'!H492)</f>
        <v>142.25</v>
      </c>
      <c r="O700" s="95">
        <f>AVERAGE('Weekly Data'!I648,'Weekly Data'!I596,'Weekly Data'!I544)</f>
        <v>6310.333333333333</v>
      </c>
      <c r="P700" s="203"/>
      <c r="Q700" s="39"/>
      <c r="R700" s="13">
        <v>39190</v>
      </c>
      <c r="S700" s="94">
        <f t="shared" si="18"/>
        <v>872</v>
      </c>
      <c r="T700" s="106">
        <f t="shared" si="20"/>
        <v>1844</v>
      </c>
      <c r="U700" s="109">
        <f t="shared" si="21"/>
        <v>1174.3125</v>
      </c>
      <c r="V700" s="109">
        <f t="shared" si="22"/>
        <v>3868.5625</v>
      </c>
      <c r="W700" s="110">
        <f t="shared" si="23"/>
        <v>221.3125</v>
      </c>
      <c r="X700" s="94">
        <f t="shared" si="19"/>
        <v>6944.333333333333</v>
      </c>
      <c r="Y700" s="39"/>
      <c r="Z700" s="39"/>
      <c r="AA700" s="39"/>
      <c r="AB700" s="39"/>
      <c r="AC700" s="39"/>
      <c r="AD700" s="39"/>
      <c r="AE700" s="39"/>
      <c r="AF700" s="39"/>
      <c r="AG700" s="39"/>
      <c r="AH700" s="65"/>
    </row>
    <row r="701" spans="1:34" x14ac:dyDescent="0.25">
      <c r="A701" s="105">
        <f t="shared" si="17"/>
        <v>39197</v>
      </c>
      <c r="B701" s="59">
        <f>SUM('Weekly Data'!D698:D701)/4</f>
        <v>587.75</v>
      </c>
      <c r="C701" s="90">
        <f>SUM('Weekly Data'!E698:E701)/4</f>
        <v>1406.75</v>
      </c>
      <c r="D701" s="90">
        <f>SUM('Weekly Data'!F698:F701)/4</f>
        <v>1044.75</v>
      </c>
      <c r="E701" s="90">
        <f>SUM('Weekly Data'!G698:G701)/4</f>
        <v>4542.5</v>
      </c>
      <c r="F701" s="90">
        <f>SUM('Weekly Data'!H698:H701)/4</f>
        <v>439.25</v>
      </c>
      <c r="G701" s="90">
        <f>SUM('Weekly Data'!I698:I701)/4</f>
        <v>6976.25</v>
      </c>
      <c r="H701" s="90"/>
      <c r="I701" s="39"/>
      <c r="J701" s="95">
        <f>AVERAGE('Weekly Data'!D649,'Weekly Data'!D597,'Weekly Data'!D545)</f>
        <v>611.33333333333337</v>
      </c>
      <c r="K701" s="16">
        <f>AVERAGE('Weekly Data'!E649,'Weekly Data'!E597,'Weekly Data'!E545,'Weekly Data'!E493)</f>
        <v>1523.5</v>
      </c>
      <c r="L701" s="16">
        <f>AVERAGE('Weekly Data'!F649,'Weekly Data'!F597,'Weekly Data'!F545,'Weekly Data'!F493)</f>
        <v>1417.75</v>
      </c>
      <c r="M701" s="16">
        <f>AVERAGE('Weekly Data'!G649,'Weekly Data'!G597,'Weekly Data'!G545,'Weekly Data'!G493)</f>
        <v>3989.75</v>
      </c>
      <c r="N701" s="16">
        <f>AVERAGE('Weekly Data'!H649,'Weekly Data'!H597,'Weekly Data'!H545,'Weekly Data'!H493)</f>
        <v>206.5</v>
      </c>
      <c r="O701" s="95">
        <f>AVERAGE('Weekly Data'!I649,'Weekly Data'!I597,'Weekly Data'!I545)</f>
        <v>7047.333333333333</v>
      </c>
      <c r="P701" s="203"/>
      <c r="Q701" s="39"/>
      <c r="R701" s="13">
        <v>39197</v>
      </c>
      <c r="S701" s="94">
        <f t="shared" si="18"/>
        <v>818.41666666666663</v>
      </c>
      <c r="T701" s="106">
        <f t="shared" si="20"/>
        <v>1682.3125</v>
      </c>
      <c r="U701" s="109">
        <f t="shared" si="21"/>
        <v>1237.625</v>
      </c>
      <c r="V701" s="109">
        <f t="shared" si="22"/>
        <v>3889</v>
      </c>
      <c r="W701" s="110">
        <f t="shared" si="23"/>
        <v>186.625</v>
      </c>
      <c r="X701" s="94">
        <f t="shared" si="19"/>
        <v>6860.25</v>
      </c>
      <c r="Y701" s="39"/>
      <c r="Z701" s="39"/>
      <c r="AA701" s="39"/>
      <c r="AB701" s="39"/>
      <c r="AC701" s="39"/>
      <c r="AD701" s="39"/>
      <c r="AE701" s="39"/>
      <c r="AF701" s="39"/>
      <c r="AG701" s="39"/>
      <c r="AH701" s="65"/>
    </row>
    <row r="702" spans="1:34" x14ac:dyDescent="0.25">
      <c r="A702" s="105">
        <f t="shared" si="17"/>
        <v>39204</v>
      </c>
      <c r="B702" s="59">
        <f>SUM('Weekly Data'!D699:D702)/4</f>
        <v>598</v>
      </c>
      <c r="C702" s="90">
        <f>SUM('Weekly Data'!E699:E702)/4</f>
        <v>1509.25</v>
      </c>
      <c r="D702" s="90">
        <f>SUM('Weekly Data'!F699:F702)/4</f>
        <v>1086</v>
      </c>
      <c r="E702" s="90">
        <f>SUM('Weekly Data'!G699:G702)/4</f>
        <v>4391.5</v>
      </c>
      <c r="F702" s="90">
        <f>SUM('Weekly Data'!H699:H702)/4</f>
        <v>422.75</v>
      </c>
      <c r="G702" s="90">
        <f>SUM('Weekly Data'!I699:I702)/4</f>
        <v>6921.5</v>
      </c>
      <c r="H702" s="90"/>
      <c r="I702" s="39"/>
      <c r="J702" s="95">
        <f>AVERAGE('Weekly Data'!D650,'Weekly Data'!D598,'Weekly Data'!D546)</f>
        <v>609</v>
      </c>
      <c r="K702" s="16">
        <f>AVERAGE('Weekly Data'!E650,'Weekly Data'!E598,'Weekly Data'!E546,'Weekly Data'!E494)</f>
        <v>1689.75</v>
      </c>
      <c r="L702" s="16">
        <f>AVERAGE('Weekly Data'!F650,'Weekly Data'!F598,'Weekly Data'!F546,'Weekly Data'!F494)</f>
        <v>1575.25</v>
      </c>
      <c r="M702" s="16">
        <f>AVERAGE('Weekly Data'!G650,'Weekly Data'!G598,'Weekly Data'!G546,'Weekly Data'!G494)</f>
        <v>3745.25</v>
      </c>
      <c r="N702" s="16">
        <f>AVERAGE('Weekly Data'!H650,'Weekly Data'!H598,'Weekly Data'!H546,'Weekly Data'!H494)</f>
        <v>197.5</v>
      </c>
      <c r="O702" s="95">
        <f>AVERAGE('Weekly Data'!I650,'Weekly Data'!I598,'Weekly Data'!I546)</f>
        <v>6931</v>
      </c>
      <c r="P702" s="203"/>
      <c r="Q702" s="39"/>
      <c r="R702" s="13">
        <v>39204</v>
      </c>
      <c r="S702" s="94">
        <f t="shared" si="18"/>
        <v>703.75</v>
      </c>
      <c r="T702" s="106">
        <f t="shared" si="20"/>
        <v>1666.6875</v>
      </c>
      <c r="U702" s="109">
        <f t="shared" si="21"/>
        <v>1353.3125</v>
      </c>
      <c r="V702" s="109">
        <f t="shared" si="22"/>
        <v>3755.5625</v>
      </c>
      <c r="W702" s="110">
        <f t="shared" si="23"/>
        <v>179.5</v>
      </c>
      <c r="X702" s="94">
        <f t="shared" si="19"/>
        <v>6737.083333333333</v>
      </c>
      <c r="Y702" s="39"/>
      <c r="Z702" s="39"/>
      <c r="AA702" s="39"/>
      <c r="AB702" s="39"/>
      <c r="AC702" s="39"/>
      <c r="AD702" s="39"/>
      <c r="AE702" s="39"/>
      <c r="AF702" s="39"/>
      <c r="AG702" s="39"/>
      <c r="AH702" s="65"/>
    </row>
    <row r="703" spans="1:34" x14ac:dyDescent="0.25">
      <c r="A703" s="105">
        <f t="shared" si="17"/>
        <v>39211</v>
      </c>
      <c r="B703" s="59">
        <f>SUM('Weekly Data'!D700:D703)/4</f>
        <v>594.25</v>
      </c>
      <c r="C703" s="90">
        <f>SUM('Weekly Data'!E700:E703)/4</f>
        <v>1351.5</v>
      </c>
      <c r="D703" s="90">
        <f>SUM('Weekly Data'!F700:F703)/4</f>
        <v>1155.25</v>
      </c>
      <c r="E703" s="90">
        <f>SUM('Weekly Data'!G700:G703)/4</f>
        <v>4416.5</v>
      </c>
      <c r="F703" s="90">
        <f>SUM('Weekly Data'!H700:H703)/4</f>
        <v>368.5</v>
      </c>
      <c r="G703" s="90">
        <f>SUM('Weekly Data'!I700:I703)/4</f>
        <v>6730.75</v>
      </c>
      <c r="H703" s="90"/>
      <c r="I703" s="39"/>
      <c r="J703" s="95">
        <f>AVERAGE('Weekly Data'!D651,'Weekly Data'!D599,'Weekly Data'!D547)</f>
        <v>695.66666666666663</v>
      </c>
      <c r="K703" s="16">
        <f>AVERAGE('Weekly Data'!E651,'Weekly Data'!E599,'Weekly Data'!E547,'Weekly Data'!E495)</f>
        <v>1495.25</v>
      </c>
      <c r="L703" s="16">
        <f>AVERAGE('Weekly Data'!F651,'Weekly Data'!F599,'Weekly Data'!F547,'Weekly Data'!F495)</f>
        <v>1027.25</v>
      </c>
      <c r="M703" s="16">
        <f>AVERAGE('Weekly Data'!G651,'Weekly Data'!G599,'Weekly Data'!G547,'Weekly Data'!G495)</f>
        <v>3451.75</v>
      </c>
      <c r="N703" s="16">
        <f>AVERAGE('Weekly Data'!H651,'Weekly Data'!H599,'Weekly Data'!H547,'Weekly Data'!H495)</f>
        <v>153</v>
      </c>
      <c r="O703" s="95">
        <f>AVERAGE('Weekly Data'!I651,'Weekly Data'!I599,'Weekly Data'!I547)</f>
        <v>6558.666666666667</v>
      </c>
      <c r="P703" s="203"/>
      <c r="Q703" s="39"/>
      <c r="R703" s="13">
        <v>39211</v>
      </c>
      <c r="S703" s="94">
        <f t="shared" si="18"/>
        <v>596.83333333333337</v>
      </c>
      <c r="T703" s="106">
        <f t="shared" si="20"/>
        <v>1596.4375</v>
      </c>
      <c r="U703" s="109">
        <f t="shared" si="21"/>
        <v>1296</v>
      </c>
      <c r="V703" s="109">
        <f t="shared" si="22"/>
        <v>3751.75</v>
      </c>
      <c r="W703" s="110">
        <f t="shared" si="23"/>
        <v>190.5625</v>
      </c>
      <c r="X703" s="94">
        <f t="shared" si="19"/>
        <v>6711.833333333333</v>
      </c>
      <c r="Y703" s="39"/>
      <c r="Z703" s="39"/>
      <c r="AA703" s="39"/>
      <c r="AB703" s="39"/>
      <c r="AC703" s="39"/>
      <c r="AD703" s="39"/>
      <c r="AE703" s="39"/>
      <c r="AF703" s="39"/>
      <c r="AG703" s="39"/>
      <c r="AH703" s="65"/>
    </row>
    <row r="704" spans="1:34" x14ac:dyDescent="0.25">
      <c r="A704" s="105">
        <f t="shared" si="17"/>
        <v>39218</v>
      </c>
      <c r="B704" s="59">
        <f>SUM('Weekly Data'!D701:D704)/4</f>
        <v>543.75</v>
      </c>
      <c r="C704" s="90">
        <f>SUM('Weekly Data'!E701:E704)/4</f>
        <v>1248</v>
      </c>
      <c r="D704" s="90">
        <f>SUM('Weekly Data'!F701:F704)/4</f>
        <v>1151.75</v>
      </c>
      <c r="E704" s="90">
        <f>SUM('Weekly Data'!G701:G704)/4</f>
        <v>4124.75</v>
      </c>
      <c r="F704" s="90">
        <f>SUM('Weekly Data'!H701:H704)/4</f>
        <v>332.5</v>
      </c>
      <c r="G704" s="90">
        <f>SUM('Weekly Data'!I701:I704)/4</f>
        <v>6249</v>
      </c>
      <c r="H704" s="90"/>
      <c r="I704" s="39"/>
      <c r="J704" s="95">
        <f>AVERAGE('Weekly Data'!D652,'Weekly Data'!D600,'Weekly Data'!D548)</f>
        <v>466.66666666666669</v>
      </c>
      <c r="K704" s="16">
        <f>AVERAGE('Weekly Data'!E652,'Weekly Data'!E600,'Weekly Data'!E548,'Weekly Data'!E496)</f>
        <v>1465.75</v>
      </c>
      <c r="L704" s="16">
        <f>AVERAGE('Weekly Data'!F652,'Weekly Data'!F600,'Weekly Data'!F548,'Weekly Data'!F496)</f>
        <v>1141.5</v>
      </c>
      <c r="M704" s="16">
        <f>AVERAGE('Weekly Data'!G652,'Weekly Data'!G600,'Weekly Data'!G548,'Weekly Data'!G496)</f>
        <v>3516</v>
      </c>
      <c r="N704" s="16">
        <f>AVERAGE('Weekly Data'!H652,'Weekly Data'!H600,'Weekly Data'!H548,'Weekly Data'!H496)</f>
        <v>181.25</v>
      </c>
      <c r="O704" s="95">
        <f>AVERAGE('Weekly Data'!I652,'Weekly Data'!I600,'Weekly Data'!I548)</f>
        <v>6367.333333333333</v>
      </c>
      <c r="P704" s="203"/>
      <c r="Q704" s="39"/>
      <c r="R704" s="13">
        <v>39218</v>
      </c>
      <c r="S704" s="94">
        <f t="shared" si="18"/>
        <v>595.66666666666663</v>
      </c>
      <c r="T704" s="106">
        <f t="shared" si="20"/>
        <v>1495.9375</v>
      </c>
      <c r="U704" s="109">
        <f t="shared" si="21"/>
        <v>1297.875</v>
      </c>
      <c r="V704" s="109">
        <f t="shared" si="22"/>
        <v>3763.9375</v>
      </c>
      <c r="W704" s="110">
        <f t="shared" si="23"/>
        <v>186.9375</v>
      </c>
      <c r="X704" s="94">
        <f t="shared" si="19"/>
        <v>6726.083333333333</v>
      </c>
      <c r="Y704" s="39"/>
      <c r="Z704" s="39"/>
      <c r="AA704" s="39"/>
      <c r="AB704" s="39"/>
      <c r="AC704" s="39"/>
      <c r="AD704" s="39"/>
      <c r="AE704" s="39"/>
      <c r="AF704" s="39"/>
      <c r="AG704" s="39"/>
      <c r="AH704" s="65"/>
    </row>
    <row r="705" spans="1:34" x14ac:dyDescent="0.25">
      <c r="A705" s="105">
        <f t="shared" si="17"/>
        <v>39225</v>
      </c>
      <c r="B705" s="59">
        <f>SUM('Weekly Data'!D702:D705)/4</f>
        <v>454.5</v>
      </c>
      <c r="C705" s="90">
        <f>SUM('Weekly Data'!E702:E705)/4</f>
        <v>1367.25</v>
      </c>
      <c r="D705" s="90">
        <f>SUM('Weekly Data'!F702:F705)/4</f>
        <v>1180.5</v>
      </c>
      <c r="E705" s="90">
        <f>SUM('Weekly Data'!G702:G705)/4</f>
        <v>3949.75</v>
      </c>
      <c r="F705" s="90">
        <f>SUM('Weekly Data'!H702:H705)/4</f>
        <v>298.25</v>
      </c>
      <c r="G705" s="90">
        <f>SUM('Weekly Data'!I702:I705)/4</f>
        <v>6069.75</v>
      </c>
      <c r="H705" s="90"/>
      <c r="I705" s="39"/>
      <c r="J705" s="95">
        <f>AVERAGE('Weekly Data'!D653,'Weekly Data'!D601,'Weekly Data'!D549)</f>
        <v>543.33333333333337</v>
      </c>
      <c r="K705" s="16">
        <f>AVERAGE('Weekly Data'!E653,'Weekly Data'!E601,'Weekly Data'!E549,'Weekly Data'!E497)</f>
        <v>1548.25</v>
      </c>
      <c r="L705" s="16">
        <f>AVERAGE('Weekly Data'!F653,'Weekly Data'!F601,'Weekly Data'!F549,'Weekly Data'!F497)</f>
        <v>835</v>
      </c>
      <c r="M705" s="16">
        <f>AVERAGE('Weekly Data'!G653,'Weekly Data'!G601,'Weekly Data'!G549,'Weekly Data'!G497)</f>
        <v>3762</v>
      </c>
      <c r="N705" s="16">
        <f>AVERAGE('Weekly Data'!H653,'Weekly Data'!H601,'Weekly Data'!H549,'Weekly Data'!H497)</f>
        <v>192</v>
      </c>
      <c r="O705" s="95">
        <f>AVERAGE('Weekly Data'!I653,'Weekly Data'!I601,'Weekly Data'!I549)</f>
        <v>6906</v>
      </c>
      <c r="P705" s="203"/>
      <c r="Q705" s="39"/>
      <c r="R705" s="13">
        <v>39225</v>
      </c>
      <c r="S705" s="94">
        <f t="shared" si="18"/>
        <v>578.66666666666663</v>
      </c>
      <c r="T705" s="106">
        <f t="shared" si="20"/>
        <v>1528.375</v>
      </c>
      <c r="U705" s="109">
        <f t="shared" si="21"/>
        <v>1153.6875</v>
      </c>
      <c r="V705" s="109">
        <f t="shared" si="22"/>
        <v>3668.75</v>
      </c>
      <c r="W705" s="110">
        <f t="shared" si="23"/>
        <v>192.9375</v>
      </c>
      <c r="X705" s="94">
        <f t="shared" si="19"/>
        <v>6690.75</v>
      </c>
      <c r="Y705" s="39"/>
      <c r="Z705" s="39"/>
      <c r="AA705" s="39"/>
      <c r="AB705" s="39"/>
      <c r="AC705" s="39"/>
      <c r="AD705" s="39"/>
      <c r="AE705" s="39"/>
      <c r="AF705" s="39"/>
      <c r="AG705" s="39"/>
      <c r="AH705" s="65"/>
    </row>
    <row r="706" spans="1:34" x14ac:dyDescent="0.25">
      <c r="A706" s="105">
        <f t="shared" si="17"/>
        <v>39232</v>
      </c>
      <c r="B706" s="59">
        <f>SUM('Weekly Data'!D703:D706)/4</f>
        <v>313.75</v>
      </c>
      <c r="C706" s="90">
        <f>SUM('Weekly Data'!E703:E706)/4</f>
        <v>1070.5</v>
      </c>
      <c r="D706" s="90">
        <f>SUM('Weekly Data'!F703:F706)/4</f>
        <v>1178.5</v>
      </c>
      <c r="E706" s="90">
        <f>SUM('Weekly Data'!G703:G706)/4</f>
        <v>3805.75</v>
      </c>
      <c r="F706" s="90">
        <f>SUM('Weekly Data'!H703:H706)/4</f>
        <v>275.25</v>
      </c>
      <c r="G706" s="90">
        <f>SUM('Weekly Data'!I703:I706)/4</f>
        <v>5465.25</v>
      </c>
      <c r="H706" s="90"/>
      <c r="I706" s="39"/>
      <c r="J706" s="95">
        <f>AVERAGE('Weekly Data'!D654,'Weekly Data'!D602,'Weekly Data'!D550)</f>
        <v>769.33333333333337</v>
      </c>
      <c r="K706" s="16">
        <f>AVERAGE('Weekly Data'!E654,'Weekly Data'!E602,'Weekly Data'!E550,'Weekly Data'!E498)</f>
        <v>1563</v>
      </c>
      <c r="L706" s="16">
        <f>AVERAGE('Weekly Data'!F654,'Weekly Data'!F602,'Weekly Data'!F550,'Weekly Data'!F498)</f>
        <v>926.25</v>
      </c>
      <c r="M706" s="16">
        <f>AVERAGE('Weekly Data'!G654,'Weekly Data'!G602,'Weekly Data'!G550,'Weekly Data'!G498)</f>
        <v>3915.75</v>
      </c>
      <c r="N706" s="16">
        <f>AVERAGE('Weekly Data'!H654,'Weekly Data'!H602,'Weekly Data'!H550,'Weekly Data'!H498)</f>
        <v>118.25</v>
      </c>
      <c r="O706" s="95">
        <f>AVERAGE('Weekly Data'!I654,'Weekly Data'!I602,'Weekly Data'!I550)</f>
        <v>7140</v>
      </c>
      <c r="P706" s="203"/>
      <c r="Q706" s="39"/>
      <c r="R706" s="13">
        <v>39232</v>
      </c>
      <c r="S706" s="94">
        <f t="shared" si="18"/>
        <v>618.75</v>
      </c>
      <c r="T706" s="106">
        <f t="shared" si="20"/>
        <v>1462.0625</v>
      </c>
      <c r="U706" s="109">
        <f t="shared" si="21"/>
        <v>1010.125</v>
      </c>
      <c r="V706" s="109">
        <f t="shared" si="22"/>
        <v>3732.9375</v>
      </c>
      <c r="W706" s="110">
        <f t="shared" si="23"/>
        <v>163.5625</v>
      </c>
      <c r="X706" s="94">
        <f t="shared" si="19"/>
        <v>6743</v>
      </c>
      <c r="Y706" s="39"/>
      <c r="Z706" s="39"/>
      <c r="AA706" s="39"/>
      <c r="AB706" s="39"/>
      <c r="AC706" s="39"/>
      <c r="AD706" s="39"/>
      <c r="AE706" s="39"/>
      <c r="AF706" s="39"/>
      <c r="AG706" s="39"/>
      <c r="AH706" s="65"/>
    </row>
    <row r="707" spans="1:34" x14ac:dyDescent="0.25">
      <c r="A707" s="105">
        <f t="shared" si="17"/>
        <v>39239</v>
      </c>
      <c r="B707" s="59">
        <f>SUM('Weekly Data'!D704:D707)/4</f>
        <v>374</v>
      </c>
      <c r="C707" s="90">
        <f>SUM('Weekly Data'!E704:E707)/4</f>
        <v>1035.75</v>
      </c>
      <c r="D707" s="90">
        <f>SUM('Weekly Data'!F704:F707)/4</f>
        <v>1226.25</v>
      </c>
      <c r="E707" s="90">
        <f>SUM('Weekly Data'!G704:G707)/4</f>
        <v>3470.75</v>
      </c>
      <c r="F707" s="90">
        <f>SUM('Weekly Data'!H704:H707)/4</f>
        <v>231.75</v>
      </c>
      <c r="G707" s="90">
        <f>SUM('Weekly Data'!I704:I707)/4</f>
        <v>5112.25</v>
      </c>
      <c r="H707" s="90"/>
      <c r="I707" s="39"/>
      <c r="J707" s="95">
        <f>AVERAGE('Weekly Data'!D655,'Weekly Data'!D603,'Weekly Data'!D551)</f>
        <v>560.66666666666663</v>
      </c>
      <c r="K707" s="16">
        <f>AVERAGE('Weekly Data'!E655,'Weekly Data'!E603,'Weekly Data'!E551,'Weekly Data'!E499)</f>
        <v>1857.5</v>
      </c>
      <c r="L707" s="16">
        <f>AVERAGE('Weekly Data'!F655,'Weekly Data'!F603,'Weekly Data'!F551,'Weekly Data'!F499)</f>
        <v>956</v>
      </c>
      <c r="M707" s="16">
        <f>AVERAGE('Weekly Data'!G655,'Weekly Data'!G603,'Weekly Data'!G551,'Weekly Data'!G499)</f>
        <v>3288.75</v>
      </c>
      <c r="N707" s="16">
        <f>AVERAGE('Weekly Data'!H655,'Weekly Data'!H603,'Weekly Data'!H551,'Weekly Data'!H499)</f>
        <v>90.75</v>
      </c>
      <c r="O707" s="95">
        <f>AVERAGE('Weekly Data'!I655,'Weekly Data'!I603,'Weekly Data'!I551)</f>
        <v>6142.333333333333</v>
      </c>
      <c r="P707" s="203"/>
      <c r="Q707" s="39"/>
      <c r="R707" s="13">
        <v>39239</v>
      </c>
      <c r="S707" s="94">
        <f t="shared" si="18"/>
        <v>585</v>
      </c>
      <c r="T707" s="106">
        <f t="shared" si="20"/>
        <v>1528.375</v>
      </c>
      <c r="U707" s="109">
        <f t="shared" si="21"/>
        <v>971.4375</v>
      </c>
      <c r="V707" s="109">
        <f t="shared" si="22"/>
        <v>3617.25</v>
      </c>
      <c r="W707" s="110">
        <f t="shared" si="23"/>
        <v>142.1875</v>
      </c>
      <c r="X707" s="94">
        <f t="shared" si="19"/>
        <v>6638.916666666667</v>
      </c>
      <c r="Y707" s="39"/>
      <c r="Z707" s="39"/>
      <c r="AA707" s="39"/>
      <c r="AB707" s="39"/>
      <c r="AC707" s="39"/>
      <c r="AD707" s="39"/>
      <c r="AE707" s="39"/>
      <c r="AF707" s="39"/>
      <c r="AG707" s="39"/>
      <c r="AH707" s="65"/>
    </row>
    <row r="708" spans="1:34" x14ac:dyDescent="0.25">
      <c r="A708" s="105">
        <f t="shared" si="17"/>
        <v>39246</v>
      </c>
      <c r="B708" s="59">
        <f>SUM('Weekly Data'!D705:D708)/4</f>
        <v>327.75</v>
      </c>
      <c r="C708" s="90">
        <f>SUM('Weekly Data'!E705:E708)/4</f>
        <v>1311</v>
      </c>
      <c r="D708" s="90">
        <f>SUM('Weekly Data'!F705:F708)/4</f>
        <v>978</v>
      </c>
      <c r="E708" s="90">
        <f>SUM('Weekly Data'!G705:G708)/4</f>
        <v>3576.25</v>
      </c>
      <c r="F708" s="90">
        <f>SUM('Weekly Data'!H705:H708)/4</f>
        <v>246.75</v>
      </c>
      <c r="G708" s="90">
        <f>SUM('Weekly Data'!I705:I708)/4</f>
        <v>5461.75</v>
      </c>
      <c r="H708" s="90"/>
      <c r="I708" s="39"/>
      <c r="J708" s="95">
        <f>AVERAGE('Weekly Data'!D656,'Weekly Data'!D604,'Weekly Data'!D552)</f>
        <v>609</v>
      </c>
      <c r="K708" s="16">
        <f>AVERAGE('Weekly Data'!E656,'Weekly Data'!E604,'Weekly Data'!E552,'Weekly Data'!E500)</f>
        <v>1967</v>
      </c>
      <c r="L708" s="16">
        <f>AVERAGE('Weekly Data'!F656,'Weekly Data'!F604,'Weekly Data'!F552,'Weekly Data'!F500)</f>
        <v>705.25</v>
      </c>
      <c r="M708" s="16">
        <f>AVERAGE('Weekly Data'!G656,'Weekly Data'!G604,'Weekly Data'!G552,'Weekly Data'!G500)</f>
        <v>3189.5</v>
      </c>
      <c r="N708" s="16">
        <f>AVERAGE('Weekly Data'!H656,'Weekly Data'!H604,'Weekly Data'!H552,'Weekly Data'!H500)</f>
        <v>153</v>
      </c>
      <c r="O708" s="95">
        <f>AVERAGE('Weekly Data'!I656,'Weekly Data'!I604,'Weekly Data'!I552)</f>
        <v>6613.333333333333</v>
      </c>
      <c r="P708" s="203"/>
      <c r="Q708" s="39"/>
      <c r="R708" s="13">
        <v>39246</v>
      </c>
      <c r="S708" s="94">
        <f t="shared" si="18"/>
        <v>620.58333333333337</v>
      </c>
      <c r="T708" s="106">
        <f t="shared" si="20"/>
        <v>1706.125</v>
      </c>
      <c r="U708" s="109">
        <f t="shared" si="21"/>
        <v>874</v>
      </c>
      <c r="V708" s="109">
        <f t="shared" si="22"/>
        <v>3555.9375</v>
      </c>
      <c r="W708" s="110">
        <f t="shared" si="23"/>
        <v>132.1875</v>
      </c>
      <c r="X708" s="94">
        <f t="shared" si="19"/>
        <v>6700.416666666667</v>
      </c>
      <c r="Y708" s="39"/>
      <c r="Z708" s="39"/>
      <c r="AA708" s="39"/>
      <c r="AB708" s="39"/>
      <c r="AC708" s="39"/>
      <c r="AD708" s="39"/>
      <c r="AE708" s="39"/>
      <c r="AF708" s="39"/>
      <c r="AG708" s="39"/>
      <c r="AH708" s="65"/>
    </row>
    <row r="709" spans="1:34" x14ac:dyDescent="0.25">
      <c r="A709" s="105">
        <f t="shared" si="17"/>
        <v>39253</v>
      </c>
      <c r="B709" s="59">
        <f>SUM('Weekly Data'!D706:D709)/4</f>
        <v>360.75</v>
      </c>
      <c r="C709" s="90">
        <f>SUM('Weekly Data'!E706:E709)/4</f>
        <v>1323.75</v>
      </c>
      <c r="D709" s="90">
        <f>SUM('Weekly Data'!F706:F709)/4</f>
        <v>884.75</v>
      </c>
      <c r="E709" s="90">
        <f>SUM('Weekly Data'!G706:G709)/4</f>
        <v>3413.25</v>
      </c>
      <c r="F709" s="90">
        <f>SUM('Weekly Data'!H706:H709)/4</f>
        <v>256</v>
      </c>
      <c r="G709" s="90">
        <f>SUM('Weekly Data'!I706:I709)/4</f>
        <v>5353.75</v>
      </c>
      <c r="H709" s="90"/>
      <c r="I709" s="39"/>
      <c r="J709" s="95">
        <f>AVERAGE('Weekly Data'!D657,'Weekly Data'!D605,'Weekly Data'!D553)</f>
        <v>555.66666666666663</v>
      </c>
      <c r="K709" s="16">
        <f>AVERAGE('Weekly Data'!E657,'Weekly Data'!E605,'Weekly Data'!E553,'Weekly Data'!E501)</f>
        <v>1569.25</v>
      </c>
      <c r="L709" s="16">
        <f>AVERAGE('Weekly Data'!F657,'Weekly Data'!F605,'Weekly Data'!F553,'Weekly Data'!F501)</f>
        <v>623.25</v>
      </c>
      <c r="M709" s="16">
        <f>AVERAGE('Weekly Data'!G657,'Weekly Data'!G605,'Weekly Data'!G553,'Weekly Data'!G501)</f>
        <v>3324.25</v>
      </c>
      <c r="N709" s="16">
        <f>AVERAGE('Weekly Data'!H657,'Weekly Data'!H605,'Weekly Data'!H553,'Weekly Data'!H501)</f>
        <v>186.5</v>
      </c>
      <c r="O709" s="95">
        <f>AVERAGE('Weekly Data'!I657,'Weekly Data'!I605,'Weekly Data'!I553)</f>
        <v>6079.666666666667</v>
      </c>
      <c r="P709" s="203"/>
      <c r="Q709" s="39"/>
      <c r="R709" s="13">
        <v>39253</v>
      </c>
      <c r="S709" s="94">
        <f t="shared" si="18"/>
        <v>623.66666666666663</v>
      </c>
      <c r="T709" s="106">
        <f t="shared" si="20"/>
        <v>1697.3125</v>
      </c>
      <c r="U709" s="109">
        <f t="shared" si="21"/>
        <v>814.25</v>
      </c>
      <c r="V709" s="109">
        <f t="shared" si="22"/>
        <v>3423</v>
      </c>
      <c r="W709" s="110">
        <f t="shared" si="23"/>
        <v>133.875</v>
      </c>
      <c r="X709" s="94">
        <f t="shared" si="19"/>
        <v>6493.833333333333</v>
      </c>
      <c r="Y709" s="39"/>
      <c r="Z709" s="39"/>
      <c r="AA709" s="39"/>
      <c r="AB709" s="39"/>
      <c r="AC709" s="39"/>
      <c r="AD709" s="39"/>
      <c r="AE709" s="39"/>
      <c r="AF709" s="39"/>
      <c r="AG709" s="39"/>
      <c r="AH709" s="65"/>
    </row>
    <row r="710" spans="1:34" x14ac:dyDescent="0.25">
      <c r="A710" s="105">
        <f t="shared" si="17"/>
        <v>39260</v>
      </c>
      <c r="B710" s="59">
        <f>SUM('Weekly Data'!D707:D710)/4</f>
        <v>361.5</v>
      </c>
      <c r="C710" s="90">
        <f>SUM('Weekly Data'!E707:E710)/4</f>
        <v>1842</v>
      </c>
      <c r="D710" s="90">
        <f>SUM('Weekly Data'!F707:F710)/4</f>
        <v>704.5</v>
      </c>
      <c r="E710" s="90">
        <f>SUM('Weekly Data'!G707:G710)/4</f>
        <v>3511.75</v>
      </c>
      <c r="F710" s="90">
        <f>SUM('Weekly Data'!H707:H710)/4</f>
        <v>269.75</v>
      </c>
      <c r="G710" s="90">
        <f>SUM('Weekly Data'!I707:I710)/4</f>
        <v>5985</v>
      </c>
      <c r="H710" s="90"/>
      <c r="I710" s="39"/>
      <c r="J710" s="95">
        <f>AVERAGE('Weekly Data'!D658,'Weekly Data'!D606,'Weekly Data'!D554)</f>
        <v>553</v>
      </c>
      <c r="K710" s="16">
        <f>AVERAGE('Weekly Data'!E658,'Weekly Data'!E606,'Weekly Data'!E554,'Weekly Data'!E502)</f>
        <v>2014.5</v>
      </c>
      <c r="L710" s="16">
        <f>AVERAGE('Weekly Data'!F658,'Weekly Data'!F606,'Weekly Data'!F554,'Weekly Data'!F502)</f>
        <v>816</v>
      </c>
      <c r="M710" s="16">
        <f>AVERAGE('Weekly Data'!G658,'Weekly Data'!G606,'Weekly Data'!G554,'Weekly Data'!G502)</f>
        <v>3536.5</v>
      </c>
      <c r="N710" s="16">
        <f>AVERAGE('Weekly Data'!H658,'Weekly Data'!H606,'Weekly Data'!H554,'Weekly Data'!H502)</f>
        <v>188.75</v>
      </c>
      <c r="O710" s="95">
        <f>AVERAGE('Weekly Data'!I658,'Weekly Data'!I606,'Weekly Data'!I554)</f>
        <v>6572.666666666667</v>
      </c>
      <c r="P710" s="203"/>
      <c r="Q710" s="39"/>
      <c r="R710" s="13">
        <v>39260</v>
      </c>
      <c r="S710" s="94">
        <f t="shared" si="18"/>
        <v>569.58333333333337</v>
      </c>
      <c r="T710" s="106">
        <f t="shared" si="20"/>
        <v>1794.5</v>
      </c>
      <c r="U710" s="109">
        <f t="shared" si="21"/>
        <v>788.75</v>
      </c>
      <c r="V710" s="109">
        <f t="shared" si="22"/>
        <v>3311.6875</v>
      </c>
      <c r="W710" s="110">
        <f t="shared" si="23"/>
        <v>133.875</v>
      </c>
      <c r="X710" s="94">
        <f t="shared" si="19"/>
        <v>6352</v>
      </c>
      <c r="Y710" s="39"/>
      <c r="Z710" s="39"/>
      <c r="AA710" s="39"/>
      <c r="AB710" s="39"/>
      <c r="AC710" s="39"/>
      <c r="AD710" s="39"/>
      <c r="AE710" s="39"/>
      <c r="AF710" s="39"/>
      <c r="AG710" s="39"/>
      <c r="AH710" s="65"/>
    </row>
    <row r="711" spans="1:34" x14ac:dyDescent="0.25">
      <c r="A711" s="105">
        <f t="shared" si="17"/>
        <v>39267</v>
      </c>
      <c r="B711" s="59">
        <f>SUM('Weekly Data'!D708:D711)/4</f>
        <v>228.75</v>
      </c>
      <c r="C711" s="90">
        <f>SUM('Weekly Data'!E708:E711)/4</f>
        <v>2002</v>
      </c>
      <c r="D711" s="90">
        <f>SUM('Weekly Data'!F708:F711)/4</f>
        <v>617</v>
      </c>
      <c r="E711" s="90">
        <f>SUM('Weekly Data'!G708:G711)/4</f>
        <v>3356</v>
      </c>
      <c r="F711" s="90">
        <f>SUM('Weekly Data'!H708:H711)/4</f>
        <v>296</v>
      </c>
      <c r="G711" s="90">
        <f>SUM('Weekly Data'!I708:I711)/4</f>
        <v>5882.75</v>
      </c>
      <c r="H711" s="90"/>
      <c r="I711" s="39"/>
      <c r="J711" s="95">
        <f>AVERAGE('Weekly Data'!D659,'Weekly Data'!D607,'Weekly Data'!D555)</f>
        <v>653.33333333333337</v>
      </c>
      <c r="K711" s="16">
        <f>AVERAGE('Weekly Data'!E659,'Weekly Data'!E607,'Weekly Data'!E555,'Weekly Data'!E503)</f>
        <v>1604.25</v>
      </c>
      <c r="L711" s="16">
        <f>AVERAGE('Weekly Data'!F659,'Weekly Data'!F607,'Weekly Data'!F555,'Weekly Data'!F503)</f>
        <v>778.5</v>
      </c>
      <c r="M711" s="16">
        <f>AVERAGE('Weekly Data'!G659,'Weekly Data'!G607,'Weekly Data'!G555,'Weekly Data'!G503)</f>
        <v>2901</v>
      </c>
      <c r="N711" s="16">
        <f>AVERAGE('Weekly Data'!H659,'Weekly Data'!H607,'Weekly Data'!H555,'Weekly Data'!H503)</f>
        <v>218.5</v>
      </c>
      <c r="O711" s="95">
        <f>AVERAGE('Weekly Data'!I659,'Weekly Data'!I607,'Weekly Data'!I555)</f>
        <v>5729.333333333333</v>
      </c>
      <c r="P711" s="203"/>
      <c r="Q711" s="39"/>
      <c r="R711" s="13">
        <v>39267</v>
      </c>
      <c r="S711" s="94">
        <f t="shared" si="18"/>
        <v>592.75</v>
      </c>
      <c r="T711" s="106">
        <f t="shared" si="20"/>
        <v>1830.875</v>
      </c>
      <c r="U711" s="109">
        <f t="shared" si="21"/>
        <v>732.1875</v>
      </c>
      <c r="V711" s="109">
        <f t="shared" si="22"/>
        <v>3237.25</v>
      </c>
      <c r="W711" s="110">
        <f t="shared" si="23"/>
        <v>178.625</v>
      </c>
      <c r="X711" s="94">
        <f t="shared" si="19"/>
        <v>6248.75</v>
      </c>
      <c r="Y711" s="39"/>
      <c r="Z711" s="39"/>
      <c r="AA711" s="39"/>
      <c r="AB711" s="39"/>
      <c r="AC711" s="39"/>
      <c r="AD711" s="39"/>
      <c r="AE711" s="39"/>
      <c r="AF711" s="39"/>
      <c r="AG711" s="39"/>
      <c r="AH711" s="65"/>
    </row>
    <row r="712" spans="1:34" x14ac:dyDescent="0.25">
      <c r="A712" s="105">
        <f t="shared" si="17"/>
        <v>39274</v>
      </c>
      <c r="B712" s="59">
        <f>SUM('Weekly Data'!D709:D712)/4</f>
        <v>225</v>
      </c>
      <c r="C712" s="90">
        <f>SUM('Weekly Data'!E709:E712)/4</f>
        <v>1900.5</v>
      </c>
      <c r="D712" s="90">
        <f>SUM('Weekly Data'!F709:F712)/4</f>
        <v>868</v>
      </c>
      <c r="E712" s="90">
        <f>SUM('Weekly Data'!G709:G712)/4</f>
        <v>3268.25</v>
      </c>
      <c r="F712" s="90">
        <f>SUM('Weekly Data'!H709:H712)/4</f>
        <v>257</v>
      </c>
      <c r="G712" s="90">
        <f>SUM('Weekly Data'!I709:I712)/4</f>
        <v>5650.75</v>
      </c>
      <c r="H712" s="90"/>
      <c r="I712" s="39"/>
      <c r="J712" s="95">
        <f>AVERAGE('Weekly Data'!D660,'Weekly Data'!D608,'Weekly Data'!D556)</f>
        <v>672</v>
      </c>
      <c r="K712" s="16">
        <f>AVERAGE('Weekly Data'!E660,'Weekly Data'!E608,'Weekly Data'!E556,'Weekly Data'!E504)</f>
        <v>1707.25</v>
      </c>
      <c r="L712" s="16">
        <f>AVERAGE('Weekly Data'!F660,'Weekly Data'!F608,'Weekly Data'!F556,'Weekly Data'!F504)</f>
        <v>1007.5</v>
      </c>
      <c r="M712" s="16">
        <f>AVERAGE('Weekly Data'!G660,'Weekly Data'!G608,'Weekly Data'!G556,'Weekly Data'!G504)</f>
        <v>3157.5</v>
      </c>
      <c r="N712" s="16">
        <f>AVERAGE('Weekly Data'!H660,'Weekly Data'!H608,'Weekly Data'!H556,'Weekly Data'!H504)</f>
        <v>195</v>
      </c>
      <c r="O712" s="95">
        <f>AVERAGE('Weekly Data'!I660,'Weekly Data'!I608,'Weekly Data'!I556)</f>
        <v>6186.333333333333</v>
      </c>
      <c r="P712" s="203"/>
      <c r="Q712" s="39"/>
      <c r="R712" s="13">
        <v>39274</v>
      </c>
      <c r="S712" s="94">
        <f t="shared" si="18"/>
        <v>608.5</v>
      </c>
      <c r="T712" s="106">
        <f t="shared" si="20"/>
        <v>1727.6875</v>
      </c>
      <c r="U712" s="109">
        <f t="shared" si="21"/>
        <v>795.25</v>
      </c>
      <c r="V712" s="109">
        <f t="shared" si="22"/>
        <v>3195.875</v>
      </c>
      <c r="W712" s="110">
        <f t="shared" si="23"/>
        <v>197.8125</v>
      </c>
      <c r="X712" s="94">
        <f t="shared" si="19"/>
        <v>6142</v>
      </c>
      <c r="Y712" s="39"/>
      <c r="Z712" s="39"/>
      <c r="AA712" s="39"/>
      <c r="AB712" s="39"/>
      <c r="AC712" s="39"/>
      <c r="AD712" s="39"/>
      <c r="AE712" s="39"/>
      <c r="AF712" s="39"/>
      <c r="AG712" s="39"/>
      <c r="AH712" s="65"/>
    </row>
    <row r="713" spans="1:34" x14ac:dyDescent="0.25">
      <c r="A713" s="105">
        <f t="shared" si="17"/>
        <v>39281</v>
      </c>
      <c r="B713" s="59">
        <f>SUM('Weekly Data'!D710:D713)/4</f>
        <v>272.25</v>
      </c>
      <c r="C713" s="90">
        <f>SUM('Weekly Data'!E710:E713)/4</f>
        <v>1939.75</v>
      </c>
      <c r="D713" s="90">
        <f>SUM('Weekly Data'!F710:F713)/4</f>
        <v>709.75</v>
      </c>
      <c r="E713" s="90">
        <f>SUM('Weekly Data'!G710:G713)/4</f>
        <v>3128.75</v>
      </c>
      <c r="F713" s="90">
        <f>SUM('Weekly Data'!H710:H713)/4</f>
        <v>250.5</v>
      </c>
      <c r="G713" s="90">
        <f>SUM('Weekly Data'!I710:I713)/4</f>
        <v>5591.25</v>
      </c>
      <c r="H713" s="90"/>
      <c r="I713" s="39"/>
      <c r="J713" s="95">
        <f>AVERAGE('Weekly Data'!D661,'Weekly Data'!D609,'Weekly Data'!D557)</f>
        <v>908</v>
      </c>
      <c r="K713" s="16">
        <f>AVERAGE('Weekly Data'!E661,'Weekly Data'!E609,'Weekly Data'!E557,'Weekly Data'!E505)</f>
        <v>1584.25</v>
      </c>
      <c r="L713" s="16">
        <f>AVERAGE('Weekly Data'!F661,'Weekly Data'!F609,'Weekly Data'!F557,'Weekly Data'!F505)</f>
        <v>797.75</v>
      </c>
      <c r="M713" s="16">
        <f>AVERAGE('Weekly Data'!G661,'Weekly Data'!G609,'Weekly Data'!G557,'Weekly Data'!G505)</f>
        <v>3307</v>
      </c>
      <c r="N713" s="16">
        <f>AVERAGE('Weekly Data'!H661,'Weekly Data'!H609,'Weekly Data'!H557,'Weekly Data'!H505)</f>
        <v>155.5</v>
      </c>
      <c r="O713" s="95">
        <f>AVERAGE('Weekly Data'!I661,'Weekly Data'!I609,'Weekly Data'!I557)</f>
        <v>6236.333333333333</v>
      </c>
      <c r="P713" s="203"/>
      <c r="Q713" s="39"/>
      <c r="R713" s="13">
        <v>39281</v>
      </c>
      <c r="S713" s="94">
        <f t="shared" si="18"/>
        <v>696.58333333333337</v>
      </c>
      <c r="T713" s="106">
        <f t="shared" si="20"/>
        <v>1714.3125</v>
      </c>
      <c r="U713" s="109">
        <f t="shared" si="21"/>
        <v>849.875</v>
      </c>
      <c r="V713" s="109">
        <f t="shared" si="22"/>
        <v>3208.6875</v>
      </c>
      <c r="W713" s="110">
        <f t="shared" si="23"/>
        <v>191.125</v>
      </c>
      <c r="X713" s="94">
        <f t="shared" si="19"/>
        <v>6181.166666666667</v>
      </c>
      <c r="Y713" s="39"/>
      <c r="Z713" s="39"/>
      <c r="AA713" s="39"/>
      <c r="AB713" s="39"/>
      <c r="AC713" s="39"/>
      <c r="AD713" s="39"/>
      <c r="AE713" s="39"/>
      <c r="AF713" s="39"/>
      <c r="AG713" s="39"/>
      <c r="AH713" s="65"/>
    </row>
    <row r="714" spans="1:34" x14ac:dyDescent="0.25">
      <c r="A714" s="105">
        <f t="shared" si="17"/>
        <v>39288</v>
      </c>
      <c r="B714" s="59">
        <f>SUM('Weekly Data'!D711:D714)/4</f>
        <v>410.25</v>
      </c>
      <c r="C714" s="90">
        <f>SUM('Weekly Data'!E711:E714)/4</f>
        <v>1650</v>
      </c>
      <c r="D714" s="90">
        <f>SUM('Weekly Data'!F711:F714)/4</f>
        <v>779.75</v>
      </c>
      <c r="E714" s="90">
        <f>SUM('Weekly Data'!G711:G714)/4</f>
        <v>2800.5</v>
      </c>
      <c r="F714" s="90">
        <f>SUM('Weekly Data'!H711:H714)/4</f>
        <v>264</v>
      </c>
      <c r="G714" s="90">
        <f>SUM('Weekly Data'!I711:I714)/4</f>
        <v>5124.75</v>
      </c>
      <c r="H714" s="90"/>
      <c r="I714" s="39"/>
      <c r="J714" s="95">
        <f>AVERAGE('Weekly Data'!D662,'Weekly Data'!D610,'Weekly Data'!D558)</f>
        <v>749</v>
      </c>
      <c r="K714" s="16">
        <f>AVERAGE('Weekly Data'!E662,'Weekly Data'!E610,'Weekly Data'!E558,'Weekly Data'!E506)</f>
        <v>1671.75</v>
      </c>
      <c r="L714" s="16">
        <f>AVERAGE('Weekly Data'!F662,'Weekly Data'!F610,'Weekly Data'!F558,'Weekly Data'!F506)</f>
        <v>894.5</v>
      </c>
      <c r="M714" s="16">
        <f>AVERAGE('Weekly Data'!G662,'Weekly Data'!G610,'Weekly Data'!G558,'Weekly Data'!G506)</f>
        <v>2836</v>
      </c>
      <c r="N714" s="16">
        <f>AVERAGE('Weekly Data'!H662,'Weekly Data'!H610,'Weekly Data'!H558,'Weekly Data'!H506)</f>
        <v>173.5</v>
      </c>
      <c r="O714" s="95">
        <f>AVERAGE('Weekly Data'!I662,'Weekly Data'!I610,'Weekly Data'!I558)</f>
        <v>5756.666666666667</v>
      </c>
      <c r="P714" s="203"/>
      <c r="Q714" s="39"/>
      <c r="R714" s="13">
        <v>39288</v>
      </c>
      <c r="S714" s="94">
        <f t="shared" si="18"/>
        <v>745.58333333333337</v>
      </c>
      <c r="T714" s="106">
        <f t="shared" si="20"/>
        <v>1670</v>
      </c>
      <c r="U714" s="109">
        <f t="shared" si="21"/>
        <v>856.8125</v>
      </c>
      <c r="V714" s="109">
        <f t="shared" si="22"/>
        <v>3074.6875</v>
      </c>
      <c r="W714" s="110">
        <f t="shared" si="23"/>
        <v>208.0625</v>
      </c>
      <c r="X714" s="94">
        <f t="shared" si="19"/>
        <v>5977.166666666667</v>
      </c>
      <c r="Y714" s="39"/>
      <c r="Z714" s="39"/>
      <c r="AA714" s="39"/>
      <c r="AB714" s="39"/>
      <c r="AC714" s="39"/>
      <c r="AD714" s="39"/>
      <c r="AE714" s="39"/>
      <c r="AF714" s="39"/>
      <c r="AG714" s="39"/>
      <c r="AH714" s="65"/>
    </row>
    <row r="715" spans="1:34" x14ac:dyDescent="0.25">
      <c r="A715" s="105">
        <f t="shared" si="17"/>
        <v>39295</v>
      </c>
      <c r="B715" s="59">
        <f>SUM('Weekly Data'!D712:D715)/4</f>
        <v>488.75</v>
      </c>
      <c r="C715" s="90">
        <f>SUM('Weekly Data'!E712:E715)/4</f>
        <v>1879</v>
      </c>
      <c r="D715" s="90">
        <f>SUM('Weekly Data'!F712:F715)/4</f>
        <v>685</v>
      </c>
      <c r="E715" s="90">
        <f>SUM('Weekly Data'!G712:G715)/4</f>
        <v>2945</v>
      </c>
      <c r="F715" s="90">
        <f>SUM('Weekly Data'!H712:H715)/4</f>
        <v>245.5</v>
      </c>
      <c r="G715" s="90">
        <f>SUM('Weekly Data'!I712:I715)/4</f>
        <v>5558.25</v>
      </c>
      <c r="H715" s="90"/>
      <c r="I715" s="39"/>
      <c r="J715" s="95">
        <f>AVERAGE('Weekly Data'!D663,'Weekly Data'!D611,'Weekly Data'!D559)</f>
        <v>640.66666666666663</v>
      </c>
      <c r="K715" s="16">
        <f>AVERAGE('Weekly Data'!E663,'Weekly Data'!E611,'Weekly Data'!E559,'Weekly Data'!E507)</f>
        <v>1795.25</v>
      </c>
      <c r="L715" s="16">
        <f>AVERAGE('Weekly Data'!F663,'Weekly Data'!F611,'Weekly Data'!F559,'Weekly Data'!F507)</f>
        <v>771.75</v>
      </c>
      <c r="M715" s="16">
        <f>AVERAGE('Weekly Data'!G663,'Weekly Data'!G611,'Weekly Data'!G559,'Weekly Data'!G507)</f>
        <v>3401.75</v>
      </c>
      <c r="N715" s="16">
        <f>AVERAGE('Weekly Data'!H663,'Weekly Data'!H611,'Weekly Data'!H559,'Weekly Data'!H507)</f>
        <v>176.25</v>
      </c>
      <c r="O715" s="95">
        <f>AVERAGE('Weekly Data'!I663,'Weekly Data'!I611,'Weekly Data'!I559)</f>
        <v>6128.666666666667</v>
      </c>
      <c r="P715" s="203"/>
      <c r="Q715" s="39"/>
      <c r="R715" s="13">
        <v>39295</v>
      </c>
      <c r="S715" s="94">
        <f t="shared" si="18"/>
        <v>742.41666666666663</v>
      </c>
      <c r="T715" s="106">
        <f t="shared" si="20"/>
        <v>1633.125</v>
      </c>
      <c r="U715" s="109">
        <f t="shared" si="21"/>
        <v>867.25</v>
      </c>
      <c r="V715" s="109">
        <f t="shared" si="22"/>
        <v>3139.9375</v>
      </c>
      <c r="W715" s="110">
        <f t="shared" si="23"/>
        <v>182.0625</v>
      </c>
      <c r="X715" s="94">
        <f t="shared" si="19"/>
        <v>6077</v>
      </c>
      <c r="Y715" s="39"/>
      <c r="Z715" s="39"/>
      <c r="AA715" s="39"/>
      <c r="AB715" s="39"/>
      <c r="AC715" s="39"/>
      <c r="AD715" s="39"/>
      <c r="AE715" s="39"/>
      <c r="AF715" s="39"/>
      <c r="AG715" s="39"/>
      <c r="AH715" s="65"/>
    </row>
    <row r="716" spans="1:34" x14ac:dyDescent="0.25">
      <c r="A716" s="105">
        <f t="shared" si="17"/>
        <v>39302</v>
      </c>
      <c r="B716" s="59">
        <f>SUM('Weekly Data'!D713:D716)/4</f>
        <v>594.75</v>
      </c>
      <c r="C716" s="90">
        <f>SUM('Weekly Data'!E713:E716)/4</f>
        <v>1987.5</v>
      </c>
      <c r="D716" s="90">
        <f>SUM('Weekly Data'!F713:F716)/4</f>
        <v>606.5</v>
      </c>
      <c r="E716" s="90">
        <f>SUM('Weekly Data'!G713:G716)/4</f>
        <v>3112.75</v>
      </c>
      <c r="F716" s="90">
        <f>SUM('Weekly Data'!H713:H716)/4</f>
        <v>297.75</v>
      </c>
      <c r="G716" s="90">
        <f>SUM('Weekly Data'!I713:I716)/4</f>
        <v>5992.75</v>
      </c>
      <c r="H716" s="90"/>
      <c r="I716" s="39"/>
      <c r="J716" s="95">
        <f>AVERAGE('Weekly Data'!D664,'Weekly Data'!D612,'Weekly Data'!D560)</f>
        <v>1182</v>
      </c>
      <c r="K716" s="16">
        <f>AVERAGE('Weekly Data'!E664,'Weekly Data'!E612,'Weekly Data'!E560,'Weekly Data'!E508)</f>
        <v>1949.5</v>
      </c>
      <c r="L716" s="16">
        <f>AVERAGE('Weekly Data'!F664,'Weekly Data'!F612,'Weekly Data'!F560,'Weekly Data'!F508)</f>
        <v>754.25</v>
      </c>
      <c r="M716" s="16">
        <f>AVERAGE('Weekly Data'!G664,'Weekly Data'!G612,'Weekly Data'!G560,'Weekly Data'!G508)</f>
        <v>2954.75</v>
      </c>
      <c r="N716" s="16">
        <f>AVERAGE('Weekly Data'!H664,'Weekly Data'!H612,'Weekly Data'!H560,'Weekly Data'!H508)</f>
        <v>235.25</v>
      </c>
      <c r="O716" s="95">
        <f>AVERAGE('Weekly Data'!I664,'Weekly Data'!I612,'Weekly Data'!I560)</f>
        <v>6415.333333333333</v>
      </c>
      <c r="P716" s="203"/>
      <c r="Q716" s="39"/>
      <c r="R716" s="13">
        <v>39302</v>
      </c>
      <c r="S716" s="94">
        <f t="shared" si="18"/>
        <v>869.91666666666663</v>
      </c>
      <c r="T716" s="106">
        <f t="shared" si="20"/>
        <v>1688.875</v>
      </c>
      <c r="U716" s="109">
        <f t="shared" si="21"/>
        <v>806.1875</v>
      </c>
      <c r="V716" s="109">
        <f t="shared" si="22"/>
        <v>3112.0625</v>
      </c>
      <c r="W716" s="110">
        <f t="shared" si="23"/>
        <v>186.625</v>
      </c>
      <c r="X716" s="94">
        <f t="shared" si="19"/>
        <v>6134.25</v>
      </c>
      <c r="Y716" s="39"/>
      <c r="Z716" s="39"/>
      <c r="AA716" s="39"/>
      <c r="AB716" s="39"/>
      <c r="AC716" s="39"/>
      <c r="AD716" s="39"/>
      <c r="AE716" s="39"/>
      <c r="AF716" s="39"/>
      <c r="AG716" s="39"/>
      <c r="AH716" s="65"/>
    </row>
    <row r="717" spans="1:34" x14ac:dyDescent="0.25">
      <c r="A717" s="105">
        <f t="shared" ref="A717:A780" si="24">A716+7</f>
        <v>39309</v>
      </c>
      <c r="B717" s="59">
        <f>SUM('Weekly Data'!D714:D717)/4</f>
        <v>661.75</v>
      </c>
      <c r="C717" s="90">
        <f>SUM('Weekly Data'!E714:E717)/4</f>
        <v>2261.75</v>
      </c>
      <c r="D717" s="90">
        <f>SUM('Weekly Data'!F714:F717)/4</f>
        <v>639.5</v>
      </c>
      <c r="E717" s="90">
        <f>SUM('Weekly Data'!G714:G717)/4</f>
        <v>3496.5</v>
      </c>
      <c r="F717" s="90">
        <f>SUM('Weekly Data'!H714:H717)/4</f>
        <v>342.25</v>
      </c>
      <c r="G717" s="90">
        <f>SUM('Weekly Data'!I714:I717)/4</f>
        <v>6762.25</v>
      </c>
      <c r="H717" s="90"/>
      <c r="I717" s="39"/>
      <c r="J717" s="95">
        <f>AVERAGE('Weekly Data'!D665,'Weekly Data'!D613,'Weekly Data'!D561)</f>
        <v>938</v>
      </c>
      <c r="K717" s="16">
        <f>AVERAGE('Weekly Data'!E665,'Weekly Data'!E613,'Weekly Data'!E561,'Weekly Data'!E509)</f>
        <v>2037.75</v>
      </c>
      <c r="L717" s="16">
        <f>AVERAGE('Weekly Data'!F665,'Weekly Data'!F613,'Weekly Data'!F561,'Weekly Data'!F509)</f>
        <v>844.25</v>
      </c>
      <c r="M717" s="16">
        <f>AVERAGE('Weekly Data'!G665,'Weekly Data'!G613,'Weekly Data'!G561,'Weekly Data'!G509)</f>
        <v>3138.75</v>
      </c>
      <c r="N717" s="16">
        <f>AVERAGE('Weekly Data'!H665,'Weekly Data'!H613,'Weekly Data'!H561,'Weekly Data'!H509)</f>
        <v>216</v>
      </c>
      <c r="O717" s="95">
        <f>AVERAGE('Weekly Data'!I665,'Weekly Data'!I613,'Weekly Data'!I561)</f>
        <v>6654.333333333333</v>
      </c>
      <c r="P717" s="203"/>
      <c r="Q717" s="39"/>
      <c r="R717" s="13">
        <v>39309</v>
      </c>
      <c r="S717" s="94">
        <f t="shared" ref="S717:S742" si="25">AVERAGE(B665,B613,B561)</f>
        <v>877.41666666666663</v>
      </c>
      <c r="T717" s="106">
        <f t="shared" si="20"/>
        <v>1839.6875</v>
      </c>
      <c r="U717" s="109">
        <f t="shared" si="21"/>
        <v>792.1875</v>
      </c>
      <c r="V717" s="109">
        <f t="shared" si="22"/>
        <v>3095.8125</v>
      </c>
      <c r="W717" s="110">
        <f t="shared" si="23"/>
        <v>197.4375</v>
      </c>
      <c r="X717" s="94">
        <f t="shared" ref="X717:X742" si="26">AVERAGE(G665,G613,G561)</f>
        <v>6238.75</v>
      </c>
      <c r="Y717" s="39"/>
      <c r="Z717" s="39"/>
      <c r="AA717" s="39"/>
      <c r="AB717" s="39"/>
      <c r="AC717" s="39"/>
      <c r="AD717" s="39"/>
      <c r="AE717" s="39"/>
      <c r="AF717" s="39"/>
      <c r="AG717" s="39"/>
      <c r="AH717" s="65"/>
    </row>
    <row r="718" spans="1:34" x14ac:dyDescent="0.25">
      <c r="A718" s="105">
        <f t="shared" si="24"/>
        <v>39316</v>
      </c>
      <c r="B718" s="59">
        <f>SUM('Weekly Data'!D715:D718)/4</f>
        <v>704</v>
      </c>
      <c r="C718" s="90">
        <f>SUM('Weekly Data'!E715:E718)/4</f>
        <v>2655.5</v>
      </c>
      <c r="D718" s="90">
        <f>SUM('Weekly Data'!F715:F718)/4</f>
        <v>574.75</v>
      </c>
      <c r="E718" s="90">
        <f>SUM('Weekly Data'!G715:G718)/4</f>
        <v>4325.25</v>
      </c>
      <c r="F718" s="90">
        <f>SUM('Weekly Data'!H715:H718)/4</f>
        <v>345</v>
      </c>
      <c r="G718" s="90">
        <f>SUM('Weekly Data'!I715:I718)/4</f>
        <v>8029.75</v>
      </c>
      <c r="H718" s="90"/>
      <c r="I718" s="39"/>
      <c r="J718" s="95">
        <f>AVERAGE('Weekly Data'!D666,'Weekly Data'!D614,'Weekly Data'!D562)</f>
        <v>1166.6666666666667</v>
      </c>
      <c r="K718" s="16">
        <f>AVERAGE('Weekly Data'!E666,'Weekly Data'!E614,'Weekly Data'!E562,'Weekly Data'!E510)</f>
        <v>2019</v>
      </c>
      <c r="L718" s="16">
        <f>AVERAGE('Weekly Data'!F666,'Weekly Data'!F614,'Weekly Data'!F562,'Weekly Data'!F510)</f>
        <v>751.75</v>
      </c>
      <c r="M718" s="16">
        <f>AVERAGE('Weekly Data'!G666,'Weekly Data'!G614,'Weekly Data'!G562,'Weekly Data'!G510)</f>
        <v>3247.5</v>
      </c>
      <c r="N718" s="16">
        <f>AVERAGE('Weekly Data'!H666,'Weekly Data'!H614,'Weekly Data'!H562,'Weekly Data'!H510)</f>
        <v>147.5</v>
      </c>
      <c r="O718" s="95">
        <f>AVERAGE('Weekly Data'!I666,'Weekly Data'!I614,'Weekly Data'!I562)</f>
        <v>6617.333333333333</v>
      </c>
      <c r="P718" s="203"/>
      <c r="Q718" s="39"/>
      <c r="R718" s="13">
        <v>39316</v>
      </c>
      <c r="S718" s="94">
        <f t="shared" si="25"/>
        <v>981.83333333333337</v>
      </c>
      <c r="T718" s="106">
        <f t="shared" si="20"/>
        <v>1897.5625</v>
      </c>
      <c r="U718" s="109">
        <f t="shared" si="21"/>
        <v>776.125</v>
      </c>
      <c r="V718" s="109">
        <f t="shared" si="22"/>
        <v>3140.625</v>
      </c>
      <c r="W718" s="110">
        <f t="shared" si="23"/>
        <v>191.5</v>
      </c>
      <c r="X718" s="94">
        <f t="shared" si="26"/>
        <v>6453.916666666667</v>
      </c>
      <c r="Y718" s="39"/>
      <c r="Z718" s="39"/>
      <c r="AA718" s="39"/>
      <c r="AB718" s="39"/>
      <c r="AC718" s="39"/>
      <c r="AD718" s="39"/>
      <c r="AE718" s="39"/>
      <c r="AF718" s="39"/>
      <c r="AG718" s="39"/>
      <c r="AH718" s="65"/>
    </row>
    <row r="719" spans="1:34" x14ac:dyDescent="0.25">
      <c r="A719" s="105">
        <f t="shared" si="24"/>
        <v>39323</v>
      </c>
      <c r="B719" s="59">
        <f>SUM('Weekly Data'!D716:D719)/4</f>
        <v>907</v>
      </c>
      <c r="C719" s="90">
        <f>SUM('Weekly Data'!E716:E719)/4</f>
        <v>2849.75</v>
      </c>
      <c r="D719" s="90">
        <f>SUM('Weekly Data'!F716:F719)/4</f>
        <v>637.5</v>
      </c>
      <c r="E719" s="90">
        <f>SUM('Weekly Data'!G716:G719)/4</f>
        <v>4479.75</v>
      </c>
      <c r="F719" s="90">
        <f>SUM('Weekly Data'!H716:H719)/4</f>
        <v>548.75</v>
      </c>
      <c r="G719" s="90">
        <f>SUM('Weekly Data'!I716:I719)/4</f>
        <v>8785.25</v>
      </c>
      <c r="H719" s="90"/>
      <c r="I719" s="39"/>
      <c r="J719" s="95">
        <f>AVERAGE('Weekly Data'!D667,'Weekly Data'!D615,'Weekly Data'!D563)</f>
        <v>1047.3333333333333</v>
      </c>
      <c r="K719" s="16">
        <f>AVERAGE('Weekly Data'!E667,'Weekly Data'!E615,'Weekly Data'!E563,'Weekly Data'!E511)</f>
        <v>1827.5</v>
      </c>
      <c r="L719" s="16">
        <f>AVERAGE('Weekly Data'!F667,'Weekly Data'!F615,'Weekly Data'!F563,'Weekly Data'!F511)</f>
        <v>817.25</v>
      </c>
      <c r="M719" s="16">
        <f>AVERAGE('Weekly Data'!G667,'Weekly Data'!G615,'Weekly Data'!G563,'Weekly Data'!G511)</f>
        <v>3786</v>
      </c>
      <c r="N719" s="16">
        <f>AVERAGE('Weekly Data'!H667,'Weekly Data'!H615,'Weekly Data'!H563,'Weekly Data'!H511)</f>
        <v>263.5</v>
      </c>
      <c r="O719" s="95">
        <f>AVERAGE('Weekly Data'!I667,'Weekly Data'!I615,'Weekly Data'!I563)</f>
        <v>7068.666666666667</v>
      </c>
      <c r="P719" s="203"/>
      <c r="Q719" s="39"/>
      <c r="R719" s="13">
        <v>39323</v>
      </c>
      <c r="S719" s="94">
        <f t="shared" si="25"/>
        <v>1083.5</v>
      </c>
      <c r="T719" s="106">
        <f t="shared" si="20"/>
        <v>1929.0625</v>
      </c>
      <c r="U719" s="109">
        <f t="shared" si="21"/>
        <v>807.8125</v>
      </c>
      <c r="V719" s="109">
        <f t="shared" si="22"/>
        <v>3284.9375</v>
      </c>
      <c r="W719" s="110">
        <f t="shared" si="23"/>
        <v>215.8125</v>
      </c>
      <c r="X719" s="94">
        <f t="shared" si="26"/>
        <v>6688.916666666667</v>
      </c>
      <c r="Y719" s="39"/>
      <c r="Z719" s="39"/>
      <c r="AA719" s="39"/>
      <c r="AB719" s="39"/>
      <c r="AC719" s="39"/>
      <c r="AD719" s="39"/>
      <c r="AE719" s="39"/>
      <c r="AF719" s="39"/>
      <c r="AG719" s="39"/>
      <c r="AH719" s="65"/>
    </row>
    <row r="720" spans="1:34" x14ac:dyDescent="0.25">
      <c r="A720" s="105">
        <f t="shared" si="24"/>
        <v>39330</v>
      </c>
      <c r="B720" s="59">
        <f>SUM('Weekly Data'!D717:D720)/4</f>
        <v>1067</v>
      </c>
      <c r="C720" s="90">
        <f>SUM('Weekly Data'!E717:E720)/4</f>
        <v>3131.75</v>
      </c>
      <c r="D720" s="90">
        <f>SUM('Weekly Data'!F717:F720)/4</f>
        <v>640</v>
      </c>
      <c r="E720" s="90">
        <f>SUM('Weekly Data'!G717:G720)/4</f>
        <v>4279</v>
      </c>
      <c r="F720" s="90">
        <f>SUM('Weekly Data'!H717:H720)/4</f>
        <v>557.5</v>
      </c>
      <c r="G720" s="90">
        <f>SUM('Weekly Data'!I717:I720)/4</f>
        <v>9035.25</v>
      </c>
      <c r="H720" s="90"/>
      <c r="I720" s="39"/>
      <c r="J720" s="95">
        <f>AVERAGE('Weekly Data'!D668,'Weekly Data'!D616,'Weekly Data'!D564)</f>
        <v>719.66666666666663</v>
      </c>
      <c r="K720" s="16">
        <f>AVERAGE('Weekly Data'!E668,'Weekly Data'!E616,'Weekly Data'!E564,'Weekly Data'!E512)</f>
        <v>1956.75</v>
      </c>
      <c r="L720" s="16">
        <f>AVERAGE('Weekly Data'!F668,'Weekly Data'!F616,'Weekly Data'!F564,'Weekly Data'!F512)</f>
        <v>940.25</v>
      </c>
      <c r="M720" s="16">
        <f>AVERAGE('Weekly Data'!G668,'Weekly Data'!G616,'Weekly Data'!G564,'Weekly Data'!G512)</f>
        <v>3393.25</v>
      </c>
      <c r="N720" s="16">
        <f>AVERAGE('Weekly Data'!H668,'Weekly Data'!H616,'Weekly Data'!H564,'Weekly Data'!H512)</f>
        <v>163.5</v>
      </c>
      <c r="O720" s="95">
        <f>AVERAGE('Weekly Data'!I668,'Weekly Data'!I616,'Weekly Data'!I564)</f>
        <v>6204.333333333333</v>
      </c>
      <c r="P720" s="203"/>
      <c r="Q720" s="39"/>
      <c r="R720" s="13">
        <v>39330</v>
      </c>
      <c r="S720" s="94">
        <f t="shared" si="25"/>
        <v>967.91666666666663</v>
      </c>
      <c r="T720" s="106">
        <f t="shared" si="20"/>
        <v>1949.75</v>
      </c>
      <c r="U720" s="109">
        <f t="shared" si="21"/>
        <v>827</v>
      </c>
      <c r="V720" s="109">
        <f t="shared" si="22"/>
        <v>3349.6875</v>
      </c>
      <c r="W720" s="110">
        <f t="shared" si="23"/>
        <v>203.4375</v>
      </c>
      <c r="X720" s="94">
        <f t="shared" si="26"/>
        <v>6636.166666666667</v>
      </c>
      <c r="Y720" s="39"/>
      <c r="Z720" s="39"/>
      <c r="AA720" s="39"/>
      <c r="AB720" s="39"/>
      <c r="AC720" s="39"/>
      <c r="AD720" s="39"/>
      <c r="AE720" s="39"/>
      <c r="AF720" s="39"/>
      <c r="AG720" s="39"/>
      <c r="AH720" s="65"/>
    </row>
    <row r="721" spans="1:34" x14ac:dyDescent="0.25">
      <c r="A721" s="105">
        <f t="shared" si="24"/>
        <v>39337</v>
      </c>
      <c r="B721" s="59">
        <f>SUM('Weekly Data'!D718:D721)/4</f>
        <v>1222</v>
      </c>
      <c r="C721" s="90">
        <f>SUM('Weekly Data'!E718:E721)/4</f>
        <v>3441.75</v>
      </c>
      <c r="D721" s="90">
        <f>SUM('Weekly Data'!F718:F721)/4</f>
        <v>610.75</v>
      </c>
      <c r="E721" s="90">
        <f>SUM('Weekly Data'!G718:G721)/4</f>
        <v>3841.5</v>
      </c>
      <c r="F721" s="90">
        <f>SUM('Weekly Data'!H718:H721)/4</f>
        <v>598.5</v>
      </c>
      <c r="G721" s="90">
        <f>SUM('Weekly Data'!I718:I721)/4</f>
        <v>9103.75</v>
      </c>
      <c r="H721" s="90"/>
      <c r="I721" s="39"/>
      <c r="J721" s="95">
        <f>AVERAGE('Weekly Data'!D669,'Weekly Data'!D617,'Weekly Data'!D565)</f>
        <v>1224</v>
      </c>
      <c r="K721" s="16">
        <f>AVERAGE('Weekly Data'!E669,'Weekly Data'!E617,'Weekly Data'!E565,'Weekly Data'!E513)</f>
        <v>2363</v>
      </c>
      <c r="L721" s="16">
        <f>AVERAGE('Weekly Data'!F669,'Weekly Data'!F617,'Weekly Data'!F565,'Weekly Data'!F513)</f>
        <v>939.5</v>
      </c>
      <c r="M721" s="16">
        <f>AVERAGE('Weekly Data'!G669,'Weekly Data'!G617,'Weekly Data'!G565,'Weekly Data'!G513)</f>
        <v>3397.5</v>
      </c>
      <c r="N721" s="16">
        <f>AVERAGE('Weekly Data'!H669,'Weekly Data'!H617,'Weekly Data'!H565,'Weekly Data'!H513)</f>
        <v>296</v>
      </c>
      <c r="O721" s="95">
        <f>AVERAGE('Weekly Data'!I669,'Weekly Data'!I617,'Weekly Data'!I565)</f>
        <v>7286</v>
      </c>
      <c r="P721" s="203"/>
      <c r="Q721" s="39"/>
      <c r="R721" s="13">
        <v>39337</v>
      </c>
      <c r="S721" s="94">
        <f t="shared" si="25"/>
        <v>1039.4166666666667</v>
      </c>
      <c r="T721" s="106">
        <f t="shared" si="20"/>
        <v>1992.4375</v>
      </c>
      <c r="U721" s="109">
        <f t="shared" si="21"/>
        <v>867.625</v>
      </c>
      <c r="V721" s="109">
        <f t="shared" si="22"/>
        <v>3394.5625</v>
      </c>
      <c r="W721" s="110">
        <f t="shared" si="23"/>
        <v>227.0625</v>
      </c>
      <c r="X721" s="94">
        <f t="shared" si="26"/>
        <v>6794.083333333333</v>
      </c>
      <c r="Y721" s="39"/>
      <c r="Z721" s="39"/>
      <c r="AA721" s="39"/>
      <c r="AB721" s="39"/>
      <c r="AC721" s="39"/>
      <c r="AD721" s="39"/>
      <c r="AE721" s="39"/>
      <c r="AF721" s="39"/>
      <c r="AG721" s="39"/>
      <c r="AH721" s="65"/>
    </row>
    <row r="722" spans="1:34" x14ac:dyDescent="0.25">
      <c r="A722" s="105">
        <f t="shared" si="24"/>
        <v>39344</v>
      </c>
      <c r="B722" s="59">
        <f>SUM('Weekly Data'!D719:D722)/4</f>
        <v>1399.5</v>
      </c>
      <c r="C722" s="90">
        <f>SUM('Weekly Data'!E719:E722)/4</f>
        <v>3778.25</v>
      </c>
      <c r="D722" s="90">
        <f>SUM('Weekly Data'!F719:F722)/4</f>
        <v>793.75</v>
      </c>
      <c r="E722" s="90">
        <f>SUM('Weekly Data'!G719:G722)/4</f>
        <v>3234</v>
      </c>
      <c r="F722" s="90">
        <f>SUM('Weekly Data'!H719:H722)/4</f>
        <v>633.5</v>
      </c>
      <c r="G722" s="90">
        <f>SUM('Weekly Data'!I719:I722)/4</f>
        <v>9045.25</v>
      </c>
      <c r="H722" s="90"/>
      <c r="I722" s="39"/>
      <c r="J722" s="95">
        <f>AVERAGE('Weekly Data'!D670,'Weekly Data'!D618,'Weekly Data'!D566)</f>
        <v>1445.3333333333333</v>
      </c>
      <c r="K722" s="16">
        <f>AVERAGE('Weekly Data'!E670,'Weekly Data'!E618,'Weekly Data'!E566,'Weekly Data'!E514)</f>
        <v>1948.25</v>
      </c>
      <c r="L722" s="16">
        <f>AVERAGE('Weekly Data'!F670,'Weekly Data'!F618,'Weekly Data'!F566,'Weekly Data'!F514)</f>
        <v>1109.25</v>
      </c>
      <c r="M722" s="16">
        <f>AVERAGE('Weekly Data'!G670,'Weekly Data'!G618,'Weekly Data'!G566,'Weekly Data'!G514)</f>
        <v>3079</v>
      </c>
      <c r="N722" s="16">
        <f>AVERAGE('Weekly Data'!H670,'Weekly Data'!H618,'Weekly Data'!H566,'Weekly Data'!H514)</f>
        <v>286.75</v>
      </c>
      <c r="O722" s="95">
        <f>AVERAGE('Weekly Data'!I670,'Weekly Data'!I618,'Weekly Data'!I566)</f>
        <v>6757.333333333333</v>
      </c>
      <c r="P722" s="203"/>
      <c r="Q722" s="39"/>
      <c r="R722" s="13">
        <v>39344</v>
      </c>
      <c r="S722" s="94">
        <f t="shared" si="25"/>
        <v>1109.0833333333333</v>
      </c>
      <c r="T722" s="106">
        <f t="shared" si="20"/>
        <v>2037.0625</v>
      </c>
      <c r="U722" s="109">
        <f t="shared" si="21"/>
        <v>948.4375</v>
      </c>
      <c r="V722" s="109">
        <f t="shared" si="22"/>
        <v>3389.75</v>
      </c>
      <c r="W722" s="110">
        <f t="shared" si="23"/>
        <v>262.4375</v>
      </c>
      <c r="X722" s="94">
        <f t="shared" si="26"/>
        <v>6829.083333333333</v>
      </c>
      <c r="Y722" s="39"/>
      <c r="Z722" s="39"/>
      <c r="AA722" s="39"/>
      <c r="AB722" s="39"/>
      <c r="AC722" s="39"/>
      <c r="AD722" s="39"/>
      <c r="AE722" s="39"/>
      <c r="AF722" s="39"/>
      <c r="AG722" s="39"/>
      <c r="AH722" s="65"/>
    </row>
    <row r="723" spans="1:34" x14ac:dyDescent="0.25">
      <c r="A723" s="105">
        <f t="shared" si="24"/>
        <v>39351</v>
      </c>
      <c r="B723" s="59">
        <f>SUM('Weekly Data'!D720:D723)/4</f>
        <v>1597.25</v>
      </c>
      <c r="C723" s="90">
        <f>SUM('Weekly Data'!E720:E723)/4</f>
        <v>4057.75</v>
      </c>
      <c r="D723" s="90">
        <f>SUM('Weekly Data'!F720:F723)/4</f>
        <v>900.25</v>
      </c>
      <c r="E723" s="90">
        <f>SUM('Weekly Data'!G720:G723)/4</f>
        <v>2967.5</v>
      </c>
      <c r="F723" s="90">
        <f>SUM('Weekly Data'!H720:H723)/4</f>
        <v>637.75</v>
      </c>
      <c r="G723" s="90">
        <f>SUM('Weekly Data'!I720:I723)/4</f>
        <v>9260.25</v>
      </c>
      <c r="H723" s="90"/>
      <c r="I723" s="39"/>
      <c r="J723" s="95">
        <f>AVERAGE('Weekly Data'!D671,'Weekly Data'!D619,'Weekly Data'!D567)</f>
        <v>1569.6666666666667</v>
      </c>
      <c r="K723" s="16">
        <f>AVERAGE('Weekly Data'!E671,'Weekly Data'!E619,'Weekly Data'!E567,'Weekly Data'!E515)</f>
        <v>1673.25</v>
      </c>
      <c r="L723" s="16">
        <f>AVERAGE('Weekly Data'!F671,'Weekly Data'!F619,'Weekly Data'!F567,'Weekly Data'!F515)</f>
        <v>1033</v>
      </c>
      <c r="M723" s="16">
        <f>AVERAGE('Weekly Data'!G671,'Weekly Data'!G619,'Weekly Data'!G567,'Weekly Data'!G515)</f>
        <v>3874.25</v>
      </c>
      <c r="N723" s="16">
        <f>AVERAGE('Weekly Data'!H671,'Weekly Data'!H619,'Weekly Data'!H567,'Weekly Data'!H515)</f>
        <v>314.5</v>
      </c>
      <c r="O723" s="95">
        <f>AVERAGE('Weekly Data'!I671,'Weekly Data'!I619,'Weekly Data'!I567)</f>
        <v>7151.333333333333</v>
      </c>
      <c r="P723" s="203"/>
      <c r="Q723" s="39"/>
      <c r="R723" s="13">
        <v>39351</v>
      </c>
      <c r="S723" s="94">
        <f t="shared" si="25"/>
        <v>1239.6666666666667</v>
      </c>
      <c r="T723" s="106">
        <f t="shared" si="20"/>
        <v>1991.6875</v>
      </c>
      <c r="U723" s="109">
        <f t="shared" si="21"/>
        <v>957.6875</v>
      </c>
      <c r="V723" s="109">
        <f t="shared" si="22"/>
        <v>3348.6875</v>
      </c>
      <c r="W723" s="110">
        <f t="shared" si="23"/>
        <v>267.4375</v>
      </c>
      <c r="X723" s="94">
        <f t="shared" si="26"/>
        <v>6849.75</v>
      </c>
      <c r="Y723" s="39"/>
      <c r="Z723" s="39"/>
      <c r="AA723" s="39"/>
      <c r="AB723" s="39"/>
      <c r="AC723" s="39"/>
      <c r="AD723" s="39"/>
      <c r="AE723" s="39"/>
      <c r="AF723" s="39"/>
      <c r="AG723" s="39"/>
      <c r="AH723" s="65"/>
    </row>
    <row r="724" spans="1:34" x14ac:dyDescent="0.25">
      <c r="A724" s="105">
        <f t="shared" si="24"/>
        <v>39358</v>
      </c>
      <c r="B724" s="59">
        <f>SUM('Weekly Data'!D721:D724)/4</f>
        <v>1829</v>
      </c>
      <c r="C724" s="90">
        <f>SUM('Weekly Data'!E721:E724)/4</f>
        <v>3926.5</v>
      </c>
      <c r="D724" s="90">
        <f>SUM('Weekly Data'!F721:F724)/4</f>
        <v>902.5</v>
      </c>
      <c r="E724" s="90">
        <f>SUM('Weekly Data'!G721:G724)/4</f>
        <v>3265.75</v>
      </c>
      <c r="F724" s="90">
        <f>SUM('Weekly Data'!H721:H724)/4</f>
        <v>820.75</v>
      </c>
      <c r="G724" s="90">
        <f>SUM('Weekly Data'!I721:I724)/4</f>
        <v>9842</v>
      </c>
      <c r="H724" s="90"/>
      <c r="I724" s="39"/>
      <c r="J724" s="95">
        <f>AVERAGE('Weekly Data'!D672,'Weekly Data'!D620,'Weekly Data'!D568)</f>
        <v>1876</v>
      </c>
      <c r="K724" s="16">
        <f>AVERAGE('Weekly Data'!E672,'Weekly Data'!E620,'Weekly Data'!E568,'Weekly Data'!E516)</f>
        <v>2091.75</v>
      </c>
      <c r="L724" s="16">
        <f>AVERAGE('Weekly Data'!F672,'Weekly Data'!F620,'Weekly Data'!F568,'Weekly Data'!F516)</f>
        <v>1093.5</v>
      </c>
      <c r="M724" s="16">
        <f>AVERAGE('Weekly Data'!G672,'Weekly Data'!G620,'Weekly Data'!G568,'Weekly Data'!G516)</f>
        <v>4326</v>
      </c>
      <c r="N724" s="16">
        <f>AVERAGE('Weekly Data'!H672,'Weekly Data'!H620,'Weekly Data'!H568,'Weekly Data'!H516)</f>
        <v>361.25</v>
      </c>
      <c r="O724" s="95">
        <f>AVERAGE('Weekly Data'!I672,'Weekly Data'!I620,'Weekly Data'!I568)</f>
        <v>8625.6666666666661</v>
      </c>
      <c r="P724" s="203"/>
      <c r="Q724" s="39"/>
      <c r="R724" s="13">
        <v>39358</v>
      </c>
      <c r="S724" s="94">
        <f t="shared" si="25"/>
        <v>1528.75</v>
      </c>
      <c r="T724" s="106">
        <f t="shared" si="20"/>
        <v>2065.625</v>
      </c>
      <c r="U724" s="109">
        <f t="shared" si="21"/>
        <v>1054.125</v>
      </c>
      <c r="V724" s="109">
        <f t="shared" si="22"/>
        <v>3542.5625</v>
      </c>
      <c r="W724" s="110">
        <f t="shared" si="23"/>
        <v>315.5</v>
      </c>
      <c r="X724" s="94">
        <f t="shared" si="26"/>
        <v>7455.083333333333</v>
      </c>
      <c r="Y724" s="39"/>
      <c r="Z724" s="39"/>
      <c r="AA724" s="39"/>
      <c r="AB724" s="39"/>
      <c r="AC724" s="39"/>
      <c r="AD724" s="39"/>
      <c r="AE724" s="39"/>
      <c r="AF724" s="39"/>
      <c r="AG724" s="39"/>
      <c r="AH724" s="65"/>
    </row>
    <row r="725" spans="1:34" x14ac:dyDescent="0.25">
      <c r="A725" s="105">
        <f t="shared" si="24"/>
        <v>39365</v>
      </c>
      <c r="B725" s="59">
        <f>SUM('Weekly Data'!D722:D725)/4</f>
        <v>2138</v>
      </c>
      <c r="C725" s="90">
        <f>SUM('Weekly Data'!E722:E725)/4</f>
        <v>3683.5</v>
      </c>
      <c r="D725" s="90">
        <f>SUM('Weekly Data'!F722:F725)/4</f>
        <v>828.25</v>
      </c>
      <c r="E725" s="90">
        <f>SUM('Weekly Data'!G722:G725)/4</f>
        <v>3887</v>
      </c>
      <c r="F725" s="90">
        <f>SUM('Weekly Data'!H722:H725)/4</f>
        <v>914.5</v>
      </c>
      <c r="G725" s="90">
        <f>SUM('Weekly Data'!I722:I725)/4</f>
        <v>10623</v>
      </c>
      <c r="H725" s="90"/>
      <c r="I725" s="39"/>
      <c r="J725" s="95">
        <f>AVERAGE('Weekly Data'!D673,'Weekly Data'!D621,'Weekly Data'!D569)</f>
        <v>2224</v>
      </c>
      <c r="K725" s="16">
        <f>AVERAGE('Weekly Data'!E673,'Weekly Data'!E621,'Weekly Data'!E569,'Weekly Data'!E517)</f>
        <v>1844.75</v>
      </c>
      <c r="L725" s="16">
        <f>AVERAGE('Weekly Data'!F673,'Weekly Data'!F621,'Weekly Data'!F569,'Weekly Data'!F517)</f>
        <v>1377.75</v>
      </c>
      <c r="M725" s="16">
        <f>AVERAGE('Weekly Data'!G673,'Weekly Data'!G621,'Weekly Data'!G569,'Weekly Data'!G517)</f>
        <v>5154.5</v>
      </c>
      <c r="N725" s="16">
        <f>AVERAGE('Weekly Data'!H673,'Weekly Data'!H621,'Weekly Data'!H569,'Weekly Data'!H517)</f>
        <v>507.25</v>
      </c>
      <c r="O725" s="95">
        <f>AVERAGE('Weekly Data'!I673,'Weekly Data'!I621,'Weekly Data'!I569)</f>
        <v>10136.333333333334</v>
      </c>
      <c r="P725" s="203"/>
      <c r="Q725" s="39"/>
      <c r="R725" s="13">
        <v>39365</v>
      </c>
      <c r="S725" s="94">
        <f t="shared" si="25"/>
        <v>1778.75</v>
      </c>
      <c r="T725" s="106">
        <f t="shared" si="20"/>
        <v>1968.25</v>
      </c>
      <c r="U725" s="109">
        <f t="shared" si="21"/>
        <v>1149.4375</v>
      </c>
      <c r="V725" s="109">
        <f t="shared" si="22"/>
        <v>4022.5625</v>
      </c>
      <c r="W725" s="110">
        <f t="shared" si="23"/>
        <v>359</v>
      </c>
      <c r="X725" s="94">
        <f t="shared" si="26"/>
        <v>8167.666666666667</v>
      </c>
      <c r="Y725" s="39"/>
      <c r="Z725" s="39"/>
      <c r="AA725" s="39"/>
      <c r="AB725" s="39"/>
      <c r="AC725" s="39"/>
      <c r="AD725" s="39"/>
      <c r="AE725" s="39"/>
      <c r="AF725" s="39"/>
      <c r="AG725" s="39"/>
      <c r="AH725" s="65"/>
    </row>
    <row r="726" spans="1:34" x14ac:dyDescent="0.25">
      <c r="A726" s="105">
        <f t="shared" si="24"/>
        <v>39372</v>
      </c>
      <c r="B726" s="59">
        <f>SUM('Weekly Data'!D723:D726)/4</f>
        <v>2487</v>
      </c>
      <c r="C726" s="90">
        <f>SUM('Weekly Data'!E723:E726)/4</f>
        <v>3435</v>
      </c>
      <c r="D726" s="90">
        <f>SUM('Weekly Data'!F723:F726)/4</f>
        <v>828.5</v>
      </c>
      <c r="E726" s="90">
        <f>SUM('Weekly Data'!G723:G726)/4</f>
        <v>4667.5</v>
      </c>
      <c r="F726" s="90">
        <f>SUM('Weekly Data'!H723:H726)/4</f>
        <v>1020.75</v>
      </c>
      <c r="G726" s="90">
        <f>SUM('Weekly Data'!I723:I726)/4</f>
        <v>11610.25</v>
      </c>
      <c r="H726" s="90"/>
      <c r="I726" s="39"/>
      <c r="J726" s="95">
        <f>AVERAGE('Weekly Data'!D674,'Weekly Data'!D622,'Weekly Data'!D570)</f>
        <v>2032.3333333333333</v>
      </c>
      <c r="K726" s="16">
        <f>AVERAGE('Weekly Data'!E674,'Weekly Data'!E622,'Weekly Data'!E570,'Weekly Data'!E518)</f>
        <v>1469.75</v>
      </c>
      <c r="L726" s="16">
        <f>AVERAGE('Weekly Data'!F674,'Weekly Data'!F622,'Weekly Data'!F570,'Weekly Data'!F518)</f>
        <v>1216.75</v>
      </c>
      <c r="M726" s="16">
        <f>AVERAGE('Weekly Data'!G674,'Weekly Data'!G622,'Weekly Data'!G570,'Weekly Data'!G518)</f>
        <v>5091.5</v>
      </c>
      <c r="N726" s="16">
        <f>AVERAGE('Weekly Data'!H674,'Weekly Data'!H622,'Weekly Data'!H570,'Weekly Data'!H518)</f>
        <v>622</v>
      </c>
      <c r="O726" s="95">
        <f>AVERAGE('Weekly Data'!I674,'Weekly Data'!I622,'Weekly Data'!I570)</f>
        <v>9530</v>
      </c>
      <c r="P726" s="203"/>
      <c r="Q726" s="39"/>
      <c r="R726" s="13">
        <v>39372</v>
      </c>
      <c r="S726" s="94">
        <f t="shared" si="25"/>
        <v>1925.5</v>
      </c>
      <c r="T726" s="106">
        <f t="shared" si="20"/>
        <v>1850.125</v>
      </c>
      <c r="U726" s="109">
        <f t="shared" si="21"/>
        <v>1171.3125</v>
      </c>
      <c r="V726" s="109">
        <f t="shared" si="22"/>
        <v>4522.4375</v>
      </c>
      <c r="W726" s="110">
        <f t="shared" si="23"/>
        <v>402.625</v>
      </c>
      <c r="X726" s="94">
        <f t="shared" si="26"/>
        <v>8860.8333333333339</v>
      </c>
      <c r="Y726" s="39"/>
      <c r="Z726" s="39"/>
      <c r="AA726" s="39"/>
      <c r="AB726" s="39"/>
      <c r="AC726" s="39"/>
      <c r="AD726" s="39"/>
      <c r="AE726" s="39"/>
      <c r="AF726" s="39"/>
      <c r="AG726" s="39"/>
      <c r="AH726" s="65"/>
    </row>
    <row r="727" spans="1:34" x14ac:dyDescent="0.25">
      <c r="A727" s="105">
        <f t="shared" si="24"/>
        <v>39379</v>
      </c>
      <c r="B727" s="59">
        <f>SUM('Weekly Data'!D724:D727)/4</f>
        <v>2497.5</v>
      </c>
      <c r="C727" s="90">
        <f>SUM('Weekly Data'!E724:E727)/4</f>
        <v>3141</v>
      </c>
      <c r="D727" s="90">
        <f>SUM('Weekly Data'!F724:F727)/4</f>
        <v>733.5</v>
      </c>
      <c r="E727" s="90">
        <f>SUM('Weekly Data'!G724:G727)/4</f>
        <v>5308</v>
      </c>
      <c r="F727" s="90">
        <f>SUM('Weekly Data'!H724:H727)/4</f>
        <v>1037.25</v>
      </c>
      <c r="G727" s="90">
        <f>SUM('Weekly Data'!I724:I727)/4</f>
        <v>11983.75</v>
      </c>
      <c r="H727" s="90"/>
      <c r="I727" s="39"/>
      <c r="J727" s="95">
        <f>AVERAGE('Weekly Data'!D675,'Weekly Data'!D623,'Weekly Data'!D571)</f>
        <v>2013.6666666666667</v>
      </c>
      <c r="K727" s="16">
        <f>AVERAGE('Weekly Data'!E675,'Weekly Data'!E623,'Weekly Data'!E571,'Weekly Data'!E519)</f>
        <v>1808</v>
      </c>
      <c r="L727" s="16">
        <f>AVERAGE('Weekly Data'!F675,'Weekly Data'!F623,'Weekly Data'!F571,'Weekly Data'!F519)</f>
        <v>1147.75</v>
      </c>
      <c r="M727" s="16">
        <f>AVERAGE('Weekly Data'!G675,'Weekly Data'!G623,'Weekly Data'!G571,'Weekly Data'!G519)</f>
        <v>4861.75</v>
      </c>
      <c r="N727" s="16">
        <f>AVERAGE('Weekly Data'!H675,'Weekly Data'!H623,'Weekly Data'!H571,'Weekly Data'!H519)</f>
        <v>813.5</v>
      </c>
      <c r="O727" s="95">
        <f>AVERAGE('Weekly Data'!I675,'Weekly Data'!I623,'Weekly Data'!I571)</f>
        <v>9818</v>
      </c>
      <c r="P727" s="203"/>
      <c r="Q727" s="39"/>
      <c r="R727" s="13">
        <v>39379</v>
      </c>
      <c r="S727" s="94">
        <f t="shared" si="25"/>
        <v>2036.5</v>
      </c>
      <c r="T727" s="106">
        <f t="shared" si="20"/>
        <v>1881.5</v>
      </c>
      <c r="U727" s="109">
        <f t="shared" si="21"/>
        <v>1200.875</v>
      </c>
      <c r="V727" s="109">
        <f t="shared" si="22"/>
        <v>4843.3125</v>
      </c>
      <c r="W727" s="110">
        <f t="shared" si="23"/>
        <v>524.625</v>
      </c>
      <c r="X727" s="94">
        <f t="shared" si="26"/>
        <v>9527.5</v>
      </c>
      <c r="Y727" s="39"/>
      <c r="Z727" s="39"/>
      <c r="AA727" s="39"/>
      <c r="AB727" s="39"/>
      <c r="AC727" s="39"/>
      <c r="AD727" s="39"/>
      <c r="AE727" s="39"/>
      <c r="AF727" s="39"/>
      <c r="AG727" s="39"/>
      <c r="AH727" s="65"/>
    </row>
    <row r="728" spans="1:34" x14ac:dyDescent="0.25">
      <c r="A728" s="105">
        <f t="shared" si="24"/>
        <v>39386</v>
      </c>
      <c r="B728" s="59">
        <f>SUM('Weekly Data'!D725:D728)/4</f>
        <v>2422.25</v>
      </c>
      <c r="C728" s="90">
        <f>SUM('Weekly Data'!E725:E728)/4</f>
        <v>3467</v>
      </c>
      <c r="D728" s="90">
        <f>SUM('Weekly Data'!F725:F728)/4</f>
        <v>771.25</v>
      </c>
      <c r="E728" s="90">
        <f>SUM('Weekly Data'!G725:G728)/4</f>
        <v>5921.25</v>
      </c>
      <c r="F728" s="90">
        <f>SUM('Weekly Data'!H725:H728)/4</f>
        <v>1011.5</v>
      </c>
      <c r="G728" s="90">
        <f>SUM('Weekly Data'!I725:I728)/4</f>
        <v>12822</v>
      </c>
      <c r="H728" s="90"/>
      <c r="I728" s="39"/>
      <c r="J728" s="95">
        <f>AVERAGE('Weekly Data'!D676,'Weekly Data'!D624,'Weekly Data'!D572)</f>
        <v>1930</v>
      </c>
      <c r="K728" s="16">
        <f>AVERAGE('Weekly Data'!E676,'Weekly Data'!E624,'Weekly Data'!E572,'Weekly Data'!E520)</f>
        <v>1630.5</v>
      </c>
      <c r="L728" s="16">
        <f>AVERAGE('Weekly Data'!F676,'Weekly Data'!F624,'Weekly Data'!F572,'Weekly Data'!F520)</f>
        <v>1139</v>
      </c>
      <c r="M728" s="16">
        <f>AVERAGE('Weekly Data'!G676,'Weekly Data'!G624,'Weekly Data'!G572,'Weekly Data'!G520)</f>
        <v>4492.5</v>
      </c>
      <c r="N728" s="16">
        <f>AVERAGE('Weekly Data'!H676,'Weekly Data'!H624,'Weekly Data'!H572,'Weekly Data'!H520)</f>
        <v>902.5</v>
      </c>
      <c r="O728" s="95">
        <f>AVERAGE('Weekly Data'!I676,'Weekly Data'!I624,'Weekly Data'!I572)</f>
        <v>9025.3333333333339</v>
      </c>
      <c r="P728" s="203"/>
      <c r="Q728" s="39"/>
      <c r="R728" s="13">
        <v>39386</v>
      </c>
      <c r="S728" s="94">
        <f t="shared" si="25"/>
        <v>2050</v>
      </c>
      <c r="T728" s="106">
        <f t="shared" si="20"/>
        <v>1677.125</v>
      </c>
      <c r="U728" s="109">
        <f t="shared" si="21"/>
        <v>1210.875</v>
      </c>
      <c r="V728" s="109">
        <f t="shared" si="22"/>
        <v>4997.6875</v>
      </c>
      <c r="W728" s="110">
        <f t="shared" si="23"/>
        <v>628</v>
      </c>
      <c r="X728" s="94">
        <f t="shared" si="26"/>
        <v>9627.4166666666661</v>
      </c>
      <c r="Y728" s="39"/>
      <c r="Z728" s="39"/>
      <c r="AA728" s="39"/>
      <c r="AB728" s="39"/>
      <c r="AC728" s="39"/>
      <c r="AD728" s="39"/>
      <c r="AE728" s="39"/>
      <c r="AF728" s="39"/>
      <c r="AG728" s="39"/>
      <c r="AH728" s="65"/>
    </row>
    <row r="729" spans="1:34" x14ac:dyDescent="0.25">
      <c r="A729" s="105">
        <f t="shared" si="24"/>
        <v>39393</v>
      </c>
      <c r="B729" s="59">
        <f>SUM('Weekly Data'!D726:D729)/4</f>
        <v>2149.75</v>
      </c>
      <c r="C729" s="90">
        <f>SUM('Weekly Data'!E726:E729)/4</f>
        <v>3583.25</v>
      </c>
      <c r="D729" s="90">
        <f>SUM('Weekly Data'!F726:F729)/4</f>
        <v>987</v>
      </c>
      <c r="E729" s="90">
        <f>SUM('Weekly Data'!G726:G729)/4</f>
        <v>6159</v>
      </c>
      <c r="F729" s="90">
        <f>SUM('Weekly Data'!H726:H729)/4</f>
        <v>1019</v>
      </c>
      <c r="G729" s="90">
        <f>SUM('Weekly Data'!I726:I729)/4</f>
        <v>12911</v>
      </c>
      <c r="H729" s="90"/>
      <c r="I729" s="39"/>
      <c r="J729" s="95">
        <f>AVERAGE('Weekly Data'!D677,'Weekly Data'!D625,'Weekly Data'!D573)</f>
        <v>1831.6666666666667</v>
      </c>
      <c r="K729" s="16">
        <f>AVERAGE('Weekly Data'!E677,'Weekly Data'!E625,'Weekly Data'!E573,'Weekly Data'!E521)</f>
        <v>1928.75</v>
      </c>
      <c r="L729" s="16">
        <f>AVERAGE('Weekly Data'!F677,'Weekly Data'!F625,'Weekly Data'!F573,'Weekly Data'!F521)</f>
        <v>1241.75</v>
      </c>
      <c r="M729" s="16">
        <f>AVERAGE('Weekly Data'!G677,'Weekly Data'!G625,'Weekly Data'!G573,'Weekly Data'!G521)</f>
        <v>4452.75</v>
      </c>
      <c r="N729" s="16">
        <f>AVERAGE('Weekly Data'!H677,'Weekly Data'!H625,'Weekly Data'!H573,'Weekly Data'!H521)</f>
        <v>941</v>
      </c>
      <c r="O729" s="95">
        <f>AVERAGE('Weekly Data'!I677,'Weekly Data'!I625,'Weekly Data'!I573)</f>
        <v>8942.6666666666661</v>
      </c>
      <c r="P729" s="203"/>
      <c r="Q729" s="39"/>
      <c r="R729" s="13">
        <v>39393</v>
      </c>
      <c r="S729" s="94">
        <f t="shared" si="25"/>
        <v>1951.9166666666667</v>
      </c>
      <c r="T729" s="106">
        <f t="shared" si="20"/>
        <v>1656.75</v>
      </c>
      <c r="U729" s="109">
        <f t="shared" si="21"/>
        <v>1178.5</v>
      </c>
      <c r="V729" s="109">
        <f t="shared" si="22"/>
        <v>4743.375</v>
      </c>
      <c r="W729" s="110">
        <f t="shared" si="23"/>
        <v>749.25</v>
      </c>
      <c r="X729" s="94">
        <f t="shared" si="26"/>
        <v>9329</v>
      </c>
      <c r="Y729" s="39"/>
      <c r="Z729" s="39"/>
      <c r="AA729" s="39"/>
      <c r="AB729" s="39"/>
      <c r="AC729" s="39"/>
      <c r="AD729" s="39"/>
      <c r="AE729" s="39"/>
      <c r="AF729" s="39"/>
      <c r="AG729" s="39"/>
      <c r="AH729" s="65"/>
    </row>
    <row r="730" spans="1:34" x14ac:dyDescent="0.25">
      <c r="A730" s="105">
        <f t="shared" si="24"/>
        <v>39400</v>
      </c>
      <c r="B730" s="59">
        <f>SUM('Weekly Data'!D727:D730)/4</f>
        <v>1788.5</v>
      </c>
      <c r="C730" s="90">
        <f>SUM('Weekly Data'!E727:E730)/4</f>
        <v>3653.75</v>
      </c>
      <c r="D730" s="90">
        <f>SUM('Weekly Data'!F727:F730)/4</f>
        <v>874.25</v>
      </c>
      <c r="E730" s="90">
        <f>SUM('Weekly Data'!G727:G730)/4</f>
        <v>5807.25</v>
      </c>
      <c r="F730" s="90">
        <f>SUM('Weekly Data'!H727:H730)/4</f>
        <v>1132.5</v>
      </c>
      <c r="G730" s="90">
        <f>SUM('Weekly Data'!I727:I730)/4</f>
        <v>12382</v>
      </c>
      <c r="H730" s="90"/>
      <c r="I730" s="39"/>
      <c r="J730" s="95">
        <f>AVERAGE('Weekly Data'!D678,'Weekly Data'!D626,'Weekly Data'!D574)</f>
        <v>1855.3333333333333</v>
      </c>
      <c r="K730" s="16">
        <f>AVERAGE('Weekly Data'!E678,'Weekly Data'!E626,'Weekly Data'!E574,'Weekly Data'!E522)</f>
        <v>1802.75</v>
      </c>
      <c r="L730" s="16">
        <f>AVERAGE('Weekly Data'!F678,'Weekly Data'!F626,'Weekly Data'!F574,'Weekly Data'!F522)</f>
        <v>1083</v>
      </c>
      <c r="M730" s="16">
        <f>AVERAGE('Weekly Data'!G678,'Weekly Data'!G626,'Weekly Data'!G574,'Weekly Data'!G522)</f>
        <v>4437.75</v>
      </c>
      <c r="N730" s="16">
        <f>AVERAGE('Weekly Data'!H678,'Weekly Data'!H626,'Weekly Data'!H574,'Weekly Data'!H522)</f>
        <v>695.25</v>
      </c>
      <c r="O730" s="95">
        <f>AVERAGE('Weekly Data'!I678,'Weekly Data'!I626,'Weekly Data'!I574)</f>
        <v>8690.6666666666661</v>
      </c>
      <c r="P730" s="203"/>
      <c r="Q730" s="39"/>
      <c r="R730" s="13">
        <v>39400</v>
      </c>
      <c r="S730" s="94">
        <f t="shared" si="25"/>
        <v>1907.6666666666667</v>
      </c>
      <c r="T730" s="106">
        <f t="shared" si="20"/>
        <v>1727.0625</v>
      </c>
      <c r="U730" s="109">
        <f t="shared" si="21"/>
        <v>1115.625</v>
      </c>
      <c r="V730" s="109">
        <f t="shared" si="22"/>
        <v>4534.3125</v>
      </c>
      <c r="W730" s="110">
        <f t="shared" si="23"/>
        <v>868.0625</v>
      </c>
      <c r="X730" s="94">
        <f t="shared" si="26"/>
        <v>9119.1666666666661</v>
      </c>
      <c r="Y730" s="39"/>
      <c r="Z730" s="39"/>
      <c r="AA730" s="39"/>
      <c r="AB730" s="39"/>
      <c r="AC730" s="39"/>
      <c r="AD730" s="39"/>
      <c r="AE730" s="39"/>
      <c r="AF730" s="39"/>
      <c r="AG730" s="39"/>
      <c r="AH730" s="65"/>
    </row>
    <row r="731" spans="1:34" x14ac:dyDescent="0.25">
      <c r="A731" s="105">
        <f t="shared" si="24"/>
        <v>39407</v>
      </c>
      <c r="B731" s="59">
        <f>SUM('Weekly Data'!D728:D731)/4</f>
        <v>1568.5</v>
      </c>
      <c r="C731" s="90">
        <f>SUM('Weekly Data'!E728:E731)/4</f>
        <v>3537.75</v>
      </c>
      <c r="D731" s="90">
        <f>SUM('Weekly Data'!F728:F731)/4</f>
        <v>854.75</v>
      </c>
      <c r="E731" s="90">
        <f>SUM('Weekly Data'!G728:G731)/4</f>
        <v>5969.5</v>
      </c>
      <c r="F731" s="90">
        <f>SUM('Weekly Data'!H728:H731)/4</f>
        <v>1284.75</v>
      </c>
      <c r="G731" s="90">
        <f>SUM('Weekly Data'!I728:I731)/4</f>
        <v>12360.5</v>
      </c>
      <c r="H731" s="90"/>
      <c r="I731" s="39"/>
      <c r="J731" s="95">
        <f>AVERAGE('Weekly Data'!D679,'Weekly Data'!D627,'Weekly Data'!D575)</f>
        <v>1751</v>
      </c>
      <c r="K731" s="16">
        <f>AVERAGE('Weekly Data'!E679,'Weekly Data'!E627,'Weekly Data'!E575,'Weekly Data'!E523)</f>
        <v>1923.5</v>
      </c>
      <c r="L731" s="16">
        <f>AVERAGE('Weekly Data'!F679,'Weekly Data'!F627,'Weekly Data'!F575,'Weekly Data'!F523)</f>
        <v>1047.5</v>
      </c>
      <c r="M731" s="16">
        <f>AVERAGE('Weekly Data'!G679,'Weekly Data'!G627,'Weekly Data'!G575,'Weekly Data'!G523)</f>
        <v>4913.25</v>
      </c>
      <c r="N731" s="16">
        <f>AVERAGE('Weekly Data'!H679,'Weekly Data'!H627,'Weekly Data'!H575,'Weekly Data'!H523)</f>
        <v>621.75</v>
      </c>
      <c r="O731" s="95">
        <f>AVERAGE('Weekly Data'!I679,'Weekly Data'!I627,'Weekly Data'!I575)</f>
        <v>9097.3333333333339</v>
      </c>
      <c r="P731" s="203"/>
      <c r="Q731" s="39"/>
      <c r="R731" s="13">
        <v>39407</v>
      </c>
      <c r="S731" s="94">
        <f t="shared" si="25"/>
        <v>1842</v>
      </c>
      <c r="T731" s="106">
        <f t="shared" si="20"/>
        <v>1788.5625</v>
      </c>
      <c r="U731" s="109">
        <f t="shared" si="21"/>
        <v>1158.6875</v>
      </c>
      <c r="V731" s="109">
        <f t="shared" si="22"/>
        <v>4540.5</v>
      </c>
      <c r="W731" s="110">
        <f t="shared" si="23"/>
        <v>776.8125</v>
      </c>
      <c r="X731" s="94">
        <f t="shared" si="26"/>
        <v>8939</v>
      </c>
      <c r="Y731" s="39"/>
      <c r="Z731" s="39"/>
      <c r="AA731" s="39"/>
      <c r="AB731" s="39"/>
      <c r="AC731" s="39"/>
      <c r="AD731" s="39"/>
      <c r="AE731" s="39"/>
      <c r="AF731" s="39"/>
      <c r="AG731" s="39"/>
      <c r="AH731" s="65"/>
    </row>
    <row r="732" spans="1:34" x14ac:dyDescent="0.25">
      <c r="A732" s="105">
        <f t="shared" si="24"/>
        <v>39414</v>
      </c>
      <c r="B732" s="59">
        <f>SUM('Weekly Data'!D729:D732)/4</f>
        <v>1569.25</v>
      </c>
      <c r="C732" s="90">
        <f>SUM('Weekly Data'!E729:E732)/4</f>
        <v>3016.75</v>
      </c>
      <c r="D732" s="90">
        <f>SUM('Weekly Data'!F729:F732)/4</f>
        <v>772.25</v>
      </c>
      <c r="E732" s="90">
        <f>SUM('Weekly Data'!G729:G732)/4</f>
        <v>5531.25</v>
      </c>
      <c r="F732" s="90">
        <f>SUM('Weekly Data'!H729:H732)/4</f>
        <v>1303.75</v>
      </c>
      <c r="G732" s="90">
        <f>SUM('Weekly Data'!I729:I732)/4</f>
        <v>11421</v>
      </c>
      <c r="H732" s="90"/>
      <c r="I732" s="39"/>
      <c r="J732" s="95">
        <f>AVERAGE('Weekly Data'!D680,'Weekly Data'!D628,'Weekly Data'!D576)</f>
        <v>1186.6666666666667</v>
      </c>
      <c r="K732" s="16">
        <f>AVERAGE('Weekly Data'!E680,'Weekly Data'!E628,'Weekly Data'!E576,'Weekly Data'!E524)</f>
        <v>2191.25</v>
      </c>
      <c r="L732" s="16">
        <f>AVERAGE('Weekly Data'!F680,'Weekly Data'!F628,'Weekly Data'!F576,'Weekly Data'!F524)</f>
        <v>1364.5</v>
      </c>
      <c r="M732" s="16">
        <f>AVERAGE('Weekly Data'!G680,'Weekly Data'!G628,'Weekly Data'!G576,'Weekly Data'!G524)</f>
        <v>3686</v>
      </c>
      <c r="N732" s="16">
        <f>AVERAGE('Weekly Data'!H680,'Weekly Data'!H628,'Weekly Data'!H576,'Weekly Data'!H524)</f>
        <v>617</v>
      </c>
      <c r="O732" s="95">
        <f>AVERAGE('Weekly Data'!I680,'Weekly Data'!I628,'Weekly Data'!I576)</f>
        <v>7797.333333333333</v>
      </c>
      <c r="P732" s="203"/>
      <c r="Q732" s="39"/>
      <c r="R732" s="13">
        <v>39414</v>
      </c>
      <c r="S732" s="94">
        <f t="shared" si="25"/>
        <v>1656.1666666666667</v>
      </c>
      <c r="T732" s="106">
        <f t="shared" si="20"/>
        <v>1956.625</v>
      </c>
      <c r="U732" s="109">
        <f t="shared" si="21"/>
        <v>1144.9375</v>
      </c>
      <c r="V732" s="109">
        <f t="shared" si="22"/>
        <v>4373.125</v>
      </c>
      <c r="W732" s="110">
        <f t="shared" si="23"/>
        <v>764.9375</v>
      </c>
      <c r="X732" s="94">
        <f t="shared" si="26"/>
        <v>8632</v>
      </c>
      <c r="Y732" s="39"/>
      <c r="Z732" s="39"/>
      <c r="AA732" s="39"/>
      <c r="AB732" s="39"/>
      <c r="AC732" s="39"/>
      <c r="AD732" s="39"/>
      <c r="AE732" s="39"/>
      <c r="AF732" s="39"/>
      <c r="AG732" s="39"/>
      <c r="AH732" s="65"/>
    </row>
    <row r="733" spans="1:34" x14ac:dyDescent="0.25">
      <c r="A733" s="105">
        <f t="shared" si="24"/>
        <v>39421</v>
      </c>
      <c r="B733" s="59">
        <f>SUM('Weekly Data'!D730:D733)/4</f>
        <v>1635</v>
      </c>
      <c r="C733" s="90">
        <f>SUM('Weekly Data'!E730:E733)/4</f>
        <v>2762.5</v>
      </c>
      <c r="D733" s="90">
        <f>SUM('Weekly Data'!F730:F733)/4</f>
        <v>635</v>
      </c>
      <c r="E733" s="90">
        <f>SUM('Weekly Data'!G730:G733)/4</f>
        <v>5135.25</v>
      </c>
      <c r="F733" s="90">
        <f>SUM('Weekly Data'!H730:H733)/4</f>
        <v>1393</v>
      </c>
      <c r="G733" s="90">
        <f>SUM('Weekly Data'!I730:I733)/4</f>
        <v>10925.75</v>
      </c>
      <c r="H733" s="90"/>
      <c r="I733" s="39"/>
      <c r="J733" s="95">
        <f>AVERAGE('Weekly Data'!D681,'Weekly Data'!D629,'Weekly Data'!D577)</f>
        <v>1638.3333333333333</v>
      </c>
      <c r="K733" s="16">
        <f>AVERAGE('Weekly Data'!E681,'Weekly Data'!E629,'Weekly Data'!E577,'Weekly Data'!E525)</f>
        <v>1808</v>
      </c>
      <c r="L733" s="16">
        <f>AVERAGE('Weekly Data'!F681,'Weekly Data'!F629,'Weekly Data'!F577,'Weekly Data'!F525)</f>
        <v>1343.75</v>
      </c>
      <c r="M733" s="16">
        <f>AVERAGE('Weekly Data'!G681,'Weekly Data'!G629,'Weekly Data'!G577,'Weekly Data'!G525)</f>
        <v>4027.25</v>
      </c>
      <c r="N733" s="16">
        <f>AVERAGE('Weekly Data'!H681,'Weekly Data'!H629,'Weekly Data'!H577,'Weekly Data'!H525)</f>
        <v>485.25</v>
      </c>
      <c r="O733" s="95">
        <f>AVERAGE('Weekly Data'!I681,'Weekly Data'!I629,'Weekly Data'!I577)</f>
        <v>7933</v>
      </c>
      <c r="P733" s="203"/>
      <c r="Q733" s="39"/>
      <c r="R733" s="13">
        <v>39421</v>
      </c>
      <c r="S733" s="94">
        <f t="shared" si="25"/>
        <v>1607.8333333333333</v>
      </c>
      <c r="T733" s="106">
        <f t="shared" si="20"/>
        <v>1957.3125</v>
      </c>
      <c r="U733" s="109">
        <f t="shared" si="21"/>
        <v>1201.9375</v>
      </c>
      <c r="V733" s="109">
        <f t="shared" si="22"/>
        <v>4283.75</v>
      </c>
      <c r="W733" s="110">
        <f t="shared" si="23"/>
        <v>658.625</v>
      </c>
      <c r="X733" s="94">
        <f t="shared" si="26"/>
        <v>8379.5833333333339</v>
      </c>
      <c r="Y733" s="39"/>
      <c r="Z733" s="39"/>
      <c r="AA733" s="39"/>
      <c r="AB733" s="39"/>
      <c r="AC733" s="39"/>
      <c r="AD733" s="39"/>
      <c r="AE733" s="39"/>
      <c r="AF733" s="39"/>
      <c r="AG733" s="39"/>
      <c r="AH733" s="65"/>
    </row>
    <row r="734" spans="1:34" x14ac:dyDescent="0.25">
      <c r="A734" s="105">
        <f t="shared" si="24"/>
        <v>39428</v>
      </c>
      <c r="B734" s="59">
        <f>SUM('Weekly Data'!D731:D734)/4</f>
        <v>1690.25</v>
      </c>
      <c r="C734" s="90">
        <f>SUM('Weekly Data'!E731:E734)/4</f>
        <v>2387</v>
      </c>
      <c r="D734" s="90">
        <f>SUM('Weekly Data'!F731:F734)/4</f>
        <v>549.5</v>
      </c>
      <c r="E734" s="90">
        <f>SUM('Weekly Data'!G731:G734)/4</f>
        <v>5513.5</v>
      </c>
      <c r="F734" s="90">
        <f>SUM('Weekly Data'!H731:H734)/4</f>
        <v>1311.5</v>
      </c>
      <c r="G734" s="90">
        <f>SUM('Weekly Data'!I731:I734)/4</f>
        <v>10902.25</v>
      </c>
      <c r="H734" s="90"/>
      <c r="I734" s="39"/>
      <c r="J734" s="95">
        <f>AVERAGE('Weekly Data'!D682,'Weekly Data'!D630,'Weekly Data'!D578)</f>
        <v>1466</v>
      </c>
      <c r="K734" s="16">
        <f>AVERAGE('Weekly Data'!E682,'Weekly Data'!E630,'Weekly Data'!E578,'Weekly Data'!E526)</f>
        <v>1822.75</v>
      </c>
      <c r="L734" s="16">
        <f>AVERAGE('Weekly Data'!F682,'Weekly Data'!F630,'Weekly Data'!F578,'Weekly Data'!F526)</f>
        <v>1520.5</v>
      </c>
      <c r="M734" s="16">
        <f>AVERAGE('Weekly Data'!G682,'Weekly Data'!G630,'Weekly Data'!G578,'Weekly Data'!G526)</f>
        <v>4253</v>
      </c>
      <c r="N734" s="16">
        <f>AVERAGE('Weekly Data'!H682,'Weekly Data'!H630,'Weekly Data'!H578,'Weekly Data'!H526)</f>
        <v>562.25</v>
      </c>
      <c r="O734" s="95">
        <f>AVERAGE('Weekly Data'!I682,'Weekly Data'!I630,'Weekly Data'!I578)</f>
        <v>8436.6666666666661</v>
      </c>
      <c r="P734" s="203"/>
      <c r="Q734" s="39"/>
      <c r="R734" s="13">
        <v>39428</v>
      </c>
      <c r="S734" s="94">
        <f t="shared" si="25"/>
        <v>1510.5</v>
      </c>
      <c r="T734" s="106">
        <f t="shared" si="20"/>
        <v>1986</v>
      </c>
      <c r="U734" s="109">
        <f t="shared" si="21"/>
        <v>1302.9375</v>
      </c>
      <c r="V734" s="109">
        <f t="shared" si="22"/>
        <v>4294.6875</v>
      </c>
      <c r="W734" s="110">
        <f t="shared" si="23"/>
        <v>546.9375</v>
      </c>
      <c r="X734" s="94">
        <f t="shared" si="26"/>
        <v>8316.0833333333339</v>
      </c>
      <c r="Y734" s="39"/>
      <c r="Z734" s="39"/>
      <c r="AA734" s="39"/>
      <c r="AB734" s="39"/>
      <c r="AC734" s="39"/>
      <c r="AD734" s="39"/>
      <c r="AE734" s="39"/>
      <c r="AF734" s="39"/>
      <c r="AG734" s="39"/>
      <c r="AH734" s="65"/>
    </row>
    <row r="735" spans="1:34" x14ac:dyDescent="0.25">
      <c r="A735" s="105">
        <f t="shared" si="24"/>
        <v>39435</v>
      </c>
      <c r="B735" s="59">
        <f>SUM('Weekly Data'!D732:D735)/4</f>
        <v>1679.75</v>
      </c>
      <c r="C735" s="90">
        <f>SUM('Weekly Data'!E732:E735)/4</f>
        <v>2269.5</v>
      </c>
      <c r="D735" s="90">
        <f>SUM('Weekly Data'!F732:F735)/4</f>
        <v>425.75</v>
      </c>
      <c r="E735" s="90">
        <f>SUM('Weekly Data'!G732:G735)/4</f>
        <v>5316.5</v>
      </c>
      <c r="F735" s="90">
        <f>SUM('Weekly Data'!H732:H735)/4</f>
        <v>991</v>
      </c>
      <c r="G735" s="90">
        <f>SUM('Weekly Data'!I732:I735)/4</f>
        <v>10256.75</v>
      </c>
      <c r="H735" s="90"/>
      <c r="I735" s="39"/>
      <c r="J735" s="95">
        <f>AVERAGE('Weekly Data'!D683,'Weekly Data'!D631,'Weekly Data'!D579)</f>
        <v>1499.6666666666667</v>
      </c>
      <c r="K735" s="16">
        <f>AVERAGE('Weekly Data'!E683,'Weekly Data'!E631,'Weekly Data'!E579,'Weekly Data'!E527)</f>
        <v>2047.5</v>
      </c>
      <c r="L735" s="16">
        <f>AVERAGE('Weekly Data'!F683,'Weekly Data'!F631,'Weekly Data'!F579,'Weekly Data'!F527)</f>
        <v>1520.5</v>
      </c>
      <c r="M735" s="16">
        <f>AVERAGE('Weekly Data'!G683,'Weekly Data'!G631,'Weekly Data'!G579,'Weekly Data'!G527)</f>
        <v>4528.75</v>
      </c>
      <c r="N735" s="16">
        <f>AVERAGE('Weekly Data'!H683,'Weekly Data'!H631,'Weekly Data'!H579,'Weekly Data'!H527)</f>
        <v>458.25</v>
      </c>
      <c r="O735" s="95">
        <f>AVERAGE('Weekly Data'!I683,'Weekly Data'!I631,'Weekly Data'!I579)</f>
        <v>8595</v>
      </c>
      <c r="P735" s="203"/>
      <c r="Q735" s="39"/>
      <c r="R735" s="13">
        <v>39435</v>
      </c>
      <c r="S735" s="94">
        <f t="shared" si="25"/>
        <v>1447.6666666666667</v>
      </c>
      <c r="T735" s="106">
        <f t="shared" si="20"/>
        <v>1935.6875</v>
      </c>
      <c r="U735" s="109">
        <f t="shared" si="21"/>
        <v>1394.9375</v>
      </c>
      <c r="V735" s="109">
        <f t="shared" si="22"/>
        <v>4183.125</v>
      </c>
      <c r="W735" s="110">
        <f t="shared" si="23"/>
        <v>561.9375</v>
      </c>
      <c r="X735" s="94">
        <f t="shared" si="26"/>
        <v>8190.5</v>
      </c>
      <c r="Y735" s="39"/>
      <c r="Z735" s="39"/>
      <c r="AA735" s="39"/>
      <c r="AB735" s="39"/>
      <c r="AC735" s="39"/>
      <c r="AD735" s="39"/>
      <c r="AE735" s="39"/>
      <c r="AF735" s="39"/>
      <c r="AG735" s="39"/>
      <c r="AH735" s="65"/>
    </row>
    <row r="736" spans="1:34" x14ac:dyDescent="0.25">
      <c r="A736" s="105">
        <f t="shared" si="24"/>
        <v>39442</v>
      </c>
      <c r="B736" s="59">
        <f>SUM('Weekly Data'!D733:D736)/4</f>
        <v>1594.75</v>
      </c>
      <c r="C736" s="90">
        <f>SUM('Weekly Data'!E733:E736)/4</f>
        <v>2144.5</v>
      </c>
      <c r="D736" s="90">
        <f>SUM('Weekly Data'!F733:F736)/4</f>
        <v>405.75</v>
      </c>
      <c r="E736" s="90">
        <f>SUM('Weekly Data'!G733:G736)/4</f>
        <v>5129.5</v>
      </c>
      <c r="F736" s="90">
        <f>SUM('Weekly Data'!H733:H736)/4</f>
        <v>959.75</v>
      </c>
      <c r="G736" s="90">
        <f>SUM('Weekly Data'!I733:I736)/4</f>
        <v>9828.5</v>
      </c>
      <c r="H736" s="90"/>
      <c r="I736" s="39"/>
      <c r="J736" s="95">
        <f>AVERAGE('Weekly Data'!D684,'Weekly Data'!D632,'Weekly Data'!D580)</f>
        <v>1338.3333333333333</v>
      </c>
      <c r="K736" s="16">
        <f>AVERAGE('Weekly Data'!E684,'Weekly Data'!E632,'Weekly Data'!E580,'Weekly Data'!E528)</f>
        <v>1689</v>
      </c>
      <c r="L736" s="16">
        <f>AVERAGE('Weekly Data'!F684,'Weekly Data'!F632,'Weekly Data'!F580,'Weekly Data'!F528)</f>
        <v>1115</v>
      </c>
      <c r="M736" s="16">
        <f>AVERAGE('Weekly Data'!G684,'Weekly Data'!G632,'Weekly Data'!G580,'Weekly Data'!G528)</f>
        <v>3298.25</v>
      </c>
      <c r="N736" s="16">
        <f>AVERAGE('Weekly Data'!H684,'Weekly Data'!H632,'Weekly Data'!H580,'Weekly Data'!H528)</f>
        <v>318</v>
      </c>
      <c r="O736" s="95">
        <f>AVERAGE('Weekly Data'!I684,'Weekly Data'!I632,'Weekly Data'!I580)</f>
        <v>6648.333333333333</v>
      </c>
      <c r="P736" s="203"/>
      <c r="Q736" s="39"/>
      <c r="R736" s="13">
        <v>39442</v>
      </c>
      <c r="S736" s="94">
        <f t="shared" si="25"/>
        <v>1485.5833333333333</v>
      </c>
      <c r="T736" s="106">
        <f t="shared" si="20"/>
        <v>1835.3125</v>
      </c>
      <c r="U736" s="109">
        <f t="shared" si="21"/>
        <v>1396.75</v>
      </c>
      <c r="V736" s="109">
        <f t="shared" si="22"/>
        <v>4063.0625</v>
      </c>
      <c r="W736" s="110">
        <f t="shared" si="23"/>
        <v>479.5625</v>
      </c>
      <c r="X736" s="94">
        <f t="shared" si="26"/>
        <v>7903.25</v>
      </c>
      <c r="Y736" s="39"/>
      <c r="Z736" s="39"/>
      <c r="AA736" s="39"/>
      <c r="AB736" s="39"/>
      <c r="AC736" s="39"/>
      <c r="AD736" s="39"/>
      <c r="AE736" s="39"/>
      <c r="AF736" s="39"/>
      <c r="AG736" s="39"/>
      <c r="AH736" s="65"/>
    </row>
    <row r="737" spans="1:34" x14ac:dyDescent="0.25">
      <c r="A737" s="105">
        <f t="shared" si="24"/>
        <v>39449</v>
      </c>
      <c r="B737" s="59">
        <f>SUM('Weekly Data'!D734:D737)/4</f>
        <v>1349.25</v>
      </c>
      <c r="C737" s="90">
        <f>SUM('Weekly Data'!E734:E737)/4</f>
        <v>2018</v>
      </c>
      <c r="D737" s="90">
        <f>SUM('Weekly Data'!F734:F737)/4</f>
        <v>334.25</v>
      </c>
      <c r="E737" s="90">
        <f>SUM('Weekly Data'!G734:G737)/4</f>
        <v>5075.25</v>
      </c>
      <c r="F737" s="90">
        <f>SUM('Weekly Data'!H734:H737)/4</f>
        <v>835.5</v>
      </c>
      <c r="G737" s="90">
        <f>SUM('Weekly Data'!I734:I737)/4</f>
        <v>9278</v>
      </c>
      <c r="H737" s="90"/>
      <c r="I737" s="39"/>
      <c r="J737" s="95">
        <f>AVERAGE('Weekly Data'!D685,'Weekly Data'!D633,'Weekly Data'!D581)</f>
        <v>1384.3333333333333</v>
      </c>
      <c r="K737" s="16">
        <f>AVERAGE('Weekly Data'!E685,'Weekly Data'!E633,'Weekly Data'!E581,'Weekly Data'!E529)</f>
        <v>2103.5</v>
      </c>
      <c r="L737" s="16">
        <f>AVERAGE('Weekly Data'!F685,'Weekly Data'!F633,'Weekly Data'!F581,'Weekly Data'!F529)</f>
        <v>952</v>
      </c>
      <c r="M737" s="16">
        <f>AVERAGE('Weekly Data'!G685,'Weekly Data'!G633,'Weekly Data'!G581,'Weekly Data'!G529)</f>
        <v>3680</v>
      </c>
      <c r="N737" s="16">
        <f>AVERAGE('Weekly Data'!H685,'Weekly Data'!H633,'Weekly Data'!H581,'Weekly Data'!H529)</f>
        <v>408.75</v>
      </c>
      <c r="O737" s="95">
        <f>AVERAGE('Weekly Data'!I685,'Weekly Data'!I633,'Weekly Data'!I581)</f>
        <v>7887.333333333333</v>
      </c>
      <c r="P737" s="203"/>
      <c r="Q737" s="39"/>
      <c r="R737" s="13">
        <v>39449</v>
      </c>
      <c r="S737" s="94">
        <f t="shared" si="25"/>
        <v>1422.0833333333333</v>
      </c>
      <c r="T737" s="106">
        <f t="shared" si="20"/>
        <v>1909.0625</v>
      </c>
      <c r="U737" s="109">
        <f t="shared" si="21"/>
        <v>1319.75</v>
      </c>
      <c r="V737" s="109">
        <f t="shared" si="22"/>
        <v>4001.5</v>
      </c>
      <c r="W737" s="110">
        <f t="shared" si="23"/>
        <v>453.0625</v>
      </c>
      <c r="X737" s="94">
        <f t="shared" si="26"/>
        <v>7891.833333333333</v>
      </c>
      <c r="Y737" s="39"/>
      <c r="Z737" s="39"/>
      <c r="AA737" s="39"/>
      <c r="AB737" s="39"/>
      <c r="AC737" s="39"/>
      <c r="AD737" s="39"/>
      <c r="AE737" s="39"/>
      <c r="AF737" s="39"/>
      <c r="AG737" s="39"/>
      <c r="AH737" s="65"/>
    </row>
    <row r="738" spans="1:34" x14ac:dyDescent="0.25">
      <c r="A738" s="105">
        <f t="shared" si="24"/>
        <v>39456</v>
      </c>
      <c r="B738" s="59">
        <f>SUM('Weekly Data'!D735:D738)/4</f>
        <v>1305</v>
      </c>
      <c r="C738" s="90">
        <f>SUM('Weekly Data'!E735:E738)/4</f>
        <v>2322.75</v>
      </c>
      <c r="D738" s="90">
        <f>SUM('Weekly Data'!F735:F738)/4</f>
        <v>480</v>
      </c>
      <c r="E738" s="90">
        <f>SUM('Weekly Data'!G735:G738)/4</f>
        <v>4697.5</v>
      </c>
      <c r="F738" s="90">
        <f>SUM('Weekly Data'!H735:H738)/4</f>
        <v>853</v>
      </c>
      <c r="G738" s="90">
        <f>SUM('Weekly Data'!I735:I738)/4</f>
        <v>9178.25</v>
      </c>
      <c r="H738" s="90"/>
      <c r="I738" s="39"/>
      <c r="J738" s="95">
        <f>AVERAGE('Weekly Data'!D686,'Weekly Data'!D634,'Weekly Data'!D582)</f>
        <v>1584.3333333333333</v>
      </c>
      <c r="K738" s="16">
        <f>AVERAGE('Weekly Data'!E686,'Weekly Data'!E634,'Weekly Data'!E582,'Weekly Data'!E530)</f>
        <v>2248.5</v>
      </c>
      <c r="L738" s="16">
        <f>AVERAGE('Weekly Data'!F686,'Weekly Data'!F634,'Weekly Data'!F582,'Weekly Data'!F530)</f>
        <v>699.25</v>
      </c>
      <c r="M738" s="16">
        <f>AVERAGE('Weekly Data'!G686,'Weekly Data'!G634,'Weekly Data'!G582,'Weekly Data'!G530)</f>
        <v>4114.25</v>
      </c>
      <c r="N738" s="16">
        <f>AVERAGE('Weekly Data'!H686,'Weekly Data'!H634,'Weekly Data'!H582,'Weekly Data'!H530)</f>
        <v>658.5</v>
      </c>
      <c r="O738" s="95">
        <f>AVERAGE('Weekly Data'!I686,'Weekly Data'!I634,'Weekly Data'!I582)</f>
        <v>8330.3333333333339</v>
      </c>
      <c r="P738" s="203"/>
      <c r="Q738" s="39"/>
      <c r="R738" s="13">
        <v>39456</v>
      </c>
      <c r="S738" s="94">
        <f t="shared" si="25"/>
        <v>1451.6666666666667</v>
      </c>
      <c r="T738" s="106">
        <f t="shared" si="20"/>
        <v>1873.3125</v>
      </c>
      <c r="U738" s="109">
        <f t="shared" si="21"/>
        <v>1107.0625</v>
      </c>
      <c r="V738" s="109">
        <f t="shared" si="22"/>
        <v>3899.25</v>
      </c>
      <c r="W738" s="110">
        <f t="shared" si="23"/>
        <v>477.8125</v>
      </c>
      <c r="X738" s="94">
        <f t="shared" si="26"/>
        <v>7865.25</v>
      </c>
      <c r="Y738" s="39"/>
      <c r="Z738" s="39"/>
      <c r="AA738" s="39"/>
      <c r="AB738" s="39"/>
      <c r="AC738" s="39"/>
      <c r="AD738" s="39"/>
      <c r="AE738" s="39"/>
      <c r="AF738" s="39"/>
      <c r="AG738" s="39"/>
      <c r="AH738" s="65"/>
    </row>
    <row r="739" spans="1:34" x14ac:dyDescent="0.25">
      <c r="A739" s="105">
        <f t="shared" si="24"/>
        <v>39463</v>
      </c>
      <c r="B739" s="59">
        <f>SUM('Weekly Data'!D736:D739)/4</f>
        <v>1483.25</v>
      </c>
      <c r="C739" s="90">
        <f>SUM('Weekly Data'!E736:E739)/4</f>
        <v>2512.75</v>
      </c>
      <c r="D739" s="90">
        <f>SUM('Weekly Data'!F736:F739)/4</f>
        <v>541.25</v>
      </c>
      <c r="E739" s="90">
        <f>SUM('Weekly Data'!G736:G739)/4</f>
        <v>4767</v>
      </c>
      <c r="F739" s="90">
        <f>SUM('Weekly Data'!H736:H739)/4</f>
        <v>1073</v>
      </c>
      <c r="G739" s="90">
        <f>SUM('Weekly Data'!I736:I739)/4</f>
        <v>9836</v>
      </c>
      <c r="H739" s="90"/>
      <c r="I739" s="39"/>
      <c r="J739" s="95">
        <f>AVERAGE('Weekly Data'!D687,'Weekly Data'!D635,'Weekly Data'!D583)</f>
        <v>2083.3333333333335</v>
      </c>
      <c r="K739" s="16">
        <f>AVERAGE('Weekly Data'!E687,'Weekly Data'!E635,'Weekly Data'!E583,'Weekly Data'!E531)</f>
        <v>1734.5</v>
      </c>
      <c r="L739" s="16">
        <f>AVERAGE('Weekly Data'!F687,'Weekly Data'!F635,'Weekly Data'!F583,'Weekly Data'!F531)</f>
        <v>785.25</v>
      </c>
      <c r="M739" s="16">
        <f>AVERAGE('Weekly Data'!G687,'Weekly Data'!G635,'Weekly Data'!G583,'Weekly Data'!G531)</f>
        <v>4046.5</v>
      </c>
      <c r="N739" s="16">
        <f>AVERAGE('Weekly Data'!H687,'Weekly Data'!H635,'Weekly Data'!H583,'Weekly Data'!H531)</f>
        <v>416</v>
      </c>
      <c r="O739" s="95">
        <f>AVERAGE('Weekly Data'!I687,'Weekly Data'!I635,'Weekly Data'!I583)</f>
        <v>8079</v>
      </c>
      <c r="P739" s="203"/>
      <c r="Q739" s="39"/>
      <c r="R739" s="13">
        <v>39463</v>
      </c>
      <c r="S739" s="94">
        <f t="shared" si="25"/>
        <v>1597.5833333333333</v>
      </c>
      <c r="T739" s="106">
        <f t="shared" si="20"/>
        <v>1928.75</v>
      </c>
      <c r="U739" s="109">
        <f t="shared" si="21"/>
        <v>948.75</v>
      </c>
      <c r="V739" s="109">
        <f t="shared" si="22"/>
        <v>3793.875</v>
      </c>
      <c r="W739" s="110">
        <f t="shared" si="23"/>
        <v>459.5</v>
      </c>
      <c r="X739" s="94">
        <f t="shared" si="26"/>
        <v>7736.25</v>
      </c>
      <c r="Y739" s="39"/>
      <c r="Z739" s="39"/>
      <c r="AA739" s="39"/>
      <c r="AB739" s="39"/>
      <c r="AC739" s="39"/>
      <c r="AD739" s="39"/>
      <c r="AE739" s="39"/>
      <c r="AF739" s="39"/>
      <c r="AG739" s="39"/>
      <c r="AH739" s="65"/>
    </row>
    <row r="740" spans="1:34" x14ac:dyDescent="0.25">
      <c r="A740" s="105">
        <f t="shared" si="24"/>
        <v>39470</v>
      </c>
      <c r="B740" s="59">
        <f>SUM('Weekly Data'!D737:D740)/4</f>
        <v>1561.75</v>
      </c>
      <c r="C740" s="90">
        <f>SUM('Weekly Data'!E737:E740)/4</f>
        <v>2769.5</v>
      </c>
      <c r="D740" s="90">
        <f>SUM('Weekly Data'!F737:F740)/4</f>
        <v>574.25</v>
      </c>
      <c r="E740" s="90">
        <f>SUM('Weekly Data'!G737:G740)/4</f>
        <v>5042.25</v>
      </c>
      <c r="F740" s="90">
        <f>SUM('Weekly Data'!H737:H740)/4</f>
        <v>1096.25</v>
      </c>
      <c r="G740" s="90">
        <f>SUM('Weekly Data'!I737:I740)/4</f>
        <v>10469.75</v>
      </c>
      <c r="H740" s="90"/>
      <c r="I740" s="39"/>
      <c r="J740" s="101">
        <f>AVERAGE('Weekly Data'!D688,'Weekly Data'!D636,'Weekly Data'!D584,'Weekly Data'!D532)</f>
        <v>1807</v>
      </c>
      <c r="K740" s="16">
        <f>AVERAGE('Weekly Data'!E688,'Weekly Data'!E636,'Weekly Data'!E584,'Weekly Data'!E532)</f>
        <v>2112.75</v>
      </c>
      <c r="L740" s="16">
        <f>AVERAGE('Weekly Data'!F688,'Weekly Data'!F636,'Weekly Data'!F584,'Weekly Data'!F532)</f>
        <v>904.5</v>
      </c>
      <c r="M740" s="16">
        <f>AVERAGE('Weekly Data'!G688,'Weekly Data'!G636,'Weekly Data'!G584,'Weekly Data'!G532)</f>
        <v>4777.25</v>
      </c>
      <c r="N740" s="16">
        <f>AVERAGE('Weekly Data'!H688,'Weekly Data'!H636,'Weekly Data'!H584,'Weekly Data'!H532)</f>
        <v>497.75</v>
      </c>
      <c r="O740" s="101">
        <f>AVERAGE('Weekly Data'!I688,'Weekly Data'!I636,'Weekly Data'!I584,'Weekly Data'!I532)</f>
        <v>9194.75</v>
      </c>
      <c r="P740" s="203"/>
      <c r="Q740" s="39"/>
      <c r="R740" s="13">
        <v>39470</v>
      </c>
      <c r="S740" s="94">
        <f t="shared" si="25"/>
        <v>1785.6666666666667</v>
      </c>
      <c r="T740" s="106">
        <f t="shared" si="20"/>
        <v>2041.625</v>
      </c>
      <c r="U740" s="109">
        <f t="shared" si="21"/>
        <v>846.1875</v>
      </c>
      <c r="V740" s="109">
        <f t="shared" si="22"/>
        <v>4050.25</v>
      </c>
      <c r="W740" s="110">
        <f t="shared" si="23"/>
        <v>491.9375</v>
      </c>
      <c r="X740" s="94">
        <f t="shared" si="26"/>
        <v>8464.1666666666661</v>
      </c>
      <c r="Y740" s="39"/>
      <c r="Z740" s="39"/>
      <c r="AA740" s="39"/>
      <c r="AB740" s="39"/>
      <c r="AC740" s="39"/>
      <c r="AD740" s="39"/>
      <c r="AE740" s="39"/>
      <c r="AF740" s="39"/>
      <c r="AG740" s="39"/>
      <c r="AH740" s="65"/>
    </row>
    <row r="741" spans="1:34" x14ac:dyDescent="0.25">
      <c r="A741" s="105">
        <f t="shared" si="24"/>
        <v>39477</v>
      </c>
      <c r="B741" s="59">
        <f>SUM('Weekly Data'!D738:D741)/4</f>
        <v>1724</v>
      </c>
      <c r="C741" s="90">
        <f>SUM('Weekly Data'!E738:E741)/4</f>
        <v>2903.25</v>
      </c>
      <c r="D741" s="90">
        <f>SUM('Weekly Data'!F738:F741)/4</f>
        <v>610</v>
      </c>
      <c r="E741" s="90">
        <f>SUM('Weekly Data'!G738:G741)/4</f>
        <v>5225.5</v>
      </c>
      <c r="F741" s="90">
        <f>SUM('Weekly Data'!H738:H741)/4</f>
        <v>1230</v>
      </c>
      <c r="G741" s="90">
        <f>SUM('Weekly Data'!I738:I741)/4</f>
        <v>11082.75</v>
      </c>
      <c r="H741" s="90"/>
      <c r="I741" s="39"/>
      <c r="J741" s="101">
        <f>AVERAGE('Weekly Data'!D689,'Weekly Data'!D637,'Weekly Data'!D585,'Weekly Data'!D533)</f>
        <v>1554</v>
      </c>
      <c r="K741" s="16">
        <f>AVERAGE('Weekly Data'!E689,'Weekly Data'!E637,'Weekly Data'!E585,'Weekly Data'!E533)</f>
        <v>2239.25</v>
      </c>
      <c r="L741" s="16">
        <f>AVERAGE('Weekly Data'!F689,'Weekly Data'!F637,'Weekly Data'!F585,'Weekly Data'!F533)</f>
        <v>680.75</v>
      </c>
      <c r="M741" s="16">
        <f>AVERAGE('Weekly Data'!G689,'Weekly Data'!G637,'Weekly Data'!G585,'Weekly Data'!G533)</f>
        <v>4397.75</v>
      </c>
      <c r="N741" s="16">
        <f>AVERAGE('Weekly Data'!H689,'Weekly Data'!H637,'Weekly Data'!H585,'Weekly Data'!H533)</f>
        <v>510</v>
      </c>
      <c r="O741" s="101">
        <f>AVERAGE('Weekly Data'!I689,'Weekly Data'!I637,'Weekly Data'!I585,'Weekly Data'!I533)</f>
        <v>8701</v>
      </c>
      <c r="P741" s="203"/>
      <c r="Q741" s="39"/>
      <c r="R741" s="13">
        <v>39477</v>
      </c>
      <c r="S741" s="94">
        <f t="shared" si="25"/>
        <v>1871.75</v>
      </c>
      <c r="T741" s="106">
        <f t="shared" si="20"/>
        <v>2061.4375</v>
      </c>
      <c r="U741" s="109">
        <f t="shared" si="21"/>
        <v>768.125</v>
      </c>
      <c r="V741" s="109">
        <f t="shared" si="22"/>
        <v>4281.3125</v>
      </c>
      <c r="W741" s="110">
        <f t="shared" si="23"/>
        <v>521.4375</v>
      </c>
      <c r="X741" s="94">
        <f t="shared" si="26"/>
        <v>8769.75</v>
      </c>
      <c r="Y741" s="39"/>
      <c r="Z741" s="39"/>
      <c r="AA741" s="39"/>
      <c r="AB741" s="39"/>
      <c r="AC741" s="39"/>
      <c r="AD741" s="39"/>
      <c r="AE741" s="39"/>
      <c r="AF741" s="39"/>
      <c r="AG741" s="39"/>
      <c r="AH741" s="65"/>
    </row>
    <row r="742" spans="1:34" x14ac:dyDescent="0.25">
      <c r="A742" s="105">
        <f t="shared" si="24"/>
        <v>39484</v>
      </c>
      <c r="B742" s="59">
        <f>SUM('Weekly Data'!D739:D742)/4</f>
        <v>1683</v>
      </c>
      <c r="C742" s="90">
        <f>SUM('Weekly Data'!E739:E742)/4</f>
        <v>2585.25</v>
      </c>
      <c r="D742" s="90">
        <f>SUM('Weekly Data'!F739:F742)/4</f>
        <v>505.5</v>
      </c>
      <c r="E742" s="90">
        <f>SUM('Weekly Data'!G739:G742)/4</f>
        <v>5206.25</v>
      </c>
      <c r="F742" s="90">
        <f>SUM('Weekly Data'!H739:H742)/4</f>
        <v>1210</v>
      </c>
      <c r="G742" s="90">
        <f>SUM('Weekly Data'!I739:I742)/4</f>
        <v>10684.5</v>
      </c>
      <c r="H742" s="90"/>
      <c r="I742" s="39"/>
      <c r="J742" s="101">
        <f>AVERAGE('Weekly Data'!D690,'Weekly Data'!D638,'Weekly Data'!D586,'Weekly Data'!D534)</f>
        <v>1628.25</v>
      </c>
      <c r="K742" s="16">
        <f>AVERAGE('Weekly Data'!E690,'Weekly Data'!E638,'Weekly Data'!E586,'Weekly Data'!E534)</f>
        <v>1900.25</v>
      </c>
      <c r="L742" s="16">
        <f>AVERAGE('Weekly Data'!F690,'Weekly Data'!F638,'Weekly Data'!F586,'Weekly Data'!F534)</f>
        <v>760</v>
      </c>
      <c r="M742" s="16">
        <f>AVERAGE('Weekly Data'!G690,'Weekly Data'!G638,'Weekly Data'!G586,'Weekly Data'!G534)</f>
        <v>4399.25</v>
      </c>
      <c r="N742" s="16">
        <f>AVERAGE('Weekly Data'!H690,'Weekly Data'!H638,'Weekly Data'!H586,'Weekly Data'!H534)</f>
        <v>433</v>
      </c>
      <c r="O742" s="101">
        <f>AVERAGE('Weekly Data'!I690,'Weekly Data'!I638,'Weekly Data'!I586,'Weekly Data'!I534)</f>
        <v>8360.75</v>
      </c>
      <c r="P742" s="203"/>
      <c r="Q742" s="39"/>
      <c r="R742" s="13">
        <v>39484</v>
      </c>
      <c r="S742" s="94">
        <f t="shared" si="25"/>
        <v>1928.6666666666667</v>
      </c>
      <c r="T742" s="106">
        <f t="shared" si="20"/>
        <v>2092.8125</v>
      </c>
      <c r="U742" s="109">
        <f t="shared" si="21"/>
        <v>800.9375</v>
      </c>
      <c r="V742" s="109">
        <f t="shared" si="22"/>
        <v>4341.25</v>
      </c>
      <c r="W742" s="110">
        <f t="shared" si="23"/>
        <v>451.625</v>
      </c>
      <c r="X742" s="94">
        <f t="shared" si="26"/>
        <v>8756.5833333333339</v>
      </c>
      <c r="Y742" s="39"/>
      <c r="Z742" s="39"/>
      <c r="AA742" s="39"/>
      <c r="AB742" s="39"/>
      <c r="AC742" s="39"/>
      <c r="AD742" s="39"/>
      <c r="AE742" s="39"/>
      <c r="AF742" s="39"/>
      <c r="AG742" s="39"/>
      <c r="AH742" s="65"/>
    </row>
    <row r="743" spans="1:34" x14ac:dyDescent="0.25">
      <c r="A743" s="105">
        <f t="shared" si="24"/>
        <v>39491</v>
      </c>
      <c r="B743" s="59">
        <f>SUM('Weekly Data'!D740:D743)/4</f>
        <v>1563.75</v>
      </c>
      <c r="C743" s="90">
        <f>SUM('Weekly Data'!E740:E743)/4</f>
        <v>2550.75</v>
      </c>
      <c r="D743" s="90">
        <f>SUM('Weekly Data'!F740:F743)/4</f>
        <v>556.5</v>
      </c>
      <c r="E743" s="90">
        <f>SUM('Weekly Data'!G740:G743)/4</f>
        <v>4995.25</v>
      </c>
      <c r="F743" s="90">
        <f>SUM('Weekly Data'!H740:H743)/4</f>
        <v>1116.5</v>
      </c>
      <c r="G743" s="90">
        <f>SUM('Weekly Data'!I740:I743)/4</f>
        <v>10226.25</v>
      </c>
      <c r="H743" s="90"/>
      <c r="I743" s="39"/>
      <c r="J743" s="101">
        <f>AVERAGE('Weekly Data'!D691,'Weekly Data'!D639,'Weekly Data'!D587,'Weekly Data'!D535)</f>
        <v>1624.5</v>
      </c>
      <c r="K743" s="16">
        <f>AVERAGE('Weekly Data'!E691,'Weekly Data'!E639,'Weekly Data'!E587,'Weekly Data'!E535)</f>
        <v>1959.25</v>
      </c>
      <c r="L743" s="16">
        <f>AVERAGE('Weekly Data'!F691,'Weekly Data'!F639,'Weekly Data'!F587,'Weekly Data'!F535)</f>
        <v>939.5</v>
      </c>
      <c r="M743" s="16">
        <f>AVERAGE('Weekly Data'!G691,'Weekly Data'!G639,'Weekly Data'!G587,'Weekly Data'!G535)</f>
        <v>5227.5</v>
      </c>
      <c r="N743" s="16">
        <f>AVERAGE('Weekly Data'!H691,'Weekly Data'!H639,'Weekly Data'!H587,'Weekly Data'!H535)</f>
        <v>545.25</v>
      </c>
      <c r="O743" s="101">
        <f>AVERAGE('Weekly Data'!I691,'Weekly Data'!I639,'Weekly Data'!I587,'Weekly Data'!I535)</f>
        <v>9356.5</v>
      </c>
      <c r="P743" s="203"/>
      <c r="Q743" s="39"/>
      <c r="R743" s="13">
        <v>39491</v>
      </c>
      <c r="S743" s="106">
        <f t="shared" ref="S743:X743" si="27">AVERAGE(B691,B639,B587,B534)</f>
        <v>1687.9375</v>
      </c>
      <c r="T743" s="106">
        <f t="shared" si="27"/>
        <v>2103.4375</v>
      </c>
      <c r="U743" s="109">
        <f t="shared" si="27"/>
        <v>810.5</v>
      </c>
      <c r="V743" s="109">
        <f t="shared" si="27"/>
        <v>4596.0625</v>
      </c>
      <c r="W743" s="110">
        <f t="shared" si="27"/>
        <v>505.75</v>
      </c>
      <c r="X743" s="106">
        <f t="shared" si="27"/>
        <v>8893.1875</v>
      </c>
      <c r="Y743" s="39"/>
      <c r="Z743" s="39"/>
      <c r="AA743" s="39"/>
      <c r="AB743" s="39"/>
      <c r="AC743" s="39"/>
      <c r="AD743" s="39"/>
      <c r="AE743" s="39"/>
      <c r="AF743" s="39"/>
      <c r="AG743" s="39"/>
      <c r="AH743" s="65"/>
    </row>
    <row r="744" spans="1:34" x14ac:dyDescent="0.25">
      <c r="A744" s="105">
        <f t="shared" si="24"/>
        <v>39498</v>
      </c>
      <c r="B744" s="59">
        <f>SUM('Weekly Data'!D741:D744)/4</f>
        <v>1541.5</v>
      </c>
      <c r="C744" s="90">
        <f>SUM('Weekly Data'!E741:E744)/4</f>
        <v>2665.75</v>
      </c>
      <c r="D744" s="90">
        <f>SUM('Weekly Data'!F741:F744)/4</f>
        <v>512.75</v>
      </c>
      <c r="E744" s="90">
        <f>SUM('Weekly Data'!G741:G744)/4</f>
        <v>4925.5</v>
      </c>
      <c r="F744" s="90">
        <f>SUM('Weekly Data'!H741:H744)/4</f>
        <v>1053</v>
      </c>
      <c r="G744" s="90">
        <f>SUM('Weekly Data'!I741:I744)/4</f>
        <v>10185.75</v>
      </c>
      <c r="H744" s="90"/>
      <c r="I744" s="39"/>
      <c r="J744" s="101">
        <f>AVERAGE('Weekly Data'!D692,'Weekly Data'!D640,'Weekly Data'!D588,'Weekly Data'!D536)</f>
        <v>1492.5</v>
      </c>
      <c r="K744" s="16">
        <f>AVERAGE('Weekly Data'!E692,'Weekly Data'!E640,'Weekly Data'!E588,'Weekly Data'!E536)</f>
        <v>2182.25</v>
      </c>
      <c r="L744" s="16">
        <f>AVERAGE('Weekly Data'!F692,'Weekly Data'!F640,'Weekly Data'!F588,'Weekly Data'!F536)</f>
        <v>764.5</v>
      </c>
      <c r="M744" s="16">
        <f>AVERAGE('Weekly Data'!G692,'Weekly Data'!G640,'Weekly Data'!G588,'Weekly Data'!G536)</f>
        <v>4426.25</v>
      </c>
      <c r="N744" s="16">
        <f>AVERAGE('Weekly Data'!H692,'Weekly Data'!H640,'Weekly Data'!H588,'Weekly Data'!H536)</f>
        <v>411.75</v>
      </c>
      <c r="O744" s="101">
        <f>AVERAGE('Weekly Data'!I692,'Weekly Data'!I640,'Weekly Data'!I588,'Weekly Data'!I536)</f>
        <v>8512.75</v>
      </c>
      <c r="P744" s="203"/>
      <c r="Q744" s="39"/>
      <c r="R744" s="13">
        <v>39498</v>
      </c>
      <c r="S744" s="106">
        <f t="shared" ref="S744:S807" si="28">AVERAGE(B692,B640,B588,B535)</f>
        <v>1573.1875</v>
      </c>
      <c r="T744" s="106">
        <f t="shared" ref="T744:T807" si="29">AVERAGE(C692,C640,C588,C535)</f>
        <v>2066</v>
      </c>
      <c r="U744" s="109">
        <f t="shared" ref="U744:U807" si="30">AVERAGE(D692,D640,D588,D535)</f>
        <v>789.1875</v>
      </c>
      <c r="V744" s="109">
        <f t="shared" ref="V744:V807" si="31">AVERAGE(E692,E640,E588,E535)</f>
        <v>4562.6875</v>
      </c>
      <c r="W744" s="110">
        <f t="shared" ref="W744:W807" si="32">AVERAGE(F692,F640,F588,F535)</f>
        <v>479.625</v>
      </c>
      <c r="X744" s="106">
        <f t="shared" ref="X744:X807" si="33">AVERAGE(G692,G640,G588,G535)</f>
        <v>8681.5</v>
      </c>
      <c r="Y744" s="39"/>
      <c r="Z744" s="39"/>
      <c r="AA744" s="39"/>
      <c r="AB744" s="39"/>
      <c r="AC744" s="39"/>
      <c r="AD744" s="39"/>
      <c r="AE744" s="39"/>
      <c r="AF744" s="39"/>
      <c r="AG744" s="39"/>
      <c r="AH744" s="65"/>
    </row>
    <row r="745" spans="1:34" x14ac:dyDescent="0.25">
      <c r="A745" s="105">
        <f t="shared" si="24"/>
        <v>39505</v>
      </c>
      <c r="B745" s="59">
        <f>SUM('Weekly Data'!D742:D745)/4</f>
        <v>1349</v>
      </c>
      <c r="C745" s="90">
        <f>SUM('Weekly Data'!E742:E745)/4</f>
        <v>2554</v>
      </c>
      <c r="D745" s="90">
        <f>SUM('Weekly Data'!F742:F745)/4</f>
        <v>556.25</v>
      </c>
      <c r="E745" s="90">
        <f>SUM('Weekly Data'!G742:G745)/4</f>
        <v>5257.5</v>
      </c>
      <c r="F745" s="90">
        <f>SUM('Weekly Data'!H742:H745)/4</f>
        <v>1021</v>
      </c>
      <c r="G745" s="90">
        <f>SUM('Weekly Data'!I742:I745)/4</f>
        <v>10181.5</v>
      </c>
      <c r="H745" s="90"/>
      <c r="I745" s="39"/>
      <c r="J745" s="101">
        <f>AVERAGE('Weekly Data'!D693,'Weekly Data'!D641,'Weekly Data'!D589,'Weekly Data'!D537)</f>
        <v>1498.5</v>
      </c>
      <c r="K745" s="16">
        <f>AVERAGE('Weekly Data'!E693,'Weekly Data'!E641,'Weekly Data'!E589,'Weekly Data'!E537)</f>
        <v>2024.75</v>
      </c>
      <c r="L745" s="16">
        <f>AVERAGE('Weekly Data'!F693,'Weekly Data'!F641,'Weekly Data'!F589,'Weekly Data'!F537)</f>
        <v>1319.5</v>
      </c>
      <c r="M745" s="16">
        <f>AVERAGE('Weekly Data'!G693,'Weekly Data'!G641,'Weekly Data'!G589,'Weekly Data'!G537)</f>
        <v>4703.5</v>
      </c>
      <c r="N745" s="16">
        <f>AVERAGE('Weekly Data'!H693,'Weekly Data'!H641,'Weekly Data'!H589,'Weekly Data'!H537)</f>
        <v>428.25</v>
      </c>
      <c r="O745" s="101">
        <f>AVERAGE('Weekly Data'!I693,'Weekly Data'!I641,'Weekly Data'!I589,'Weekly Data'!I537)</f>
        <v>8655</v>
      </c>
      <c r="P745" s="203"/>
      <c r="Q745" s="39"/>
      <c r="R745" s="13">
        <v>39505</v>
      </c>
      <c r="S745" s="106">
        <f t="shared" si="28"/>
        <v>1563</v>
      </c>
      <c r="T745" s="106">
        <f t="shared" si="29"/>
        <v>2057.125</v>
      </c>
      <c r="U745" s="109">
        <f t="shared" si="30"/>
        <v>904.8125</v>
      </c>
      <c r="V745" s="109">
        <f t="shared" si="31"/>
        <v>4607</v>
      </c>
      <c r="W745" s="110">
        <f t="shared" si="32"/>
        <v>460.125</v>
      </c>
      <c r="X745" s="106">
        <f t="shared" si="33"/>
        <v>8687.25</v>
      </c>
      <c r="Y745" s="39"/>
      <c r="Z745" s="39"/>
      <c r="AA745" s="39"/>
      <c r="AB745" s="39"/>
      <c r="AC745" s="39"/>
      <c r="AD745" s="39"/>
      <c r="AE745" s="39"/>
      <c r="AF745" s="39"/>
      <c r="AG745" s="39"/>
      <c r="AH745" s="65"/>
    </row>
    <row r="746" spans="1:34" x14ac:dyDescent="0.25">
      <c r="A746" s="105">
        <f t="shared" si="24"/>
        <v>39512</v>
      </c>
      <c r="B746" s="59">
        <f>SUM('Weekly Data'!D743:D746)/4</f>
        <v>1460.25</v>
      </c>
      <c r="C746" s="90">
        <f>SUM('Weekly Data'!E743:E746)/4</f>
        <v>2811.75</v>
      </c>
      <c r="D746" s="90">
        <f>SUM('Weekly Data'!F743:F746)/4</f>
        <v>536.75</v>
      </c>
      <c r="E746" s="90">
        <f>SUM('Weekly Data'!G743:G746)/4</f>
        <v>5778.75</v>
      </c>
      <c r="F746" s="90">
        <f>SUM('Weekly Data'!H743:H746)/4</f>
        <v>1002.25</v>
      </c>
      <c r="G746" s="90">
        <f>SUM('Weekly Data'!I743:I746)/4</f>
        <v>11053</v>
      </c>
      <c r="H746" s="90"/>
      <c r="I746" s="39"/>
      <c r="J746" s="101">
        <f>AVERAGE('Weekly Data'!D694,'Weekly Data'!D642,'Weekly Data'!D590,'Weekly Data'!D538)</f>
        <v>1553</v>
      </c>
      <c r="K746" s="16">
        <f>AVERAGE('Weekly Data'!E694,'Weekly Data'!E642,'Weekly Data'!E590,'Weekly Data'!E538)</f>
        <v>2195.75</v>
      </c>
      <c r="L746" s="16">
        <f>AVERAGE('Weekly Data'!F694,'Weekly Data'!F642,'Weekly Data'!F590,'Weekly Data'!F538)</f>
        <v>1090.75</v>
      </c>
      <c r="M746" s="16">
        <f>AVERAGE('Weekly Data'!G694,'Weekly Data'!G642,'Weekly Data'!G590,'Weekly Data'!G538)</f>
        <v>4733.5</v>
      </c>
      <c r="N746" s="16">
        <f>AVERAGE('Weekly Data'!H694,'Weekly Data'!H642,'Weekly Data'!H590,'Weekly Data'!H538)</f>
        <v>425.75</v>
      </c>
      <c r="O746" s="101">
        <f>AVERAGE('Weekly Data'!I694,'Weekly Data'!I642,'Weekly Data'!I590,'Weekly Data'!I538)</f>
        <v>8908</v>
      </c>
      <c r="P746" s="203"/>
      <c r="Q746" s="39"/>
      <c r="R746" s="13">
        <v>39512</v>
      </c>
      <c r="S746" s="106">
        <f t="shared" si="28"/>
        <v>1570.6875</v>
      </c>
      <c r="T746" s="106">
        <f t="shared" si="29"/>
        <v>2059.0625</v>
      </c>
      <c r="U746" s="109">
        <f t="shared" si="30"/>
        <v>1049.1875</v>
      </c>
      <c r="V746" s="109">
        <f t="shared" si="31"/>
        <v>4739.6875</v>
      </c>
      <c r="W746" s="110">
        <f t="shared" si="32"/>
        <v>487.9375</v>
      </c>
      <c r="X746" s="106">
        <f t="shared" si="33"/>
        <v>8857.375</v>
      </c>
      <c r="Y746" s="39"/>
      <c r="Z746" s="39"/>
      <c r="AA746" s="39"/>
      <c r="AB746" s="39"/>
      <c r="AC746" s="39"/>
      <c r="AD746" s="39"/>
      <c r="AE746" s="39"/>
      <c r="AF746" s="39"/>
      <c r="AG746" s="39"/>
      <c r="AH746" s="65"/>
    </row>
    <row r="747" spans="1:34" x14ac:dyDescent="0.25">
      <c r="A747" s="105">
        <f t="shared" si="24"/>
        <v>39519</v>
      </c>
      <c r="B747" s="59">
        <f>SUM('Weekly Data'!D744:D747)/4</f>
        <v>1521.75</v>
      </c>
      <c r="C747" s="90">
        <f>SUM('Weekly Data'!E744:E747)/4</f>
        <v>2733.75</v>
      </c>
      <c r="D747" s="90">
        <f>SUM('Weekly Data'!F744:F747)/4</f>
        <v>566.25</v>
      </c>
      <c r="E747" s="90">
        <f>SUM('Weekly Data'!G744:G747)/4</f>
        <v>6030.25</v>
      </c>
      <c r="F747" s="90">
        <f>SUM('Weekly Data'!H744:H747)/4</f>
        <v>1098.75</v>
      </c>
      <c r="G747" s="90">
        <f>SUM('Weekly Data'!I744:I747)/4</f>
        <v>11384.5</v>
      </c>
      <c r="H747" s="90"/>
      <c r="I747" s="39"/>
      <c r="J747" s="101">
        <f>AVERAGE('Weekly Data'!D695,'Weekly Data'!D643,'Weekly Data'!D591,'Weekly Data'!D539)</f>
        <v>1284.75</v>
      </c>
      <c r="K747" s="16">
        <f>AVERAGE('Weekly Data'!E695,'Weekly Data'!E643,'Weekly Data'!E591,'Weekly Data'!E539)</f>
        <v>2164.25</v>
      </c>
      <c r="L747" s="16">
        <f>AVERAGE('Weekly Data'!F695,'Weekly Data'!F643,'Weekly Data'!F591,'Weekly Data'!F539)</f>
        <v>917.75</v>
      </c>
      <c r="M747" s="16">
        <f>AVERAGE('Weekly Data'!G695,'Weekly Data'!G643,'Weekly Data'!G591,'Weekly Data'!G539)</f>
        <v>4787</v>
      </c>
      <c r="N747" s="16">
        <f>AVERAGE('Weekly Data'!H695,'Weekly Data'!H643,'Weekly Data'!H591,'Weekly Data'!H539)</f>
        <v>444</v>
      </c>
      <c r="O747" s="101">
        <f>AVERAGE('Weekly Data'!I695,'Weekly Data'!I643,'Weekly Data'!I591,'Weekly Data'!I539)</f>
        <v>8680</v>
      </c>
      <c r="P747" s="203"/>
      <c r="Q747" s="39"/>
      <c r="R747" s="13">
        <v>39519</v>
      </c>
      <c r="S747" s="106">
        <f t="shared" si="28"/>
        <v>1461.1875</v>
      </c>
      <c r="T747" s="106">
        <f t="shared" si="29"/>
        <v>2125.1875</v>
      </c>
      <c r="U747" s="109">
        <f t="shared" si="30"/>
        <v>1030.625</v>
      </c>
      <c r="V747" s="109">
        <f t="shared" si="31"/>
        <v>4707.25</v>
      </c>
      <c r="W747" s="110">
        <f t="shared" si="32"/>
        <v>421.0625</v>
      </c>
      <c r="X747" s="106">
        <f t="shared" si="33"/>
        <v>8714.6875</v>
      </c>
      <c r="Y747" s="39"/>
      <c r="Z747" s="39"/>
      <c r="AA747" s="39"/>
      <c r="AB747" s="39"/>
      <c r="AC747" s="39"/>
      <c r="AD747" s="39"/>
      <c r="AE747" s="39"/>
      <c r="AF747" s="39"/>
      <c r="AG747" s="39"/>
      <c r="AH747" s="65"/>
    </row>
    <row r="748" spans="1:34" x14ac:dyDescent="0.25">
      <c r="A748" s="105">
        <f t="shared" si="24"/>
        <v>39526</v>
      </c>
      <c r="B748" s="59">
        <f>SUM('Weekly Data'!D745:D748)/4</f>
        <v>1493.25</v>
      </c>
      <c r="C748" s="90">
        <f>SUM('Weekly Data'!E745:E748)/4</f>
        <v>2515.5</v>
      </c>
      <c r="D748" s="90">
        <f>SUM('Weekly Data'!F745:F748)/4</f>
        <v>466.75</v>
      </c>
      <c r="E748" s="90">
        <f>SUM('Weekly Data'!G745:G748)/4</f>
        <v>6181.5</v>
      </c>
      <c r="F748" s="90">
        <f>SUM('Weekly Data'!H745:H748)/4</f>
        <v>1187.5</v>
      </c>
      <c r="G748" s="90">
        <f>SUM('Weekly Data'!I745:I748)/4</f>
        <v>11377.75</v>
      </c>
      <c r="H748" s="90"/>
      <c r="I748" s="39"/>
      <c r="J748" s="101">
        <f>AVERAGE('Weekly Data'!D696,'Weekly Data'!D644,'Weekly Data'!D592,'Weekly Data'!D540)</f>
        <v>1261.5</v>
      </c>
      <c r="K748" s="16">
        <f>AVERAGE('Weekly Data'!E696,'Weekly Data'!E644,'Weekly Data'!E592,'Weekly Data'!E540)</f>
        <v>1931.25</v>
      </c>
      <c r="L748" s="16">
        <f>AVERAGE('Weekly Data'!F696,'Weekly Data'!F644,'Weekly Data'!F592,'Weekly Data'!F540)</f>
        <v>1219</v>
      </c>
      <c r="M748" s="16">
        <f>AVERAGE('Weekly Data'!G696,'Weekly Data'!G644,'Weekly Data'!G592,'Weekly Data'!G540)</f>
        <v>4452.5</v>
      </c>
      <c r="N748" s="16">
        <f>AVERAGE('Weekly Data'!H696,'Weekly Data'!H644,'Weekly Data'!H592,'Weekly Data'!H540)</f>
        <v>330.75</v>
      </c>
      <c r="O748" s="101">
        <f>AVERAGE('Weekly Data'!I696,'Weekly Data'!I644,'Weekly Data'!I592,'Weekly Data'!I540)</f>
        <v>7976</v>
      </c>
      <c r="P748" s="203"/>
      <c r="Q748" s="39"/>
      <c r="R748" s="13">
        <v>39526</v>
      </c>
      <c r="S748" s="106">
        <f t="shared" si="28"/>
        <v>1418.4375</v>
      </c>
      <c r="T748" s="106">
        <f t="shared" si="29"/>
        <v>2111.125</v>
      </c>
      <c r="U748" s="109">
        <f t="shared" si="30"/>
        <v>1149.4375</v>
      </c>
      <c r="V748" s="109">
        <f t="shared" si="31"/>
        <v>4667.625</v>
      </c>
      <c r="W748" s="110">
        <f t="shared" si="32"/>
        <v>415.9375</v>
      </c>
      <c r="X748" s="106">
        <f t="shared" si="33"/>
        <v>8613.125</v>
      </c>
      <c r="Y748" s="39"/>
      <c r="Z748" s="39"/>
      <c r="AA748" s="39"/>
      <c r="AB748" s="39"/>
      <c r="AC748" s="39"/>
      <c r="AD748" s="39"/>
      <c r="AE748" s="39"/>
      <c r="AF748" s="39"/>
      <c r="AG748" s="39"/>
      <c r="AH748" s="65"/>
    </row>
    <row r="749" spans="1:34" x14ac:dyDescent="0.25">
      <c r="A749" s="105">
        <f t="shared" si="24"/>
        <v>39533</v>
      </c>
      <c r="B749" s="59">
        <f>SUM('Weekly Data'!D746:D749)/4</f>
        <v>1641.75</v>
      </c>
      <c r="C749" s="90">
        <f>SUM('Weekly Data'!E746:E749)/4</f>
        <v>2446.25</v>
      </c>
      <c r="D749" s="90">
        <f>SUM('Weekly Data'!F746:F749)/4</f>
        <v>519.25</v>
      </c>
      <c r="E749" s="90">
        <f>SUM('Weekly Data'!G746:G749)/4</f>
        <v>6213.5</v>
      </c>
      <c r="F749" s="90">
        <f>SUM('Weekly Data'!H746:H749)/4</f>
        <v>1108.25</v>
      </c>
      <c r="G749" s="90">
        <f>SUM('Weekly Data'!I746:I749)/4</f>
        <v>11409.75</v>
      </c>
      <c r="H749" s="90"/>
      <c r="I749" s="39"/>
      <c r="J749" s="101">
        <f>AVERAGE('Weekly Data'!D697,'Weekly Data'!D645,'Weekly Data'!D593,'Weekly Data'!D541)</f>
        <v>820.75</v>
      </c>
      <c r="K749" s="16">
        <f>AVERAGE('Weekly Data'!E697,'Weekly Data'!E645,'Weekly Data'!E593,'Weekly Data'!E541)</f>
        <v>2032.5</v>
      </c>
      <c r="L749" s="16">
        <f>AVERAGE('Weekly Data'!F697,'Weekly Data'!F645,'Weekly Data'!F593,'Weekly Data'!F541)</f>
        <v>1139.25</v>
      </c>
      <c r="M749" s="16">
        <f>AVERAGE('Weekly Data'!G697,'Weekly Data'!G645,'Weekly Data'!G593,'Weekly Data'!G541)</f>
        <v>4470.25</v>
      </c>
      <c r="N749" s="16">
        <f>AVERAGE('Weekly Data'!H697,'Weekly Data'!H645,'Weekly Data'!H593,'Weekly Data'!H541)</f>
        <v>333.75</v>
      </c>
      <c r="O749" s="101">
        <f>AVERAGE('Weekly Data'!I697,'Weekly Data'!I645,'Weekly Data'!I593,'Weekly Data'!I541)</f>
        <v>7657.25</v>
      </c>
      <c r="P749" s="203"/>
      <c r="Q749" s="39"/>
      <c r="R749" s="13">
        <v>39533</v>
      </c>
      <c r="S749" s="106">
        <f t="shared" si="28"/>
        <v>1269.3125</v>
      </c>
      <c r="T749" s="106">
        <f t="shared" si="29"/>
        <v>2056.8125</v>
      </c>
      <c r="U749" s="109">
        <f t="shared" si="30"/>
        <v>1103.75</v>
      </c>
      <c r="V749" s="109">
        <f t="shared" si="31"/>
        <v>4663.4375</v>
      </c>
      <c r="W749" s="110">
        <f t="shared" si="32"/>
        <v>383.9375</v>
      </c>
      <c r="X749" s="106">
        <f t="shared" si="33"/>
        <v>8373.5</v>
      </c>
      <c r="Y749" s="39"/>
      <c r="Z749" s="39"/>
      <c r="AA749" s="39"/>
      <c r="AB749" s="39"/>
      <c r="AC749" s="39"/>
      <c r="AD749" s="39"/>
      <c r="AE749" s="39"/>
      <c r="AF749" s="39"/>
      <c r="AG749" s="39"/>
      <c r="AH749" s="65"/>
    </row>
    <row r="750" spans="1:34" x14ac:dyDescent="0.25">
      <c r="A750" s="105">
        <f t="shared" si="24"/>
        <v>39540</v>
      </c>
      <c r="B750" s="59">
        <f>SUM('Weekly Data'!D747:D750)/4</f>
        <v>1532.5</v>
      </c>
      <c r="C750" s="90">
        <f>SUM('Weekly Data'!E747:E750)/4</f>
        <v>2329.75</v>
      </c>
      <c r="D750" s="90">
        <f>SUM('Weekly Data'!F747:F750)/4</f>
        <v>598.5</v>
      </c>
      <c r="E750" s="90">
        <f>SUM('Weekly Data'!G747:G750)/4</f>
        <v>5926</v>
      </c>
      <c r="F750" s="90">
        <f>SUM('Weekly Data'!H747:H750)/4</f>
        <v>1046</v>
      </c>
      <c r="G750" s="90">
        <f>SUM('Weekly Data'!I747:I750)/4</f>
        <v>10834.25</v>
      </c>
      <c r="H750" s="90"/>
      <c r="I750" s="39"/>
      <c r="J750" s="101">
        <f>AVERAGE('Weekly Data'!D698,'Weekly Data'!D646,'Weekly Data'!D594,'Weekly Data'!D542)</f>
        <v>963.75</v>
      </c>
      <c r="K750" s="16">
        <f>AVERAGE('Weekly Data'!E698,'Weekly Data'!E646,'Weekly Data'!E594,'Weekly Data'!E542)</f>
        <v>1723.5</v>
      </c>
      <c r="L750" s="16">
        <f>AVERAGE('Weekly Data'!F698,'Weekly Data'!F646,'Weekly Data'!F594,'Weekly Data'!F542)</f>
        <v>1174.5</v>
      </c>
      <c r="M750" s="16">
        <f>AVERAGE('Weekly Data'!G698,'Weekly Data'!G646,'Weekly Data'!G594,'Weekly Data'!G542)</f>
        <v>4288.25</v>
      </c>
      <c r="N750" s="16">
        <f>AVERAGE('Weekly Data'!H698,'Weekly Data'!H646,'Weekly Data'!H594,'Weekly Data'!H542)</f>
        <v>295.75</v>
      </c>
      <c r="O750" s="101">
        <f>AVERAGE('Weekly Data'!I698,'Weekly Data'!I646,'Weekly Data'!I594,'Weekly Data'!I542)</f>
        <v>7271.25</v>
      </c>
      <c r="P750" s="203"/>
      <c r="Q750" s="39"/>
      <c r="R750" s="13">
        <v>39540</v>
      </c>
      <c r="S750" s="106">
        <f t="shared" si="28"/>
        <v>1081.5</v>
      </c>
      <c r="T750" s="106">
        <f t="shared" si="29"/>
        <v>2024.375</v>
      </c>
      <c r="U750" s="109">
        <f t="shared" si="30"/>
        <v>1093.75</v>
      </c>
      <c r="V750" s="109">
        <f t="shared" si="31"/>
        <v>4563.9375</v>
      </c>
      <c r="W750" s="110">
        <f t="shared" si="32"/>
        <v>356.5625</v>
      </c>
      <c r="X750" s="106">
        <f t="shared" si="33"/>
        <v>8026.375</v>
      </c>
      <c r="Y750" s="39"/>
      <c r="Z750" s="39"/>
      <c r="AA750" s="39"/>
      <c r="AB750" s="39"/>
      <c r="AC750" s="39"/>
      <c r="AD750" s="39"/>
      <c r="AE750" s="39"/>
      <c r="AF750" s="39"/>
      <c r="AG750" s="39"/>
      <c r="AH750" s="65"/>
    </row>
    <row r="751" spans="1:34" x14ac:dyDescent="0.25">
      <c r="A751" s="105">
        <f t="shared" si="24"/>
        <v>39547</v>
      </c>
      <c r="B751" s="59">
        <f>SUM('Weekly Data'!D748:D751)/4</f>
        <v>1428.75</v>
      </c>
      <c r="C751" s="90">
        <f>SUM('Weekly Data'!E748:E751)/4</f>
        <v>2313</v>
      </c>
      <c r="D751" s="90">
        <f>SUM('Weekly Data'!F748:F751)/4</f>
        <v>630.5</v>
      </c>
      <c r="E751" s="90">
        <f>SUM('Weekly Data'!G748:G751)/4</f>
        <v>5878.75</v>
      </c>
      <c r="F751" s="90">
        <f>SUM('Weekly Data'!H748:H751)/4</f>
        <v>938.25</v>
      </c>
      <c r="G751" s="90">
        <f>SUM('Weekly Data'!I748:I751)/4</f>
        <v>10558.75</v>
      </c>
      <c r="H751" s="90"/>
      <c r="I751" s="39"/>
      <c r="J751" s="101">
        <f>AVERAGE('Weekly Data'!D699,'Weekly Data'!D647,'Weekly Data'!D595,'Weekly Data'!D543)</f>
        <v>970.25</v>
      </c>
      <c r="K751" s="16">
        <f>AVERAGE('Weekly Data'!E699,'Weekly Data'!E647,'Weekly Data'!E595,'Weekly Data'!E543)</f>
        <v>1757.25</v>
      </c>
      <c r="L751" s="16">
        <f>AVERAGE('Weekly Data'!F699,'Weekly Data'!F647,'Weekly Data'!F595,'Weekly Data'!F543)</f>
        <v>1142.5</v>
      </c>
      <c r="M751" s="16">
        <f>AVERAGE('Weekly Data'!G699,'Weekly Data'!G647,'Weekly Data'!G595,'Weekly Data'!G543)</f>
        <v>3844.25</v>
      </c>
      <c r="N751" s="16">
        <f>AVERAGE('Weekly Data'!H699,'Weekly Data'!H647,'Weekly Data'!H595,'Weekly Data'!H543)</f>
        <v>227.75</v>
      </c>
      <c r="O751" s="101">
        <f>AVERAGE('Weekly Data'!I699,'Weekly Data'!I647,'Weekly Data'!I595,'Weekly Data'!I543)</f>
        <v>6799.5</v>
      </c>
      <c r="P751" s="203"/>
      <c r="Q751" s="39"/>
      <c r="R751" s="13">
        <v>39547</v>
      </c>
      <c r="S751" s="106">
        <f t="shared" si="28"/>
        <v>1003.0625</v>
      </c>
      <c r="T751" s="106">
        <f t="shared" si="29"/>
        <v>1849</v>
      </c>
      <c r="U751" s="109">
        <f t="shared" si="30"/>
        <v>1148.1875</v>
      </c>
      <c r="V751" s="109">
        <f t="shared" si="31"/>
        <v>4382.125</v>
      </c>
      <c r="W751" s="110">
        <f t="shared" si="32"/>
        <v>318.625</v>
      </c>
      <c r="X751" s="106">
        <f t="shared" si="33"/>
        <v>7552.8125</v>
      </c>
      <c r="Y751" s="39"/>
      <c r="Z751" s="39"/>
      <c r="AA751" s="39"/>
      <c r="AB751" s="39"/>
      <c r="AC751" s="39"/>
      <c r="AD751" s="39"/>
      <c r="AE751" s="39"/>
      <c r="AF751" s="39"/>
      <c r="AG751" s="39"/>
      <c r="AH751" s="65"/>
    </row>
    <row r="752" spans="1:34" x14ac:dyDescent="0.25">
      <c r="A752" s="105">
        <f t="shared" si="24"/>
        <v>39554</v>
      </c>
      <c r="B752" s="59">
        <f>SUM('Weekly Data'!D749:D752)/4</f>
        <v>1577.5</v>
      </c>
      <c r="C752" s="90">
        <f>SUM('Weekly Data'!E749:E752)/4</f>
        <v>2412</v>
      </c>
      <c r="D752" s="90">
        <f>SUM('Weekly Data'!F749:F752)/4</f>
        <v>731.75</v>
      </c>
      <c r="E752" s="90">
        <f>SUM('Weekly Data'!G749:G752)/4</f>
        <v>5972.75</v>
      </c>
      <c r="F752" s="90">
        <f>SUM('Weekly Data'!H749:H752)/4</f>
        <v>771.25</v>
      </c>
      <c r="G752" s="90">
        <f>SUM('Weekly Data'!I749:I752)/4</f>
        <v>10733.5</v>
      </c>
      <c r="H752" s="90"/>
      <c r="I752" s="39"/>
      <c r="J752" s="101">
        <f>AVERAGE('Weekly Data'!D700,'Weekly Data'!D648,'Weekly Data'!D596,'Weekly Data'!D544)</f>
        <v>509.25</v>
      </c>
      <c r="K752" s="16">
        <f>AVERAGE('Weekly Data'!E700,'Weekly Data'!E648,'Weekly Data'!E596,'Weekly Data'!E544)</f>
        <v>1788</v>
      </c>
      <c r="L752" s="16">
        <f>AVERAGE('Weekly Data'!F700,'Weekly Data'!F648,'Weekly Data'!F596,'Weekly Data'!F544)</f>
        <v>1136.5</v>
      </c>
      <c r="M752" s="16">
        <f>AVERAGE('Weekly Data'!G700,'Weekly Data'!G648,'Weekly Data'!G596,'Weekly Data'!G544)</f>
        <v>4003.75</v>
      </c>
      <c r="N752" s="16">
        <f>AVERAGE('Weekly Data'!H700,'Weekly Data'!H648,'Weekly Data'!H596,'Weekly Data'!H544)</f>
        <v>228.25</v>
      </c>
      <c r="O752" s="101">
        <f>AVERAGE('Weekly Data'!I700,'Weekly Data'!I648,'Weekly Data'!I596,'Weekly Data'!I544)</f>
        <v>6529.25</v>
      </c>
      <c r="P752" s="203"/>
      <c r="Q752" s="39"/>
      <c r="R752" s="13">
        <v>39554</v>
      </c>
      <c r="S752" s="106">
        <f t="shared" si="28"/>
        <v>830.0625</v>
      </c>
      <c r="T752" s="106">
        <f t="shared" si="29"/>
        <v>1853.5625</v>
      </c>
      <c r="U752" s="109">
        <f t="shared" si="30"/>
        <v>1116.25</v>
      </c>
      <c r="V752" s="109">
        <f t="shared" si="31"/>
        <v>4259.5</v>
      </c>
      <c r="W752" s="110">
        <f t="shared" si="32"/>
        <v>276.125</v>
      </c>
      <c r="X752" s="106">
        <f t="shared" si="33"/>
        <v>7219.25</v>
      </c>
      <c r="Y752" s="39"/>
      <c r="Z752" s="39"/>
      <c r="AA752" s="39"/>
      <c r="AB752" s="39"/>
      <c r="AC752" s="39"/>
      <c r="AD752" s="39"/>
      <c r="AE752" s="39"/>
      <c r="AF752" s="39"/>
      <c r="AG752" s="39"/>
      <c r="AH752" s="65"/>
    </row>
    <row r="753" spans="1:34" x14ac:dyDescent="0.25">
      <c r="A753" s="105">
        <f t="shared" si="24"/>
        <v>39561</v>
      </c>
      <c r="B753" s="59">
        <f>SUM('Weekly Data'!D750:D753)/4</f>
        <v>1550.5</v>
      </c>
      <c r="C753" s="90">
        <f>SUM('Weekly Data'!E750:E753)/4</f>
        <v>2368</v>
      </c>
      <c r="D753" s="90">
        <f>SUM('Weekly Data'!F750:F753)/4</f>
        <v>765.75</v>
      </c>
      <c r="E753" s="90">
        <f>SUM('Weekly Data'!G750:G753)/4</f>
        <v>5841.5</v>
      </c>
      <c r="F753" s="90">
        <f>SUM('Weekly Data'!H750:H753)/4</f>
        <v>644.25</v>
      </c>
      <c r="G753" s="90">
        <f>SUM('Weekly Data'!I750:I753)/4</f>
        <v>10404.25</v>
      </c>
      <c r="H753" s="90"/>
      <c r="I753" s="39"/>
      <c r="J753" s="101">
        <f>AVERAGE('Weekly Data'!D701,'Weekly Data'!D649,'Weekly Data'!D597,'Weekly Data'!D545)</f>
        <v>599.75</v>
      </c>
      <c r="K753" s="16">
        <f>AVERAGE('Weekly Data'!E701,'Weekly Data'!E649,'Weekly Data'!E597,'Weekly Data'!E545)</f>
        <v>1614.5</v>
      </c>
      <c r="L753" s="16">
        <f>AVERAGE('Weekly Data'!F701,'Weekly Data'!F649,'Weekly Data'!F597,'Weekly Data'!F545)</f>
        <v>1516</v>
      </c>
      <c r="M753" s="16">
        <f>AVERAGE('Weekly Data'!G701,'Weekly Data'!G649,'Weekly Data'!G597,'Weekly Data'!G545)</f>
        <v>4504.75</v>
      </c>
      <c r="N753" s="16">
        <f>AVERAGE('Weekly Data'!H701,'Weekly Data'!H649,'Weekly Data'!H597,'Weekly Data'!H545)</f>
        <v>238</v>
      </c>
      <c r="O753" s="101">
        <f>AVERAGE('Weekly Data'!I701,'Weekly Data'!I649,'Weekly Data'!I597,'Weekly Data'!I545)</f>
        <v>6957</v>
      </c>
      <c r="P753" s="203"/>
      <c r="Q753" s="39"/>
      <c r="R753" s="13">
        <v>39561</v>
      </c>
      <c r="S753" s="106">
        <f t="shared" si="28"/>
        <v>768.4375</v>
      </c>
      <c r="T753" s="106">
        <f t="shared" si="29"/>
        <v>1787.875</v>
      </c>
      <c r="U753" s="109">
        <f t="shared" si="30"/>
        <v>1181.6875</v>
      </c>
      <c r="V753" s="109">
        <f t="shared" si="31"/>
        <v>4116.625</v>
      </c>
      <c r="W753" s="110">
        <f t="shared" si="32"/>
        <v>249.125</v>
      </c>
      <c r="X753" s="106">
        <f t="shared" si="33"/>
        <v>6922.0625</v>
      </c>
      <c r="Y753" s="39"/>
      <c r="Z753" s="39"/>
      <c r="AA753" s="39"/>
      <c r="AB753" s="39"/>
      <c r="AC753" s="39"/>
      <c r="AD753" s="39"/>
      <c r="AE753" s="39"/>
      <c r="AF753" s="39"/>
      <c r="AG753" s="39"/>
      <c r="AH753" s="65"/>
    </row>
    <row r="754" spans="1:34" x14ac:dyDescent="0.25">
      <c r="A754" s="105">
        <f t="shared" si="24"/>
        <v>39568</v>
      </c>
      <c r="B754" s="59">
        <f>SUM('Weekly Data'!D751:D754)/4</f>
        <v>1469.25</v>
      </c>
      <c r="C754" s="90">
        <f>SUM('Weekly Data'!E751:E754)/4</f>
        <v>2228.75</v>
      </c>
      <c r="D754" s="90">
        <f>SUM('Weekly Data'!F751:F754)/4</f>
        <v>740.25</v>
      </c>
      <c r="E754" s="90">
        <f>SUM('Weekly Data'!G751:G754)/4</f>
        <v>5872.75</v>
      </c>
      <c r="F754" s="90">
        <f>SUM('Weekly Data'!H751:H754)/4</f>
        <v>630.75</v>
      </c>
      <c r="G754" s="90">
        <f>SUM('Weekly Data'!I751:I754)/4</f>
        <v>10201.5</v>
      </c>
      <c r="H754" s="90"/>
      <c r="I754" s="39"/>
      <c r="J754" s="101">
        <f>AVERAGE('Weekly Data'!D702,'Weekly Data'!D650,'Weekly Data'!D598,'Weekly Data'!D546)</f>
        <v>630</v>
      </c>
      <c r="K754" s="16">
        <f>AVERAGE('Weekly Data'!E702,'Weekly Data'!E650,'Weekly Data'!E598,'Weekly Data'!E546)</f>
        <v>1946.25</v>
      </c>
      <c r="L754" s="16">
        <f>AVERAGE('Weekly Data'!F702,'Weekly Data'!F650,'Weekly Data'!F598,'Weekly Data'!F546)</f>
        <v>1580</v>
      </c>
      <c r="M754" s="16">
        <f>AVERAGE('Weekly Data'!G702,'Weekly Data'!G650,'Weekly Data'!G598,'Weekly Data'!G546)</f>
        <v>4033</v>
      </c>
      <c r="N754" s="16">
        <f>AVERAGE('Weekly Data'!H702,'Weekly Data'!H650,'Weekly Data'!H598,'Weekly Data'!H546)</f>
        <v>237.75</v>
      </c>
      <c r="O754" s="101">
        <f>AVERAGE('Weekly Data'!I702,'Weekly Data'!I650,'Weekly Data'!I598,'Weekly Data'!I546)</f>
        <v>6847</v>
      </c>
      <c r="P754" s="203"/>
      <c r="Q754" s="39"/>
      <c r="R754" s="13">
        <v>39568</v>
      </c>
      <c r="S754" s="106">
        <f t="shared" si="28"/>
        <v>684.875</v>
      </c>
      <c r="T754" s="106">
        <f t="shared" si="29"/>
        <v>1763.375</v>
      </c>
      <c r="U754" s="109">
        <f t="shared" si="30"/>
        <v>1314.6875</v>
      </c>
      <c r="V754" s="109">
        <f t="shared" si="31"/>
        <v>4069.9375</v>
      </c>
      <c r="W754" s="110">
        <f t="shared" si="32"/>
        <v>228.875</v>
      </c>
      <c r="X754" s="106">
        <f t="shared" si="33"/>
        <v>6747.0625</v>
      </c>
      <c r="Y754" s="39"/>
      <c r="Z754" s="39"/>
      <c r="AA754" s="39"/>
      <c r="AB754" s="39"/>
      <c r="AC754" s="39"/>
      <c r="AD754" s="39"/>
      <c r="AE754" s="39"/>
      <c r="AF754" s="39"/>
      <c r="AG754" s="39"/>
      <c r="AH754" s="65"/>
    </row>
    <row r="755" spans="1:34" x14ac:dyDescent="0.25">
      <c r="A755" s="105">
        <f t="shared" si="24"/>
        <v>39575</v>
      </c>
      <c r="B755" s="59">
        <f>SUM('Weekly Data'!D752:D755)/4</f>
        <v>1332.5</v>
      </c>
      <c r="C755" s="90">
        <f>SUM('Weekly Data'!E752:E755)/4</f>
        <v>2197</v>
      </c>
      <c r="D755" s="90">
        <f>SUM('Weekly Data'!F752:F755)/4</f>
        <v>641.75</v>
      </c>
      <c r="E755" s="90">
        <f>SUM('Weekly Data'!G752:G755)/4</f>
        <v>6052.25</v>
      </c>
      <c r="F755" s="90">
        <f>SUM('Weekly Data'!H752:H755)/4</f>
        <v>700.75</v>
      </c>
      <c r="G755" s="90">
        <f>SUM('Weekly Data'!I752:I755)/4</f>
        <v>10282.5</v>
      </c>
      <c r="H755" s="90"/>
      <c r="I755" s="39"/>
      <c r="J755" s="101">
        <f>AVERAGE('Weekly Data'!D703,'Weekly Data'!D651,'Weekly Data'!D599,'Weekly Data'!D547)</f>
        <v>645.75</v>
      </c>
      <c r="K755" s="16">
        <f>AVERAGE('Weekly Data'!E703,'Weekly Data'!E651,'Weekly Data'!E599,'Weekly Data'!E547)</f>
        <v>1568.75</v>
      </c>
      <c r="L755" s="16">
        <f>AVERAGE('Weekly Data'!F703,'Weekly Data'!F651,'Weekly Data'!F599,'Weekly Data'!F547)</f>
        <v>1028</v>
      </c>
      <c r="M755" s="16">
        <f>AVERAGE('Weekly Data'!G703,'Weekly Data'!G651,'Weekly Data'!G599,'Weekly Data'!G547)</f>
        <v>4113.5</v>
      </c>
      <c r="N755" s="16">
        <f>AVERAGE('Weekly Data'!H703,'Weekly Data'!H651,'Weekly Data'!H599,'Weekly Data'!H547)</f>
        <v>205</v>
      </c>
      <c r="O755" s="101">
        <f>AVERAGE('Weekly Data'!I703,'Weekly Data'!I651,'Weekly Data'!I599,'Weekly Data'!I547)</f>
        <v>6533</v>
      </c>
      <c r="P755" s="203"/>
      <c r="Q755" s="39"/>
      <c r="R755" s="13">
        <v>39575</v>
      </c>
      <c r="S755" s="106">
        <f t="shared" si="28"/>
        <v>638.3125</v>
      </c>
      <c r="T755" s="106">
        <f t="shared" si="29"/>
        <v>1738.625</v>
      </c>
      <c r="U755" s="109">
        <f t="shared" si="30"/>
        <v>1291.25</v>
      </c>
      <c r="V755" s="109">
        <f t="shared" si="31"/>
        <v>4077.875</v>
      </c>
      <c r="W755" s="110">
        <f t="shared" si="32"/>
        <v>230.125</v>
      </c>
      <c r="X755" s="106">
        <f t="shared" si="33"/>
        <v>6684.9375</v>
      </c>
      <c r="Y755" s="39"/>
      <c r="Z755" s="39"/>
      <c r="AA755" s="39"/>
      <c r="AB755" s="39"/>
      <c r="AC755" s="39"/>
      <c r="AD755" s="39"/>
      <c r="AE755" s="39"/>
      <c r="AF755" s="39"/>
      <c r="AG755" s="39"/>
      <c r="AH755" s="65"/>
    </row>
    <row r="756" spans="1:34" x14ac:dyDescent="0.25">
      <c r="A756" s="105">
        <f t="shared" si="24"/>
        <v>39582</v>
      </c>
      <c r="B756" s="59">
        <f>SUM('Weekly Data'!D753:D756)/4</f>
        <v>1047.25</v>
      </c>
      <c r="C756" s="90">
        <f>SUM('Weekly Data'!E753:E756)/4</f>
        <v>1896.25</v>
      </c>
      <c r="D756" s="90">
        <f>SUM('Weekly Data'!F753:F756)/4</f>
        <v>703.25</v>
      </c>
      <c r="E756" s="90">
        <f>SUM('Weekly Data'!G753:G756)/4</f>
        <v>5788.25</v>
      </c>
      <c r="F756" s="90">
        <f>SUM('Weekly Data'!H753:H756)/4</f>
        <v>696.25</v>
      </c>
      <c r="G756" s="90">
        <f>SUM('Weekly Data'!I753:I756)/4</f>
        <v>9428</v>
      </c>
      <c r="H756" s="90"/>
      <c r="I756" s="39"/>
      <c r="J756" s="101">
        <f>AVERAGE('Weekly Data'!D704,'Weekly Data'!D652,'Weekly Data'!D600,'Weekly Data'!D548)</f>
        <v>455.25</v>
      </c>
      <c r="K756" s="16">
        <f>AVERAGE('Weekly Data'!E704,'Weekly Data'!E652,'Weekly Data'!E600,'Weekly Data'!E548)</f>
        <v>1471.5</v>
      </c>
      <c r="L756" s="16">
        <f>AVERAGE('Weekly Data'!F704,'Weekly Data'!F652,'Weekly Data'!F600,'Weekly Data'!F548)</f>
        <v>1206.25</v>
      </c>
      <c r="M756" s="16">
        <f>AVERAGE('Weekly Data'!G704,'Weekly Data'!G652,'Weekly Data'!G600,'Weekly Data'!G548)</f>
        <v>3922.75</v>
      </c>
      <c r="N756" s="16">
        <f>AVERAGE('Weekly Data'!H704,'Weekly Data'!H652,'Weekly Data'!H600,'Weekly Data'!H548)</f>
        <v>240.75</v>
      </c>
      <c r="O756" s="101">
        <f>AVERAGE('Weekly Data'!I704,'Weekly Data'!I652,'Weekly Data'!I600,'Weekly Data'!I548)</f>
        <v>6090.25</v>
      </c>
      <c r="P756" s="203"/>
      <c r="Q756" s="39"/>
      <c r="R756" s="13">
        <v>39582</v>
      </c>
      <c r="S756" s="106">
        <f t="shared" si="28"/>
        <v>596.125</v>
      </c>
      <c r="T756" s="106">
        <f t="shared" si="29"/>
        <v>1651.375</v>
      </c>
      <c r="U756" s="109">
        <f t="shared" si="30"/>
        <v>1341.9375</v>
      </c>
      <c r="V756" s="109">
        <f t="shared" si="31"/>
        <v>4101.4375</v>
      </c>
      <c r="W756" s="110">
        <f t="shared" si="32"/>
        <v>221.125</v>
      </c>
      <c r="X756" s="106">
        <f t="shared" si="33"/>
        <v>6570.0625</v>
      </c>
      <c r="Y756" s="39"/>
      <c r="Z756" s="39"/>
      <c r="AA756" s="39"/>
      <c r="AB756" s="39"/>
      <c r="AC756" s="39"/>
      <c r="AD756" s="39"/>
      <c r="AE756" s="39"/>
      <c r="AF756" s="39"/>
      <c r="AG756" s="39"/>
      <c r="AH756" s="65"/>
    </row>
    <row r="757" spans="1:34" x14ac:dyDescent="0.25">
      <c r="A757" s="105">
        <f t="shared" si="24"/>
        <v>39589</v>
      </c>
      <c r="B757" s="59">
        <f>SUM('Weekly Data'!D754:D757)/4</f>
        <v>964.75</v>
      </c>
      <c r="C757" s="90">
        <f>SUM('Weekly Data'!E754:E757)/4</f>
        <v>1750</v>
      </c>
      <c r="D757" s="90">
        <f>SUM('Weekly Data'!F754:F757)/4</f>
        <v>631</v>
      </c>
      <c r="E757" s="90">
        <f>SUM('Weekly Data'!G754:G757)/4</f>
        <v>5727.25</v>
      </c>
      <c r="F757" s="90">
        <f>SUM('Weekly Data'!H754:H757)/4</f>
        <v>672</v>
      </c>
      <c r="G757" s="90">
        <f>SUM('Weekly Data'!I754:I757)/4</f>
        <v>9114</v>
      </c>
      <c r="H757" s="90"/>
      <c r="I757" s="39"/>
      <c r="J757" s="101">
        <f>AVERAGE('Weekly Data'!D705,'Weekly Data'!D653,'Weekly Data'!D601,'Weekly Data'!D549)</f>
        <v>459.5</v>
      </c>
      <c r="K757" s="16">
        <f>AVERAGE('Weekly Data'!E705,'Weekly Data'!E653,'Weekly Data'!E601,'Weekly Data'!E549)</f>
        <v>1673</v>
      </c>
      <c r="L757" s="16">
        <f>AVERAGE('Weekly Data'!F705,'Weekly Data'!F653,'Weekly Data'!F601,'Weekly Data'!F549)</f>
        <v>997.75</v>
      </c>
      <c r="M757" s="16">
        <f>AVERAGE('Weekly Data'!G705,'Weekly Data'!G653,'Weekly Data'!G601,'Weekly Data'!G549)</f>
        <v>4302</v>
      </c>
      <c r="N757" s="16">
        <f>AVERAGE('Weekly Data'!H705,'Weekly Data'!H653,'Weekly Data'!H601,'Weekly Data'!H549)</f>
        <v>237.25</v>
      </c>
      <c r="O757" s="101">
        <f>AVERAGE('Weekly Data'!I705,'Weekly Data'!I653,'Weekly Data'!I601,'Weekly Data'!I549)</f>
        <v>6671.75</v>
      </c>
      <c r="P757" s="203"/>
      <c r="Q757" s="39"/>
      <c r="R757" s="13">
        <v>39589</v>
      </c>
      <c r="S757" s="106">
        <f t="shared" si="28"/>
        <v>536.8125</v>
      </c>
      <c r="T757" s="106">
        <f t="shared" si="29"/>
        <v>1645.4375</v>
      </c>
      <c r="U757" s="109">
        <f t="shared" si="30"/>
        <v>1251.4375</v>
      </c>
      <c r="V757" s="109">
        <f t="shared" si="31"/>
        <v>4114.75</v>
      </c>
      <c r="W757" s="110">
        <f t="shared" si="32"/>
        <v>220.75</v>
      </c>
      <c r="X757" s="106">
        <f t="shared" si="33"/>
        <v>6517.75</v>
      </c>
      <c r="Y757" s="39"/>
      <c r="Z757" s="39"/>
      <c r="AA757" s="39"/>
      <c r="AB757" s="39"/>
      <c r="AC757" s="39"/>
      <c r="AD757" s="39"/>
      <c r="AE757" s="39"/>
      <c r="AF757" s="39"/>
      <c r="AG757" s="39"/>
      <c r="AH757" s="65"/>
    </row>
    <row r="758" spans="1:34" x14ac:dyDescent="0.25">
      <c r="A758" s="105">
        <f t="shared" si="24"/>
        <v>39596</v>
      </c>
      <c r="B758" s="59">
        <f>SUM('Weekly Data'!D755:D758)/4</f>
        <v>902.25</v>
      </c>
      <c r="C758" s="90">
        <f>SUM('Weekly Data'!E755:E758)/4</f>
        <v>1606.25</v>
      </c>
      <c r="D758" s="90">
        <f>SUM('Weekly Data'!F755:F758)/4</f>
        <v>683.25</v>
      </c>
      <c r="E758" s="90">
        <f>SUM('Weekly Data'!G755:G758)/4</f>
        <v>5739.5</v>
      </c>
      <c r="F758" s="90">
        <f>SUM('Weekly Data'!H755:H758)/4</f>
        <v>565.5</v>
      </c>
      <c r="G758" s="90">
        <f>SUM('Weekly Data'!I755:I758)/4</f>
        <v>8813.5</v>
      </c>
      <c r="H758" s="90"/>
      <c r="I758" s="39"/>
      <c r="J758" s="101">
        <f>AVERAGE('Weekly Data'!D706,'Weekly Data'!D654,'Weekly Data'!D602,'Weekly Data'!D550)</f>
        <v>609.5</v>
      </c>
      <c r="K758" s="16">
        <f>AVERAGE('Weekly Data'!E706,'Weekly Data'!E654,'Weekly Data'!E602,'Weekly Data'!E550)</f>
        <v>1298.75</v>
      </c>
      <c r="L758" s="16">
        <f>AVERAGE('Weekly Data'!F706,'Weekly Data'!F654,'Weekly Data'!F602,'Weekly Data'!F550)</f>
        <v>1039.5</v>
      </c>
      <c r="M758" s="16">
        <f>AVERAGE('Weekly Data'!G706,'Weekly Data'!G654,'Weekly Data'!G602,'Weekly Data'!G550)</f>
        <v>4345.75</v>
      </c>
      <c r="N758" s="16">
        <f>AVERAGE('Weekly Data'!H706,'Weekly Data'!H654,'Weekly Data'!H602,'Weekly Data'!H550)</f>
        <v>145.25</v>
      </c>
      <c r="O758" s="101">
        <f>AVERAGE('Weekly Data'!I706,'Weekly Data'!I654,'Weekly Data'!I602,'Weekly Data'!I550)</f>
        <v>6399.25</v>
      </c>
      <c r="P758" s="203"/>
      <c r="Q758" s="39"/>
      <c r="R758" s="13">
        <v>39596</v>
      </c>
      <c r="S758" s="106">
        <f t="shared" si="28"/>
        <v>544.6875</v>
      </c>
      <c r="T758" s="106">
        <f t="shared" si="29"/>
        <v>1523.5625</v>
      </c>
      <c r="U758" s="109">
        <f t="shared" si="30"/>
        <v>1107.25</v>
      </c>
      <c r="V758" s="109">
        <f t="shared" si="31"/>
        <v>4133.0625</v>
      </c>
      <c r="W758" s="110">
        <f t="shared" si="32"/>
        <v>211.0625</v>
      </c>
      <c r="X758" s="106">
        <f t="shared" si="33"/>
        <v>6412.375</v>
      </c>
      <c r="Y758" s="39"/>
      <c r="Z758" s="39"/>
      <c r="AA758" s="39"/>
      <c r="AB758" s="39"/>
      <c r="AC758" s="39"/>
      <c r="AD758" s="39"/>
      <c r="AE758" s="39"/>
      <c r="AF758" s="39"/>
      <c r="AG758" s="39"/>
      <c r="AH758" s="65"/>
    </row>
    <row r="759" spans="1:34" x14ac:dyDescent="0.25">
      <c r="A759" s="105">
        <f t="shared" si="24"/>
        <v>39603</v>
      </c>
      <c r="B759" s="59">
        <f>SUM('Weekly Data'!D756:D759)/4</f>
        <v>835</v>
      </c>
      <c r="C759" s="90">
        <f>SUM('Weekly Data'!E756:E759)/4</f>
        <v>1604</v>
      </c>
      <c r="D759" s="90">
        <f>SUM('Weekly Data'!F756:F759)/4</f>
        <v>723.25</v>
      </c>
      <c r="E759" s="90">
        <f>SUM('Weekly Data'!G756:G759)/4</f>
        <v>5517</v>
      </c>
      <c r="F759" s="90">
        <f>SUM('Weekly Data'!H756:H759)/4</f>
        <v>346</v>
      </c>
      <c r="G759" s="90">
        <f>SUM('Weekly Data'!I756:I759)/4</f>
        <v>8302</v>
      </c>
      <c r="H759" s="90"/>
      <c r="I759" s="39"/>
      <c r="J759" s="101">
        <f>AVERAGE('Weekly Data'!D707,'Weekly Data'!D655,'Weekly Data'!D603,'Weekly Data'!D551)</f>
        <v>604.75</v>
      </c>
      <c r="K759" s="16">
        <f>AVERAGE('Weekly Data'!E707,'Weekly Data'!E655,'Weekly Data'!E603,'Weekly Data'!E551)</f>
        <v>1575.25</v>
      </c>
      <c r="L759" s="16">
        <f>AVERAGE('Weekly Data'!F707,'Weekly Data'!F655,'Weekly Data'!F603,'Weekly Data'!F551)</f>
        <v>1031.5</v>
      </c>
      <c r="M759" s="16">
        <f>AVERAGE('Weekly Data'!G707,'Weekly Data'!G655,'Weekly Data'!G603,'Weekly Data'!G551)</f>
        <v>3602</v>
      </c>
      <c r="N759" s="16">
        <f>AVERAGE('Weekly Data'!H707,'Weekly Data'!H655,'Weekly Data'!H603,'Weekly Data'!H551)</f>
        <v>85.75</v>
      </c>
      <c r="O759" s="101">
        <f>AVERAGE('Weekly Data'!I707,'Weekly Data'!I655,'Weekly Data'!I603,'Weekly Data'!I551)</f>
        <v>5867.75</v>
      </c>
      <c r="P759" s="203"/>
      <c r="Q759" s="39"/>
      <c r="R759" s="13">
        <v>39603</v>
      </c>
      <c r="S759" s="106">
        <f t="shared" si="28"/>
        <v>518.5625</v>
      </c>
      <c r="T759" s="106">
        <f t="shared" si="29"/>
        <v>1482.4375</v>
      </c>
      <c r="U759" s="109">
        <f t="shared" si="30"/>
        <v>1098.0625</v>
      </c>
      <c r="V759" s="109">
        <f t="shared" si="31"/>
        <v>4057.0625</v>
      </c>
      <c r="W759" s="110">
        <f t="shared" si="32"/>
        <v>176.375</v>
      </c>
      <c r="X759" s="106">
        <f t="shared" si="33"/>
        <v>6234.4375</v>
      </c>
      <c r="Y759" s="39"/>
      <c r="Z759" s="39"/>
      <c r="AA759" s="39"/>
      <c r="AB759" s="39"/>
      <c r="AC759" s="39"/>
      <c r="AD759" s="39"/>
      <c r="AE759" s="39"/>
      <c r="AF759" s="39"/>
      <c r="AG759" s="39"/>
      <c r="AH759" s="65"/>
    </row>
    <row r="760" spans="1:34" x14ac:dyDescent="0.25">
      <c r="A760" s="105">
        <f t="shared" si="24"/>
        <v>39610</v>
      </c>
      <c r="B760" s="59">
        <f>SUM('Weekly Data'!D757:D760)/4</f>
        <v>640</v>
      </c>
      <c r="C760" s="90">
        <f>SUM('Weekly Data'!E757:E760)/4</f>
        <v>1798.25</v>
      </c>
      <c r="D760" s="90">
        <f>SUM('Weekly Data'!F757:F760)/4</f>
        <v>570.75</v>
      </c>
      <c r="E760" s="90">
        <f>SUM('Weekly Data'!G757:G760)/4</f>
        <v>5650.75</v>
      </c>
      <c r="F760" s="90">
        <f>SUM('Weekly Data'!H757:H760)/4</f>
        <v>255.5</v>
      </c>
      <c r="G760" s="90">
        <f>SUM('Weekly Data'!I757:I760)/4</f>
        <v>8344.5</v>
      </c>
      <c r="H760" s="90"/>
      <c r="I760" s="39"/>
      <c r="J760" s="101">
        <f>AVERAGE('Weekly Data'!D708,'Weekly Data'!D656,'Weekly Data'!D604,'Weekly Data'!D552)</f>
        <v>515.75</v>
      </c>
      <c r="K760" s="16">
        <f>AVERAGE('Weekly Data'!E708,'Weekly Data'!E656,'Weekly Data'!E604,'Weekly Data'!E552)</f>
        <v>2136.75</v>
      </c>
      <c r="L760" s="16">
        <f>AVERAGE('Weekly Data'!F708,'Weekly Data'!F656,'Weekly Data'!F604,'Weekly Data'!F552)</f>
        <v>595.25</v>
      </c>
      <c r="M760" s="16">
        <f>AVERAGE('Weekly Data'!G708,'Weekly Data'!G656,'Weekly Data'!G604,'Weekly Data'!G552)</f>
        <v>3769.5</v>
      </c>
      <c r="N760" s="16">
        <f>AVERAGE('Weekly Data'!H708,'Weekly Data'!H656,'Weekly Data'!H604,'Weekly Data'!H552)</f>
        <v>202.25</v>
      </c>
      <c r="O760" s="101">
        <f>AVERAGE('Weekly Data'!I708,'Weekly Data'!I656,'Weekly Data'!I604,'Weekly Data'!I552)</f>
        <v>6624.25</v>
      </c>
      <c r="P760" s="203"/>
      <c r="Q760" s="39"/>
      <c r="R760" s="13">
        <v>39610</v>
      </c>
      <c r="S760" s="106">
        <f t="shared" si="28"/>
        <v>547.75</v>
      </c>
      <c r="T760" s="106">
        <f t="shared" si="29"/>
        <v>1659.5625</v>
      </c>
      <c r="U760" s="109">
        <f t="shared" si="30"/>
        <v>929.25</v>
      </c>
      <c r="V760" s="109">
        <f t="shared" si="31"/>
        <v>3970.5625</v>
      </c>
      <c r="W760" s="110">
        <f t="shared" si="32"/>
        <v>170.25</v>
      </c>
      <c r="X760" s="106">
        <f t="shared" si="33"/>
        <v>6348.125</v>
      </c>
      <c r="Y760" s="39"/>
      <c r="Z760" s="39"/>
      <c r="AA760" s="39"/>
      <c r="AB760" s="39"/>
      <c r="AC760" s="39"/>
      <c r="AD760" s="39"/>
      <c r="AE760" s="39"/>
      <c r="AF760" s="39"/>
      <c r="AG760" s="39"/>
      <c r="AH760" s="65"/>
    </row>
    <row r="761" spans="1:34" x14ac:dyDescent="0.25">
      <c r="A761" s="105">
        <f t="shared" si="24"/>
        <v>39617</v>
      </c>
      <c r="B761" s="59">
        <f>SUM('Weekly Data'!D758:D761)/4</f>
        <v>547.5</v>
      </c>
      <c r="C761" s="90">
        <f>SUM('Weekly Data'!E758:E761)/4</f>
        <v>1958.5</v>
      </c>
      <c r="D761" s="90">
        <f>SUM('Weekly Data'!F758:F761)/4</f>
        <v>542.75</v>
      </c>
      <c r="E761" s="90">
        <f>SUM('Weekly Data'!G758:G761)/4</f>
        <v>5443.5</v>
      </c>
      <c r="F761" s="90">
        <f>SUM('Weekly Data'!H758:H761)/4</f>
        <v>169.25</v>
      </c>
      <c r="G761" s="90">
        <f>SUM('Weekly Data'!I758:I761)/4</f>
        <v>8118.75</v>
      </c>
      <c r="H761" s="90"/>
      <c r="I761" s="39"/>
      <c r="J761" s="101">
        <f>AVERAGE('Weekly Data'!D709,'Weekly Data'!D657,'Weekly Data'!D605,'Weekly Data'!D553)</f>
        <v>501.75</v>
      </c>
      <c r="K761" s="16">
        <f>AVERAGE('Weekly Data'!E709,'Weekly Data'!E657,'Weekly Data'!E605,'Weekly Data'!E553)</f>
        <v>1539.25</v>
      </c>
      <c r="L761" s="16">
        <f>AVERAGE('Weekly Data'!F709,'Weekly Data'!F657,'Weekly Data'!F605,'Weekly Data'!F553)</f>
        <v>739</v>
      </c>
      <c r="M761" s="16">
        <f>AVERAGE('Weekly Data'!G709,'Weekly Data'!G657,'Weekly Data'!G605,'Weekly Data'!G553)</f>
        <v>3675</v>
      </c>
      <c r="N761" s="16">
        <f>AVERAGE('Weekly Data'!H709,'Weekly Data'!H657,'Weekly Data'!H605,'Weekly Data'!H553)</f>
        <v>228</v>
      </c>
      <c r="O761" s="101">
        <f>AVERAGE('Weekly Data'!I709,'Weekly Data'!I657,'Weekly Data'!I605,'Weekly Data'!I553)</f>
        <v>5944</v>
      </c>
      <c r="P761" s="203"/>
      <c r="Q761" s="39"/>
      <c r="R761" s="13">
        <v>39617</v>
      </c>
      <c r="S761" s="106">
        <f t="shared" si="28"/>
        <v>558.625</v>
      </c>
      <c r="T761" s="106">
        <f t="shared" si="29"/>
        <v>1632.75</v>
      </c>
      <c r="U761" s="109">
        <f t="shared" si="30"/>
        <v>895.625</v>
      </c>
      <c r="V761" s="109">
        <f t="shared" si="31"/>
        <v>3916.3125</v>
      </c>
      <c r="W761" s="110">
        <f t="shared" si="32"/>
        <v>167.8125</v>
      </c>
      <c r="X761" s="106">
        <f t="shared" si="33"/>
        <v>6275.5</v>
      </c>
      <c r="Y761" s="39"/>
      <c r="Z761" s="39"/>
      <c r="AA761" s="39"/>
      <c r="AB761" s="39"/>
      <c r="AC761" s="39"/>
      <c r="AD761" s="39"/>
      <c r="AE761" s="39"/>
      <c r="AF761" s="39"/>
      <c r="AG761" s="39"/>
      <c r="AH761" s="65"/>
    </row>
    <row r="762" spans="1:34" x14ac:dyDescent="0.25">
      <c r="A762" s="105">
        <f t="shared" si="24"/>
        <v>39624</v>
      </c>
      <c r="B762" s="59">
        <f>SUM('Weekly Data'!D759:D762)/4</f>
        <v>573.75</v>
      </c>
      <c r="C762" s="90">
        <f>SUM('Weekly Data'!E759:E762)/4</f>
        <v>2165.25</v>
      </c>
      <c r="D762" s="90">
        <f>SUM('Weekly Data'!F759:F762)/4</f>
        <v>372.25</v>
      </c>
      <c r="E762" s="90">
        <f>SUM('Weekly Data'!G759:G762)/4</f>
        <v>5335.75</v>
      </c>
      <c r="F762" s="90">
        <f>SUM('Weekly Data'!H759:H762)/4</f>
        <v>143.75</v>
      </c>
      <c r="G762" s="90">
        <f>SUM('Weekly Data'!I759:I762)/4</f>
        <v>8218.5</v>
      </c>
      <c r="H762" s="90"/>
      <c r="I762" s="39"/>
      <c r="J762" s="101">
        <f>AVERAGE('Weekly Data'!D710,'Weekly Data'!D658,'Weekly Data'!D606,'Weekly Data'!D554)</f>
        <v>448</v>
      </c>
      <c r="K762" s="16">
        <f>AVERAGE('Weekly Data'!E710,'Weekly Data'!E658,'Weekly Data'!E606,'Weekly Data'!E554)</f>
        <v>2038.25</v>
      </c>
      <c r="L762" s="16">
        <f>AVERAGE('Weekly Data'!F710,'Weekly Data'!F658,'Weekly Data'!F606,'Weekly Data'!F554)</f>
        <v>803.5</v>
      </c>
      <c r="M762" s="16">
        <f>AVERAGE('Weekly Data'!G710,'Weekly Data'!G658,'Weekly Data'!G606,'Weekly Data'!G554)</f>
        <v>3972.75</v>
      </c>
      <c r="N762" s="16">
        <f>AVERAGE('Weekly Data'!H710,'Weekly Data'!H658,'Weekly Data'!H606,'Weekly Data'!H554)</f>
        <v>146</v>
      </c>
      <c r="O762" s="101">
        <f>AVERAGE('Weekly Data'!I710,'Weekly Data'!I658,'Weekly Data'!I606,'Weekly Data'!I554)</f>
        <v>6605</v>
      </c>
      <c r="P762" s="203"/>
      <c r="Q762" s="39"/>
      <c r="R762" s="13">
        <v>39624</v>
      </c>
      <c r="S762" s="106">
        <f t="shared" si="28"/>
        <v>541.1875</v>
      </c>
      <c r="T762" s="106">
        <f t="shared" si="29"/>
        <v>1800.0625</v>
      </c>
      <c r="U762" s="109">
        <f t="shared" si="30"/>
        <v>775.25</v>
      </c>
      <c r="V762" s="109">
        <f t="shared" si="31"/>
        <v>3854.75</v>
      </c>
      <c r="W762" s="110">
        <f t="shared" si="32"/>
        <v>162.25</v>
      </c>
      <c r="X762" s="106">
        <f t="shared" si="33"/>
        <v>6358.25</v>
      </c>
      <c r="Y762" s="39"/>
      <c r="Z762" s="39"/>
      <c r="AA762" s="39"/>
      <c r="AB762" s="39"/>
      <c r="AC762" s="39"/>
      <c r="AD762" s="39"/>
      <c r="AE762" s="39"/>
      <c r="AF762" s="39"/>
      <c r="AG762" s="39"/>
      <c r="AH762" s="65"/>
    </row>
    <row r="763" spans="1:34" x14ac:dyDescent="0.25">
      <c r="A763" s="105">
        <f t="shared" si="24"/>
        <v>39631</v>
      </c>
      <c r="B763" s="59">
        <f>SUM('Weekly Data'!D760:D763)/4</f>
        <v>845.25</v>
      </c>
      <c r="C763" s="90">
        <f>SUM('Weekly Data'!E760:E763)/4</f>
        <v>2192.5</v>
      </c>
      <c r="D763" s="90">
        <f>SUM('Weekly Data'!F760:F763)/4</f>
        <v>393.25</v>
      </c>
      <c r="E763" s="90">
        <f>SUM('Weekly Data'!G760:G763)/4</f>
        <v>5159.25</v>
      </c>
      <c r="F763" s="90">
        <f>SUM('Weekly Data'!H760:H763)/4</f>
        <v>227.25</v>
      </c>
      <c r="G763" s="90">
        <f>SUM('Weekly Data'!I760:I763)/4</f>
        <v>8424.25</v>
      </c>
      <c r="H763" s="90"/>
      <c r="I763" s="39"/>
      <c r="J763" s="101">
        <f>AVERAGE('Weekly Data'!D711,'Weekly Data'!D659,'Weekly Data'!D607,'Weekly Data'!D555)</f>
        <v>541.5</v>
      </c>
      <c r="K763" s="16">
        <f>AVERAGE('Weekly Data'!E711,'Weekly Data'!E659,'Weekly Data'!E607,'Weekly Data'!E555)</f>
        <v>1650.5</v>
      </c>
      <c r="L763" s="16">
        <f>AVERAGE('Weekly Data'!F711,'Weekly Data'!F659,'Weekly Data'!F607,'Weekly Data'!F555)</f>
        <v>772.25</v>
      </c>
      <c r="M763" s="16">
        <f>AVERAGE('Weekly Data'!G711,'Weekly Data'!G659,'Weekly Data'!G607,'Weekly Data'!G555)</f>
        <v>3056.25</v>
      </c>
      <c r="N763" s="16">
        <f>AVERAGE('Weekly Data'!H711,'Weekly Data'!H659,'Weekly Data'!H607,'Weekly Data'!H555)</f>
        <v>207.5</v>
      </c>
      <c r="O763" s="101">
        <f>AVERAGE('Weekly Data'!I711,'Weekly Data'!I659,'Weekly Data'!I607,'Weekly Data'!I555)</f>
        <v>5455.75</v>
      </c>
      <c r="P763" s="203"/>
      <c r="Q763" s="39"/>
      <c r="R763" s="13">
        <v>39631</v>
      </c>
      <c r="S763" s="106">
        <f t="shared" si="28"/>
        <v>515.75</v>
      </c>
      <c r="T763" s="106">
        <f t="shared" si="29"/>
        <v>1888.0625</v>
      </c>
      <c r="U763" s="109">
        <f t="shared" si="30"/>
        <v>759.25</v>
      </c>
      <c r="V763" s="109">
        <f t="shared" si="31"/>
        <v>3645.6875</v>
      </c>
      <c r="W763" s="110">
        <f t="shared" si="32"/>
        <v>189.4375</v>
      </c>
      <c r="X763" s="106">
        <f t="shared" si="33"/>
        <v>6238.9375</v>
      </c>
      <c r="Y763" s="39"/>
      <c r="Z763" s="39"/>
      <c r="AA763" s="39"/>
      <c r="AB763" s="39"/>
      <c r="AC763" s="39"/>
      <c r="AD763" s="39"/>
      <c r="AE763" s="39"/>
      <c r="AF763" s="39"/>
      <c r="AG763" s="39"/>
      <c r="AH763" s="65"/>
    </row>
    <row r="764" spans="1:34" x14ac:dyDescent="0.25">
      <c r="A764" s="105">
        <f t="shared" si="24"/>
        <v>39638</v>
      </c>
      <c r="B764" s="59">
        <f>SUM('Weekly Data'!D761:D764)/4</f>
        <v>1102.5</v>
      </c>
      <c r="C764" s="90">
        <f>SUM('Weekly Data'!E761:E764)/4</f>
        <v>2461.25</v>
      </c>
      <c r="D764" s="90">
        <f>SUM('Weekly Data'!F761:F764)/4</f>
        <v>468.75</v>
      </c>
      <c r="E764" s="90">
        <f>SUM('Weekly Data'!G761:G764)/4</f>
        <v>4823.5</v>
      </c>
      <c r="F764" s="90">
        <f>SUM('Weekly Data'!H761:H764)/4</f>
        <v>264.5</v>
      </c>
      <c r="G764" s="90">
        <f>SUM('Weekly Data'!I761:I764)/4</f>
        <v>8651.75</v>
      </c>
      <c r="H764" s="90"/>
      <c r="I764" s="39"/>
      <c r="J764" s="101">
        <f>AVERAGE('Weekly Data'!D712,'Weekly Data'!D660,'Weekly Data'!D608,'Weekly Data'!D556)</f>
        <v>559.25</v>
      </c>
      <c r="K764" s="16">
        <f>AVERAGE('Weekly Data'!E712,'Weekly Data'!E660,'Weekly Data'!E608,'Weekly Data'!E556)</f>
        <v>1791</v>
      </c>
      <c r="L764" s="16">
        <f>AVERAGE('Weekly Data'!F712,'Weekly Data'!F660,'Weekly Data'!F608,'Weekly Data'!F556)</f>
        <v>1104.25</v>
      </c>
      <c r="M764" s="16">
        <f>AVERAGE('Weekly Data'!G712,'Weekly Data'!G660,'Weekly Data'!G608,'Weekly Data'!G556)</f>
        <v>3514</v>
      </c>
      <c r="N764" s="16">
        <f>AVERAGE('Weekly Data'!H712,'Weekly Data'!H660,'Weekly Data'!H608,'Weekly Data'!H556)</f>
        <v>207.75</v>
      </c>
      <c r="O764" s="101">
        <f>AVERAGE('Weekly Data'!I712,'Weekly Data'!I660,'Weekly Data'!I608,'Weekly Data'!I556)</f>
        <v>6072</v>
      </c>
      <c r="P764" s="203"/>
      <c r="Q764" s="39"/>
      <c r="R764" s="13">
        <v>39638</v>
      </c>
      <c r="S764" s="106">
        <f t="shared" si="28"/>
        <v>506.5625</v>
      </c>
      <c r="T764" s="106">
        <f t="shared" si="29"/>
        <v>1784.625</v>
      </c>
      <c r="U764" s="109">
        <f t="shared" si="30"/>
        <v>848.125</v>
      </c>
      <c r="V764" s="109">
        <f t="shared" si="31"/>
        <v>3630.1875</v>
      </c>
      <c r="W764" s="110">
        <f t="shared" si="32"/>
        <v>198.75</v>
      </c>
      <c r="X764" s="106">
        <f t="shared" si="33"/>
        <v>6120.125</v>
      </c>
      <c r="Y764" s="39"/>
      <c r="Z764" s="39"/>
      <c r="AA764" s="39"/>
      <c r="AB764" s="39"/>
      <c r="AC764" s="39"/>
      <c r="AD764" s="39"/>
      <c r="AE764" s="39"/>
      <c r="AF764" s="39"/>
      <c r="AG764" s="39"/>
      <c r="AH764" s="65"/>
    </row>
    <row r="765" spans="1:34" x14ac:dyDescent="0.25">
      <c r="A765" s="105">
        <f t="shared" si="24"/>
        <v>39645</v>
      </c>
      <c r="B765" s="59">
        <f>SUM('Weekly Data'!D762:D765)/4</f>
        <v>1370</v>
      </c>
      <c r="C765" s="90">
        <f>SUM('Weekly Data'!E762:E765)/4</f>
        <v>2810</v>
      </c>
      <c r="D765" s="90">
        <f>SUM('Weekly Data'!F762:F765)/4</f>
        <v>413.5</v>
      </c>
      <c r="E765" s="90">
        <f>SUM('Weekly Data'!G762:G765)/4</f>
        <v>4807.25</v>
      </c>
      <c r="F765" s="90">
        <f>SUM('Weekly Data'!H762:H765)/4</f>
        <v>423.5</v>
      </c>
      <c r="G765" s="90">
        <f>SUM('Weekly Data'!I762:I765)/4</f>
        <v>9410.75</v>
      </c>
      <c r="H765" s="90"/>
      <c r="I765" s="39"/>
      <c r="J765" s="101">
        <f>AVERAGE('Weekly Data'!D713,'Weekly Data'!D661,'Weekly Data'!D609,'Weekly Data'!D557)</f>
        <v>813.25</v>
      </c>
      <c r="K765" s="16">
        <f>AVERAGE('Weekly Data'!E713,'Weekly Data'!E661,'Weekly Data'!E609,'Weekly Data'!E557)</f>
        <v>1540.5</v>
      </c>
      <c r="L765" s="16">
        <f>AVERAGE('Weekly Data'!F713,'Weekly Data'!F661,'Weekly Data'!F609,'Weekly Data'!F557)</f>
        <v>755</v>
      </c>
      <c r="M765" s="16">
        <f>AVERAGE('Weekly Data'!G713,'Weekly Data'!G661,'Weekly Data'!G609,'Weekly Data'!G557)</f>
        <v>3451</v>
      </c>
      <c r="N765" s="16">
        <f>AVERAGE('Weekly Data'!H713,'Weekly Data'!H661,'Weekly Data'!H609,'Weekly Data'!H557)</f>
        <v>197.25</v>
      </c>
      <c r="O765" s="101">
        <f>AVERAGE('Weekly Data'!I713,'Weekly Data'!I661,'Weekly Data'!I609,'Weekly Data'!I557)</f>
        <v>6002</v>
      </c>
      <c r="P765" s="203"/>
      <c r="Q765" s="39"/>
      <c r="R765" s="13">
        <v>39645</v>
      </c>
      <c r="S765" s="106">
        <f t="shared" si="28"/>
        <v>592.6875</v>
      </c>
      <c r="T765" s="106">
        <f t="shared" si="29"/>
        <v>1787.6875</v>
      </c>
      <c r="U765" s="109">
        <f t="shared" si="30"/>
        <v>838</v>
      </c>
      <c r="V765" s="109">
        <f t="shared" si="31"/>
        <v>3476.5625</v>
      </c>
      <c r="W765" s="110">
        <f t="shared" si="32"/>
        <v>196.9375</v>
      </c>
      <c r="X765" s="106">
        <f t="shared" si="33"/>
        <v>6053.875</v>
      </c>
      <c r="Y765" s="39"/>
      <c r="Z765" s="39"/>
      <c r="AA765" s="39"/>
      <c r="AB765" s="39"/>
      <c r="AC765" s="39"/>
      <c r="AD765" s="39"/>
      <c r="AE765" s="39"/>
      <c r="AF765" s="39"/>
      <c r="AG765" s="39"/>
      <c r="AH765" s="65"/>
    </row>
    <row r="766" spans="1:34" x14ac:dyDescent="0.25">
      <c r="A766" s="105">
        <f t="shared" si="24"/>
        <v>39652</v>
      </c>
      <c r="B766" s="59">
        <f>SUM('Weekly Data'!D763:D766)/4</f>
        <v>1543</v>
      </c>
      <c r="C766" s="90">
        <f>SUM('Weekly Data'!E763:E766)/4</f>
        <v>3109.5</v>
      </c>
      <c r="D766" s="90">
        <f>SUM('Weekly Data'!F763:F766)/4</f>
        <v>550</v>
      </c>
      <c r="E766" s="90">
        <f>SUM('Weekly Data'!G763:G766)/4</f>
        <v>4760</v>
      </c>
      <c r="F766" s="90">
        <f>SUM('Weekly Data'!H763:H766)/4</f>
        <v>513.25</v>
      </c>
      <c r="G766" s="90">
        <f>SUM('Weekly Data'!I763:I766)/4</f>
        <v>9925.75</v>
      </c>
      <c r="H766" s="90"/>
      <c r="I766" s="39"/>
      <c r="J766" s="101">
        <f>AVERAGE('Weekly Data'!D714,'Weekly Data'!D662,'Weekly Data'!D610,'Weekly Data'!D558)</f>
        <v>733</v>
      </c>
      <c r="K766" s="16">
        <f>AVERAGE('Weekly Data'!E714,'Weekly Data'!E662,'Weekly Data'!E610,'Weekly Data'!E558)</f>
        <v>1518.25</v>
      </c>
      <c r="L766" s="16">
        <f>AVERAGE('Weekly Data'!F714,'Weekly Data'!F662,'Weekly Data'!F610,'Weekly Data'!F558)</f>
        <v>901</v>
      </c>
      <c r="M766" s="16">
        <f>AVERAGE('Weekly Data'!G714,'Weekly Data'!G662,'Weekly Data'!G610,'Weekly Data'!G558)</f>
        <v>3041.25</v>
      </c>
      <c r="N766" s="16">
        <f>AVERAGE('Weekly Data'!H714,'Weekly Data'!H662,'Weekly Data'!H610,'Weekly Data'!H558)</f>
        <v>234</v>
      </c>
      <c r="O766" s="101">
        <f>AVERAGE('Weekly Data'!I714,'Weekly Data'!I662,'Weekly Data'!I610,'Weekly Data'!I558)</f>
        <v>5526.5</v>
      </c>
      <c r="P766" s="203"/>
      <c r="Q766" s="39"/>
      <c r="R766" s="13">
        <v>39652</v>
      </c>
      <c r="S766" s="106">
        <f t="shared" si="28"/>
        <v>655.875</v>
      </c>
      <c r="T766" s="106">
        <f t="shared" si="29"/>
        <v>1660.375</v>
      </c>
      <c r="U766" s="109">
        <f t="shared" si="30"/>
        <v>862.375</v>
      </c>
      <c r="V766" s="109">
        <f t="shared" si="31"/>
        <v>3298.3125</v>
      </c>
      <c r="W766" s="110">
        <f t="shared" si="32"/>
        <v>202.125</v>
      </c>
      <c r="X766" s="106">
        <f t="shared" si="33"/>
        <v>5816.6875</v>
      </c>
      <c r="Y766" s="39"/>
      <c r="Z766" s="39"/>
      <c r="AA766" s="39"/>
      <c r="AB766" s="39"/>
      <c r="AC766" s="39"/>
      <c r="AD766" s="39"/>
      <c r="AE766" s="39"/>
      <c r="AF766" s="39"/>
      <c r="AG766" s="39"/>
      <c r="AH766" s="65"/>
    </row>
    <row r="767" spans="1:34" x14ac:dyDescent="0.25">
      <c r="A767" s="105">
        <f t="shared" si="24"/>
        <v>39659</v>
      </c>
      <c r="B767" s="59">
        <f>SUM('Weekly Data'!D764:D767)/4</f>
        <v>1411.75</v>
      </c>
      <c r="C767" s="90">
        <f>SUM('Weekly Data'!E764:E767)/4</f>
        <v>3211.25</v>
      </c>
      <c r="D767" s="90">
        <f>SUM('Weekly Data'!F764:F767)/4</f>
        <v>443.5</v>
      </c>
      <c r="E767" s="90">
        <f>SUM('Weekly Data'!G764:G767)/4</f>
        <v>4864.5</v>
      </c>
      <c r="F767" s="90">
        <f>SUM('Weekly Data'!H764:H767)/4</f>
        <v>414.5</v>
      </c>
      <c r="G767" s="90">
        <f>SUM('Weekly Data'!I764:I767)/4</f>
        <v>9902</v>
      </c>
      <c r="H767" s="90"/>
      <c r="I767" s="39"/>
      <c r="J767" s="101">
        <f>AVERAGE('Weekly Data'!D715,'Weekly Data'!D663,'Weekly Data'!D611,'Weekly Data'!D559)</f>
        <v>610.5</v>
      </c>
      <c r="K767" s="16">
        <f>AVERAGE('Weekly Data'!E715,'Weekly Data'!E663,'Weekly Data'!E611,'Weekly Data'!E559)</f>
        <v>1844.5</v>
      </c>
      <c r="L767" s="16">
        <f>AVERAGE('Weekly Data'!F715,'Weekly Data'!F663,'Weekly Data'!F611,'Weekly Data'!F559)</f>
        <v>668.25</v>
      </c>
      <c r="M767" s="16">
        <f>AVERAGE('Weekly Data'!G715,'Weekly Data'!G663,'Weekly Data'!G611,'Weekly Data'!G559)</f>
        <v>3559</v>
      </c>
      <c r="N767" s="16">
        <f>AVERAGE('Weekly Data'!H715,'Weekly Data'!H663,'Weekly Data'!H611,'Weekly Data'!H559)</f>
        <v>174.75</v>
      </c>
      <c r="O767" s="101">
        <f>AVERAGE('Weekly Data'!I715,'Weekly Data'!I663,'Weekly Data'!I611,'Weekly Data'!I559)</f>
        <v>6188.75</v>
      </c>
      <c r="P767" s="203"/>
      <c r="Q767" s="39"/>
      <c r="R767" s="13">
        <v>39659</v>
      </c>
      <c r="S767" s="106">
        <f t="shared" si="28"/>
        <v>679.5</v>
      </c>
      <c r="T767" s="106">
        <f t="shared" si="29"/>
        <v>1697.875</v>
      </c>
      <c r="U767" s="109">
        <f t="shared" si="30"/>
        <v>823.6875</v>
      </c>
      <c r="V767" s="109">
        <f t="shared" si="31"/>
        <v>3457.9375</v>
      </c>
      <c r="W767" s="110">
        <f t="shared" si="32"/>
        <v>210.75</v>
      </c>
      <c r="X767" s="106">
        <f t="shared" si="33"/>
        <v>6046.0625</v>
      </c>
      <c r="Y767" s="39"/>
      <c r="Z767" s="39"/>
      <c r="AA767" s="39"/>
      <c r="AB767" s="39"/>
      <c r="AC767" s="39"/>
      <c r="AD767" s="39"/>
      <c r="AE767" s="39"/>
      <c r="AF767" s="39"/>
      <c r="AG767" s="39"/>
      <c r="AH767" s="65"/>
    </row>
    <row r="768" spans="1:34" x14ac:dyDescent="0.25">
      <c r="A768" s="105">
        <f t="shared" si="24"/>
        <v>39666</v>
      </c>
      <c r="B768" s="59">
        <f>SUM('Weekly Data'!D765:D768)/4</f>
        <v>1304.75</v>
      </c>
      <c r="C768" s="90">
        <f>SUM('Weekly Data'!E765:E768)/4</f>
        <v>3017</v>
      </c>
      <c r="D768" s="90">
        <f>SUM('Weekly Data'!F765:F768)/4</f>
        <v>565.5</v>
      </c>
      <c r="E768" s="90">
        <f>SUM('Weekly Data'!G765:G768)/4</f>
        <v>4646.25</v>
      </c>
      <c r="F768" s="90">
        <f>SUM('Weekly Data'!H765:H768)/4</f>
        <v>366.75</v>
      </c>
      <c r="G768" s="90">
        <f>SUM('Weekly Data'!I765:I768)/4</f>
        <v>9334.75</v>
      </c>
      <c r="H768" s="90"/>
      <c r="I768" s="39"/>
      <c r="J768" s="101">
        <f>AVERAGE('Weekly Data'!D716,'Weekly Data'!D664,'Weekly Data'!D612,'Weekly Data'!D560)</f>
        <v>1047.75</v>
      </c>
      <c r="K768" s="16">
        <f>AVERAGE('Weekly Data'!E716,'Weekly Data'!E664,'Weekly Data'!E612,'Weekly Data'!E560)</f>
        <v>1896.5</v>
      </c>
      <c r="L768" s="16">
        <f>AVERAGE('Weekly Data'!F716,'Weekly Data'!F664,'Weekly Data'!F612,'Weekly Data'!F560)</f>
        <v>779</v>
      </c>
      <c r="M768" s="16">
        <f>AVERAGE('Weekly Data'!G716,'Weekly Data'!G664,'Weekly Data'!G612,'Weekly Data'!G560)</f>
        <v>3427.75</v>
      </c>
      <c r="N768" s="16">
        <f>AVERAGE('Weekly Data'!H716,'Weekly Data'!H664,'Weekly Data'!H612,'Weekly Data'!H560)</f>
        <v>306.25</v>
      </c>
      <c r="O768" s="101">
        <f>AVERAGE('Weekly Data'!I716,'Weekly Data'!I664,'Weekly Data'!I612,'Weekly Data'!I560)</f>
        <v>6678.25</v>
      </c>
      <c r="P768" s="203"/>
      <c r="Q768" s="39"/>
      <c r="R768" s="13">
        <v>39666</v>
      </c>
      <c r="S768" s="106">
        <f t="shared" si="28"/>
        <v>784.625</v>
      </c>
      <c r="T768" s="106">
        <f t="shared" si="29"/>
        <v>1704.3125</v>
      </c>
      <c r="U768" s="109">
        <f t="shared" si="30"/>
        <v>787.875</v>
      </c>
      <c r="V768" s="109">
        <f t="shared" si="31"/>
        <v>3435.4375</v>
      </c>
      <c r="W768" s="110">
        <f t="shared" si="32"/>
        <v>222.625</v>
      </c>
      <c r="X768" s="106">
        <f t="shared" si="33"/>
        <v>6147</v>
      </c>
      <c r="Y768" s="39"/>
      <c r="Z768" s="39"/>
      <c r="AA768" s="39"/>
      <c r="AB768" s="39"/>
      <c r="AC768" s="39"/>
      <c r="AD768" s="39"/>
      <c r="AE768" s="39"/>
      <c r="AF768" s="39"/>
      <c r="AG768" s="39"/>
      <c r="AH768" s="65"/>
    </row>
    <row r="769" spans="1:34" x14ac:dyDescent="0.25">
      <c r="A769" s="105">
        <f t="shared" si="24"/>
        <v>39673</v>
      </c>
      <c r="B769" s="59">
        <f>SUM('Weekly Data'!D766:D769)/4</f>
        <v>1233</v>
      </c>
      <c r="C769" s="90">
        <f>SUM('Weekly Data'!E766:E769)/4</f>
        <v>3138</v>
      </c>
      <c r="D769" s="90">
        <f>SUM('Weekly Data'!F766:F769)/4</f>
        <v>625.75</v>
      </c>
      <c r="E769" s="90">
        <f>SUM('Weekly Data'!G766:G769)/4</f>
        <v>4259</v>
      </c>
      <c r="F769" s="90">
        <f>SUM('Weekly Data'!H766:H769)/4</f>
        <v>216</v>
      </c>
      <c r="G769" s="90">
        <f>SUM('Weekly Data'!I766:I769)/4</f>
        <v>8846</v>
      </c>
      <c r="H769" s="90"/>
      <c r="I769" s="39"/>
      <c r="J769" s="101">
        <f>AVERAGE('Weekly Data'!D717,'Weekly Data'!D665,'Weekly Data'!D613,'Weekly Data'!D561)</f>
        <v>902.75</v>
      </c>
      <c r="K769" s="16">
        <f>AVERAGE('Weekly Data'!E717,'Weekly Data'!E665,'Weekly Data'!E613,'Weekly Data'!E561)</f>
        <v>2172.75</v>
      </c>
      <c r="L769" s="16">
        <f>AVERAGE('Weekly Data'!F717,'Weekly Data'!F665,'Weekly Data'!F613,'Weekly Data'!F561)</f>
        <v>738.5</v>
      </c>
      <c r="M769" s="16">
        <f>AVERAGE('Weekly Data'!G717,'Weekly Data'!G665,'Weekly Data'!G613,'Weekly Data'!G561)</f>
        <v>3718.5</v>
      </c>
      <c r="N769" s="16">
        <f>AVERAGE('Weekly Data'!H717,'Weekly Data'!H665,'Weekly Data'!H613,'Weekly Data'!H561)</f>
        <v>291</v>
      </c>
      <c r="O769" s="101">
        <f>AVERAGE('Weekly Data'!I717,'Weekly Data'!I665,'Weekly Data'!I613,'Weekly Data'!I561)</f>
        <v>7085</v>
      </c>
      <c r="P769" s="203"/>
      <c r="Q769" s="39"/>
      <c r="R769" s="13">
        <v>39673</v>
      </c>
      <c r="S769" s="106">
        <f t="shared" si="28"/>
        <v>798.8125</v>
      </c>
      <c r="T769" s="106">
        <f t="shared" si="29"/>
        <v>1852.75</v>
      </c>
      <c r="U769" s="109">
        <f t="shared" si="30"/>
        <v>770</v>
      </c>
      <c r="V769" s="109">
        <f t="shared" si="31"/>
        <v>3494.125</v>
      </c>
      <c r="W769" s="110">
        <f t="shared" si="32"/>
        <v>245.25</v>
      </c>
      <c r="X769" s="106">
        <f t="shared" si="33"/>
        <v>6390.9375</v>
      </c>
      <c r="Y769" s="39"/>
      <c r="Z769" s="39"/>
      <c r="AA769" s="39"/>
      <c r="AB769" s="39"/>
      <c r="AC769" s="39"/>
      <c r="AD769" s="39"/>
      <c r="AE769" s="39"/>
      <c r="AF769" s="39"/>
      <c r="AG769" s="39"/>
      <c r="AH769" s="65"/>
    </row>
    <row r="770" spans="1:34" x14ac:dyDescent="0.25">
      <c r="A770" s="105">
        <f t="shared" si="24"/>
        <v>39680</v>
      </c>
      <c r="B770" s="59">
        <f>SUM('Weekly Data'!D767:D770)/4</f>
        <v>1060.25</v>
      </c>
      <c r="C770" s="90">
        <f>SUM('Weekly Data'!E767:E770)/4</f>
        <v>3042.75</v>
      </c>
      <c r="D770" s="90">
        <f>SUM('Weekly Data'!F767:F770)/4</f>
        <v>617.5</v>
      </c>
      <c r="E770" s="90">
        <f>SUM('Weekly Data'!G767:G770)/4</f>
        <v>3419.25</v>
      </c>
      <c r="F770" s="90">
        <f>SUM('Weekly Data'!H767:H770)/4</f>
        <v>124.25</v>
      </c>
      <c r="G770" s="90">
        <f>SUM('Weekly Data'!I767:I770)/4</f>
        <v>7646.5</v>
      </c>
      <c r="H770" s="90"/>
      <c r="I770" s="39"/>
      <c r="J770" s="101">
        <f>AVERAGE('Weekly Data'!D718,'Weekly Data'!D666,'Weekly Data'!D614,'Weekly Data'!D562)</f>
        <v>1088.5</v>
      </c>
      <c r="K770" s="16">
        <f>AVERAGE('Weekly Data'!E718,'Weekly Data'!E666,'Weekly Data'!E614,'Weekly Data'!E562)</f>
        <v>2048</v>
      </c>
      <c r="L770" s="16">
        <f>AVERAGE('Weekly Data'!F718,'Weekly Data'!F666,'Weekly Data'!F614,'Weekly Data'!F562)</f>
        <v>676</v>
      </c>
      <c r="M770" s="16">
        <f>AVERAGE('Weekly Data'!G718,'Weekly Data'!G666,'Weekly Data'!G614,'Weekly Data'!G562)</f>
        <v>4101.25</v>
      </c>
      <c r="N770" s="16">
        <f>AVERAGE('Weekly Data'!H718,'Weekly Data'!H666,'Weekly Data'!H614,'Weekly Data'!H562)</f>
        <v>201.75</v>
      </c>
      <c r="O770" s="101">
        <f>AVERAGE('Weekly Data'!I718,'Weekly Data'!I666,'Weekly Data'!I614,'Weekly Data'!I562)</f>
        <v>7439.5</v>
      </c>
      <c r="P770" s="203"/>
      <c r="Q770" s="39"/>
      <c r="R770" s="13">
        <v>39680</v>
      </c>
      <c r="S770" s="106">
        <f t="shared" si="28"/>
        <v>881.9375</v>
      </c>
      <c r="T770" s="106">
        <f t="shared" si="29"/>
        <v>2011.75</v>
      </c>
      <c r="U770" s="109">
        <f t="shared" si="30"/>
        <v>752.0625</v>
      </c>
      <c r="V770" s="109">
        <f t="shared" si="31"/>
        <v>3694.4375</v>
      </c>
      <c r="W770" s="110">
        <f t="shared" si="32"/>
        <v>254.25</v>
      </c>
      <c r="X770" s="106">
        <f t="shared" si="33"/>
        <v>6842.375</v>
      </c>
      <c r="Y770" s="39"/>
      <c r="Z770" s="39"/>
      <c r="AA770" s="39"/>
      <c r="AB770" s="39"/>
      <c r="AC770" s="39"/>
      <c r="AD770" s="39"/>
      <c r="AE770" s="39"/>
      <c r="AF770" s="39"/>
      <c r="AG770" s="39"/>
      <c r="AH770" s="65"/>
    </row>
    <row r="771" spans="1:34" x14ac:dyDescent="0.25">
      <c r="A771" s="105">
        <f t="shared" si="24"/>
        <v>39687</v>
      </c>
      <c r="B771" s="59">
        <f>SUM('Weekly Data'!D768:D771)/4</f>
        <v>1053.5</v>
      </c>
      <c r="C771" s="90">
        <f>SUM('Weekly Data'!E768:E771)/4</f>
        <v>2979</v>
      </c>
      <c r="D771" s="90">
        <f>SUM('Weekly Data'!F768:F771)/4</f>
        <v>710.75</v>
      </c>
      <c r="E771" s="90">
        <f>SUM('Weekly Data'!G768:G771)/4</f>
        <v>3122.5</v>
      </c>
      <c r="F771" s="90">
        <f>SUM('Weekly Data'!H768:H771)/4</f>
        <v>142</v>
      </c>
      <c r="G771" s="90">
        <f>SUM('Weekly Data'!I768:I771)/4</f>
        <v>7297</v>
      </c>
      <c r="H771" s="90"/>
      <c r="I771" s="39"/>
      <c r="J771" s="101">
        <f>AVERAGE('Weekly Data'!D719,'Weekly Data'!D667,'Weekly Data'!D615,'Weekly Data'!D563)</f>
        <v>1118.5</v>
      </c>
      <c r="K771" s="16">
        <f>AVERAGE('Weekly Data'!E719,'Weekly Data'!E667,'Weekly Data'!E615,'Weekly Data'!E563)</f>
        <v>1953.5</v>
      </c>
      <c r="L771" s="16">
        <f>AVERAGE('Weekly Data'!F719,'Weekly Data'!F667,'Weekly Data'!F615,'Weekly Data'!F563)</f>
        <v>840.25</v>
      </c>
      <c r="M771" s="16">
        <f>AVERAGE('Weekly Data'!G719,'Weekly Data'!G667,'Weekly Data'!G615,'Weekly Data'!G563)</f>
        <v>4110.5</v>
      </c>
      <c r="N771" s="16">
        <f>AVERAGE('Weekly Data'!H719,'Weekly Data'!H667,'Weekly Data'!H615,'Weekly Data'!H563)</f>
        <v>466.75</v>
      </c>
      <c r="O771" s="101">
        <f>AVERAGE('Weekly Data'!I719,'Weekly Data'!I667,'Weekly Data'!I615,'Weekly Data'!I563)</f>
        <v>7649.25</v>
      </c>
      <c r="P771" s="203"/>
      <c r="Q771" s="39"/>
      <c r="R771" s="13">
        <v>39687</v>
      </c>
      <c r="S771" s="106">
        <f t="shared" si="28"/>
        <v>1016</v>
      </c>
      <c r="T771" s="106">
        <f t="shared" si="29"/>
        <v>2034.5</v>
      </c>
      <c r="U771" s="109">
        <f t="shared" si="30"/>
        <v>738.25</v>
      </c>
      <c r="V771" s="109">
        <f t="shared" si="31"/>
        <v>3746.4375</v>
      </c>
      <c r="W771" s="110">
        <f t="shared" si="32"/>
        <v>315.625</v>
      </c>
      <c r="X771" s="106">
        <f t="shared" si="33"/>
        <v>7112.5625</v>
      </c>
      <c r="Y771" s="39"/>
      <c r="Z771" s="39"/>
      <c r="AA771" s="39"/>
      <c r="AB771" s="39"/>
      <c r="AC771" s="39"/>
      <c r="AD771" s="39"/>
      <c r="AE771" s="39"/>
      <c r="AF771" s="39"/>
      <c r="AG771" s="39"/>
      <c r="AH771" s="65"/>
    </row>
    <row r="772" spans="1:34" x14ac:dyDescent="0.25">
      <c r="A772" s="105">
        <f t="shared" si="24"/>
        <v>39694</v>
      </c>
      <c r="B772" s="59">
        <f>SUM('Weekly Data'!D769:D772)/4</f>
        <v>1151.5</v>
      </c>
      <c r="C772" s="90">
        <f>SUM('Weekly Data'!E769:E772)/4</f>
        <v>2687.25</v>
      </c>
      <c r="D772" s="90">
        <f>SUM('Weekly Data'!F769:F772)/4</f>
        <v>590.75</v>
      </c>
      <c r="E772" s="90">
        <f>SUM('Weekly Data'!G769:G772)/4</f>
        <v>3222.25</v>
      </c>
      <c r="F772" s="90">
        <f>SUM('Weekly Data'!H769:H772)/4</f>
        <v>184.25</v>
      </c>
      <c r="G772" s="90">
        <f>SUM('Weekly Data'!I769:I772)/4</f>
        <v>7245.25</v>
      </c>
      <c r="H772" s="90"/>
      <c r="I772" s="39"/>
      <c r="J772" s="101">
        <f>AVERAGE('Weekly Data'!D720,'Weekly Data'!D668,'Weekly Data'!D616,'Weekly Data'!D564)</f>
        <v>861</v>
      </c>
      <c r="K772" s="16">
        <f>AVERAGE('Weekly Data'!E720,'Weekly Data'!E668,'Weekly Data'!E616,'Weekly Data'!E564)</f>
        <v>2143.75</v>
      </c>
      <c r="L772" s="16">
        <f>AVERAGE('Weekly Data'!F720,'Weekly Data'!F668,'Weekly Data'!F616,'Weekly Data'!F564)</f>
        <v>922</v>
      </c>
      <c r="M772" s="16">
        <f>AVERAGE('Weekly Data'!G720,'Weekly Data'!G668,'Weekly Data'!G616,'Weekly Data'!G564)</f>
        <v>3498.75</v>
      </c>
      <c r="N772" s="16">
        <f>AVERAGE('Weekly Data'!H720,'Weekly Data'!H668,'Weekly Data'!H616,'Weekly Data'!H564)</f>
        <v>266.5</v>
      </c>
      <c r="O772" s="101">
        <f>AVERAGE('Weekly Data'!I720,'Weekly Data'!I668,'Weekly Data'!I616,'Weekly Data'!I564)</f>
        <v>6770</v>
      </c>
      <c r="P772" s="203"/>
      <c r="Q772" s="39"/>
      <c r="R772" s="13">
        <v>39694</v>
      </c>
      <c r="S772" s="106">
        <f t="shared" si="28"/>
        <v>990.75</v>
      </c>
      <c r="T772" s="106">
        <f t="shared" si="29"/>
        <v>2086.1875</v>
      </c>
      <c r="U772" s="109">
        <f t="shared" si="30"/>
        <v>791.6875</v>
      </c>
      <c r="V772" s="109">
        <f t="shared" si="31"/>
        <v>3808.6875</v>
      </c>
      <c r="W772" s="110">
        <f t="shared" si="32"/>
        <v>313.5625</v>
      </c>
      <c r="X772" s="106">
        <f t="shared" si="33"/>
        <v>7199.1875</v>
      </c>
      <c r="Y772" s="39"/>
      <c r="Z772" s="39"/>
      <c r="AA772" s="39"/>
      <c r="AB772" s="39"/>
      <c r="AC772" s="39"/>
      <c r="AD772" s="39"/>
      <c r="AE772" s="39"/>
      <c r="AF772" s="39"/>
      <c r="AG772" s="39"/>
      <c r="AH772" s="65"/>
    </row>
    <row r="773" spans="1:34" x14ac:dyDescent="0.25">
      <c r="A773" s="105">
        <f t="shared" si="24"/>
        <v>39701</v>
      </c>
      <c r="B773" s="59">
        <f>SUM('Weekly Data'!D770:D773)/4</f>
        <v>954.75</v>
      </c>
      <c r="C773" s="90">
        <f>SUM('Weekly Data'!E770:E773)/4</f>
        <v>2247.5</v>
      </c>
      <c r="D773" s="90">
        <f>SUM('Weekly Data'!F770:F773)/4</f>
        <v>526.5</v>
      </c>
      <c r="E773" s="90">
        <f>SUM('Weekly Data'!G770:G773)/4</f>
        <v>3674.75</v>
      </c>
      <c r="F773" s="90">
        <f>SUM('Weekly Data'!H770:H773)/4</f>
        <v>268.25</v>
      </c>
      <c r="G773" s="90">
        <f>SUM('Weekly Data'!I770:I773)/4</f>
        <v>7145.25</v>
      </c>
      <c r="H773" s="90"/>
      <c r="I773" s="39"/>
      <c r="J773" s="101">
        <f>AVERAGE('Weekly Data'!D721,'Weekly Data'!D669,'Weekly Data'!D617,'Weekly Data'!D565)</f>
        <v>1272.25</v>
      </c>
      <c r="K773" s="16">
        <f>AVERAGE('Weekly Data'!E721,'Weekly Data'!E669,'Weekly Data'!E617,'Weekly Data'!E565)</f>
        <v>2611.5</v>
      </c>
      <c r="L773" s="16">
        <f>AVERAGE('Weekly Data'!F721,'Weekly Data'!F669,'Weekly Data'!F617,'Weekly Data'!F565)</f>
        <v>826.25</v>
      </c>
      <c r="M773" s="16">
        <f>AVERAGE('Weekly Data'!G721,'Weekly Data'!G669,'Weekly Data'!G617,'Weekly Data'!G565)</f>
        <v>3293.75</v>
      </c>
      <c r="N773" s="16">
        <f>AVERAGE('Weekly Data'!H721,'Weekly Data'!H669,'Weekly Data'!H617,'Weekly Data'!H565)</f>
        <v>449.75</v>
      </c>
      <c r="O773" s="101">
        <f>AVERAGE('Weekly Data'!I721,'Weekly Data'!I669,'Weekly Data'!I617,'Weekly Data'!I565)</f>
        <v>7627.25</v>
      </c>
      <c r="P773" s="203"/>
      <c r="Q773" s="39"/>
      <c r="R773" s="13">
        <v>39701</v>
      </c>
      <c r="S773" s="106">
        <f t="shared" si="28"/>
        <v>1084.0625</v>
      </c>
      <c r="T773" s="106">
        <f t="shared" si="29"/>
        <v>2175.4375</v>
      </c>
      <c r="U773" s="109">
        <f t="shared" si="30"/>
        <v>813.3125</v>
      </c>
      <c r="V773" s="109">
        <f t="shared" si="31"/>
        <v>3739.9375</v>
      </c>
      <c r="W773" s="110">
        <f t="shared" si="32"/>
        <v>343.9375</v>
      </c>
      <c r="X773" s="106">
        <f t="shared" si="33"/>
        <v>7343.375</v>
      </c>
      <c r="Y773" s="39"/>
      <c r="Z773" s="39"/>
      <c r="AA773" s="39"/>
      <c r="AB773" s="39"/>
      <c r="AC773" s="39"/>
      <c r="AD773" s="39"/>
      <c r="AE773" s="39"/>
      <c r="AF773" s="39"/>
      <c r="AG773" s="39"/>
      <c r="AH773" s="65"/>
    </row>
    <row r="774" spans="1:34" x14ac:dyDescent="0.25">
      <c r="A774" s="105">
        <f t="shared" si="24"/>
        <v>39708</v>
      </c>
      <c r="B774" s="59">
        <f>SUM('Weekly Data'!D771:D774)/4</f>
        <v>915</v>
      </c>
      <c r="C774" s="90">
        <f>SUM('Weekly Data'!E771:E774)/4</f>
        <v>1650.5</v>
      </c>
      <c r="D774" s="90">
        <f>SUM('Weekly Data'!F771:F774)/4</f>
        <v>423.5</v>
      </c>
      <c r="E774" s="90">
        <f>SUM('Weekly Data'!G771:G774)/4</f>
        <v>4292.25</v>
      </c>
      <c r="F774" s="90">
        <f>SUM('Weekly Data'!H771:H774)/4</f>
        <v>303.5</v>
      </c>
      <c r="G774" s="90">
        <f>SUM('Weekly Data'!I771:I774)/4</f>
        <v>7161.25</v>
      </c>
      <c r="H774" s="90"/>
      <c r="I774" s="39"/>
      <c r="J774" s="101">
        <f>AVERAGE('Weekly Data'!D722,'Weekly Data'!D670,'Weekly Data'!D618,'Weekly Data'!D566)</f>
        <v>1475</v>
      </c>
      <c r="K774" s="16">
        <f>AVERAGE('Weekly Data'!E722,'Weekly Data'!E670,'Weekly Data'!E618,'Weekly Data'!E566)</f>
        <v>2366.5</v>
      </c>
      <c r="L774" s="16">
        <f>AVERAGE('Weekly Data'!F722,'Weekly Data'!F670,'Weekly Data'!F618,'Weekly Data'!F566)</f>
        <v>1204</v>
      </c>
      <c r="M774" s="16">
        <f>AVERAGE('Weekly Data'!G722,'Weekly Data'!G670,'Weekly Data'!G618,'Weekly Data'!G566)</f>
        <v>3228.5</v>
      </c>
      <c r="N774" s="16">
        <f>AVERAGE('Weekly Data'!H722,'Weekly Data'!H670,'Weekly Data'!H618,'Weekly Data'!H566)</f>
        <v>416</v>
      </c>
      <c r="O774" s="101">
        <f>AVERAGE('Weekly Data'!I722,'Weekly Data'!I670,'Weekly Data'!I618,'Weekly Data'!I566)</f>
        <v>7486</v>
      </c>
      <c r="P774" s="203"/>
      <c r="Q774" s="39"/>
      <c r="R774" s="13">
        <v>39708</v>
      </c>
      <c r="S774" s="106">
        <f t="shared" si="28"/>
        <v>1190.1875</v>
      </c>
      <c r="T774" s="106">
        <f t="shared" si="29"/>
        <v>2290.8125</v>
      </c>
      <c r="U774" s="109">
        <f t="shared" si="30"/>
        <v>919.1875</v>
      </c>
      <c r="V774" s="109">
        <f t="shared" si="31"/>
        <v>3558.9375</v>
      </c>
      <c r="W774" s="110">
        <f t="shared" si="32"/>
        <v>400.375</v>
      </c>
      <c r="X774" s="106">
        <f t="shared" si="33"/>
        <v>7440.3125</v>
      </c>
      <c r="Y774" s="39"/>
      <c r="Z774" s="39"/>
      <c r="AA774" s="39"/>
      <c r="AB774" s="39"/>
      <c r="AC774" s="39"/>
      <c r="AD774" s="39"/>
      <c r="AE774" s="39"/>
      <c r="AF774" s="39"/>
      <c r="AG774" s="39"/>
      <c r="AH774" s="65"/>
    </row>
    <row r="775" spans="1:34" x14ac:dyDescent="0.25">
      <c r="A775" s="105">
        <f t="shared" si="24"/>
        <v>39715</v>
      </c>
      <c r="B775" s="59">
        <f>SUM('Weekly Data'!D772:D775)/4</f>
        <v>942.5</v>
      </c>
      <c r="C775" s="90">
        <f>SUM('Weekly Data'!E772:E775)/4</f>
        <v>1395.75</v>
      </c>
      <c r="D775" s="90">
        <f>SUM('Weekly Data'!F772:F775)/4</f>
        <v>558.75</v>
      </c>
      <c r="E775" s="90">
        <f>SUM('Weekly Data'!G772:G775)/4</f>
        <v>4423.75</v>
      </c>
      <c r="F775" s="90">
        <f>SUM('Weekly Data'!H772:H775)/4</f>
        <v>384</v>
      </c>
      <c r="G775" s="90">
        <f>SUM('Weekly Data'!I772:I775)/4</f>
        <v>7146</v>
      </c>
      <c r="H775" s="90"/>
      <c r="I775" s="39"/>
      <c r="J775" s="101">
        <f>AVERAGE('Weekly Data'!D723,'Weekly Data'!D671,'Weekly Data'!D619,'Weekly Data'!D567)</f>
        <v>1708</v>
      </c>
      <c r="K775" s="16">
        <f>AVERAGE('Weekly Data'!E723,'Weekly Data'!E671,'Weekly Data'!E619,'Weekly Data'!E567)</f>
        <v>2104.25</v>
      </c>
      <c r="L775" s="16">
        <f>AVERAGE('Weekly Data'!F723,'Weekly Data'!F671,'Weekly Data'!F619,'Weekly Data'!F567)</f>
        <v>971.25</v>
      </c>
      <c r="M775" s="16">
        <f>AVERAGE('Weekly Data'!G723,'Weekly Data'!G671,'Weekly Data'!G619,'Weekly Data'!G567)</f>
        <v>3583</v>
      </c>
      <c r="N775" s="16">
        <f>AVERAGE('Weekly Data'!H723,'Weekly Data'!H671,'Weekly Data'!H619,'Weekly Data'!H567)</f>
        <v>531</v>
      </c>
      <c r="O775" s="101">
        <f>AVERAGE('Weekly Data'!I723,'Weekly Data'!I671,'Weekly Data'!I619,'Weekly Data'!I567)</f>
        <v>7926.25</v>
      </c>
      <c r="P775" s="203"/>
      <c r="Q775" s="39"/>
      <c r="R775" s="13">
        <v>39715</v>
      </c>
      <c r="S775" s="106">
        <f t="shared" si="28"/>
        <v>1295.0625</v>
      </c>
      <c r="T775" s="106">
        <f t="shared" si="29"/>
        <v>2297.5625</v>
      </c>
      <c r="U775" s="109">
        <f t="shared" si="30"/>
        <v>1003.0625</v>
      </c>
      <c r="V775" s="109">
        <f t="shared" si="31"/>
        <v>3444.75</v>
      </c>
      <c r="W775" s="110">
        <f t="shared" si="32"/>
        <v>406.9375</v>
      </c>
      <c r="X775" s="106">
        <f t="shared" si="33"/>
        <v>7444.3125</v>
      </c>
      <c r="Y775" s="39"/>
      <c r="Z775" s="39"/>
      <c r="AA775" s="39"/>
      <c r="AB775" s="39"/>
      <c r="AC775" s="39"/>
      <c r="AD775" s="39"/>
      <c r="AE775" s="39"/>
      <c r="AF775" s="39"/>
      <c r="AG775" s="39"/>
      <c r="AH775" s="65"/>
    </row>
    <row r="776" spans="1:34" x14ac:dyDescent="0.25">
      <c r="A776" s="105">
        <f t="shared" si="24"/>
        <v>39722</v>
      </c>
      <c r="B776" s="59">
        <f>SUM('Weekly Data'!D773:D776)/4</f>
        <v>885</v>
      </c>
      <c r="C776" s="90">
        <f>SUM('Weekly Data'!E773:E776)/4</f>
        <v>1596.5</v>
      </c>
      <c r="D776" s="90">
        <f>SUM('Weekly Data'!F773:F776)/4</f>
        <v>577</v>
      </c>
      <c r="E776" s="90">
        <f>SUM('Weekly Data'!G773:G776)/4</f>
        <v>4536.75</v>
      </c>
      <c r="F776" s="90">
        <f>SUM('Weekly Data'!H773:H776)/4</f>
        <v>363.75</v>
      </c>
      <c r="G776" s="90">
        <f>SUM('Weekly Data'!I773:I776)/4</f>
        <v>7382</v>
      </c>
      <c r="H776" s="90"/>
      <c r="I776" s="39"/>
      <c r="J776" s="101">
        <f>AVERAGE('Weekly Data'!D724,'Weekly Data'!D672,'Weekly Data'!D620,'Weekly Data'!D568)</f>
        <v>1960</v>
      </c>
      <c r="K776" s="16">
        <f>AVERAGE('Weekly Data'!E724,'Weekly Data'!E672,'Weekly Data'!E620,'Weekly Data'!E568)</f>
        <v>2333.75</v>
      </c>
      <c r="L776" s="16">
        <f>AVERAGE('Weekly Data'!F724,'Weekly Data'!F672,'Weekly Data'!F620,'Weekly Data'!F568)</f>
        <v>1118.75</v>
      </c>
      <c r="M776" s="16">
        <f>AVERAGE('Weekly Data'!G724,'Weekly Data'!G672,'Weekly Data'!G620,'Weekly Data'!G568)</f>
        <v>4223.25</v>
      </c>
      <c r="N776" s="16">
        <f>AVERAGE('Weekly Data'!H724,'Weekly Data'!H672,'Weekly Data'!H620,'Weekly Data'!H568)</f>
        <v>650.75</v>
      </c>
      <c r="O776" s="101">
        <f>AVERAGE('Weekly Data'!I724,'Weekly Data'!I672,'Weekly Data'!I620,'Weekly Data'!I568)</f>
        <v>9167.75</v>
      </c>
      <c r="P776" s="203"/>
      <c r="Q776" s="39"/>
      <c r="R776" s="13">
        <v>39722</v>
      </c>
      <c r="S776" s="106">
        <f t="shared" si="28"/>
        <v>1570.3125</v>
      </c>
      <c r="T776" s="106">
        <f t="shared" si="29"/>
        <v>2321</v>
      </c>
      <c r="U776" s="109">
        <f t="shared" si="30"/>
        <v>1004.25</v>
      </c>
      <c r="V776" s="109">
        <f t="shared" si="31"/>
        <v>3533.0625</v>
      </c>
      <c r="W776" s="110">
        <f t="shared" si="32"/>
        <v>506.4375</v>
      </c>
      <c r="X776" s="106">
        <f t="shared" si="33"/>
        <v>7930.8125</v>
      </c>
      <c r="Y776" s="39"/>
      <c r="Z776" s="39"/>
      <c r="AA776" s="39"/>
      <c r="AB776" s="39"/>
      <c r="AC776" s="39"/>
      <c r="AD776" s="39"/>
      <c r="AE776" s="39"/>
      <c r="AF776" s="39"/>
      <c r="AG776" s="39"/>
      <c r="AH776" s="65"/>
    </row>
    <row r="777" spans="1:34" x14ac:dyDescent="0.25">
      <c r="A777" s="105">
        <f t="shared" si="24"/>
        <v>39729</v>
      </c>
      <c r="B777" s="59">
        <f>SUM('Weekly Data'!D774:D777)/4</f>
        <v>1181</v>
      </c>
      <c r="C777" s="90">
        <f>SUM('Weekly Data'!E774:E777)/4</f>
        <v>1468</v>
      </c>
      <c r="D777" s="90">
        <f>SUM('Weekly Data'!F774:F777)/4</f>
        <v>741.5</v>
      </c>
      <c r="E777" s="90">
        <f>SUM('Weekly Data'!G774:G777)/4</f>
        <v>4360</v>
      </c>
      <c r="F777" s="90">
        <f>SUM('Weekly Data'!H774:H777)/4</f>
        <v>382</v>
      </c>
      <c r="G777" s="90">
        <f>SUM('Weekly Data'!I774:I777)/4</f>
        <v>7391</v>
      </c>
      <c r="H777" s="202">
        <f>SUM('Weekly Data'!J774:J777)/4</f>
        <v>603.5</v>
      </c>
      <c r="I777" s="39"/>
      <c r="J777" s="101">
        <f>AVERAGE('Weekly Data'!D725,'Weekly Data'!D673,'Weekly Data'!D621,'Weekly Data'!D569)</f>
        <v>2331.25</v>
      </c>
      <c r="K777" s="16">
        <f>AVERAGE('Weekly Data'!E725,'Weekly Data'!E673,'Weekly Data'!E621,'Weekly Data'!E569)</f>
        <v>2165.25</v>
      </c>
      <c r="L777" s="16">
        <f>AVERAGE('Weekly Data'!F725,'Weekly Data'!F673,'Weekly Data'!F621,'Weekly Data'!F569)</f>
        <v>1174.5</v>
      </c>
      <c r="M777" s="16">
        <f>AVERAGE('Weekly Data'!G725,'Weekly Data'!G673,'Weekly Data'!G621,'Weekly Data'!G569)</f>
        <v>5328.5</v>
      </c>
      <c r="N777" s="16">
        <f>AVERAGE('Weekly Data'!H725,'Weekly Data'!H673,'Weekly Data'!H621,'Weekly Data'!H569)</f>
        <v>721</v>
      </c>
      <c r="O777" s="101">
        <f>AVERAGE('Weekly Data'!I725,'Weekly Data'!I673,'Weekly Data'!I621,'Weekly Data'!I569)</f>
        <v>10546</v>
      </c>
      <c r="P777" s="203"/>
      <c r="Q777" s="39"/>
      <c r="R777" s="13">
        <v>39729</v>
      </c>
      <c r="S777" s="106">
        <f t="shared" si="28"/>
        <v>1801.375</v>
      </c>
      <c r="T777" s="106">
        <f t="shared" si="29"/>
        <v>2280.625</v>
      </c>
      <c r="U777" s="109">
        <f t="shared" si="30"/>
        <v>1062.8125</v>
      </c>
      <c r="V777" s="109">
        <f t="shared" si="31"/>
        <v>3930.9375</v>
      </c>
      <c r="W777" s="110">
        <f t="shared" si="32"/>
        <v>572.125</v>
      </c>
      <c r="X777" s="106">
        <f t="shared" si="33"/>
        <v>8585.0625</v>
      </c>
      <c r="Y777" s="143"/>
      <c r="Z777" s="39"/>
      <c r="AA777" s="39"/>
      <c r="AB777" s="39"/>
      <c r="AC777" s="39"/>
      <c r="AD777" s="39"/>
      <c r="AE777" s="39"/>
      <c r="AF777" s="39"/>
      <c r="AG777" s="39"/>
      <c r="AH777" s="65"/>
    </row>
    <row r="778" spans="1:34" x14ac:dyDescent="0.25">
      <c r="A778" s="105">
        <f t="shared" si="24"/>
        <v>39736</v>
      </c>
      <c r="B778" s="59">
        <f>SUM('Weekly Data'!D775:D778)/4</f>
        <v>1683.5</v>
      </c>
      <c r="C778" s="90">
        <f>SUM('Weekly Data'!E775:E778)/4</f>
        <v>1654.25</v>
      </c>
      <c r="D778" s="90">
        <f>SUM('Weekly Data'!F775:F778)/4</f>
        <v>948</v>
      </c>
      <c r="E778" s="90">
        <f>SUM('Weekly Data'!G775:G778)/4</f>
        <v>4756.25</v>
      </c>
      <c r="F778" s="90">
        <f>SUM('Weekly Data'!H775:H778)/4</f>
        <v>486.75</v>
      </c>
      <c r="G778" s="90">
        <f>SUM('Weekly Data'!I775:I778)/4</f>
        <v>8580.75</v>
      </c>
      <c r="H778" s="202">
        <f>SUM('Weekly Data'!J775:J778)/4</f>
        <v>1328.3375000000001</v>
      </c>
      <c r="I778" s="39"/>
      <c r="J778" s="101">
        <f>AVERAGE('Weekly Data'!D726,'Weekly Data'!D674,'Weekly Data'!D622,'Weekly Data'!D570)</f>
        <v>2264.25</v>
      </c>
      <c r="K778" s="16">
        <f>AVERAGE('Weekly Data'!E726,'Weekly Data'!E674,'Weekly Data'!E622,'Weekly Data'!E570)</f>
        <v>1960.5</v>
      </c>
      <c r="L778" s="16">
        <f>AVERAGE('Weekly Data'!F726,'Weekly Data'!F674,'Weekly Data'!F622,'Weekly Data'!F570)</f>
        <v>1276</v>
      </c>
      <c r="M778" s="16">
        <f>AVERAGE('Weekly Data'!G726,'Weekly Data'!G674,'Weekly Data'!G622,'Weekly Data'!G570)</f>
        <v>5665</v>
      </c>
      <c r="N778" s="16">
        <f>AVERAGE('Weekly Data'!H726,'Weekly Data'!H674,'Weekly Data'!H622,'Weekly Data'!H570)</f>
        <v>663</v>
      </c>
      <c r="O778" s="101">
        <f>AVERAGE('Weekly Data'!I726,'Weekly Data'!I674,'Weekly Data'!I622,'Weekly Data'!I570)</f>
        <v>10552.75</v>
      </c>
      <c r="P778" s="203"/>
      <c r="Q778" s="39"/>
      <c r="R778" s="13">
        <v>39736</v>
      </c>
      <c r="S778" s="106">
        <f t="shared" si="28"/>
        <v>1983.75</v>
      </c>
      <c r="T778" s="106">
        <f t="shared" si="29"/>
        <v>2122.0625</v>
      </c>
      <c r="U778" s="109">
        <f t="shared" si="30"/>
        <v>1133.4375</v>
      </c>
      <c r="V778" s="109">
        <f t="shared" si="31"/>
        <v>4531.5</v>
      </c>
      <c r="W778" s="110">
        <f t="shared" si="32"/>
        <v>630</v>
      </c>
      <c r="X778" s="106">
        <f t="shared" si="33"/>
        <v>9267.3125</v>
      </c>
      <c r="Y778" s="39"/>
      <c r="Z778" s="39"/>
      <c r="AA778" s="39"/>
      <c r="AB778" s="39"/>
      <c r="AC778" s="39"/>
      <c r="AD778" s="39"/>
      <c r="AE778" s="39"/>
      <c r="AF778" s="39"/>
      <c r="AG778" s="39"/>
      <c r="AH778" s="65"/>
    </row>
    <row r="779" spans="1:34" x14ac:dyDescent="0.25">
      <c r="A779" s="105">
        <f t="shared" si="24"/>
        <v>39743</v>
      </c>
      <c r="B779" s="59">
        <f>SUM('Weekly Data'!D776:D779)/4</f>
        <v>2034</v>
      </c>
      <c r="C779" s="90">
        <f>SUM('Weekly Data'!E776:E779)/4</f>
        <v>1421.75</v>
      </c>
      <c r="D779" s="90">
        <f>SUM('Weekly Data'!F776:F779)/4</f>
        <v>840.5</v>
      </c>
      <c r="E779" s="90">
        <f>SUM('Weekly Data'!G776:G779)/4</f>
        <v>5135.5</v>
      </c>
      <c r="F779" s="90">
        <f>SUM('Weekly Data'!H776:H779)/4</f>
        <v>535</v>
      </c>
      <c r="G779" s="90">
        <f>SUM('Weekly Data'!I776:I779)/4</f>
        <v>9126.25</v>
      </c>
      <c r="H779" s="202">
        <f>SUM('Weekly Data'!J776:J779)/4</f>
        <v>2000.6875</v>
      </c>
      <c r="I779" s="39"/>
      <c r="J779" s="101">
        <f>AVERAGE('Weekly Data'!D727,'Weekly Data'!D675,'Weekly Data'!D623,'Weekly Data'!D571)</f>
        <v>2051.5</v>
      </c>
      <c r="K779" s="16">
        <f>AVERAGE('Weekly Data'!E727,'Weekly Data'!E675,'Weekly Data'!E623,'Weekly Data'!E571)</f>
        <v>2256.75</v>
      </c>
      <c r="L779" s="16">
        <f>AVERAGE('Weekly Data'!F727,'Weekly Data'!F675,'Weekly Data'!F623,'Weekly Data'!F571)</f>
        <v>958.75</v>
      </c>
      <c r="M779" s="16">
        <f>AVERAGE('Weekly Data'!G727,'Weekly Data'!G675,'Weekly Data'!G623,'Weekly Data'!G571)</f>
        <v>5150.5</v>
      </c>
      <c r="N779" s="16">
        <f>AVERAGE('Weekly Data'!H727,'Weekly Data'!H675,'Weekly Data'!H623,'Weekly Data'!H571)</f>
        <v>841</v>
      </c>
      <c r="O779" s="101">
        <f>AVERAGE('Weekly Data'!I727,'Weekly Data'!I675,'Weekly Data'!I623,'Weekly Data'!I571)</f>
        <v>10299.75</v>
      </c>
      <c r="P779" s="203"/>
      <c r="Q779" s="39"/>
      <c r="R779" s="13">
        <v>39743</v>
      </c>
      <c r="S779" s="106">
        <f t="shared" si="28"/>
        <v>2135.3125</v>
      </c>
      <c r="T779" s="106">
        <f t="shared" si="29"/>
        <v>2159.25</v>
      </c>
      <c r="U779" s="109">
        <f t="shared" si="30"/>
        <v>1118.875</v>
      </c>
      <c r="V779" s="109">
        <f t="shared" si="31"/>
        <v>4970.875</v>
      </c>
      <c r="W779" s="110">
        <f t="shared" si="32"/>
        <v>696.1875</v>
      </c>
      <c r="X779" s="106">
        <f t="shared" si="33"/>
        <v>9961.625</v>
      </c>
      <c r="Y779" s="39"/>
      <c r="Z779" s="39"/>
      <c r="AA779" s="39"/>
      <c r="AB779" s="39"/>
      <c r="AC779" s="39"/>
      <c r="AD779" s="39"/>
      <c r="AE779" s="39"/>
      <c r="AF779" s="39"/>
      <c r="AG779" s="39"/>
      <c r="AH779" s="65"/>
    </row>
    <row r="780" spans="1:34" x14ac:dyDescent="0.25">
      <c r="A780" s="105">
        <f t="shared" si="24"/>
        <v>39750</v>
      </c>
      <c r="B780" s="59">
        <f>SUM('Weekly Data'!D777:D780)/4</f>
        <v>2418.25</v>
      </c>
      <c r="C780" s="90">
        <f>SUM('Weekly Data'!E777:E780)/4</f>
        <v>1062.25</v>
      </c>
      <c r="D780" s="90">
        <f>SUM('Weekly Data'!F777:F780)/4</f>
        <v>1086.5</v>
      </c>
      <c r="E780" s="90">
        <f>SUM('Weekly Data'!G777:G780)/4</f>
        <v>5279.5</v>
      </c>
      <c r="F780" s="90">
        <f>SUM('Weekly Data'!H777:H780)/4</f>
        <v>655.75</v>
      </c>
      <c r="G780" s="90">
        <f>SUM('Weekly Data'!I777:I780)/4</f>
        <v>9415.75</v>
      </c>
      <c r="H780" s="202">
        <f>SUM('Weekly Data'!J777:J780)/4</f>
        <v>2704.7</v>
      </c>
      <c r="I780" s="39"/>
      <c r="J780" s="101">
        <f>AVERAGE('Weekly Data'!D728,'Weekly Data'!D676,'Weekly Data'!D624,'Weekly Data'!D572)</f>
        <v>1925.25</v>
      </c>
      <c r="K780" s="16">
        <f>AVERAGE('Weekly Data'!E728,'Weekly Data'!E676,'Weekly Data'!E624,'Weekly Data'!E572)</f>
        <v>2154</v>
      </c>
      <c r="L780" s="16">
        <f>AVERAGE('Weekly Data'!F728,'Weekly Data'!F676,'Weekly Data'!F624,'Weekly Data'!F572)</f>
        <v>1164.25</v>
      </c>
      <c r="M780" s="16">
        <f>AVERAGE('Weekly Data'!G728,'Weekly Data'!G676,'Weekly Data'!G624,'Weekly Data'!G572)</f>
        <v>5393.5</v>
      </c>
      <c r="N780" s="16">
        <f>AVERAGE('Weekly Data'!H728,'Weekly Data'!H676,'Weekly Data'!H624,'Weekly Data'!H572)</f>
        <v>833</v>
      </c>
      <c r="O780" s="101">
        <f>AVERAGE('Weekly Data'!I728,'Weekly Data'!I676,'Weekly Data'!I624,'Weekly Data'!I572)</f>
        <v>10305.75</v>
      </c>
      <c r="P780" s="203"/>
      <c r="Q780" s="39"/>
      <c r="R780" s="13">
        <v>39750</v>
      </c>
      <c r="S780" s="106">
        <f t="shared" si="28"/>
        <v>2132.5625</v>
      </c>
      <c r="T780" s="106">
        <f t="shared" si="29"/>
        <v>2165.25</v>
      </c>
      <c r="U780" s="109">
        <f t="shared" si="30"/>
        <v>1142.875</v>
      </c>
      <c r="V780" s="109">
        <f t="shared" si="31"/>
        <v>5347.3125</v>
      </c>
      <c r="W780" s="110">
        <f t="shared" si="32"/>
        <v>743.625</v>
      </c>
      <c r="X780" s="106">
        <f t="shared" si="33"/>
        <v>10388.75</v>
      </c>
      <c r="Y780" s="39"/>
      <c r="Z780" s="39"/>
      <c r="AA780" s="39"/>
      <c r="AB780" s="39"/>
      <c r="AC780" s="39"/>
      <c r="AD780" s="39"/>
      <c r="AE780" s="39"/>
      <c r="AF780" s="39"/>
      <c r="AG780" s="39"/>
      <c r="AH780" s="65"/>
    </row>
    <row r="781" spans="1:34" x14ac:dyDescent="0.25">
      <c r="A781" s="105">
        <f t="shared" ref="A781:A844" si="34">A780+7</f>
        <v>39757</v>
      </c>
      <c r="B781" s="59">
        <f>SUM('Weekly Data'!D778:D781)/4</f>
        <v>2414.75</v>
      </c>
      <c r="C781" s="90">
        <f>SUM('Weekly Data'!E778:E781)/4</f>
        <v>864.5</v>
      </c>
      <c r="D781" s="90">
        <f>SUM('Weekly Data'!F778:F781)/4</f>
        <v>1413.5</v>
      </c>
      <c r="E781" s="90">
        <f>SUM('Weekly Data'!G778:G781)/4</f>
        <v>5440.75</v>
      </c>
      <c r="F781" s="90">
        <f>SUM('Weekly Data'!H778:H781)/4</f>
        <v>723.5</v>
      </c>
      <c r="G781" s="90">
        <f>SUM('Weekly Data'!I778:I781)/4</f>
        <v>9443.5</v>
      </c>
      <c r="H781" s="202">
        <f>SUM('Weekly Data'!J778:J781)/4</f>
        <v>2577.625</v>
      </c>
      <c r="I781" s="39"/>
      <c r="J781" s="101">
        <f>AVERAGE('Weekly Data'!D729,'Weekly Data'!D677,'Weekly Data'!D625,'Weekly Data'!D573)</f>
        <v>1764.5</v>
      </c>
      <c r="K781" s="16">
        <f>AVERAGE('Weekly Data'!E729,'Weekly Data'!E677,'Weekly Data'!E625,'Weekly Data'!E573)</f>
        <v>2155.5</v>
      </c>
      <c r="L781" s="16">
        <f>AVERAGE('Weekly Data'!F729,'Weekly Data'!F677,'Weekly Data'!F625,'Weekly Data'!F573)</f>
        <v>1223</v>
      </c>
      <c r="M781" s="16">
        <f>AVERAGE('Weekly Data'!G729,'Weekly Data'!G677,'Weekly Data'!G625,'Weekly Data'!G573)</f>
        <v>4939.5</v>
      </c>
      <c r="N781" s="16">
        <f>AVERAGE('Weekly Data'!H729,'Weekly Data'!H677,'Weekly Data'!H625,'Weekly Data'!H573)</f>
        <v>880.25</v>
      </c>
      <c r="O781" s="101">
        <f>AVERAGE('Weekly Data'!I729,'Weekly Data'!I677,'Weekly Data'!I625,'Weekly Data'!I573)</f>
        <v>9739.75</v>
      </c>
      <c r="P781" s="203"/>
      <c r="Q781" s="39"/>
      <c r="R781" s="13">
        <v>39757</v>
      </c>
      <c r="S781" s="106">
        <f t="shared" si="28"/>
        <v>2037.25</v>
      </c>
      <c r="T781" s="106">
        <f t="shared" si="29"/>
        <v>2142.1875</v>
      </c>
      <c r="U781" s="109">
        <f t="shared" si="30"/>
        <v>1164.75</v>
      </c>
      <c r="V781" s="109">
        <f t="shared" si="31"/>
        <v>5253.625</v>
      </c>
      <c r="W781" s="110">
        <f t="shared" si="32"/>
        <v>771.25</v>
      </c>
      <c r="X781" s="106">
        <f t="shared" si="33"/>
        <v>10204.3125</v>
      </c>
      <c r="Y781" s="39"/>
      <c r="Z781" s="39"/>
      <c r="AA781" s="39"/>
      <c r="AB781" s="39"/>
      <c r="AC781" s="39"/>
      <c r="AD781" s="39"/>
      <c r="AE781" s="39"/>
      <c r="AF781" s="39"/>
      <c r="AG781" s="39"/>
      <c r="AH781" s="65"/>
    </row>
    <row r="782" spans="1:34" x14ac:dyDescent="0.25">
      <c r="A782" s="105">
        <f t="shared" si="34"/>
        <v>39764</v>
      </c>
      <c r="B782" s="59">
        <f>SUM('Weekly Data'!D779:D782)/4</f>
        <v>2062.25</v>
      </c>
      <c r="C782" s="90">
        <f>SUM('Weekly Data'!E779:E782)/4</f>
        <v>770</v>
      </c>
      <c r="D782" s="90">
        <f>SUM('Weekly Data'!F779:F782)/4</f>
        <v>1368.75</v>
      </c>
      <c r="E782" s="90">
        <f>SUM('Weekly Data'!G779:G782)/4</f>
        <v>4668</v>
      </c>
      <c r="F782" s="90">
        <f>SUM('Weekly Data'!H779:H782)/4</f>
        <v>640.25</v>
      </c>
      <c r="G782" s="90">
        <f>SUM('Weekly Data'!I779:I782)/4</f>
        <v>8140.5</v>
      </c>
      <c r="H782" s="202">
        <f>SUM('Weekly Data'!J779:J782)/4</f>
        <v>2456.7124999999996</v>
      </c>
      <c r="I782" s="39"/>
      <c r="J782" s="101">
        <f>AVERAGE('Weekly Data'!D730,'Weekly Data'!D678,'Weekly Data'!D626,'Weekly Data'!D574)</f>
        <v>1770.25</v>
      </c>
      <c r="K782" s="16">
        <f>AVERAGE('Weekly Data'!E730,'Weekly Data'!E678,'Weekly Data'!E626,'Weekly Data'!E574)</f>
        <v>2102.25</v>
      </c>
      <c r="L782" s="16">
        <f>AVERAGE('Weekly Data'!F730,'Weekly Data'!F678,'Weekly Data'!F626,'Weekly Data'!F574)</f>
        <v>880.5</v>
      </c>
      <c r="M782" s="16">
        <f>AVERAGE('Weekly Data'!G730,'Weekly Data'!G678,'Weekly Data'!G626,'Weekly Data'!G574)</f>
        <v>4552</v>
      </c>
      <c r="N782" s="16">
        <f>AVERAGE('Weekly Data'!H730,'Weekly Data'!H678,'Weekly Data'!H626,'Weekly Data'!H574)</f>
        <v>969.75</v>
      </c>
      <c r="O782" s="101">
        <f>AVERAGE('Weekly Data'!I730,'Weekly Data'!I678,'Weekly Data'!I626,'Weekly Data'!I574)</f>
        <v>9394.25</v>
      </c>
      <c r="P782" s="203"/>
      <c r="Q782" s="39"/>
      <c r="R782" s="13">
        <v>39764</v>
      </c>
      <c r="S782" s="106">
        <f t="shared" si="28"/>
        <v>1899</v>
      </c>
      <c r="T782" s="106">
        <f t="shared" si="29"/>
        <v>2148.875</v>
      </c>
      <c r="U782" s="109">
        <f t="shared" si="30"/>
        <v>1049.75</v>
      </c>
      <c r="V782" s="109">
        <f t="shared" si="31"/>
        <v>5056.5625</v>
      </c>
      <c r="W782" s="110">
        <f t="shared" si="32"/>
        <v>842.1875</v>
      </c>
      <c r="X782" s="106">
        <f t="shared" si="33"/>
        <v>9946.625</v>
      </c>
      <c r="Y782" s="39"/>
      <c r="Z782" s="39"/>
      <c r="AA782" s="39"/>
      <c r="AB782" s="39"/>
      <c r="AC782" s="39"/>
      <c r="AD782" s="39"/>
      <c r="AE782" s="39"/>
      <c r="AF782" s="39"/>
      <c r="AG782" s="39"/>
      <c r="AH782" s="65"/>
    </row>
    <row r="783" spans="1:34" x14ac:dyDescent="0.25">
      <c r="A783" s="105">
        <f t="shared" si="34"/>
        <v>39771</v>
      </c>
      <c r="B783" s="59">
        <f>SUM('Weekly Data'!D780:D783)/4</f>
        <v>1695.5</v>
      </c>
      <c r="C783" s="90">
        <f>SUM('Weekly Data'!E780:E783)/4</f>
        <v>824.25</v>
      </c>
      <c r="D783" s="90">
        <f>SUM('Weekly Data'!F780:F783)/4</f>
        <v>1548</v>
      </c>
      <c r="E783" s="90">
        <f>SUM('Weekly Data'!G780:G783)/4</f>
        <v>4192</v>
      </c>
      <c r="F783" s="90">
        <f>SUM('Weekly Data'!H780:H783)/4</f>
        <v>745</v>
      </c>
      <c r="G783" s="90">
        <f>SUM('Weekly Data'!I780:I783)/4</f>
        <v>7456.75</v>
      </c>
      <c r="H783" s="202">
        <f>SUM('Weekly Data'!J780:J783)/4</f>
        <v>2299.6750000000002</v>
      </c>
      <c r="I783" s="39"/>
      <c r="J783" s="101">
        <f>AVERAGE('Weekly Data'!D731,'Weekly Data'!D679,'Weekly Data'!D627,'Weekly Data'!D575)</f>
        <v>1634.5</v>
      </c>
      <c r="K783" s="16">
        <f>AVERAGE('Weekly Data'!E731,'Weekly Data'!E679,'Weekly Data'!E627,'Weekly Data'!E575)</f>
        <v>2125</v>
      </c>
      <c r="L783" s="16">
        <f>AVERAGE('Weekly Data'!F731,'Weekly Data'!F679,'Weekly Data'!F627,'Weekly Data'!F575)</f>
        <v>962.5</v>
      </c>
      <c r="M783" s="16">
        <f>AVERAGE('Weekly Data'!G731,'Weekly Data'!G679,'Weekly Data'!G627,'Weekly Data'!G575)</f>
        <v>5230</v>
      </c>
      <c r="N783" s="16">
        <f>AVERAGE('Weekly Data'!H731,'Weekly Data'!H679,'Weekly Data'!H627,'Weekly Data'!H575)</f>
        <v>748.25</v>
      </c>
      <c r="O783" s="101">
        <f>AVERAGE('Weekly Data'!I731,'Weekly Data'!I679,'Weekly Data'!I627,'Weekly Data'!I575)</f>
        <v>9737.75</v>
      </c>
      <c r="P783" s="203"/>
      <c r="Q783" s="39"/>
      <c r="R783" s="13">
        <v>39771</v>
      </c>
      <c r="S783" s="106">
        <f t="shared" si="28"/>
        <v>1758.4375</v>
      </c>
      <c r="T783" s="106">
        <f t="shared" si="29"/>
        <v>2143.5</v>
      </c>
      <c r="U783" s="109">
        <f t="shared" si="30"/>
        <v>1012.5625</v>
      </c>
      <c r="V783" s="109">
        <f t="shared" si="31"/>
        <v>5051.0625</v>
      </c>
      <c r="W783" s="110">
        <f t="shared" si="32"/>
        <v>870.5</v>
      </c>
      <c r="X783" s="106">
        <f t="shared" si="33"/>
        <v>9823.5</v>
      </c>
      <c r="Y783" s="39"/>
      <c r="Z783" s="39"/>
      <c r="AA783" s="39"/>
      <c r="AB783" s="39"/>
      <c r="AC783" s="39"/>
      <c r="AD783" s="39"/>
      <c r="AE783" s="39"/>
      <c r="AF783" s="39"/>
      <c r="AG783" s="39"/>
      <c r="AH783" s="65"/>
    </row>
    <row r="784" spans="1:34" x14ac:dyDescent="0.25">
      <c r="A784" s="105">
        <f t="shared" si="34"/>
        <v>39778</v>
      </c>
      <c r="B784" s="59">
        <f>SUM('Weekly Data'!D781:D784)/4</f>
        <v>1346</v>
      </c>
      <c r="C784" s="90">
        <f>SUM('Weekly Data'!E781:E784)/4</f>
        <v>940.25</v>
      </c>
      <c r="D784" s="90">
        <f>SUM('Weekly Data'!F781:F784)/4</f>
        <v>1440.25</v>
      </c>
      <c r="E784" s="90">
        <f>SUM('Weekly Data'!G781:G784)/4</f>
        <v>3929.25</v>
      </c>
      <c r="F784" s="90">
        <f>SUM('Weekly Data'!H781:H784)/4</f>
        <v>704.25</v>
      </c>
      <c r="G784" s="90">
        <f>SUM('Weekly Data'!I781:I784)/4</f>
        <v>6919.75</v>
      </c>
      <c r="H784" s="202">
        <f>SUM('Weekly Data'!J781:J784)/4</f>
        <v>2125.6374999999998</v>
      </c>
      <c r="I784" s="39"/>
      <c r="J784" s="101">
        <f>AVERAGE('Weekly Data'!D732,'Weekly Data'!D680,'Weekly Data'!D628,'Weekly Data'!D576)</f>
        <v>1368.5</v>
      </c>
      <c r="K784" s="16">
        <f>AVERAGE('Weekly Data'!E732,'Weekly Data'!E680,'Weekly Data'!E628,'Weekly Data'!E576)</f>
        <v>2174</v>
      </c>
      <c r="L784" s="16">
        <f>AVERAGE('Weekly Data'!F732,'Weekly Data'!F680,'Weekly Data'!F628,'Weekly Data'!F576)</f>
        <v>1150.25</v>
      </c>
      <c r="M784" s="16">
        <f>AVERAGE('Weekly Data'!G732,'Weekly Data'!G680,'Weekly Data'!G628,'Weekly Data'!G576)</f>
        <v>4151.5</v>
      </c>
      <c r="N784" s="16">
        <f>AVERAGE('Weekly Data'!H732,'Weekly Data'!H680,'Weekly Data'!H628,'Weekly Data'!H576)</f>
        <v>751.25</v>
      </c>
      <c r="O784" s="101">
        <f>AVERAGE('Weekly Data'!I732,'Weekly Data'!I680,'Weekly Data'!I628,'Weekly Data'!I576)</f>
        <v>8445.25</v>
      </c>
      <c r="P784" s="203"/>
      <c r="Q784" s="39"/>
      <c r="R784" s="13">
        <v>39778</v>
      </c>
      <c r="S784" s="106">
        <f t="shared" si="28"/>
        <v>1663.4375</v>
      </c>
      <c r="T784" s="106">
        <f t="shared" si="29"/>
        <v>2109.4375</v>
      </c>
      <c r="U784" s="109">
        <f t="shared" si="30"/>
        <v>1005.1875</v>
      </c>
      <c r="V784" s="109">
        <f t="shared" si="31"/>
        <v>4717.5625</v>
      </c>
      <c r="W784" s="110">
        <f t="shared" si="32"/>
        <v>836.25</v>
      </c>
      <c r="X784" s="106">
        <f t="shared" si="33"/>
        <v>9326.6875</v>
      </c>
      <c r="Y784" s="39"/>
      <c r="Z784" s="39"/>
      <c r="AA784" s="39"/>
      <c r="AB784" s="39"/>
      <c r="AC784" s="39"/>
      <c r="AD784" s="39"/>
      <c r="AE784" s="39"/>
      <c r="AF784" s="39"/>
      <c r="AG784" s="39"/>
      <c r="AH784" s="65"/>
    </row>
    <row r="785" spans="1:34" x14ac:dyDescent="0.25">
      <c r="A785" s="105">
        <f t="shared" si="34"/>
        <v>39785</v>
      </c>
      <c r="B785" s="59">
        <f>SUM('Weekly Data'!D782:D785)/4</f>
        <v>1210.75</v>
      </c>
      <c r="C785" s="90">
        <f>SUM('Weekly Data'!E782:E785)/4</f>
        <v>1049.75</v>
      </c>
      <c r="D785" s="90">
        <f>SUM('Weekly Data'!F782:F785)/4</f>
        <v>1203</v>
      </c>
      <c r="E785" s="90">
        <f>SUM('Weekly Data'!G782:G785)/4</f>
        <v>3837</v>
      </c>
      <c r="F785" s="90">
        <f>SUM('Weekly Data'!H782:H785)/4</f>
        <v>630.25</v>
      </c>
      <c r="G785" s="90">
        <f>SUM('Weekly Data'!I782:I785)/4</f>
        <v>6727.75</v>
      </c>
      <c r="H785" s="202">
        <f>SUM('Weekly Data'!J782:J785)/4</f>
        <v>2051.4749999999999</v>
      </c>
      <c r="I785" s="39"/>
      <c r="J785" s="101">
        <f>AVERAGE('Weekly Data'!D733,'Weekly Data'!D681,'Weekly Data'!D629,'Weekly Data'!D577)</f>
        <v>1685.25</v>
      </c>
      <c r="K785" s="16">
        <f>AVERAGE('Weekly Data'!E733,'Weekly Data'!E681,'Weekly Data'!E629,'Weekly Data'!E577)</f>
        <v>1884.25</v>
      </c>
      <c r="L785" s="16">
        <f>AVERAGE('Weekly Data'!F733,'Weekly Data'!F681,'Weekly Data'!F629,'Weekly Data'!F577)</f>
        <v>1156.75</v>
      </c>
      <c r="M785" s="16">
        <f>AVERAGE('Weekly Data'!G733,'Weekly Data'!G681,'Weekly Data'!G629,'Weekly Data'!G577)</f>
        <v>4188.75</v>
      </c>
      <c r="N785" s="16">
        <f>AVERAGE('Weekly Data'!H733,'Weekly Data'!H681,'Weekly Data'!H629,'Weekly Data'!H577)</f>
        <v>729</v>
      </c>
      <c r="O785" s="101">
        <f>AVERAGE('Weekly Data'!I733,'Weekly Data'!I681,'Weekly Data'!I629,'Weekly Data'!I577)</f>
        <v>8487.25</v>
      </c>
      <c r="P785" s="203"/>
      <c r="Q785" s="39"/>
      <c r="R785" s="13">
        <v>39785</v>
      </c>
      <c r="S785" s="106">
        <f t="shared" si="28"/>
        <v>1623.6875</v>
      </c>
      <c r="T785" s="106">
        <f t="shared" si="29"/>
        <v>2044.875</v>
      </c>
      <c r="U785" s="109">
        <f t="shared" si="30"/>
        <v>1024.8125</v>
      </c>
      <c r="V785" s="109">
        <f t="shared" si="31"/>
        <v>4666.1875</v>
      </c>
      <c r="W785" s="110">
        <f t="shared" si="32"/>
        <v>828.4375</v>
      </c>
      <c r="X785" s="106">
        <f t="shared" si="33"/>
        <v>9163.1875</v>
      </c>
      <c r="Y785" s="39"/>
      <c r="Z785" s="39"/>
      <c r="AA785" s="39"/>
      <c r="AB785" s="39"/>
      <c r="AC785" s="39"/>
      <c r="AD785" s="39"/>
      <c r="AE785" s="39"/>
      <c r="AF785" s="39"/>
      <c r="AG785" s="39"/>
      <c r="AH785" s="65"/>
    </row>
    <row r="786" spans="1:34" x14ac:dyDescent="0.25">
      <c r="A786" s="105">
        <f t="shared" si="34"/>
        <v>39792</v>
      </c>
      <c r="B786" s="59">
        <f>SUM('Weekly Data'!D783:D786)/4</f>
        <v>1140.25</v>
      </c>
      <c r="C786" s="90">
        <f>SUM('Weekly Data'!E783:E786)/4</f>
        <v>1000.5</v>
      </c>
      <c r="D786" s="90">
        <f>SUM('Weekly Data'!F783:F786)/4</f>
        <v>1182.75</v>
      </c>
      <c r="E786" s="90">
        <f>SUM('Weekly Data'!G783:G786)/4</f>
        <v>4078.5</v>
      </c>
      <c r="F786" s="90">
        <f>SUM('Weekly Data'!H783:H786)/4</f>
        <v>726.75</v>
      </c>
      <c r="G786" s="90">
        <f>SUM('Weekly Data'!I783:I786)/4</f>
        <v>6946</v>
      </c>
      <c r="H786" s="202">
        <f>SUM('Weekly Data'!J783:J786)/4</f>
        <v>1821.3374999999999</v>
      </c>
      <c r="I786" s="39"/>
      <c r="J786" s="101">
        <f>AVERAGE('Weekly Data'!D734,'Weekly Data'!D682,'Weekly Data'!D630,'Weekly Data'!D578)</f>
        <v>1533.5</v>
      </c>
      <c r="K786" s="16">
        <f>AVERAGE('Weekly Data'!E734,'Weekly Data'!E682,'Weekly Data'!E630,'Weekly Data'!E578)</f>
        <v>1945.25</v>
      </c>
      <c r="L786" s="16">
        <f>AVERAGE('Weekly Data'!F734,'Weekly Data'!F682,'Weekly Data'!F630,'Weekly Data'!F578)</f>
        <v>1168</v>
      </c>
      <c r="M786" s="16">
        <f>AVERAGE('Weekly Data'!G734,'Weekly Data'!G682,'Weekly Data'!G630,'Weekly Data'!G578)</f>
        <v>5044.75</v>
      </c>
      <c r="N786" s="16">
        <f>AVERAGE('Weekly Data'!H734,'Weekly Data'!H682,'Weekly Data'!H630,'Weekly Data'!H578)</f>
        <v>656.75</v>
      </c>
      <c r="O786" s="101">
        <f>AVERAGE('Weekly Data'!I734,'Weekly Data'!I682,'Weekly Data'!I630,'Weekly Data'!I578)</f>
        <v>9180.25</v>
      </c>
      <c r="P786" s="203"/>
      <c r="Q786" s="39"/>
      <c r="R786" s="13">
        <v>39792</v>
      </c>
      <c r="S786" s="106">
        <f t="shared" si="28"/>
        <v>1575</v>
      </c>
      <c r="T786" s="106">
        <f t="shared" si="29"/>
        <v>2004.5625</v>
      </c>
      <c r="U786" s="109">
        <f t="shared" si="30"/>
        <v>1076.6875</v>
      </c>
      <c r="V786" s="109">
        <f t="shared" si="31"/>
        <v>4684.8125</v>
      </c>
      <c r="W786" s="110">
        <f t="shared" si="32"/>
        <v>743.6875</v>
      </c>
      <c r="X786" s="106">
        <f t="shared" si="33"/>
        <v>9008.0625</v>
      </c>
      <c r="Y786" s="39"/>
      <c r="Z786" s="39"/>
      <c r="AA786" s="39"/>
      <c r="AB786" s="39"/>
      <c r="AC786" s="39"/>
      <c r="AD786" s="39"/>
      <c r="AE786" s="39"/>
      <c r="AF786" s="39"/>
      <c r="AG786" s="39"/>
      <c r="AH786" s="65"/>
    </row>
    <row r="787" spans="1:34" x14ac:dyDescent="0.25">
      <c r="A787" s="105">
        <f t="shared" si="34"/>
        <v>39799</v>
      </c>
      <c r="B787" s="59">
        <f>SUM('Weekly Data'!D784:D787)/4</f>
        <v>1064.25</v>
      </c>
      <c r="C787" s="90">
        <f>SUM('Weekly Data'!E784:E787)/4</f>
        <v>960.75</v>
      </c>
      <c r="D787" s="90">
        <f>SUM('Weekly Data'!F784:F787)/4</f>
        <v>975.25</v>
      </c>
      <c r="E787" s="90">
        <f>SUM('Weekly Data'!G784:G787)/4</f>
        <v>3799.75</v>
      </c>
      <c r="F787" s="90">
        <f>SUM('Weekly Data'!H784:H787)/4</f>
        <v>619.75</v>
      </c>
      <c r="G787" s="90">
        <f>SUM('Weekly Data'!I784:I787)/4</f>
        <v>6444.5</v>
      </c>
      <c r="H787" s="202">
        <f>SUM('Weekly Data'!J784:J787)/4</f>
        <v>1690.0124999999998</v>
      </c>
      <c r="I787" s="39"/>
      <c r="J787" s="101">
        <f>AVERAGE('Weekly Data'!D735,'Weekly Data'!D683,'Weekly Data'!D631,'Weekly Data'!D579)</f>
        <v>1435.5</v>
      </c>
      <c r="K787" s="16">
        <f>AVERAGE('Weekly Data'!E735,'Weekly Data'!E683,'Weekly Data'!E631,'Weekly Data'!E579)</f>
        <v>2004.75</v>
      </c>
      <c r="L787" s="16">
        <f>AVERAGE('Weekly Data'!F735,'Weekly Data'!F683,'Weekly Data'!F631,'Weekly Data'!F579)</f>
        <v>1142.25</v>
      </c>
      <c r="M787" s="16">
        <f>AVERAGE('Weekly Data'!G735,'Weekly Data'!G683,'Weekly Data'!G631,'Weekly Data'!G579)</f>
        <v>4886</v>
      </c>
      <c r="N787" s="16">
        <f>AVERAGE('Weekly Data'!H735,'Weekly Data'!H683,'Weekly Data'!H631,'Weekly Data'!H579)</f>
        <v>389.25</v>
      </c>
      <c r="O787" s="101">
        <f>AVERAGE('Weekly Data'!I735,'Weekly Data'!I683,'Weekly Data'!I631,'Weekly Data'!I579)</f>
        <v>8715.5</v>
      </c>
      <c r="P787" s="203"/>
      <c r="Q787" s="39"/>
      <c r="R787" s="13">
        <v>39799</v>
      </c>
      <c r="S787" s="106">
        <f t="shared" si="28"/>
        <v>1549.25</v>
      </c>
      <c r="T787" s="106">
        <f t="shared" si="29"/>
        <v>1999.75</v>
      </c>
      <c r="U787" s="109">
        <f t="shared" si="30"/>
        <v>1135.75</v>
      </c>
      <c r="V787" s="109">
        <f t="shared" si="31"/>
        <v>4545.125</v>
      </c>
      <c r="W787" s="110">
        <f t="shared" si="32"/>
        <v>619.625</v>
      </c>
      <c r="X787" s="106">
        <f t="shared" si="33"/>
        <v>8713.75</v>
      </c>
      <c r="Y787" s="39"/>
      <c r="Z787" s="39"/>
      <c r="AA787" s="39"/>
      <c r="AB787" s="39"/>
      <c r="AC787" s="39"/>
      <c r="AD787" s="39"/>
      <c r="AE787" s="39"/>
      <c r="AF787" s="39"/>
      <c r="AG787" s="39"/>
      <c r="AH787" s="65"/>
    </row>
    <row r="788" spans="1:34" x14ac:dyDescent="0.25">
      <c r="A788" s="105">
        <f t="shared" si="34"/>
        <v>39806</v>
      </c>
      <c r="B788" s="59">
        <f>SUM('Weekly Data'!D785:D788)/4</f>
        <v>966</v>
      </c>
      <c r="C788" s="90">
        <f>SUM('Weekly Data'!E785:E788)/4</f>
        <v>787</v>
      </c>
      <c r="D788" s="90">
        <f>SUM('Weekly Data'!F785:F788)/4</f>
        <v>968.75</v>
      </c>
      <c r="E788" s="90">
        <f>SUM('Weekly Data'!G785:G788)/4</f>
        <v>3372.75</v>
      </c>
      <c r="F788" s="90">
        <f>SUM('Weekly Data'!H785:H788)/4</f>
        <v>586</v>
      </c>
      <c r="G788" s="90">
        <f>SUM('Weekly Data'!I785:I788)/4</f>
        <v>5711.75</v>
      </c>
      <c r="H788" s="202">
        <f>SUM('Weekly Data'!J785:J788)/4</f>
        <v>1448.8249999999998</v>
      </c>
      <c r="I788" s="39"/>
      <c r="J788" s="101">
        <f>AVERAGE('Weekly Data'!D736,'Weekly Data'!D684,'Weekly Data'!D632,'Weekly Data'!D580)</f>
        <v>1397.25</v>
      </c>
      <c r="K788" s="16">
        <f>AVERAGE('Weekly Data'!E736,'Weekly Data'!E684,'Weekly Data'!E632,'Weekly Data'!E580)</f>
        <v>1520.75</v>
      </c>
      <c r="L788" s="16">
        <f>AVERAGE('Weekly Data'!F736,'Weekly Data'!F684,'Weekly Data'!F632,'Weekly Data'!F580)</f>
        <v>968</v>
      </c>
      <c r="M788" s="16">
        <f>AVERAGE('Weekly Data'!G736,'Weekly Data'!G684,'Weekly Data'!G632,'Weekly Data'!G580)</f>
        <v>3721.75</v>
      </c>
      <c r="N788" s="16">
        <f>AVERAGE('Weekly Data'!H736,'Weekly Data'!H684,'Weekly Data'!H632,'Weekly Data'!H580)</f>
        <v>515.5</v>
      </c>
      <c r="O788" s="101">
        <f>AVERAGE('Weekly Data'!I736,'Weekly Data'!I684,'Weekly Data'!I632,'Weekly Data'!I580)</f>
        <v>7155.25</v>
      </c>
      <c r="P788" s="203"/>
      <c r="Q788" s="39"/>
      <c r="R788" s="13">
        <v>39806</v>
      </c>
      <c r="S788" s="106">
        <f t="shared" si="28"/>
        <v>1495.3125</v>
      </c>
      <c r="T788" s="106">
        <f t="shared" si="29"/>
        <v>1880.9375</v>
      </c>
      <c r="U788" s="109">
        <f t="shared" si="30"/>
        <v>1147.5</v>
      </c>
      <c r="V788" s="109">
        <f t="shared" si="31"/>
        <v>4497.8125</v>
      </c>
      <c r="W788" s="110">
        <f t="shared" si="32"/>
        <v>587</v>
      </c>
      <c r="X788" s="106">
        <f t="shared" si="33"/>
        <v>8461.0625</v>
      </c>
      <c r="Y788" s="39"/>
      <c r="Z788" s="39"/>
      <c r="AA788" s="39"/>
      <c r="AB788" s="39"/>
      <c r="AC788" s="39"/>
      <c r="AD788" s="39"/>
      <c r="AE788" s="39"/>
      <c r="AF788" s="39"/>
      <c r="AG788" s="39"/>
      <c r="AH788" s="65"/>
    </row>
    <row r="789" spans="1:34" x14ac:dyDescent="0.25">
      <c r="A789" s="105">
        <f t="shared" si="34"/>
        <v>39813</v>
      </c>
      <c r="B789" s="59">
        <f>SUM('Weekly Data'!D786:D789)/4</f>
        <v>839.25</v>
      </c>
      <c r="C789" s="90">
        <f>SUM('Weekly Data'!E786:E789)/4</f>
        <v>811</v>
      </c>
      <c r="D789" s="90">
        <f>SUM('Weekly Data'!F786:F789)/4</f>
        <v>768.5</v>
      </c>
      <c r="E789" s="90">
        <f>SUM('Weekly Data'!G786:G789)/4</f>
        <v>2839.5</v>
      </c>
      <c r="F789" s="90">
        <f>SUM('Weekly Data'!H786:H789)/4</f>
        <v>545.5</v>
      </c>
      <c r="G789" s="90">
        <f>SUM('Weekly Data'!I786:I789)/4</f>
        <v>5035.25</v>
      </c>
      <c r="H789" s="202">
        <f>SUM('Weekly Data'!J786:J789)/4</f>
        <v>1399.7375</v>
      </c>
      <c r="I789" s="39"/>
      <c r="J789" s="101">
        <f>AVERAGE('Weekly Data'!D737,'Weekly Data'!D685,'Weekly Data'!D633,'Weekly Data'!D581)</f>
        <v>1249.25</v>
      </c>
      <c r="K789" s="16">
        <f>AVERAGE('Weekly Data'!E737,'Weekly Data'!E685,'Weekly Data'!E633,'Weekly Data'!E581)</f>
        <v>2026.75</v>
      </c>
      <c r="L789" s="16">
        <f>AVERAGE('Weekly Data'!F737,'Weekly Data'!F685,'Weekly Data'!F633,'Weekly Data'!F581)</f>
        <v>864.5</v>
      </c>
      <c r="M789" s="16">
        <f>AVERAGE('Weekly Data'!G737,'Weekly Data'!G685,'Weekly Data'!G633,'Weekly Data'!G581)</f>
        <v>4033.25</v>
      </c>
      <c r="N789" s="16">
        <f>AVERAGE('Weekly Data'!H737,'Weekly Data'!H685,'Weekly Data'!H633,'Weekly Data'!H581)</f>
        <v>593.25</v>
      </c>
      <c r="O789" s="101">
        <f>AVERAGE('Weekly Data'!I737,'Weekly Data'!I685,'Weekly Data'!I633,'Weekly Data'!I581)</f>
        <v>7902.5</v>
      </c>
      <c r="P789" s="203"/>
      <c r="Q789" s="39"/>
      <c r="R789" s="13">
        <f t="shared" ref="R789:R820" si="35">R788+7</f>
        <v>39813</v>
      </c>
      <c r="S789" s="106">
        <f t="shared" si="28"/>
        <v>1401</v>
      </c>
      <c r="T789" s="106">
        <f t="shared" si="29"/>
        <v>1860.5</v>
      </c>
      <c r="U789" s="109">
        <f t="shared" si="30"/>
        <v>1020.375</v>
      </c>
      <c r="V789" s="109">
        <f t="shared" si="31"/>
        <v>4441.3125</v>
      </c>
      <c r="W789" s="110">
        <f t="shared" si="32"/>
        <v>537.6875</v>
      </c>
      <c r="X789" s="106">
        <f t="shared" si="33"/>
        <v>8240.5</v>
      </c>
      <c r="Y789" s="39"/>
      <c r="Z789" s="39"/>
      <c r="AA789" s="39"/>
      <c r="AB789" s="39"/>
      <c r="AC789" s="39"/>
      <c r="AD789" s="39"/>
      <c r="AE789" s="39"/>
      <c r="AF789" s="39"/>
      <c r="AG789" s="39"/>
      <c r="AH789" s="65"/>
    </row>
    <row r="790" spans="1:34" x14ac:dyDescent="0.25">
      <c r="A790" s="105">
        <f t="shared" si="34"/>
        <v>39820</v>
      </c>
      <c r="B790" s="59">
        <f>SUM('Weekly Data'!D787:D790)/4</f>
        <v>757</v>
      </c>
      <c r="C790" s="90">
        <f>SUM('Weekly Data'!E787:E790)/4</f>
        <v>814</v>
      </c>
      <c r="D790" s="90">
        <f>SUM('Weekly Data'!F787:F790)/4</f>
        <v>790.75</v>
      </c>
      <c r="E790" s="90">
        <f>SUM('Weekly Data'!G787:G790)/4</f>
        <v>2247.75</v>
      </c>
      <c r="F790" s="90">
        <f>SUM('Weekly Data'!H787:H790)/4</f>
        <v>476</v>
      </c>
      <c r="G790" s="90">
        <f>SUM('Weekly Data'!I787:I790)/4</f>
        <v>4294.75</v>
      </c>
      <c r="H790" s="202">
        <f>SUM('Weekly Data'!J787:J790)/4</f>
        <v>1294.125</v>
      </c>
      <c r="I790" s="39"/>
      <c r="J790" s="101">
        <f>AVERAGE('Weekly Data'!D738,'Weekly Data'!D686,'Weekly Data'!D634,'Weekly Data'!D582)</f>
        <v>1578</v>
      </c>
      <c r="K790" s="16">
        <f>AVERAGE('Weekly Data'!E738,'Weekly Data'!E686,'Weekly Data'!E634,'Weekly Data'!E582)</f>
        <v>2080.5</v>
      </c>
      <c r="L790" s="16">
        <f>AVERAGE('Weekly Data'!F738,'Weekly Data'!F686,'Weekly Data'!F634,'Weekly Data'!F582)</f>
        <v>634</v>
      </c>
      <c r="M790" s="16">
        <f>AVERAGE('Weekly Data'!G738,'Weekly Data'!G686,'Weekly Data'!G634,'Weekly Data'!G582)</f>
        <v>4504</v>
      </c>
      <c r="N790" s="16">
        <f>AVERAGE('Weekly Data'!H738,'Weekly Data'!H686,'Weekly Data'!H634,'Weekly Data'!H582)</f>
        <v>838.25</v>
      </c>
      <c r="O790" s="101">
        <f>AVERAGE('Weekly Data'!I738,'Weekly Data'!I686,'Weekly Data'!I634,'Weekly Data'!I582)</f>
        <v>9000.75</v>
      </c>
      <c r="P790" s="203"/>
      <c r="Q790" s="39"/>
      <c r="R790" s="13">
        <f t="shared" si="35"/>
        <v>39820</v>
      </c>
      <c r="S790" s="106">
        <f t="shared" si="28"/>
        <v>1404.6875</v>
      </c>
      <c r="T790" s="106">
        <f t="shared" si="29"/>
        <v>1951.4375</v>
      </c>
      <c r="U790" s="109">
        <f t="shared" si="30"/>
        <v>959.4375</v>
      </c>
      <c r="V790" s="109">
        <f t="shared" si="31"/>
        <v>4299.125</v>
      </c>
      <c r="W790" s="110">
        <f t="shared" si="32"/>
        <v>578.6875</v>
      </c>
      <c r="X790" s="106">
        <f t="shared" si="33"/>
        <v>8233.9375</v>
      </c>
      <c r="Y790" s="39"/>
      <c r="Z790" s="39"/>
      <c r="AA790" s="39"/>
      <c r="AB790" s="39"/>
      <c r="AC790" s="39"/>
      <c r="AD790" s="39"/>
      <c r="AE790" s="39"/>
      <c r="AF790" s="39"/>
      <c r="AG790" s="39"/>
      <c r="AH790" s="65"/>
    </row>
    <row r="791" spans="1:34" x14ac:dyDescent="0.25">
      <c r="A791" s="105">
        <f t="shared" si="34"/>
        <v>39827</v>
      </c>
      <c r="B791" s="59">
        <f>SUM('Weekly Data'!D788:D791)/4</f>
        <v>785.5</v>
      </c>
      <c r="C791" s="90">
        <f>SUM('Weekly Data'!E788:E791)/4</f>
        <v>792</v>
      </c>
      <c r="D791" s="90">
        <f>SUM('Weekly Data'!F788:F791)/4</f>
        <v>795.5</v>
      </c>
      <c r="E791" s="90">
        <f>SUM('Weekly Data'!G788:G791)/4</f>
        <v>2279</v>
      </c>
      <c r="F791" s="90">
        <f>SUM('Weekly Data'!H788:H791)/4</f>
        <v>449.5</v>
      </c>
      <c r="G791" s="90">
        <f>SUM('Weekly Data'!I788:I791)/4</f>
        <v>4306</v>
      </c>
      <c r="H791" s="202">
        <f>SUM('Weekly Data'!J788:J791)/4</f>
        <v>1359.0901782735195</v>
      </c>
      <c r="I791" s="39"/>
      <c r="J791" s="101">
        <f>AVERAGE('Weekly Data'!D739,'Weekly Data'!D687,'Weekly Data'!D635,'Weekly Data'!D583)</f>
        <v>2051.5</v>
      </c>
      <c r="K791" s="16">
        <f>AVERAGE('Weekly Data'!E739,'Weekly Data'!E687,'Weekly Data'!E635,'Weekly Data'!E583)</f>
        <v>1821.25</v>
      </c>
      <c r="L791" s="16">
        <f>AVERAGE('Weekly Data'!F739,'Weekly Data'!F687,'Weekly Data'!F635,'Weekly Data'!F583)</f>
        <v>711.75</v>
      </c>
      <c r="M791" s="16">
        <f>AVERAGE('Weekly Data'!G739,'Weekly Data'!G687,'Weekly Data'!G635,'Weekly Data'!G583)</f>
        <v>4509.75</v>
      </c>
      <c r="N791" s="16">
        <f>AVERAGE('Weekly Data'!H739,'Weekly Data'!H687,'Weekly Data'!H635,'Weekly Data'!H583)</f>
        <v>603.75</v>
      </c>
      <c r="O791" s="101">
        <f>AVERAGE('Weekly Data'!I739,'Weekly Data'!I687,'Weekly Data'!I635,'Weekly Data'!I583)</f>
        <v>8986.25</v>
      </c>
      <c r="P791" s="203"/>
      <c r="Q791" s="39"/>
      <c r="R791" s="13">
        <f t="shared" si="35"/>
        <v>39827</v>
      </c>
      <c r="S791" s="106">
        <f t="shared" si="28"/>
        <v>1516.4375</v>
      </c>
      <c r="T791" s="106">
        <f t="shared" si="29"/>
        <v>1862.875</v>
      </c>
      <c r="U791" s="109">
        <f t="shared" si="30"/>
        <v>863.875</v>
      </c>
      <c r="V791" s="109">
        <f t="shared" si="31"/>
        <v>4254</v>
      </c>
      <c r="W791" s="110">
        <f t="shared" si="32"/>
        <v>630.0625</v>
      </c>
      <c r="X791" s="106">
        <f t="shared" si="33"/>
        <v>8263.375</v>
      </c>
      <c r="Y791" s="39"/>
      <c r="Z791" s="39"/>
      <c r="AA791" s="39"/>
      <c r="AB791" s="39"/>
      <c r="AC791" s="39"/>
      <c r="AD791" s="39"/>
      <c r="AE791" s="39"/>
      <c r="AF791" s="39"/>
      <c r="AG791" s="39"/>
      <c r="AH791" s="65"/>
    </row>
    <row r="792" spans="1:34" x14ac:dyDescent="0.25">
      <c r="A792" s="105">
        <f t="shared" si="34"/>
        <v>39834</v>
      </c>
      <c r="B792" s="59">
        <f>SUM('Weekly Data'!D789:D792)/4</f>
        <v>797.25</v>
      </c>
      <c r="C792" s="90">
        <f>SUM('Weekly Data'!E789:E792)/4</f>
        <v>861.25</v>
      </c>
      <c r="D792" s="90">
        <f>SUM('Weekly Data'!F789:F792)/4</f>
        <v>674</v>
      </c>
      <c r="E792" s="90">
        <f>SUM('Weekly Data'!G789:G792)/4</f>
        <v>2632.25</v>
      </c>
      <c r="F792" s="90">
        <f>SUM('Weekly Data'!H789:H792)/4</f>
        <v>477.25</v>
      </c>
      <c r="G792" s="90">
        <f>SUM('Weekly Data'!I789:I792)/4</f>
        <v>4768</v>
      </c>
      <c r="H792" s="202">
        <f>SUM('Weekly Data'!J789:J792)/4</f>
        <v>1347.6957970758206</v>
      </c>
      <c r="I792" s="39"/>
      <c r="J792" s="101">
        <f>AVERAGE('Weekly Data'!D740,'Weekly Data'!D688,'Weekly Data'!D636,'Weekly Data'!D584)</f>
        <v>2040</v>
      </c>
      <c r="K792" s="16">
        <f>AVERAGE('Weekly Data'!E740,'Weekly Data'!E688,'Weekly Data'!E636,'Weekly Data'!E584)</f>
        <v>2168.5</v>
      </c>
      <c r="L792" s="16">
        <f>AVERAGE('Weekly Data'!F740,'Weekly Data'!F688,'Weekly Data'!F636,'Weekly Data'!F584)</f>
        <v>834.25</v>
      </c>
      <c r="M792" s="16">
        <f>AVERAGE('Weekly Data'!G740,'Weekly Data'!G688,'Weekly Data'!G636,'Weekly Data'!G584)</f>
        <v>5059</v>
      </c>
      <c r="N792" s="16">
        <f>AVERAGE('Weekly Data'!H740,'Weekly Data'!H688,'Weekly Data'!H636,'Weekly Data'!H584)</f>
        <v>705.25</v>
      </c>
      <c r="O792" s="101">
        <f>AVERAGE('Weekly Data'!I740,'Weekly Data'!I688,'Weekly Data'!I636,'Weekly Data'!I584)</f>
        <v>9972.75</v>
      </c>
      <c r="P792" s="203"/>
      <c r="Q792" s="39"/>
      <c r="R792" s="13">
        <f t="shared" si="35"/>
        <v>39834</v>
      </c>
      <c r="S792" s="106">
        <f t="shared" si="28"/>
        <v>1672.4375</v>
      </c>
      <c r="T792" s="106">
        <f t="shared" si="29"/>
        <v>1947.375</v>
      </c>
      <c r="U792" s="109">
        <f t="shared" si="30"/>
        <v>791.375</v>
      </c>
      <c r="V792" s="109">
        <f t="shared" si="31"/>
        <v>4468.875</v>
      </c>
      <c r="W792" s="110">
        <f t="shared" si="32"/>
        <v>673.125</v>
      </c>
      <c r="X792" s="106">
        <f t="shared" si="33"/>
        <v>8761.8125</v>
      </c>
      <c r="Y792" s="39"/>
      <c r="Z792" s="39"/>
      <c r="AA792" s="39"/>
      <c r="AB792" s="39"/>
      <c r="AC792" s="39"/>
      <c r="AD792" s="39"/>
      <c r="AE792" s="39"/>
      <c r="AF792" s="39"/>
      <c r="AG792" s="39"/>
      <c r="AH792" s="65"/>
    </row>
    <row r="793" spans="1:34" x14ac:dyDescent="0.25">
      <c r="A793" s="105">
        <f t="shared" si="34"/>
        <v>39841</v>
      </c>
      <c r="B793" s="59">
        <f>SUM('Weekly Data'!D790:D793)/4</f>
        <v>903.25</v>
      </c>
      <c r="C793" s="90">
        <f>SUM('Weekly Data'!E790:E793)/4</f>
        <v>731.5</v>
      </c>
      <c r="D793" s="90">
        <f>SUM('Weekly Data'!F790:F793)/4</f>
        <v>852</v>
      </c>
      <c r="E793" s="90">
        <f>SUM('Weekly Data'!G790:G793)/4</f>
        <v>2883.75</v>
      </c>
      <c r="F793" s="90">
        <f>SUM('Weekly Data'!H790:H793)/4</f>
        <v>579.5</v>
      </c>
      <c r="G793" s="90">
        <f>SUM('Weekly Data'!I790:I793)/4</f>
        <v>5098</v>
      </c>
      <c r="H793" s="202">
        <f>SUM('Weekly Data'!J790:J793)/4</f>
        <v>1298.3723057108919</v>
      </c>
      <c r="I793" s="39"/>
      <c r="J793" s="101">
        <f>AVERAGE('Weekly Data'!D741,'Weekly Data'!D689,'Weekly Data'!D637,'Weekly Data'!D585)</f>
        <v>1669.75</v>
      </c>
      <c r="K793" s="16">
        <f>AVERAGE('Weekly Data'!E741,'Weekly Data'!E689,'Weekly Data'!E637,'Weekly Data'!E585)</f>
        <v>2207</v>
      </c>
      <c r="L793" s="16">
        <f>AVERAGE('Weekly Data'!F741,'Weekly Data'!F689,'Weekly Data'!F637,'Weekly Data'!F585)</f>
        <v>631.75</v>
      </c>
      <c r="M793" s="16">
        <f>AVERAGE('Weekly Data'!G741,'Weekly Data'!G689,'Weekly Data'!G637,'Weekly Data'!G585)</f>
        <v>4723.75</v>
      </c>
      <c r="N793" s="16">
        <f>AVERAGE('Weekly Data'!H741,'Weekly Data'!H689,'Weekly Data'!H637,'Weekly Data'!H585)</f>
        <v>831.75</v>
      </c>
      <c r="O793" s="101">
        <f>AVERAGE('Weekly Data'!I741,'Weekly Data'!I689,'Weekly Data'!I637,'Weekly Data'!I585)</f>
        <v>9432.25</v>
      </c>
      <c r="P793" s="203"/>
      <c r="Q793" s="39"/>
      <c r="R793" s="13">
        <f t="shared" si="35"/>
        <v>39841</v>
      </c>
      <c r="S793" s="106">
        <f t="shared" si="28"/>
        <v>1818.625</v>
      </c>
      <c r="T793" s="106">
        <f t="shared" si="29"/>
        <v>2046.75</v>
      </c>
      <c r="U793" s="109">
        <f t="shared" si="30"/>
        <v>760.4375</v>
      </c>
      <c r="V793" s="109">
        <f t="shared" si="31"/>
        <v>4617.4375</v>
      </c>
      <c r="W793" s="110">
        <f t="shared" si="32"/>
        <v>738.8125</v>
      </c>
      <c r="X793" s="106">
        <f t="shared" si="33"/>
        <v>9221.625</v>
      </c>
      <c r="Y793" s="39"/>
      <c r="Z793" s="39"/>
      <c r="AA793" s="39"/>
      <c r="AB793" s="39"/>
      <c r="AC793" s="39"/>
      <c r="AD793" s="39"/>
      <c r="AE793" s="39"/>
      <c r="AF793" s="39"/>
      <c r="AG793" s="39"/>
      <c r="AH793" s="65"/>
    </row>
    <row r="794" spans="1:34" x14ac:dyDescent="0.25">
      <c r="A794" s="105">
        <f t="shared" si="34"/>
        <v>39848</v>
      </c>
      <c r="B794" s="59">
        <f>SUM('Weekly Data'!D791:D794)/4</f>
        <v>983.25</v>
      </c>
      <c r="C794" s="90">
        <f>SUM('Weekly Data'!E791:E794)/4</f>
        <v>929</v>
      </c>
      <c r="D794" s="90">
        <f>SUM('Weekly Data'!F791:F794)/4</f>
        <v>720</v>
      </c>
      <c r="E794" s="90">
        <f>SUM('Weekly Data'!G791:G794)/4</f>
        <v>3567</v>
      </c>
      <c r="F794" s="90">
        <f>SUM('Weekly Data'!H791:H794)/4</f>
        <v>623.75</v>
      </c>
      <c r="G794" s="90">
        <f>SUM('Weekly Data'!I791:I794)/4</f>
        <v>6103</v>
      </c>
      <c r="H794" s="202">
        <f>SUM('Weekly Data'!J791:J794)/4</f>
        <v>1382.3458751518144</v>
      </c>
      <c r="I794" s="39"/>
      <c r="J794" s="101">
        <f>AVERAGE('Weekly Data'!D742,'Weekly Data'!D690,'Weekly Data'!D638,'Weekly Data'!D586)</f>
        <v>1707.75</v>
      </c>
      <c r="K794" s="16">
        <f>AVERAGE('Weekly Data'!E742,'Weekly Data'!E690,'Weekly Data'!E638,'Weekly Data'!E586)</f>
        <v>1798.75</v>
      </c>
      <c r="L794" s="16">
        <f>AVERAGE('Weekly Data'!F742,'Weekly Data'!F690,'Weekly Data'!F638,'Weekly Data'!F586)</f>
        <v>663.5</v>
      </c>
      <c r="M794" s="16">
        <f>AVERAGE('Weekly Data'!G742,'Weekly Data'!G690,'Weekly Data'!G638,'Weekly Data'!G586)</f>
        <v>4514</v>
      </c>
      <c r="N794" s="16">
        <f>AVERAGE('Weekly Data'!H742,'Weekly Data'!H690,'Weekly Data'!H638,'Weekly Data'!H586)</f>
        <v>542.5</v>
      </c>
      <c r="O794" s="101">
        <f>AVERAGE('Weekly Data'!I742,'Weekly Data'!I690,'Weekly Data'!I638,'Weekly Data'!I586)</f>
        <v>8563</v>
      </c>
      <c r="P794" s="203"/>
      <c r="Q794" s="39"/>
      <c r="R794" s="13">
        <f t="shared" si="35"/>
        <v>39848</v>
      </c>
      <c r="S794" s="106">
        <f t="shared" si="28"/>
        <v>1862.4375</v>
      </c>
      <c r="T794" s="106">
        <f t="shared" si="29"/>
        <v>1976.5625</v>
      </c>
      <c r="U794" s="109">
        <f t="shared" si="30"/>
        <v>698.5625</v>
      </c>
      <c r="V794" s="109">
        <f t="shared" si="31"/>
        <v>4630.1875</v>
      </c>
      <c r="W794" s="110">
        <f t="shared" si="32"/>
        <v>674.5625</v>
      </c>
      <c r="X794" s="106">
        <f t="shared" si="33"/>
        <v>9143.75</v>
      </c>
      <c r="Y794" s="39"/>
      <c r="Z794" s="39"/>
      <c r="AA794" s="39"/>
      <c r="AB794" s="39"/>
      <c r="AC794" s="39"/>
      <c r="AD794" s="39"/>
      <c r="AE794" s="39"/>
      <c r="AF794" s="39"/>
      <c r="AG794" s="39"/>
      <c r="AH794" s="65"/>
    </row>
    <row r="795" spans="1:34" x14ac:dyDescent="0.25">
      <c r="A795" s="105">
        <f t="shared" si="34"/>
        <v>39855</v>
      </c>
      <c r="B795" s="59">
        <f>SUM('Weekly Data'!D792:D795)/4</f>
        <v>1079.25</v>
      </c>
      <c r="C795" s="90">
        <f>SUM('Weekly Data'!E792:E795)/4</f>
        <v>1147.5</v>
      </c>
      <c r="D795" s="90">
        <f>SUM('Weekly Data'!F792:F795)/4</f>
        <v>781.75</v>
      </c>
      <c r="E795" s="90">
        <f>SUM('Weekly Data'!G792:G795)/4</f>
        <v>3781.25</v>
      </c>
      <c r="F795" s="90">
        <f>SUM('Weekly Data'!H792:H795)/4</f>
        <v>676.25</v>
      </c>
      <c r="G795" s="90">
        <f>SUM('Weekly Data'!I792:I795)/4</f>
        <v>6684.25</v>
      </c>
      <c r="H795" s="202">
        <f>SUM('Weekly Data'!J792:J795)/4</f>
        <v>1128.8912995315441</v>
      </c>
      <c r="I795" s="39"/>
      <c r="J795" s="101">
        <f>AVERAGE('Weekly Data'!D743,'Weekly Data'!D691,'Weekly Data'!D639,'Weekly Data'!D587)</f>
        <v>1744.25</v>
      </c>
      <c r="K795" s="16">
        <f>AVERAGE('Weekly Data'!E743,'Weekly Data'!E691,'Weekly Data'!E639,'Weekly Data'!E587)</f>
        <v>2213.75</v>
      </c>
      <c r="L795" s="16">
        <f>AVERAGE('Weekly Data'!F743,'Weekly Data'!F691,'Weekly Data'!F639,'Weekly Data'!F587)</f>
        <v>874.25</v>
      </c>
      <c r="M795" s="16">
        <f>AVERAGE('Weekly Data'!G743,'Weekly Data'!G691,'Weekly Data'!G639,'Weekly Data'!G587)</f>
        <v>5062.25</v>
      </c>
      <c r="N795" s="16">
        <f>AVERAGE('Weekly Data'!H743,'Weekly Data'!H691,'Weekly Data'!H639,'Weekly Data'!H587)</f>
        <v>676.5</v>
      </c>
      <c r="O795" s="101">
        <f>AVERAGE('Weekly Data'!I743,'Weekly Data'!I691,'Weekly Data'!I639,'Weekly Data'!I587)</f>
        <v>9696.75</v>
      </c>
      <c r="P795" s="203"/>
      <c r="Q795" s="39"/>
      <c r="R795" s="13">
        <f t="shared" si="35"/>
        <v>39855</v>
      </c>
      <c r="S795" s="106">
        <f t="shared" si="28"/>
        <v>1814</v>
      </c>
      <c r="T795" s="106">
        <f t="shared" si="29"/>
        <v>2078.0625</v>
      </c>
      <c r="U795" s="109">
        <f t="shared" si="30"/>
        <v>763.9375</v>
      </c>
      <c r="V795" s="109">
        <f t="shared" si="31"/>
        <v>4760.75</v>
      </c>
      <c r="W795" s="110">
        <f t="shared" si="32"/>
        <v>688</v>
      </c>
      <c r="X795" s="106">
        <f t="shared" si="33"/>
        <v>9340.8125</v>
      </c>
      <c r="Y795" s="39"/>
      <c r="Z795" s="39"/>
      <c r="AA795" s="39"/>
      <c r="AB795" s="39"/>
      <c r="AC795" s="39"/>
      <c r="AD795" s="39"/>
      <c r="AE795" s="39"/>
      <c r="AF795" s="39"/>
      <c r="AG795" s="39"/>
      <c r="AH795" s="65"/>
    </row>
    <row r="796" spans="1:34" x14ac:dyDescent="0.25">
      <c r="A796" s="105">
        <f t="shared" si="34"/>
        <v>39862</v>
      </c>
      <c r="B796" s="59">
        <f>SUM('Weekly Data'!D793:D796)/4</f>
        <v>1203</v>
      </c>
      <c r="C796" s="90">
        <f>SUM('Weekly Data'!E793:E796)/4</f>
        <v>1191.25</v>
      </c>
      <c r="D796" s="90">
        <f>SUM('Weekly Data'!F793:F796)/4</f>
        <v>788.25</v>
      </c>
      <c r="E796" s="90">
        <f>SUM('Weekly Data'!G793:G796)/4</f>
        <v>3742.25</v>
      </c>
      <c r="F796" s="90">
        <f>SUM('Weekly Data'!H793:H796)/4</f>
        <v>729.5</v>
      </c>
      <c r="G796" s="90">
        <f>SUM('Weekly Data'!I793:I796)/4</f>
        <v>6866</v>
      </c>
      <c r="H796" s="202">
        <f>SUM('Weekly Data'!J793:J796)/4</f>
        <v>1242.0744115939515</v>
      </c>
      <c r="I796" s="39"/>
      <c r="J796" s="101">
        <f>AVERAGE('Weekly Data'!D744,'Weekly Data'!D692,'Weekly Data'!D640,'Weekly Data'!D588)</f>
        <v>1696.75</v>
      </c>
      <c r="K796" s="16">
        <f>AVERAGE('Weekly Data'!E744,'Weekly Data'!E692,'Weekly Data'!E640,'Weekly Data'!E588)</f>
        <v>2336</v>
      </c>
      <c r="L796" s="16">
        <f>AVERAGE('Weekly Data'!F744,'Weekly Data'!F692,'Weekly Data'!F640,'Weekly Data'!F588)</f>
        <v>662.5</v>
      </c>
      <c r="M796" s="16">
        <f>AVERAGE('Weekly Data'!G744,'Weekly Data'!G692,'Weekly Data'!G640,'Weekly Data'!G588)</f>
        <v>4438.25</v>
      </c>
      <c r="N796" s="16">
        <f>AVERAGE('Weekly Data'!H744,'Weekly Data'!H692,'Weekly Data'!H640,'Weekly Data'!H588)</f>
        <v>574.25</v>
      </c>
      <c r="O796" s="101">
        <f>AVERAGE('Weekly Data'!I744,'Weekly Data'!I692,'Weekly Data'!I640,'Weekly Data'!I588)</f>
        <v>9045.25</v>
      </c>
      <c r="P796" s="203"/>
      <c r="Q796" s="39"/>
      <c r="R796" s="13">
        <f t="shared" si="35"/>
        <v>39862</v>
      </c>
      <c r="S796" s="106">
        <f t="shared" si="28"/>
        <v>1744.375</v>
      </c>
      <c r="T796" s="106">
        <f t="shared" si="29"/>
        <v>2141.375</v>
      </c>
      <c r="U796" s="109">
        <f t="shared" si="30"/>
        <v>687.8125</v>
      </c>
      <c r="V796" s="109">
        <f t="shared" si="31"/>
        <v>4661.75</v>
      </c>
      <c r="W796" s="110">
        <f t="shared" si="32"/>
        <v>653.75</v>
      </c>
      <c r="X796" s="106">
        <f t="shared" si="33"/>
        <v>9201.25</v>
      </c>
      <c r="Y796" s="39"/>
      <c r="Z796" s="39"/>
      <c r="AA796" s="39"/>
      <c r="AB796" s="39"/>
      <c r="AC796" s="39"/>
      <c r="AD796" s="39"/>
      <c r="AE796" s="39"/>
      <c r="AF796" s="39"/>
      <c r="AG796" s="39"/>
      <c r="AH796" s="65"/>
    </row>
    <row r="797" spans="1:34" x14ac:dyDescent="0.25">
      <c r="A797" s="105">
        <f t="shared" si="34"/>
        <v>39869</v>
      </c>
      <c r="B797" s="59">
        <f>SUM('Weekly Data'!D794:D797)/4</f>
        <v>1168.5</v>
      </c>
      <c r="C797" s="90">
        <f>SUM('Weekly Data'!E794:E797)/4</f>
        <v>1253.5</v>
      </c>
      <c r="D797" s="90">
        <f>SUM('Weekly Data'!F794:F797)/4</f>
        <v>794.5</v>
      </c>
      <c r="E797" s="90">
        <f>SUM('Weekly Data'!G794:G797)/4</f>
        <v>3827.5</v>
      </c>
      <c r="F797" s="90">
        <f>SUM('Weekly Data'!H794:H797)/4</f>
        <v>703.5</v>
      </c>
      <c r="G797" s="90">
        <f>SUM('Weekly Data'!I794:I797)/4</f>
        <v>6953</v>
      </c>
      <c r="H797" s="202">
        <f>SUM('Weekly Data'!J794:J797)/4</f>
        <v>1257.6134659401819</v>
      </c>
      <c r="I797" s="39"/>
      <c r="J797" s="101">
        <f>AVERAGE('Weekly Data'!D745,'Weekly Data'!D693,'Weekly Data'!D641,'Weekly Data'!D589)</f>
        <v>1430</v>
      </c>
      <c r="K797" s="16">
        <f>AVERAGE('Weekly Data'!E745,'Weekly Data'!E693,'Weekly Data'!E641,'Weekly Data'!E589)</f>
        <v>2042.75</v>
      </c>
      <c r="L797" s="16">
        <f>AVERAGE('Weekly Data'!F745,'Weekly Data'!F693,'Weekly Data'!F641,'Weekly Data'!F589)</f>
        <v>1149.75</v>
      </c>
      <c r="M797" s="16">
        <f>AVERAGE('Weekly Data'!G745,'Weekly Data'!G693,'Weekly Data'!G641,'Weekly Data'!G589)</f>
        <v>5033</v>
      </c>
      <c r="N797" s="16">
        <f>AVERAGE('Weekly Data'!H745,'Weekly Data'!H693,'Weekly Data'!H641,'Weekly Data'!H589)</f>
        <v>740.25</v>
      </c>
      <c r="O797" s="101">
        <f>AVERAGE('Weekly Data'!I745,'Weekly Data'!I693,'Weekly Data'!I641,'Weekly Data'!I589)</f>
        <v>9246</v>
      </c>
      <c r="P797" s="203"/>
      <c r="Q797" s="39"/>
      <c r="R797" s="13">
        <f t="shared" si="35"/>
        <v>39869</v>
      </c>
      <c r="S797" s="106">
        <f t="shared" si="28"/>
        <v>1658.625</v>
      </c>
      <c r="T797" s="106">
        <f t="shared" si="29"/>
        <v>2069.5625</v>
      </c>
      <c r="U797" s="109">
        <f t="shared" si="30"/>
        <v>805.5</v>
      </c>
      <c r="V797" s="109">
        <f t="shared" si="31"/>
        <v>4762.125</v>
      </c>
      <c r="W797" s="110">
        <f t="shared" si="32"/>
        <v>630.8125</v>
      </c>
      <c r="X797" s="106">
        <f t="shared" si="33"/>
        <v>9121.125</v>
      </c>
      <c r="Y797" s="39"/>
      <c r="Z797" s="39"/>
      <c r="AA797" s="39"/>
      <c r="AB797" s="39"/>
      <c r="AC797" s="39"/>
      <c r="AD797" s="39"/>
      <c r="AE797" s="39"/>
      <c r="AF797" s="39"/>
      <c r="AG797" s="39"/>
      <c r="AH797" s="65"/>
    </row>
    <row r="798" spans="1:34" x14ac:dyDescent="0.25">
      <c r="A798" s="105">
        <f t="shared" si="34"/>
        <v>39876</v>
      </c>
      <c r="B798" s="59">
        <f>SUM('Weekly Data'!D795:D798)/4</f>
        <v>1212.75</v>
      </c>
      <c r="C798" s="90">
        <f>SUM('Weekly Data'!E795:E798)/4</f>
        <v>1170.25</v>
      </c>
      <c r="D798" s="90">
        <f>SUM('Weekly Data'!F795:F798)/4</f>
        <v>887</v>
      </c>
      <c r="E798" s="90">
        <f>SUM('Weekly Data'!G795:G798)/4</f>
        <v>3584.25</v>
      </c>
      <c r="F798" s="90">
        <f>SUM('Weekly Data'!H795:H798)/4</f>
        <v>720.5</v>
      </c>
      <c r="G798" s="90">
        <f>SUM('Weekly Data'!I795:I798)/4</f>
        <v>6687.75</v>
      </c>
      <c r="H798" s="202">
        <f>SUM('Weekly Data'!J795:J798)/4</f>
        <v>1372.8964502115393</v>
      </c>
      <c r="I798" s="39"/>
      <c r="J798" s="101">
        <f>AVERAGE('Weekly Data'!D746,'Weekly Data'!D694,'Weekly Data'!D642,'Weekly Data'!D590)</f>
        <v>1858</v>
      </c>
      <c r="K798" s="16">
        <f>AVERAGE('Weekly Data'!E746,'Weekly Data'!E694,'Weekly Data'!E642,'Weekly Data'!E590)</f>
        <v>2226.25</v>
      </c>
      <c r="L798" s="16">
        <f>AVERAGE('Weekly Data'!F746,'Weekly Data'!F694,'Weekly Data'!F642,'Weekly Data'!F590)</f>
        <v>1057.25</v>
      </c>
      <c r="M798" s="16">
        <f>AVERAGE('Weekly Data'!G746,'Weekly Data'!G694,'Weekly Data'!G642,'Weekly Data'!G590)</f>
        <v>5237.5</v>
      </c>
      <c r="N798" s="16">
        <f>AVERAGE('Weekly Data'!H746,'Weekly Data'!H694,'Weekly Data'!H642,'Weekly Data'!H590)</f>
        <v>657.25</v>
      </c>
      <c r="O798" s="101">
        <f>AVERAGE('Weekly Data'!I746,'Weekly Data'!I694,'Weekly Data'!I642,'Weekly Data'!I590)</f>
        <v>9979</v>
      </c>
      <c r="P798" s="203"/>
      <c r="Q798" s="39"/>
      <c r="R798" s="13">
        <f t="shared" si="35"/>
        <v>39876</v>
      </c>
      <c r="S798" s="106">
        <f t="shared" si="28"/>
        <v>1685</v>
      </c>
      <c r="T798" s="106">
        <f t="shared" si="29"/>
        <v>2167.375</v>
      </c>
      <c r="U798" s="109">
        <f t="shared" si="30"/>
        <v>918.6875</v>
      </c>
      <c r="V798" s="109">
        <f t="shared" si="31"/>
        <v>4919.5625</v>
      </c>
      <c r="W798" s="110">
        <f t="shared" si="32"/>
        <v>664.125</v>
      </c>
      <c r="X798" s="106">
        <f t="shared" si="33"/>
        <v>9436.0625</v>
      </c>
      <c r="Y798" s="39"/>
      <c r="Z798" s="39"/>
      <c r="AA798" s="39"/>
      <c r="AB798" s="39"/>
      <c r="AC798" s="39"/>
      <c r="AD798" s="39"/>
      <c r="AE798" s="39"/>
      <c r="AF798" s="39"/>
      <c r="AG798" s="39"/>
      <c r="AH798" s="65"/>
    </row>
    <row r="799" spans="1:34" x14ac:dyDescent="0.25">
      <c r="A799" s="105">
        <f t="shared" si="34"/>
        <v>39883</v>
      </c>
      <c r="B799" s="59">
        <f>SUM('Weekly Data'!D796:D799)/4</f>
        <v>1108.25</v>
      </c>
      <c r="C799" s="90">
        <f>SUM('Weekly Data'!E796:E799)/4</f>
        <v>1067.5</v>
      </c>
      <c r="D799" s="90">
        <f>SUM('Weekly Data'!F796:F799)/4</f>
        <v>994.5</v>
      </c>
      <c r="E799" s="90">
        <f>SUM('Weekly Data'!G796:G799)/4</f>
        <v>3563.5</v>
      </c>
      <c r="F799" s="90">
        <f>SUM('Weekly Data'!H796:H799)/4</f>
        <v>694.75</v>
      </c>
      <c r="G799" s="90">
        <f>SUM('Weekly Data'!I796:I799)/4</f>
        <v>6434</v>
      </c>
      <c r="H799" s="202">
        <f>SUM('Weekly Data'!J796:J799)/4</f>
        <v>1592.9630577095038</v>
      </c>
      <c r="I799" s="39"/>
      <c r="J799" s="101">
        <f>AVERAGE('Weekly Data'!D747,'Weekly Data'!D695,'Weekly Data'!D643,'Weekly Data'!D591)</f>
        <v>1482</v>
      </c>
      <c r="K799" s="16">
        <f>AVERAGE('Weekly Data'!E747,'Weekly Data'!E695,'Weekly Data'!E643,'Weekly Data'!E591)</f>
        <v>2274.5</v>
      </c>
      <c r="L799" s="16">
        <f>AVERAGE('Weekly Data'!F747,'Weekly Data'!F695,'Weekly Data'!F643,'Weekly Data'!F591)</f>
        <v>912</v>
      </c>
      <c r="M799" s="16">
        <f>AVERAGE('Weekly Data'!G747,'Weekly Data'!G695,'Weekly Data'!G643,'Weekly Data'!G591)</f>
        <v>5052</v>
      </c>
      <c r="N799" s="16">
        <f>AVERAGE('Weekly Data'!H747,'Weekly Data'!H695,'Weekly Data'!H643,'Weekly Data'!H591)</f>
        <v>646.25</v>
      </c>
      <c r="O799" s="101">
        <f>AVERAGE('Weekly Data'!I747,'Weekly Data'!I695,'Weekly Data'!I643,'Weekly Data'!I591)</f>
        <v>9454.75</v>
      </c>
      <c r="P799" s="203"/>
      <c r="Q799" s="39"/>
      <c r="R799" s="13">
        <f t="shared" si="35"/>
        <v>39883</v>
      </c>
      <c r="S799" s="106">
        <f t="shared" si="28"/>
        <v>1666.1875</v>
      </c>
      <c r="T799" s="106">
        <f t="shared" si="29"/>
        <v>2182.125</v>
      </c>
      <c r="U799" s="109">
        <f t="shared" si="30"/>
        <v>924.8125</v>
      </c>
      <c r="V799" s="109">
        <f t="shared" si="31"/>
        <v>4963.3125</v>
      </c>
      <c r="W799" s="110">
        <f t="shared" si="32"/>
        <v>662.5</v>
      </c>
      <c r="X799" s="106">
        <f t="shared" si="33"/>
        <v>9474.125</v>
      </c>
      <c r="Y799" s="39"/>
      <c r="Z799" s="39"/>
      <c r="AA799" s="39"/>
      <c r="AB799" s="39"/>
      <c r="AC799" s="39"/>
      <c r="AD799" s="39"/>
      <c r="AE799" s="39"/>
      <c r="AF799" s="39"/>
      <c r="AG799" s="39"/>
      <c r="AH799" s="65"/>
    </row>
    <row r="800" spans="1:34" x14ac:dyDescent="0.25">
      <c r="A800" s="105">
        <f t="shared" si="34"/>
        <v>39890</v>
      </c>
      <c r="B800" s="59">
        <f>SUM('Weekly Data'!D797:D800)/4</f>
        <v>823</v>
      </c>
      <c r="C800" s="90">
        <f>SUM('Weekly Data'!E797:E800)/4</f>
        <v>1076</v>
      </c>
      <c r="D800" s="90">
        <f>SUM('Weekly Data'!F797:F800)/4</f>
        <v>926</v>
      </c>
      <c r="E800" s="90">
        <f>SUM('Weekly Data'!G797:G800)/4</f>
        <v>3494</v>
      </c>
      <c r="F800" s="90">
        <f>SUM('Weekly Data'!H797:H800)/4</f>
        <v>634</v>
      </c>
      <c r="G800" s="90">
        <f>SUM('Weekly Data'!I797:I800)/4</f>
        <v>6027</v>
      </c>
      <c r="H800" s="202">
        <f>SUM('Weekly Data'!J797:J800)/4</f>
        <v>1522.6173387096774</v>
      </c>
      <c r="I800" s="39"/>
      <c r="J800" s="101">
        <f>AVERAGE('Weekly Data'!D748,'Weekly Data'!D696,'Weekly Data'!D644,'Weekly Data'!D592)</f>
        <v>1513.25</v>
      </c>
      <c r="K800" s="16">
        <f>AVERAGE('Weekly Data'!E748,'Weekly Data'!E696,'Weekly Data'!E644,'Weekly Data'!E592)</f>
        <v>1995.25</v>
      </c>
      <c r="L800" s="16">
        <f>AVERAGE('Weekly Data'!F748,'Weekly Data'!F696,'Weekly Data'!F644,'Weekly Data'!F592)</f>
        <v>1068.25</v>
      </c>
      <c r="M800" s="16">
        <f>AVERAGE('Weekly Data'!G748,'Weekly Data'!G696,'Weekly Data'!G644,'Weekly Data'!G592)</f>
        <v>4609.75</v>
      </c>
      <c r="N800" s="16">
        <f>AVERAGE('Weekly Data'!H748,'Weekly Data'!H696,'Weekly Data'!H644,'Weekly Data'!H592)</f>
        <v>617</v>
      </c>
      <c r="O800" s="101">
        <f>AVERAGE('Weekly Data'!I748,'Weekly Data'!I696,'Weekly Data'!I644,'Weekly Data'!I592)</f>
        <v>8735.25</v>
      </c>
      <c r="P800" s="203"/>
      <c r="Q800" s="39"/>
      <c r="R800" s="13">
        <f t="shared" si="35"/>
        <v>39890</v>
      </c>
      <c r="S800" s="106">
        <f t="shared" si="28"/>
        <v>1566.6875</v>
      </c>
      <c r="T800" s="106">
        <f t="shared" si="29"/>
        <v>2176.1875</v>
      </c>
      <c r="U800" s="109">
        <f t="shared" si="30"/>
        <v>1012.0625</v>
      </c>
      <c r="V800" s="109">
        <f t="shared" si="31"/>
        <v>5087.6875</v>
      </c>
      <c r="W800" s="110">
        <f t="shared" si="32"/>
        <v>677.875</v>
      </c>
      <c r="X800" s="106">
        <f t="shared" si="33"/>
        <v>9508.4375</v>
      </c>
      <c r="Y800" s="39"/>
      <c r="Z800" s="39"/>
      <c r="AA800" s="39"/>
      <c r="AB800" s="39"/>
      <c r="AC800" s="39"/>
      <c r="AD800" s="39"/>
      <c r="AE800" s="39"/>
      <c r="AF800" s="39"/>
      <c r="AG800" s="39"/>
      <c r="AH800" s="65"/>
    </row>
    <row r="801" spans="1:34" x14ac:dyDescent="0.25">
      <c r="A801" s="105">
        <f t="shared" si="34"/>
        <v>39897</v>
      </c>
      <c r="B801" s="59">
        <f>SUM('Weekly Data'!D798:D801)/4</f>
        <v>626</v>
      </c>
      <c r="C801" s="90">
        <f>SUM('Weekly Data'!E798:E801)/4</f>
        <v>1044.5</v>
      </c>
      <c r="D801" s="90">
        <f>SUM('Weekly Data'!F798:F801)/4</f>
        <v>865.25</v>
      </c>
      <c r="E801" s="90">
        <f>SUM('Weekly Data'!G798:G801)/4</f>
        <v>3571</v>
      </c>
      <c r="F801" s="90">
        <f>SUM('Weekly Data'!H798:H801)/4</f>
        <v>667.75</v>
      </c>
      <c r="G801" s="90">
        <f>SUM('Weekly Data'!I798:I801)/4</f>
        <v>5909.25</v>
      </c>
      <c r="H801" s="202">
        <f>SUM('Weekly Data'!J798:J801)/4</f>
        <v>1453.111568593431</v>
      </c>
      <c r="I801" s="39"/>
      <c r="J801" s="101">
        <f>AVERAGE('Weekly Data'!D749,'Weekly Data'!D697,'Weekly Data'!D645,'Weekly Data'!D593)</f>
        <v>1058</v>
      </c>
      <c r="K801" s="16">
        <f>AVERAGE('Weekly Data'!E749,'Weekly Data'!E697,'Weekly Data'!E645,'Weekly Data'!E593)</f>
        <v>1884.75</v>
      </c>
      <c r="L801" s="16">
        <f>AVERAGE('Weekly Data'!F749,'Weekly Data'!F697,'Weekly Data'!F645,'Weekly Data'!F593)</f>
        <v>1070.25</v>
      </c>
      <c r="M801" s="16">
        <f>AVERAGE('Weekly Data'!G749,'Weekly Data'!G697,'Weekly Data'!G645,'Weekly Data'!G593)</f>
        <v>5042.25</v>
      </c>
      <c r="N801" s="16">
        <f>AVERAGE('Weekly Data'!H749,'Weekly Data'!H697,'Weekly Data'!H645,'Weekly Data'!H593)</f>
        <v>568</v>
      </c>
      <c r="O801" s="101">
        <f>AVERAGE('Weekly Data'!I749,'Weekly Data'!I697,'Weekly Data'!I645,'Weekly Data'!I593)</f>
        <v>8553</v>
      </c>
      <c r="P801" s="203"/>
      <c r="Q801" s="39"/>
      <c r="R801" s="13">
        <f t="shared" si="35"/>
        <v>39897</v>
      </c>
      <c r="S801" s="106">
        <f t="shared" si="28"/>
        <v>1492.625</v>
      </c>
      <c r="T801" s="106">
        <f t="shared" si="29"/>
        <v>2123.4375</v>
      </c>
      <c r="U801" s="109">
        <f t="shared" si="30"/>
        <v>1023.375</v>
      </c>
      <c r="V801" s="109">
        <f t="shared" si="31"/>
        <v>5042.5</v>
      </c>
      <c r="W801" s="110">
        <f t="shared" si="32"/>
        <v>636.375</v>
      </c>
      <c r="X801" s="106">
        <f t="shared" si="33"/>
        <v>9294.9375</v>
      </c>
      <c r="Y801" s="39"/>
      <c r="Z801" s="39"/>
      <c r="AA801" s="39"/>
      <c r="AB801" s="39"/>
      <c r="AC801" s="39"/>
      <c r="AD801" s="39"/>
      <c r="AE801" s="39"/>
      <c r="AF801" s="39"/>
      <c r="AG801" s="39"/>
      <c r="AH801" s="65"/>
    </row>
    <row r="802" spans="1:34" x14ac:dyDescent="0.25">
      <c r="A802" s="105">
        <f t="shared" si="34"/>
        <v>39904</v>
      </c>
      <c r="B802" s="59">
        <f>SUM('Weekly Data'!D799:D802)/4</f>
        <v>393.75</v>
      </c>
      <c r="C802" s="90">
        <f>SUM('Weekly Data'!E799:E802)/4</f>
        <v>1071.25</v>
      </c>
      <c r="D802" s="90">
        <f>SUM('Weekly Data'!F799:F802)/4</f>
        <v>767</v>
      </c>
      <c r="E802" s="90">
        <f>SUM('Weekly Data'!G799:G802)/4</f>
        <v>3544.25</v>
      </c>
      <c r="F802" s="90">
        <f>SUM('Weekly Data'!H799:H802)/4</f>
        <v>655.25</v>
      </c>
      <c r="G802" s="90">
        <f>SUM('Weekly Data'!I799:I802)/4</f>
        <v>5664.5</v>
      </c>
      <c r="H802" s="202">
        <f>SUM('Weekly Data'!J799:J802)/4</f>
        <v>1223.8055233760861</v>
      </c>
      <c r="I802" s="39"/>
      <c r="J802" s="101">
        <f>AVERAGE('Weekly Data'!D750,'Weekly Data'!D698,'Weekly Data'!D646,'Weekly Data'!D594)</f>
        <v>1154.75</v>
      </c>
      <c r="K802" s="16">
        <f>AVERAGE('Weekly Data'!E750,'Weekly Data'!E698,'Weekly Data'!E646,'Weekly Data'!E594)</f>
        <v>1883.5</v>
      </c>
      <c r="L802" s="16">
        <f>AVERAGE('Weekly Data'!F750,'Weekly Data'!F698,'Weekly Data'!F646,'Weekly Data'!F594)</f>
        <v>1144.75</v>
      </c>
      <c r="M802" s="16">
        <f>AVERAGE('Weekly Data'!G750,'Weekly Data'!G698,'Weekly Data'!G646,'Weekly Data'!G594)</f>
        <v>4762.5</v>
      </c>
      <c r="N802" s="16">
        <f>AVERAGE('Weekly Data'!H750,'Weekly Data'!H698,'Weekly Data'!H646,'Weekly Data'!H594)</f>
        <v>487</v>
      </c>
      <c r="O802" s="101">
        <f>AVERAGE('Weekly Data'!I750,'Weekly Data'!I698,'Weekly Data'!I646,'Weekly Data'!I594)</f>
        <v>8287.75</v>
      </c>
      <c r="P802" s="203"/>
      <c r="Q802" s="39"/>
      <c r="R802" s="13">
        <f t="shared" si="35"/>
        <v>39904</v>
      </c>
      <c r="S802" s="106">
        <f t="shared" si="28"/>
        <v>1332.375</v>
      </c>
      <c r="T802" s="106">
        <f t="shared" si="29"/>
        <v>2037.1875</v>
      </c>
      <c r="U802" s="109">
        <f t="shared" si="30"/>
        <v>1062.625</v>
      </c>
      <c r="V802" s="109">
        <f t="shared" si="31"/>
        <v>4929.375</v>
      </c>
      <c r="W802" s="110">
        <f t="shared" si="32"/>
        <v>596.125</v>
      </c>
      <c r="X802" s="106">
        <f t="shared" si="33"/>
        <v>8895.0625</v>
      </c>
      <c r="Y802" s="39"/>
      <c r="Z802" s="39"/>
      <c r="AA802" s="39"/>
      <c r="AB802" s="39"/>
      <c r="AC802" s="39"/>
      <c r="AD802" s="39"/>
      <c r="AE802" s="39"/>
      <c r="AF802" s="39"/>
      <c r="AG802" s="39"/>
      <c r="AH802" s="65"/>
    </row>
    <row r="803" spans="1:34" x14ac:dyDescent="0.25">
      <c r="A803" s="105">
        <f t="shared" si="34"/>
        <v>39911</v>
      </c>
      <c r="B803" s="59">
        <f>SUM('Weekly Data'!D800:D803)/4</f>
        <v>257.75</v>
      </c>
      <c r="C803" s="90">
        <f>SUM('Weekly Data'!E800:E803)/4</f>
        <v>956</v>
      </c>
      <c r="D803" s="90">
        <f>SUM('Weekly Data'!F800:F803)/4</f>
        <v>685.75</v>
      </c>
      <c r="E803" s="90">
        <f>SUM('Weekly Data'!G800:G803)/4</f>
        <v>3579</v>
      </c>
      <c r="F803" s="90">
        <f>SUM('Weekly Data'!H800:H803)/4</f>
        <v>575.5</v>
      </c>
      <c r="G803" s="90">
        <f>SUM('Weekly Data'!I800:I803)/4</f>
        <v>5368.25</v>
      </c>
      <c r="H803" s="202">
        <f>SUM('Weekly Data'!J800:J803)/4</f>
        <v>1156.3996254687895</v>
      </c>
      <c r="I803" s="39"/>
      <c r="J803" s="101">
        <f>AVERAGE('Weekly Data'!D751,'Weekly Data'!D699,'Weekly Data'!D647,'Weekly Data'!D595)</f>
        <v>1059.75</v>
      </c>
      <c r="K803" s="16">
        <f>AVERAGE('Weekly Data'!E751,'Weekly Data'!E699,'Weekly Data'!E647,'Weekly Data'!E595)</f>
        <v>1802.25</v>
      </c>
      <c r="L803" s="16">
        <f>AVERAGE('Weekly Data'!F751,'Weekly Data'!F699,'Weekly Data'!F647,'Weekly Data'!F595)</f>
        <v>1086.25</v>
      </c>
      <c r="M803" s="16">
        <f>AVERAGE('Weekly Data'!G751,'Weekly Data'!G699,'Weekly Data'!G647,'Weekly Data'!G595)</f>
        <v>4535.25</v>
      </c>
      <c r="N803" s="16">
        <f>AVERAGE('Weekly Data'!H751,'Weekly Data'!H699,'Weekly Data'!H647,'Weekly Data'!H595)</f>
        <v>408.75</v>
      </c>
      <c r="O803" s="101">
        <f>AVERAGE('Weekly Data'!I751,'Weekly Data'!I699,'Weekly Data'!I647,'Weekly Data'!I595)</f>
        <v>7806</v>
      </c>
      <c r="P803" s="203"/>
      <c r="Q803" s="39"/>
      <c r="R803" s="13">
        <f t="shared" si="35"/>
        <v>39911</v>
      </c>
      <c r="S803" s="106">
        <f t="shared" si="28"/>
        <v>1166</v>
      </c>
      <c r="T803" s="106">
        <f t="shared" si="29"/>
        <v>1950.1875</v>
      </c>
      <c r="U803" s="109">
        <f t="shared" si="30"/>
        <v>1057.375</v>
      </c>
      <c r="V803" s="109">
        <f t="shared" si="31"/>
        <v>4768.25</v>
      </c>
      <c r="W803" s="110">
        <f t="shared" si="32"/>
        <v>546.6875</v>
      </c>
      <c r="X803" s="106">
        <f t="shared" si="33"/>
        <v>8431.125</v>
      </c>
      <c r="Y803" s="39"/>
      <c r="Z803" s="39"/>
      <c r="AA803" s="39"/>
      <c r="AB803" s="39"/>
      <c r="AC803" s="39"/>
      <c r="AD803" s="39"/>
      <c r="AE803" s="39"/>
      <c r="AF803" s="39"/>
      <c r="AG803" s="39"/>
      <c r="AH803" s="65"/>
    </row>
    <row r="804" spans="1:34" x14ac:dyDescent="0.25">
      <c r="A804" s="105">
        <f t="shared" si="34"/>
        <v>39918</v>
      </c>
      <c r="B804" s="59">
        <f>SUM('Weekly Data'!D801:D804)/4</f>
        <v>240</v>
      </c>
      <c r="C804" s="90">
        <f>SUM('Weekly Data'!E801:E804)/4</f>
        <v>779.75</v>
      </c>
      <c r="D804" s="90">
        <f>SUM('Weekly Data'!F801:F804)/4</f>
        <v>765.75</v>
      </c>
      <c r="E804" s="90">
        <f>SUM('Weekly Data'!G801:G804)/4</f>
        <v>3879.25</v>
      </c>
      <c r="F804" s="90">
        <f>SUM('Weekly Data'!H801:H804)/4</f>
        <v>602.75</v>
      </c>
      <c r="G804" s="90">
        <f>SUM('Weekly Data'!I801:I804)/4</f>
        <v>5501.75</v>
      </c>
      <c r="H804" s="202">
        <f>SUM('Weekly Data'!J801:J804)/4</f>
        <v>1018.8579957825617</v>
      </c>
      <c r="I804" s="39"/>
      <c r="J804" s="101">
        <f>AVERAGE('Weekly Data'!D752,'Weekly Data'!D700,'Weekly Data'!D648,'Weekly Data'!D596)</f>
        <v>966</v>
      </c>
      <c r="K804" s="16">
        <f>AVERAGE('Weekly Data'!E752,'Weekly Data'!E700,'Weekly Data'!E648,'Weekly Data'!E596)</f>
        <v>2064</v>
      </c>
      <c r="L804" s="16">
        <f>AVERAGE('Weekly Data'!F752,'Weekly Data'!F700,'Weekly Data'!F648,'Weekly Data'!F596)</f>
        <v>959.25</v>
      </c>
      <c r="M804" s="16">
        <f>AVERAGE('Weekly Data'!G752,'Weekly Data'!G700,'Weekly Data'!G648,'Weekly Data'!G596)</f>
        <v>4686.5</v>
      </c>
      <c r="N804" s="16">
        <f>AVERAGE('Weekly Data'!H752,'Weekly Data'!H700,'Weekly Data'!H648,'Weekly Data'!H596)</f>
        <v>366.5</v>
      </c>
      <c r="O804" s="101">
        <f>AVERAGE('Weekly Data'!I752,'Weekly Data'!I700,'Weekly Data'!I648,'Weekly Data'!I596)</f>
        <v>8083</v>
      </c>
      <c r="P804" s="203"/>
      <c r="Q804" s="39"/>
      <c r="R804" s="13">
        <f t="shared" si="35"/>
        <v>39918</v>
      </c>
      <c r="S804" s="106">
        <f t="shared" si="28"/>
        <v>1124.125</v>
      </c>
      <c r="T804" s="106">
        <f t="shared" si="29"/>
        <v>1903.0625</v>
      </c>
      <c r="U804" s="109">
        <f t="shared" si="30"/>
        <v>1087</v>
      </c>
      <c r="V804" s="109">
        <f t="shared" si="31"/>
        <v>4723.875</v>
      </c>
      <c r="W804" s="110">
        <f t="shared" si="32"/>
        <v>460.0625</v>
      </c>
      <c r="X804" s="106">
        <f t="shared" si="33"/>
        <v>8211.125</v>
      </c>
      <c r="Y804" s="39"/>
      <c r="Z804" s="39"/>
      <c r="AA804" s="39"/>
      <c r="AB804" s="39"/>
      <c r="AC804" s="39"/>
      <c r="AD804" s="39"/>
      <c r="AE804" s="39"/>
      <c r="AF804" s="39"/>
      <c r="AG804" s="39"/>
      <c r="AH804" s="65"/>
    </row>
    <row r="805" spans="1:34" x14ac:dyDescent="0.25">
      <c r="A805" s="105">
        <f t="shared" si="34"/>
        <v>39925</v>
      </c>
      <c r="B805" s="59">
        <f>SUM('Weekly Data'!D802:D805)/4</f>
        <v>249</v>
      </c>
      <c r="C805" s="90">
        <f>SUM('Weekly Data'!E802:E805)/4</f>
        <v>714.5</v>
      </c>
      <c r="D805" s="90">
        <f>SUM('Weekly Data'!F802:F805)/4</f>
        <v>687.75</v>
      </c>
      <c r="E805" s="90">
        <f>SUM('Weekly Data'!G802:G805)/4</f>
        <v>3708.25</v>
      </c>
      <c r="F805" s="90">
        <f>SUM('Weekly Data'!H802:H805)/4</f>
        <v>490.25</v>
      </c>
      <c r="G805" s="90">
        <f>SUM('Weekly Data'!I802:I805)/4</f>
        <v>5162</v>
      </c>
      <c r="H805" s="202">
        <f>SUM('Weekly Data'!J802:J805)/4</f>
        <v>980.85030880056581</v>
      </c>
      <c r="I805" s="39"/>
      <c r="J805" s="101">
        <f>AVERAGE('Weekly Data'!D753,'Weekly Data'!D701,'Weekly Data'!D649,'Weekly Data'!D597)</f>
        <v>840.75</v>
      </c>
      <c r="K805" s="16">
        <f>AVERAGE('Weekly Data'!E753,'Weekly Data'!E701,'Weekly Data'!E649,'Weekly Data'!E597)</f>
        <v>1691</v>
      </c>
      <c r="L805" s="16">
        <f>AVERAGE('Weekly Data'!F753,'Weekly Data'!F701,'Weekly Data'!F649,'Weekly Data'!F597)</f>
        <v>1238.25</v>
      </c>
      <c r="M805" s="16">
        <f>AVERAGE('Weekly Data'!G753,'Weekly Data'!G701,'Weekly Data'!G649,'Weekly Data'!G597)</f>
        <v>4771</v>
      </c>
      <c r="N805" s="16">
        <f>AVERAGE('Weekly Data'!H753,'Weekly Data'!H701,'Weekly Data'!H649,'Weekly Data'!H597)</f>
        <v>352</v>
      </c>
      <c r="O805" s="101">
        <f>AVERAGE('Weekly Data'!I753,'Weekly Data'!I701,'Weekly Data'!I649,'Weekly Data'!I597)</f>
        <v>7654.75</v>
      </c>
      <c r="P805" s="203"/>
      <c r="Q805" s="39"/>
      <c r="R805" s="13">
        <f t="shared" si="35"/>
        <v>39925</v>
      </c>
      <c r="S805" s="106">
        <f t="shared" si="28"/>
        <v>1037.125</v>
      </c>
      <c r="T805" s="106">
        <f t="shared" si="29"/>
        <v>1896.875</v>
      </c>
      <c r="U805" s="109">
        <f t="shared" si="30"/>
        <v>1108.875</v>
      </c>
      <c r="V805" s="109">
        <f t="shared" si="31"/>
        <v>4641.0625</v>
      </c>
      <c r="W805" s="110">
        <f t="shared" si="32"/>
        <v>413.4375</v>
      </c>
      <c r="X805" s="106">
        <f t="shared" si="33"/>
        <v>7988.5</v>
      </c>
      <c r="Y805" s="39"/>
      <c r="Z805" s="39"/>
      <c r="AA805" s="39"/>
      <c r="AB805" s="39"/>
      <c r="AC805" s="39"/>
      <c r="AD805" s="39"/>
      <c r="AE805" s="39"/>
      <c r="AF805" s="39"/>
      <c r="AG805" s="39"/>
      <c r="AH805" s="65"/>
    </row>
    <row r="806" spans="1:34" x14ac:dyDescent="0.25">
      <c r="A806" s="105">
        <f t="shared" si="34"/>
        <v>39932</v>
      </c>
      <c r="B806" s="59">
        <f>SUM('Weekly Data'!D803:D806)/4</f>
        <v>166.5</v>
      </c>
      <c r="C806" s="90">
        <f>SUM('Weekly Data'!E803:E806)/4</f>
        <v>575.75</v>
      </c>
      <c r="D806" s="90">
        <f>SUM('Weekly Data'!F803:F806)/4</f>
        <v>755.5</v>
      </c>
      <c r="E806" s="90">
        <f>SUM('Weekly Data'!G803:G806)/4</f>
        <v>3842</v>
      </c>
      <c r="F806" s="90">
        <f>SUM('Weekly Data'!H803:H806)/4</f>
        <v>364.75</v>
      </c>
      <c r="G806" s="90">
        <f>SUM('Weekly Data'!I803:I806)/4</f>
        <v>4949</v>
      </c>
      <c r="H806" s="202">
        <f>SUM('Weekly Data'!J803:J806)/4</f>
        <v>1166.0590376299597</v>
      </c>
      <c r="I806" s="39"/>
      <c r="J806" s="101">
        <f>AVERAGE('Weekly Data'!D754,'Weekly Data'!D702,'Weekly Data'!D650,'Weekly Data'!D598)</f>
        <v>770</v>
      </c>
      <c r="K806" s="16">
        <f>AVERAGE('Weekly Data'!E754,'Weekly Data'!E702,'Weekly Data'!E650,'Weekly Data'!E598)</f>
        <v>1914.5</v>
      </c>
      <c r="L806" s="16">
        <f>AVERAGE('Weekly Data'!F754,'Weekly Data'!F702,'Weekly Data'!F650,'Weekly Data'!F598)</f>
        <v>1408.5</v>
      </c>
      <c r="M806" s="16">
        <f>AVERAGE('Weekly Data'!G754,'Weekly Data'!G702,'Weekly Data'!G650,'Weekly Data'!G598)</f>
        <v>4432.5</v>
      </c>
      <c r="N806" s="16">
        <f>AVERAGE('Weekly Data'!H754,'Weekly Data'!H702,'Weekly Data'!H650,'Weekly Data'!H598)</f>
        <v>399.25</v>
      </c>
      <c r="O806" s="101">
        <f>AVERAGE('Weekly Data'!I754,'Weekly Data'!I702,'Weekly Data'!I650,'Weekly Data'!I598)</f>
        <v>7516.25</v>
      </c>
      <c r="P806" s="203"/>
      <c r="Q806" s="39"/>
      <c r="R806" s="13">
        <f t="shared" si="35"/>
        <v>39932</v>
      </c>
      <c r="S806" s="106">
        <f t="shared" si="28"/>
        <v>936.875</v>
      </c>
      <c r="T806" s="106">
        <f t="shared" si="29"/>
        <v>1859</v>
      </c>
      <c r="U806" s="109">
        <f t="shared" si="30"/>
        <v>1132.6875</v>
      </c>
      <c r="V806" s="109">
        <f t="shared" si="31"/>
        <v>4620.3125</v>
      </c>
      <c r="W806" s="110">
        <f t="shared" si="32"/>
        <v>390.875</v>
      </c>
      <c r="X806" s="106">
        <f t="shared" si="33"/>
        <v>7807.0625</v>
      </c>
      <c r="Y806" s="39"/>
      <c r="Z806" s="39"/>
      <c r="AA806" s="39"/>
      <c r="AB806" s="39"/>
      <c r="AC806" s="39"/>
      <c r="AD806" s="39"/>
      <c r="AE806" s="39"/>
      <c r="AF806" s="39"/>
      <c r="AG806" s="39"/>
      <c r="AH806" s="65"/>
    </row>
    <row r="807" spans="1:34" x14ac:dyDescent="0.25">
      <c r="A807" s="105">
        <f t="shared" si="34"/>
        <v>39939</v>
      </c>
      <c r="B807" s="59">
        <f>SUM('Weekly Data'!D804:D807)/4</f>
        <v>123.25</v>
      </c>
      <c r="C807" s="90">
        <f>SUM('Weekly Data'!E804:E807)/4</f>
        <v>751.5</v>
      </c>
      <c r="D807" s="90">
        <f>SUM('Weekly Data'!F804:F807)/4</f>
        <v>670.25</v>
      </c>
      <c r="E807" s="90">
        <f>SUM('Weekly Data'!G804:G807)/4</f>
        <v>3587.75</v>
      </c>
      <c r="F807" s="90">
        <f>SUM('Weekly Data'!H804:H807)/4</f>
        <v>410</v>
      </c>
      <c r="G807" s="90">
        <f>SUM('Weekly Data'!I804:I807)/4</f>
        <v>4872.5</v>
      </c>
      <c r="H807" s="202">
        <f>SUM('Weekly Data'!J804:J807)/4</f>
        <v>1061.2754144033527</v>
      </c>
      <c r="I807" s="39"/>
      <c r="J807" s="101">
        <f>AVERAGE('Weekly Data'!D755,'Weekly Data'!D703,'Weekly Data'!D651,'Weekly Data'!D599)</f>
        <v>767</v>
      </c>
      <c r="K807" s="16">
        <f>AVERAGE('Weekly Data'!E755,'Weekly Data'!E703,'Weekly Data'!E651,'Weekly Data'!E599)</f>
        <v>1619</v>
      </c>
      <c r="L807" s="16">
        <f>AVERAGE('Weekly Data'!F755,'Weekly Data'!F703,'Weekly Data'!F651,'Weekly Data'!F599)</f>
        <v>777.75</v>
      </c>
      <c r="M807" s="16">
        <f>AVERAGE('Weekly Data'!G755,'Weekly Data'!G703,'Weekly Data'!G651,'Weekly Data'!G599)</f>
        <v>4640.5</v>
      </c>
      <c r="N807" s="16">
        <f>AVERAGE('Weekly Data'!H755,'Weekly Data'!H703,'Weekly Data'!H651,'Weekly Data'!H599)</f>
        <v>467.5</v>
      </c>
      <c r="O807" s="101">
        <f>AVERAGE('Weekly Data'!I755,'Weekly Data'!I703,'Weekly Data'!I651,'Weekly Data'!I599)</f>
        <v>7494</v>
      </c>
      <c r="P807" s="203"/>
      <c r="Q807" s="39"/>
      <c r="R807" s="13">
        <f t="shared" si="35"/>
        <v>39939</v>
      </c>
      <c r="S807" s="106">
        <f t="shared" si="28"/>
        <v>849.0625</v>
      </c>
      <c r="T807" s="106">
        <f t="shared" si="29"/>
        <v>1844.5</v>
      </c>
      <c r="U807" s="109">
        <f t="shared" si="30"/>
        <v>1149.375</v>
      </c>
      <c r="V807" s="109">
        <f t="shared" si="31"/>
        <v>4635.25</v>
      </c>
      <c r="W807" s="110">
        <f t="shared" si="32"/>
        <v>398.4375</v>
      </c>
      <c r="X807" s="106">
        <f t="shared" si="33"/>
        <v>7727.25</v>
      </c>
      <c r="Y807" s="39"/>
      <c r="Z807" s="39"/>
      <c r="AA807" s="39"/>
      <c r="AB807" s="39"/>
      <c r="AC807" s="39"/>
      <c r="AD807" s="39"/>
      <c r="AE807" s="39"/>
      <c r="AF807" s="39"/>
      <c r="AG807" s="39"/>
      <c r="AH807" s="65"/>
    </row>
    <row r="808" spans="1:34" x14ac:dyDescent="0.25">
      <c r="A808" s="105">
        <f t="shared" si="34"/>
        <v>39946</v>
      </c>
      <c r="B808" s="59">
        <f>SUM('Weekly Data'!D805:D808)/4</f>
        <v>138.25</v>
      </c>
      <c r="C808" s="90">
        <f>SUM('Weekly Data'!E805:E808)/4</f>
        <v>682.5</v>
      </c>
      <c r="D808" s="90">
        <f>SUM('Weekly Data'!F805:F808)/4</f>
        <v>822</v>
      </c>
      <c r="E808" s="90">
        <f>SUM('Weekly Data'!G805:G808)/4</f>
        <v>3170.75</v>
      </c>
      <c r="F808" s="90">
        <f>SUM('Weekly Data'!H805:H808)/4</f>
        <v>293.25</v>
      </c>
      <c r="G808" s="90">
        <f>SUM('Weekly Data'!I805:I808)/4</f>
        <v>4284.75</v>
      </c>
      <c r="H808" s="202">
        <f>SUM('Weekly Data'!J805:J808)/4</f>
        <v>1140.8605711225591</v>
      </c>
      <c r="I808" s="39"/>
      <c r="J808" s="101">
        <f>AVERAGE('Weekly Data'!D756,'Weekly Data'!D704,'Weekly Data'!D652,'Weekly Data'!D600)</f>
        <v>680.5</v>
      </c>
      <c r="K808" s="16">
        <f>AVERAGE('Weekly Data'!E756,'Weekly Data'!E704,'Weekly Data'!E652,'Weekly Data'!E600)</f>
        <v>1451.25</v>
      </c>
      <c r="L808" s="16">
        <f>AVERAGE('Weekly Data'!F756,'Weekly Data'!F704,'Weekly Data'!F652,'Weekly Data'!F600)</f>
        <v>1128</v>
      </c>
      <c r="M808" s="16">
        <f>AVERAGE('Weekly Data'!G756,'Weekly Data'!G704,'Weekly Data'!G652,'Weekly Data'!G600)</f>
        <v>4173.25</v>
      </c>
      <c r="N808" s="16">
        <f>AVERAGE('Weekly Data'!H756,'Weekly Data'!H704,'Weekly Data'!H652,'Weekly Data'!H600)</f>
        <v>337.5</v>
      </c>
      <c r="O808" s="101">
        <f>AVERAGE('Weekly Data'!I756,'Weekly Data'!I704,'Weekly Data'!I652,'Weekly Data'!I600)</f>
        <v>6642.5</v>
      </c>
      <c r="P808" s="203"/>
      <c r="Q808" s="39"/>
      <c r="R808" s="13">
        <f t="shared" si="35"/>
        <v>39946</v>
      </c>
      <c r="S808" s="106">
        <f t="shared" ref="S808:S871" si="36">AVERAGE(B756,B704,B652,B599)</f>
        <v>766.1875</v>
      </c>
      <c r="T808" s="106">
        <f t="shared" ref="T808:T871" si="37">AVERAGE(C756,C704,C652,C599)</f>
        <v>1698.4375</v>
      </c>
      <c r="U808" s="109">
        <f t="shared" ref="U808:U871" si="38">AVERAGE(D756,D704,D652,D599)</f>
        <v>1124.3125</v>
      </c>
      <c r="V808" s="109">
        <f t="shared" ref="V808:V871" si="39">AVERAGE(E756,E704,E652,E599)</f>
        <v>4484.625</v>
      </c>
      <c r="W808" s="110">
        <f t="shared" ref="W808:W871" si="40">AVERAGE(F756,F704,F652,F599)</f>
        <v>396.1875</v>
      </c>
      <c r="X808" s="106">
        <f t="shared" ref="X808:Y871" si="41">AVERAGE(G756,G704,G652,G599)</f>
        <v>7345.4375</v>
      </c>
      <c r="Y808" s="39"/>
      <c r="Z808" s="39"/>
      <c r="AA808" s="39"/>
      <c r="AB808" s="39"/>
      <c r="AC808" s="39"/>
      <c r="AD808" s="39"/>
      <c r="AE808" s="39"/>
      <c r="AF808" s="39"/>
      <c r="AG808" s="39"/>
      <c r="AH808" s="65"/>
    </row>
    <row r="809" spans="1:34" x14ac:dyDescent="0.25">
      <c r="A809" s="105">
        <f t="shared" si="34"/>
        <v>39953</v>
      </c>
      <c r="B809" s="59">
        <f>SUM('Weekly Data'!D806:D809)/4</f>
        <v>136</v>
      </c>
      <c r="C809" s="90">
        <f>SUM('Weekly Data'!E806:E809)/4</f>
        <v>697.5</v>
      </c>
      <c r="D809" s="90">
        <f>SUM('Weekly Data'!F806:F809)/4</f>
        <v>828</v>
      </c>
      <c r="E809" s="90">
        <f>SUM('Weekly Data'!G806:G809)/4</f>
        <v>2833.5</v>
      </c>
      <c r="F809" s="90">
        <f>SUM('Weekly Data'!H806:H809)/4</f>
        <v>284</v>
      </c>
      <c r="G809" s="90">
        <f>SUM('Weekly Data'!I806:I809)/4</f>
        <v>3951</v>
      </c>
      <c r="H809" s="202">
        <f>SUM('Weekly Data'!J806:J809)/4</f>
        <v>1343.0782648444485</v>
      </c>
      <c r="I809" s="39"/>
      <c r="J809" s="101">
        <f>AVERAGE('Weekly Data'!D757,'Weekly Data'!D705,'Weekly Data'!D653,'Weekly Data'!D601)</f>
        <v>574.75</v>
      </c>
      <c r="K809" s="16">
        <f>AVERAGE('Weekly Data'!E757,'Weekly Data'!E705,'Weekly Data'!E653,'Weekly Data'!E601)</f>
        <v>1525.5</v>
      </c>
      <c r="L809" s="16">
        <f>AVERAGE('Weekly Data'!F757,'Weekly Data'!F705,'Weekly Data'!F653,'Weekly Data'!F601)</f>
        <v>841.5</v>
      </c>
      <c r="M809" s="16">
        <f>AVERAGE('Weekly Data'!G757,'Weekly Data'!G705,'Weekly Data'!G653,'Weekly Data'!G601)</f>
        <v>4595</v>
      </c>
      <c r="N809" s="16">
        <f>AVERAGE('Weekly Data'!H757,'Weekly Data'!H705,'Weekly Data'!H653,'Weekly Data'!H601)</f>
        <v>289.25</v>
      </c>
      <c r="O809" s="101">
        <f>AVERAGE('Weekly Data'!I757,'Weekly Data'!I705,'Weekly Data'!I653,'Weekly Data'!I601)</f>
        <v>6984.5</v>
      </c>
      <c r="P809" s="203"/>
      <c r="Q809" s="39"/>
      <c r="R809" s="13">
        <f t="shared" si="35"/>
        <v>39953</v>
      </c>
      <c r="S809" s="106">
        <f t="shared" si="36"/>
        <v>700</v>
      </c>
      <c r="T809" s="106">
        <f t="shared" si="37"/>
        <v>1621.625</v>
      </c>
      <c r="U809" s="109">
        <f t="shared" si="38"/>
        <v>1120.4375</v>
      </c>
      <c r="V809" s="109">
        <f t="shared" si="39"/>
        <v>4473.0625</v>
      </c>
      <c r="W809" s="110">
        <f t="shared" si="40"/>
        <v>374.9375</v>
      </c>
      <c r="X809" s="106">
        <f t="shared" si="41"/>
        <v>7169.625</v>
      </c>
      <c r="Y809" s="39"/>
      <c r="Z809" s="39"/>
      <c r="AA809" s="39"/>
      <c r="AB809" s="39"/>
      <c r="AC809" s="39"/>
      <c r="AD809" s="39"/>
      <c r="AE809" s="39"/>
      <c r="AF809" s="39"/>
      <c r="AG809" s="39"/>
      <c r="AH809" s="65"/>
    </row>
    <row r="810" spans="1:34" x14ac:dyDescent="0.25">
      <c r="A810" s="105">
        <f t="shared" si="34"/>
        <v>39960</v>
      </c>
      <c r="B810" s="59">
        <f>SUM('Weekly Data'!D807:D810)/4</f>
        <v>208.25</v>
      </c>
      <c r="C810" s="90">
        <f>SUM('Weekly Data'!E807:E810)/4</f>
        <v>688.75</v>
      </c>
      <c r="D810" s="90">
        <f>SUM('Weekly Data'!F807:F810)/4</f>
        <v>786.25</v>
      </c>
      <c r="E810" s="90">
        <f>SUM('Weekly Data'!G807:G810)/4</f>
        <v>2390.25</v>
      </c>
      <c r="F810" s="90">
        <f>SUM('Weekly Data'!H807:H810)/4</f>
        <v>337.25</v>
      </c>
      <c r="G810" s="90">
        <f>SUM('Weekly Data'!I807:I810)/4</f>
        <v>3624.5</v>
      </c>
      <c r="H810" s="202">
        <f>SUM('Weekly Data'!J807:J810)/4</f>
        <v>1457.101325790436</v>
      </c>
      <c r="I810" s="39"/>
      <c r="J810" s="101">
        <f>AVERAGE('Weekly Data'!D758,'Weekly Data'!D706,'Weekly Data'!D654,'Weekly Data'!D602)</f>
        <v>695.75</v>
      </c>
      <c r="K810" s="16">
        <f>AVERAGE('Weekly Data'!E758,'Weekly Data'!E706,'Weekly Data'!E654,'Weekly Data'!E602)</f>
        <v>1205.5</v>
      </c>
      <c r="L810" s="16">
        <f>AVERAGE('Weekly Data'!F758,'Weekly Data'!F706,'Weekly Data'!F654,'Weekly Data'!F602)</f>
        <v>1077.75</v>
      </c>
      <c r="M810" s="16">
        <f>AVERAGE('Weekly Data'!G758,'Weekly Data'!G706,'Weekly Data'!G654,'Weekly Data'!G602)</f>
        <v>4605.75</v>
      </c>
      <c r="N810" s="16">
        <f>AVERAGE('Weekly Data'!H758,'Weekly Data'!H706,'Weekly Data'!H654,'Weekly Data'!H602)</f>
        <v>216.25</v>
      </c>
      <c r="O810" s="101">
        <f>AVERAGE('Weekly Data'!I758,'Weekly Data'!I706,'Weekly Data'!I654,'Weekly Data'!I602)</f>
        <v>6723.25</v>
      </c>
      <c r="P810" s="203"/>
      <c r="Q810" s="39"/>
      <c r="R810" s="13">
        <f t="shared" si="35"/>
        <v>39960</v>
      </c>
      <c r="S810" s="106">
        <f t="shared" si="36"/>
        <v>665.625</v>
      </c>
      <c r="T810" s="106">
        <f t="shared" si="37"/>
        <v>1501.4375</v>
      </c>
      <c r="U810" s="109">
        <f t="shared" si="38"/>
        <v>1003.625</v>
      </c>
      <c r="V810" s="109">
        <f t="shared" si="39"/>
        <v>4478</v>
      </c>
      <c r="W810" s="110">
        <f t="shared" si="40"/>
        <v>330.625</v>
      </c>
      <c r="X810" s="106">
        <f t="shared" si="41"/>
        <v>6975.6875</v>
      </c>
      <c r="Y810" s="39"/>
      <c r="Z810" s="39"/>
      <c r="AA810" s="39"/>
      <c r="AB810" s="39"/>
      <c r="AC810" s="39"/>
      <c r="AD810" s="39"/>
      <c r="AE810" s="39"/>
      <c r="AF810" s="39"/>
      <c r="AG810" s="39"/>
      <c r="AH810" s="65"/>
    </row>
    <row r="811" spans="1:34" x14ac:dyDescent="0.25">
      <c r="A811" s="105">
        <f t="shared" si="34"/>
        <v>39967</v>
      </c>
      <c r="B811" s="59">
        <f>SUM('Weekly Data'!D808:D811)/4</f>
        <v>276.75</v>
      </c>
      <c r="C811" s="90">
        <f>SUM('Weekly Data'!E808:E811)/4</f>
        <v>680</v>
      </c>
      <c r="D811" s="90">
        <f>SUM('Weekly Data'!F808:F811)/4</f>
        <v>889</v>
      </c>
      <c r="E811" s="90">
        <f>SUM('Weekly Data'!G808:G811)/4</f>
        <v>2141</v>
      </c>
      <c r="F811" s="90">
        <f>SUM('Weekly Data'!H808:H811)/4</f>
        <v>312.75</v>
      </c>
      <c r="G811" s="90">
        <f>SUM('Weekly Data'!I808:I811)/4</f>
        <v>3410.5</v>
      </c>
      <c r="H811" s="202">
        <f>SUM('Weekly Data'!J808:J811)/4</f>
        <v>1541.0962141484379</v>
      </c>
      <c r="I811" s="39"/>
      <c r="J811" s="101">
        <f>AVERAGE('Weekly Data'!D759,'Weekly Data'!D707,'Weekly Data'!D655,'Weekly Data'!D603)</f>
        <v>604</v>
      </c>
      <c r="K811" s="16">
        <f>AVERAGE('Weekly Data'!E759,'Weekly Data'!E707,'Weekly Data'!E655,'Weekly Data'!E603)</f>
        <v>1534.5</v>
      </c>
      <c r="L811" s="16">
        <f>AVERAGE('Weekly Data'!F759,'Weekly Data'!F707,'Weekly Data'!F655,'Weekly Data'!F603)</f>
        <v>938.5</v>
      </c>
      <c r="M811" s="16">
        <f>AVERAGE('Weekly Data'!G759,'Weekly Data'!G707,'Weekly Data'!G655,'Weekly Data'!G603)</f>
        <v>3962.25</v>
      </c>
      <c r="N811" s="16">
        <f>AVERAGE('Weekly Data'!H759,'Weekly Data'!H707,'Weekly Data'!H655,'Weekly Data'!H603)</f>
        <v>125.25</v>
      </c>
      <c r="O811" s="101">
        <f>AVERAGE('Weekly Data'!I759,'Weekly Data'!I707,'Weekly Data'!I655,'Weekly Data'!I603)</f>
        <v>6226</v>
      </c>
      <c r="P811" s="203"/>
      <c r="Q811" s="39"/>
      <c r="R811" s="13">
        <f t="shared" si="35"/>
        <v>39967</v>
      </c>
      <c r="S811" s="106">
        <f t="shared" si="36"/>
        <v>669.5625</v>
      </c>
      <c r="T811" s="106">
        <f t="shared" si="37"/>
        <v>1393.75</v>
      </c>
      <c r="U811" s="109">
        <f t="shared" si="38"/>
        <v>980.4375</v>
      </c>
      <c r="V811" s="109">
        <f t="shared" si="39"/>
        <v>4410.25</v>
      </c>
      <c r="W811" s="110">
        <f t="shared" si="40"/>
        <v>245.625</v>
      </c>
      <c r="X811" s="106">
        <f t="shared" si="41"/>
        <v>6719.1875</v>
      </c>
      <c r="Y811" s="39"/>
      <c r="Z811" s="39"/>
      <c r="AA811" s="39"/>
      <c r="AB811" s="39"/>
      <c r="AC811" s="39"/>
      <c r="AD811" s="39"/>
      <c r="AE811" s="39"/>
      <c r="AF811" s="39"/>
      <c r="AG811" s="39"/>
      <c r="AH811" s="65"/>
    </row>
    <row r="812" spans="1:34" x14ac:dyDescent="0.25">
      <c r="A812" s="105">
        <f t="shared" si="34"/>
        <v>39974</v>
      </c>
      <c r="B812" s="59">
        <f>SUM('Weekly Data'!D809:D812)/4</f>
        <v>212.25</v>
      </c>
      <c r="C812" s="90">
        <f>SUM('Weekly Data'!E809:E812)/4</f>
        <v>748.5</v>
      </c>
      <c r="D812" s="90">
        <f>SUM('Weekly Data'!F809:F812)/4</f>
        <v>785.75</v>
      </c>
      <c r="E812" s="90">
        <f>SUM('Weekly Data'!G809:G812)/4</f>
        <v>1851.25</v>
      </c>
      <c r="F812" s="90">
        <f>SUM('Weekly Data'!H809:H812)/4</f>
        <v>381.25</v>
      </c>
      <c r="G812" s="90">
        <f>SUM('Weekly Data'!I809:I812)/4</f>
        <v>3193.25</v>
      </c>
      <c r="H812" s="202">
        <f>SUM('Weekly Data'!J809:J812)/4</f>
        <v>1738.484201789742</v>
      </c>
      <c r="I812" s="39"/>
      <c r="J812" s="101">
        <f>AVERAGE('Weekly Data'!D760,'Weekly Data'!D708,'Weekly Data'!D656,'Weekly Data'!D604)</f>
        <v>547.5</v>
      </c>
      <c r="K812" s="16">
        <f>AVERAGE('Weekly Data'!E760,'Weekly Data'!E708,'Weekly Data'!E656,'Weekly Data'!E604)</f>
        <v>2265.25</v>
      </c>
      <c r="L812" s="16">
        <f>AVERAGE('Weekly Data'!F760,'Weekly Data'!F708,'Weekly Data'!F656,'Weekly Data'!F604)</f>
        <v>417.5</v>
      </c>
      <c r="M812" s="16">
        <f>AVERAGE('Weekly Data'!G760,'Weekly Data'!G708,'Weekly Data'!G656,'Weekly Data'!G604)</f>
        <v>4016.75</v>
      </c>
      <c r="N812" s="16">
        <f>AVERAGE('Weekly Data'!H760,'Weekly Data'!H708,'Weekly Data'!H656,'Weekly Data'!H604)</f>
        <v>219</v>
      </c>
      <c r="O812" s="101">
        <f>AVERAGE('Weekly Data'!I760,'Weekly Data'!I708,'Weekly Data'!I656,'Weekly Data'!I604)</f>
        <v>7048.5</v>
      </c>
      <c r="P812" s="203"/>
      <c r="Q812" s="39"/>
      <c r="R812" s="13">
        <f t="shared" si="35"/>
        <v>39974</v>
      </c>
      <c r="S812" s="106">
        <f t="shared" si="36"/>
        <v>592.375</v>
      </c>
      <c r="T812" s="106">
        <f t="shared" si="37"/>
        <v>1604.875</v>
      </c>
      <c r="U812" s="109">
        <f t="shared" si="38"/>
        <v>879.625</v>
      </c>
      <c r="V812" s="109">
        <f t="shared" si="39"/>
        <v>4358.75</v>
      </c>
      <c r="W812" s="110">
        <f t="shared" si="40"/>
        <v>218.9375</v>
      </c>
      <c r="X812" s="106">
        <f t="shared" si="41"/>
        <v>6774.9375</v>
      </c>
      <c r="Y812" s="39"/>
      <c r="Z812" s="39"/>
      <c r="AA812" s="39"/>
      <c r="AB812" s="39"/>
      <c r="AC812" s="39"/>
      <c r="AD812" s="39"/>
      <c r="AE812" s="39"/>
      <c r="AF812" s="39"/>
      <c r="AG812" s="39"/>
      <c r="AH812" s="65"/>
    </row>
    <row r="813" spans="1:34" x14ac:dyDescent="0.25">
      <c r="A813" s="105">
        <f t="shared" si="34"/>
        <v>39981</v>
      </c>
      <c r="B813" s="59">
        <f>SUM('Weekly Data'!D810:D813)/4</f>
        <v>174.25</v>
      </c>
      <c r="C813" s="90">
        <f>SUM('Weekly Data'!E810:E813)/4</f>
        <v>787.5</v>
      </c>
      <c r="D813" s="90">
        <f>SUM('Weekly Data'!F810:F813)/4</f>
        <v>801.5</v>
      </c>
      <c r="E813" s="90">
        <f>SUM('Weekly Data'!G810:G813)/4</f>
        <v>1825.75</v>
      </c>
      <c r="F813" s="90">
        <f>SUM('Weekly Data'!H810:H813)/4</f>
        <v>434.75</v>
      </c>
      <c r="G813" s="90">
        <f>SUM('Weekly Data'!I810:I813)/4</f>
        <v>3222.25</v>
      </c>
      <c r="H813" s="202">
        <f>SUM('Weekly Data'!J810:J813)/4</f>
        <v>1807.1500230224085</v>
      </c>
      <c r="I813" s="39"/>
      <c r="J813" s="101">
        <f>AVERAGE('Weekly Data'!D761,'Weekly Data'!D709,'Weekly Data'!D657,'Weekly Data'!D605)</f>
        <v>527.25</v>
      </c>
      <c r="K813" s="16">
        <f>AVERAGE('Weekly Data'!E761,'Weekly Data'!E709,'Weekly Data'!E657,'Weekly Data'!E605)</f>
        <v>1533</v>
      </c>
      <c r="L813" s="16">
        <f>AVERAGE('Weekly Data'!F761,'Weekly Data'!F709,'Weekly Data'!F657,'Weekly Data'!F605)</f>
        <v>732</v>
      </c>
      <c r="M813" s="16">
        <f>AVERAGE('Weekly Data'!G761,'Weekly Data'!G709,'Weekly Data'!G657,'Weekly Data'!G605)</f>
        <v>4033.75</v>
      </c>
      <c r="N813" s="16">
        <f>AVERAGE('Weekly Data'!H761,'Weekly Data'!H709,'Weekly Data'!H657,'Weekly Data'!H605)</f>
        <v>203.75</v>
      </c>
      <c r="O813" s="101">
        <f>AVERAGE('Weekly Data'!I761,'Weekly Data'!I709,'Weekly Data'!I657,'Weekly Data'!I605)</f>
        <v>6297.75</v>
      </c>
      <c r="P813" s="203"/>
      <c r="Q813" s="39"/>
      <c r="R813" s="13">
        <f t="shared" si="35"/>
        <v>39981</v>
      </c>
      <c r="S813" s="106">
        <f t="shared" si="36"/>
        <v>603.1875</v>
      </c>
      <c r="T813" s="106">
        <f t="shared" si="37"/>
        <v>1621.1875</v>
      </c>
      <c r="U813" s="109">
        <f t="shared" si="38"/>
        <v>766.9375</v>
      </c>
      <c r="V813" s="109">
        <f t="shared" si="39"/>
        <v>4193.875</v>
      </c>
      <c r="W813" s="110">
        <f t="shared" si="40"/>
        <v>186.375</v>
      </c>
      <c r="X813" s="106">
        <f t="shared" si="41"/>
        <v>6604.625</v>
      </c>
      <c r="Y813" s="39"/>
      <c r="Z813" s="39"/>
      <c r="AA813" s="39"/>
      <c r="AB813" s="39"/>
      <c r="AC813" s="39"/>
      <c r="AD813" s="39"/>
      <c r="AE813" s="39"/>
      <c r="AF813" s="39"/>
      <c r="AG813" s="39"/>
      <c r="AH813" s="65"/>
    </row>
    <row r="814" spans="1:34" x14ac:dyDescent="0.25">
      <c r="A814" s="105">
        <f t="shared" si="34"/>
        <v>39988</v>
      </c>
      <c r="B814" s="59">
        <f>SUM('Weekly Data'!D811:D814)/4</f>
        <v>162.5</v>
      </c>
      <c r="C814" s="90">
        <f>SUM('Weekly Data'!E811:E814)/4</f>
        <v>694.75</v>
      </c>
      <c r="D814" s="90">
        <f>SUM('Weekly Data'!F811:F814)/4</f>
        <v>925.75</v>
      </c>
      <c r="E814" s="90">
        <f>SUM('Weekly Data'!G811:G814)/4</f>
        <v>2068</v>
      </c>
      <c r="F814" s="90">
        <f>SUM('Weekly Data'!H811:H814)/4</f>
        <v>413</v>
      </c>
      <c r="G814" s="90">
        <f>SUM('Weekly Data'!I811:I814)/4</f>
        <v>3338.25</v>
      </c>
      <c r="H814" s="202">
        <f>SUM('Weekly Data'!J811:J814)/4</f>
        <v>1545.5059457872328</v>
      </c>
      <c r="I814" s="39"/>
      <c r="J814" s="101">
        <f>AVERAGE('Weekly Data'!D762,'Weekly Data'!D710,'Weekly Data'!D658,'Weekly Data'!D606)</f>
        <v>655</v>
      </c>
      <c r="K814" s="16">
        <f>AVERAGE('Weekly Data'!E762,'Weekly Data'!E710,'Weekly Data'!E658,'Weekly Data'!E606)</f>
        <v>2062.5</v>
      </c>
      <c r="L814" s="16">
        <f>AVERAGE('Weekly Data'!F762,'Weekly Data'!F710,'Weekly Data'!F658,'Weekly Data'!F606)</f>
        <v>603</v>
      </c>
      <c r="M814" s="16">
        <f>AVERAGE('Weekly Data'!G762,'Weekly Data'!G710,'Weekly Data'!G658,'Weekly Data'!G606)</f>
        <v>4524.75</v>
      </c>
      <c r="N814" s="16">
        <f>AVERAGE('Weekly Data'!H762,'Weekly Data'!H710,'Weekly Data'!H658,'Weekly Data'!H606)</f>
        <v>178.5</v>
      </c>
      <c r="O814" s="101">
        <f>AVERAGE('Weekly Data'!I762,'Weekly Data'!I710,'Weekly Data'!I658,'Weekly Data'!I606)</f>
        <v>7420.75</v>
      </c>
      <c r="P814" s="203"/>
      <c r="Q814" s="39"/>
      <c r="R814" s="13">
        <f t="shared" si="35"/>
        <v>39988</v>
      </c>
      <c r="S814" s="106">
        <f t="shared" si="36"/>
        <v>606.9375</v>
      </c>
      <c r="T814" s="106">
        <f t="shared" si="37"/>
        <v>1799.3125</v>
      </c>
      <c r="U814" s="109">
        <f t="shared" si="38"/>
        <v>675.375</v>
      </c>
      <c r="V814" s="109">
        <f t="shared" si="39"/>
        <v>4145.9375</v>
      </c>
      <c r="W814" s="110">
        <f t="shared" si="40"/>
        <v>176.875</v>
      </c>
      <c r="X814" s="106">
        <f t="shared" si="41"/>
        <v>6729.0625</v>
      </c>
      <c r="Y814" s="39"/>
      <c r="Z814" s="39"/>
      <c r="AA814" s="39"/>
      <c r="AB814" s="39"/>
      <c r="AC814" s="39"/>
      <c r="AD814" s="39"/>
      <c r="AE814" s="39"/>
      <c r="AF814" s="39"/>
      <c r="AG814" s="39"/>
      <c r="AH814" s="65"/>
    </row>
    <row r="815" spans="1:34" x14ac:dyDescent="0.25">
      <c r="A815" s="105">
        <f t="shared" si="34"/>
        <v>39995</v>
      </c>
      <c r="B815" s="59">
        <f>SUM('Weekly Data'!D812:D815)/4</f>
        <v>74.75</v>
      </c>
      <c r="C815" s="90">
        <f>SUM('Weekly Data'!E812:E815)/4</f>
        <v>438.75</v>
      </c>
      <c r="D815" s="90">
        <f>SUM('Weekly Data'!F812:F815)/4</f>
        <v>814.5</v>
      </c>
      <c r="E815" s="90">
        <f>SUM('Weekly Data'!G812:G815)/4</f>
        <v>2411.5</v>
      </c>
      <c r="F815" s="90">
        <f>SUM('Weekly Data'!H812:H815)/4</f>
        <v>366</v>
      </c>
      <c r="G815" s="90">
        <f>SUM('Weekly Data'!I812:I815)/4</f>
        <v>3291</v>
      </c>
      <c r="H815" s="202">
        <f>SUM('Weekly Data'!J812:J815)/4</f>
        <v>1637.9003229810348</v>
      </c>
      <c r="I815" s="39"/>
      <c r="J815" s="101">
        <f>AVERAGE('Weekly Data'!D763,'Weekly Data'!D711,'Weekly Data'!D659,'Weekly Data'!D607)</f>
        <v>868.25</v>
      </c>
      <c r="K815" s="16">
        <f>AVERAGE('Weekly Data'!E763,'Weekly Data'!E711,'Weekly Data'!E659,'Weekly Data'!E607)</f>
        <v>1824.5</v>
      </c>
      <c r="L815" s="16">
        <f>AVERAGE('Weekly Data'!F763,'Weekly Data'!F711,'Weekly Data'!F659,'Weekly Data'!F607)</f>
        <v>827.25</v>
      </c>
      <c r="M815" s="16">
        <f>AVERAGE('Weekly Data'!G763,'Weekly Data'!G711,'Weekly Data'!G659,'Weekly Data'!G607)</f>
        <v>3349.25</v>
      </c>
      <c r="N815" s="16">
        <f>AVERAGE('Weekly Data'!H763,'Weekly Data'!H711,'Weekly Data'!H659,'Weekly Data'!H607)</f>
        <v>304.5</v>
      </c>
      <c r="O815" s="101">
        <f>AVERAGE('Weekly Data'!I763,'Weekly Data'!I711,'Weekly Data'!I659,'Weekly Data'!I607)</f>
        <v>6346.5</v>
      </c>
      <c r="P815" s="203"/>
      <c r="Q815" s="39"/>
      <c r="R815" s="13">
        <f t="shared" si="35"/>
        <v>39995</v>
      </c>
      <c r="S815" s="106">
        <f t="shared" si="36"/>
        <v>650.3125</v>
      </c>
      <c r="T815" s="106">
        <f t="shared" si="37"/>
        <v>1902.5</v>
      </c>
      <c r="U815" s="109">
        <f t="shared" si="38"/>
        <v>632.6875</v>
      </c>
      <c r="V815" s="109">
        <f t="shared" si="39"/>
        <v>3980.6875</v>
      </c>
      <c r="W815" s="110">
        <f t="shared" si="40"/>
        <v>222.1875</v>
      </c>
      <c r="X815" s="106">
        <f t="shared" si="41"/>
        <v>6755.6875</v>
      </c>
      <c r="Y815" s="39"/>
      <c r="Z815" s="39"/>
      <c r="AA815" s="39"/>
      <c r="AB815" s="39"/>
      <c r="AC815" s="39"/>
      <c r="AD815" s="39"/>
      <c r="AE815" s="39"/>
      <c r="AF815" s="39"/>
      <c r="AG815" s="39"/>
      <c r="AH815" s="65"/>
    </row>
    <row r="816" spans="1:34" x14ac:dyDescent="0.25">
      <c r="A816" s="105">
        <f t="shared" si="34"/>
        <v>40002</v>
      </c>
      <c r="B816" s="59">
        <f>SUM('Weekly Data'!D813:D816)/4</f>
        <v>93.25</v>
      </c>
      <c r="C816" s="90">
        <f>SUM('Weekly Data'!E813:E816)/4</f>
        <v>547.25</v>
      </c>
      <c r="D816" s="90">
        <f>SUM('Weekly Data'!F813:F816)/4</f>
        <v>778</v>
      </c>
      <c r="E816" s="90">
        <f>SUM('Weekly Data'!G813:G816)/4</f>
        <v>2734</v>
      </c>
      <c r="F816" s="90">
        <f>SUM('Weekly Data'!H813:H816)/4</f>
        <v>385.25</v>
      </c>
      <c r="G816" s="90">
        <f>SUM('Weekly Data'!I813:I816)/4</f>
        <v>3759.75</v>
      </c>
      <c r="H816" s="202">
        <f>SUM('Weekly Data'!J813:J816)/4</f>
        <v>1542.1461502529128</v>
      </c>
      <c r="I816" s="39"/>
      <c r="J816" s="101">
        <f>AVERAGE('Weekly Data'!D764,'Weekly Data'!D712,'Weekly Data'!D660,'Weekly Data'!D608)</f>
        <v>824</v>
      </c>
      <c r="K816" s="16">
        <f>AVERAGE('Weekly Data'!E764,'Weekly Data'!E712,'Weekly Data'!E660,'Weekly Data'!E608)</f>
        <v>2307.75</v>
      </c>
      <c r="L816" s="16">
        <f>AVERAGE('Weekly Data'!F764,'Weekly Data'!F712,'Weekly Data'!F660,'Weekly Data'!F608)</f>
        <v>975.5</v>
      </c>
      <c r="M816" s="16">
        <f>AVERAGE('Weekly Data'!G764,'Weekly Data'!G712,'Weekly Data'!G660,'Weekly Data'!G608)</f>
        <v>3728.25</v>
      </c>
      <c r="N816" s="16">
        <f>AVERAGE('Weekly Data'!H764,'Weekly Data'!H712,'Weekly Data'!H660,'Weekly Data'!H608)</f>
        <v>267.5</v>
      </c>
      <c r="O816" s="101">
        <f>AVERAGE('Weekly Data'!I764,'Weekly Data'!I712,'Weekly Data'!I660,'Weekly Data'!I608)</f>
        <v>7127.5</v>
      </c>
      <c r="P816" s="203"/>
      <c r="Q816" s="39"/>
      <c r="R816" s="13">
        <f t="shared" si="35"/>
        <v>40002</v>
      </c>
      <c r="S816" s="106">
        <f t="shared" si="36"/>
        <v>744.8125</v>
      </c>
      <c r="T816" s="106">
        <f t="shared" si="37"/>
        <v>1902.375</v>
      </c>
      <c r="U816" s="109">
        <f t="shared" si="38"/>
        <v>757.6875</v>
      </c>
      <c r="V816" s="109">
        <f t="shared" si="39"/>
        <v>3945.625</v>
      </c>
      <c r="W816" s="110">
        <f t="shared" si="40"/>
        <v>232.5</v>
      </c>
      <c r="X816" s="106">
        <f t="shared" si="41"/>
        <v>6825.3125</v>
      </c>
      <c r="Y816" s="39"/>
      <c r="Z816" s="39"/>
      <c r="AA816" s="39"/>
      <c r="AB816" s="39"/>
      <c r="AC816" s="39"/>
      <c r="AD816" s="39"/>
      <c r="AE816" s="39"/>
      <c r="AF816" s="39"/>
      <c r="AG816" s="39"/>
      <c r="AH816" s="65"/>
    </row>
    <row r="817" spans="1:34" x14ac:dyDescent="0.25">
      <c r="A817" s="105">
        <f t="shared" si="34"/>
        <v>40009</v>
      </c>
      <c r="B817" s="59">
        <f>SUM('Weekly Data'!D814:D817)/4</f>
        <v>94</v>
      </c>
      <c r="C817" s="90">
        <f>SUM('Weekly Data'!E814:E817)/4</f>
        <v>560</v>
      </c>
      <c r="D817" s="90">
        <f>SUM('Weekly Data'!F814:F817)/4</f>
        <v>709.25</v>
      </c>
      <c r="E817" s="90">
        <f>SUM('Weekly Data'!G814:G817)/4</f>
        <v>3188.75</v>
      </c>
      <c r="F817" s="90">
        <f>SUM('Weekly Data'!H814:H817)/4</f>
        <v>393.5</v>
      </c>
      <c r="G817" s="90">
        <f>SUM('Weekly Data'!I814:I817)/4</f>
        <v>4236.25</v>
      </c>
      <c r="H817" s="202">
        <f>SUM('Weekly Data'!J814:J817)/4</f>
        <v>1320.609632208683</v>
      </c>
      <c r="I817" s="39"/>
      <c r="J817" s="101">
        <f>AVERAGE('Weekly Data'!D765,'Weekly Data'!D713,'Weekly Data'!D661,'Weekly Data'!D609)</f>
        <v>1115</v>
      </c>
      <c r="K817" s="16">
        <f>AVERAGE('Weekly Data'!E765,'Weekly Data'!E713,'Weekly Data'!E661,'Weekly Data'!E609)</f>
        <v>2013.5</v>
      </c>
      <c r="L817" s="16">
        <f>AVERAGE('Weekly Data'!F765,'Weekly Data'!F713,'Weekly Data'!F661,'Weekly Data'!F609)</f>
        <v>609.75</v>
      </c>
      <c r="M817" s="16">
        <f>AVERAGE('Weekly Data'!G765,'Weekly Data'!G713,'Weekly Data'!G661,'Weekly Data'!G609)</f>
        <v>3705.75</v>
      </c>
      <c r="N817" s="16">
        <f>AVERAGE('Weekly Data'!H765,'Weekly Data'!H713,'Weekly Data'!H661,'Weekly Data'!H609)</f>
        <v>361.25</v>
      </c>
      <c r="O817" s="101">
        <f>AVERAGE('Weekly Data'!I765,'Weekly Data'!I713,'Weekly Data'!I661,'Weekly Data'!I609)</f>
        <v>7195.5</v>
      </c>
      <c r="P817" s="203"/>
      <c r="Q817" s="39"/>
      <c r="R817" s="13">
        <f t="shared" si="35"/>
        <v>40009</v>
      </c>
      <c r="S817" s="106">
        <f t="shared" si="36"/>
        <v>839.625</v>
      </c>
      <c r="T817" s="106">
        <f t="shared" si="37"/>
        <v>2033.0625</v>
      </c>
      <c r="U817" s="109">
        <f t="shared" si="38"/>
        <v>739.25</v>
      </c>
      <c r="V817" s="109">
        <f t="shared" si="39"/>
        <v>3838</v>
      </c>
      <c r="W817" s="110">
        <f t="shared" si="40"/>
        <v>282.625</v>
      </c>
      <c r="X817" s="106">
        <f t="shared" si="41"/>
        <v>6993.3125</v>
      </c>
      <c r="Y817" s="39"/>
      <c r="Z817" s="39"/>
      <c r="AA817" s="39"/>
      <c r="AB817" s="39"/>
      <c r="AC817" s="39"/>
      <c r="AD817" s="39"/>
      <c r="AE817" s="39"/>
      <c r="AF817" s="39"/>
      <c r="AG817" s="39"/>
      <c r="AH817" s="65"/>
    </row>
    <row r="818" spans="1:34" x14ac:dyDescent="0.25">
      <c r="A818" s="105">
        <f t="shared" si="34"/>
        <v>40016</v>
      </c>
      <c r="B818" s="59">
        <f>SUM('Weekly Data'!D815:D818)/4</f>
        <v>129.25</v>
      </c>
      <c r="C818" s="90">
        <f>SUM('Weekly Data'!E815:E818)/4</f>
        <v>596.5</v>
      </c>
      <c r="D818" s="90">
        <f>SUM('Weekly Data'!F815:F818)/4</f>
        <v>610.25</v>
      </c>
      <c r="E818" s="90">
        <f>SUM('Weekly Data'!G815:G818)/4</f>
        <v>3352</v>
      </c>
      <c r="F818" s="90">
        <f>SUM('Weekly Data'!H815:H818)/4</f>
        <v>361</v>
      </c>
      <c r="G818" s="90">
        <f>SUM('Weekly Data'!I815:I818)/4</f>
        <v>4438.75</v>
      </c>
      <c r="H818" s="202">
        <f>SUM('Weekly Data'!J815:J818)/4</f>
        <v>1419.9335876920202</v>
      </c>
      <c r="I818" s="39"/>
      <c r="J818" s="101">
        <f>AVERAGE('Weekly Data'!D766,'Weekly Data'!D714,'Weekly Data'!D662,'Weekly Data'!D610)</f>
        <v>1089.5</v>
      </c>
      <c r="K818" s="16">
        <f>AVERAGE('Weekly Data'!E766,'Weekly Data'!E714,'Weekly Data'!E662,'Weekly Data'!E610)</f>
        <v>1983.25</v>
      </c>
      <c r="L818" s="16">
        <f>AVERAGE('Weekly Data'!F766,'Weekly Data'!F714,'Weekly Data'!F662,'Weekly Data'!F610)</f>
        <v>754</v>
      </c>
      <c r="M818" s="16">
        <f>AVERAGE('Weekly Data'!G766,'Weekly Data'!G714,'Weekly Data'!G662,'Weekly Data'!G610)</f>
        <v>3676.75</v>
      </c>
      <c r="N818" s="16">
        <f>AVERAGE('Weekly Data'!H766,'Weekly Data'!H714,'Weekly Data'!H662,'Weekly Data'!H610)</f>
        <v>318.25</v>
      </c>
      <c r="O818" s="101">
        <f>AVERAGE('Weekly Data'!I766,'Weekly Data'!I714,'Weekly Data'!I662,'Weekly Data'!I610)</f>
        <v>7067.75</v>
      </c>
      <c r="P818" s="203"/>
      <c r="Q818" s="39"/>
      <c r="R818" s="13">
        <f t="shared" si="35"/>
        <v>40016</v>
      </c>
      <c r="S818" s="106">
        <f t="shared" si="36"/>
        <v>979.0625</v>
      </c>
      <c r="T818" s="106">
        <f t="shared" si="37"/>
        <v>2019.75</v>
      </c>
      <c r="U818" s="109">
        <f t="shared" si="38"/>
        <v>805.25</v>
      </c>
      <c r="V818" s="109">
        <f t="shared" si="39"/>
        <v>3697.6875</v>
      </c>
      <c r="W818" s="110">
        <f t="shared" si="40"/>
        <v>315.5</v>
      </c>
      <c r="X818" s="106">
        <f t="shared" si="41"/>
        <v>7012</v>
      </c>
      <c r="Y818" s="39"/>
      <c r="Z818" s="39"/>
      <c r="AA818" s="39"/>
      <c r="AB818" s="39"/>
      <c r="AC818" s="39"/>
      <c r="AD818" s="39"/>
      <c r="AE818" s="39"/>
      <c r="AF818" s="39"/>
      <c r="AG818" s="39"/>
      <c r="AH818" s="65"/>
    </row>
    <row r="819" spans="1:34" x14ac:dyDescent="0.25">
      <c r="A819" s="105">
        <f t="shared" si="34"/>
        <v>40023</v>
      </c>
      <c r="B819" s="59">
        <f>SUM('Weekly Data'!D816:D819)/4</f>
        <v>225.25</v>
      </c>
      <c r="C819" s="90">
        <f>SUM('Weekly Data'!E816:E819)/4</f>
        <v>715.75</v>
      </c>
      <c r="D819" s="90">
        <f>SUM('Weekly Data'!F816:F819)/4</f>
        <v>622.25</v>
      </c>
      <c r="E819" s="90">
        <f>SUM('Weekly Data'!G816:G819)/4</f>
        <v>3406.75</v>
      </c>
      <c r="F819" s="90">
        <f>SUM('Weekly Data'!H816:H819)/4</f>
        <v>315</v>
      </c>
      <c r="G819" s="90">
        <f>SUM('Weekly Data'!I816:I819)/4</f>
        <v>4662.75</v>
      </c>
      <c r="H819" s="202">
        <f>SUM('Weekly Data'!J816:J819)/4</f>
        <v>1385.2856962443443</v>
      </c>
      <c r="I819" s="39"/>
      <c r="J819" s="101">
        <f>AVERAGE('Weekly Data'!D767,'Weekly Data'!D715,'Weekly Data'!D663,'Weekly Data'!D611)</f>
        <v>808</v>
      </c>
      <c r="K819" s="16">
        <f>AVERAGE('Weekly Data'!E767,'Weekly Data'!E715,'Weekly Data'!E663,'Weekly Data'!E611)</f>
        <v>2217.5</v>
      </c>
      <c r="L819" s="16">
        <f>AVERAGE('Weekly Data'!F767,'Weekly Data'!F715,'Weekly Data'!F663,'Weekly Data'!F611)</f>
        <v>483</v>
      </c>
      <c r="M819" s="16">
        <f>AVERAGE('Weekly Data'!G767,'Weekly Data'!G715,'Weekly Data'!G663,'Weekly Data'!G611)</f>
        <v>4223</v>
      </c>
      <c r="N819" s="16">
        <f>AVERAGE('Weekly Data'!H767,'Weekly Data'!H715,'Weekly Data'!H663,'Weekly Data'!H611)</f>
        <v>202.25</v>
      </c>
      <c r="O819" s="101">
        <f>AVERAGE('Weekly Data'!I767,'Weekly Data'!I715,'Weekly Data'!I663,'Weekly Data'!I611)</f>
        <v>7450.75</v>
      </c>
      <c r="P819" s="203"/>
      <c r="Q819" s="39"/>
      <c r="R819" s="13">
        <f t="shared" si="35"/>
        <v>40023</v>
      </c>
      <c r="S819" s="106">
        <f t="shared" si="36"/>
        <v>978.875</v>
      </c>
      <c r="T819" s="106">
        <f t="shared" si="37"/>
        <v>2094.625</v>
      </c>
      <c r="U819" s="109">
        <f t="shared" si="38"/>
        <v>733.1875</v>
      </c>
      <c r="V819" s="109">
        <f t="shared" si="39"/>
        <v>3788.6875</v>
      </c>
      <c r="W819" s="110">
        <f t="shared" si="40"/>
        <v>285.4375</v>
      </c>
      <c r="X819" s="106">
        <f t="shared" si="41"/>
        <v>7147.625</v>
      </c>
      <c r="Y819" s="39"/>
      <c r="Z819" s="39"/>
      <c r="AA819" s="39"/>
      <c r="AB819" s="39"/>
      <c r="AC819" s="39"/>
      <c r="AD819" s="39"/>
      <c r="AE819" s="39"/>
      <c r="AF819" s="39"/>
      <c r="AG819" s="39"/>
      <c r="AH819" s="65"/>
    </row>
    <row r="820" spans="1:34" x14ac:dyDescent="0.25">
      <c r="A820" s="105">
        <f t="shared" si="34"/>
        <v>40030</v>
      </c>
      <c r="B820" s="59">
        <f>SUM('Weekly Data'!D817:D820)/4</f>
        <v>230.75</v>
      </c>
      <c r="C820" s="90">
        <f>SUM('Weekly Data'!E817:E820)/4</f>
        <v>716.5</v>
      </c>
      <c r="D820" s="90">
        <f>SUM('Weekly Data'!F817:F820)/4</f>
        <v>585</v>
      </c>
      <c r="E820" s="90">
        <f>SUM('Weekly Data'!G817:G820)/4</f>
        <v>3399.25</v>
      </c>
      <c r="F820" s="90">
        <f>SUM('Weekly Data'!H817:H820)/4</f>
        <v>256.5</v>
      </c>
      <c r="G820" s="90">
        <f>SUM('Weekly Data'!I817:I820)/4</f>
        <v>4603</v>
      </c>
      <c r="H820" s="202">
        <f>SUM('Weekly Data'!J817:J820)/4</f>
        <v>1378.9860796174944</v>
      </c>
      <c r="I820" s="39"/>
      <c r="J820" s="101">
        <f>AVERAGE('Weekly Data'!D768,'Weekly Data'!D716,'Weekly Data'!D664,'Weekly Data'!D612)</f>
        <v>1139.5</v>
      </c>
      <c r="K820" s="16">
        <f>AVERAGE('Weekly Data'!E768,'Weekly Data'!E716,'Weekly Data'!E664,'Weekly Data'!E612)</f>
        <v>2236.5</v>
      </c>
      <c r="L820" s="16">
        <f>AVERAGE('Weekly Data'!F768,'Weekly Data'!F716,'Weekly Data'!F664,'Weekly Data'!F612)</f>
        <v>820.5</v>
      </c>
      <c r="M820" s="16">
        <f>AVERAGE('Weekly Data'!G768,'Weekly Data'!G716,'Weekly Data'!G664,'Weekly Data'!G612)</f>
        <v>3686.5</v>
      </c>
      <c r="N820" s="16">
        <f>AVERAGE('Weekly Data'!H768,'Weekly Data'!H716,'Weekly Data'!H664,'Weekly Data'!H612)</f>
        <v>296.5</v>
      </c>
      <c r="O820" s="101">
        <f>AVERAGE('Weekly Data'!I768,'Weekly Data'!I716,'Weekly Data'!I664,'Weekly Data'!I612)</f>
        <v>7359</v>
      </c>
      <c r="P820" s="203"/>
      <c r="Q820" s="39"/>
      <c r="R820" s="13">
        <f t="shared" si="35"/>
        <v>40030</v>
      </c>
      <c r="S820" s="106">
        <f t="shared" si="36"/>
        <v>1020.3125</v>
      </c>
      <c r="T820" s="106">
        <f t="shared" si="37"/>
        <v>2086.8125</v>
      </c>
      <c r="U820" s="109">
        <f t="shared" si="38"/>
        <v>673.875</v>
      </c>
      <c r="V820" s="109">
        <f t="shared" si="39"/>
        <v>3787.6875</v>
      </c>
      <c r="W820" s="110">
        <f t="shared" si="40"/>
        <v>301.75</v>
      </c>
      <c r="X820" s="106">
        <f t="shared" si="41"/>
        <v>7196.5625</v>
      </c>
      <c r="Y820" s="39"/>
      <c r="Z820" s="39"/>
      <c r="AA820" s="39"/>
      <c r="AB820" s="39"/>
      <c r="AC820" s="39"/>
      <c r="AD820" s="39"/>
      <c r="AE820" s="39"/>
      <c r="AF820" s="39"/>
      <c r="AG820" s="39"/>
      <c r="AH820" s="65"/>
    </row>
    <row r="821" spans="1:34" x14ac:dyDescent="0.25">
      <c r="A821" s="105">
        <f t="shared" si="34"/>
        <v>40037</v>
      </c>
      <c r="B821" s="59">
        <f>SUM('Weekly Data'!D818:D821)/4</f>
        <v>343</v>
      </c>
      <c r="C821" s="90">
        <f>SUM('Weekly Data'!E818:E821)/4</f>
        <v>675.75</v>
      </c>
      <c r="D821" s="90">
        <f>SUM('Weekly Data'!F818:F821)/4</f>
        <v>631.25</v>
      </c>
      <c r="E821" s="90">
        <f>SUM('Weekly Data'!G818:G821)/4</f>
        <v>3519.75</v>
      </c>
      <c r="F821" s="90">
        <f>SUM('Weekly Data'!H818:H821)/4</f>
        <v>191.25</v>
      </c>
      <c r="G821" s="90">
        <f>SUM('Weekly Data'!I818:I821)/4</f>
        <v>4729.75</v>
      </c>
      <c r="H821" s="202">
        <f>SUM('Weekly Data'!J818:J821)/4</f>
        <v>1390.3253895458247</v>
      </c>
      <c r="I821" s="39"/>
      <c r="J821" s="101">
        <f>AVERAGE('Weekly Data'!D769,'Weekly Data'!D717,'Weekly Data'!D665,'Weekly Data'!D613)</f>
        <v>1034</v>
      </c>
      <c r="K821" s="16">
        <f>AVERAGE('Weekly Data'!E769,'Weekly Data'!E717,'Weekly Data'!E665,'Weekly Data'!E613)</f>
        <v>2745.75</v>
      </c>
      <c r="L821" s="16">
        <f>AVERAGE('Weekly Data'!F769,'Weekly Data'!F717,'Weekly Data'!F665,'Weekly Data'!F613)</f>
        <v>646.75</v>
      </c>
      <c r="M821" s="16">
        <f>AVERAGE('Weekly Data'!G769,'Weekly Data'!G717,'Weekly Data'!G665,'Weekly Data'!G613)</f>
        <v>3816</v>
      </c>
      <c r="N821" s="16">
        <f>AVERAGE('Weekly Data'!H769,'Weekly Data'!H717,'Weekly Data'!H665,'Weekly Data'!H613)</f>
        <v>279.25</v>
      </c>
      <c r="O821" s="101">
        <f>AVERAGE('Weekly Data'!I769,'Weekly Data'!I717,'Weekly Data'!I665,'Weekly Data'!I613)</f>
        <v>7875</v>
      </c>
      <c r="P821" s="203"/>
      <c r="Q821" s="39"/>
      <c r="R821" s="13">
        <f t="shared" ref="R821:R884" si="42">R820+7</f>
        <v>40037</v>
      </c>
      <c r="S821" s="106">
        <f t="shared" si="36"/>
        <v>1035.875</v>
      </c>
      <c r="T821" s="106">
        <f t="shared" si="37"/>
        <v>2257.375</v>
      </c>
      <c r="U821" s="109">
        <f t="shared" si="38"/>
        <v>696.1875</v>
      </c>
      <c r="V821" s="109">
        <f t="shared" si="39"/>
        <v>3836.3125</v>
      </c>
      <c r="W821" s="110">
        <f t="shared" si="40"/>
        <v>276.4375</v>
      </c>
      <c r="X821" s="106">
        <f t="shared" si="41"/>
        <v>7406</v>
      </c>
      <c r="Y821" s="39"/>
      <c r="Z821" s="39"/>
      <c r="AA821" s="39"/>
      <c r="AB821" s="39"/>
      <c r="AC821" s="39"/>
      <c r="AD821" s="39"/>
      <c r="AE821" s="39"/>
      <c r="AF821" s="39"/>
      <c r="AG821" s="39"/>
      <c r="AH821" s="65"/>
    </row>
    <row r="822" spans="1:34" x14ac:dyDescent="0.25">
      <c r="A822" s="105">
        <f t="shared" si="34"/>
        <v>40044</v>
      </c>
      <c r="B822" s="59">
        <f>SUM('Weekly Data'!D819:D822)/4</f>
        <v>271.25</v>
      </c>
      <c r="C822" s="90">
        <f>SUM('Weekly Data'!E819:E822)/4</f>
        <v>782</v>
      </c>
      <c r="D822" s="90">
        <f>SUM('Weekly Data'!F819:F822)/4</f>
        <v>654</v>
      </c>
      <c r="E822" s="90">
        <f>SUM('Weekly Data'!G819:G822)/4</f>
        <v>3330.25</v>
      </c>
      <c r="F822" s="90">
        <f>SUM('Weekly Data'!H819:H822)/4</f>
        <v>174</v>
      </c>
      <c r="G822" s="90">
        <f>SUM('Weekly Data'!I819:I822)/4</f>
        <v>4557.5</v>
      </c>
      <c r="H822" s="202">
        <f>SUM('Weekly Data'!J819:J822)/4</f>
        <v>1363.0270508294739</v>
      </c>
      <c r="I822" s="39"/>
      <c r="J822" s="101">
        <f>AVERAGE('Weekly Data'!D770,'Weekly Data'!D718,'Weekly Data'!D666,'Weekly Data'!D614)</f>
        <v>1150.5</v>
      </c>
      <c r="K822" s="16">
        <f>AVERAGE('Weekly Data'!E770,'Weekly Data'!E718,'Weekly Data'!E666,'Weekly Data'!E614)</f>
        <v>2503</v>
      </c>
      <c r="L822" s="16">
        <f>AVERAGE('Weekly Data'!F770,'Weekly Data'!F718,'Weekly Data'!F666,'Weekly Data'!F614)</f>
        <v>667.25</v>
      </c>
      <c r="M822" s="16">
        <f>AVERAGE('Weekly Data'!G770,'Weekly Data'!G718,'Weekly Data'!G666,'Weekly Data'!G614)</f>
        <v>3868.25</v>
      </c>
      <c r="N822" s="16">
        <f>AVERAGE('Weekly Data'!H770,'Weekly Data'!H718,'Weekly Data'!H666,'Weekly Data'!H614)</f>
        <v>237.5</v>
      </c>
      <c r="O822" s="101">
        <f>AVERAGE('Weekly Data'!I770,'Weekly Data'!I718,'Weekly Data'!I666,'Weekly Data'!I614)</f>
        <v>7759.25</v>
      </c>
      <c r="P822" s="203"/>
      <c r="Q822" s="39"/>
      <c r="R822" s="13">
        <f t="shared" si="42"/>
        <v>40044</v>
      </c>
      <c r="S822" s="106">
        <f t="shared" si="36"/>
        <v>1020.9375</v>
      </c>
      <c r="T822" s="106">
        <f t="shared" si="37"/>
        <v>2424.4375</v>
      </c>
      <c r="U822" s="109">
        <f t="shared" si="38"/>
        <v>691.75</v>
      </c>
      <c r="V822" s="109">
        <f t="shared" si="39"/>
        <v>3849.75</v>
      </c>
      <c r="W822" s="110">
        <f t="shared" si="40"/>
        <v>254.75</v>
      </c>
      <c r="X822" s="106">
        <f t="shared" si="41"/>
        <v>7549.875</v>
      </c>
      <c r="Y822" s="39"/>
      <c r="Z822" s="39"/>
      <c r="AA822" s="39"/>
      <c r="AB822" s="39"/>
      <c r="AC822" s="39"/>
      <c r="AD822" s="39"/>
      <c r="AE822" s="39"/>
      <c r="AF822" s="39"/>
      <c r="AG822" s="39"/>
      <c r="AH822" s="65"/>
    </row>
    <row r="823" spans="1:34" x14ac:dyDescent="0.25">
      <c r="A823" s="105">
        <f t="shared" si="34"/>
        <v>40051</v>
      </c>
      <c r="B823" s="59">
        <f>SUM('Weekly Data'!D820:D823)/4</f>
        <v>280.5</v>
      </c>
      <c r="C823" s="90">
        <f>SUM('Weekly Data'!E820:E823)/4</f>
        <v>824.75</v>
      </c>
      <c r="D823" s="90">
        <f>SUM('Weekly Data'!F820:F823)/4</f>
        <v>670.25</v>
      </c>
      <c r="E823" s="90">
        <f>SUM('Weekly Data'!G820:G823)/4</f>
        <v>3109.5</v>
      </c>
      <c r="F823" s="90">
        <f>SUM('Weekly Data'!H820:H823)/4</f>
        <v>224</v>
      </c>
      <c r="G823" s="90">
        <f>SUM('Weekly Data'!I820:I823)/4</f>
        <v>4438.75</v>
      </c>
      <c r="H823" s="202">
        <f>SUM('Weekly Data'!J820:J823)/4</f>
        <v>1361.1371658414191</v>
      </c>
      <c r="I823" s="39"/>
      <c r="J823" s="101">
        <f>AVERAGE('Weekly Data'!D771,'Weekly Data'!D719,'Weekly Data'!D667,'Weekly Data'!D615)</f>
        <v>1215.75</v>
      </c>
      <c r="K823" s="16">
        <f>AVERAGE('Weekly Data'!E771,'Weekly Data'!E719,'Weekly Data'!E667,'Weekly Data'!E615)</f>
        <v>2330</v>
      </c>
      <c r="L823" s="16">
        <f>AVERAGE('Weekly Data'!F771,'Weekly Data'!F719,'Weekly Data'!F667,'Weekly Data'!F615)</f>
        <v>667.5</v>
      </c>
      <c r="M823" s="16">
        <f>AVERAGE('Weekly Data'!G771,'Weekly Data'!G719,'Weekly Data'!G667,'Weekly Data'!G615)</f>
        <v>4105.5</v>
      </c>
      <c r="N823" s="16">
        <f>AVERAGE('Weekly Data'!H771,'Weekly Data'!H719,'Weekly Data'!H667,'Weekly Data'!H615)</f>
        <v>508.75</v>
      </c>
      <c r="O823" s="101">
        <f>AVERAGE('Weekly Data'!I771,'Weekly Data'!I719,'Weekly Data'!I667,'Weekly Data'!I615)</f>
        <v>8160</v>
      </c>
      <c r="P823" s="203"/>
      <c r="Q823" s="39"/>
      <c r="R823" s="13">
        <f t="shared" si="42"/>
        <v>40051</v>
      </c>
      <c r="S823" s="106">
        <f t="shared" si="36"/>
        <v>1122.1875</v>
      </c>
      <c r="T823" s="106">
        <f t="shared" si="37"/>
        <v>2476.75</v>
      </c>
      <c r="U823" s="109">
        <f t="shared" si="38"/>
        <v>711.25</v>
      </c>
      <c r="V823" s="109">
        <f t="shared" si="39"/>
        <v>3842.75</v>
      </c>
      <c r="W823" s="110">
        <f t="shared" si="40"/>
        <v>333.1875</v>
      </c>
      <c r="X823" s="106">
        <f t="shared" si="41"/>
        <v>7774.875</v>
      </c>
      <c r="Y823" s="39"/>
      <c r="Z823" s="39"/>
      <c r="AA823" s="39"/>
      <c r="AB823" s="39"/>
      <c r="AC823" s="39"/>
      <c r="AD823" s="39"/>
      <c r="AE823" s="39"/>
      <c r="AF823" s="39"/>
      <c r="AG823" s="39"/>
      <c r="AH823" s="65"/>
    </row>
    <row r="824" spans="1:34" x14ac:dyDescent="0.25">
      <c r="A824" s="105">
        <f t="shared" si="34"/>
        <v>40058</v>
      </c>
      <c r="B824" s="59">
        <f>SUM('Weekly Data'!D821:D824)/4</f>
        <v>378.25</v>
      </c>
      <c r="C824" s="90">
        <f>SUM('Weekly Data'!E821:E824)/4</f>
        <v>863.75</v>
      </c>
      <c r="D824" s="90">
        <f>SUM('Weekly Data'!F821:F824)/4</f>
        <v>605.5</v>
      </c>
      <c r="E824" s="90">
        <f>SUM('Weekly Data'!G821:G824)/4</f>
        <v>3195.25</v>
      </c>
      <c r="F824" s="90">
        <f>SUM('Weekly Data'!H821:H824)/4</f>
        <v>233.25</v>
      </c>
      <c r="G824" s="90">
        <f>SUM('Weekly Data'!I821:I824)/4</f>
        <v>4670.5</v>
      </c>
      <c r="H824" s="202">
        <f>SUM('Weekly Data'!J821:J824)/4</f>
        <v>1439.4623992352556</v>
      </c>
      <c r="I824" s="39"/>
      <c r="J824" s="101">
        <f>AVERAGE('Weekly Data'!D772,'Weekly Data'!D720,'Weekly Data'!D668,'Weekly Data'!D616)</f>
        <v>1043</v>
      </c>
      <c r="K824" s="16">
        <f>AVERAGE('Weekly Data'!E772,'Weekly Data'!E720,'Weekly Data'!E668,'Weekly Data'!E616)</f>
        <v>2218.75</v>
      </c>
      <c r="L824" s="16">
        <f>AVERAGE('Weekly Data'!F772,'Weekly Data'!F720,'Weekly Data'!F668,'Weekly Data'!F616)</f>
        <v>833.5</v>
      </c>
      <c r="M824" s="16">
        <f>AVERAGE('Weekly Data'!G772,'Weekly Data'!G720,'Weekly Data'!G668,'Weekly Data'!G616)</f>
        <v>3663</v>
      </c>
      <c r="N824" s="16">
        <f>AVERAGE('Weekly Data'!H772,'Weekly Data'!H720,'Weekly Data'!H668,'Weekly Data'!H616)</f>
        <v>327.25</v>
      </c>
      <c r="O824" s="101">
        <f>AVERAGE('Weekly Data'!I772,'Weekly Data'!I720,'Weekly Data'!I668,'Weekly Data'!I616)</f>
        <v>7252</v>
      </c>
      <c r="P824" s="203"/>
      <c r="Q824" s="39"/>
      <c r="R824" s="13">
        <f t="shared" si="42"/>
        <v>40058</v>
      </c>
      <c r="S824" s="106">
        <f t="shared" si="36"/>
        <v>1141.0625</v>
      </c>
      <c r="T824" s="106">
        <f t="shared" si="37"/>
        <v>2473.5</v>
      </c>
      <c r="U824" s="109">
        <f t="shared" si="38"/>
        <v>710.8125</v>
      </c>
      <c r="V824" s="109">
        <f t="shared" si="39"/>
        <v>3825.9375</v>
      </c>
      <c r="W824" s="110">
        <f t="shared" si="40"/>
        <v>334.6875</v>
      </c>
      <c r="X824" s="106">
        <f t="shared" si="41"/>
        <v>7775.1875</v>
      </c>
      <c r="Y824" s="39"/>
      <c r="Z824" s="39"/>
      <c r="AA824" s="39"/>
      <c r="AB824" s="39"/>
      <c r="AC824" s="39"/>
      <c r="AD824" s="39"/>
      <c r="AE824" s="39"/>
      <c r="AF824" s="39"/>
      <c r="AG824" s="39"/>
      <c r="AH824" s="65"/>
    </row>
    <row r="825" spans="1:34" x14ac:dyDescent="0.25">
      <c r="A825" s="105">
        <f t="shared" si="34"/>
        <v>40065</v>
      </c>
      <c r="B825" s="59">
        <f>SUM('Weekly Data'!D822:D825)/4</f>
        <v>363</v>
      </c>
      <c r="C825" s="90">
        <f>SUM('Weekly Data'!E822:E825)/4</f>
        <v>963.75</v>
      </c>
      <c r="D825" s="90">
        <f>SUM('Weekly Data'!F822:F825)/4</f>
        <v>622</v>
      </c>
      <c r="E825" s="90">
        <f>SUM('Weekly Data'!G822:G825)/4</f>
        <v>2929.75</v>
      </c>
      <c r="F825" s="90">
        <f>SUM('Weekly Data'!H822:H825)/4</f>
        <v>268.5</v>
      </c>
      <c r="G825" s="90">
        <f>SUM('Weekly Data'!I822:I825)/4</f>
        <v>4525</v>
      </c>
      <c r="H825" s="202">
        <f>SUM('Weekly Data'!J822:J825)/4</f>
        <v>1519.8875048380423</v>
      </c>
      <c r="I825" s="39"/>
      <c r="J825" s="101">
        <f>AVERAGE('Weekly Data'!D773,'Weekly Data'!D721,'Weekly Data'!D669,'Weekly Data'!D617)</f>
        <v>1202.75</v>
      </c>
      <c r="K825" s="16">
        <f>AVERAGE('Weekly Data'!E773,'Weekly Data'!E721,'Weekly Data'!E669,'Weekly Data'!E617)</f>
        <v>2689.75</v>
      </c>
      <c r="L825" s="16">
        <f>AVERAGE('Weekly Data'!F773,'Weekly Data'!F721,'Weekly Data'!F669,'Weekly Data'!F617)</f>
        <v>659</v>
      </c>
      <c r="M825" s="16">
        <f>AVERAGE('Weekly Data'!G773,'Weekly Data'!G721,'Weekly Data'!G669,'Weekly Data'!G617)</f>
        <v>3799.25</v>
      </c>
      <c r="N825" s="16">
        <f>AVERAGE('Weekly Data'!H773,'Weekly Data'!H721,'Weekly Data'!H669,'Weekly Data'!H617)</f>
        <v>513</v>
      </c>
      <c r="O825" s="101">
        <f>AVERAGE('Weekly Data'!I773,'Weekly Data'!I721,'Weekly Data'!I669,'Weekly Data'!I617)</f>
        <v>8204.75</v>
      </c>
      <c r="P825" s="203"/>
      <c r="Q825" s="39"/>
      <c r="R825" s="13">
        <f t="shared" si="42"/>
        <v>40065</v>
      </c>
      <c r="S825" s="106">
        <f t="shared" si="36"/>
        <v>1167.375</v>
      </c>
      <c r="T825" s="106">
        <f t="shared" si="37"/>
        <v>2396.25</v>
      </c>
      <c r="U825" s="109">
        <f t="shared" si="38"/>
        <v>698.5</v>
      </c>
      <c r="V825" s="109">
        <f t="shared" si="39"/>
        <v>3829.25</v>
      </c>
      <c r="W825" s="110">
        <f t="shared" si="40"/>
        <v>387.25</v>
      </c>
      <c r="X825" s="106">
        <f t="shared" si="41"/>
        <v>7780.125</v>
      </c>
      <c r="Y825" s="39"/>
      <c r="Z825" s="39"/>
      <c r="AA825" s="39"/>
      <c r="AB825" s="39"/>
      <c r="AC825" s="39"/>
      <c r="AD825" s="39"/>
      <c r="AE825" s="39"/>
      <c r="AF825" s="39"/>
      <c r="AG825" s="39"/>
      <c r="AH825" s="65"/>
    </row>
    <row r="826" spans="1:34" x14ac:dyDescent="0.25">
      <c r="A826" s="105">
        <f t="shared" si="34"/>
        <v>40072</v>
      </c>
      <c r="B826" s="59">
        <f>SUM('Weekly Data'!D823:D826)/4</f>
        <v>412.5</v>
      </c>
      <c r="C826" s="90">
        <f>SUM('Weekly Data'!E823:E826)/4</f>
        <v>970.5</v>
      </c>
      <c r="D826" s="90">
        <f>SUM('Weekly Data'!F823:F826)/4</f>
        <v>522</v>
      </c>
      <c r="E826" s="90">
        <f>SUM('Weekly Data'!G823:G826)/4</f>
        <v>3079.25</v>
      </c>
      <c r="F826" s="90">
        <f>SUM('Weekly Data'!H823:H826)/4</f>
        <v>312.5</v>
      </c>
      <c r="G826" s="90">
        <f>SUM('Weekly Data'!I823:I826)/4</f>
        <v>4774.75</v>
      </c>
      <c r="H826" s="202">
        <f>SUM('Weekly Data'!J823:J826)/4</f>
        <v>1453.3215558143258</v>
      </c>
      <c r="I826" s="39"/>
      <c r="J826" s="101">
        <f>AVERAGE('Weekly Data'!D774,'Weekly Data'!D722,'Weekly Data'!D670,'Weekly Data'!D618)</f>
        <v>1531.25</v>
      </c>
      <c r="K826" s="16">
        <f>AVERAGE('Weekly Data'!E774,'Weekly Data'!E722,'Weekly Data'!E670,'Weekly Data'!E618)</f>
        <v>2312.5</v>
      </c>
      <c r="L826" s="16">
        <f>AVERAGE('Weekly Data'!F774,'Weekly Data'!F722,'Weekly Data'!F670,'Weekly Data'!F618)</f>
        <v>976.5</v>
      </c>
      <c r="M826" s="16">
        <f>AVERAGE('Weekly Data'!G774,'Weekly Data'!G722,'Weekly Data'!G670,'Weekly Data'!G618)</f>
        <v>3717.25</v>
      </c>
      <c r="N826" s="16">
        <f>AVERAGE('Weekly Data'!H774,'Weekly Data'!H722,'Weekly Data'!H670,'Weekly Data'!H618)</f>
        <v>489.5</v>
      </c>
      <c r="O826" s="101">
        <f>AVERAGE('Weekly Data'!I774,'Weekly Data'!I722,'Weekly Data'!I670,'Weekly Data'!I618)</f>
        <v>8050.5</v>
      </c>
      <c r="P826" s="203"/>
      <c r="Q826" s="39"/>
      <c r="R826" s="13">
        <f t="shared" si="42"/>
        <v>40072</v>
      </c>
      <c r="S826" s="106">
        <f t="shared" si="36"/>
        <v>1213.3125</v>
      </c>
      <c r="T826" s="106">
        <f t="shared" si="37"/>
        <v>2357.125</v>
      </c>
      <c r="U826" s="109">
        <f t="shared" si="38"/>
        <v>726.75</v>
      </c>
      <c r="V826" s="109">
        <f t="shared" si="39"/>
        <v>3871.625</v>
      </c>
      <c r="W826" s="110">
        <f t="shared" si="40"/>
        <v>435.3125</v>
      </c>
      <c r="X826" s="106">
        <f t="shared" si="41"/>
        <v>7877.375</v>
      </c>
      <c r="Y826" s="39"/>
      <c r="Z826" s="39"/>
      <c r="AA826" s="39"/>
      <c r="AB826" s="39"/>
      <c r="AC826" s="39"/>
      <c r="AD826" s="39"/>
      <c r="AE826" s="39"/>
      <c r="AF826" s="39"/>
      <c r="AG826" s="39"/>
      <c r="AH826" s="65"/>
    </row>
    <row r="827" spans="1:34" x14ac:dyDescent="0.25">
      <c r="A827" s="105">
        <f t="shared" si="34"/>
        <v>40079</v>
      </c>
      <c r="B827" s="59">
        <f>SUM('Weekly Data'!D824:D827)/4</f>
        <v>348</v>
      </c>
      <c r="C827" s="90">
        <f>SUM('Weekly Data'!E824:E827)/4</f>
        <v>1111</v>
      </c>
      <c r="D827" s="90">
        <f>SUM('Weekly Data'!F824:F827)/4</f>
        <v>508.25</v>
      </c>
      <c r="E827" s="90">
        <f>SUM('Weekly Data'!G824:G827)/4</f>
        <v>3163.5</v>
      </c>
      <c r="F827" s="90">
        <f>SUM('Weekly Data'!H824:H827)/4</f>
        <v>296</v>
      </c>
      <c r="G827" s="90">
        <f>SUM('Weekly Data'!I824:I827)/4</f>
        <v>4918.5</v>
      </c>
      <c r="H827" s="202">
        <f>SUM('Weekly Data'!J824:J827)/4</f>
        <v>1331.3189804743281</v>
      </c>
      <c r="I827" s="39"/>
      <c r="J827" s="101">
        <f>AVERAGE('Weekly Data'!D775,'Weekly Data'!D723,'Weekly Data'!D671,'Weekly Data'!D619)</f>
        <v>1696.75</v>
      </c>
      <c r="K827" s="16">
        <f>AVERAGE('Weekly Data'!E775,'Weekly Data'!E723,'Weekly Data'!E671,'Weekly Data'!E619)</f>
        <v>2190.25</v>
      </c>
      <c r="L827" s="16">
        <f>AVERAGE('Weekly Data'!F775,'Weekly Data'!F723,'Weekly Data'!F671,'Weekly Data'!F619)</f>
        <v>1022.5</v>
      </c>
      <c r="M827" s="16">
        <f>AVERAGE('Weekly Data'!G775,'Weekly Data'!G723,'Weekly Data'!G671,'Weekly Data'!G619)</f>
        <v>3884.5</v>
      </c>
      <c r="N827" s="16">
        <f>AVERAGE('Weekly Data'!H775,'Weekly Data'!H723,'Weekly Data'!H671,'Weekly Data'!H619)</f>
        <v>618</v>
      </c>
      <c r="O827" s="101">
        <f>AVERAGE('Weekly Data'!I775,'Weekly Data'!I723,'Weekly Data'!I671,'Weekly Data'!I619)</f>
        <v>8389.5</v>
      </c>
      <c r="P827" s="203"/>
      <c r="Q827" s="39"/>
      <c r="R827" s="13">
        <f t="shared" si="42"/>
        <v>40079</v>
      </c>
      <c r="S827" s="106">
        <f t="shared" si="36"/>
        <v>1301.5625</v>
      </c>
      <c r="T827" s="106">
        <f t="shared" si="37"/>
        <v>2421.6875</v>
      </c>
      <c r="U827" s="109">
        <f t="shared" si="38"/>
        <v>873.125</v>
      </c>
      <c r="V827" s="109">
        <f t="shared" si="39"/>
        <v>3745.5</v>
      </c>
      <c r="W827" s="110">
        <f t="shared" si="40"/>
        <v>469</v>
      </c>
      <c r="X827" s="106">
        <f t="shared" si="41"/>
        <v>7937.75</v>
      </c>
      <c r="Y827" s="39"/>
      <c r="Z827" s="39"/>
      <c r="AA827" s="39"/>
      <c r="AB827" s="39"/>
      <c r="AC827" s="39"/>
      <c r="AD827" s="39"/>
      <c r="AE827" s="39"/>
      <c r="AF827" s="39"/>
      <c r="AG827" s="39"/>
      <c r="AH827" s="65"/>
    </row>
    <row r="828" spans="1:34" x14ac:dyDescent="0.25">
      <c r="A828" s="105">
        <f t="shared" si="34"/>
        <v>40086</v>
      </c>
      <c r="B828" s="59">
        <f>SUM('Weekly Data'!D825:D828)/4</f>
        <v>334.5</v>
      </c>
      <c r="C828" s="90">
        <f>SUM('Weekly Data'!E825:E828)/4</f>
        <v>968.5</v>
      </c>
      <c r="D828" s="90">
        <f>SUM('Weekly Data'!F825:F828)/4</f>
        <v>597.25</v>
      </c>
      <c r="E828" s="90">
        <f>SUM('Weekly Data'!G825:G828)/4</f>
        <v>3114.25</v>
      </c>
      <c r="F828" s="90">
        <f>SUM('Weekly Data'!H825:H828)/4</f>
        <v>290.5</v>
      </c>
      <c r="G828" s="90">
        <f>SUM('Weekly Data'!I825:I828)/4</f>
        <v>4707.75</v>
      </c>
      <c r="H828" s="202">
        <f>SUM('Weekly Data'!J825:J828)/4</f>
        <v>1176.3484114538151</v>
      </c>
      <c r="I828" s="39"/>
      <c r="J828" s="101">
        <f>AVERAGE('Weekly Data'!D776,'Weekly Data'!D724,'Weekly Data'!D672,'Weekly Data'!D620)</f>
        <v>1950.5</v>
      </c>
      <c r="K828" s="16">
        <f>AVERAGE('Weekly Data'!E776,'Weekly Data'!E724,'Weekly Data'!E672,'Weekly Data'!E620)</f>
        <v>2477.5</v>
      </c>
      <c r="L828" s="16">
        <f>AVERAGE('Weekly Data'!F776,'Weekly Data'!F724,'Weekly Data'!F672,'Weekly Data'!F620)</f>
        <v>945.25</v>
      </c>
      <c r="M828" s="16">
        <f>AVERAGE('Weekly Data'!G776,'Weekly Data'!G724,'Weekly Data'!G672,'Weekly Data'!G620)</f>
        <v>4304.25</v>
      </c>
      <c r="N828" s="16">
        <f>AVERAGE('Weekly Data'!H776,'Weekly Data'!H724,'Weekly Data'!H672,'Weekly Data'!H620)</f>
        <v>669.5</v>
      </c>
      <c r="O828" s="101">
        <f>AVERAGE('Weekly Data'!I776,'Weekly Data'!I724,'Weekly Data'!I672,'Weekly Data'!I620)</f>
        <v>9401.75</v>
      </c>
      <c r="P828" s="203"/>
      <c r="Q828" s="39"/>
      <c r="R828" s="13">
        <f t="shared" si="42"/>
        <v>40086</v>
      </c>
      <c r="S828" s="106">
        <f t="shared" si="36"/>
        <v>1516.625</v>
      </c>
      <c r="T828" s="106">
        <f t="shared" si="37"/>
        <v>2344</v>
      </c>
      <c r="U828" s="109">
        <f t="shared" si="38"/>
        <v>903.375</v>
      </c>
      <c r="V828" s="109">
        <f t="shared" si="39"/>
        <v>3857.5</v>
      </c>
      <c r="W828" s="110">
        <f t="shared" si="40"/>
        <v>549.6875</v>
      </c>
      <c r="X828" s="106">
        <f t="shared" si="41"/>
        <v>8267.8125</v>
      </c>
      <c r="Y828" s="39"/>
      <c r="Z828" s="39"/>
      <c r="AA828" s="39"/>
      <c r="AB828" s="39"/>
      <c r="AC828" s="39"/>
      <c r="AD828" s="39"/>
      <c r="AE828" s="39"/>
      <c r="AF828" s="39"/>
      <c r="AG828" s="39"/>
      <c r="AH828" s="65"/>
    </row>
    <row r="829" spans="1:34" x14ac:dyDescent="0.25">
      <c r="A829" s="105">
        <f t="shared" si="34"/>
        <v>40093</v>
      </c>
      <c r="B829" s="59">
        <f>SUM('Weekly Data'!D826:D829)/4</f>
        <v>432.75</v>
      </c>
      <c r="C829" s="90">
        <f>SUM('Weekly Data'!E826:E829)/4</f>
        <v>1203.75</v>
      </c>
      <c r="D829" s="90">
        <f>SUM('Weekly Data'!F826:F829)/4</f>
        <v>558.5</v>
      </c>
      <c r="E829" s="90">
        <f>SUM('Weekly Data'!G826:G829)/4</f>
        <v>3269.75</v>
      </c>
      <c r="F829" s="90">
        <f>SUM('Weekly Data'!H826:H829)/4</f>
        <v>304</v>
      </c>
      <c r="G829" s="90">
        <f>SUM('Weekly Data'!I826:I829)/4</f>
        <v>5210.25</v>
      </c>
      <c r="H829" s="202">
        <f>SUM('Weekly Data'!J826:J829)/4</f>
        <v>1069.2549287973627</v>
      </c>
      <c r="I829" s="39"/>
      <c r="J829" s="101">
        <f>AVERAGE('Weekly Data'!D777,'Weekly Data'!D725,'Weekly Data'!D673,'Weekly Data'!D621)</f>
        <v>2289</v>
      </c>
      <c r="K829" s="16">
        <f>AVERAGE('Weekly Data'!E777,'Weekly Data'!E725,'Weekly Data'!E673,'Weekly Data'!E621)</f>
        <v>2267.75</v>
      </c>
      <c r="L829" s="16">
        <f>AVERAGE('Weekly Data'!F777,'Weekly Data'!F725,'Weekly Data'!F673,'Weekly Data'!F621)</f>
        <v>954.5</v>
      </c>
      <c r="M829" s="16">
        <f>AVERAGE('Weekly Data'!G777,'Weekly Data'!G725,'Weekly Data'!G673,'Weekly Data'!G621)</f>
        <v>5017.75</v>
      </c>
      <c r="N829" s="16">
        <f>AVERAGE('Weekly Data'!H777,'Weekly Data'!H725,'Weekly Data'!H673,'Weekly Data'!H621)</f>
        <v>772.25</v>
      </c>
      <c r="O829" s="101">
        <f>AVERAGE('Weekly Data'!I777,'Weekly Data'!I725,'Weekly Data'!I673,'Weekly Data'!I621)</f>
        <v>10346.75</v>
      </c>
      <c r="P829" s="203">
        <f>AVERAGE('Weekly Data'!J777,'Weekly Data'!J725,'Weekly Data'!J673,'Weekly Data'!J621)</f>
        <v>2414</v>
      </c>
      <c r="Q829" s="39"/>
      <c r="R829" s="13">
        <f t="shared" si="42"/>
        <v>40093</v>
      </c>
      <c r="S829" s="106">
        <f t="shared" si="36"/>
        <v>1776.125</v>
      </c>
      <c r="T829" s="106">
        <f t="shared" si="37"/>
        <v>2353.3125</v>
      </c>
      <c r="U829" s="109">
        <f t="shared" si="38"/>
        <v>936.6875</v>
      </c>
      <c r="V829" s="109">
        <f t="shared" si="39"/>
        <v>4136.25</v>
      </c>
      <c r="W829" s="110">
        <f t="shared" si="40"/>
        <v>600.9375</v>
      </c>
      <c r="X829" s="106">
        <f t="shared" si="41"/>
        <v>8866.625</v>
      </c>
      <c r="Y829" s="204">
        <f t="shared" si="41"/>
        <v>603.5</v>
      </c>
      <c r="Z829" s="39"/>
      <c r="AA829" s="39"/>
      <c r="AB829" s="39"/>
      <c r="AC829" s="39"/>
      <c r="AD829" s="39"/>
      <c r="AE829" s="39"/>
      <c r="AF829" s="39"/>
      <c r="AG829" s="39"/>
      <c r="AH829" s="65"/>
    </row>
    <row r="830" spans="1:34" x14ac:dyDescent="0.25">
      <c r="A830" s="105">
        <f t="shared" si="34"/>
        <v>40100</v>
      </c>
      <c r="B830" s="59">
        <f>SUM('Weekly Data'!D827:D830)/4</f>
        <v>696.25</v>
      </c>
      <c r="C830" s="90">
        <f>SUM('Weekly Data'!E827:E830)/4</f>
        <v>1416.75</v>
      </c>
      <c r="D830" s="90">
        <f>SUM('Weekly Data'!F827:F830)/4</f>
        <v>619.25</v>
      </c>
      <c r="E830" s="90">
        <f>SUM('Weekly Data'!G827:G830)/4</f>
        <v>3575</v>
      </c>
      <c r="F830" s="90">
        <f>SUM('Weekly Data'!H827:H830)/4</f>
        <v>433.25</v>
      </c>
      <c r="G830" s="90">
        <f>SUM('Weekly Data'!I827:I830)/4</f>
        <v>6121.25</v>
      </c>
      <c r="H830" s="202">
        <f>SUM('Weekly Data'!J827:J830)/4</f>
        <v>1236.1947694088913</v>
      </c>
      <c r="I830" s="39"/>
      <c r="J830" s="101">
        <f>AVERAGE('Weekly Data'!D778,'Weekly Data'!D726,'Weekly Data'!D674,'Weekly Data'!D622)</f>
        <v>2494.5</v>
      </c>
      <c r="K830" s="16">
        <f>AVERAGE('Weekly Data'!E778,'Weekly Data'!E726,'Weekly Data'!E674,'Weekly Data'!E622)</f>
        <v>2017.25</v>
      </c>
      <c r="L830" s="16">
        <f>AVERAGE('Weekly Data'!F778,'Weekly Data'!F726,'Weekly Data'!F674,'Weekly Data'!F622)</f>
        <v>1248.25</v>
      </c>
      <c r="M830" s="16">
        <f>AVERAGE('Weekly Data'!G778,'Weekly Data'!G726,'Weekly Data'!G674,'Weekly Data'!G622)</f>
        <v>5876.25</v>
      </c>
      <c r="N830" s="16">
        <f>AVERAGE('Weekly Data'!H778,'Weekly Data'!H726,'Weekly Data'!H674,'Weekly Data'!H622)</f>
        <v>795.5</v>
      </c>
      <c r="O830" s="101">
        <f>AVERAGE('Weekly Data'!I778,'Weekly Data'!I726,'Weekly Data'!I674,'Weekly Data'!I622)</f>
        <v>11183.5</v>
      </c>
      <c r="P830" s="203">
        <f>AVERAGE('Weekly Data'!J778,'Weekly Data'!J726,'Weekly Data'!J674,'Weekly Data'!J622)</f>
        <v>2899.35</v>
      </c>
      <c r="Q830" s="39"/>
      <c r="R830" s="13">
        <f t="shared" si="42"/>
        <v>40100</v>
      </c>
      <c r="S830" s="106">
        <f t="shared" si="36"/>
        <v>2089.8125</v>
      </c>
      <c r="T830" s="106">
        <f t="shared" si="37"/>
        <v>2258.375</v>
      </c>
      <c r="U830" s="109">
        <f t="shared" si="38"/>
        <v>1031.4375</v>
      </c>
      <c r="V830" s="109">
        <f t="shared" si="39"/>
        <v>4610.1875</v>
      </c>
      <c r="W830" s="110">
        <f t="shared" si="40"/>
        <v>712.875</v>
      </c>
      <c r="X830" s="106">
        <f t="shared" si="41"/>
        <v>9671.25</v>
      </c>
      <c r="Y830" s="204">
        <f t="shared" si="41"/>
        <v>1328.3375000000001</v>
      </c>
      <c r="Z830" s="39"/>
      <c r="AA830" s="39"/>
      <c r="AB830" s="39"/>
      <c r="AC830" s="39"/>
      <c r="AD830" s="39"/>
      <c r="AE830" s="39"/>
      <c r="AF830" s="39"/>
      <c r="AG830" s="39"/>
      <c r="AH830" s="65"/>
    </row>
    <row r="831" spans="1:34" x14ac:dyDescent="0.25">
      <c r="A831" s="105">
        <f t="shared" si="34"/>
        <v>40107</v>
      </c>
      <c r="B831" s="59">
        <f>SUM('Weekly Data'!D828:D831)/4</f>
        <v>1005</v>
      </c>
      <c r="C831" s="121">
        <f>SUM('Weekly Data'!E828:E831)/4</f>
        <v>1448.75</v>
      </c>
      <c r="D831" s="90">
        <f>SUM('Weekly Data'!F828:F831)/4</f>
        <v>603.75</v>
      </c>
      <c r="E831" s="90">
        <f>SUM('Weekly Data'!G828:G831)/4</f>
        <v>4040.25</v>
      </c>
      <c r="F831" s="90">
        <f>SUM('Weekly Data'!H828:H831)/4</f>
        <v>647.25</v>
      </c>
      <c r="G831" s="90">
        <f>SUM('Weekly Data'!I828:I831)/4</f>
        <v>7141.25</v>
      </c>
      <c r="H831" s="202">
        <f>SUM('Weekly Data'!J828:J831)/4</f>
        <v>1419.7236004711251</v>
      </c>
      <c r="I831" s="39"/>
      <c r="J831" s="101">
        <f>AVERAGE('Weekly Data'!D779,'Weekly Data'!D727,'Weekly Data'!D675,'Weekly Data'!D623)</f>
        <v>2325</v>
      </c>
      <c r="K831" s="16">
        <f>AVERAGE('Weekly Data'!E779,'Weekly Data'!E727,'Weekly Data'!E675,'Weekly Data'!E623)</f>
        <v>2031</v>
      </c>
      <c r="L831" s="16">
        <f>AVERAGE('Weekly Data'!F779,'Weekly Data'!F727,'Weekly Data'!F675,'Weekly Data'!F623)</f>
        <v>850</v>
      </c>
      <c r="M831" s="16">
        <f>AVERAGE('Weekly Data'!G779,'Weekly Data'!G727,'Weekly Data'!G675,'Weekly Data'!G623)</f>
        <v>5347.5</v>
      </c>
      <c r="N831" s="16">
        <f>AVERAGE('Weekly Data'!H779,'Weekly Data'!H727,'Weekly Data'!H675,'Weekly Data'!H623)</f>
        <v>885.25</v>
      </c>
      <c r="O831" s="101">
        <f>AVERAGE('Weekly Data'!I779,'Weekly Data'!I727,'Weekly Data'!I675,'Weekly Data'!I623)</f>
        <v>10588.75</v>
      </c>
      <c r="P831" s="203">
        <f>AVERAGE('Weekly Data'!J779,'Weekly Data'!J727,'Weekly Data'!J675,'Weekly Data'!J623)</f>
        <v>2689.4</v>
      </c>
      <c r="Q831" s="39"/>
      <c r="R831" s="13">
        <f t="shared" si="42"/>
        <v>40107</v>
      </c>
      <c r="S831" s="106">
        <f t="shared" si="36"/>
        <v>2220.4375</v>
      </c>
      <c r="T831" s="106">
        <f t="shared" si="37"/>
        <v>2091.8125</v>
      </c>
      <c r="U831" s="109">
        <f t="shared" si="38"/>
        <v>956.1875</v>
      </c>
      <c r="V831" s="109">
        <f t="shared" si="39"/>
        <v>5092.8125</v>
      </c>
      <c r="W831" s="110">
        <f t="shared" si="40"/>
        <v>762.1875</v>
      </c>
      <c r="X831" s="106">
        <f t="shared" si="41"/>
        <v>10167.25</v>
      </c>
      <c r="Y831" s="204">
        <f t="shared" si="41"/>
        <v>2000.6875</v>
      </c>
      <c r="Z831" s="39"/>
      <c r="AA831" s="39"/>
      <c r="AB831" s="39"/>
      <c r="AC831" s="39"/>
      <c r="AD831" s="39"/>
      <c r="AE831" s="39"/>
      <c r="AF831" s="39"/>
      <c r="AG831" s="39"/>
      <c r="AH831" s="65"/>
    </row>
    <row r="832" spans="1:34" x14ac:dyDescent="0.25">
      <c r="A832" s="105">
        <f t="shared" si="34"/>
        <v>40114</v>
      </c>
      <c r="B832" s="59">
        <f>SUM('Weekly Data'!D829:D832)/4</f>
        <v>1397.25</v>
      </c>
      <c r="C832" s="90">
        <f>SUM('Weekly Data'!E829:E832)/4</f>
        <v>1757.5</v>
      </c>
      <c r="D832" s="90">
        <f>SUM('Weekly Data'!F829:F832)/4</f>
        <v>605.5</v>
      </c>
      <c r="E832" s="90">
        <f>SUM('Weekly Data'!G829:G832)/4</f>
        <v>4340.75</v>
      </c>
      <c r="F832" s="90">
        <f>SUM('Weekly Data'!H829:H832)/4</f>
        <v>776</v>
      </c>
      <c r="G832" s="90">
        <f>SUM('Weekly Data'!I829:I832)/4</f>
        <v>8271.5</v>
      </c>
      <c r="H832" s="202">
        <f>SUM('Weekly Data'!J829:J832)/4</f>
        <v>1534.1666358589025</v>
      </c>
      <c r="I832" s="39"/>
      <c r="J832" s="101">
        <f>AVERAGE('Weekly Data'!D780,'Weekly Data'!D728,'Weekly Data'!D676,'Weekly Data'!D624)</f>
        <v>2258</v>
      </c>
      <c r="K832" s="16">
        <f>AVERAGE('Weekly Data'!E780,'Weekly Data'!E728,'Weekly Data'!E676,'Weekly Data'!E624)</f>
        <v>2062.75</v>
      </c>
      <c r="L832" s="16">
        <f>AVERAGE('Weekly Data'!F780,'Weekly Data'!F728,'Weekly Data'!F676,'Weekly Data'!F624)</f>
        <v>1234.75</v>
      </c>
      <c r="M832" s="16">
        <f>AVERAGE('Weekly Data'!G780,'Weekly Data'!G728,'Weekly Data'!G676,'Weekly Data'!G624)</f>
        <v>5470.25</v>
      </c>
      <c r="N832" s="16">
        <f>AVERAGE('Weekly Data'!H780,'Weekly Data'!H728,'Weekly Data'!H676,'Weekly Data'!H624)</f>
        <v>889</v>
      </c>
      <c r="O832" s="101">
        <f>AVERAGE('Weekly Data'!I780,'Weekly Data'!I728,'Weekly Data'!I676,'Weekly Data'!I624)</f>
        <v>10680</v>
      </c>
      <c r="P832" s="203">
        <f>AVERAGE('Weekly Data'!J780,'Weekly Data'!J728,'Weekly Data'!J676,'Weekly Data'!J624)</f>
        <v>2816.0499999999997</v>
      </c>
      <c r="Q832" s="39"/>
      <c r="R832" s="13">
        <f t="shared" si="42"/>
        <v>40114</v>
      </c>
      <c r="S832" s="106">
        <f t="shared" si="36"/>
        <v>2286.4375</v>
      </c>
      <c r="T832" s="106">
        <f t="shared" si="37"/>
        <v>2191.875</v>
      </c>
      <c r="U832" s="109">
        <f t="shared" si="38"/>
        <v>1020.6875</v>
      </c>
      <c r="V832" s="109">
        <f t="shared" si="39"/>
        <v>5431.0625</v>
      </c>
      <c r="W832" s="110">
        <f t="shared" si="40"/>
        <v>823.375</v>
      </c>
      <c r="X832" s="106">
        <f t="shared" si="41"/>
        <v>10732.75</v>
      </c>
      <c r="Y832" s="204">
        <f t="shared" si="41"/>
        <v>2704.7</v>
      </c>
      <c r="Z832" s="39"/>
      <c r="AA832" s="39"/>
      <c r="AB832" s="39"/>
      <c r="AC832" s="39"/>
      <c r="AD832" s="39"/>
      <c r="AE832" s="39"/>
      <c r="AF832" s="39"/>
      <c r="AG832" s="39"/>
      <c r="AH832" s="65"/>
    </row>
    <row r="833" spans="1:34" x14ac:dyDescent="0.25">
      <c r="A833" s="105">
        <f t="shared" si="34"/>
        <v>40121</v>
      </c>
      <c r="B833" s="59">
        <f>SUM('Weekly Data'!D830:D833)/4</f>
        <v>1582.5</v>
      </c>
      <c r="C833" s="90">
        <f>SUM('Weekly Data'!E830:E833)/4</f>
        <v>1904</v>
      </c>
      <c r="D833" s="90">
        <f>SUM('Weekly Data'!F830:F833)/4</f>
        <v>610.75</v>
      </c>
      <c r="E833" s="90">
        <f>SUM('Weekly Data'!G830:G833)/4</f>
        <v>4674.5</v>
      </c>
      <c r="F833" s="90">
        <f>SUM('Weekly Data'!H830:H833)/4</f>
        <v>950.75</v>
      </c>
      <c r="G833" s="90">
        <f>SUM('Weekly Data'!I830:I833)/4</f>
        <v>9111.75</v>
      </c>
      <c r="H833" s="202">
        <f>SUM('Weekly Data'!J830:J833)/4</f>
        <v>1664.9886744764904</v>
      </c>
      <c r="I833" s="39"/>
      <c r="J833" s="101">
        <f>AVERAGE('Weekly Data'!D781,'Weekly Data'!D729,'Weekly Data'!D677,'Weekly Data'!D625)</f>
        <v>1862.25</v>
      </c>
      <c r="K833" s="16">
        <f>AVERAGE('Weekly Data'!E781,'Weekly Data'!E729,'Weekly Data'!E677,'Weekly Data'!E625)</f>
        <v>2102.25</v>
      </c>
      <c r="L833" s="16">
        <f>AVERAGE('Weekly Data'!F781,'Weekly Data'!F729,'Weekly Data'!F677,'Weekly Data'!F625)</f>
        <v>1367</v>
      </c>
      <c r="M833" s="16">
        <f>AVERAGE('Weekly Data'!G781,'Weekly Data'!G729,'Weekly Data'!G677,'Weekly Data'!G625)</f>
        <v>4656</v>
      </c>
      <c r="N833" s="16">
        <f>AVERAGE('Weekly Data'!H781,'Weekly Data'!H729,'Weekly Data'!H677,'Weekly Data'!H625)</f>
        <v>867</v>
      </c>
      <c r="O833" s="101">
        <f>AVERAGE('Weekly Data'!I781,'Weekly Data'!I729,'Weekly Data'!I677,'Weekly Data'!I625)</f>
        <v>9487.5</v>
      </c>
      <c r="P833" s="203">
        <f>AVERAGE('Weekly Data'!J781,'Weekly Data'!J729,'Weekly Data'!J677,'Weekly Data'!J625)</f>
        <v>1905.7</v>
      </c>
      <c r="Q833" s="39"/>
      <c r="R833" s="13">
        <f t="shared" si="42"/>
        <v>40121</v>
      </c>
      <c r="S833" s="106">
        <f t="shared" si="36"/>
        <v>2230.9375</v>
      </c>
      <c r="T833" s="106">
        <f t="shared" si="37"/>
        <v>2061.3125</v>
      </c>
      <c r="U833" s="109">
        <f t="shared" si="38"/>
        <v>1187.5625</v>
      </c>
      <c r="V833" s="109">
        <f t="shared" si="39"/>
        <v>5453.1875</v>
      </c>
      <c r="W833" s="110">
        <f t="shared" si="40"/>
        <v>870.125</v>
      </c>
      <c r="X833" s="106">
        <f t="shared" si="41"/>
        <v>10615.5625</v>
      </c>
      <c r="Y833" s="204">
        <f t="shared" si="41"/>
        <v>2577.625</v>
      </c>
      <c r="Z833" s="39"/>
      <c r="AA833" s="39"/>
      <c r="AB833" s="39"/>
      <c r="AC833" s="39"/>
      <c r="AD833" s="39"/>
      <c r="AE833" s="39"/>
      <c r="AF833" s="39"/>
      <c r="AG833" s="39"/>
      <c r="AH833" s="65"/>
    </row>
    <row r="834" spans="1:34" x14ac:dyDescent="0.25">
      <c r="A834" s="105">
        <f t="shared" si="34"/>
        <v>40128</v>
      </c>
      <c r="B834" s="59">
        <f>SUM('Weekly Data'!D831:D834)/4</f>
        <v>1704.25</v>
      </c>
      <c r="C834" s="90">
        <f>SUM('Weekly Data'!E831:E834)/4</f>
        <v>2149.5</v>
      </c>
      <c r="D834" s="90">
        <f>SUM('Weekly Data'!F831:F834)/4</f>
        <v>676.25</v>
      </c>
      <c r="E834" s="90">
        <f>SUM('Weekly Data'!G831:G834)/4</f>
        <v>4487.25</v>
      </c>
      <c r="F834" s="90">
        <f>SUM('Weekly Data'!H831:H834)/4</f>
        <v>1032</v>
      </c>
      <c r="G834" s="90">
        <f>SUM('Weekly Data'!I831:I834)/4</f>
        <v>9373</v>
      </c>
      <c r="H834" s="202">
        <f>SUM('Weekly Data'!J831:J834)/4</f>
        <v>1678.8478310555608</v>
      </c>
      <c r="I834" s="39"/>
      <c r="J834" s="101">
        <f>AVERAGE('Weekly Data'!D782,'Weekly Data'!D730,'Weekly Data'!D678,'Weekly Data'!D626)</f>
        <v>1732.5</v>
      </c>
      <c r="K834" s="16">
        <f>AVERAGE('Weekly Data'!E782,'Weekly Data'!E730,'Weekly Data'!E678,'Weekly Data'!E626)</f>
        <v>1991.5</v>
      </c>
      <c r="L834" s="16">
        <f>AVERAGE('Weekly Data'!F782,'Weekly Data'!F730,'Weekly Data'!F678,'Weekly Data'!F626)</f>
        <v>780.5</v>
      </c>
      <c r="M834" s="16">
        <f>AVERAGE('Weekly Data'!G782,'Weekly Data'!G730,'Weekly Data'!G678,'Weekly Data'!G626)</f>
        <v>4181.25</v>
      </c>
      <c r="N834" s="16">
        <f>AVERAGE('Weekly Data'!H782,'Weekly Data'!H730,'Weekly Data'!H678,'Weekly Data'!H626)</f>
        <v>863.75</v>
      </c>
      <c r="O834" s="101">
        <f>AVERAGE('Weekly Data'!I782,'Weekly Data'!I730,'Weekly Data'!I678,'Weekly Data'!I626)</f>
        <v>8769</v>
      </c>
      <c r="P834" s="203">
        <f>AVERAGE('Weekly Data'!J782,'Weekly Data'!J730,'Weekly Data'!J678,'Weekly Data'!J626)</f>
        <v>2415.6999999999998</v>
      </c>
      <c r="Q834" s="39"/>
      <c r="R834" s="13">
        <f t="shared" si="42"/>
        <v>40128</v>
      </c>
      <c r="S834" s="106">
        <f t="shared" si="36"/>
        <v>2055.4375</v>
      </c>
      <c r="T834" s="106">
        <f t="shared" si="37"/>
        <v>2072.0625</v>
      </c>
      <c r="U834" s="109">
        <f t="shared" si="38"/>
        <v>1105.1875</v>
      </c>
      <c r="V834" s="109">
        <f t="shared" si="39"/>
        <v>4967.375</v>
      </c>
      <c r="W834" s="110">
        <f t="shared" si="40"/>
        <v>858.5625</v>
      </c>
      <c r="X834" s="106">
        <f t="shared" si="41"/>
        <v>9953.4375</v>
      </c>
      <c r="Y834" s="204">
        <f t="shared" si="41"/>
        <v>2456.7124999999996</v>
      </c>
      <c r="Z834" s="39"/>
      <c r="AA834" s="39"/>
      <c r="AB834" s="39"/>
      <c r="AC834" s="39"/>
      <c r="AD834" s="39"/>
      <c r="AE834" s="39"/>
      <c r="AF834" s="39"/>
      <c r="AG834" s="39"/>
      <c r="AH834" s="65"/>
    </row>
    <row r="835" spans="1:34" x14ac:dyDescent="0.25">
      <c r="A835" s="105">
        <f t="shared" si="34"/>
        <v>40135</v>
      </c>
      <c r="B835" s="59">
        <f>SUM('Weekly Data'!D832:D835)/4</f>
        <v>1721.75</v>
      </c>
      <c r="C835" s="90">
        <f>SUM('Weekly Data'!E832:E835)/4</f>
        <v>2509.5</v>
      </c>
      <c r="D835" s="90">
        <f>SUM('Weekly Data'!F832:F835)/4</f>
        <v>599</v>
      </c>
      <c r="E835" s="90">
        <f>SUM('Weekly Data'!G832:G835)/4</f>
        <v>4258.5</v>
      </c>
      <c r="F835" s="90">
        <f>SUM('Weekly Data'!H832:H835)/4</f>
        <v>1047.25</v>
      </c>
      <c r="G835" s="90">
        <f>SUM('Weekly Data'!I832:I835)/4</f>
        <v>9537</v>
      </c>
      <c r="H835" s="202">
        <f>SUM('Weekly Data'!J832:J835)/4</f>
        <v>1787.2012370373832</v>
      </c>
      <c r="I835" s="39"/>
      <c r="J835" s="101">
        <f>AVERAGE('Weekly Data'!D783,'Weekly Data'!D731,'Weekly Data'!D679,'Weekly Data'!D627)</f>
        <v>1480.5</v>
      </c>
      <c r="K835" s="16">
        <f>AVERAGE('Weekly Data'!E783,'Weekly Data'!E731,'Weekly Data'!E679,'Weekly Data'!E627)</f>
        <v>1990.75</v>
      </c>
      <c r="L835" s="16">
        <f>AVERAGE('Weekly Data'!F783,'Weekly Data'!F731,'Weekly Data'!F679,'Weekly Data'!F627)</f>
        <v>853</v>
      </c>
      <c r="M835" s="16">
        <f>AVERAGE('Weekly Data'!G783,'Weekly Data'!G731,'Weekly Data'!G679,'Weekly Data'!G627)</f>
        <v>5040.25</v>
      </c>
      <c r="N835" s="16">
        <f>AVERAGE('Weekly Data'!H783,'Weekly Data'!H731,'Weekly Data'!H679,'Weekly Data'!H627)</f>
        <v>948</v>
      </c>
      <c r="O835" s="101">
        <f>AVERAGE('Weekly Data'!I783,'Weekly Data'!I731,'Weekly Data'!I679,'Weekly Data'!I627)</f>
        <v>9459.5</v>
      </c>
      <c r="P835" s="203">
        <f>AVERAGE('Weekly Data'!J783,'Weekly Data'!J731,'Weekly Data'!J679,'Weekly Data'!J627)</f>
        <v>2061.25</v>
      </c>
      <c r="Q835" s="39"/>
      <c r="R835" s="13">
        <f t="shared" si="42"/>
        <v>40135</v>
      </c>
      <c r="S835" s="106">
        <f t="shared" si="36"/>
        <v>1870.25</v>
      </c>
      <c r="T835" s="106">
        <f t="shared" si="37"/>
        <v>2061.9375</v>
      </c>
      <c r="U835" s="109">
        <f t="shared" si="38"/>
        <v>1097.75</v>
      </c>
      <c r="V835" s="109">
        <f t="shared" si="39"/>
        <v>4883.5625</v>
      </c>
      <c r="W835" s="110">
        <f t="shared" si="40"/>
        <v>896</v>
      </c>
      <c r="X835" s="106">
        <f t="shared" si="41"/>
        <v>9711.75</v>
      </c>
      <c r="Y835" s="204">
        <f t="shared" si="41"/>
        <v>2299.6750000000002</v>
      </c>
      <c r="Z835" s="39"/>
      <c r="AA835" s="39"/>
      <c r="AB835" s="39"/>
      <c r="AC835" s="39"/>
      <c r="AD835" s="39"/>
      <c r="AE835" s="39"/>
      <c r="AF835" s="39"/>
      <c r="AG835" s="39"/>
      <c r="AH835" s="65"/>
    </row>
    <row r="836" spans="1:34" x14ac:dyDescent="0.25">
      <c r="A836" s="105">
        <f t="shared" si="34"/>
        <v>40142</v>
      </c>
      <c r="B836" s="59">
        <f>SUM('Weekly Data'!D833:D836)/4</f>
        <v>1677.5</v>
      </c>
      <c r="C836" s="90">
        <f>SUM('Weekly Data'!E833:E836)/4</f>
        <v>2777</v>
      </c>
      <c r="D836" s="90">
        <f>SUM('Weekly Data'!F833:F836)/4</f>
        <v>603.75</v>
      </c>
      <c r="E836" s="90">
        <f>SUM('Weekly Data'!G833:G836)/4</f>
        <v>4224.5</v>
      </c>
      <c r="F836" s="90">
        <f>SUM('Weekly Data'!H833:H836)/4</f>
        <v>1191</v>
      </c>
      <c r="G836" s="90">
        <f>SUM('Weekly Data'!I833:I836)/4</f>
        <v>9870</v>
      </c>
      <c r="H836" s="202">
        <f>SUM('Weekly Data'!J833:J836)/4</f>
        <v>1824.7889495775889</v>
      </c>
      <c r="I836" s="39"/>
      <c r="J836" s="101">
        <f>AVERAGE('Weekly Data'!D784,'Weekly Data'!D732,'Weekly Data'!D680,'Weekly Data'!D628)</f>
        <v>1467.75</v>
      </c>
      <c r="K836" s="16">
        <f>AVERAGE('Weekly Data'!E784,'Weekly Data'!E732,'Weekly Data'!E680,'Weekly Data'!E628)</f>
        <v>2079.75</v>
      </c>
      <c r="L836" s="16">
        <f>AVERAGE('Weekly Data'!F784,'Weekly Data'!F732,'Weekly Data'!F680,'Weekly Data'!F628)</f>
        <v>917.5</v>
      </c>
      <c r="M836" s="16">
        <f>AVERAGE('Weekly Data'!G784,'Weekly Data'!G732,'Weekly Data'!G680,'Weekly Data'!G628)</f>
        <v>3962.75</v>
      </c>
      <c r="N836" s="16">
        <f>AVERAGE('Weekly Data'!H784,'Weekly Data'!H732,'Weekly Data'!H680,'Weekly Data'!H628)</f>
        <v>762</v>
      </c>
      <c r="O836" s="101">
        <f>AVERAGE('Weekly Data'!I784,'Weekly Data'!I732,'Weekly Data'!I680,'Weekly Data'!I628)</f>
        <v>8272.25</v>
      </c>
      <c r="P836" s="203">
        <f>AVERAGE('Weekly Data'!J784,'Weekly Data'!J732,'Weekly Data'!J680,'Weekly Data'!J628)</f>
        <v>2119.9</v>
      </c>
      <c r="Q836" s="39"/>
      <c r="R836" s="13">
        <f t="shared" si="42"/>
        <v>40142</v>
      </c>
      <c r="S836" s="106">
        <f t="shared" si="36"/>
        <v>1707.1875</v>
      </c>
      <c r="T836" s="106">
        <f t="shared" si="37"/>
        <v>1991.0625</v>
      </c>
      <c r="U836" s="109">
        <f t="shared" si="38"/>
        <v>995.8125</v>
      </c>
      <c r="V836" s="109">
        <f t="shared" si="39"/>
        <v>4508.875</v>
      </c>
      <c r="W836" s="110">
        <f t="shared" si="40"/>
        <v>866.75</v>
      </c>
      <c r="X836" s="106">
        <f t="shared" si="41"/>
        <v>9073.875</v>
      </c>
      <c r="Y836" s="204">
        <f t="shared" si="41"/>
        <v>2125.6374999999998</v>
      </c>
      <c r="Z836" s="39"/>
      <c r="AA836" s="39"/>
      <c r="AB836" s="39"/>
      <c r="AC836" s="39"/>
      <c r="AD836" s="39"/>
      <c r="AE836" s="39"/>
      <c r="AF836" s="39"/>
      <c r="AG836" s="39"/>
      <c r="AH836" s="65"/>
    </row>
    <row r="837" spans="1:34" x14ac:dyDescent="0.25">
      <c r="A837" s="105">
        <f t="shared" si="34"/>
        <v>40149</v>
      </c>
      <c r="B837" s="59">
        <f>SUM('Weekly Data'!D834:D837)/4</f>
        <v>1654</v>
      </c>
      <c r="C837" s="90">
        <f>SUM('Weekly Data'!E834:E837)/4</f>
        <v>2543</v>
      </c>
      <c r="D837" s="90">
        <f>SUM('Weekly Data'!F834:F837)/4</f>
        <v>564</v>
      </c>
      <c r="E837" s="90">
        <f>SUM('Weekly Data'!G834:G837)/4</f>
        <v>4079.25</v>
      </c>
      <c r="F837" s="90">
        <f>SUM('Weekly Data'!H834:H837)/4</f>
        <v>1185.75</v>
      </c>
      <c r="G837" s="90">
        <f>SUM('Weekly Data'!I834:I837)/4</f>
        <v>9462</v>
      </c>
      <c r="H837" s="202">
        <f>SUM('Weekly Data'!J834:J837)/4</f>
        <v>1828.5687195536989</v>
      </c>
      <c r="I837" s="39"/>
      <c r="J837" s="101">
        <f>AVERAGE('Weekly Data'!D785,'Weekly Data'!D733,'Weekly Data'!D681,'Weekly Data'!D629)</f>
        <v>1684</v>
      </c>
      <c r="K837" s="16">
        <f>AVERAGE('Weekly Data'!E785,'Weekly Data'!E733,'Weekly Data'!E681,'Weekly Data'!E629)</f>
        <v>1834.5</v>
      </c>
      <c r="L837" s="16">
        <f>AVERAGE('Weekly Data'!F785,'Weekly Data'!F733,'Weekly Data'!F681,'Weekly Data'!F629)</f>
        <v>1012.75</v>
      </c>
      <c r="M837" s="16">
        <f>AVERAGE('Weekly Data'!G785,'Weekly Data'!G733,'Weekly Data'!G681,'Weekly Data'!G629)</f>
        <v>4355.5</v>
      </c>
      <c r="N837" s="16">
        <f>AVERAGE('Weekly Data'!H785,'Weekly Data'!H733,'Weekly Data'!H681,'Weekly Data'!H629)</f>
        <v>757.25</v>
      </c>
      <c r="O837" s="101">
        <f>AVERAGE('Weekly Data'!I785,'Weekly Data'!I733,'Weekly Data'!I681,'Weekly Data'!I629)</f>
        <v>8631.25</v>
      </c>
      <c r="P837" s="203">
        <f>AVERAGE('Weekly Data'!J785,'Weekly Data'!J733,'Weekly Data'!J681,'Weekly Data'!J629)</f>
        <v>1609.05</v>
      </c>
      <c r="Q837" s="39"/>
      <c r="R837" s="13">
        <f t="shared" si="42"/>
        <v>40149</v>
      </c>
      <c r="S837" s="106">
        <f t="shared" si="36"/>
        <v>1609.4375</v>
      </c>
      <c r="T837" s="106">
        <f t="shared" si="37"/>
        <v>1978.9375</v>
      </c>
      <c r="U837" s="109">
        <f t="shared" si="38"/>
        <v>888.6875</v>
      </c>
      <c r="V837" s="109">
        <f t="shared" si="39"/>
        <v>4378.625</v>
      </c>
      <c r="W837" s="110">
        <f t="shared" si="40"/>
        <v>846.3125</v>
      </c>
      <c r="X837" s="106">
        <f t="shared" si="41"/>
        <v>8813.3125</v>
      </c>
      <c r="Y837" s="204">
        <f t="shared" si="41"/>
        <v>2051.4749999999999</v>
      </c>
      <c r="Z837" s="39"/>
      <c r="AA837" s="39"/>
      <c r="AB837" s="39"/>
      <c r="AC837" s="39"/>
      <c r="AD837" s="39"/>
      <c r="AE837" s="39"/>
      <c r="AF837" s="39"/>
      <c r="AG837" s="39"/>
      <c r="AH837" s="65"/>
    </row>
    <row r="838" spans="1:34" x14ac:dyDescent="0.25">
      <c r="A838" s="105">
        <f t="shared" si="34"/>
        <v>40156</v>
      </c>
      <c r="B838" s="59">
        <f>SUM('Weekly Data'!D835:D838)/4</f>
        <v>1440.75</v>
      </c>
      <c r="C838" s="90">
        <f>SUM('Weekly Data'!E835:E838)/4</f>
        <v>2170.5</v>
      </c>
      <c r="D838" s="90">
        <f>SUM('Weekly Data'!F835:F838)/4</f>
        <v>644.5</v>
      </c>
      <c r="E838" s="90">
        <f>SUM('Weekly Data'!G835:G838)/4</f>
        <v>4156.75</v>
      </c>
      <c r="F838" s="90">
        <f>SUM('Weekly Data'!H835:H838)/4</f>
        <v>1215.25</v>
      </c>
      <c r="G838" s="90">
        <f>SUM('Weekly Data'!I835:I838)/4</f>
        <v>8983.25</v>
      </c>
      <c r="H838" s="202">
        <f>SUM('Weekly Data'!J835:J838)/4</f>
        <v>1669.6083933361806</v>
      </c>
      <c r="I838" s="39"/>
      <c r="J838" s="101">
        <f>AVERAGE('Weekly Data'!D786,'Weekly Data'!D734,'Weekly Data'!D682,'Weekly Data'!D630)</f>
        <v>1503.5</v>
      </c>
      <c r="K838" s="16">
        <f>AVERAGE('Weekly Data'!E786,'Weekly Data'!E734,'Weekly Data'!E682,'Weekly Data'!E630)</f>
        <v>1675</v>
      </c>
      <c r="L838" s="16">
        <f>AVERAGE('Weekly Data'!F786,'Weekly Data'!F734,'Weekly Data'!F682,'Weekly Data'!F630)</f>
        <v>917</v>
      </c>
      <c r="M838" s="16">
        <f>AVERAGE('Weekly Data'!G786,'Weekly Data'!G734,'Weekly Data'!G682,'Weekly Data'!G630)</f>
        <v>5039.75</v>
      </c>
      <c r="N838" s="16">
        <f>AVERAGE('Weekly Data'!H786,'Weekly Data'!H734,'Weekly Data'!H682,'Weekly Data'!H630)</f>
        <v>736.75</v>
      </c>
      <c r="O838" s="101">
        <f>AVERAGE('Weekly Data'!I786,'Weekly Data'!I734,'Weekly Data'!I682,'Weekly Data'!I630)</f>
        <v>8955</v>
      </c>
      <c r="P838" s="203">
        <f>AVERAGE('Weekly Data'!J786,'Weekly Data'!J734,'Weekly Data'!J682,'Weekly Data'!J630)</f>
        <v>1495.1499999999999</v>
      </c>
      <c r="Q838" s="39"/>
      <c r="R838" s="13">
        <f t="shared" si="42"/>
        <v>40156</v>
      </c>
      <c r="S838" s="106">
        <f t="shared" si="36"/>
        <v>1536.6875</v>
      </c>
      <c r="T838" s="106">
        <f t="shared" si="37"/>
        <v>1905.6875</v>
      </c>
      <c r="U838" s="109">
        <f t="shared" si="38"/>
        <v>895.6875</v>
      </c>
      <c r="V838" s="109">
        <f t="shared" si="39"/>
        <v>4600.0625</v>
      </c>
      <c r="W838" s="110">
        <f t="shared" si="40"/>
        <v>824.3125</v>
      </c>
      <c r="X838" s="106">
        <f t="shared" si="41"/>
        <v>8866.75</v>
      </c>
      <c r="Y838" s="204">
        <f t="shared" si="41"/>
        <v>1821.3374999999999</v>
      </c>
      <c r="Z838" s="39"/>
      <c r="AA838" s="39"/>
      <c r="AB838" s="39"/>
      <c r="AC838" s="39"/>
      <c r="AD838" s="39"/>
      <c r="AE838" s="39"/>
      <c r="AF838" s="39"/>
      <c r="AG838" s="39"/>
      <c r="AH838" s="65"/>
    </row>
    <row r="839" spans="1:34" x14ac:dyDescent="0.25">
      <c r="A839" s="105">
        <f t="shared" si="34"/>
        <v>40163</v>
      </c>
      <c r="B839" s="59">
        <f>SUM('Weekly Data'!D836:D839)/4</f>
        <v>1270</v>
      </c>
      <c r="C839" s="90">
        <f>SUM('Weekly Data'!E836:E839)/4</f>
        <v>1798</v>
      </c>
      <c r="D839" s="90">
        <f>SUM('Weekly Data'!F836:F839)/4</f>
        <v>678.5</v>
      </c>
      <c r="E839" s="90">
        <f>SUM('Weekly Data'!G836:G839)/4</f>
        <v>4092.75</v>
      </c>
      <c r="F839" s="90">
        <f>SUM('Weekly Data'!H836:H839)/4</f>
        <v>1243.75</v>
      </c>
      <c r="G839" s="90">
        <f>SUM('Weekly Data'!I836:I839)/4</f>
        <v>8404.5</v>
      </c>
      <c r="H839" s="202">
        <f>SUM('Weekly Data'!J836:J839)/4</f>
        <v>1613.3318181363195</v>
      </c>
      <c r="I839" s="39"/>
      <c r="J839" s="101">
        <f>AVERAGE('Weekly Data'!D787,'Weekly Data'!D735,'Weekly Data'!D683,'Weekly Data'!D631)</f>
        <v>1379.75</v>
      </c>
      <c r="K839" s="16">
        <f>AVERAGE('Weekly Data'!E787,'Weekly Data'!E735,'Weekly Data'!E683,'Weekly Data'!E631)</f>
        <v>1821.5</v>
      </c>
      <c r="L839" s="16">
        <f>AVERAGE('Weekly Data'!F787,'Weekly Data'!F735,'Weekly Data'!F683,'Weekly Data'!F631)</f>
        <v>751</v>
      </c>
      <c r="M839" s="16">
        <f>AVERAGE('Weekly Data'!G787,'Weekly Data'!G735,'Weekly Data'!G683,'Weekly Data'!G631)</f>
        <v>4327</v>
      </c>
      <c r="N839" s="16">
        <f>AVERAGE('Weekly Data'!H787,'Weekly Data'!H735,'Weekly Data'!H683,'Weekly Data'!H631)</f>
        <v>434.25</v>
      </c>
      <c r="O839" s="101">
        <f>AVERAGE('Weekly Data'!I787,'Weekly Data'!I735,'Weekly Data'!I683,'Weekly Data'!I631)</f>
        <v>7962.5</v>
      </c>
      <c r="P839" s="203">
        <f>AVERAGE('Weekly Data'!J787,'Weekly Data'!J735,'Weekly Data'!J683,'Weekly Data'!J631)</f>
        <v>1535.95</v>
      </c>
      <c r="Q839" s="39"/>
      <c r="R839" s="13">
        <f t="shared" si="42"/>
        <v>40163</v>
      </c>
      <c r="S839" s="106">
        <f t="shared" si="36"/>
        <v>1509.125</v>
      </c>
      <c r="T839" s="106">
        <f t="shared" si="37"/>
        <v>1854.3125</v>
      </c>
      <c r="U839" s="109">
        <f t="shared" si="38"/>
        <v>864.375</v>
      </c>
      <c r="V839" s="109">
        <f t="shared" si="39"/>
        <v>4432.1875</v>
      </c>
      <c r="W839" s="110">
        <f t="shared" si="40"/>
        <v>690.5625</v>
      </c>
      <c r="X839" s="106">
        <f t="shared" si="41"/>
        <v>8486.1875</v>
      </c>
      <c r="Y839" s="204">
        <f t="shared" si="41"/>
        <v>1690.0124999999998</v>
      </c>
      <c r="Z839" s="39"/>
      <c r="AA839" s="39"/>
      <c r="AB839" s="39"/>
      <c r="AC839" s="39"/>
      <c r="AD839" s="39"/>
      <c r="AE839" s="39"/>
      <c r="AF839" s="39"/>
      <c r="AG839" s="39"/>
      <c r="AH839" s="65"/>
    </row>
    <row r="840" spans="1:34" x14ac:dyDescent="0.25">
      <c r="A840" s="105">
        <f t="shared" si="34"/>
        <v>40170</v>
      </c>
      <c r="B840" s="59">
        <f>SUM('Weekly Data'!D837:D840)/4</f>
        <v>918</v>
      </c>
      <c r="C840" s="90">
        <f>SUM('Weekly Data'!E837:E840)/4</f>
        <v>1451.5</v>
      </c>
      <c r="D840" s="90">
        <f>SUM('Weekly Data'!F837:F840)/4</f>
        <v>688.5</v>
      </c>
      <c r="E840" s="90">
        <f>SUM('Weekly Data'!G837:G840)/4</f>
        <v>4206.5</v>
      </c>
      <c r="F840" s="90">
        <f>SUM('Weekly Data'!H837:H840)/4</f>
        <v>1238.75</v>
      </c>
      <c r="G840" s="90">
        <f>SUM('Weekly Data'!I837:I840)/4</f>
        <v>7814.75</v>
      </c>
      <c r="H840" s="202">
        <f>SUM('Weekly Data'!J837:J840)/4</f>
        <v>1519.2575431753573</v>
      </c>
      <c r="I840" s="39"/>
      <c r="J840" s="101">
        <f>AVERAGE('Weekly Data'!D788,'Weekly Data'!D736,'Weekly Data'!D684,'Weekly Data'!D632)</f>
        <v>1328</v>
      </c>
      <c r="K840" s="16">
        <f>AVERAGE('Weekly Data'!E788,'Weekly Data'!E736,'Weekly Data'!E684,'Weekly Data'!E632)</f>
        <v>1421.5</v>
      </c>
      <c r="L840" s="16">
        <f>AVERAGE('Weekly Data'!F788,'Weekly Data'!F736,'Weekly Data'!F684,'Weekly Data'!F632)</f>
        <v>883.75</v>
      </c>
      <c r="M840" s="16">
        <f>AVERAGE('Weekly Data'!G788,'Weekly Data'!G736,'Weekly Data'!G684,'Weekly Data'!G632)</f>
        <v>3256</v>
      </c>
      <c r="N840" s="16">
        <f>AVERAGE('Weekly Data'!H788,'Weekly Data'!H736,'Weekly Data'!H684,'Weekly Data'!H632)</f>
        <v>550</v>
      </c>
      <c r="O840" s="101">
        <f>AVERAGE('Weekly Data'!I788,'Weekly Data'!I736,'Weekly Data'!I684,'Weekly Data'!I632)</f>
        <v>6555.5</v>
      </c>
      <c r="P840" s="203">
        <f>AVERAGE('Weekly Data'!J788,'Weekly Data'!J736,'Weekly Data'!J684,'Weekly Data'!J632)</f>
        <v>1155.1499999999999</v>
      </c>
      <c r="Q840" s="39"/>
      <c r="R840" s="13">
        <f t="shared" si="42"/>
        <v>40170</v>
      </c>
      <c r="S840" s="106">
        <f t="shared" si="36"/>
        <v>1467.3125</v>
      </c>
      <c r="T840" s="106">
        <f t="shared" si="37"/>
        <v>1733.4375</v>
      </c>
      <c r="U840" s="109">
        <f t="shared" si="38"/>
        <v>908.875</v>
      </c>
      <c r="V840" s="109">
        <f t="shared" si="39"/>
        <v>4308.75</v>
      </c>
      <c r="W840" s="110">
        <f t="shared" si="40"/>
        <v>632.125</v>
      </c>
      <c r="X840" s="106">
        <f t="shared" si="41"/>
        <v>8141.625</v>
      </c>
      <c r="Y840" s="204">
        <f t="shared" si="41"/>
        <v>1448.8249999999998</v>
      </c>
      <c r="Z840" s="39"/>
      <c r="AA840" s="39"/>
      <c r="AB840" s="39"/>
      <c r="AC840" s="39"/>
      <c r="AD840" s="39"/>
      <c r="AE840" s="39"/>
      <c r="AF840" s="39"/>
      <c r="AG840" s="39"/>
      <c r="AH840" s="65"/>
    </row>
    <row r="841" spans="1:34" x14ac:dyDescent="0.25">
      <c r="A841" s="105">
        <f t="shared" si="34"/>
        <v>40177</v>
      </c>
      <c r="B841" s="59">
        <f>SUM('Weekly Data'!D838:D841)/4</f>
        <v>629.5</v>
      </c>
      <c r="C841" s="90">
        <f>SUM('Weekly Data'!E838:E841)/4</f>
        <v>1332.25</v>
      </c>
      <c r="D841" s="90">
        <f>SUM('Weekly Data'!F838:F841)/4</f>
        <v>659.75</v>
      </c>
      <c r="E841" s="90">
        <f>SUM('Weekly Data'!G838:G841)/4</f>
        <v>3679.75</v>
      </c>
      <c r="F841" s="90">
        <f>SUM('Weekly Data'!H838:H841)/4</f>
        <v>1128.5</v>
      </c>
      <c r="G841" s="90">
        <f>SUM('Weekly Data'!I838:I841)/4</f>
        <v>6770</v>
      </c>
      <c r="H841" s="202">
        <f>SUM('Weekly Data'!J838:J841)/4</f>
        <v>1507.9182332470273</v>
      </c>
      <c r="I841" s="39"/>
      <c r="J841" s="101">
        <f>AVERAGE('Weekly Data'!D789,'Weekly Data'!D737,'Weekly Data'!D685,'Weekly Data'!D633)</f>
        <v>1109.75</v>
      </c>
      <c r="K841" s="16">
        <f>AVERAGE('Weekly Data'!E789,'Weekly Data'!E737,'Weekly Data'!E685,'Weekly Data'!E633)</f>
        <v>1945.5</v>
      </c>
      <c r="L841" s="16">
        <f>AVERAGE('Weekly Data'!F789,'Weekly Data'!F737,'Weekly Data'!F685,'Weekly Data'!F633)</f>
        <v>459</v>
      </c>
      <c r="M841" s="16">
        <f>AVERAGE('Weekly Data'!G789,'Weekly Data'!G737,'Weekly Data'!G685,'Weekly Data'!G633)</f>
        <v>3746.25</v>
      </c>
      <c r="N841" s="16">
        <f>AVERAGE('Weekly Data'!H789,'Weekly Data'!H737,'Weekly Data'!H685,'Weekly Data'!H633)</f>
        <v>577</v>
      </c>
      <c r="O841" s="101">
        <f>AVERAGE('Weekly Data'!I789,'Weekly Data'!I737,'Weekly Data'!I685,'Weekly Data'!I633)</f>
        <v>7378.5</v>
      </c>
      <c r="P841" s="203">
        <f>AVERAGE('Weekly Data'!J789,'Weekly Data'!J737,'Weekly Data'!J685,'Weekly Data'!J633)</f>
        <v>1412.7</v>
      </c>
      <c r="Q841" s="39"/>
      <c r="R841" s="13">
        <f t="shared" si="42"/>
        <v>40177</v>
      </c>
      <c r="S841" s="106">
        <f t="shared" si="36"/>
        <v>1336.375</v>
      </c>
      <c r="T841" s="106">
        <f t="shared" si="37"/>
        <v>1700.5625</v>
      </c>
      <c r="U841" s="109">
        <f t="shared" si="38"/>
        <v>788.6875</v>
      </c>
      <c r="V841" s="109">
        <f t="shared" si="39"/>
        <v>4091.9375</v>
      </c>
      <c r="W841" s="110">
        <f t="shared" si="40"/>
        <v>565.75</v>
      </c>
      <c r="X841" s="106">
        <f t="shared" si="41"/>
        <v>7694.625</v>
      </c>
      <c r="Y841" s="204">
        <f t="shared" si="41"/>
        <v>1399.7375</v>
      </c>
      <c r="Z841" s="39"/>
      <c r="AA841" s="39"/>
      <c r="AB841" s="39"/>
      <c r="AC841" s="39"/>
      <c r="AD841" s="39"/>
      <c r="AE841" s="39"/>
      <c r="AF841" s="39"/>
      <c r="AG841" s="39"/>
      <c r="AH841" s="65"/>
    </row>
    <row r="842" spans="1:34" x14ac:dyDescent="0.25">
      <c r="A842" s="105">
        <f t="shared" si="34"/>
        <v>40184</v>
      </c>
      <c r="B842" s="59">
        <f>SUM('Weekly Data'!D839:D842)/4</f>
        <v>506</v>
      </c>
      <c r="C842" s="90">
        <f>SUM('Weekly Data'!E839:E842)/4</f>
        <v>1354</v>
      </c>
      <c r="D842" s="90">
        <f>SUM('Weekly Data'!F839:F842)/4</f>
        <v>576</v>
      </c>
      <c r="E842" s="90">
        <f>SUM('Weekly Data'!G839:G842)/4</f>
        <v>3282.5</v>
      </c>
      <c r="F842" s="90">
        <f>SUM('Weekly Data'!H839:H842)/4</f>
        <v>1061.75</v>
      </c>
      <c r="G842" s="90">
        <f>SUM('Weekly Data'!I839:I842)/4</f>
        <v>6204.25</v>
      </c>
      <c r="H842" s="202">
        <f>SUM('Weekly Data'!J839:J842)/4</f>
        <v>1541.5161885902278</v>
      </c>
      <c r="I842" s="39"/>
      <c r="J842" s="101">
        <f>AVERAGE('Weekly Data'!D790,'Weekly Data'!D738,'Weekly Data'!D686,'Weekly Data'!D634)</f>
        <v>1424.5</v>
      </c>
      <c r="K842" s="16">
        <f>AVERAGE('Weekly Data'!E790,'Weekly Data'!E738,'Weekly Data'!E686,'Weekly Data'!E634)</f>
        <v>1986.25</v>
      </c>
      <c r="L842" s="16">
        <f>AVERAGE('Weekly Data'!F790,'Weekly Data'!F738,'Weekly Data'!F686,'Weekly Data'!F634)</f>
        <v>634.25</v>
      </c>
      <c r="M842" s="16">
        <f>AVERAGE('Weekly Data'!G790,'Weekly Data'!G738,'Weekly Data'!G686,'Weekly Data'!G634)</f>
        <v>3958.75</v>
      </c>
      <c r="N842" s="16">
        <f>AVERAGE('Weekly Data'!H790,'Weekly Data'!H738,'Weekly Data'!H686,'Weekly Data'!H634)</f>
        <v>827.25</v>
      </c>
      <c r="O842" s="101">
        <f>AVERAGE('Weekly Data'!I790,'Weekly Data'!I738,'Weekly Data'!I686,'Weekly Data'!I634)</f>
        <v>8196.75</v>
      </c>
      <c r="P842" s="203">
        <f>AVERAGE('Weekly Data'!J790,'Weekly Data'!J738,'Weekly Data'!J686,'Weekly Data'!J634)</f>
        <v>1072.7</v>
      </c>
      <c r="Q842" s="39"/>
      <c r="R842" s="13">
        <f t="shared" si="42"/>
        <v>40184</v>
      </c>
      <c r="S842" s="106">
        <f t="shared" si="36"/>
        <v>1299.75</v>
      </c>
      <c r="T842" s="106">
        <f t="shared" si="37"/>
        <v>1741.875</v>
      </c>
      <c r="U842" s="109">
        <f t="shared" si="38"/>
        <v>733.9375</v>
      </c>
      <c r="V842" s="109">
        <f t="shared" si="39"/>
        <v>3869.8125</v>
      </c>
      <c r="W842" s="110">
        <f t="shared" si="40"/>
        <v>576.25</v>
      </c>
      <c r="X842" s="106">
        <f t="shared" si="41"/>
        <v>7487.6875</v>
      </c>
      <c r="Y842" s="204">
        <f t="shared" si="41"/>
        <v>1294.125</v>
      </c>
      <c r="Z842" s="39"/>
      <c r="AA842" s="39"/>
      <c r="AB842" s="39"/>
      <c r="AC842" s="39"/>
      <c r="AD842" s="39"/>
      <c r="AE842" s="39"/>
      <c r="AF842" s="39"/>
      <c r="AG842" s="39"/>
      <c r="AH842" s="65"/>
    </row>
    <row r="843" spans="1:34" x14ac:dyDescent="0.25">
      <c r="A843" s="105">
        <f t="shared" si="34"/>
        <v>40191</v>
      </c>
      <c r="B843" s="59">
        <f>SUM('Weekly Data'!D840:D843)/4</f>
        <v>365.5</v>
      </c>
      <c r="C843" s="90">
        <f>SUM('Weekly Data'!E840:E843)/4</f>
        <v>1228.75</v>
      </c>
      <c r="D843" s="90">
        <f>SUM('Weekly Data'!F840:F843)/4</f>
        <v>597.75</v>
      </c>
      <c r="E843" s="90">
        <f>SUM('Weekly Data'!G840:G843)/4</f>
        <v>3039.25</v>
      </c>
      <c r="F843" s="90">
        <f>SUM('Weekly Data'!H840:H843)/4</f>
        <v>1176.25</v>
      </c>
      <c r="G843" s="90">
        <f>SUM('Weekly Data'!I840:I843)/4</f>
        <v>5809.75</v>
      </c>
      <c r="H843" s="202">
        <f>SUM('Weekly Data'!J840:J843)/4</f>
        <v>1554.4249373686887</v>
      </c>
      <c r="I843" s="39"/>
      <c r="J843" s="101">
        <f>AVERAGE('Weekly Data'!D791,'Weekly Data'!D739,'Weekly Data'!D687,'Weekly Data'!D635)</f>
        <v>1814</v>
      </c>
      <c r="K843" s="16">
        <f>AVERAGE('Weekly Data'!E791,'Weekly Data'!E739,'Weekly Data'!E687,'Weekly Data'!E635)</f>
        <v>1618.25</v>
      </c>
      <c r="L843" s="16">
        <f>AVERAGE('Weekly Data'!F791,'Weekly Data'!F739,'Weekly Data'!F687,'Weekly Data'!F635)</f>
        <v>602.5</v>
      </c>
      <c r="M843" s="16">
        <f>AVERAGE('Weekly Data'!G791,'Weekly Data'!G739,'Weekly Data'!G687,'Weekly Data'!G635)</f>
        <v>4229.25</v>
      </c>
      <c r="N843" s="16">
        <f>AVERAGE('Weekly Data'!H791,'Weekly Data'!H739,'Weekly Data'!H687,'Weekly Data'!H635)</f>
        <v>591.75</v>
      </c>
      <c r="O843" s="101">
        <f>AVERAGE('Weekly Data'!I791,'Weekly Data'!I739,'Weekly Data'!I687,'Weekly Data'!I635)</f>
        <v>8253.25</v>
      </c>
      <c r="P843" s="203">
        <f>AVERAGE('Weekly Data'!J791,'Weekly Data'!J739,'Weekly Data'!J687,'Weekly Data'!J635)</f>
        <v>1795.8107130940782</v>
      </c>
      <c r="Q843" s="39"/>
      <c r="R843" s="13">
        <f t="shared" si="42"/>
        <v>40191</v>
      </c>
      <c r="S843" s="106">
        <f t="shared" si="36"/>
        <v>1382.0625</v>
      </c>
      <c r="T843" s="106">
        <f t="shared" si="37"/>
        <v>1761.625</v>
      </c>
      <c r="U843" s="109">
        <f t="shared" si="38"/>
        <v>669.25</v>
      </c>
      <c r="V843" s="109">
        <f t="shared" si="39"/>
        <v>3835.125</v>
      </c>
      <c r="W843" s="110">
        <f t="shared" si="40"/>
        <v>642.25</v>
      </c>
      <c r="X843" s="106">
        <f t="shared" si="41"/>
        <v>7621.0625</v>
      </c>
      <c r="Y843" s="204">
        <f t="shared" si="41"/>
        <v>1359.0901782735195</v>
      </c>
      <c r="Z843" s="39"/>
      <c r="AA843" s="39"/>
      <c r="AB843" s="39"/>
      <c r="AC843" s="39"/>
      <c r="AD843" s="39"/>
      <c r="AE843" s="39"/>
      <c r="AF843" s="39"/>
      <c r="AG843" s="39"/>
      <c r="AH843" s="65"/>
    </row>
    <row r="844" spans="1:34" x14ac:dyDescent="0.25">
      <c r="A844" s="105">
        <f t="shared" si="34"/>
        <v>40198</v>
      </c>
      <c r="B844" s="59">
        <f>SUM('Weekly Data'!D841:D844)/4</f>
        <v>403.75</v>
      </c>
      <c r="C844" s="90">
        <f>SUM('Weekly Data'!E841:E844)/4</f>
        <v>1180.75</v>
      </c>
      <c r="D844" s="90">
        <f>SUM('Weekly Data'!F841:F844)/4</f>
        <v>588</v>
      </c>
      <c r="E844" s="90">
        <f>SUM('Weekly Data'!G841:G844)/4</f>
        <v>2894</v>
      </c>
      <c r="F844" s="90">
        <f>SUM('Weekly Data'!H841:H844)/4</f>
        <v>1128.75</v>
      </c>
      <c r="G844" s="90">
        <f>SUM('Weekly Data'!I841:I844)/4</f>
        <v>5607.25</v>
      </c>
      <c r="H844" s="202">
        <f>SUM('Weekly Data'!J841:J844)/4</f>
        <v>1516.9257770680408</v>
      </c>
      <c r="I844" s="39"/>
      <c r="J844" s="101">
        <f>AVERAGE('Weekly Data'!D792,'Weekly Data'!D740,'Weekly Data'!D688,'Weekly Data'!D636)</f>
        <v>1753.5</v>
      </c>
      <c r="K844" s="16">
        <f>AVERAGE('Weekly Data'!E792,'Weekly Data'!E740,'Weekly Data'!E688,'Weekly Data'!E636)</f>
        <v>1831</v>
      </c>
      <c r="L844" s="16">
        <f>AVERAGE('Weekly Data'!F792,'Weekly Data'!F740,'Weekly Data'!F688,'Weekly Data'!F636)</f>
        <v>749.5</v>
      </c>
      <c r="M844" s="16">
        <f>AVERAGE('Weekly Data'!G792,'Weekly Data'!G740,'Weekly Data'!G688,'Weekly Data'!G636)</f>
        <v>4716</v>
      </c>
      <c r="N844" s="16">
        <f>AVERAGE('Weekly Data'!H792,'Weekly Data'!H740,'Weekly Data'!H688,'Weekly Data'!H636)</f>
        <v>719.5</v>
      </c>
      <c r="O844" s="101">
        <f>AVERAGE('Weekly Data'!I792,'Weekly Data'!I740,'Weekly Data'!I688,'Weekly Data'!I636)</f>
        <v>9020</v>
      </c>
      <c r="P844" s="203">
        <f>AVERAGE('Weekly Data'!J792,'Weekly Data'!J740,'Weekly Data'!J688,'Weekly Data'!J636)</f>
        <v>1109.5724752092035</v>
      </c>
      <c r="Q844" s="39"/>
      <c r="R844" s="13">
        <f t="shared" si="42"/>
        <v>40198</v>
      </c>
      <c r="S844" s="106">
        <f t="shared" si="36"/>
        <v>1434.5</v>
      </c>
      <c r="T844" s="106">
        <f t="shared" si="37"/>
        <v>1840.625</v>
      </c>
      <c r="U844" s="109">
        <f t="shared" si="38"/>
        <v>637.5625</v>
      </c>
      <c r="V844" s="109">
        <f t="shared" si="39"/>
        <v>4075.9375</v>
      </c>
      <c r="W844" s="110">
        <f t="shared" si="40"/>
        <v>659.125</v>
      </c>
      <c r="X844" s="106">
        <f t="shared" si="41"/>
        <v>8010.1875</v>
      </c>
      <c r="Y844" s="204">
        <f t="shared" si="41"/>
        <v>1347.6957970758206</v>
      </c>
      <c r="Z844" s="39"/>
      <c r="AA844" s="39"/>
      <c r="AB844" s="39"/>
      <c r="AC844" s="39"/>
      <c r="AD844" s="39"/>
      <c r="AE844" s="39"/>
      <c r="AF844" s="39"/>
      <c r="AG844" s="39"/>
      <c r="AH844" s="65"/>
    </row>
    <row r="845" spans="1:34" x14ac:dyDescent="0.25">
      <c r="A845" s="105">
        <f t="shared" ref="A845:A908" si="43">A844+7</f>
        <v>40205</v>
      </c>
      <c r="B845" s="59">
        <f>SUM('Weekly Data'!D842:D845)/4</f>
        <v>513.5</v>
      </c>
      <c r="C845" s="90">
        <f>SUM('Weekly Data'!E842:E845)/4</f>
        <v>1365.5</v>
      </c>
      <c r="D845" s="90">
        <f>SUM('Weekly Data'!F842:F845)/4</f>
        <v>623.5</v>
      </c>
      <c r="E845" s="90">
        <f>SUM('Weekly Data'!G842:G845)/4</f>
        <v>3289</v>
      </c>
      <c r="F845" s="90">
        <f>SUM('Weekly Data'!H842:H845)/4</f>
        <v>1242.25</v>
      </c>
      <c r="G845" s="90">
        <f>SUM('Weekly Data'!I842:I845)/4</f>
        <v>6410.25</v>
      </c>
      <c r="H845" s="202">
        <f>SUM('Weekly Data'!J842:J845)/4</f>
        <v>1664.1410968892681</v>
      </c>
      <c r="I845" s="39"/>
      <c r="J845" s="101">
        <f>AVERAGE('Weekly Data'!D793,'Weekly Data'!D741,'Weekly Data'!D689,'Weekly Data'!D637)</f>
        <v>1571.5</v>
      </c>
      <c r="K845" s="16">
        <f>AVERAGE('Weekly Data'!E793,'Weekly Data'!E741,'Weekly Data'!E689,'Weekly Data'!E637)</f>
        <v>1905.75</v>
      </c>
      <c r="L845" s="16">
        <f>AVERAGE('Weekly Data'!F793,'Weekly Data'!F741,'Weekly Data'!F689,'Weekly Data'!F637)</f>
        <v>634.25</v>
      </c>
      <c r="M845" s="16">
        <f>AVERAGE('Weekly Data'!G793,'Weekly Data'!G741,'Weekly Data'!G689,'Weekly Data'!G637)</f>
        <v>4361.5</v>
      </c>
      <c r="N845" s="16">
        <f>AVERAGE('Weekly Data'!H793,'Weekly Data'!H741,'Weekly Data'!H689,'Weekly Data'!H637)</f>
        <v>894</v>
      </c>
      <c r="O845" s="101">
        <f>AVERAGE('Weekly Data'!I793,'Weekly Data'!I741,'Weekly Data'!I689,'Weekly Data'!I637)</f>
        <v>8732.75</v>
      </c>
      <c r="P845" s="203">
        <f>AVERAGE('Weekly Data'!J793,'Weekly Data'!J741,'Weekly Data'!J689,'Weekly Data'!J637)</f>
        <v>1215.4060345402859</v>
      </c>
      <c r="Q845" s="39"/>
      <c r="R845" s="13">
        <f t="shared" si="42"/>
        <v>40205</v>
      </c>
      <c r="S845" s="106">
        <f t="shared" si="36"/>
        <v>1614.375</v>
      </c>
      <c r="T845" s="106">
        <f t="shared" si="37"/>
        <v>1808.8125</v>
      </c>
      <c r="U845" s="109">
        <f t="shared" si="38"/>
        <v>679.375</v>
      </c>
      <c r="V845" s="109">
        <f t="shared" si="39"/>
        <v>4304.625</v>
      </c>
      <c r="W845" s="110">
        <f t="shared" si="40"/>
        <v>757.1875</v>
      </c>
      <c r="X845" s="106">
        <f t="shared" si="41"/>
        <v>8485</v>
      </c>
      <c r="Y845" s="204">
        <f t="shared" si="41"/>
        <v>1298.3723057108919</v>
      </c>
      <c r="Z845" s="39"/>
      <c r="AA845" s="39"/>
      <c r="AB845" s="39"/>
      <c r="AC845" s="39"/>
      <c r="AD845" s="39"/>
      <c r="AE845" s="39"/>
      <c r="AF845" s="39"/>
      <c r="AG845" s="39"/>
      <c r="AH845" s="65"/>
    </row>
    <row r="846" spans="1:34" x14ac:dyDescent="0.25">
      <c r="A846" s="105">
        <f t="shared" si="43"/>
        <v>40212</v>
      </c>
      <c r="B846" s="59">
        <f>SUM('Weekly Data'!D843:D846)/4</f>
        <v>538.25</v>
      </c>
      <c r="C846" s="90">
        <f>SUM('Weekly Data'!E843:E846)/4</f>
        <v>1538.75</v>
      </c>
      <c r="D846" s="90">
        <f>SUM('Weekly Data'!F843:F846)/4</f>
        <v>584.25</v>
      </c>
      <c r="E846" s="90">
        <f>SUM('Weekly Data'!G843:G846)/4</f>
        <v>3252.75</v>
      </c>
      <c r="F846" s="90">
        <f>SUM('Weekly Data'!H843:H846)/4</f>
        <v>1304</v>
      </c>
      <c r="G846" s="90">
        <f>SUM('Weekly Data'!I843:I846)/4</f>
        <v>6633.75</v>
      </c>
      <c r="H846" s="202">
        <f>SUM('Weekly Data'!J843:J846)/4</f>
        <v>1650.8451204558573</v>
      </c>
      <c r="I846" s="39"/>
      <c r="J846" s="101">
        <f>AVERAGE('Weekly Data'!D794,'Weekly Data'!D742,'Weekly Data'!D690,'Weekly Data'!D638)</f>
        <v>1615</v>
      </c>
      <c r="K846" s="16">
        <f>AVERAGE('Weekly Data'!E794,'Weekly Data'!E742,'Weekly Data'!E690,'Weekly Data'!E638)</f>
        <v>1812.75</v>
      </c>
      <c r="L846" s="16">
        <f>AVERAGE('Weekly Data'!F794,'Weekly Data'!F742,'Weekly Data'!F690,'Weekly Data'!F638)</f>
        <v>484.75</v>
      </c>
      <c r="M846" s="16">
        <f>AVERAGE('Weekly Data'!G794,'Weekly Data'!G742,'Weekly Data'!G690,'Weekly Data'!G638)</f>
        <v>4366.25</v>
      </c>
      <c r="N846" s="16">
        <f>AVERAGE('Weekly Data'!H794,'Weekly Data'!H742,'Weekly Data'!H690,'Weekly Data'!H638)</f>
        <v>590.75</v>
      </c>
      <c r="O846" s="101">
        <f>AVERAGE('Weekly Data'!I794,'Weekly Data'!I742,'Weekly Data'!I690,'Weekly Data'!I638)</f>
        <v>8384.75</v>
      </c>
      <c r="P846" s="203">
        <f>AVERAGE('Weekly Data'!J794,'Weekly Data'!J742,'Weekly Data'!J690,'Weekly Data'!J638)</f>
        <v>1408.5942777636901</v>
      </c>
      <c r="Q846" s="39"/>
      <c r="R846" s="13">
        <f t="shared" si="42"/>
        <v>40212</v>
      </c>
      <c r="S846" s="106">
        <f t="shared" si="36"/>
        <v>1602</v>
      </c>
      <c r="T846" s="106">
        <f t="shared" si="37"/>
        <v>1792.5</v>
      </c>
      <c r="U846" s="109">
        <f t="shared" si="38"/>
        <v>611.1875</v>
      </c>
      <c r="V846" s="109">
        <f t="shared" si="39"/>
        <v>4427.8125</v>
      </c>
      <c r="W846" s="110">
        <f t="shared" si="40"/>
        <v>723.375</v>
      </c>
      <c r="X846" s="106">
        <f t="shared" si="41"/>
        <v>8545.6875</v>
      </c>
      <c r="Y846" s="204">
        <f t="shared" si="41"/>
        <v>1382.3458751518144</v>
      </c>
      <c r="Z846" s="39"/>
      <c r="AA846" s="39"/>
      <c r="AB846" s="39"/>
      <c r="AC846" s="39"/>
      <c r="AD846" s="39"/>
      <c r="AE846" s="39"/>
      <c r="AF846" s="39"/>
      <c r="AG846" s="39"/>
      <c r="AH846" s="65"/>
    </row>
    <row r="847" spans="1:34" x14ac:dyDescent="0.25">
      <c r="A847" s="105">
        <f t="shared" si="43"/>
        <v>40219</v>
      </c>
      <c r="B847" s="59">
        <f>SUM('Weekly Data'!D844:D847)/4</f>
        <v>664.5</v>
      </c>
      <c r="C847" s="90">
        <f>SUM('Weekly Data'!E844:E847)/4</f>
        <v>1802.5</v>
      </c>
      <c r="D847" s="90">
        <f>SUM('Weekly Data'!F844:F847)/4</f>
        <v>687.75</v>
      </c>
      <c r="E847" s="90">
        <f>SUM('Weekly Data'!G844:G847)/4</f>
        <v>3457.75</v>
      </c>
      <c r="F847" s="90">
        <f>SUM('Weekly Data'!H844:H847)/4</f>
        <v>1140</v>
      </c>
      <c r="G847" s="90">
        <f>SUM('Weekly Data'!I844:I847)/4</f>
        <v>7064.75</v>
      </c>
      <c r="H847" s="202">
        <f>SUM('Weekly Data'!J844:J847)/4</f>
        <v>1554.4260350548184</v>
      </c>
      <c r="I847" s="39"/>
      <c r="J847" s="101">
        <f>AVERAGE('Weekly Data'!D795,'Weekly Data'!D743,'Weekly Data'!D691,'Weekly Data'!D639)</f>
        <v>1697</v>
      </c>
      <c r="K847" s="16">
        <f>AVERAGE('Weekly Data'!E795,'Weekly Data'!E743,'Weekly Data'!E691,'Weekly Data'!E639)</f>
        <v>2153.5</v>
      </c>
      <c r="L847" s="16">
        <f>AVERAGE('Weekly Data'!F795,'Weekly Data'!F743,'Weekly Data'!F691,'Weekly Data'!F639)</f>
        <v>878.75</v>
      </c>
      <c r="M847" s="16">
        <f>AVERAGE('Weekly Data'!G795,'Weekly Data'!G743,'Weekly Data'!G691,'Weekly Data'!G639)</f>
        <v>4680</v>
      </c>
      <c r="N847" s="16">
        <f>AVERAGE('Weekly Data'!H795,'Weekly Data'!H743,'Weekly Data'!H691,'Weekly Data'!H639)</f>
        <v>713</v>
      </c>
      <c r="O847" s="101">
        <f>AVERAGE('Weekly Data'!I795,'Weekly Data'!I743,'Weekly Data'!I691,'Weekly Data'!I639)</f>
        <v>9243.5</v>
      </c>
      <c r="P847" s="203">
        <f>AVERAGE('Weekly Data'!J795,'Weekly Data'!J743,'Weekly Data'!J691,'Weekly Data'!J639)</f>
        <v>781.99241061299665</v>
      </c>
      <c r="Q847" s="39"/>
      <c r="R847" s="13">
        <f t="shared" si="42"/>
        <v>40219</v>
      </c>
      <c r="S847" s="106">
        <f t="shared" si="36"/>
        <v>1639.4375</v>
      </c>
      <c r="T847" s="106">
        <f t="shared" si="37"/>
        <v>1883.3125</v>
      </c>
      <c r="U847" s="109">
        <f t="shared" si="38"/>
        <v>696</v>
      </c>
      <c r="V847" s="109">
        <f t="shared" si="39"/>
        <v>4486.75</v>
      </c>
      <c r="W847" s="110">
        <f t="shared" si="40"/>
        <v>707.0625</v>
      </c>
      <c r="X847" s="106">
        <f t="shared" si="41"/>
        <v>8716.5625</v>
      </c>
      <c r="Y847" s="204">
        <f t="shared" si="41"/>
        <v>1128.8912995315441</v>
      </c>
      <c r="Z847" s="39"/>
      <c r="AA847" s="39"/>
      <c r="AB847" s="39"/>
      <c r="AC847" s="39"/>
      <c r="AD847" s="39"/>
      <c r="AE847" s="39"/>
      <c r="AF847" s="39"/>
      <c r="AG847" s="39"/>
      <c r="AH847" s="65"/>
    </row>
    <row r="848" spans="1:34" x14ac:dyDescent="0.25">
      <c r="A848" s="105">
        <f t="shared" si="43"/>
        <v>40226</v>
      </c>
      <c r="B848" s="59">
        <f>SUM('Weekly Data'!D845:D848)/4</f>
        <v>613.75</v>
      </c>
      <c r="C848" s="90">
        <f>SUM('Weekly Data'!E845:E848)/4</f>
        <v>1932</v>
      </c>
      <c r="D848" s="90">
        <f>SUM('Weekly Data'!F845:F848)/4</f>
        <v>756.25</v>
      </c>
      <c r="E848" s="90">
        <f>SUM('Weekly Data'!G845:G848)/4</f>
        <v>3367.5</v>
      </c>
      <c r="F848" s="90">
        <f>SUM('Weekly Data'!H845:H848)/4</f>
        <v>1100</v>
      </c>
      <c r="G848" s="90">
        <f>SUM('Weekly Data'!I845:I848)/4</f>
        <v>7013.25</v>
      </c>
      <c r="H848" s="202">
        <f>SUM('Weekly Data'!J845:J848)/4</f>
        <v>1737.9761288228508</v>
      </c>
      <c r="I848" s="39"/>
      <c r="J848" s="101">
        <f>AVERAGE('Weekly Data'!D796,'Weekly Data'!D744,'Weekly Data'!D692,'Weekly Data'!D640)</f>
        <v>1693</v>
      </c>
      <c r="K848" s="16">
        <f>AVERAGE('Weekly Data'!E796,'Weekly Data'!E744,'Weekly Data'!E692,'Weekly Data'!E640)</f>
        <v>2052.25</v>
      </c>
      <c r="L848" s="16">
        <f>AVERAGE('Weekly Data'!F796,'Weekly Data'!F744,'Weekly Data'!F692,'Weekly Data'!F640)</f>
        <v>503.5</v>
      </c>
      <c r="M848" s="16">
        <f>AVERAGE('Weekly Data'!G796,'Weekly Data'!G744,'Weekly Data'!G692,'Weekly Data'!G640)</f>
        <v>3965</v>
      </c>
      <c r="N848" s="16">
        <f>AVERAGE('Weekly Data'!H796,'Weekly Data'!H744,'Weekly Data'!H692,'Weekly Data'!H640)</f>
        <v>631.75</v>
      </c>
      <c r="O848" s="101">
        <f>AVERAGE('Weekly Data'!I796,'Weekly Data'!I744,'Weekly Data'!I692,'Weekly Data'!I640)</f>
        <v>8342</v>
      </c>
      <c r="P848" s="203">
        <f>AVERAGE('Weekly Data'!J796,'Weekly Data'!J744,'Weekly Data'!J692,'Weekly Data'!J640)</f>
        <v>1562.3049234588332</v>
      </c>
      <c r="Q848" s="39"/>
      <c r="R848" s="13">
        <f t="shared" si="42"/>
        <v>40226</v>
      </c>
      <c r="S848" s="106">
        <f t="shared" si="36"/>
        <v>1649.1875</v>
      </c>
      <c r="T848" s="106">
        <f t="shared" si="37"/>
        <v>1940.25</v>
      </c>
      <c r="U848" s="109">
        <f t="shared" si="38"/>
        <v>630.1875</v>
      </c>
      <c r="V848" s="109">
        <f t="shared" si="39"/>
        <v>4383</v>
      </c>
      <c r="W848" s="110">
        <f t="shared" si="40"/>
        <v>712.625</v>
      </c>
      <c r="X848" s="106">
        <f t="shared" si="41"/>
        <v>8685.0625</v>
      </c>
      <c r="Y848" s="204">
        <f t="shared" si="41"/>
        <v>1242.0744115939515</v>
      </c>
      <c r="Z848" s="39"/>
      <c r="AA848" s="39"/>
      <c r="AB848" s="39"/>
      <c r="AC848" s="39"/>
      <c r="AD848" s="39"/>
      <c r="AE848" s="39"/>
      <c r="AF848" s="39"/>
      <c r="AG848" s="39"/>
      <c r="AH848" s="65"/>
    </row>
    <row r="849" spans="1:34" x14ac:dyDescent="0.25">
      <c r="A849" s="105">
        <f t="shared" si="43"/>
        <v>40233</v>
      </c>
      <c r="B849" s="59">
        <f>SUM('Weekly Data'!D846:D849)/4</f>
        <v>492.25</v>
      </c>
      <c r="C849" s="90">
        <f>SUM('Weekly Data'!E846:E849)/4</f>
        <v>1835</v>
      </c>
      <c r="D849" s="90">
        <f>SUM('Weekly Data'!F846:F849)/4</f>
        <v>938.75</v>
      </c>
      <c r="E849" s="90">
        <f>SUM('Weekly Data'!G846:G849)/4</f>
        <v>3290</v>
      </c>
      <c r="F849" s="90">
        <f>SUM('Weekly Data'!H846:H849)/4</f>
        <v>1080.25</v>
      </c>
      <c r="G849" s="90">
        <f>SUM('Weekly Data'!I846:I849)/4</f>
        <v>6697.5</v>
      </c>
      <c r="H849" s="202">
        <f>SUM('Weekly Data'!J846:J849)/4</f>
        <v>1534.080723456434</v>
      </c>
      <c r="I849" s="39"/>
      <c r="J849" s="101">
        <f>AVERAGE('Weekly Data'!D797,'Weekly Data'!D745,'Weekly Data'!D693,'Weekly Data'!D641)</f>
        <v>1353</v>
      </c>
      <c r="K849" s="16">
        <f>AVERAGE('Weekly Data'!E797,'Weekly Data'!E745,'Weekly Data'!E693,'Weekly Data'!E641)</f>
        <v>1690.75</v>
      </c>
      <c r="L849" s="16">
        <f>AVERAGE('Weekly Data'!F797,'Weekly Data'!F745,'Weekly Data'!F693,'Weekly Data'!F641)</f>
        <v>1030.5</v>
      </c>
      <c r="M849" s="16">
        <f>AVERAGE('Weekly Data'!G797,'Weekly Data'!G745,'Weekly Data'!G693,'Weekly Data'!G641)</f>
        <v>4757</v>
      </c>
      <c r="N849" s="16">
        <f>AVERAGE('Weekly Data'!H797,'Weekly Data'!H745,'Weekly Data'!H693,'Weekly Data'!H641)</f>
        <v>766.25</v>
      </c>
      <c r="O849" s="101">
        <f>AVERAGE('Weekly Data'!I797,'Weekly Data'!I745,'Weekly Data'!I693,'Weekly Data'!I641)</f>
        <v>8567</v>
      </c>
      <c r="P849" s="203">
        <f>AVERAGE('Weekly Data'!J797,'Weekly Data'!J745,'Weekly Data'!J693,'Weekly Data'!J641)</f>
        <v>1277.5622519252072</v>
      </c>
      <c r="Q849" s="39"/>
      <c r="R849" s="13">
        <f t="shared" si="42"/>
        <v>40233</v>
      </c>
      <c r="S849" s="106">
        <f t="shared" si="36"/>
        <v>1553.9375</v>
      </c>
      <c r="T849" s="106">
        <f t="shared" si="37"/>
        <v>2004.4375</v>
      </c>
      <c r="U849" s="109">
        <f t="shared" si="38"/>
        <v>664.5</v>
      </c>
      <c r="V849" s="109">
        <f t="shared" si="39"/>
        <v>4445.375</v>
      </c>
      <c r="W849" s="110">
        <f t="shared" si="40"/>
        <v>669.5625</v>
      </c>
      <c r="X849" s="106">
        <f t="shared" si="41"/>
        <v>8673.3125</v>
      </c>
      <c r="Y849" s="204">
        <f t="shared" si="41"/>
        <v>1257.6134659401819</v>
      </c>
      <c r="Z849" s="39"/>
      <c r="AA849" s="39"/>
      <c r="AB849" s="39"/>
      <c r="AC849" s="39"/>
      <c r="AD849" s="39"/>
      <c r="AE849" s="39"/>
      <c r="AF849" s="39"/>
      <c r="AG849" s="39"/>
      <c r="AH849" s="65"/>
    </row>
    <row r="850" spans="1:34" x14ac:dyDescent="0.25">
      <c r="A850" s="105">
        <f t="shared" si="43"/>
        <v>40240</v>
      </c>
      <c r="B850" s="59">
        <f>SUM('Weekly Data'!D847:D850)/4</f>
        <v>471</v>
      </c>
      <c r="C850" s="90">
        <f>SUM('Weekly Data'!E847:E850)/4</f>
        <v>1577</v>
      </c>
      <c r="D850" s="90">
        <f>SUM('Weekly Data'!F847:F850)/4</f>
        <v>1058.25</v>
      </c>
      <c r="E850" s="90">
        <f>SUM('Weekly Data'!G847:G850)/4</f>
        <v>3563.5</v>
      </c>
      <c r="F850" s="90">
        <f>SUM('Weekly Data'!H847:H850)/4</f>
        <v>1102.75</v>
      </c>
      <c r="G850" s="90">
        <f>SUM('Weekly Data'!I847:I850)/4</f>
        <v>6714.25</v>
      </c>
      <c r="H850" s="202">
        <f>SUM('Weekly Data'!J847:J850)/4</f>
        <v>1683.795679457588</v>
      </c>
      <c r="I850" s="39"/>
      <c r="J850" s="101">
        <f>AVERAGE('Weekly Data'!D798,'Weekly Data'!D746,'Weekly Data'!D694,'Weekly Data'!D642)</f>
        <v>1820.5</v>
      </c>
      <c r="K850" s="16">
        <f>AVERAGE('Weekly Data'!E798,'Weekly Data'!E746,'Weekly Data'!E694,'Weekly Data'!E642)</f>
        <v>2007.75</v>
      </c>
      <c r="L850" s="16">
        <f>AVERAGE('Weekly Data'!F798,'Weekly Data'!F746,'Weekly Data'!F694,'Weekly Data'!F642)</f>
        <v>902</v>
      </c>
      <c r="M850" s="16">
        <f>AVERAGE('Weekly Data'!G798,'Weekly Data'!G746,'Weekly Data'!G694,'Weekly Data'!G642)</f>
        <v>4753.75</v>
      </c>
      <c r="N850" s="16">
        <f>AVERAGE('Weekly Data'!H798,'Weekly Data'!H746,'Weekly Data'!H694,'Weekly Data'!H642)</f>
        <v>730.75</v>
      </c>
      <c r="O850" s="101">
        <f>AVERAGE('Weekly Data'!I798,'Weekly Data'!I746,'Weekly Data'!I694,'Weekly Data'!I642)</f>
        <v>9312.75</v>
      </c>
      <c r="P850" s="203">
        <f>AVERAGE('Weekly Data'!J798,'Weekly Data'!J746,'Weekly Data'!J694,'Weekly Data'!J642)</f>
        <v>1869.7262148491197</v>
      </c>
      <c r="Q850" s="39"/>
      <c r="R850" s="13">
        <f t="shared" si="42"/>
        <v>40240</v>
      </c>
      <c r="S850" s="106">
        <f t="shared" si="36"/>
        <v>1620</v>
      </c>
      <c r="T850" s="106">
        <f t="shared" si="37"/>
        <v>1993.5625</v>
      </c>
      <c r="U850" s="109">
        <f t="shared" si="38"/>
        <v>780.625</v>
      </c>
      <c r="V850" s="109">
        <f t="shared" si="39"/>
        <v>4511.625</v>
      </c>
      <c r="W850" s="110">
        <f t="shared" si="40"/>
        <v>682.6875</v>
      </c>
      <c r="X850" s="106">
        <f t="shared" si="41"/>
        <v>8807.875</v>
      </c>
      <c r="Y850" s="204">
        <f t="shared" si="41"/>
        <v>1372.8964502115393</v>
      </c>
      <c r="Z850" s="39"/>
      <c r="AA850" s="39"/>
      <c r="AB850" s="39"/>
      <c r="AC850" s="39"/>
      <c r="AD850" s="39"/>
      <c r="AE850" s="39"/>
      <c r="AF850" s="39"/>
      <c r="AG850" s="39"/>
      <c r="AH850" s="65"/>
    </row>
    <row r="851" spans="1:34" x14ac:dyDescent="0.25">
      <c r="A851" s="105">
        <f t="shared" si="43"/>
        <v>40247</v>
      </c>
      <c r="B851" s="59">
        <f>SUM('Weekly Data'!D848:D851)/4</f>
        <v>414</v>
      </c>
      <c r="C851" s="90">
        <f>SUM('Weekly Data'!E848:E851)/4</f>
        <v>1596.5</v>
      </c>
      <c r="D851" s="90">
        <f>SUM('Weekly Data'!F848:F851)/4</f>
        <v>1111</v>
      </c>
      <c r="E851" s="90">
        <f>SUM('Weekly Data'!G848:G851)/4</f>
        <v>3724.5</v>
      </c>
      <c r="F851" s="90">
        <f>SUM('Weekly Data'!H848:H851)/4</f>
        <v>1069.75</v>
      </c>
      <c r="G851" s="90">
        <f>SUM('Weekly Data'!I848:I851)/4</f>
        <v>6804.75</v>
      </c>
      <c r="H851" s="202">
        <f>SUM('Weekly Data'!J848:J851)/4</f>
        <v>1809.1847194171958</v>
      </c>
      <c r="I851" s="39"/>
      <c r="J851" s="101">
        <f>AVERAGE('Weekly Data'!D799,'Weekly Data'!D747,'Weekly Data'!D695,'Weekly Data'!D643)</f>
        <v>1528.25</v>
      </c>
      <c r="K851" s="16">
        <f>AVERAGE('Weekly Data'!E799,'Weekly Data'!E747,'Weekly Data'!E695,'Weekly Data'!E643)</f>
        <v>1960.5</v>
      </c>
      <c r="L851" s="16">
        <f>AVERAGE('Weekly Data'!F799,'Weekly Data'!F747,'Weekly Data'!F695,'Weekly Data'!F643)</f>
        <v>941.75</v>
      </c>
      <c r="M851" s="16">
        <f>AVERAGE('Weekly Data'!G799,'Weekly Data'!G747,'Weekly Data'!G695,'Weekly Data'!G643)</f>
        <v>4741.5</v>
      </c>
      <c r="N851" s="16">
        <f>AVERAGE('Weekly Data'!H799,'Weekly Data'!H747,'Weekly Data'!H695,'Weekly Data'!H643)</f>
        <v>689</v>
      </c>
      <c r="O851" s="101">
        <f>AVERAGE('Weekly Data'!I799,'Weekly Data'!I747,'Weekly Data'!I695,'Weekly Data'!I643)</f>
        <v>8919.25</v>
      </c>
      <c r="P851" s="203">
        <f>AVERAGE('Weekly Data'!J799,'Weekly Data'!J747,'Weekly Data'!J695,'Weekly Data'!J643)</f>
        <v>1662.2588406048553</v>
      </c>
      <c r="Q851" s="39"/>
      <c r="R851" s="13">
        <f t="shared" si="42"/>
        <v>40247</v>
      </c>
      <c r="S851" s="106">
        <f t="shared" si="36"/>
        <v>1610.6875</v>
      </c>
      <c r="T851" s="106">
        <f t="shared" si="37"/>
        <v>1969.6875</v>
      </c>
      <c r="U851" s="109">
        <f t="shared" si="38"/>
        <v>832.6875</v>
      </c>
      <c r="V851" s="109">
        <f t="shared" si="39"/>
        <v>4526</v>
      </c>
      <c r="W851" s="110">
        <f t="shared" si="40"/>
        <v>707.3125</v>
      </c>
      <c r="X851" s="106">
        <f t="shared" si="41"/>
        <v>8813.6875</v>
      </c>
      <c r="Y851" s="204">
        <f t="shared" si="41"/>
        <v>1592.9630577095038</v>
      </c>
      <c r="Z851" s="39"/>
      <c r="AA851" s="39"/>
      <c r="AB851" s="39"/>
      <c r="AC851" s="39"/>
      <c r="AD851" s="39"/>
      <c r="AE851" s="39"/>
      <c r="AF851" s="39"/>
      <c r="AG851" s="39"/>
      <c r="AH851" s="65"/>
    </row>
    <row r="852" spans="1:34" x14ac:dyDescent="0.25">
      <c r="A852" s="105">
        <f t="shared" si="43"/>
        <v>40254</v>
      </c>
      <c r="B852" s="59">
        <f>SUM('Weekly Data'!D849:D852)/4</f>
        <v>378.75</v>
      </c>
      <c r="C852" s="90">
        <f>SUM('Weekly Data'!E849:E852)/4</f>
        <v>1577.5</v>
      </c>
      <c r="D852" s="90">
        <f>SUM('Weekly Data'!F849:F852)/4</f>
        <v>1161.75</v>
      </c>
      <c r="E852" s="90">
        <f>SUM('Weekly Data'!G849:G852)/4</f>
        <v>3685.25</v>
      </c>
      <c r="F852" s="90">
        <f>SUM('Weekly Data'!H849:H852)/4</f>
        <v>1014.25</v>
      </c>
      <c r="G852" s="90">
        <f>SUM('Weekly Data'!I849:I852)/4</f>
        <v>6655.75</v>
      </c>
      <c r="H852" s="202">
        <f>SUM('Weekly Data'!J849:J852)/4</f>
        <v>1918.2090522215813</v>
      </c>
      <c r="I852" s="39"/>
      <c r="J852" s="101">
        <f>AVERAGE('Weekly Data'!D800,'Weekly Data'!D748,'Weekly Data'!D696,'Weekly Data'!D644)</f>
        <v>1207.75</v>
      </c>
      <c r="K852" s="16">
        <f>AVERAGE('Weekly Data'!E800,'Weekly Data'!E748,'Weekly Data'!E696,'Weekly Data'!E644)</f>
        <v>1886</v>
      </c>
      <c r="L852" s="16">
        <f>AVERAGE('Weekly Data'!F800,'Weekly Data'!F748,'Weekly Data'!F696,'Weekly Data'!F644)</f>
        <v>701.75</v>
      </c>
      <c r="M852" s="16">
        <f>AVERAGE('Weekly Data'!G800,'Weekly Data'!G748,'Weekly Data'!G696,'Weekly Data'!G644)</f>
        <v>4485.5</v>
      </c>
      <c r="N852" s="16">
        <f>AVERAGE('Weekly Data'!H800,'Weekly Data'!H748,'Weekly Data'!H696,'Weekly Data'!H644)</f>
        <v>664.5</v>
      </c>
      <c r="O852" s="101">
        <f>AVERAGE('Weekly Data'!I800,'Weekly Data'!I748,'Weekly Data'!I696,'Weekly Data'!I644)</f>
        <v>8243.75</v>
      </c>
      <c r="P852" s="203">
        <f>AVERAGE('Weekly Data'!J800,'Weekly Data'!J748,'Weekly Data'!J696,'Weekly Data'!J644)</f>
        <v>1280.9220474595272</v>
      </c>
      <c r="Q852" s="39"/>
      <c r="R852" s="13">
        <f t="shared" si="42"/>
        <v>40254</v>
      </c>
      <c r="S852" s="106">
        <f t="shared" si="36"/>
        <v>1520.75</v>
      </c>
      <c r="T852" s="106">
        <f t="shared" si="37"/>
        <v>1879.9375</v>
      </c>
      <c r="U852" s="109">
        <f t="shared" si="38"/>
        <v>856.6875</v>
      </c>
      <c r="V852" s="109">
        <f t="shared" si="39"/>
        <v>4649.9375</v>
      </c>
      <c r="W852" s="110">
        <f t="shared" si="40"/>
        <v>710.5</v>
      </c>
      <c r="X852" s="106">
        <f t="shared" si="41"/>
        <v>8761.125</v>
      </c>
      <c r="Y852" s="204">
        <f t="shared" si="41"/>
        <v>1522.6173387096774</v>
      </c>
      <c r="Z852" s="39"/>
      <c r="AA852" s="39"/>
      <c r="AB852" s="39"/>
      <c r="AC852" s="39"/>
      <c r="AD852" s="39"/>
      <c r="AE852" s="39"/>
      <c r="AF852" s="39"/>
      <c r="AG852" s="39"/>
      <c r="AH852" s="65"/>
    </row>
    <row r="853" spans="1:34" x14ac:dyDescent="0.25">
      <c r="A853" s="105">
        <f t="shared" si="43"/>
        <v>40261</v>
      </c>
      <c r="B853" s="59">
        <f>SUM('Weekly Data'!D850:D853)/4</f>
        <v>469.75</v>
      </c>
      <c r="C853" s="90">
        <f>SUM('Weekly Data'!E850:E853)/4</f>
        <v>1515</v>
      </c>
      <c r="D853" s="90">
        <f>SUM('Weekly Data'!F850:F853)/4</f>
        <v>1148</v>
      </c>
      <c r="E853" s="90">
        <f>SUM('Weekly Data'!G850:G853)/4</f>
        <v>3805.75</v>
      </c>
      <c r="F853" s="90">
        <f>SUM('Weekly Data'!H850:H853)/4</f>
        <v>1031.75</v>
      </c>
      <c r="G853" s="90">
        <f>SUM('Weekly Data'!I850:I853)/4</f>
        <v>6822.25</v>
      </c>
      <c r="H853" s="202">
        <f>SUM('Weekly Data'!J850:J853)/4</f>
        <v>2130.9502452394695</v>
      </c>
      <c r="I853" s="39"/>
      <c r="J853" s="101">
        <f>AVERAGE('Weekly Data'!D801,'Weekly Data'!D749,'Weekly Data'!D697,'Weekly Data'!D645)</f>
        <v>843.25</v>
      </c>
      <c r="K853" s="16">
        <f>AVERAGE('Weekly Data'!E801,'Weekly Data'!E749,'Weekly Data'!E697,'Weekly Data'!E645)</f>
        <v>1614.25</v>
      </c>
      <c r="L853" s="16">
        <f>AVERAGE('Weekly Data'!F801,'Weekly Data'!F749,'Weekly Data'!F697,'Weekly Data'!F645)</f>
        <v>876</v>
      </c>
      <c r="M853" s="16">
        <f>AVERAGE('Weekly Data'!G801,'Weekly Data'!G749,'Weekly Data'!G697,'Weekly Data'!G645)</f>
        <v>5071.75</v>
      </c>
      <c r="N853" s="16">
        <f>AVERAGE('Weekly Data'!H801,'Weekly Data'!H749,'Weekly Data'!H697,'Weekly Data'!H645)</f>
        <v>684.75</v>
      </c>
      <c r="O853" s="101">
        <f>AVERAGE('Weekly Data'!I801,'Weekly Data'!I749,'Weekly Data'!I697,'Weekly Data'!I645)</f>
        <v>8214</v>
      </c>
      <c r="P853" s="203">
        <f>AVERAGE('Weekly Data'!J801,'Weekly Data'!J749,'Weekly Data'!J697,'Weekly Data'!J645)</f>
        <v>999.53917146022127</v>
      </c>
      <c r="Q853" s="39"/>
      <c r="R853" s="13">
        <f t="shared" si="42"/>
        <v>40261</v>
      </c>
      <c r="S853" s="106">
        <f t="shared" si="36"/>
        <v>1423.6875</v>
      </c>
      <c r="T853" s="106">
        <f t="shared" si="37"/>
        <v>1807.75</v>
      </c>
      <c r="U853" s="109">
        <f t="shared" si="38"/>
        <v>881</v>
      </c>
      <c r="V853" s="109">
        <f t="shared" si="39"/>
        <v>4780.1875</v>
      </c>
      <c r="W853" s="110">
        <f t="shared" si="40"/>
        <v>695.1875</v>
      </c>
      <c r="X853" s="106">
        <f t="shared" si="41"/>
        <v>8706.8125</v>
      </c>
      <c r="Y853" s="204">
        <f t="shared" si="41"/>
        <v>1453.111568593431</v>
      </c>
      <c r="Z853" s="39"/>
      <c r="AA853" s="39"/>
      <c r="AB853" s="39"/>
      <c r="AC853" s="39"/>
      <c r="AD853" s="39"/>
      <c r="AE853" s="39"/>
      <c r="AF853" s="39"/>
      <c r="AG853" s="39"/>
      <c r="AH853" s="65"/>
    </row>
    <row r="854" spans="1:34" x14ac:dyDescent="0.25">
      <c r="A854" s="105">
        <f t="shared" si="43"/>
        <v>40268</v>
      </c>
      <c r="B854" s="59">
        <f>SUM('Weekly Data'!D851:D854)/4</f>
        <v>364.75</v>
      </c>
      <c r="C854" s="90">
        <f>SUM('Weekly Data'!E851:E854)/4</f>
        <v>1698</v>
      </c>
      <c r="D854" s="90">
        <f>SUM('Weekly Data'!F851:F854)/4</f>
        <v>998.5</v>
      </c>
      <c r="E854" s="90">
        <f>SUM('Weekly Data'!G851:G854)/4</f>
        <v>3576.5</v>
      </c>
      <c r="F854" s="90">
        <f>SUM('Weekly Data'!H851:H854)/4</f>
        <v>824.5</v>
      </c>
      <c r="G854" s="90">
        <f>SUM('Weekly Data'!I851:I854)/4</f>
        <v>6463.75</v>
      </c>
      <c r="H854" s="202">
        <f>SUM('Weekly Data'!J851:J854)/4</f>
        <v>2276.9057414887484</v>
      </c>
      <c r="I854" s="39"/>
      <c r="J854" s="101">
        <f>AVERAGE('Weekly Data'!D802,'Weekly Data'!D750,'Weekly Data'!D698,'Weekly Data'!D646)</f>
        <v>1006.5</v>
      </c>
      <c r="K854" s="16">
        <f>AVERAGE('Weekly Data'!E802,'Weekly Data'!E750,'Weekly Data'!E698,'Weekly Data'!E646)</f>
        <v>1802.5</v>
      </c>
      <c r="L854" s="16">
        <f>AVERAGE('Weekly Data'!F802,'Weekly Data'!F750,'Weekly Data'!F698,'Weekly Data'!F646)</f>
        <v>946.5</v>
      </c>
      <c r="M854" s="16">
        <f>AVERAGE('Weekly Data'!G802,'Weekly Data'!G750,'Weekly Data'!G698,'Weekly Data'!G646)</f>
        <v>4503</v>
      </c>
      <c r="N854" s="16">
        <f>AVERAGE('Weekly Data'!H802,'Weekly Data'!H750,'Weekly Data'!H698,'Weekly Data'!H646)</f>
        <v>614.25</v>
      </c>
      <c r="O854" s="101">
        <f>AVERAGE('Weekly Data'!I802,'Weekly Data'!I750,'Weekly Data'!I698,'Weekly Data'!I646)</f>
        <v>7926.25</v>
      </c>
      <c r="P854" s="203">
        <f>AVERAGE('Weekly Data'!J802,'Weekly Data'!J750,'Weekly Data'!J698,'Weekly Data'!J646)</f>
        <v>952.5020339797403</v>
      </c>
      <c r="Q854" s="39"/>
      <c r="R854" s="13">
        <f t="shared" si="42"/>
        <v>40268</v>
      </c>
      <c r="S854" s="106">
        <f t="shared" si="36"/>
        <v>1228.75</v>
      </c>
      <c r="T854" s="106">
        <f t="shared" si="37"/>
        <v>1811.5625</v>
      </c>
      <c r="U854" s="109">
        <f t="shared" si="38"/>
        <v>841.25</v>
      </c>
      <c r="V854" s="109">
        <f t="shared" si="39"/>
        <v>4708.875</v>
      </c>
      <c r="W854" s="110">
        <f t="shared" si="40"/>
        <v>674.3125</v>
      </c>
      <c r="X854" s="106">
        <f t="shared" si="41"/>
        <v>8423.5</v>
      </c>
      <c r="Y854" s="204">
        <f t="shared" si="41"/>
        <v>1223.8055233760861</v>
      </c>
      <c r="Z854" s="39"/>
      <c r="AA854" s="39"/>
      <c r="AB854" s="39"/>
      <c r="AC854" s="39"/>
      <c r="AD854" s="39"/>
      <c r="AE854" s="39"/>
      <c r="AF854" s="39"/>
      <c r="AG854" s="39"/>
      <c r="AH854" s="65"/>
    </row>
    <row r="855" spans="1:34" x14ac:dyDescent="0.25">
      <c r="A855" s="105">
        <f t="shared" si="43"/>
        <v>40275</v>
      </c>
      <c r="B855" s="59">
        <f>SUM('Weekly Data'!D852:D855)/4</f>
        <v>276</v>
      </c>
      <c r="C855" s="90">
        <f>SUM('Weekly Data'!E852:E855)/4</f>
        <v>1546.75</v>
      </c>
      <c r="D855" s="90">
        <f>SUM('Weekly Data'!F852:F855)/4</f>
        <v>924.75</v>
      </c>
      <c r="E855" s="90">
        <f>SUM('Weekly Data'!G852:G855)/4</f>
        <v>3476.25</v>
      </c>
      <c r="F855" s="90">
        <f>SUM('Weekly Data'!H852:H855)/4</f>
        <v>748.5</v>
      </c>
      <c r="G855" s="90">
        <f>SUM('Weekly Data'!I852:I855)/4</f>
        <v>6047.5</v>
      </c>
      <c r="H855" s="202">
        <f>SUM('Weekly Data'!J852:J855)/4</f>
        <v>2245.7243400173111</v>
      </c>
      <c r="I855" s="39"/>
      <c r="J855" s="101">
        <f>AVERAGE('Weekly Data'!D803,'Weekly Data'!D751,'Weekly Data'!D699,'Weekly Data'!D647)</f>
        <v>848.25</v>
      </c>
      <c r="K855" s="16">
        <f>AVERAGE('Weekly Data'!E803,'Weekly Data'!E751,'Weekly Data'!E699,'Weekly Data'!E647)</f>
        <v>1608</v>
      </c>
      <c r="L855" s="16">
        <f>AVERAGE('Weekly Data'!F803,'Weekly Data'!F751,'Weekly Data'!F699,'Weekly Data'!F647)</f>
        <v>894.75</v>
      </c>
      <c r="M855" s="16">
        <f>AVERAGE('Weekly Data'!G803,'Weekly Data'!G751,'Weekly Data'!G699,'Weekly Data'!G647)</f>
        <v>4382.75</v>
      </c>
      <c r="N855" s="16">
        <f>AVERAGE('Weekly Data'!H803,'Weekly Data'!H751,'Weekly Data'!H699,'Weekly Data'!H647)</f>
        <v>477.75</v>
      </c>
      <c r="O855" s="101">
        <f>AVERAGE('Weekly Data'!I803,'Weekly Data'!I751,'Weekly Data'!I699,'Weekly Data'!I647)</f>
        <v>7316.75</v>
      </c>
      <c r="P855" s="203">
        <f>AVERAGE('Weekly Data'!J803,'Weekly Data'!J751,'Weekly Data'!J699,'Weekly Data'!J647)</f>
        <v>1392.6352489756696</v>
      </c>
      <c r="Q855" s="39"/>
      <c r="R855" s="13">
        <f t="shared" si="42"/>
        <v>40275</v>
      </c>
      <c r="S855" s="106">
        <f t="shared" si="36"/>
        <v>1036.125</v>
      </c>
      <c r="T855" s="106">
        <f t="shared" si="37"/>
        <v>1756.6875</v>
      </c>
      <c r="U855" s="109">
        <f t="shared" si="38"/>
        <v>852.25</v>
      </c>
      <c r="V855" s="109">
        <f t="shared" si="39"/>
        <v>4704.4375</v>
      </c>
      <c r="W855" s="110">
        <f t="shared" si="40"/>
        <v>624.9375</v>
      </c>
      <c r="X855" s="106">
        <f t="shared" si="41"/>
        <v>8122.1875</v>
      </c>
      <c r="Y855" s="204">
        <f t="shared" si="41"/>
        <v>1156.3996254687895</v>
      </c>
      <c r="Z855" s="39"/>
      <c r="AA855" s="39"/>
      <c r="AB855" s="39"/>
      <c r="AC855" s="39"/>
      <c r="AD855" s="39"/>
      <c r="AE855" s="39"/>
      <c r="AF855" s="39"/>
      <c r="AG855" s="39"/>
      <c r="AH855" s="65"/>
    </row>
    <row r="856" spans="1:34" x14ac:dyDescent="0.25">
      <c r="A856" s="105">
        <f t="shared" si="43"/>
        <v>40282</v>
      </c>
      <c r="B856" s="59">
        <f>SUM('Weekly Data'!D853:D856)/4</f>
        <v>275</v>
      </c>
      <c r="C856" s="90">
        <f>SUM('Weekly Data'!E853:E856)/4</f>
        <v>1383.75</v>
      </c>
      <c r="D856" s="90">
        <f>SUM('Weekly Data'!F853:F856)/4</f>
        <v>959.75</v>
      </c>
      <c r="E856" s="90">
        <f>SUM('Weekly Data'!G853:G856)/4</f>
        <v>3484.5</v>
      </c>
      <c r="F856" s="90">
        <f>SUM('Weekly Data'!H853:H856)/4</f>
        <v>670.25</v>
      </c>
      <c r="G856" s="90">
        <f>SUM('Weekly Data'!I853:I856)/4</f>
        <v>5813.5</v>
      </c>
      <c r="H856" s="202">
        <f>SUM('Weekly Data'!J853:J856)/4</f>
        <v>2140.2383222735143</v>
      </c>
      <c r="I856" s="39"/>
      <c r="J856" s="101">
        <f>AVERAGE('Weekly Data'!D804,'Weekly Data'!D752,'Weekly Data'!D700,'Weekly Data'!D648)</f>
        <v>900.75</v>
      </c>
      <c r="K856" s="16">
        <f>AVERAGE('Weekly Data'!E804,'Weekly Data'!E752,'Weekly Data'!E700,'Weekly Data'!E648)</f>
        <v>1756.25</v>
      </c>
      <c r="L856" s="16">
        <f>AVERAGE('Weekly Data'!F804,'Weekly Data'!F752,'Weekly Data'!F700,'Weekly Data'!F648)</f>
        <v>760.25</v>
      </c>
      <c r="M856" s="16">
        <f>AVERAGE('Weekly Data'!G804,'Weekly Data'!G752,'Weekly Data'!G700,'Weekly Data'!G648)</f>
        <v>4731.5</v>
      </c>
      <c r="N856" s="16">
        <f>AVERAGE('Weekly Data'!H804,'Weekly Data'!H752,'Weekly Data'!H700,'Weekly Data'!H648)</f>
        <v>451.25</v>
      </c>
      <c r="O856" s="101">
        <f>AVERAGE('Weekly Data'!I804,'Weekly Data'!I752,'Weekly Data'!I700,'Weekly Data'!I648)</f>
        <v>7839.75</v>
      </c>
      <c r="P856" s="203">
        <f>AVERAGE('Weekly Data'!J804,'Weekly Data'!J752,'Weekly Data'!J700,'Weekly Data'!J648)</f>
        <v>730.75552871461559</v>
      </c>
      <c r="Q856" s="39"/>
      <c r="R856" s="13">
        <f t="shared" si="42"/>
        <v>40282</v>
      </c>
      <c r="S856" s="106">
        <f t="shared" si="36"/>
        <v>981.1875</v>
      </c>
      <c r="T856" s="106">
        <f t="shared" si="37"/>
        <v>1725</v>
      </c>
      <c r="U856" s="109">
        <f t="shared" si="38"/>
        <v>902.25</v>
      </c>
      <c r="V856" s="109">
        <f t="shared" si="39"/>
        <v>4689.8125</v>
      </c>
      <c r="W856" s="110">
        <f t="shared" si="40"/>
        <v>580.6875</v>
      </c>
      <c r="X856" s="106">
        <f t="shared" si="41"/>
        <v>7976.6875</v>
      </c>
      <c r="Y856" s="204">
        <f t="shared" si="41"/>
        <v>1018.8579957825617</v>
      </c>
      <c r="Z856" s="39"/>
      <c r="AA856" s="39"/>
      <c r="AB856" s="39"/>
      <c r="AC856" s="39"/>
      <c r="AD856" s="39"/>
      <c r="AE856" s="39"/>
      <c r="AF856" s="39"/>
      <c r="AG856" s="39"/>
      <c r="AH856" s="65"/>
    </row>
    <row r="857" spans="1:34" x14ac:dyDescent="0.25">
      <c r="A857" s="105">
        <f t="shared" si="43"/>
        <v>40289</v>
      </c>
      <c r="B857" s="59">
        <f>SUM('Weekly Data'!D854:D857)/4</f>
        <v>151.5</v>
      </c>
      <c r="C857" s="90">
        <f>SUM('Weekly Data'!E854:E857)/4</f>
        <v>1378.5</v>
      </c>
      <c r="D857" s="90">
        <f>SUM('Weekly Data'!F854:F857)/4</f>
        <v>992.5</v>
      </c>
      <c r="E857" s="90">
        <f>SUM('Weekly Data'!G854:G857)/4</f>
        <v>3305</v>
      </c>
      <c r="F857" s="90">
        <f>SUM('Weekly Data'!H854:H857)/4</f>
        <v>507.75</v>
      </c>
      <c r="G857" s="90">
        <f>SUM('Weekly Data'!I854:I857)/4</f>
        <v>5342.75</v>
      </c>
      <c r="H857" s="202">
        <f>SUM('Weekly Data'!J854:J857)/4</f>
        <v>2139.1325988170802</v>
      </c>
      <c r="I857" s="39"/>
      <c r="J857" s="101">
        <f>AVERAGE('Weekly Data'!D805,'Weekly Data'!D753,'Weekly Data'!D701,'Weekly Data'!D649)</f>
        <v>762.25</v>
      </c>
      <c r="K857" s="16">
        <f>AVERAGE('Weekly Data'!E805,'Weekly Data'!E753,'Weekly Data'!E701,'Weekly Data'!E649)</f>
        <v>1502</v>
      </c>
      <c r="L857" s="16">
        <f>AVERAGE('Weekly Data'!F805,'Weekly Data'!F753,'Weekly Data'!F701,'Weekly Data'!F649)</f>
        <v>973</v>
      </c>
      <c r="M857" s="16">
        <f>AVERAGE('Weekly Data'!G805,'Weekly Data'!G753,'Weekly Data'!G701,'Weekly Data'!G649)</f>
        <v>4438.5</v>
      </c>
      <c r="N857" s="16">
        <f>AVERAGE('Weekly Data'!H805,'Weekly Data'!H753,'Weekly Data'!H701,'Weekly Data'!H649)</f>
        <v>395.75</v>
      </c>
      <c r="O857" s="101">
        <f>AVERAGE('Weekly Data'!I805,'Weekly Data'!I753,'Weekly Data'!I701,'Weekly Data'!I649)</f>
        <v>7098.5</v>
      </c>
      <c r="P857" s="203">
        <f>AVERAGE('Weekly Data'!J805,'Weekly Data'!J753,'Weekly Data'!J701,'Weekly Data'!J649)</f>
        <v>847.508423532238</v>
      </c>
      <c r="Q857" s="39"/>
      <c r="R857" s="13">
        <f t="shared" si="42"/>
        <v>40289</v>
      </c>
      <c r="S857" s="106">
        <f t="shared" si="36"/>
        <v>880.125</v>
      </c>
      <c r="T857" s="106">
        <f t="shared" si="37"/>
        <v>1654.5</v>
      </c>
      <c r="U857" s="109">
        <f t="shared" si="38"/>
        <v>885.5625</v>
      </c>
      <c r="V857" s="109">
        <f t="shared" si="39"/>
        <v>4515.3125</v>
      </c>
      <c r="W857" s="110">
        <f t="shared" si="40"/>
        <v>495</v>
      </c>
      <c r="X857" s="106">
        <f t="shared" si="41"/>
        <v>7544.9375</v>
      </c>
      <c r="Y857" s="204">
        <f t="shared" si="41"/>
        <v>980.85030880056581</v>
      </c>
      <c r="Z857" s="39"/>
      <c r="AA857" s="39"/>
      <c r="AB857" s="39"/>
      <c r="AC857" s="39"/>
      <c r="AD857" s="39"/>
      <c r="AE857" s="39"/>
      <c r="AF857" s="39"/>
      <c r="AG857" s="39"/>
      <c r="AH857" s="65"/>
    </row>
    <row r="858" spans="1:34" x14ac:dyDescent="0.25">
      <c r="A858" s="105">
        <f t="shared" si="43"/>
        <v>40296</v>
      </c>
      <c r="B858" s="59">
        <f>SUM('Weekly Data'!D855:D858)/4</f>
        <v>180</v>
      </c>
      <c r="C858" s="90">
        <f>SUM('Weekly Data'!E855:E858)/4</f>
        <v>1181.25</v>
      </c>
      <c r="D858" s="90">
        <f>SUM('Weekly Data'!F855:F858)/4</f>
        <v>1077.25</v>
      </c>
      <c r="E858" s="90">
        <f>SUM('Weekly Data'!G855:G858)/4</f>
        <v>3331</v>
      </c>
      <c r="F858" s="90">
        <f>SUM('Weekly Data'!H855:H858)/4</f>
        <v>448.5</v>
      </c>
      <c r="G858" s="90">
        <f>SUM('Weekly Data'!I855:I858)/4</f>
        <v>5140.75</v>
      </c>
      <c r="H858" s="202">
        <f>SUM('Weekly Data'!J855:J858)/4</f>
        <v>2215.6486620023084</v>
      </c>
      <c r="I858" s="39"/>
      <c r="J858" s="101">
        <f>AVERAGE('Weekly Data'!D806,'Weekly Data'!D754,'Weekly Data'!D702,'Weekly Data'!D650)</f>
        <v>650.25</v>
      </c>
      <c r="K858" s="16">
        <f>AVERAGE('Weekly Data'!E806,'Weekly Data'!E754,'Weekly Data'!E702,'Weekly Data'!E650)</f>
        <v>1659</v>
      </c>
      <c r="L858" s="16">
        <f>AVERAGE('Weekly Data'!F806,'Weekly Data'!F754,'Weekly Data'!F702,'Weekly Data'!F650)</f>
        <v>1116.5</v>
      </c>
      <c r="M858" s="16">
        <f>AVERAGE('Weekly Data'!G806,'Weekly Data'!G754,'Weekly Data'!G702,'Weekly Data'!G650)</f>
        <v>4362.75</v>
      </c>
      <c r="N858" s="16">
        <f>AVERAGE('Weekly Data'!H806,'Weekly Data'!H754,'Weekly Data'!H702,'Weekly Data'!H650)</f>
        <v>438</v>
      </c>
      <c r="O858" s="101">
        <f>AVERAGE('Weekly Data'!I806,'Weekly Data'!I754,'Weekly Data'!I702,'Weekly Data'!I650)</f>
        <v>7110</v>
      </c>
      <c r="P858" s="203">
        <f>AVERAGE('Weekly Data'!J806,'Weekly Data'!J754,'Weekly Data'!J702,'Weekly Data'!J650)</f>
        <v>1693.3369492973159</v>
      </c>
      <c r="Q858" s="39"/>
      <c r="R858" s="13">
        <f t="shared" si="42"/>
        <v>40296</v>
      </c>
      <c r="S858" s="106">
        <f t="shared" si="36"/>
        <v>841.0625</v>
      </c>
      <c r="T858" s="106">
        <f t="shared" si="37"/>
        <v>1623.3125</v>
      </c>
      <c r="U858" s="109">
        <f t="shared" si="38"/>
        <v>914.5</v>
      </c>
      <c r="V858" s="109">
        <f t="shared" si="39"/>
        <v>4517.4375</v>
      </c>
      <c r="W858" s="110">
        <f t="shared" si="40"/>
        <v>445.875</v>
      </c>
      <c r="X858" s="106">
        <f t="shared" si="41"/>
        <v>7427.6875</v>
      </c>
      <c r="Y858" s="204">
        <f t="shared" si="41"/>
        <v>1166.0590376299597</v>
      </c>
      <c r="Z858" s="39"/>
      <c r="AA858" s="39"/>
      <c r="AB858" s="39"/>
      <c r="AC858" s="39"/>
      <c r="AD858" s="39"/>
      <c r="AE858" s="39"/>
      <c r="AF858" s="39"/>
      <c r="AG858" s="39"/>
      <c r="AH858" s="65"/>
    </row>
    <row r="859" spans="1:34" x14ac:dyDescent="0.25">
      <c r="A859" s="105">
        <f t="shared" si="43"/>
        <v>40303</v>
      </c>
      <c r="B859" s="59">
        <f>SUM('Weekly Data'!D856:D859)/4</f>
        <v>156.75</v>
      </c>
      <c r="C859" s="90">
        <f>SUM('Weekly Data'!E856:E859)/4</f>
        <v>1074.75</v>
      </c>
      <c r="D859" s="90">
        <f>SUM('Weekly Data'!F856:F859)/4</f>
        <v>1082</v>
      </c>
      <c r="E859" s="90">
        <f>SUM('Weekly Data'!G856:G859)/4</f>
        <v>3324.25</v>
      </c>
      <c r="F859" s="90">
        <f>SUM('Weekly Data'!H856:H859)/4</f>
        <v>364.75</v>
      </c>
      <c r="G859" s="90">
        <f>SUM('Weekly Data'!I856:I859)/4</f>
        <v>4920.5</v>
      </c>
      <c r="H859" s="202">
        <f>SUM('Weekly Data'!J856:J859)/4</f>
        <v>2222.9464368147724</v>
      </c>
      <c r="I859" s="39"/>
      <c r="J859" s="101">
        <f>AVERAGE('Weekly Data'!D807,'Weekly Data'!D755,'Weekly Data'!D703,'Weekly Data'!D651)</f>
        <v>564.75</v>
      </c>
      <c r="K859" s="16">
        <f>AVERAGE('Weekly Data'!E807,'Weekly Data'!E755,'Weekly Data'!E703,'Weekly Data'!E651)</f>
        <v>1690</v>
      </c>
      <c r="L859" s="16">
        <f>AVERAGE('Weekly Data'!F807,'Weekly Data'!F755,'Weekly Data'!F703,'Weekly Data'!F651)</f>
        <v>714.75</v>
      </c>
      <c r="M859" s="16">
        <f>AVERAGE('Weekly Data'!G807,'Weekly Data'!G755,'Weekly Data'!G703,'Weekly Data'!G651)</f>
        <v>4244.25</v>
      </c>
      <c r="N859" s="16">
        <f>AVERAGE('Weekly Data'!H807,'Weekly Data'!H755,'Weekly Data'!H703,'Weekly Data'!H651)</f>
        <v>590.25</v>
      </c>
      <c r="O859" s="101">
        <f>AVERAGE('Weekly Data'!I807,'Weekly Data'!I755,'Weekly Data'!I703,'Weekly Data'!I651)</f>
        <v>7089.25</v>
      </c>
      <c r="P859" s="203">
        <f>AVERAGE('Weekly Data'!J807,'Weekly Data'!J755,'Weekly Data'!J703,'Weekly Data'!J651)</f>
        <v>973.50075606924077</v>
      </c>
      <c r="Q859" s="39"/>
      <c r="R859" s="13">
        <f t="shared" si="42"/>
        <v>40303</v>
      </c>
      <c r="S859" s="106">
        <f t="shared" si="36"/>
        <v>744.4375</v>
      </c>
      <c r="T859" s="106">
        <f t="shared" si="37"/>
        <v>1627.875</v>
      </c>
      <c r="U859" s="109">
        <f t="shared" si="38"/>
        <v>907.5</v>
      </c>
      <c r="V859" s="109">
        <f t="shared" si="39"/>
        <v>4466.4375</v>
      </c>
      <c r="W859" s="110">
        <f t="shared" si="40"/>
        <v>455.9375</v>
      </c>
      <c r="X859" s="106">
        <f t="shared" si="41"/>
        <v>7294.6875</v>
      </c>
      <c r="Y859" s="204">
        <f t="shared" si="41"/>
        <v>1061.2754144033527</v>
      </c>
      <c r="Z859" s="39"/>
      <c r="AA859" s="39"/>
      <c r="AB859" s="39"/>
      <c r="AC859" s="39"/>
      <c r="AD859" s="39"/>
      <c r="AE859" s="39"/>
      <c r="AF859" s="39"/>
      <c r="AG859" s="39"/>
      <c r="AH859" s="65"/>
    </row>
    <row r="860" spans="1:34" x14ac:dyDescent="0.25">
      <c r="A860" s="105">
        <f t="shared" si="43"/>
        <v>40310</v>
      </c>
      <c r="B860" s="59">
        <f>SUM('Weekly Data'!D857:D860)/4</f>
        <v>128.25</v>
      </c>
      <c r="C860" s="90">
        <f>SUM('Weekly Data'!E857:E860)/4</f>
        <v>1083.25</v>
      </c>
      <c r="D860" s="90">
        <f>SUM('Weekly Data'!F857:F860)/4</f>
        <v>1014.75</v>
      </c>
      <c r="E860" s="90">
        <f>SUM('Weekly Data'!G857:G860)/4</f>
        <v>3190.25</v>
      </c>
      <c r="F860" s="90">
        <f>SUM('Weekly Data'!H857:H860)/4</f>
        <v>356.25</v>
      </c>
      <c r="G860" s="90">
        <f>SUM('Weekly Data'!I857:I860)/4</f>
        <v>4758</v>
      </c>
      <c r="H860" s="202">
        <f>SUM('Weekly Data'!J857:J860)/4</f>
        <v>2241.743735574149</v>
      </c>
      <c r="I860" s="39"/>
      <c r="J860" s="101">
        <f>AVERAGE('Weekly Data'!D808,'Weekly Data'!D756,'Weekly Data'!D704,'Weekly Data'!D652)</f>
        <v>636.75</v>
      </c>
      <c r="K860" s="16">
        <f>AVERAGE('Weekly Data'!E808,'Weekly Data'!E756,'Weekly Data'!E704,'Weekly Data'!E652)</f>
        <v>1192.5</v>
      </c>
      <c r="L860" s="16">
        <f>AVERAGE('Weekly Data'!F808,'Weekly Data'!F756,'Weekly Data'!F704,'Weekly Data'!F652)</f>
        <v>1025.5</v>
      </c>
      <c r="M860" s="16">
        <f>AVERAGE('Weekly Data'!G808,'Weekly Data'!G756,'Weekly Data'!G704,'Weekly Data'!G652)</f>
        <v>3722.5</v>
      </c>
      <c r="N860" s="16">
        <f>AVERAGE('Weekly Data'!H808,'Weekly Data'!H756,'Weekly Data'!H704,'Weekly Data'!H652)</f>
        <v>334</v>
      </c>
      <c r="O860" s="101">
        <f>AVERAGE('Weekly Data'!I808,'Weekly Data'!I756,'Weekly Data'!I704,'Weekly Data'!I652)</f>
        <v>5885.75</v>
      </c>
      <c r="P860" s="203">
        <f>AVERAGE('Weekly Data'!J808,'Weekly Data'!J756,'Weekly Data'!J704,'Weekly Data'!J652)</f>
        <v>1049.0961555914423</v>
      </c>
      <c r="Q860" s="39"/>
      <c r="R860" s="13">
        <f t="shared" si="42"/>
        <v>40310</v>
      </c>
      <c r="S860" s="106">
        <f t="shared" si="36"/>
        <v>639.3125</v>
      </c>
      <c r="T860" s="106">
        <f t="shared" si="37"/>
        <v>1533.5</v>
      </c>
      <c r="U860" s="109">
        <f t="shared" si="38"/>
        <v>943.5625</v>
      </c>
      <c r="V860" s="109">
        <f t="shared" si="39"/>
        <v>4201.0625</v>
      </c>
      <c r="W860" s="110">
        <f t="shared" si="40"/>
        <v>429.5</v>
      </c>
      <c r="X860" s="106">
        <f t="shared" si="41"/>
        <v>6803.375</v>
      </c>
      <c r="Y860" s="204">
        <f t="shared" si="41"/>
        <v>1140.8605711225591</v>
      </c>
      <c r="Z860" s="39"/>
      <c r="AA860" s="39"/>
      <c r="AB860" s="39"/>
      <c r="AC860" s="39"/>
      <c r="AD860" s="39"/>
      <c r="AE860" s="39"/>
      <c r="AF860" s="39"/>
      <c r="AG860" s="39"/>
      <c r="AH860" s="65"/>
    </row>
    <row r="861" spans="1:34" x14ac:dyDescent="0.25">
      <c r="A861" s="105">
        <f t="shared" si="43"/>
        <v>40317</v>
      </c>
      <c r="B861" s="59">
        <f>SUM('Weekly Data'!D858:D861)/4</f>
        <v>152.75</v>
      </c>
      <c r="C861" s="90">
        <f>SUM('Weekly Data'!E858:E861)/4</f>
        <v>1060</v>
      </c>
      <c r="D861" s="90">
        <f>SUM('Weekly Data'!F858:F861)/4</f>
        <v>985</v>
      </c>
      <c r="E861" s="90">
        <f>SUM('Weekly Data'!G858:G861)/4</f>
        <v>3213.25</v>
      </c>
      <c r="F861" s="90">
        <f>SUM('Weekly Data'!H858:H861)/4</f>
        <v>274.5</v>
      </c>
      <c r="G861" s="90">
        <f>SUM('Weekly Data'!I858:I861)/4</f>
        <v>4700.5</v>
      </c>
      <c r="H861" s="202">
        <f>SUM('Weekly Data'!J858:J861)/4</f>
        <v>2232.8979479226773</v>
      </c>
      <c r="I861" s="39"/>
      <c r="J861" s="101">
        <f>AVERAGE('Weekly Data'!D809,'Weekly Data'!D757,'Weekly Data'!D705,'Weekly Data'!D653)</f>
        <v>501.75</v>
      </c>
      <c r="K861" s="16">
        <f>AVERAGE('Weekly Data'!E809,'Weekly Data'!E757,'Weekly Data'!E705,'Weekly Data'!E653)</f>
        <v>1327.75</v>
      </c>
      <c r="L861" s="16">
        <f>AVERAGE('Weekly Data'!F809,'Weekly Data'!F757,'Weekly Data'!F705,'Weekly Data'!F653)</f>
        <v>908.25</v>
      </c>
      <c r="M861" s="16">
        <f>AVERAGE('Weekly Data'!G809,'Weekly Data'!G757,'Weekly Data'!G705,'Weekly Data'!G653)</f>
        <v>3976.25</v>
      </c>
      <c r="N861" s="16">
        <f>AVERAGE('Weekly Data'!H809,'Weekly Data'!H757,'Weekly Data'!H705,'Weekly Data'!H653)</f>
        <v>330</v>
      </c>
      <c r="O861" s="101">
        <f>AVERAGE('Weekly Data'!I809,'Weekly Data'!I757,'Weekly Data'!I705,'Weekly Data'!I653)</f>
        <v>6135.75</v>
      </c>
      <c r="P861" s="203">
        <f>AVERAGE('Weekly Data'!J809,'Weekly Data'!J757,'Weekly Data'!J705,'Weekly Data'!J653)</f>
        <v>1656.3791984197953</v>
      </c>
      <c r="Q861" s="39"/>
      <c r="R861" s="13">
        <f t="shared" si="42"/>
        <v>40317</v>
      </c>
      <c r="S861" s="106">
        <f t="shared" si="36"/>
        <v>610</v>
      </c>
      <c r="T861" s="106">
        <f t="shared" si="37"/>
        <v>1507.875</v>
      </c>
      <c r="U861" s="109">
        <f t="shared" si="38"/>
        <v>948.0625</v>
      </c>
      <c r="V861" s="109">
        <f t="shared" si="39"/>
        <v>4048.6875</v>
      </c>
      <c r="W861" s="110">
        <f t="shared" si="40"/>
        <v>422.5625</v>
      </c>
      <c r="X861" s="106">
        <f t="shared" si="41"/>
        <v>6589.125</v>
      </c>
      <c r="Y861" s="204">
        <f t="shared" si="41"/>
        <v>1343.0782648444485</v>
      </c>
      <c r="Z861" s="39"/>
      <c r="AA861" s="39"/>
      <c r="AB861" s="39"/>
      <c r="AC861" s="39"/>
      <c r="AD861" s="39"/>
      <c r="AE861" s="39"/>
      <c r="AF861" s="39"/>
      <c r="AG861" s="39"/>
      <c r="AH861" s="65"/>
    </row>
    <row r="862" spans="1:34" x14ac:dyDescent="0.25">
      <c r="A862" s="105">
        <f t="shared" si="43"/>
        <v>40324</v>
      </c>
      <c r="B862" s="59">
        <f>SUM('Weekly Data'!D859:D862)/4</f>
        <v>153.5</v>
      </c>
      <c r="C862" s="90">
        <f>SUM('Weekly Data'!E859:E862)/4</f>
        <v>997.75</v>
      </c>
      <c r="D862" s="90">
        <f>SUM('Weekly Data'!F859:F862)/4</f>
        <v>1007</v>
      </c>
      <c r="E862" s="90">
        <f>SUM('Weekly Data'!G859:G862)/4</f>
        <v>3290.25</v>
      </c>
      <c r="F862" s="90">
        <f>SUM('Weekly Data'!H859:H862)/4</f>
        <v>241</v>
      </c>
      <c r="G862" s="90">
        <f>SUM('Weekly Data'!I859:I862)/4</f>
        <v>4682.5</v>
      </c>
      <c r="H862" s="202">
        <f>SUM('Weekly Data'!J859:J862)/4</f>
        <v>2111.2683677149453</v>
      </c>
      <c r="I862" s="39"/>
      <c r="J862" s="101">
        <f>AVERAGE('Weekly Data'!D810,'Weekly Data'!D758,'Weekly Data'!D706,'Weekly Data'!D654)</f>
        <v>592.75</v>
      </c>
      <c r="K862" s="16">
        <f>AVERAGE('Weekly Data'!E810,'Weekly Data'!E758,'Weekly Data'!E706,'Weekly Data'!E654)</f>
        <v>1145.75</v>
      </c>
      <c r="L862" s="16">
        <f>AVERAGE('Weekly Data'!F810,'Weekly Data'!F758,'Weekly Data'!F706,'Weekly Data'!F654)</f>
        <v>933.5</v>
      </c>
      <c r="M862" s="16">
        <f>AVERAGE('Weekly Data'!G810,'Weekly Data'!G758,'Weekly Data'!G706,'Weekly Data'!G654)</f>
        <v>3990.25</v>
      </c>
      <c r="N862" s="16">
        <f>AVERAGE('Weekly Data'!H810,'Weekly Data'!H758,'Weekly Data'!H706,'Weekly Data'!H654)</f>
        <v>320.25</v>
      </c>
      <c r="O862" s="101">
        <f>AVERAGE('Weekly Data'!I810,'Weekly Data'!I758,'Weekly Data'!I706,'Weekly Data'!I654)</f>
        <v>6049</v>
      </c>
      <c r="P862" s="203">
        <f>AVERAGE('Weekly Data'!J810,'Weekly Data'!J758,'Weekly Data'!J706,'Weekly Data'!J654)</f>
        <v>2149.429193081266</v>
      </c>
      <c r="Q862" s="39"/>
      <c r="R862" s="13">
        <f t="shared" si="42"/>
        <v>40324</v>
      </c>
      <c r="S862" s="106">
        <f t="shared" si="36"/>
        <v>555.625</v>
      </c>
      <c r="T862" s="106">
        <f t="shared" si="37"/>
        <v>1355</v>
      </c>
      <c r="U862" s="109">
        <f t="shared" si="38"/>
        <v>943.375</v>
      </c>
      <c r="V862" s="109">
        <f t="shared" si="39"/>
        <v>3932.6875</v>
      </c>
      <c r="W862" s="110">
        <f t="shared" si="40"/>
        <v>404</v>
      </c>
      <c r="X862" s="106">
        <f t="shared" si="41"/>
        <v>6247.3125</v>
      </c>
      <c r="Y862" s="204">
        <f t="shared" si="41"/>
        <v>1457.101325790436</v>
      </c>
      <c r="Z862" s="39"/>
      <c r="AA862" s="39"/>
      <c r="AB862" s="39"/>
      <c r="AC862" s="39"/>
      <c r="AD862" s="39"/>
      <c r="AE862" s="39"/>
      <c r="AF862" s="39"/>
      <c r="AG862" s="39"/>
      <c r="AH862" s="65"/>
    </row>
    <row r="863" spans="1:34" x14ac:dyDescent="0.25">
      <c r="A863" s="105">
        <f t="shared" si="43"/>
        <v>40331</v>
      </c>
      <c r="B863" s="59">
        <f>SUM('Weekly Data'!D860:D863)/4</f>
        <v>178.75</v>
      </c>
      <c r="C863" s="90">
        <f>SUM('Weekly Data'!E860:E863)/4</f>
        <v>879</v>
      </c>
      <c r="D863" s="90">
        <f>SUM('Weekly Data'!F860:F863)/4</f>
        <v>940</v>
      </c>
      <c r="E863" s="90">
        <f>SUM('Weekly Data'!G860:G863)/4</f>
        <v>3154.5</v>
      </c>
      <c r="F863" s="90">
        <f>SUM('Weekly Data'!H860:H863)/4</f>
        <v>231.25</v>
      </c>
      <c r="G863" s="90">
        <f>SUM('Weekly Data'!I860:I863)/4</f>
        <v>4443.5</v>
      </c>
      <c r="H863" s="202">
        <f>SUM('Weekly Data'!J860:J863)/4</f>
        <v>2117.2392743796886</v>
      </c>
      <c r="I863" s="39"/>
      <c r="J863" s="101">
        <f>AVERAGE('Weekly Data'!D811,'Weekly Data'!D759,'Weekly Data'!D707,'Weekly Data'!D655)</f>
        <v>593.5</v>
      </c>
      <c r="K863" s="16">
        <f>AVERAGE('Weekly Data'!E811,'Weekly Data'!E759,'Weekly Data'!E707,'Weekly Data'!E655)</f>
        <v>1455</v>
      </c>
      <c r="L863" s="16">
        <f>AVERAGE('Weekly Data'!F811,'Weekly Data'!F759,'Weekly Data'!F707,'Weekly Data'!F655)</f>
        <v>914.25</v>
      </c>
      <c r="M863" s="16">
        <f>AVERAGE('Weekly Data'!G811,'Weekly Data'!G759,'Weekly Data'!G707,'Weekly Data'!G655)</f>
        <v>3621.5</v>
      </c>
      <c r="N863" s="16">
        <f>AVERAGE('Weekly Data'!H811,'Weekly Data'!H759,'Weekly Data'!H707,'Weekly Data'!H655)</f>
        <v>237.75</v>
      </c>
      <c r="O863" s="101">
        <f>AVERAGE('Weekly Data'!I811,'Weekly Data'!I759,'Weekly Data'!I707,'Weekly Data'!I655)</f>
        <v>5907.75</v>
      </c>
      <c r="P863" s="203">
        <f>AVERAGE('Weekly Data'!J811,'Weekly Data'!J759,'Weekly Data'!J707,'Weekly Data'!J655)</f>
        <v>1309.4803095012478</v>
      </c>
      <c r="Q863" s="39"/>
      <c r="R863" s="13">
        <f t="shared" si="42"/>
        <v>40331</v>
      </c>
      <c r="S863" s="106">
        <f t="shared" si="36"/>
        <v>589.375</v>
      </c>
      <c r="T863" s="106">
        <f t="shared" si="37"/>
        <v>1327.5625</v>
      </c>
      <c r="U863" s="109">
        <f t="shared" si="38"/>
        <v>943.125</v>
      </c>
      <c r="V863" s="109">
        <f t="shared" si="39"/>
        <v>3781.625</v>
      </c>
      <c r="W863" s="110">
        <f t="shared" si="40"/>
        <v>321.75</v>
      </c>
      <c r="X863" s="106">
        <f t="shared" si="41"/>
        <v>6020.3125</v>
      </c>
      <c r="Y863" s="204">
        <f t="shared" si="41"/>
        <v>1541.0962141484379</v>
      </c>
      <c r="Z863" s="39"/>
      <c r="AA863" s="39"/>
      <c r="AB863" s="39"/>
      <c r="AC863" s="39"/>
      <c r="AD863" s="39"/>
      <c r="AE863" s="39"/>
      <c r="AF863" s="39"/>
      <c r="AG863" s="39"/>
      <c r="AH863" s="65"/>
    </row>
    <row r="864" spans="1:34" x14ac:dyDescent="0.25">
      <c r="A864" s="105">
        <f t="shared" si="43"/>
        <v>40338</v>
      </c>
      <c r="B864" s="59">
        <f>SUM('Weekly Data'!D861:D864)/4</f>
        <v>151.75</v>
      </c>
      <c r="C864" s="90">
        <f>SUM('Weekly Data'!E861:E864)/4</f>
        <v>896.25</v>
      </c>
      <c r="D864" s="90">
        <f>SUM('Weekly Data'!F861:F864)/4</f>
        <v>913.5</v>
      </c>
      <c r="E864" s="90">
        <f>SUM('Weekly Data'!G861:G864)/4</f>
        <v>3259.5</v>
      </c>
      <c r="F864" s="90">
        <f>SUM('Weekly Data'!H861:H864)/4</f>
        <v>162.75</v>
      </c>
      <c r="G864" s="90">
        <f>SUM('Weekly Data'!I861:I864)/4</f>
        <v>4470.25</v>
      </c>
      <c r="H864" s="202">
        <f>SUM('Weekly Data'!J861:J864)/4</f>
        <v>2212.5526363242934</v>
      </c>
      <c r="I864" s="39"/>
      <c r="J864" s="101">
        <f>AVERAGE('Weekly Data'!D812,'Weekly Data'!D760,'Weekly Data'!D708,'Weekly Data'!D656)</f>
        <v>386.75</v>
      </c>
      <c r="K864" s="16">
        <f>AVERAGE('Weekly Data'!E812,'Weekly Data'!E760,'Weekly Data'!E708,'Weekly Data'!E656)</f>
        <v>1963.75</v>
      </c>
      <c r="L864" s="16">
        <f>AVERAGE('Weekly Data'!F812,'Weekly Data'!F760,'Weekly Data'!F708,'Weekly Data'!F656)</f>
        <v>455</v>
      </c>
      <c r="M864" s="16">
        <f>AVERAGE('Weekly Data'!G812,'Weekly Data'!G760,'Weekly Data'!G708,'Weekly Data'!G656)</f>
        <v>3531.5</v>
      </c>
      <c r="N864" s="16">
        <f>AVERAGE('Weekly Data'!H812,'Weekly Data'!H760,'Weekly Data'!H708,'Weekly Data'!H656)</f>
        <v>310</v>
      </c>
      <c r="O864" s="101">
        <f>AVERAGE('Weekly Data'!I812,'Weekly Data'!I760,'Weekly Data'!I708,'Weekly Data'!I656)</f>
        <v>6192</v>
      </c>
      <c r="P864" s="203">
        <f>AVERAGE('Weekly Data'!J812,'Weekly Data'!J760,'Weekly Data'!J708,'Weekly Data'!J656)</f>
        <v>1838.648106156659</v>
      </c>
      <c r="Q864" s="39"/>
      <c r="R864" s="13">
        <f t="shared" si="42"/>
        <v>40338</v>
      </c>
      <c r="S864" s="106">
        <f t="shared" si="36"/>
        <v>504.75</v>
      </c>
      <c r="T864" s="106">
        <f t="shared" si="37"/>
        <v>1414.75</v>
      </c>
      <c r="U864" s="109">
        <f t="shared" si="38"/>
        <v>819.375</v>
      </c>
      <c r="V864" s="109">
        <f t="shared" si="39"/>
        <v>3815</v>
      </c>
      <c r="W864" s="110">
        <f t="shared" si="40"/>
        <v>303.75</v>
      </c>
      <c r="X864" s="106">
        <f t="shared" si="41"/>
        <v>6038.25</v>
      </c>
      <c r="Y864" s="204">
        <f t="shared" si="41"/>
        <v>1738.484201789742</v>
      </c>
      <c r="Z864" s="39"/>
      <c r="AA864" s="39"/>
      <c r="AB864" s="39"/>
      <c r="AC864" s="39"/>
      <c r="AD864" s="39"/>
      <c r="AE864" s="39"/>
      <c r="AF864" s="39"/>
      <c r="AG864" s="39"/>
      <c r="AH864" s="65"/>
    </row>
    <row r="865" spans="1:34" x14ac:dyDescent="0.25">
      <c r="A865" s="105">
        <f t="shared" si="43"/>
        <v>40345</v>
      </c>
      <c r="B865" s="59">
        <f>SUM('Weekly Data'!D862:D865)/4</f>
        <v>209.75</v>
      </c>
      <c r="C865" s="90">
        <f>SUM('Weekly Data'!E862:E865)/4</f>
        <v>846.5</v>
      </c>
      <c r="D865" s="90">
        <f>SUM('Weekly Data'!F862:F865)/4</f>
        <v>877.25</v>
      </c>
      <c r="E865" s="90">
        <f>SUM('Weekly Data'!G862:G865)/4</f>
        <v>3011.25</v>
      </c>
      <c r="F865" s="90">
        <f>SUM('Weekly Data'!H862:H865)/4</f>
        <v>156.75</v>
      </c>
      <c r="G865" s="90">
        <f>SUM('Weekly Data'!I862:I865)/4</f>
        <v>4224.25</v>
      </c>
      <c r="H865" s="202">
        <f>SUM('Weekly Data'!J862:J865)/4</f>
        <v>2238.205420513561</v>
      </c>
      <c r="I865" s="39"/>
      <c r="J865" s="101">
        <f>AVERAGE('Weekly Data'!D813,'Weekly Data'!D761,'Weekly Data'!D709,'Weekly Data'!D657)</f>
        <v>454.5</v>
      </c>
      <c r="K865" s="16">
        <f>AVERAGE('Weekly Data'!E813,'Weekly Data'!E761,'Weekly Data'!E709,'Weekly Data'!E657)</f>
        <v>1320.75</v>
      </c>
      <c r="L865" s="16">
        <f>AVERAGE('Weekly Data'!F813,'Weekly Data'!F761,'Weekly Data'!F709,'Weekly Data'!F657)</f>
        <v>716.5</v>
      </c>
      <c r="M865" s="16">
        <f>AVERAGE('Weekly Data'!G813,'Weekly Data'!G761,'Weekly Data'!G709,'Weekly Data'!G657)</f>
        <v>3546.5</v>
      </c>
      <c r="N865" s="16">
        <f>AVERAGE('Weekly Data'!H813,'Weekly Data'!H761,'Weekly Data'!H709,'Weekly Data'!H657)</f>
        <v>279.25</v>
      </c>
      <c r="O865" s="101">
        <f>AVERAGE('Weekly Data'!I813,'Weekly Data'!I761,'Weekly Data'!I709,'Weekly Data'!I657)</f>
        <v>5601</v>
      </c>
      <c r="P865" s="203">
        <f>AVERAGE('Weekly Data'!J813,'Weekly Data'!J761,'Weekly Data'!J709,'Weekly Data'!J657)</f>
        <v>1931.042483350461</v>
      </c>
      <c r="Q865" s="39"/>
      <c r="R865" s="13">
        <f t="shared" si="42"/>
        <v>40345</v>
      </c>
      <c r="S865" s="106">
        <f t="shared" si="36"/>
        <v>494.3125</v>
      </c>
      <c r="T865" s="106">
        <f t="shared" si="37"/>
        <v>1526.0625</v>
      </c>
      <c r="U865" s="109">
        <f t="shared" si="38"/>
        <v>776.375</v>
      </c>
      <c r="V865" s="109">
        <f t="shared" si="39"/>
        <v>3680.9375</v>
      </c>
      <c r="W865" s="110">
        <f t="shared" si="40"/>
        <v>293.625</v>
      </c>
      <c r="X865" s="106">
        <f t="shared" si="41"/>
        <v>5994.9375</v>
      </c>
      <c r="Y865" s="204">
        <f t="shared" si="41"/>
        <v>1807.1500230224085</v>
      </c>
      <c r="Z865" s="39"/>
      <c r="AA865" s="39"/>
      <c r="AB865" s="39"/>
      <c r="AC865" s="39"/>
      <c r="AD865" s="39"/>
      <c r="AE865" s="39"/>
      <c r="AF865" s="39"/>
      <c r="AG865" s="39"/>
      <c r="AH865" s="65"/>
    </row>
    <row r="866" spans="1:34" x14ac:dyDescent="0.25">
      <c r="A866" s="105">
        <f t="shared" si="43"/>
        <v>40352</v>
      </c>
      <c r="B866" s="59">
        <f>SUM('Weekly Data'!D863:D866)/4</f>
        <v>199</v>
      </c>
      <c r="C866" s="90">
        <f>SUM('Weekly Data'!E863:E866)/4</f>
        <v>915.75</v>
      </c>
      <c r="D866" s="90">
        <f>SUM('Weekly Data'!F863:F866)/4</f>
        <v>892.75</v>
      </c>
      <c r="E866" s="90">
        <f>SUM('Weekly Data'!G863:G866)/4</f>
        <v>2860.75</v>
      </c>
      <c r="F866" s="90">
        <f>SUM('Weekly Data'!H863:H866)/4</f>
        <v>132.5</v>
      </c>
      <c r="G866" s="90">
        <f>SUM('Weekly Data'!I863:I866)/4</f>
        <v>4108</v>
      </c>
      <c r="H866" s="202">
        <f>SUM('Weekly Data'!J863:J866)/4</f>
        <v>2094.4613711771499</v>
      </c>
      <c r="I866" s="39"/>
      <c r="J866" s="101">
        <f>AVERAGE('Weekly Data'!D814,'Weekly Data'!D762,'Weekly Data'!D710,'Weekly Data'!D658)</f>
        <v>634.25</v>
      </c>
      <c r="K866" s="16">
        <f>AVERAGE('Weekly Data'!E814,'Weekly Data'!E762,'Weekly Data'!E710,'Weekly Data'!E658)</f>
        <v>1712</v>
      </c>
      <c r="L866" s="16">
        <f>AVERAGE('Weekly Data'!F814,'Weekly Data'!F762,'Weekly Data'!F710,'Weekly Data'!F658)</f>
        <v>593.5</v>
      </c>
      <c r="M866" s="16">
        <f>AVERAGE('Weekly Data'!G814,'Weekly Data'!G762,'Weekly Data'!G710,'Weekly Data'!G658)</f>
        <v>4197.75</v>
      </c>
      <c r="N866" s="16">
        <f>AVERAGE('Weekly Data'!H814,'Weekly Data'!H762,'Weekly Data'!H710,'Weekly Data'!H658)</f>
        <v>241.75</v>
      </c>
      <c r="O866" s="101">
        <f>AVERAGE('Weekly Data'!I814,'Weekly Data'!I762,'Weekly Data'!I710,'Weekly Data'!I658)</f>
        <v>6785.75</v>
      </c>
      <c r="P866" s="203">
        <f>AVERAGE('Weekly Data'!J814,'Weekly Data'!J762,'Weekly Data'!J710,'Weekly Data'!J658)</f>
        <v>1102.8528841405634</v>
      </c>
      <c r="Q866" s="39"/>
      <c r="R866" s="13">
        <f t="shared" si="42"/>
        <v>40352</v>
      </c>
      <c r="S866" s="106">
        <f t="shared" si="36"/>
        <v>510.6875</v>
      </c>
      <c r="T866" s="106">
        <f t="shared" si="37"/>
        <v>1629.375</v>
      </c>
      <c r="U866" s="109">
        <f t="shared" si="38"/>
        <v>698.1875</v>
      </c>
      <c r="V866" s="109">
        <f t="shared" si="39"/>
        <v>3730.6875</v>
      </c>
      <c r="W866" s="110">
        <f t="shared" si="40"/>
        <v>278.4375</v>
      </c>
      <c r="X866" s="106">
        <f t="shared" si="41"/>
        <v>6149.1875</v>
      </c>
      <c r="Y866" s="204">
        <f t="shared" si="41"/>
        <v>1545.5059457872328</v>
      </c>
      <c r="Z866" s="39"/>
      <c r="AA866" s="39"/>
      <c r="AB866" s="39"/>
      <c r="AC866" s="39"/>
      <c r="AD866" s="39"/>
      <c r="AE866" s="39"/>
      <c r="AF866" s="39"/>
      <c r="AG866" s="39"/>
      <c r="AH866" s="65"/>
    </row>
    <row r="867" spans="1:34" x14ac:dyDescent="0.25">
      <c r="A867" s="105">
        <f t="shared" si="43"/>
        <v>40359</v>
      </c>
      <c r="B867" s="59">
        <f>SUM('Weekly Data'!D864:D867)/4</f>
        <v>200.5</v>
      </c>
      <c r="C867" s="90">
        <f>SUM('Weekly Data'!E864:E867)/4</f>
        <v>991.5</v>
      </c>
      <c r="D867" s="90">
        <f>SUM('Weekly Data'!F864:F867)/4</f>
        <v>941</v>
      </c>
      <c r="E867" s="90">
        <f>SUM('Weekly Data'!G864:G867)/4</f>
        <v>2830</v>
      </c>
      <c r="F867" s="90">
        <f>SUM('Weekly Data'!H864:H867)/4</f>
        <v>115.75</v>
      </c>
      <c r="G867" s="90">
        <f>SUM('Weekly Data'!I864:I867)/4</f>
        <v>4137.75</v>
      </c>
      <c r="H867" s="202">
        <f>SUM('Weekly Data'!J864:J867)/4</f>
        <v>2150.4109780727063</v>
      </c>
      <c r="I867" s="39"/>
      <c r="J867" s="101">
        <f>AVERAGE('Weekly Data'!D815,'Weekly Data'!D763,'Weekly Data'!D711,'Weekly Data'!D659)</f>
        <v>773.25</v>
      </c>
      <c r="K867" s="16">
        <f>AVERAGE('Weekly Data'!E815,'Weekly Data'!E763,'Weekly Data'!E711,'Weekly Data'!E659)</f>
        <v>1413.75</v>
      </c>
      <c r="L867" s="16">
        <f>AVERAGE('Weekly Data'!F815,'Weekly Data'!F763,'Weekly Data'!F711,'Weekly Data'!F659)</f>
        <v>642.75</v>
      </c>
      <c r="M867" s="16">
        <f>AVERAGE('Weekly Data'!G815,'Weekly Data'!G763,'Weekly Data'!G711,'Weekly Data'!G659)</f>
        <v>3350.25</v>
      </c>
      <c r="N867" s="16">
        <f>AVERAGE('Weekly Data'!H815,'Weekly Data'!H763,'Weekly Data'!H711,'Weekly Data'!H659)</f>
        <v>353</v>
      </c>
      <c r="O867" s="101">
        <f>AVERAGE('Weekly Data'!I815,'Weekly Data'!I763,'Weekly Data'!I711,'Weekly Data'!I659)</f>
        <v>5890.25</v>
      </c>
      <c r="P867" s="203">
        <f>AVERAGE('Weekly Data'!J815,'Weekly Data'!J763,'Weekly Data'!J711,'Weekly Data'!J659)</f>
        <v>1679.0578182764557</v>
      </c>
      <c r="Q867" s="39"/>
      <c r="R867" s="13">
        <f t="shared" si="42"/>
        <v>40359</v>
      </c>
      <c r="S867" s="106">
        <f t="shared" si="36"/>
        <v>530</v>
      </c>
      <c r="T867" s="106">
        <f t="shared" si="37"/>
        <v>1595.6875</v>
      </c>
      <c r="U867" s="109">
        <f t="shared" si="38"/>
        <v>625.375</v>
      </c>
      <c r="V867" s="109">
        <f t="shared" si="39"/>
        <v>3727.125</v>
      </c>
      <c r="W867" s="110">
        <f t="shared" si="40"/>
        <v>282.875</v>
      </c>
      <c r="X867" s="106">
        <f t="shared" si="41"/>
        <v>6135.6875</v>
      </c>
      <c r="Y867" s="204">
        <f t="shared" si="41"/>
        <v>1637.9003229810348</v>
      </c>
      <c r="Z867" s="39"/>
      <c r="AA867" s="39"/>
      <c r="AB867" s="39"/>
      <c r="AC867" s="39"/>
      <c r="AD867" s="39"/>
      <c r="AE867" s="39"/>
      <c r="AF867" s="39"/>
      <c r="AG867" s="39"/>
      <c r="AH867" s="65"/>
    </row>
    <row r="868" spans="1:34" x14ac:dyDescent="0.25">
      <c r="A868" s="105">
        <f t="shared" si="43"/>
        <v>40366</v>
      </c>
      <c r="B868" s="59">
        <f>SUM('Weekly Data'!D865:D868)/4</f>
        <v>201.75</v>
      </c>
      <c r="C868" s="90">
        <f>SUM('Weekly Data'!E865:E868)/4</f>
        <v>1095</v>
      </c>
      <c r="D868" s="90">
        <f>SUM('Weekly Data'!F865:F868)/4</f>
        <v>807</v>
      </c>
      <c r="E868" s="90">
        <f>SUM('Weekly Data'!G865:G868)/4</f>
        <v>2678.5</v>
      </c>
      <c r="F868" s="90">
        <f>SUM('Weekly Data'!H865:H868)/4</f>
        <v>105</v>
      </c>
      <c r="G868" s="90">
        <f>SUM('Weekly Data'!I865:I868)/4</f>
        <v>4080.25</v>
      </c>
      <c r="H868" s="202">
        <f>SUM('Weekly Data'!J865:J868)/4</f>
        <v>1880.3933100115407</v>
      </c>
      <c r="I868" s="85"/>
      <c r="J868" s="101">
        <f>AVERAGE('Weekly Data'!D816,'Weekly Data'!D764,'Weekly Data'!D712,'Weekly Data'!D660)</f>
        <v>786.5</v>
      </c>
      <c r="K868" s="16">
        <f>AVERAGE('Weekly Data'!E816,'Weekly Data'!E764,'Weekly Data'!E712,'Weekly Data'!E660)</f>
        <v>1996.5</v>
      </c>
      <c r="L868" s="16">
        <f>AVERAGE('Weekly Data'!F816,'Weekly Data'!F764,'Weekly Data'!F712,'Weekly Data'!F660)</f>
        <v>869.5</v>
      </c>
      <c r="M868" s="16">
        <f>AVERAGE('Weekly Data'!G816,'Weekly Data'!G764,'Weekly Data'!G712,'Weekly Data'!G660)</f>
        <v>3712</v>
      </c>
      <c r="N868" s="16">
        <f>AVERAGE('Weekly Data'!H816,'Weekly Data'!H764,'Weekly Data'!H712,'Weekly Data'!H660)</f>
        <v>353.5</v>
      </c>
      <c r="O868" s="101">
        <f>AVERAGE('Weekly Data'!I816,'Weekly Data'!I764,'Weekly Data'!I712,'Weekly Data'!I660)</f>
        <v>6848.5</v>
      </c>
      <c r="P868" s="203">
        <f>AVERAGE('Weekly Data'!J816,'Weekly Data'!J764,'Weekly Data'!J712,'Weekly Data'!J660)</f>
        <v>1455.631415244171</v>
      </c>
      <c r="Q868" s="39"/>
      <c r="R868" s="13">
        <f t="shared" si="42"/>
        <v>40366</v>
      </c>
      <c r="S868" s="106">
        <f t="shared" si="36"/>
        <v>630.1875</v>
      </c>
      <c r="T868" s="106">
        <f t="shared" si="37"/>
        <v>1671.5</v>
      </c>
      <c r="U868" s="109">
        <f t="shared" si="38"/>
        <v>674.4375</v>
      </c>
      <c r="V868" s="109">
        <f t="shared" si="39"/>
        <v>3631.25</v>
      </c>
      <c r="W868" s="110">
        <f t="shared" si="40"/>
        <v>300.375</v>
      </c>
      <c r="X868" s="106">
        <f t="shared" si="41"/>
        <v>6233.3125</v>
      </c>
      <c r="Y868" s="204">
        <f t="shared" si="41"/>
        <v>1542.1461502529128</v>
      </c>
      <c r="Z868" s="39"/>
      <c r="AA868" s="39"/>
      <c r="AB868" s="39"/>
      <c r="AC868" s="39"/>
      <c r="AD868" s="39"/>
      <c r="AE868" s="39"/>
      <c r="AF868" s="39"/>
      <c r="AG868" s="39"/>
      <c r="AH868" s="65"/>
    </row>
    <row r="869" spans="1:34" x14ac:dyDescent="0.25">
      <c r="A869" s="105">
        <f t="shared" si="43"/>
        <v>40373</v>
      </c>
      <c r="B869" s="59">
        <f>SUM('Weekly Data'!D866:D869)/4</f>
        <v>120.5</v>
      </c>
      <c r="C869" s="90">
        <f>SUM('Weekly Data'!E866:E869)/4</f>
        <v>1231.25</v>
      </c>
      <c r="D869" s="90">
        <f>SUM('Weekly Data'!F866:F869)/4</f>
        <v>912.5</v>
      </c>
      <c r="E869" s="90">
        <f>SUM('Weekly Data'!G866:G869)/4</f>
        <v>3015.25</v>
      </c>
      <c r="F869" s="90">
        <f>SUM('Weekly Data'!H866:H869)/4</f>
        <v>127.75</v>
      </c>
      <c r="G869" s="90">
        <f>SUM('Weekly Data'!I866:I869)/4</f>
        <v>4494.75</v>
      </c>
      <c r="H869" s="202">
        <f>SUM('Weekly Data'!J866:J869)/4</f>
        <v>1647.7490947778419</v>
      </c>
      <c r="I869" s="39"/>
      <c r="J869" s="101">
        <f>AVERAGE('Weekly Data'!D817,'Weekly Data'!D765,'Weekly Data'!D713,'Weekly Data'!D661)</f>
        <v>939.25</v>
      </c>
      <c r="K869" s="16">
        <f>AVERAGE('Weekly Data'!E817,'Weekly Data'!E765,'Weekly Data'!E713,'Weekly Data'!E661)</f>
        <v>1738</v>
      </c>
      <c r="L869" s="16">
        <f>AVERAGE('Weekly Data'!F817,'Weekly Data'!F765,'Weekly Data'!F713,'Weekly Data'!F661)</f>
        <v>467</v>
      </c>
      <c r="M869" s="16">
        <f>AVERAGE('Weekly Data'!G817,'Weekly Data'!G765,'Weekly Data'!G713,'Weekly Data'!G661)</f>
        <v>3717.25</v>
      </c>
      <c r="N869" s="16">
        <f>AVERAGE('Weekly Data'!H817,'Weekly Data'!H765,'Weekly Data'!H713,'Weekly Data'!H661)</f>
        <v>463.75</v>
      </c>
      <c r="O869" s="101">
        <f>AVERAGE('Weekly Data'!I817,'Weekly Data'!I765,'Weekly Data'!I713,'Weekly Data'!I661)</f>
        <v>6858.25</v>
      </c>
      <c r="P869" s="203">
        <f>AVERAGE('Weekly Data'!J817,'Weekly Data'!J765,'Weekly Data'!J713,'Weekly Data'!J661)</f>
        <v>1044.8964111735422</v>
      </c>
      <c r="Q869" s="39"/>
      <c r="R869" s="13">
        <f t="shared" si="42"/>
        <v>40373</v>
      </c>
      <c r="S869" s="106">
        <f t="shared" si="36"/>
        <v>741</v>
      </c>
      <c r="T869" s="106">
        <f t="shared" si="37"/>
        <v>1710.9375</v>
      </c>
      <c r="U869" s="109">
        <f t="shared" si="38"/>
        <v>635</v>
      </c>
      <c r="V869" s="109">
        <f t="shared" si="39"/>
        <v>3776.375</v>
      </c>
      <c r="W869" s="110">
        <f t="shared" si="40"/>
        <v>347.0625</v>
      </c>
      <c r="X869" s="106">
        <f t="shared" si="41"/>
        <v>6575.375</v>
      </c>
      <c r="Y869" s="204">
        <f t="shared" si="41"/>
        <v>1320.609632208683</v>
      </c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 spans="1:34" x14ac:dyDescent="0.25">
      <c r="A870" s="105">
        <f t="shared" si="43"/>
        <v>40380</v>
      </c>
      <c r="B870" s="59">
        <f>SUM('Weekly Data'!D867:D870)/4</f>
        <v>138.75</v>
      </c>
      <c r="C870" s="90">
        <f>SUM('Weekly Data'!E867:E870)/4</f>
        <v>1228.25</v>
      </c>
      <c r="D870" s="90">
        <f>SUM('Weekly Data'!F867:F870)/4</f>
        <v>704.5</v>
      </c>
      <c r="E870" s="90">
        <f>SUM('Weekly Data'!G867:G870)/4</f>
        <v>3440.5</v>
      </c>
      <c r="F870" s="90">
        <f>SUM('Weekly Data'!H867:H870)/4</f>
        <v>166.25</v>
      </c>
      <c r="G870" s="90">
        <f>SUM('Weekly Data'!I867:I870)/4</f>
        <v>4973.75</v>
      </c>
      <c r="H870" s="202">
        <f>SUM('Weekly Data'!J867:J870)/4</f>
        <v>1555.3106138199655</v>
      </c>
      <c r="I870" s="85"/>
      <c r="J870" s="101">
        <f>AVERAGE('Weekly Data'!D818,'Weekly Data'!D766,'Weekly Data'!D714,'Weekly Data'!D662)</f>
        <v>1123.5</v>
      </c>
      <c r="K870" s="16">
        <f>AVERAGE('Weekly Data'!E818,'Weekly Data'!E766,'Weekly Data'!E714,'Weekly Data'!E662)</f>
        <v>1619.25</v>
      </c>
      <c r="L870" s="16">
        <f>AVERAGE('Weekly Data'!F818,'Weekly Data'!F766,'Weekly Data'!F714,'Weekly Data'!F662)</f>
        <v>700</v>
      </c>
      <c r="M870" s="16">
        <f>AVERAGE('Weekly Data'!G818,'Weekly Data'!G766,'Weekly Data'!G714,'Weekly Data'!G662)</f>
        <v>3843.75</v>
      </c>
      <c r="N870" s="16">
        <f>AVERAGE('Weekly Data'!H818,'Weekly Data'!H766,'Weekly Data'!H714,'Weekly Data'!H662)</f>
        <v>359.5</v>
      </c>
      <c r="O870" s="101">
        <f>AVERAGE('Weekly Data'!I818,'Weekly Data'!I766,'Weekly Data'!I714,'Weekly Data'!I662)</f>
        <v>6946</v>
      </c>
      <c r="P870" s="203">
        <f>AVERAGE('Weekly Data'!J818,'Weekly Data'!J766,'Weekly Data'!J714,'Weekly Data'!J662)</f>
        <v>1500.1487060739119</v>
      </c>
      <c r="Q870" s="39"/>
      <c r="R870" s="13">
        <f t="shared" si="42"/>
        <v>40380</v>
      </c>
      <c r="S870" s="106">
        <f t="shared" si="36"/>
        <v>869.875</v>
      </c>
      <c r="T870" s="106">
        <f t="shared" si="37"/>
        <v>1726.625</v>
      </c>
      <c r="U870" s="109">
        <f t="shared" si="38"/>
        <v>670.0625</v>
      </c>
      <c r="V870" s="109">
        <f t="shared" si="39"/>
        <v>3691.25</v>
      </c>
      <c r="W870" s="110">
        <f t="shared" si="40"/>
        <v>370.6875</v>
      </c>
      <c r="X870" s="106">
        <f t="shared" si="41"/>
        <v>6658.4375</v>
      </c>
      <c r="Y870" s="204">
        <f t="shared" si="41"/>
        <v>1419.9335876920202</v>
      </c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 spans="1:34" x14ac:dyDescent="0.25">
      <c r="A871" s="105">
        <f t="shared" si="43"/>
        <v>40387</v>
      </c>
      <c r="B871" s="59">
        <f>SUM('Weekly Data'!D868:D871)/4</f>
        <v>195.75</v>
      </c>
      <c r="C871" s="90">
        <f>SUM('Weekly Data'!E868:E871)/4</f>
        <v>1414</v>
      </c>
      <c r="D871" s="90">
        <f>SUM('Weekly Data'!F868:F871)/4</f>
        <v>885.25</v>
      </c>
      <c r="E871" s="90">
        <f>SUM('Weekly Data'!G868:G871)/4</f>
        <v>3693</v>
      </c>
      <c r="F871" s="90">
        <f>SUM('Weekly Data'!H868:H871)/4</f>
        <v>135</v>
      </c>
      <c r="G871" s="90">
        <f>SUM('Weekly Data'!I868:I871)/4</f>
        <v>5437.75</v>
      </c>
      <c r="H871" s="202">
        <f>SUM('Weekly Data'!J868:J871)/4</f>
        <v>1388.1252272071554</v>
      </c>
      <c r="I871" s="39"/>
      <c r="J871" s="101">
        <f>AVERAGE('Weekly Data'!D819,'Weekly Data'!D767,'Weekly Data'!D715,'Weekly Data'!D663)</f>
        <v>888</v>
      </c>
      <c r="K871" s="16">
        <f>AVERAGE('Weekly Data'!E819,'Weekly Data'!E767,'Weekly Data'!E715,'Weekly Data'!E663)</f>
        <v>1782.5</v>
      </c>
      <c r="L871" s="16">
        <f>AVERAGE('Weekly Data'!F819,'Weekly Data'!F767,'Weekly Data'!F715,'Weekly Data'!F663)</f>
        <v>421</v>
      </c>
      <c r="M871" s="16">
        <f>AVERAGE('Weekly Data'!G819,'Weekly Data'!G767,'Weekly Data'!G715,'Weekly Data'!G663)</f>
        <v>4099.75</v>
      </c>
      <c r="N871" s="16">
        <f>AVERAGE('Weekly Data'!H819,'Weekly Data'!H767,'Weekly Data'!H715,'Weekly Data'!H663)</f>
        <v>197.25</v>
      </c>
      <c r="O871" s="101">
        <f>AVERAGE('Weekly Data'!I819,'Weekly Data'!I767,'Weekly Data'!I715,'Weekly Data'!I663)</f>
        <v>6967.5</v>
      </c>
      <c r="P871" s="203">
        <f>AVERAGE('Weekly Data'!J819,'Weekly Data'!J767,'Weekly Data'!J715,'Weekly Data'!J663)</f>
        <v>1540.4662524857526</v>
      </c>
      <c r="Q871" s="39"/>
      <c r="R871" s="13">
        <f t="shared" si="42"/>
        <v>40387</v>
      </c>
      <c r="S871" s="106">
        <f t="shared" si="36"/>
        <v>916.4375</v>
      </c>
      <c r="T871" s="106">
        <f t="shared" si="37"/>
        <v>1804.375</v>
      </c>
      <c r="U871" s="109">
        <f t="shared" si="38"/>
        <v>622.5</v>
      </c>
      <c r="V871" s="109">
        <f t="shared" si="39"/>
        <v>3731.75</v>
      </c>
      <c r="W871" s="110">
        <f t="shared" si="40"/>
        <v>341.625</v>
      </c>
      <c r="X871" s="106">
        <f t="shared" si="41"/>
        <v>6794.1875</v>
      </c>
      <c r="Y871" s="204">
        <f t="shared" si="41"/>
        <v>1385.2856962443443</v>
      </c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 spans="1:34" x14ac:dyDescent="0.25">
      <c r="A872" s="105">
        <f t="shared" si="43"/>
        <v>40394</v>
      </c>
      <c r="B872" s="59">
        <f>SUM('Weekly Data'!D869:D872)/4</f>
        <v>219.75</v>
      </c>
      <c r="C872" s="90">
        <f>SUM('Weekly Data'!E869:E872)/4</f>
        <v>1377.5</v>
      </c>
      <c r="D872" s="90">
        <f>SUM('Weekly Data'!F869:F872)/4</f>
        <v>892</v>
      </c>
      <c r="E872" s="90">
        <f>SUM('Weekly Data'!G869:G872)/4</f>
        <v>3869</v>
      </c>
      <c r="F872" s="90">
        <f>SUM('Weekly Data'!H869:H872)/4</f>
        <v>136.5</v>
      </c>
      <c r="G872" s="90">
        <f>SUM('Weekly Data'!I869:I872)/4</f>
        <v>5602.75</v>
      </c>
      <c r="H872" s="202">
        <f>SUM('Weekly Data'!J869:J872)/4</f>
        <v>1649.0759629255629</v>
      </c>
      <c r="I872" s="39"/>
      <c r="J872" s="101">
        <f>AVERAGE('Weekly Data'!D820,'Weekly Data'!D768,'Weekly Data'!D716,'Weekly Data'!D664)</f>
        <v>1036.75</v>
      </c>
      <c r="K872" s="16">
        <f>AVERAGE('Weekly Data'!E820,'Weekly Data'!E768,'Weekly Data'!E716,'Weekly Data'!E664)</f>
        <v>1822.5</v>
      </c>
      <c r="L872" s="16">
        <f>AVERAGE('Weekly Data'!F820,'Weekly Data'!F768,'Weekly Data'!F716,'Weekly Data'!F664)</f>
        <v>705.5</v>
      </c>
      <c r="M872" s="16">
        <f>AVERAGE('Weekly Data'!G820,'Weekly Data'!G768,'Weekly Data'!G716,'Weekly Data'!G664)</f>
        <v>3521.5</v>
      </c>
      <c r="N872" s="16">
        <f>AVERAGE('Weekly Data'!H820,'Weekly Data'!H768,'Weekly Data'!H716,'Weekly Data'!H664)</f>
        <v>352.75</v>
      </c>
      <c r="O872" s="101">
        <f>AVERAGE('Weekly Data'!I820,'Weekly Data'!I768,'Weekly Data'!I716,'Weekly Data'!I664)</f>
        <v>6733.5</v>
      </c>
      <c r="P872" s="203">
        <f>AVERAGE('Weekly Data'!J820,'Weekly Data'!J768,'Weekly Data'!J716,'Weekly Data'!J664)</f>
        <v>1430.4329487367704</v>
      </c>
      <c r="Q872" s="39"/>
      <c r="R872" s="13">
        <f t="shared" si="42"/>
        <v>40394</v>
      </c>
      <c r="S872" s="106">
        <f t="shared" ref="S872:S893" si="44">AVERAGE(B820,B768,B716,B663)</f>
        <v>935.4375</v>
      </c>
      <c r="T872" s="106">
        <f t="shared" ref="T872:T893" si="45">AVERAGE(C820,C768,C716,C663)</f>
        <v>1762.8125</v>
      </c>
      <c r="U872" s="109">
        <f t="shared" ref="U872:U893" si="46">AVERAGE(D820,D768,D716,D663)</f>
        <v>615.9375</v>
      </c>
      <c r="V872" s="109">
        <f t="shared" ref="V872:V893" si="47">AVERAGE(E820,E768,E716,E663)</f>
        <v>3828.6875</v>
      </c>
      <c r="W872" s="110">
        <f t="shared" ref="W872:W893" si="48">AVERAGE(F820,F768,F716,F663)</f>
        <v>330</v>
      </c>
      <c r="X872" s="106">
        <f t="shared" ref="X872:Y893" si="49">AVERAGE(G820,G768,G716,G663)</f>
        <v>6856.9375</v>
      </c>
      <c r="Y872" s="204">
        <f t="shared" si="49"/>
        <v>1378.9860796174944</v>
      </c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 spans="1:34" x14ac:dyDescent="0.25">
      <c r="A873" s="105">
        <f t="shared" si="43"/>
        <v>40401</v>
      </c>
      <c r="B873" s="59">
        <f>SUM('Weekly Data'!D870:D873)/4</f>
        <v>259</v>
      </c>
      <c r="C873" s="90">
        <f>SUM('Weekly Data'!E870:E873)/4</f>
        <v>1384.25</v>
      </c>
      <c r="D873" s="90">
        <f>SUM('Weekly Data'!F870:F873)/4</f>
        <v>790.75</v>
      </c>
      <c r="E873" s="90">
        <f>SUM('Weekly Data'!G870:G873)/4</f>
        <v>3797</v>
      </c>
      <c r="F873" s="90">
        <f>SUM('Weekly Data'!H870:H873)/4</f>
        <v>104.25</v>
      </c>
      <c r="G873" s="90">
        <f>SUM('Weekly Data'!I870:I873)/4</f>
        <v>5544.5</v>
      </c>
      <c r="H873" s="202">
        <f>SUM('Weekly Data'!J870:J873)/4</f>
        <v>1614.5773910848243</v>
      </c>
      <c r="I873" s="39"/>
      <c r="J873" s="101">
        <f>AVERAGE('Weekly Data'!D821,'Weekly Data'!D769,'Weekly Data'!D717,'Weekly Data'!D665)</f>
        <v>1043</v>
      </c>
      <c r="K873" s="16">
        <f>AVERAGE('Weekly Data'!E821,'Weekly Data'!E769,'Weekly Data'!E717,'Weekly Data'!E665)</f>
        <v>2276</v>
      </c>
      <c r="L873" s="16">
        <f>AVERAGE('Weekly Data'!F821,'Weekly Data'!F769,'Weekly Data'!F717,'Weekly Data'!F665)</f>
        <v>630.75</v>
      </c>
      <c r="M873" s="16">
        <f>AVERAGE('Weekly Data'!G821,'Weekly Data'!G769,'Weekly Data'!G717,'Weekly Data'!G665)</f>
        <v>3891</v>
      </c>
      <c r="N873" s="16">
        <f>AVERAGE('Weekly Data'!H821,'Weekly Data'!H769,'Weekly Data'!H717,'Weekly Data'!H665)</f>
        <v>326</v>
      </c>
      <c r="O873" s="101">
        <f>AVERAGE('Weekly Data'!I821,'Weekly Data'!I769,'Weekly Data'!I717,'Weekly Data'!I665)</f>
        <v>7536</v>
      </c>
      <c r="P873" s="203">
        <f>AVERAGE('Weekly Data'!J821,'Weekly Data'!J769,'Weekly Data'!J717,'Weekly Data'!J665)</f>
        <v>1090.2536508868632</v>
      </c>
      <c r="Q873" s="39"/>
      <c r="R873" s="13">
        <f t="shared" si="42"/>
        <v>40401</v>
      </c>
      <c r="S873" s="106">
        <f t="shared" si="44"/>
        <v>1023.75</v>
      </c>
      <c r="T873" s="106">
        <f t="shared" si="45"/>
        <v>1829.1875</v>
      </c>
      <c r="U873" s="109">
        <f t="shared" si="46"/>
        <v>608.25</v>
      </c>
      <c r="V873" s="109">
        <f t="shared" si="47"/>
        <v>3824.8125</v>
      </c>
      <c r="W873" s="110">
        <f t="shared" si="48"/>
        <v>300.4375</v>
      </c>
      <c r="X873" s="106">
        <f t="shared" si="49"/>
        <v>6978.1875</v>
      </c>
      <c r="Y873" s="204">
        <f t="shared" si="49"/>
        <v>1390.3253895458247</v>
      </c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 spans="1:34" x14ac:dyDescent="0.25">
      <c r="A874" s="105">
        <f t="shared" si="43"/>
        <v>40408</v>
      </c>
      <c r="B874" s="59">
        <f>SUM('Weekly Data'!D871:D874)/4</f>
        <v>299.5</v>
      </c>
      <c r="C874" s="90">
        <f>SUM('Weekly Data'!E871:E874)/4</f>
        <v>1524.5</v>
      </c>
      <c r="D874" s="90">
        <f>SUM('Weekly Data'!F871:F874)/4</f>
        <v>885</v>
      </c>
      <c r="E874" s="90">
        <f>SUM('Weekly Data'!G871:G874)/4</f>
        <v>3441</v>
      </c>
      <c r="F874" s="90">
        <f>SUM('Weekly Data'!H871:H874)/4</f>
        <v>100.25</v>
      </c>
      <c r="G874" s="90">
        <f>SUM('Weekly Data'!I871:I874)/4</f>
        <v>5365.25</v>
      </c>
      <c r="H874" s="202">
        <f>SUM('Weekly Data'!J871:J874)/4</f>
        <v>1620.7694424408542</v>
      </c>
      <c r="I874" s="39"/>
      <c r="J874" s="101">
        <f>AVERAGE('Weekly Data'!D822,'Weekly Data'!D770,'Weekly Data'!D718,'Weekly Data'!D666)</f>
        <v>1064.5</v>
      </c>
      <c r="K874" s="16">
        <f>AVERAGE('Weekly Data'!E822,'Weekly Data'!E770,'Weekly Data'!E718,'Weekly Data'!E666)</f>
        <v>2240.25</v>
      </c>
      <c r="L874" s="16">
        <f>AVERAGE('Weekly Data'!F822,'Weekly Data'!F770,'Weekly Data'!F718,'Weekly Data'!F666)</f>
        <v>785.5</v>
      </c>
      <c r="M874" s="16">
        <f>AVERAGE('Weekly Data'!G822,'Weekly Data'!G770,'Weekly Data'!G718,'Weekly Data'!G666)</f>
        <v>3651</v>
      </c>
      <c r="N874" s="16">
        <f>AVERAGE('Weekly Data'!H822,'Weekly Data'!H770,'Weekly Data'!H718,'Weekly Data'!H666)</f>
        <v>265</v>
      </c>
      <c r="O874" s="101">
        <f>AVERAGE('Weekly Data'!I822,'Weekly Data'!I770,'Weekly Data'!I718,'Weekly Data'!I666)</f>
        <v>7220.75</v>
      </c>
      <c r="P874" s="203">
        <f>AVERAGE('Weekly Data'!J822,'Weekly Data'!J770,'Weekly Data'!J718,'Weekly Data'!J666)</f>
        <v>1390.9553512085095</v>
      </c>
      <c r="Q874" s="39"/>
      <c r="R874" s="13">
        <f t="shared" si="42"/>
        <v>40408</v>
      </c>
      <c r="S874" s="106">
        <f t="shared" si="44"/>
        <v>972.25</v>
      </c>
      <c r="T874" s="106">
        <f t="shared" si="45"/>
        <v>1976.25</v>
      </c>
      <c r="U874" s="109">
        <f t="shared" si="46"/>
        <v>601.75</v>
      </c>
      <c r="V874" s="109">
        <f t="shared" si="47"/>
        <v>3788.875</v>
      </c>
      <c r="W874" s="110">
        <f t="shared" si="48"/>
        <v>282.3125</v>
      </c>
      <c r="X874" s="106">
        <f t="shared" si="49"/>
        <v>7019.6875</v>
      </c>
      <c r="Y874" s="204">
        <f t="shared" si="49"/>
        <v>1363.0270508294739</v>
      </c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 spans="1:34" x14ac:dyDescent="0.25">
      <c r="A875" s="105">
        <f t="shared" si="43"/>
        <v>40415</v>
      </c>
      <c r="B875" s="59">
        <f>SUM('Weekly Data'!D872:D875)/4</f>
        <v>312.5</v>
      </c>
      <c r="C875" s="90">
        <f>SUM('Weekly Data'!E872:E875)/4</f>
        <v>1469.25</v>
      </c>
      <c r="D875" s="90">
        <f>SUM('Weekly Data'!F872:F875)/4</f>
        <v>683.25</v>
      </c>
      <c r="E875" s="90">
        <f>SUM('Weekly Data'!G872:G875)/4</f>
        <v>3350</v>
      </c>
      <c r="F875" s="90">
        <f>SUM('Weekly Data'!H872:H875)/4</f>
        <v>127.75</v>
      </c>
      <c r="G875" s="90">
        <f>SUM('Weekly Data'!I872:I875)/4</f>
        <v>5259.5</v>
      </c>
      <c r="H875" s="202">
        <f>SUM('Weekly Data'!J872:J875)/4</f>
        <v>1638.6821624350839</v>
      </c>
      <c r="I875" s="39"/>
      <c r="J875" s="101">
        <f>AVERAGE('Weekly Data'!D823,'Weekly Data'!D771,'Weekly Data'!D719,'Weekly Data'!D667)</f>
        <v>1254</v>
      </c>
      <c r="K875" s="16">
        <f>AVERAGE('Weekly Data'!E823,'Weekly Data'!E771,'Weekly Data'!E719,'Weekly Data'!E667)</f>
        <v>2029.5</v>
      </c>
      <c r="L875" s="16">
        <f>AVERAGE('Weekly Data'!F823,'Weekly Data'!F771,'Weekly Data'!F719,'Weekly Data'!F667)</f>
        <v>664.75</v>
      </c>
      <c r="M875" s="16">
        <f>AVERAGE('Weekly Data'!G823,'Weekly Data'!G771,'Weekly Data'!G719,'Weekly Data'!G667)</f>
        <v>3656.25</v>
      </c>
      <c r="N875" s="16">
        <f>AVERAGE('Weekly Data'!H823,'Weekly Data'!H771,'Weekly Data'!H719,'Weekly Data'!H667)</f>
        <v>564.5</v>
      </c>
      <c r="O875" s="101">
        <f>AVERAGE('Weekly Data'!I823,'Weekly Data'!I771,'Weekly Data'!I719,'Weekly Data'!I667)</f>
        <v>7504.25</v>
      </c>
      <c r="P875" s="203">
        <f>AVERAGE('Weekly Data'!J823,'Weekly Data'!J771,'Weekly Data'!J719,'Weekly Data'!J667)</f>
        <v>1532.9067125335328</v>
      </c>
      <c r="Q875" s="39"/>
      <c r="R875" s="13">
        <f t="shared" si="42"/>
        <v>40415</v>
      </c>
      <c r="S875" s="106">
        <f t="shared" si="44"/>
        <v>1059.4375</v>
      </c>
      <c r="T875" s="106">
        <f t="shared" si="45"/>
        <v>2073.625</v>
      </c>
      <c r="U875" s="109">
        <f t="shared" si="46"/>
        <v>678.75</v>
      </c>
      <c r="V875" s="109">
        <f t="shared" si="47"/>
        <v>3700.0625</v>
      </c>
      <c r="W875" s="110">
        <f t="shared" si="48"/>
        <v>353.125</v>
      </c>
      <c r="X875" s="106">
        <f t="shared" si="49"/>
        <v>7186.25</v>
      </c>
      <c r="Y875" s="204">
        <f t="shared" si="49"/>
        <v>1361.1371658414191</v>
      </c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 spans="1:34" x14ac:dyDescent="0.25">
      <c r="A876" s="105">
        <f t="shared" si="43"/>
        <v>40422</v>
      </c>
      <c r="B876" s="59">
        <f>SUM('Weekly Data'!D873:D876)/4</f>
        <v>380.25</v>
      </c>
      <c r="C876" s="90">
        <f>SUM('Weekly Data'!E873:E876)/4</f>
        <v>1625.75</v>
      </c>
      <c r="D876" s="90">
        <f>SUM('Weekly Data'!F873:F876)/4</f>
        <v>719.25</v>
      </c>
      <c r="E876" s="90">
        <f>SUM('Weekly Data'!G873:G876)/4</f>
        <v>3204.75</v>
      </c>
      <c r="F876" s="90">
        <f>SUM('Weekly Data'!H873:H876)/4</f>
        <v>137.25</v>
      </c>
      <c r="G876" s="90">
        <f>SUM('Weekly Data'!I873:I876)/4</f>
        <v>5348</v>
      </c>
      <c r="H876" s="202">
        <f>SUM('Weekly Data'!J873:J876)/4</f>
        <v>1303.6479551356033</v>
      </c>
      <c r="I876" s="39"/>
      <c r="J876" s="101">
        <f>AVERAGE('Weekly Data'!D824,'Weekly Data'!D772,'Weekly Data'!D720,'Weekly Data'!D668)</f>
        <v>1159</v>
      </c>
      <c r="K876" s="16">
        <f>AVERAGE('Weekly Data'!E824,'Weekly Data'!E772,'Weekly Data'!E720,'Weekly Data'!E668)</f>
        <v>1940.25</v>
      </c>
      <c r="L876" s="16">
        <f>AVERAGE('Weekly Data'!F824,'Weekly Data'!F772,'Weekly Data'!F720,'Weekly Data'!F668)</f>
        <v>682</v>
      </c>
      <c r="M876" s="16">
        <f>AVERAGE('Weekly Data'!G824,'Weekly Data'!G772,'Weekly Data'!G720,'Weekly Data'!G668)</f>
        <v>3434.75</v>
      </c>
      <c r="N876" s="16">
        <f>AVERAGE('Weekly Data'!H824,'Weekly Data'!H772,'Weekly Data'!H720,'Weekly Data'!H668)</f>
        <v>378.75</v>
      </c>
      <c r="O876" s="101">
        <f>AVERAGE('Weekly Data'!I824,'Weekly Data'!I772,'Weekly Data'!I720,'Weekly Data'!I668)</f>
        <v>6912.75</v>
      </c>
      <c r="P876" s="203">
        <f>AVERAGE('Weekly Data'!J824,'Weekly Data'!J772,'Weekly Data'!J720,'Weekly Data'!J668)</f>
        <v>1743.733882312117</v>
      </c>
      <c r="Q876" s="39"/>
      <c r="R876" s="13">
        <f t="shared" si="42"/>
        <v>40422</v>
      </c>
      <c r="S876" s="106">
        <f t="shared" si="44"/>
        <v>1188.5</v>
      </c>
      <c r="T876" s="106">
        <f t="shared" si="45"/>
        <v>2099.375</v>
      </c>
      <c r="U876" s="109">
        <f t="shared" si="46"/>
        <v>651.0625</v>
      </c>
      <c r="V876" s="109">
        <f t="shared" si="47"/>
        <v>3676.125</v>
      </c>
      <c r="W876" s="110">
        <f t="shared" si="48"/>
        <v>392.125</v>
      </c>
      <c r="X876" s="106">
        <f t="shared" si="49"/>
        <v>7356.125</v>
      </c>
      <c r="Y876" s="204">
        <f t="shared" si="49"/>
        <v>1439.4623992352556</v>
      </c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 spans="1:34" x14ac:dyDescent="0.25">
      <c r="A877" s="105">
        <f t="shared" si="43"/>
        <v>40429</v>
      </c>
      <c r="B877" s="59">
        <f>SUM('Weekly Data'!D874:D877)/4</f>
        <v>504</v>
      </c>
      <c r="C877" s="90">
        <f>SUM('Weekly Data'!E874:E877)/4</f>
        <v>1893.75</v>
      </c>
      <c r="D877" s="90">
        <f>SUM('Weekly Data'!F874:F877)/4</f>
        <v>605</v>
      </c>
      <c r="E877" s="90">
        <f>SUM('Weekly Data'!G874:G877)/4</f>
        <v>3013.75</v>
      </c>
      <c r="F877" s="90">
        <f>SUM('Weekly Data'!H874:H877)/4</f>
        <v>184.5</v>
      </c>
      <c r="G877" s="90">
        <f>SUM('Weekly Data'!I874:I877)/4</f>
        <v>5596</v>
      </c>
      <c r="H877" s="202">
        <f>SUM('Weekly Data'!J874:J877)/4</f>
        <v>1543.1476557991923</v>
      </c>
      <c r="I877" s="39"/>
      <c r="J877" s="101">
        <f>AVERAGE('Weekly Data'!D825,'Weekly Data'!D773,'Weekly Data'!D721,'Weekly Data'!D669)</f>
        <v>1254</v>
      </c>
      <c r="K877" s="16">
        <f>AVERAGE('Weekly Data'!E825,'Weekly Data'!E773,'Weekly Data'!E721,'Weekly Data'!E669)</f>
        <v>2163.5</v>
      </c>
      <c r="L877" s="16">
        <f>AVERAGE('Weekly Data'!F825,'Weekly Data'!F773,'Weekly Data'!F721,'Weekly Data'!F669)</f>
        <v>626.25</v>
      </c>
      <c r="M877" s="16">
        <f>AVERAGE('Weekly Data'!G825,'Weekly Data'!G773,'Weekly Data'!G721,'Weekly Data'!G669)</f>
        <v>3489.75</v>
      </c>
      <c r="N877" s="16">
        <f>AVERAGE('Weekly Data'!H825,'Weekly Data'!H773,'Weekly Data'!H721,'Weekly Data'!H669)</f>
        <v>557.5</v>
      </c>
      <c r="O877" s="101">
        <f>AVERAGE('Weekly Data'!I825,'Weekly Data'!I773,'Weekly Data'!I721,'Weekly Data'!I669)</f>
        <v>7464.75</v>
      </c>
      <c r="P877" s="203">
        <f>AVERAGE('Weekly Data'!J825,'Weekly Data'!J773,'Weekly Data'!J721,'Weekly Data'!J669)</f>
        <v>1411.9540732980099</v>
      </c>
      <c r="Q877" s="39"/>
      <c r="R877" s="13">
        <f t="shared" si="42"/>
        <v>40429</v>
      </c>
      <c r="S877" s="106">
        <f t="shared" si="44"/>
        <v>1115.875</v>
      </c>
      <c r="T877" s="106">
        <f t="shared" si="45"/>
        <v>2114.0625</v>
      </c>
      <c r="U877" s="109">
        <f t="shared" si="46"/>
        <v>671.5</v>
      </c>
      <c r="V877" s="109">
        <f t="shared" si="47"/>
        <v>3595.625</v>
      </c>
      <c r="W877" s="110">
        <f t="shared" si="48"/>
        <v>423.625</v>
      </c>
      <c r="X877" s="106">
        <f t="shared" si="49"/>
        <v>7249.1875</v>
      </c>
      <c r="Y877" s="204">
        <f t="shared" si="49"/>
        <v>1519.8875048380423</v>
      </c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 spans="1:34" x14ac:dyDescent="0.25">
      <c r="A878" s="105">
        <f t="shared" si="43"/>
        <v>40436</v>
      </c>
      <c r="B878" s="59">
        <f>SUM('Weekly Data'!D875:D878)/4</f>
        <v>626.75</v>
      </c>
      <c r="C878" s="90">
        <f>SUM('Weekly Data'!E875:E878)/4</f>
        <v>2184.5</v>
      </c>
      <c r="D878" s="90">
        <f>SUM('Weekly Data'!F875:F878)/4</f>
        <v>699.5</v>
      </c>
      <c r="E878" s="90">
        <f>SUM('Weekly Data'!G875:G878)/4</f>
        <v>2617.25</v>
      </c>
      <c r="F878" s="90">
        <f>SUM('Weekly Data'!H875:H878)/4</f>
        <v>183.75</v>
      </c>
      <c r="G878" s="90">
        <f>SUM('Weekly Data'!I875:I878)/4</f>
        <v>5612.25</v>
      </c>
      <c r="H878" s="202">
        <f>SUM('Weekly Data'!J875:J878)/4</f>
        <v>1436.3347699076746</v>
      </c>
      <c r="I878" s="39"/>
      <c r="J878" s="101">
        <f>AVERAGE('Weekly Data'!D826,'Weekly Data'!D774,'Weekly Data'!D722,'Weekly Data'!D670)</f>
        <v>1355.25</v>
      </c>
      <c r="K878" s="16">
        <f>AVERAGE('Weekly Data'!E826,'Weekly Data'!E774,'Weekly Data'!E722,'Weekly Data'!E670)</f>
        <v>1934</v>
      </c>
      <c r="L878" s="16">
        <f>AVERAGE('Weekly Data'!F826,'Weekly Data'!F774,'Weekly Data'!F722,'Weekly Data'!F670)</f>
        <v>765.25</v>
      </c>
      <c r="M878" s="16">
        <f>AVERAGE('Weekly Data'!G826,'Weekly Data'!G774,'Weekly Data'!G722,'Weekly Data'!G670)</f>
        <v>3851</v>
      </c>
      <c r="N878" s="16">
        <f>AVERAGE('Weekly Data'!H826,'Weekly Data'!H774,'Weekly Data'!H722,'Weekly Data'!H670)</f>
        <v>463.75</v>
      </c>
      <c r="O878" s="101">
        <f>AVERAGE('Weekly Data'!I826,'Weekly Data'!I774,'Weekly Data'!I722,'Weekly Data'!I670)</f>
        <v>7604</v>
      </c>
      <c r="P878" s="203">
        <f>AVERAGE('Weekly Data'!J826,'Weekly Data'!J774,'Weekly Data'!J722,'Weekly Data'!J670)</f>
        <v>1124.6915551136437</v>
      </c>
      <c r="Q878" s="39"/>
      <c r="R878" s="13">
        <f t="shared" si="42"/>
        <v>40436</v>
      </c>
      <c r="S878" s="106">
        <f t="shared" si="44"/>
        <v>1229.6875</v>
      </c>
      <c r="T878" s="106">
        <f t="shared" si="45"/>
        <v>2029.9375</v>
      </c>
      <c r="U878" s="109">
        <f t="shared" si="46"/>
        <v>684.625</v>
      </c>
      <c r="V878" s="109">
        <f t="shared" si="47"/>
        <v>3597.8125</v>
      </c>
      <c r="W878" s="110">
        <f t="shared" si="48"/>
        <v>470</v>
      </c>
      <c r="X878" s="106">
        <f t="shared" si="49"/>
        <v>7327.4375</v>
      </c>
      <c r="Y878" s="204">
        <f t="shared" si="49"/>
        <v>1453.3215558143258</v>
      </c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 spans="1:34" x14ac:dyDescent="0.25">
      <c r="A879" s="105">
        <f t="shared" si="43"/>
        <v>40443</v>
      </c>
      <c r="B879" s="59">
        <f>SUM('Weekly Data'!D876:D879)/4</f>
        <v>825.25</v>
      </c>
      <c r="C879" s="90">
        <f>SUM('Weekly Data'!E876:E879)/4</f>
        <v>2241.5</v>
      </c>
      <c r="D879" s="90">
        <f>SUM('Weekly Data'!F876:F879)/4</f>
        <v>648.75</v>
      </c>
      <c r="E879" s="90">
        <f>SUM('Weekly Data'!G876:G879)/4</f>
        <v>1986.75</v>
      </c>
      <c r="F879" s="90">
        <f>SUM('Weekly Data'!H876:H879)/4</f>
        <v>243.5</v>
      </c>
      <c r="G879" s="90">
        <f>SUM('Weekly Data'!I876:I879)/4</f>
        <v>5297</v>
      </c>
      <c r="H879" s="202">
        <f>SUM('Weekly Data'!J876:J879)/4</f>
        <v>1451.593753606463</v>
      </c>
      <c r="I879" s="39"/>
      <c r="J879" s="101">
        <f>AVERAGE('Weekly Data'!D827,'Weekly Data'!D775,'Weekly Data'!D723,'Weekly Data'!D671)</f>
        <v>1403</v>
      </c>
      <c r="K879" s="16">
        <f>AVERAGE('Weekly Data'!E827,'Weekly Data'!E775,'Weekly Data'!E723,'Weekly Data'!E671)</f>
        <v>2305.75</v>
      </c>
      <c r="L879" s="16">
        <f>AVERAGE('Weekly Data'!F827,'Weekly Data'!F775,'Weekly Data'!F723,'Weekly Data'!F671)</f>
        <v>1007</v>
      </c>
      <c r="M879" s="16">
        <f>AVERAGE('Weekly Data'!G827,'Weekly Data'!G775,'Weekly Data'!G723,'Weekly Data'!G671)</f>
        <v>3437.5</v>
      </c>
      <c r="N879" s="16">
        <f>AVERAGE('Weekly Data'!H827,'Weekly Data'!H775,'Weekly Data'!H723,'Weekly Data'!H671)</f>
        <v>585.5</v>
      </c>
      <c r="O879" s="101">
        <f>AVERAGE('Weekly Data'!I827,'Weekly Data'!I775,'Weekly Data'!I723,'Weekly Data'!I671)</f>
        <v>7731.75</v>
      </c>
      <c r="P879" s="203">
        <f>AVERAGE('Weekly Data'!J827,'Weekly Data'!J775,'Weekly Data'!J723,'Weekly Data'!J671)</f>
        <v>1044.8964111735422</v>
      </c>
      <c r="Q879" s="39"/>
      <c r="R879" s="13">
        <f t="shared" si="42"/>
        <v>40443</v>
      </c>
      <c r="S879" s="106">
        <f t="shared" si="44"/>
        <v>1295.75</v>
      </c>
      <c r="T879" s="106">
        <f t="shared" si="45"/>
        <v>2058.125</v>
      </c>
      <c r="U879" s="109">
        <f t="shared" si="46"/>
        <v>741.5625</v>
      </c>
      <c r="V879" s="109">
        <f t="shared" si="47"/>
        <v>3595.25</v>
      </c>
      <c r="W879" s="110">
        <f t="shared" si="48"/>
        <v>508.1875</v>
      </c>
      <c r="X879" s="106">
        <f t="shared" si="49"/>
        <v>7457.3125</v>
      </c>
      <c r="Y879" s="204">
        <f t="shared" si="49"/>
        <v>1331.3189804743281</v>
      </c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 spans="1:34" x14ac:dyDescent="0.25">
      <c r="A880" s="105">
        <f t="shared" si="43"/>
        <v>40450</v>
      </c>
      <c r="B880" s="59">
        <f>SUM('Weekly Data'!D877:D880)/4</f>
        <v>944.5</v>
      </c>
      <c r="C880" s="90">
        <f>SUM('Weekly Data'!E877:E880)/4</f>
        <v>2242.5</v>
      </c>
      <c r="D880" s="90">
        <f>SUM('Weekly Data'!F877:F880)/4</f>
        <v>714.5</v>
      </c>
      <c r="E880" s="90">
        <f>SUM('Weekly Data'!G877:G880)/4</f>
        <v>1841.25</v>
      </c>
      <c r="F880" s="90">
        <f>SUM('Weekly Data'!H877:H880)/4</f>
        <v>415</v>
      </c>
      <c r="G880" s="90">
        <f>SUM('Weekly Data'!I877:I880)/4</f>
        <v>5443.25</v>
      </c>
      <c r="H880" s="202">
        <f>SUM('Weekly Data'!J877:J880)/4</f>
        <v>1495.6015471725332</v>
      </c>
      <c r="I880" s="39"/>
      <c r="J880" s="101">
        <f>AVERAGE('Weekly Data'!D828,'Weekly Data'!D776,'Weekly Data'!D724,'Weekly Data'!D672)</f>
        <v>1738.25</v>
      </c>
      <c r="K880" s="16">
        <f>AVERAGE('Weekly Data'!E828,'Weekly Data'!E776,'Weekly Data'!E724,'Weekly Data'!E672)</f>
        <v>1762.5</v>
      </c>
      <c r="L880" s="16">
        <f>AVERAGE('Weekly Data'!F828,'Weekly Data'!F776,'Weekly Data'!F724,'Weekly Data'!F672)</f>
        <v>893</v>
      </c>
      <c r="M880" s="16">
        <f>AVERAGE('Weekly Data'!G828,'Weekly Data'!G776,'Weekly Data'!G724,'Weekly Data'!G672)</f>
        <v>3751.5</v>
      </c>
      <c r="N880" s="16">
        <f>AVERAGE('Weekly Data'!H828,'Weekly Data'!H776,'Weekly Data'!H724,'Weekly Data'!H672)</f>
        <v>624.25</v>
      </c>
      <c r="O880" s="101">
        <f>AVERAGE('Weekly Data'!I828,'Weekly Data'!I776,'Weekly Data'!I724,'Weekly Data'!I672)</f>
        <v>7876.5</v>
      </c>
      <c r="P880" s="203">
        <f>AVERAGE('Weekly Data'!J828,'Weekly Data'!J776,'Weekly Data'!J724,'Weekly Data'!J672)</f>
        <v>1123.8516062300639</v>
      </c>
      <c r="Q880" s="39"/>
      <c r="R880" s="13">
        <f t="shared" si="42"/>
        <v>40450</v>
      </c>
      <c r="S880" s="106">
        <f t="shared" si="44"/>
        <v>1333</v>
      </c>
      <c r="T880" s="106">
        <f t="shared" si="45"/>
        <v>2067.625</v>
      </c>
      <c r="U880" s="109">
        <f t="shared" si="46"/>
        <v>797.5</v>
      </c>
      <c r="V880" s="109">
        <f t="shared" si="47"/>
        <v>3643.75</v>
      </c>
      <c r="W880" s="110">
        <f t="shared" si="48"/>
        <v>535.6875</v>
      </c>
      <c r="X880" s="106">
        <f t="shared" si="49"/>
        <v>7580.0625</v>
      </c>
      <c r="Y880" s="204">
        <f t="shared" si="49"/>
        <v>1176.3484114538151</v>
      </c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 spans="1:34" x14ac:dyDescent="0.25">
      <c r="A881" s="105">
        <f t="shared" si="43"/>
        <v>40457</v>
      </c>
      <c r="B881" s="59">
        <f>SUM('Weekly Data'!D878:D881)/4</f>
        <v>1119.75</v>
      </c>
      <c r="C881" s="90">
        <f>SUM('Weekly Data'!E878:E881)/4</f>
        <v>2065.75</v>
      </c>
      <c r="D881" s="90">
        <f>SUM('Weekly Data'!F878:F881)/4</f>
        <v>694.5</v>
      </c>
      <c r="E881" s="90">
        <f>SUM('Weekly Data'!G878:G881)/4</f>
        <v>1822</v>
      </c>
      <c r="F881" s="90">
        <f>SUM('Weekly Data'!H878:H881)/4</f>
        <v>535.5</v>
      </c>
      <c r="G881" s="90">
        <f>SUM('Weekly Data'!I878:I881)/4</f>
        <v>5543</v>
      </c>
      <c r="H881" s="202">
        <f>SUM('Weekly Data'!J878:J881)/4</f>
        <v>1330.4064627813041</v>
      </c>
      <c r="I881" s="39"/>
      <c r="J881" s="101">
        <f>AVERAGE('Weekly Data'!D829,'Weekly Data'!D777,'Weekly Data'!D725,'Weekly Data'!D673)</f>
        <v>2075.5</v>
      </c>
      <c r="K881" s="16">
        <f>AVERAGE('Weekly Data'!E829,'Weekly Data'!E777,'Weekly Data'!E725,'Weekly Data'!E673)</f>
        <v>2142</v>
      </c>
      <c r="L881" s="16">
        <f>AVERAGE('Weekly Data'!F829,'Weekly Data'!F777,'Weekly Data'!F725,'Weekly Data'!F673)</f>
        <v>731</v>
      </c>
      <c r="M881" s="16">
        <f>AVERAGE('Weekly Data'!G829,'Weekly Data'!G777,'Weekly Data'!G725,'Weekly Data'!G673)</f>
        <v>4485</v>
      </c>
      <c r="N881" s="16">
        <f>AVERAGE('Weekly Data'!H829,'Weekly Data'!H777,'Weekly Data'!H725,'Weekly Data'!H673)</f>
        <v>684.75</v>
      </c>
      <c r="O881" s="101">
        <f>AVERAGE('Weekly Data'!I829,'Weekly Data'!I777,'Weekly Data'!I725,'Weekly Data'!I673)</f>
        <v>9387.25</v>
      </c>
      <c r="P881" s="203">
        <f>AVERAGE('Weekly Data'!J829,'Weekly Data'!J777,'Weekly Data'!J725,'Weekly Data'!J673)</f>
        <v>1698.7900713361005</v>
      </c>
      <c r="Q881" s="39"/>
      <c r="R881" s="13">
        <f t="shared" si="42"/>
        <v>40457</v>
      </c>
      <c r="S881" s="106">
        <f t="shared" si="44"/>
        <v>1613.4375</v>
      </c>
      <c r="T881" s="106">
        <f t="shared" si="45"/>
        <v>2007.375</v>
      </c>
      <c r="U881" s="109">
        <f t="shared" si="46"/>
        <v>835.75</v>
      </c>
      <c r="V881" s="109">
        <f t="shared" si="47"/>
        <v>3782.4375</v>
      </c>
      <c r="W881" s="110">
        <f t="shared" si="48"/>
        <v>589.125</v>
      </c>
      <c r="X881" s="106">
        <f t="shared" si="49"/>
        <v>7992.375</v>
      </c>
      <c r="Y881" s="204">
        <f t="shared" si="49"/>
        <v>836.37746439868135</v>
      </c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 spans="1:34" x14ac:dyDescent="0.25">
      <c r="A882" s="105">
        <f t="shared" si="43"/>
        <v>40464</v>
      </c>
      <c r="B882" s="59">
        <f>SUM('Weekly Data'!D879:D882)/4</f>
        <v>1285.75</v>
      </c>
      <c r="C882" s="90">
        <f>SUM('Weekly Data'!E879:E882)/4</f>
        <v>1975.75</v>
      </c>
      <c r="D882" s="90">
        <f>SUM('Weekly Data'!F879:F882)/4</f>
        <v>578.75</v>
      </c>
      <c r="E882" s="90">
        <f>SUM('Weekly Data'!G879:G882)/4</f>
        <v>2904</v>
      </c>
      <c r="F882" s="90">
        <f>SUM('Weekly Data'!H879:H882)/4</f>
        <v>723.5</v>
      </c>
      <c r="G882" s="90">
        <f>SUM('Weekly Data'!I879:I882)/4</f>
        <v>6889</v>
      </c>
      <c r="H882" s="202">
        <f>SUM('Weekly Data'!J879:J882)/4</f>
        <v>1504.4473348240049</v>
      </c>
      <c r="I882" s="39"/>
      <c r="J882" s="101">
        <f>AVERAGE('Weekly Data'!D830,'Weekly Data'!D778,'Weekly Data'!D726,'Weekly Data'!D674)</f>
        <v>2510.5</v>
      </c>
      <c r="K882" s="16">
        <f>AVERAGE('Weekly Data'!E830,'Weekly Data'!E778,'Weekly Data'!E726,'Weekly Data'!E674)</f>
        <v>1932.5</v>
      </c>
      <c r="L882" s="16">
        <f>AVERAGE('Weekly Data'!F830,'Weekly Data'!F778,'Weekly Data'!F726,'Weekly Data'!F674)</f>
        <v>1053</v>
      </c>
      <c r="M882" s="16">
        <f>AVERAGE('Weekly Data'!G830,'Weekly Data'!G778,'Weekly Data'!G726,'Weekly Data'!G674)</f>
        <v>5673.25</v>
      </c>
      <c r="N882" s="16">
        <f>AVERAGE('Weekly Data'!H830,'Weekly Data'!H778,'Weekly Data'!H726,'Weekly Data'!H674)</f>
        <v>895.25</v>
      </c>
      <c r="O882" s="101">
        <f>AVERAGE('Weekly Data'!I830,'Weekly Data'!I778,'Weekly Data'!I726,'Weekly Data'!I674)</f>
        <v>11011.5</v>
      </c>
      <c r="P882" s="203">
        <f>AVERAGE('Weekly Data'!J830,'Weekly Data'!J778,'Weekly Data'!J726,'Weekly Data'!J674)</f>
        <v>2345.900458779879</v>
      </c>
      <c r="Q882" s="39"/>
      <c r="R882" s="13">
        <f t="shared" si="42"/>
        <v>40464</v>
      </c>
      <c r="S882" s="106">
        <f t="shared" si="44"/>
        <v>1921.75</v>
      </c>
      <c r="T882" s="106">
        <f t="shared" si="45"/>
        <v>2073.75</v>
      </c>
      <c r="U882" s="109">
        <f t="shared" si="46"/>
        <v>915.9375</v>
      </c>
      <c r="V882" s="109">
        <f t="shared" si="47"/>
        <v>4251.75</v>
      </c>
      <c r="W882" s="110">
        <f t="shared" si="48"/>
        <v>674.625</v>
      </c>
      <c r="X882" s="106">
        <f t="shared" si="49"/>
        <v>8921.875</v>
      </c>
      <c r="Y882" s="204">
        <f t="shared" si="49"/>
        <v>1282.2661347044457</v>
      </c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 spans="1:34" x14ac:dyDescent="0.25">
      <c r="A883" s="105">
        <f t="shared" si="43"/>
        <v>40471</v>
      </c>
      <c r="B883" s="59">
        <f>SUM('Weekly Data'!D880:D883)/4</f>
        <v>1487.25</v>
      </c>
      <c r="C883" s="90">
        <f>SUM('Weekly Data'!E880:E883)/4</f>
        <v>2099</v>
      </c>
      <c r="D883" s="90">
        <f>SUM('Weekly Data'!F880:F883)/4</f>
        <v>617.75</v>
      </c>
      <c r="E883" s="90">
        <f>SUM('Weekly Data'!G880:G883)/4</f>
        <v>3782</v>
      </c>
      <c r="F883" s="90">
        <f>SUM('Weekly Data'!H880:H883)/4</f>
        <v>901.5</v>
      </c>
      <c r="G883" s="90">
        <f>SUM('Weekly Data'!I880:I883)/4</f>
        <v>8269.75</v>
      </c>
      <c r="H883" s="202">
        <f>SUM('Weekly Data'!J880:J883)/4</f>
        <v>1482.1117210040393</v>
      </c>
      <c r="I883" s="39"/>
      <c r="J883" s="101">
        <f>AVERAGE('Weekly Data'!D831,'Weekly Data'!D779,'Weekly Data'!D727,'Weekly Data'!D675)</f>
        <v>2162.75</v>
      </c>
      <c r="K883" s="16">
        <f>AVERAGE('Weekly Data'!E831,'Weekly Data'!E779,'Weekly Data'!E727,'Weekly Data'!E675)</f>
        <v>1752.25</v>
      </c>
      <c r="L883" s="16">
        <f>AVERAGE('Weekly Data'!F831,'Weekly Data'!F779,'Weekly Data'!F727,'Weekly Data'!F675)</f>
        <v>645.75</v>
      </c>
      <c r="M883" s="16">
        <f>AVERAGE('Weekly Data'!G831,'Weekly Data'!G779,'Weekly Data'!G727,'Weekly Data'!G675)</f>
        <v>5191.25</v>
      </c>
      <c r="N883" s="16">
        <f>AVERAGE('Weekly Data'!H831,'Weekly Data'!H779,'Weekly Data'!H727,'Weekly Data'!H675)</f>
        <v>993</v>
      </c>
      <c r="O883" s="101">
        <f>AVERAGE('Weekly Data'!I831,'Weekly Data'!I779,'Weekly Data'!I727,'Weekly Data'!I675)</f>
        <v>10099.25</v>
      </c>
      <c r="P883" s="203">
        <f>AVERAGE('Weekly Data'!J831,'Weekly Data'!J779,'Weekly Data'!J727,'Weekly Data'!J675)</f>
        <v>2234.2058677112391</v>
      </c>
      <c r="Q883" s="39"/>
      <c r="R883" s="13">
        <f t="shared" si="42"/>
        <v>40471</v>
      </c>
      <c r="S883" s="106">
        <f t="shared" si="44"/>
        <v>2099.25</v>
      </c>
      <c r="T883" s="120">
        <f t="shared" si="45"/>
        <v>1912.0625</v>
      </c>
      <c r="U883" s="109">
        <f t="shared" si="46"/>
        <v>866.5</v>
      </c>
      <c r="V883" s="109">
        <f t="shared" si="47"/>
        <v>4708.0625</v>
      </c>
      <c r="W883" s="110">
        <f t="shared" si="48"/>
        <v>767.125</v>
      </c>
      <c r="X883" s="106">
        <f t="shared" si="49"/>
        <v>9486.5</v>
      </c>
      <c r="Y883" s="204">
        <f t="shared" si="49"/>
        <v>1710.2055502355624</v>
      </c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 spans="1:34" x14ac:dyDescent="0.25">
      <c r="A884" s="105">
        <f t="shared" si="43"/>
        <v>40478</v>
      </c>
      <c r="B884" s="59">
        <f>SUM('Weekly Data'!D881:D884)/4</f>
        <v>1670.75</v>
      </c>
      <c r="C884" s="90">
        <f>SUM('Weekly Data'!E881:E884)/4</f>
        <v>2104</v>
      </c>
      <c r="D884" s="90">
        <f>SUM('Weekly Data'!F881:F884)/4</f>
        <v>683.5</v>
      </c>
      <c r="E884" s="90">
        <f>SUM('Weekly Data'!G881:G884)/4</f>
        <v>4403</v>
      </c>
      <c r="F884" s="90">
        <f>SUM('Weekly Data'!H881:H884)/4</f>
        <v>969</v>
      </c>
      <c r="G884" s="90">
        <f>SUM('Weekly Data'!I881:I884)/4</f>
        <v>9146.75</v>
      </c>
      <c r="H884" s="202">
        <f>SUM('Weekly Data'!J881:J884)/4</f>
        <v>1635.364992065782</v>
      </c>
      <c r="I884" s="39"/>
      <c r="J884" s="101">
        <f>AVERAGE('Weekly Data'!D832,'Weekly Data'!D780,'Weekly Data'!D728,'Weekly Data'!D676)</f>
        <v>2217.25</v>
      </c>
      <c r="K884" s="16">
        <f>AVERAGE('Weekly Data'!E832,'Weekly Data'!E780,'Weekly Data'!E728,'Weekly Data'!E676)</f>
        <v>2045.25</v>
      </c>
      <c r="L884" s="16">
        <f>AVERAGE('Weekly Data'!F832,'Weekly Data'!F780,'Weekly Data'!F728,'Weekly Data'!F676)</f>
        <v>979.5</v>
      </c>
      <c r="M884" s="16">
        <f>AVERAGE('Weekly Data'!G832,'Weekly Data'!G780,'Weekly Data'!G728,'Weekly Data'!G676)</f>
        <v>5230.5</v>
      </c>
      <c r="N884" s="16">
        <f>AVERAGE('Weekly Data'!H832,'Weekly Data'!H780,'Weekly Data'!H728,'Weekly Data'!H676)</f>
        <v>924</v>
      </c>
      <c r="O884" s="101">
        <f>AVERAGE('Weekly Data'!I832,'Weekly Data'!I780,'Weekly Data'!I728,'Weekly Data'!I676)</f>
        <v>10417</v>
      </c>
      <c r="P884" s="203">
        <f>AVERAGE('Weekly Data'!J832,'Weekly Data'!J780,'Weekly Data'!J728,'Weekly Data'!J676)</f>
        <v>2198.8368738905865</v>
      </c>
      <c r="Q884" s="39"/>
      <c r="R884" s="13">
        <f t="shared" si="42"/>
        <v>40478</v>
      </c>
      <c r="S884" s="106">
        <f t="shared" si="44"/>
        <v>2297.0625</v>
      </c>
      <c r="T884" s="106">
        <f t="shared" si="45"/>
        <v>1966.125</v>
      </c>
      <c r="U884" s="109">
        <f t="shared" si="46"/>
        <v>902.0625</v>
      </c>
      <c r="V884" s="109">
        <f t="shared" si="47"/>
        <v>5039.6875</v>
      </c>
      <c r="W884" s="110">
        <f t="shared" si="48"/>
        <v>855.25</v>
      </c>
      <c r="X884" s="106">
        <f t="shared" si="49"/>
        <v>10158.125</v>
      </c>
      <c r="Y884" s="204">
        <f t="shared" si="49"/>
        <v>2119.4333179294513</v>
      </c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 spans="1:34" x14ac:dyDescent="0.25">
      <c r="A885" s="105">
        <f t="shared" si="43"/>
        <v>40485</v>
      </c>
      <c r="B885" s="59">
        <f>SUM('Weekly Data'!D882:D885)/4</f>
        <v>1782.25</v>
      </c>
      <c r="C885" s="90">
        <f>SUM('Weekly Data'!E882:E885)/4</f>
        <v>2131.25</v>
      </c>
      <c r="D885" s="90">
        <f>SUM('Weekly Data'!F882:F885)/4</f>
        <v>721.25</v>
      </c>
      <c r="E885" s="90">
        <f>SUM('Weekly Data'!G882:G885)/4</f>
        <v>4915</v>
      </c>
      <c r="F885" s="90">
        <f>SUM('Weekly Data'!H882:H885)/4</f>
        <v>1068.25</v>
      </c>
      <c r="G885" s="90">
        <f>SUM('Weekly Data'!I882:I885)/4</f>
        <v>9896.75</v>
      </c>
      <c r="H885" s="202">
        <f>SUM('Weekly Data'!J882:J885)/4</f>
        <v>1773.1381347374495</v>
      </c>
      <c r="J885" s="101">
        <f>AVERAGE('Weekly Data'!D833,'Weekly Data'!D781,'Weekly Data'!D729,'Weekly Data'!D677)</f>
        <v>1818</v>
      </c>
      <c r="K885" s="16">
        <f>AVERAGE('Weekly Data'!E833,'Weekly Data'!E781,'Weekly Data'!E729,'Weekly Data'!E677)</f>
        <v>2155</v>
      </c>
      <c r="L885" s="16">
        <f>AVERAGE('Weekly Data'!F833,'Weekly Data'!F781,'Weekly Data'!F729,'Weekly Data'!F677)</f>
        <v>1199</v>
      </c>
      <c r="M885" s="16">
        <f>AVERAGE('Weekly Data'!G833,'Weekly Data'!G781,'Weekly Data'!G729,'Weekly Data'!G677)</f>
        <v>4919.75</v>
      </c>
      <c r="N885" s="16">
        <f>AVERAGE('Weekly Data'!H833,'Weekly Data'!H781,'Weekly Data'!H729,'Weekly Data'!H677)</f>
        <v>998</v>
      </c>
      <c r="O885" s="101">
        <f>AVERAGE('Weekly Data'!I833,'Weekly Data'!I781,'Weekly Data'!I729,'Weekly Data'!I677)</f>
        <v>9890.75</v>
      </c>
      <c r="P885" s="203">
        <f>AVERAGE('Weekly Data'!J833,'Weekly Data'!J781,'Weekly Data'!J729,'Weekly Data'!J677)</f>
        <v>1706.2841485712761</v>
      </c>
      <c r="R885" s="13">
        <f t="shared" ref="R885:R950" si="50">R884+7</f>
        <v>40485</v>
      </c>
      <c r="S885" s="106">
        <f t="shared" si="44"/>
        <v>2218.8125</v>
      </c>
      <c r="T885" s="106">
        <f t="shared" si="45"/>
        <v>1984.25</v>
      </c>
      <c r="U885" s="109">
        <f t="shared" si="46"/>
        <v>989.3125</v>
      </c>
      <c r="V885" s="109">
        <f t="shared" si="47"/>
        <v>5328.1875</v>
      </c>
      <c r="W885" s="110">
        <f t="shared" si="48"/>
        <v>936.75</v>
      </c>
      <c r="X885" s="106">
        <f t="shared" si="49"/>
        <v>10468</v>
      </c>
      <c r="Y885" s="204">
        <f t="shared" si="49"/>
        <v>2121.306837238245</v>
      </c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 spans="1:34" x14ac:dyDescent="0.25">
      <c r="A886" s="105">
        <f t="shared" si="43"/>
        <v>40492</v>
      </c>
      <c r="B886" s="59">
        <f>SUM('Weekly Data'!D883:D886)/4</f>
        <v>1839.25</v>
      </c>
      <c r="C886" s="90">
        <f>SUM('Weekly Data'!E883:E886)/4</f>
        <v>2160</v>
      </c>
      <c r="D886" s="90">
        <f>SUM('Weekly Data'!F883:F886)/4</f>
        <v>791.5</v>
      </c>
      <c r="E886" s="90">
        <f>SUM('Weekly Data'!G883:G886)/4</f>
        <v>4650.25</v>
      </c>
      <c r="F886" s="90">
        <f>SUM('Weekly Data'!H883:H886)/4</f>
        <v>1073.5</v>
      </c>
      <c r="G886" s="90">
        <f>SUM('Weekly Data'!I883:I886)/4</f>
        <v>9723</v>
      </c>
      <c r="H886" s="202">
        <f>SUM('Weekly Data'!J883:J886)/4</f>
        <v>1757.6580063473746</v>
      </c>
      <c r="J886" s="101">
        <f>AVERAGE('Weekly Data'!D834,'Weekly Data'!D782,'Weekly Data'!D730,'Weekly Data'!D678)</f>
        <v>1914.25</v>
      </c>
      <c r="K886" s="16">
        <f>AVERAGE('Weekly Data'!E834,'Weekly Data'!E782,'Weekly Data'!E730,'Weekly Data'!E678)</f>
        <v>2253</v>
      </c>
      <c r="L886" s="16">
        <f>AVERAGE('Weekly Data'!F834,'Weekly Data'!F782,'Weekly Data'!F730,'Weekly Data'!F678)</f>
        <v>839.25</v>
      </c>
      <c r="M886" s="16">
        <f>AVERAGE('Weekly Data'!G834,'Weekly Data'!G782,'Weekly Data'!G730,'Weekly Data'!G678)</f>
        <v>4005.5</v>
      </c>
      <c r="N886" s="16">
        <f>AVERAGE('Weekly Data'!H834,'Weekly Data'!H782,'Weekly Data'!H730,'Weekly Data'!H678)</f>
        <v>974</v>
      </c>
      <c r="O886" s="101">
        <f>AVERAGE('Weekly Data'!I834,'Weekly Data'!I782,'Weekly Data'!I730,'Weekly Data'!I678)</f>
        <v>9146.75</v>
      </c>
      <c r="P886" s="203">
        <f>AVERAGE('Weekly Data'!J834,'Weekly Data'!J782,'Weekly Data'!J730,'Weekly Data'!J678)</f>
        <v>2131.7937719380197</v>
      </c>
      <c r="R886" s="13">
        <f t="shared" si="50"/>
        <v>40492</v>
      </c>
      <c r="S886" s="106">
        <f t="shared" si="44"/>
        <v>2029.125</v>
      </c>
      <c r="T886" s="106">
        <f t="shared" si="45"/>
        <v>2026.625</v>
      </c>
      <c r="U886" s="109">
        <f t="shared" si="46"/>
        <v>946.3125</v>
      </c>
      <c r="V886" s="109">
        <f t="shared" si="47"/>
        <v>4925.75</v>
      </c>
      <c r="W886" s="110">
        <f t="shared" si="48"/>
        <v>980.4375</v>
      </c>
      <c r="X886" s="106">
        <f t="shared" si="49"/>
        <v>9961.9375</v>
      </c>
      <c r="Y886" s="204">
        <f t="shared" si="49"/>
        <v>2067.7801655277804</v>
      </c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 spans="1:34" x14ac:dyDescent="0.25">
      <c r="A887" s="105">
        <f t="shared" si="43"/>
        <v>40499</v>
      </c>
      <c r="B887" s="59">
        <f>SUM('Weekly Data'!D884:D887)/4</f>
        <v>1726.75</v>
      </c>
      <c r="C887" s="90">
        <f>SUM('Weekly Data'!E884:E887)/4</f>
        <v>2245.75</v>
      </c>
      <c r="D887" s="90">
        <f>SUM('Weekly Data'!F884:F887)/4</f>
        <v>762.5</v>
      </c>
      <c r="E887" s="90">
        <f>SUM('Weekly Data'!G884:G887)/4</f>
        <v>4688.75</v>
      </c>
      <c r="F887" s="90">
        <f>SUM('Weekly Data'!H884:H887)/4</f>
        <v>1150</v>
      </c>
      <c r="G887" s="90">
        <f>SUM('Weekly Data'!I884:I887)/4</f>
        <v>9811.25</v>
      </c>
      <c r="H887" s="202">
        <f>SUM('Weekly Data'!J884:J887)/4</f>
        <v>1677.3824834102713</v>
      </c>
      <c r="J887" s="101">
        <f>AVERAGE('Weekly Data'!D835,'Weekly Data'!D783,'Weekly Data'!D731,'Weekly Data'!D679)</f>
        <v>1483.5</v>
      </c>
      <c r="K887" s="16">
        <f>AVERAGE('Weekly Data'!E835,'Weekly Data'!E783,'Weekly Data'!E731,'Weekly Data'!E679)</f>
        <v>2172.5</v>
      </c>
      <c r="L887" s="16">
        <f>AVERAGE('Weekly Data'!F835,'Weekly Data'!F783,'Weekly Data'!F731,'Weekly Data'!F679)</f>
        <v>727.25</v>
      </c>
      <c r="M887" s="16">
        <f>AVERAGE('Weekly Data'!G835,'Weekly Data'!G783,'Weekly Data'!G731,'Weekly Data'!G679)</f>
        <v>4841.75</v>
      </c>
      <c r="N887" s="16">
        <f>AVERAGE('Weekly Data'!H835,'Weekly Data'!H783,'Weekly Data'!H731,'Weekly Data'!H679)</f>
        <v>1087.25</v>
      </c>
      <c r="O887" s="101">
        <f>AVERAGE('Weekly Data'!I835,'Weekly Data'!I783,'Weekly Data'!I731,'Weekly Data'!I679)</f>
        <v>9585</v>
      </c>
      <c r="P887" s="203">
        <f>AVERAGE('Weekly Data'!J835,'Weekly Data'!J783,'Weekly Data'!J731,'Weekly Data'!J679)</f>
        <v>2136.8376796748835</v>
      </c>
      <c r="R887" s="13">
        <f t="shared" si="50"/>
        <v>40499</v>
      </c>
      <c r="S887" s="106">
        <f t="shared" si="44"/>
        <v>1885.75</v>
      </c>
      <c r="T887" s="106">
        <f t="shared" si="45"/>
        <v>2125.9375</v>
      </c>
      <c r="U887" s="109">
        <f t="shared" si="46"/>
        <v>936.5</v>
      </c>
      <c r="V887" s="109">
        <f t="shared" si="47"/>
        <v>4701.125</v>
      </c>
      <c r="W887" s="110">
        <f t="shared" si="48"/>
        <v>1040.3125</v>
      </c>
      <c r="X887" s="106">
        <f t="shared" si="49"/>
        <v>9753.125</v>
      </c>
      <c r="Y887" s="204">
        <f t="shared" si="49"/>
        <v>2043.4381185186917</v>
      </c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 spans="1:34" x14ac:dyDescent="0.25">
      <c r="A888" s="105">
        <f t="shared" si="43"/>
        <v>40506</v>
      </c>
      <c r="B888" s="59">
        <f>SUM('Weekly Data'!D885:D888)/4</f>
        <v>1611.75</v>
      </c>
      <c r="C888" s="90">
        <f>SUM('Weekly Data'!E885:E888)/4</f>
        <v>2363.75</v>
      </c>
      <c r="D888" s="90">
        <f>SUM('Weekly Data'!F885:F888)/4</f>
        <v>765.75</v>
      </c>
      <c r="E888" s="90">
        <f>SUM('Weekly Data'!G885:G888)/4</f>
        <v>4346.25</v>
      </c>
      <c r="F888" s="90">
        <f>SUM('Weekly Data'!H885:H888)/4</f>
        <v>1225</v>
      </c>
      <c r="G888" s="90">
        <f>SUM('Weekly Data'!I885:I888)/4</f>
        <v>9546.75</v>
      </c>
      <c r="H888" s="202">
        <f>SUM('Weekly Data'!J885:J888)/4</f>
        <v>1593.7897901038664</v>
      </c>
      <c r="J888" s="101">
        <f>AVERAGE('Weekly Data'!D836,'Weekly Data'!D784,'Weekly Data'!D732,'Weekly Data'!D680)</f>
        <v>1668.5</v>
      </c>
      <c r="K888" s="16">
        <f>AVERAGE('Weekly Data'!E836,'Weekly Data'!E784,'Weekly Data'!E732,'Weekly Data'!E680)</f>
        <v>2129.75</v>
      </c>
      <c r="L888" s="16">
        <f>AVERAGE('Weekly Data'!F836,'Weekly Data'!F784,'Weekly Data'!F732,'Weekly Data'!F680)</f>
        <v>732.25</v>
      </c>
      <c r="M888" s="16">
        <f>AVERAGE('Weekly Data'!G836,'Weekly Data'!G784,'Weekly Data'!G732,'Weekly Data'!G680)</f>
        <v>3884.25</v>
      </c>
      <c r="N888" s="16">
        <f>AVERAGE('Weekly Data'!H836,'Weekly Data'!H784,'Weekly Data'!H732,'Weekly Data'!H680)</f>
        <v>967</v>
      </c>
      <c r="O888" s="101">
        <f>AVERAGE('Weekly Data'!I836,'Weekly Data'!I784,'Weekly Data'!I732,'Weekly Data'!I680)</f>
        <v>8649.5</v>
      </c>
      <c r="P888" s="203">
        <f>AVERAGE('Weekly Data'!J836,'Weekly Data'!J784,'Weekly Data'!J732,'Weekly Data'!J680)</f>
        <v>1925.9372989709987</v>
      </c>
      <c r="R888" s="13">
        <f t="shared" si="50"/>
        <v>40506</v>
      </c>
      <c r="S888" s="106">
        <f t="shared" si="44"/>
        <v>1760</v>
      </c>
      <c r="T888" s="106">
        <f t="shared" si="45"/>
        <v>2122.0625</v>
      </c>
      <c r="U888" s="109">
        <f t="shared" si="46"/>
        <v>889.875</v>
      </c>
      <c r="V888" s="109">
        <f t="shared" si="47"/>
        <v>4565.625</v>
      </c>
      <c r="W888" s="110">
        <f t="shared" si="48"/>
        <v>1026.3125</v>
      </c>
      <c r="X888" s="106">
        <f t="shared" si="49"/>
        <v>9474</v>
      </c>
      <c r="Y888" s="204">
        <f t="shared" si="49"/>
        <v>1975.2132247887944</v>
      </c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 spans="1:34" x14ac:dyDescent="0.25">
      <c r="A889" s="105">
        <f t="shared" si="43"/>
        <v>40513</v>
      </c>
      <c r="B889" s="59">
        <f>SUM('Weekly Data'!D886:D889)/4</f>
        <v>1464.75</v>
      </c>
      <c r="C889" s="90">
        <f>SUM('Weekly Data'!E886:E889)/4</f>
        <v>2340.25</v>
      </c>
      <c r="D889" s="90">
        <f>SUM('Weekly Data'!F886:F889)/4</f>
        <v>769.25</v>
      </c>
      <c r="E889" s="90">
        <f>SUM('Weekly Data'!G886:G889)/4</f>
        <v>4063.5</v>
      </c>
      <c r="F889" s="90">
        <f>SUM('Weekly Data'!H886:H889)/4</f>
        <v>1160</v>
      </c>
      <c r="G889" s="90">
        <f>SUM('Weekly Data'!I886:I889)/4</f>
        <v>9028.5</v>
      </c>
      <c r="H889" s="202">
        <f>SUM('Weekly Data'!J886:J889)/4</f>
        <v>1451.1514642238892</v>
      </c>
      <c r="J889" s="101">
        <f>AVERAGE('Weekly Data'!D837,'Weekly Data'!D785,'Weekly Data'!D733,'Weekly Data'!D681)</f>
        <v>1689.25</v>
      </c>
      <c r="K889" s="16">
        <f>AVERAGE('Weekly Data'!E837,'Weekly Data'!E785,'Weekly Data'!E733,'Weekly Data'!E681)</f>
        <v>1672.5</v>
      </c>
      <c r="L889" s="16">
        <f>AVERAGE('Weekly Data'!F837,'Weekly Data'!F785,'Weekly Data'!F733,'Weekly Data'!F681)</f>
        <v>796</v>
      </c>
      <c r="M889" s="16">
        <f>AVERAGE('Weekly Data'!G837,'Weekly Data'!G785,'Weekly Data'!G733,'Weekly Data'!G681)</f>
        <v>4448.75</v>
      </c>
      <c r="N889" s="16">
        <f>AVERAGE('Weekly Data'!H837,'Weekly Data'!H785,'Weekly Data'!H733,'Weekly Data'!H681)</f>
        <v>937.25</v>
      </c>
      <c r="O889" s="101">
        <f>AVERAGE('Weekly Data'!I837,'Weekly Data'!I785,'Weekly Data'!I733,'Weekly Data'!I681)</f>
        <v>8747.75</v>
      </c>
      <c r="P889" s="203">
        <f>AVERAGE('Weekly Data'!J837,'Weekly Data'!J785,'Weekly Data'!J733,'Weekly Data'!J681)</f>
        <v>1565.5186885234962</v>
      </c>
      <c r="R889" s="13">
        <f t="shared" si="50"/>
        <v>40513</v>
      </c>
      <c r="S889" s="106">
        <f t="shared" si="44"/>
        <v>1697.8125</v>
      </c>
      <c r="T889" s="106">
        <f t="shared" si="45"/>
        <v>2082.875</v>
      </c>
      <c r="U889" s="109">
        <f t="shared" si="46"/>
        <v>770.875</v>
      </c>
      <c r="V889" s="109">
        <f t="shared" si="47"/>
        <v>4254.4375</v>
      </c>
      <c r="W889" s="110">
        <f t="shared" si="48"/>
        <v>1009.0625</v>
      </c>
      <c r="X889" s="106">
        <f t="shared" si="49"/>
        <v>9044.1875</v>
      </c>
      <c r="Y889" s="204">
        <f t="shared" si="49"/>
        <v>1940.0218597768494</v>
      </c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 spans="1:34" x14ac:dyDescent="0.25">
      <c r="A890" s="105">
        <f t="shared" si="43"/>
        <v>40520</v>
      </c>
      <c r="B890" s="59">
        <f>SUM('Weekly Data'!D887:D890)/4</f>
        <v>1454.5</v>
      </c>
      <c r="C890" s="90">
        <f>SUM('Weekly Data'!E887:E890)/4</f>
        <v>2117.5</v>
      </c>
      <c r="D890" s="90">
        <f>SUM('Weekly Data'!F887:F890)/4</f>
        <v>776</v>
      </c>
      <c r="E890" s="90">
        <f>SUM('Weekly Data'!G887:G890)/4</f>
        <v>4117</v>
      </c>
      <c r="F890" s="90">
        <f>SUM('Weekly Data'!H887:H890)/4</f>
        <v>1142.25</v>
      </c>
      <c r="G890" s="90">
        <f>SUM('Weekly Data'!I887:I890)/4</f>
        <v>8831.25</v>
      </c>
      <c r="H890" s="202">
        <f>SUM('Weekly Data'!J887:J890)/4</f>
        <v>1344.5597230236585</v>
      </c>
      <c r="J890" s="101">
        <f>AVERAGE('Weekly Data'!D838,'Weekly Data'!D786,'Weekly Data'!D734,'Weekly Data'!D682)</f>
        <v>1483</v>
      </c>
      <c r="K890" s="16">
        <f>AVERAGE('Weekly Data'!E838,'Weekly Data'!E786,'Weekly Data'!E734,'Weekly Data'!E682)</f>
        <v>1606.75</v>
      </c>
      <c r="L890" s="16">
        <f>AVERAGE('Weekly Data'!F838,'Weekly Data'!F786,'Weekly Data'!F734,'Weekly Data'!F682)</f>
        <v>938.75</v>
      </c>
      <c r="M890" s="16">
        <f>AVERAGE('Weekly Data'!G838,'Weekly Data'!G786,'Weekly Data'!G734,'Weekly Data'!G682)</f>
        <v>4943.5</v>
      </c>
      <c r="N890" s="16">
        <f>AVERAGE('Weekly Data'!H838,'Weekly Data'!H786,'Weekly Data'!H734,'Weekly Data'!H682)</f>
        <v>969.75</v>
      </c>
      <c r="O890" s="101">
        <f>AVERAGE('Weekly Data'!I838,'Weekly Data'!I786,'Weekly Data'!I734,'Weekly Data'!I682)</f>
        <v>9003</v>
      </c>
      <c r="P890" s="203">
        <f>AVERAGE('Weekly Data'!J838,'Weekly Data'!J786,'Weekly Data'!J734,'Weekly Data'!J682)</f>
        <v>1353.5981195029829</v>
      </c>
      <c r="R890" s="13">
        <f t="shared" si="50"/>
        <v>40520</v>
      </c>
      <c r="S890" s="106">
        <f t="shared" si="44"/>
        <v>1631.75</v>
      </c>
      <c r="T890" s="106">
        <f t="shared" si="45"/>
        <v>1857.625</v>
      </c>
      <c r="U890" s="109">
        <f t="shared" si="46"/>
        <v>767.375</v>
      </c>
      <c r="V890" s="109">
        <f t="shared" si="47"/>
        <v>4469.375</v>
      </c>
      <c r="W890" s="110">
        <f t="shared" si="48"/>
        <v>1002.5</v>
      </c>
      <c r="X890" s="106">
        <f t="shared" si="49"/>
        <v>8961.25</v>
      </c>
      <c r="Y890" s="204">
        <f t="shared" si="49"/>
        <v>1745.4729466680901</v>
      </c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 spans="1:34" x14ac:dyDescent="0.25">
      <c r="A891" s="105">
        <f t="shared" si="43"/>
        <v>40527</v>
      </c>
      <c r="B891" s="59">
        <f>SUM('Weekly Data'!D888:D891)/4</f>
        <v>1312.25</v>
      </c>
      <c r="C891" s="90">
        <f>SUM('Weekly Data'!E888:E891)/4</f>
        <v>1944.25</v>
      </c>
      <c r="D891" s="90">
        <f>SUM('Weekly Data'!F888:F891)/4</f>
        <v>760.5</v>
      </c>
      <c r="E891" s="90">
        <f>SUM('Weekly Data'!G888:G891)/4</f>
        <v>3885.25</v>
      </c>
      <c r="F891" s="90">
        <f>SUM('Weekly Data'!H888:H891)/4</f>
        <v>934.5</v>
      </c>
      <c r="G891" s="90">
        <f>SUM('Weekly Data'!I888:I891)/4</f>
        <v>8076.25</v>
      </c>
      <c r="H891" s="202">
        <f>SUM('Weekly Data'!J888:J891)/4</f>
        <v>1449.6034513848817</v>
      </c>
      <c r="J891" s="101">
        <f>AVERAGE('Weekly Data'!D839,'Weekly Data'!D787,'Weekly Data'!D735,'Weekly Data'!D683)</f>
        <v>1213.5</v>
      </c>
      <c r="K891" s="16">
        <f>AVERAGE('Weekly Data'!E839,'Weekly Data'!E787,'Weekly Data'!E735,'Weekly Data'!E683)</f>
        <v>1637.25</v>
      </c>
      <c r="L891" s="16">
        <f>AVERAGE('Weekly Data'!F839,'Weekly Data'!F787,'Weekly Data'!F735,'Weekly Data'!F683)</f>
        <v>518.5</v>
      </c>
      <c r="M891" s="16">
        <f>AVERAGE('Weekly Data'!G839,'Weekly Data'!G787,'Weekly Data'!G735,'Weekly Data'!G683)</f>
        <v>4108.25</v>
      </c>
      <c r="N891" s="16">
        <f>AVERAGE('Weekly Data'!H839,'Weekly Data'!H787,'Weekly Data'!H735,'Weekly Data'!H683)</f>
        <v>674</v>
      </c>
      <c r="O891" s="101">
        <f>AVERAGE('Weekly Data'!I839,'Weekly Data'!I787,'Weekly Data'!I735,'Weekly Data'!I683)</f>
        <v>7633</v>
      </c>
      <c r="P891" s="203">
        <f>AVERAGE('Weekly Data'!J839,'Weekly Data'!J787,'Weekly Data'!J735,'Weekly Data'!J683)</f>
        <v>1761.6345292751612</v>
      </c>
      <c r="R891" s="13">
        <f t="shared" si="50"/>
        <v>40527</v>
      </c>
      <c r="S891" s="106">
        <f t="shared" si="44"/>
        <v>1516.75</v>
      </c>
      <c r="T891" s="106">
        <f t="shared" si="45"/>
        <v>1762.9375</v>
      </c>
      <c r="U891" s="109">
        <f t="shared" si="46"/>
        <v>724.25</v>
      </c>
      <c r="V891" s="109">
        <f t="shared" si="47"/>
        <v>4394.625</v>
      </c>
      <c r="W891" s="110">
        <f t="shared" si="48"/>
        <v>890.5625</v>
      </c>
      <c r="X891" s="106">
        <f t="shared" si="49"/>
        <v>8564.875</v>
      </c>
      <c r="Y891" s="204">
        <f t="shared" si="49"/>
        <v>1651.6721590681595</v>
      </c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 spans="1:34" x14ac:dyDescent="0.25">
      <c r="A892" s="105">
        <f t="shared" si="43"/>
        <v>40534</v>
      </c>
      <c r="B892" s="59">
        <f>SUM('Weekly Data'!D889:D892)/4</f>
        <v>1309</v>
      </c>
      <c r="C892" s="90">
        <f>SUM('Weekly Data'!E889:E892)/4</f>
        <v>1871.5</v>
      </c>
      <c r="D892" s="90">
        <f>SUM('Weekly Data'!F889:F892)/4</f>
        <v>654</v>
      </c>
      <c r="E892" s="90">
        <f>SUM('Weekly Data'!G889:G892)/4</f>
        <v>4054.25</v>
      </c>
      <c r="F892" s="90">
        <f>SUM('Weekly Data'!H889:H892)/4</f>
        <v>830.75</v>
      </c>
      <c r="G892" s="90">
        <f>SUM('Weekly Data'!I889:I892)/4</f>
        <v>8065.5</v>
      </c>
      <c r="H892" s="202">
        <f>SUM('Weekly Data'!J889:J892)/4</f>
        <v>1373.5296775822276</v>
      </c>
      <c r="J892" s="101">
        <f>AVERAGE('Weekly Data'!D840,'Weekly Data'!D788,'Weekly Data'!D736,'Weekly Data'!D684)</f>
        <v>1150.75</v>
      </c>
      <c r="K892" s="16">
        <f>AVERAGE('Weekly Data'!E840,'Weekly Data'!E788,'Weekly Data'!E736,'Weekly Data'!E684)</f>
        <v>1306.25</v>
      </c>
      <c r="L892" s="16">
        <f>AVERAGE('Weekly Data'!F840,'Weekly Data'!F788,'Weekly Data'!F736,'Weekly Data'!F684)</f>
        <v>779.5</v>
      </c>
      <c r="M892" s="16">
        <f>AVERAGE('Weekly Data'!G840,'Weekly Data'!G788,'Weekly Data'!G736,'Weekly Data'!G684)</f>
        <v>3548</v>
      </c>
      <c r="N892" s="16">
        <f>AVERAGE('Weekly Data'!H840,'Weekly Data'!H788,'Weekly Data'!H736,'Weekly Data'!H684)</f>
        <v>800.25</v>
      </c>
      <c r="O892" s="101">
        <f>AVERAGE('Weekly Data'!I840,'Weekly Data'!I788,'Weekly Data'!I736,'Weekly Data'!I684)</f>
        <v>6805.25</v>
      </c>
      <c r="P892" s="203">
        <f>AVERAGE('Weekly Data'!J840,'Weekly Data'!J788,'Weekly Data'!J736,'Weekly Data'!J684)</f>
        <v>1255.4137490490743</v>
      </c>
      <c r="R892" s="13">
        <f t="shared" si="50"/>
        <v>40534</v>
      </c>
      <c r="S892" s="106">
        <f t="shared" si="44"/>
        <v>1379.75</v>
      </c>
      <c r="T892" s="106">
        <f t="shared" si="45"/>
        <v>1600.25</v>
      </c>
      <c r="U892" s="109">
        <f t="shared" si="46"/>
        <v>742.25</v>
      </c>
      <c r="V892" s="109">
        <f t="shared" si="47"/>
        <v>4221.125</v>
      </c>
      <c r="W892" s="110">
        <f t="shared" si="48"/>
        <v>869.5</v>
      </c>
      <c r="X892" s="106">
        <f t="shared" si="49"/>
        <v>8070.625</v>
      </c>
      <c r="Y892" s="204">
        <f t="shared" si="49"/>
        <v>1484.0412715876787</v>
      </c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 spans="1:34" x14ac:dyDescent="0.25">
      <c r="A893" s="105">
        <f t="shared" si="43"/>
        <v>40541</v>
      </c>
      <c r="B893" s="59">
        <f>SUM('Weekly Data'!D890:D893)/4</f>
        <v>1253</v>
      </c>
      <c r="C893" s="90">
        <f>SUM('Weekly Data'!E890:E893)/4</f>
        <v>1826</v>
      </c>
      <c r="D893" s="90">
        <f>SUM('Weekly Data'!F890:F893)/4</f>
        <v>640.25</v>
      </c>
      <c r="E893" s="90">
        <f>SUM('Weekly Data'!G890:G893)/4</f>
        <v>3933.25</v>
      </c>
      <c r="F893" s="90">
        <f>SUM('Weekly Data'!H890:H893)/4</f>
        <v>721.5</v>
      </c>
      <c r="G893" s="90">
        <f>SUM('Weekly Data'!I890:I893)/4</f>
        <v>7733.75</v>
      </c>
      <c r="H893" s="202">
        <f>SUM('Weekly Data'!J890:J893)/4</f>
        <v>1347.8768933929603</v>
      </c>
      <c r="J893" s="101">
        <f>AVERAGE('Weekly Data'!D841,'Weekly Data'!D789,'Weekly Data'!D737,'Weekly Data'!D685)</f>
        <v>851</v>
      </c>
      <c r="K893" s="16">
        <f>AVERAGE('Weekly Data'!E841,'Weekly Data'!E789,'Weekly Data'!E737,'Weekly Data'!E685)</f>
        <v>1603</v>
      </c>
      <c r="L893" s="16">
        <f>AVERAGE('Weekly Data'!F841,'Weekly Data'!F789,'Weekly Data'!F737,'Weekly Data'!F685)</f>
        <v>357.5</v>
      </c>
      <c r="M893" s="16">
        <f>AVERAGE('Weekly Data'!G841,'Weekly Data'!G789,'Weekly Data'!G737,'Weekly Data'!G685)</f>
        <v>3311.5</v>
      </c>
      <c r="N893" s="16">
        <f>AVERAGE('Weekly Data'!H841,'Weekly Data'!H789,'Weekly Data'!H737,'Weekly Data'!H685)</f>
        <v>611.75</v>
      </c>
      <c r="O893" s="101">
        <f>AVERAGE('Weekly Data'!I841,'Weekly Data'!I789,'Weekly Data'!I737,'Weekly Data'!I685)</f>
        <v>6377.25</v>
      </c>
      <c r="P893" s="203">
        <f>AVERAGE('Weekly Data'!J841,'Weekly Data'!J789,'Weekly Data'!J737,'Weekly Data'!J685)</f>
        <v>1444.6650686668359</v>
      </c>
      <c r="R893" s="13">
        <f t="shared" si="50"/>
        <v>40541</v>
      </c>
      <c r="S893" s="106">
        <f t="shared" si="44"/>
        <v>1218.9375</v>
      </c>
      <c r="T893" s="106">
        <f t="shared" si="45"/>
        <v>1500.25</v>
      </c>
      <c r="U893" s="109">
        <f t="shared" si="46"/>
        <v>683.0625</v>
      </c>
      <c r="V893" s="109">
        <f t="shared" si="47"/>
        <v>3983.5625</v>
      </c>
      <c r="W893" s="110">
        <f t="shared" si="48"/>
        <v>776.5625</v>
      </c>
      <c r="X893" s="106">
        <f t="shared" si="49"/>
        <v>7479.3125</v>
      </c>
      <c r="Y893" s="204">
        <f t="shared" si="49"/>
        <v>1453.8278666235137</v>
      </c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 spans="1:34" x14ac:dyDescent="0.25">
      <c r="A894" s="105">
        <f t="shared" si="43"/>
        <v>40548</v>
      </c>
      <c r="B894" s="59">
        <f>SUM('Weekly Data'!D891:D894)/4</f>
        <v>1094.25</v>
      </c>
      <c r="C894" s="90">
        <f>SUM('Weekly Data'!E891:E894)/4</f>
        <v>1836.25</v>
      </c>
      <c r="D894" s="90">
        <f>SUM('Weekly Data'!F891:F894)/4</f>
        <v>555</v>
      </c>
      <c r="E894" s="90">
        <f>SUM('Weekly Data'!G891:G894)/4</f>
        <v>3591.5</v>
      </c>
      <c r="F894" s="90">
        <f>SUM('Weekly Data'!H891:H894)/4</f>
        <v>692.75</v>
      </c>
      <c r="G894" s="90">
        <f>SUM('Weekly Data'!I891:I894)/4</f>
        <v>7214.75</v>
      </c>
      <c r="H894" s="202">
        <f>SUM('Weekly Data'!J891:J894)/4</f>
        <v>1291.7061418061166</v>
      </c>
      <c r="J894" s="101">
        <f>AVERAGE('Weekly Data'!D842,'Weekly Data'!D790,'Weekly Data'!D738,'Weekly Data'!D686)</f>
        <v>1237.5</v>
      </c>
      <c r="K894" s="16">
        <f>AVERAGE('Weekly Data'!E842,'Weekly Data'!E790,'Weekly Data'!E738,'Weekly Data'!E686)</f>
        <v>1732.5</v>
      </c>
      <c r="L894" s="16">
        <f>AVERAGE('Weekly Data'!F842,'Weekly Data'!F790,'Weekly Data'!F738,'Weekly Data'!F686)</f>
        <v>780</v>
      </c>
      <c r="M894" s="16">
        <f>AVERAGE('Weekly Data'!G842,'Weekly Data'!G790,'Weekly Data'!G738,'Weekly Data'!G686)</f>
        <v>3656.5</v>
      </c>
      <c r="N894" s="16">
        <f>AVERAGE('Weekly Data'!H842,'Weekly Data'!H790,'Weekly Data'!H738,'Weekly Data'!H686)</f>
        <v>910</v>
      </c>
      <c r="O894" s="101">
        <f>AVERAGE('Weekly Data'!I842,'Weekly Data'!I790,'Weekly Data'!I738,'Weekly Data'!I686)</f>
        <v>7536.5</v>
      </c>
      <c r="P894" s="203">
        <f>AVERAGE('Weekly Data'!J842,'Weekly Data'!J790,'Weekly Data'!J738,'Weekly Data'!J686)</f>
        <v>1209.5690301893842</v>
      </c>
      <c r="R894" s="13">
        <f t="shared" si="50"/>
        <v>40548</v>
      </c>
      <c r="S894" s="106">
        <f t="shared" ref="S894:S916" si="51">AVERAGE(B842,B790,B738,B685)</f>
        <v>1112.0625</v>
      </c>
      <c r="T894" s="106">
        <f t="shared" ref="T894:T916" si="52">AVERAGE(C842,C790,C738,C685)</f>
        <v>1620.6875</v>
      </c>
      <c r="U894" s="109">
        <f t="shared" ref="U894:U916" si="53">AVERAGE(D842,D790,D738,D685)</f>
        <v>669.625</v>
      </c>
      <c r="V894" s="109">
        <f t="shared" ref="V894:V916" si="54">AVERAGE(E842,E790,E738,E685)</f>
        <v>3636.125</v>
      </c>
      <c r="W894" s="110">
        <f t="shared" ref="W894:W916" si="55">AVERAGE(F842,F790,F738,F685)</f>
        <v>734.25</v>
      </c>
      <c r="X894" s="106">
        <f t="shared" ref="X894:Y916" si="56">AVERAGE(G842,G790,G738,G685)</f>
        <v>7103.125</v>
      </c>
      <c r="Y894" s="204">
        <f t="shared" si="56"/>
        <v>1417.820594295114</v>
      </c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 spans="1:34" x14ac:dyDescent="0.25">
      <c r="A895" s="105">
        <f t="shared" si="43"/>
        <v>40555</v>
      </c>
      <c r="B895" s="59">
        <f>SUM('Weekly Data'!D892:D895)/4</f>
        <v>1038.75</v>
      </c>
      <c r="C895" s="90">
        <f>SUM('Weekly Data'!E892:E895)/4</f>
        <v>1906.25</v>
      </c>
      <c r="D895" s="90">
        <f>SUM('Weekly Data'!F892:F895)/4</f>
        <v>542.5</v>
      </c>
      <c r="E895" s="90">
        <f>SUM('Weekly Data'!G892:G895)/4</f>
        <v>3511.75</v>
      </c>
      <c r="F895" s="90">
        <f>SUM('Weekly Data'!H892:H895)/4</f>
        <v>754</v>
      </c>
      <c r="G895" s="90">
        <f>SUM('Weekly Data'!I892:I895)/4</f>
        <v>7210.75</v>
      </c>
      <c r="H895" s="202">
        <f>SUM('Weekly Data'!J892:J895)/4</f>
        <v>1204.2163829143958</v>
      </c>
      <c r="J895" s="101">
        <f>AVERAGE('Weekly Data'!D843,'Weekly Data'!D791,'Weekly Data'!D739,'Weekly Data'!D687)</f>
        <v>1359.25</v>
      </c>
      <c r="K895" s="16">
        <f>AVERAGE('Weekly Data'!E843,'Weekly Data'!E791,'Weekly Data'!E739,'Weekly Data'!E687)</f>
        <v>1383.75</v>
      </c>
      <c r="L895" s="16">
        <f>AVERAGE('Weekly Data'!F843,'Weekly Data'!F791,'Weekly Data'!F739,'Weekly Data'!F687)</f>
        <v>489.25</v>
      </c>
      <c r="M895" s="16">
        <f>AVERAGE('Weekly Data'!G843,'Weekly Data'!G791,'Weekly Data'!G739,'Weekly Data'!G687)</f>
        <v>3917.5</v>
      </c>
      <c r="N895" s="16">
        <f>AVERAGE('Weekly Data'!H843,'Weekly Data'!H791,'Weekly Data'!H739,'Weekly Data'!H687)</f>
        <v>969</v>
      </c>
      <c r="O895" s="101">
        <f>AVERAGE('Weekly Data'!I843,'Weekly Data'!I791,'Weekly Data'!I739,'Weekly Data'!I687)</f>
        <v>7629.5</v>
      </c>
      <c r="P895" s="203">
        <f>AVERAGE('Weekly Data'!J843,'Weekly Data'!J791,'Weekly Data'!J739,'Weekly Data'!J687)</f>
        <v>1917.3823833791223</v>
      </c>
      <c r="R895" s="13">
        <f t="shared" si="50"/>
        <v>40555</v>
      </c>
      <c r="S895" s="106">
        <f t="shared" si="51"/>
        <v>1129.75</v>
      </c>
      <c r="T895" s="106">
        <f t="shared" si="52"/>
        <v>1580.4375</v>
      </c>
      <c r="U895" s="109">
        <f t="shared" si="53"/>
        <v>630.8125</v>
      </c>
      <c r="V895" s="109">
        <f t="shared" si="54"/>
        <v>3620.4375</v>
      </c>
      <c r="W895" s="110">
        <f t="shared" si="55"/>
        <v>826</v>
      </c>
      <c r="X895" s="106">
        <f t="shared" si="56"/>
        <v>7156.625</v>
      </c>
      <c r="Y895" s="204">
        <f t="shared" si="56"/>
        <v>1456.757557821104</v>
      </c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 spans="1:34" x14ac:dyDescent="0.25">
      <c r="A896" s="105">
        <f t="shared" si="43"/>
        <v>40562</v>
      </c>
      <c r="B896" s="59">
        <f>SUM('Weekly Data'!D893:D896)/4</f>
        <v>1112</v>
      </c>
      <c r="C896" s="90">
        <f>SUM('Weekly Data'!E893:E896)/4</f>
        <v>2024.75</v>
      </c>
      <c r="D896" s="90">
        <f>SUM('Weekly Data'!F893:F896)/4</f>
        <v>522.75</v>
      </c>
      <c r="E896" s="90">
        <f>SUM('Weekly Data'!G893:G896)/4</f>
        <v>3478.5</v>
      </c>
      <c r="F896" s="90">
        <f>SUM('Weekly Data'!H893:H896)/4</f>
        <v>761.25</v>
      </c>
      <c r="G896" s="90">
        <f>SUM('Weekly Data'!I893:I896)/4</f>
        <v>7376.5</v>
      </c>
      <c r="H896" s="202">
        <f>SUM('Weekly Data'!J893:J896)/4</f>
        <v>1278.1958596892373</v>
      </c>
      <c r="J896" s="101">
        <f>AVERAGE('Weekly Data'!D844,'Weekly Data'!D792,'Weekly Data'!D740,'Weekly Data'!D688)</f>
        <v>1250.75</v>
      </c>
      <c r="K896" s="16">
        <f>AVERAGE('Weekly Data'!E844,'Weekly Data'!E792,'Weekly Data'!E740,'Weekly Data'!E688)</f>
        <v>1649.25</v>
      </c>
      <c r="L896" s="16">
        <f>AVERAGE('Weekly Data'!F844,'Weekly Data'!F792,'Weekly Data'!F740,'Weekly Data'!F688)</f>
        <v>740.5</v>
      </c>
      <c r="M896" s="16">
        <f>AVERAGE('Weekly Data'!G844,'Weekly Data'!G792,'Weekly Data'!G740,'Weekly Data'!G688)</f>
        <v>4516.25</v>
      </c>
      <c r="N896" s="16">
        <f>AVERAGE('Weekly Data'!H844,'Weekly Data'!H792,'Weekly Data'!H740,'Weekly Data'!H688)</f>
        <v>843.25</v>
      </c>
      <c r="O896" s="101">
        <f>AVERAGE('Weekly Data'!I844,'Weekly Data'!I792,'Weekly Data'!I740,'Weekly Data'!I688)</f>
        <v>8259.5</v>
      </c>
      <c r="P896" s="203">
        <f>AVERAGE('Weekly Data'!J844,'Weekly Data'!J792,'Weekly Data'!J740,'Weekly Data'!J688)</f>
        <v>1157.6266660523802</v>
      </c>
      <c r="R896" s="13">
        <f t="shared" si="50"/>
        <v>40562</v>
      </c>
      <c r="S896" s="106">
        <f t="shared" si="51"/>
        <v>1181.75</v>
      </c>
      <c r="T896" s="106">
        <f t="shared" si="52"/>
        <v>1575.875</v>
      </c>
      <c r="U896" s="109">
        <f t="shared" si="53"/>
        <v>577</v>
      </c>
      <c r="V896" s="109">
        <f t="shared" si="54"/>
        <v>3729.1875</v>
      </c>
      <c r="W896" s="110">
        <f t="shared" si="55"/>
        <v>823.625</v>
      </c>
      <c r="X896" s="106">
        <f t="shared" si="56"/>
        <v>7310.4375</v>
      </c>
      <c r="Y896" s="204">
        <f t="shared" si="56"/>
        <v>1432.3107870719307</v>
      </c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 spans="1:34" x14ac:dyDescent="0.25">
      <c r="A897" s="105">
        <f t="shared" si="43"/>
        <v>40569</v>
      </c>
      <c r="B897" s="59">
        <f>SUM('Weekly Data'!D894:D897)/4</f>
        <v>1139</v>
      </c>
      <c r="C897" s="90">
        <f>SUM('Weekly Data'!E894:E897)/4</f>
        <v>2080</v>
      </c>
      <c r="D897" s="90">
        <f>SUM('Weekly Data'!F894:F897)/4</f>
        <v>494.25</v>
      </c>
      <c r="E897" s="90">
        <f>SUM('Weekly Data'!G894:G897)/4</f>
        <v>3862.75</v>
      </c>
      <c r="F897" s="90">
        <f>SUM('Weekly Data'!H894:H897)/4</f>
        <v>850.25</v>
      </c>
      <c r="G897" s="90">
        <f>SUM('Weekly Data'!I894:I897)/4</f>
        <v>7932</v>
      </c>
      <c r="H897" s="202">
        <f>SUM('Weekly Data'!J894:J897)/4</f>
        <v>1351.7900657883774</v>
      </c>
      <c r="J897" s="101">
        <f>AVERAGE('Weekly Data'!D845,'Weekly Data'!D793,'Weekly Data'!D741,'Weekly Data'!D689)</f>
        <v>1316.5</v>
      </c>
      <c r="K897" s="16">
        <f>AVERAGE('Weekly Data'!E845,'Weekly Data'!E793,'Weekly Data'!E741,'Weekly Data'!E689)</f>
        <v>1642</v>
      </c>
      <c r="L897" s="16">
        <f>AVERAGE('Weekly Data'!F845,'Weekly Data'!F793,'Weekly Data'!F741,'Weekly Data'!F689)</f>
        <v>665.25</v>
      </c>
      <c r="M897" s="16">
        <f>AVERAGE('Weekly Data'!G845,'Weekly Data'!G793,'Weekly Data'!G741,'Weekly Data'!G689)</f>
        <v>4274.75</v>
      </c>
      <c r="N897" s="16">
        <f>AVERAGE('Weekly Data'!H845,'Weekly Data'!H793,'Weekly Data'!H741,'Weekly Data'!H689)</f>
        <v>1038.5</v>
      </c>
      <c r="O897" s="101">
        <f>AVERAGE('Weekly Data'!I845,'Weekly Data'!I793,'Weekly Data'!I741,'Weekly Data'!I689)</f>
        <v>8271.75</v>
      </c>
      <c r="P897" s="203">
        <f>AVERAGE('Weekly Data'!J845,'Weekly Data'!J793,'Weekly Data'!J741,'Weekly Data'!J689)</f>
        <v>1640.4487255794334</v>
      </c>
      <c r="R897" s="13">
        <f t="shared" si="50"/>
        <v>40569</v>
      </c>
      <c r="S897" s="106">
        <f t="shared" si="51"/>
        <v>1269.125</v>
      </c>
      <c r="T897" s="106">
        <f t="shared" si="52"/>
        <v>1639.3125</v>
      </c>
      <c r="U897" s="109">
        <f t="shared" si="53"/>
        <v>654.125</v>
      </c>
      <c r="V897" s="109">
        <f t="shared" si="54"/>
        <v>4057.875</v>
      </c>
      <c r="W897" s="110">
        <f t="shared" si="55"/>
        <v>920.875</v>
      </c>
      <c r="X897" s="106">
        <f t="shared" si="56"/>
        <v>7887.1875</v>
      </c>
      <c r="Y897" s="204">
        <f t="shared" si="56"/>
        <v>1481.2567013000798</v>
      </c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 spans="1:34" x14ac:dyDescent="0.25">
      <c r="A898" s="105">
        <f t="shared" si="43"/>
        <v>40576</v>
      </c>
      <c r="B898" s="59">
        <f>SUM('Weekly Data'!D895:D898)/4</f>
        <v>1099</v>
      </c>
      <c r="C898" s="90">
        <f>SUM('Weekly Data'!E895:E898)/4</f>
        <v>2236.25</v>
      </c>
      <c r="D898" s="90">
        <f>SUM('Weekly Data'!F895:F898)/4</f>
        <v>566</v>
      </c>
      <c r="E898" s="90">
        <f>SUM('Weekly Data'!G895:G898)/4</f>
        <v>4151.25</v>
      </c>
      <c r="F898" s="90">
        <f>SUM('Weekly Data'!H895:H898)/4</f>
        <v>812</v>
      </c>
      <c r="G898" s="90">
        <f>SUM('Weekly Data'!I895:I898)/4</f>
        <v>8298.5</v>
      </c>
      <c r="H898" s="202">
        <f>SUM('Weekly Data'!J895:J898)/4</f>
        <v>1476.3774656437697</v>
      </c>
      <c r="J898" s="101">
        <f>AVERAGE('Weekly Data'!D846,'Weekly Data'!D794,'Weekly Data'!D742,'Weekly Data'!D690)</f>
        <v>1106.75</v>
      </c>
      <c r="K898" s="16">
        <f>AVERAGE('Weekly Data'!E846,'Weekly Data'!E794,'Weekly Data'!E742,'Weekly Data'!E690)</f>
        <v>1734.5</v>
      </c>
      <c r="L898" s="16">
        <f>AVERAGE('Weekly Data'!F846,'Weekly Data'!F794,'Weekly Data'!F742,'Weekly Data'!F690)</f>
        <v>565</v>
      </c>
      <c r="M898" s="16">
        <f>AVERAGE('Weekly Data'!G846,'Weekly Data'!G794,'Weekly Data'!G742,'Weekly Data'!G690)</f>
        <v>4066</v>
      </c>
      <c r="N898" s="16">
        <f>AVERAGE('Weekly Data'!H846,'Weekly Data'!H794,'Weekly Data'!H742,'Weekly Data'!H690)</f>
        <v>832.75</v>
      </c>
      <c r="O898" s="101">
        <f>AVERAGE('Weekly Data'!I846,'Weekly Data'!I794,'Weekly Data'!I742,'Weekly Data'!I690)</f>
        <v>7740</v>
      </c>
      <c r="P898" s="203">
        <f>AVERAGE('Weekly Data'!J846,'Weekly Data'!J794,'Weekly Data'!J742,'Weekly Data'!J690)</f>
        <v>1350.9242162044072</v>
      </c>
      <c r="R898" s="13">
        <f t="shared" si="50"/>
        <v>40576</v>
      </c>
      <c r="S898" s="106">
        <f t="shared" si="51"/>
        <v>1306.9375</v>
      </c>
      <c r="T898" s="106">
        <f t="shared" si="52"/>
        <v>1615.0625</v>
      </c>
      <c r="U898" s="109">
        <f t="shared" si="53"/>
        <v>599.8125</v>
      </c>
      <c r="V898" s="109">
        <f t="shared" si="54"/>
        <v>4248.1875</v>
      </c>
      <c r="W898" s="110">
        <f t="shared" si="55"/>
        <v>961.6875</v>
      </c>
      <c r="X898" s="106">
        <f t="shared" si="56"/>
        <v>8131.875</v>
      </c>
      <c r="Y898" s="204">
        <f t="shared" si="56"/>
        <v>1516.5954978038358</v>
      </c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 spans="1:34" x14ac:dyDescent="0.25">
      <c r="A899" s="105">
        <f t="shared" si="43"/>
        <v>40583</v>
      </c>
      <c r="B899" s="59">
        <f>SUM('Weekly Data'!D896:D899)/4</f>
        <v>1067.75</v>
      </c>
      <c r="C899" s="90">
        <f>SUM('Weekly Data'!E896:E899)/4</f>
        <v>2185</v>
      </c>
      <c r="D899" s="90">
        <f>SUM('Weekly Data'!F896:F899)/4</f>
        <v>709.25</v>
      </c>
      <c r="E899" s="90">
        <f>SUM('Weekly Data'!G896:G899)/4</f>
        <v>4164.5</v>
      </c>
      <c r="F899" s="90">
        <f>SUM('Weekly Data'!H896:H899)/4</f>
        <v>800.5</v>
      </c>
      <c r="G899" s="90">
        <f>SUM('Weekly Data'!I896:I899)/4</f>
        <v>8217.75</v>
      </c>
      <c r="H899" s="202">
        <f>SUM('Weekly Data'!J896:J899)/4</f>
        <v>1404.5321218665722</v>
      </c>
      <c r="J899" s="101">
        <f>AVERAGE('Weekly Data'!D847,'Weekly Data'!D795,'Weekly Data'!D743,'Weekly Data'!D691)</f>
        <v>1289.25</v>
      </c>
      <c r="K899" s="16">
        <f>AVERAGE('Weekly Data'!E847,'Weekly Data'!E795,'Weekly Data'!E743,'Weekly Data'!E691)</f>
        <v>2013</v>
      </c>
      <c r="L899" s="16">
        <f>AVERAGE('Weekly Data'!F847,'Weekly Data'!F795,'Weekly Data'!F743,'Weekly Data'!F691)</f>
        <v>905.75</v>
      </c>
      <c r="M899" s="16">
        <f>AVERAGE('Weekly Data'!G847,'Weekly Data'!G795,'Weekly Data'!G743,'Weekly Data'!G691)</f>
        <v>4396.5</v>
      </c>
      <c r="N899" s="16">
        <f>AVERAGE('Weekly Data'!H847,'Weekly Data'!H795,'Weekly Data'!H743,'Weekly Data'!H691)</f>
        <v>837.25</v>
      </c>
      <c r="O899" s="101">
        <f>AVERAGE('Weekly Data'!I847,'Weekly Data'!I795,'Weekly Data'!I743,'Weekly Data'!I691)</f>
        <v>8536</v>
      </c>
      <c r="P899" s="203">
        <f>AVERAGE('Weekly Data'!J847,'Weekly Data'!J795,'Weekly Data'!J743,'Weekly Data'!J691)</f>
        <v>1217.6350613365041</v>
      </c>
      <c r="R899" s="13">
        <f t="shared" si="50"/>
        <v>40583</v>
      </c>
      <c r="S899" s="106">
        <f t="shared" si="51"/>
        <v>1284.0625</v>
      </c>
      <c r="T899" s="106">
        <f t="shared" si="52"/>
        <v>1714.3125</v>
      </c>
      <c r="U899" s="109">
        <f t="shared" si="53"/>
        <v>669.0625</v>
      </c>
      <c r="V899" s="109">
        <f t="shared" si="54"/>
        <v>4245.6875</v>
      </c>
      <c r="W899" s="110">
        <f t="shared" si="55"/>
        <v>869.625</v>
      </c>
      <c r="X899" s="106">
        <f t="shared" si="56"/>
        <v>8113.6875</v>
      </c>
      <c r="Y899" s="204">
        <f t="shared" si="56"/>
        <v>1341.6586672931812</v>
      </c>
    </row>
    <row r="900" spans="1:34" x14ac:dyDescent="0.25">
      <c r="A900" s="105">
        <f t="shared" si="43"/>
        <v>40590</v>
      </c>
      <c r="B900" s="59">
        <f>SUM('Weekly Data'!D897:D900)/4</f>
        <v>1019</v>
      </c>
      <c r="C900" s="90">
        <f>SUM('Weekly Data'!E897:E900)/4</f>
        <v>2155</v>
      </c>
      <c r="D900" s="90">
        <f>SUM('Weekly Data'!F897:F900)/4</f>
        <v>630.75</v>
      </c>
      <c r="E900" s="90">
        <f>SUM('Weekly Data'!G897:G900)/4</f>
        <v>4257.25</v>
      </c>
      <c r="F900" s="90">
        <f>SUM('Weekly Data'!H897:H900)/4</f>
        <v>672.75</v>
      </c>
      <c r="G900" s="90">
        <f>SUM('Weekly Data'!I897:I900)/4</f>
        <v>8104</v>
      </c>
      <c r="H900" s="202">
        <f>SUM('Weekly Data'!J897:J900)/4</f>
        <v>1251.7498938959266</v>
      </c>
      <c r="J900" s="101">
        <f>AVERAGE('Weekly Data'!D848,'Weekly Data'!D796,'Weekly Data'!D744,'Weekly Data'!D692)</f>
        <v>1159.75</v>
      </c>
      <c r="K900" s="16">
        <f>AVERAGE('Weekly Data'!E848,'Weekly Data'!E796,'Weekly Data'!E744,'Weekly Data'!E692)</f>
        <v>1836.75</v>
      </c>
      <c r="L900" s="16">
        <f>AVERAGE('Weekly Data'!F848,'Weekly Data'!F796,'Weekly Data'!F744,'Weekly Data'!F692)</f>
        <v>582.5</v>
      </c>
      <c r="M900" s="16">
        <f>AVERAGE('Weekly Data'!G848,'Weekly Data'!G796,'Weekly Data'!G744,'Weekly Data'!G692)</f>
        <v>3834.25</v>
      </c>
      <c r="N900" s="16">
        <f>AVERAGE('Weekly Data'!H848,'Weekly Data'!H796,'Weekly Data'!H744,'Weekly Data'!H692)</f>
        <v>736.5</v>
      </c>
      <c r="O900" s="101">
        <f>AVERAGE('Weekly Data'!I848,'Weekly Data'!I796,'Weekly Data'!I744,'Weekly Data'!I692)</f>
        <v>7567.25</v>
      </c>
      <c r="P900" s="203">
        <f>AVERAGE('Weekly Data'!J848,'Weekly Data'!J796,'Weekly Data'!J744,'Weekly Data'!J692)</f>
        <v>1751.0930777132598</v>
      </c>
      <c r="R900" s="13">
        <f t="shared" si="50"/>
        <v>40590</v>
      </c>
      <c r="S900" s="106">
        <f t="shared" si="51"/>
        <v>1253.5</v>
      </c>
      <c r="T900" s="106">
        <f t="shared" si="52"/>
        <v>1831.75</v>
      </c>
      <c r="U900" s="109">
        <f t="shared" si="53"/>
        <v>726.9375</v>
      </c>
      <c r="V900" s="109">
        <f t="shared" si="54"/>
        <v>4263.625</v>
      </c>
      <c r="W900" s="110">
        <f t="shared" si="55"/>
        <v>875.375</v>
      </c>
      <c r="X900" s="106">
        <f t="shared" si="56"/>
        <v>8224.25</v>
      </c>
      <c r="Y900" s="204">
        <f t="shared" si="56"/>
        <v>1490.0252702084013</v>
      </c>
    </row>
    <row r="901" spans="1:34" x14ac:dyDescent="0.25">
      <c r="A901" s="105">
        <f t="shared" si="43"/>
        <v>40597</v>
      </c>
      <c r="B901" s="59">
        <f>SUM('Weekly Data'!D898:D901)/4</f>
        <v>978</v>
      </c>
      <c r="C901" s="90">
        <f>SUM('Weekly Data'!E898:E901)/4</f>
        <v>2206.75</v>
      </c>
      <c r="D901" s="90">
        <f>SUM('Weekly Data'!F898:F901)/4</f>
        <v>655.25</v>
      </c>
      <c r="E901" s="90">
        <f>SUM('Weekly Data'!G898:G901)/4</f>
        <v>4122.25</v>
      </c>
      <c r="F901" s="90">
        <f>SUM('Weekly Data'!H898:H901)/4</f>
        <v>677.25</v>
      </c>
      <c r="G901" s="90">
        <f>SUM('Weekly Data'!I898:I901)/4</f>
        <v>7984.25</v>
      </c>
      <c r="H901" s="202">
        <f>SUM('Weekly Data'!J898:J901)/4</f>
        <v>1293.2161879895561</v>
      </c>
      <c r="J901" s="101">
        <f>AVERAGE('Weekly Data'!D849,'Weekly Data'!D797,'Weekly Data'!D745,'Weekly Data'!D693)</f>
        <v>834.25</v>
      </c>
      <c r="K901" s="16">
        <f>AVERAGE('Weekly Data'!E849,'Weekly Data'!E797,'Weekly Data'!E745,'Weekly Data'!E693)</f>
        <v>1638.5</v>
      </c>
      <c r="L901" s="16">
        <f>AVERAGE('Weekly Data'!F849,'Weekly Data'!F797,'Weekly Data'!F745,'Weekly Data'!F693)</f>
        <v>1004.5</v>
      </c>
      <c r="M901" s="16">
        <f>AVERAGE('Weekly Data'!G849,'Weekly Data'!G797,'Weekly Data'!G745,'Weekly Data'!G693)</f>
        <v>4606</v>
      </c>
      <c r="N901" s="16">
        <f>AVERAGE('Weekly Data'!H849,'Weekly Data'!H797,'Weekly Data'!H745,'Weekly Data'!H693)</f>
        <v>867.5</v>
      </c>
      <c r="O901" s="101">
        <f>AVERAGE('Weekly Data'!I849,'Weekly Data'!I797,'Weekly Data'!I745,'Weekly Data'!I693)</f>
        <v>7946.25</v>
      </c>
      <c r="P901" s="203">
        <f>AVERAGE('Weekly Data'!J849,'Weekly Data'!J797,'Weekly Data'!J745,'Weekly Data'!J693)</f>
        <v>1263.7360235390606</v>
      </c>
      <c r="R901" s="13">
        <f t="shared" si="50"/>
        <v>40597</v>
      </c>
      <c r="S901" s="106">
        <f t="shared" si="51"/>
        <v>1130.9375</v>
      </c>
      <c r="T901" s="106">
        <f t="shared" si="52"/>
        <v>1769.9375</v>
      </c>
      <c r="U901" s="109">
        <f t="shared" si="53"/>
        <v>737.6875</v>
      </c>
      <c r="V901" s="109">
        <f t="shared" si="54"/>
        <v>4227.8125</v>
      </c>
      <c r="W901" s="110">
        <f t="shared" si="55"/>
        <v>841.8125</v>
      </c>
      <c r="X901" s="106">
        <f t="shared" si="56"/>
        <v>7970.5</v>
      </c>
      <c r="Y901" s="204">
        <f t="shared" si="56"/>
        <v>1395.847094698308</v>
      </c>
    </row>
    <row r="902" spans="1:34" x14ac:dyDescent="0.25">
      <c r="A902" s="105">
        <f t="shared" si="43"/>
        <v>40604</v>
      </c>
      <c r="B902" s="59">
        <f>SUM('Weekly Data'!D899:D902)/4</f>
        <v>1029.75</v>
      </c>
      <c r="C902" s="90">
        <f>SUM('Weekly Data'!E899:E902)/4</f>
        <v>2152.5</v>
      </c>
      <c r="D902" s="90">
        <f>SUM('Weekly Data'!F899:F902)/4</f>
        <v>560</v>
      </c>
      <c r="E902" s="90">
        <f>SUM('Weekly Data'!G899:G902)/4</f>
        <v>3742</v>
      </c>
      <c r="F902" s="90">
        <f>SUM('Weekly Data'!H899:H902)/4</f>
        <v>730.75</v>
      </c>
      <c r="G902" s="90">
        <f>SUM('Weekly Data'!I899:I902)/4</f>
        <v>7655</v>
      </c>
      <c r="H902" s="202">
        <f>SUM('Weekly Data'!J899:J902)/4</f>
        <v>1259.5109649829697</v>
      </c>
      <c r="J902" s="101">
        <f>AVERAGE('Weekly Data'!D850,'Weekly Data'!D798,'Weekly Data'!D746,'Weekly Data'!D694)</f>
        <v>1207.5</v>
      </c>
      <c r="K902" s="16">
        <f>AVERAGE('Weekly Data'!E850,'Weekly Data'!E798,'Weekly Data'!E746,'Weekly Data'!E694)</f>
        <v>1741.5</v>
      </c>
      <c r="L902" s="16">
        <f>AVERAGE('Weekly Data'!F850,'Weekly Data'!F798,'Weekly Data'!F746,'Weekly Data'!F694)</f>
        <v>909.5</v>
      </c>
      <c r="M902" s="16">
        <f>AVERAGE('Weekly Data'!G850,'Weekly Data'!G798,'Weekly Data'!G746,'Weekly Data'!G694)</f>
        <v>4617.75</v>
      </c>
      <c r="N902" s="16">
        <f>AVERAGE('Weekly Data'!H850,'Weekly Data'!H798,'Weekly Data'!H746,'Weekly Data'!H694)</f>
        <v>884.25</v>
      </c>
      <c r="O902" s="101">
        <f>AVERAGE('Weekly Data'!I850,'Weekly Data'!I798,'Weekly Data'!I746,'Weekly Data'!I694)</f>
        <v>8451</v>
      </c>
      <c r="P902" s="203">
        <f>AVERAGE('Weekly Data'!J850,'Weekly Data'!J798,'Weekly Data'!J746,'Weekly Data'!J694)</f>
        <v>1880.9200967494301</v>
      </c>
      <c r="R902" s="13">
        <f t="shared" si="50"/>
        <v>40604</v>
      </c>
      <c r="S902" s="106">
        <f t="shared" si="51"/>
        <v>1131.0625</v>
      </c>
      <c r="T902" s="106">
        <f t="shared" si="52"/>
        <v>1784.8125</v>
      </c>
      <c r="U902" s="109">
        <f t="shared" si="53"/>
        <v>812.5625</v>
      </c>
      <c r="V902" s="109">
        <f t="shared" si="54"/>
        <v>4363.5625</v>
      </c>
      <c r="W902" s="110">
        <f t="shared" si="55"/>
        <v>823.6875</v>
      </c>
      <c r="X902" s="106">
        <f t="shared" si="56"/>
        <v>8103.125</v>
      </c>
      <c r="Y902" s="204">
        <f t="shared" si="56"/>
        <v>1528.3460648345635</v>
      </c>
    </row>
    <row r="903" spans="1:34" x14ac:dyDescent="0.25">
      <c r="A903" s="105">
        <f t="shared" si="43"/>
        <v>40611</v>
      </c>
      <c r="B903" s="59">
        <f>SUM('Weekly Data'!D900:D903)/4</f>
        <v>1126</v>
      </c>
      <c r="C903" s="90">
        <f>SUM('Weekly Data'!E900:E903)/4</f>
        <v>2372.5</v>
      </c>
      <c r="D903" s="90">
        <f>SUM('Weekly Data'!F900:F903)/4</f>
        <v>546.5</v>
      </c>
      <c r="E903" s="90">
        <f>SUM('Weekly Data'!G900:G903)/4</f>
        <v>3738.5</v>
      </c>
      <c r="F903" s="90">
        <f>SUM('Weekly Data'!H900:H903)/4</f>
        <v>719</v>
      </c>
      <c r="G903" s="90">
        <f>SUM('Weekly Data'!I900:I903)/4</f>
        <v>7956</v>
      </c>
      <c r="H903" s="202">
        <f>SUM('Weekly Data'!J900:J903)/4</f>
        <v>1254.8543223307438</v>
      </c>
      <c r="J903" s="101">
        <f>AVERAGE('Weekly Data'!D851,'Weekly Data'!D799,'Weekly Data'!D747,'Weekly Data'!D695)</f>
        <v>1111.5</v>
      </c>
      <c r="K903" s="16">
        <f>AVERAGE('Weekly Data'!E851,'Weekly Data'!E799,'Weekly Data'!E747,'Weekly Data'!E695)</f>
        <v>2007</v>
      </c>
      <c r="L903" s="16">
        <f>AVERAGE('Weekly Data'!F851,'Weekly Data'!F799,'Weekly Data'!F747,'Weekly Data'!F695)</f>
        <v>974.5</v>
      </c>
      <c r="M903" s="16">
        <f>AVERAGE('Weekly Data'!G851,'Weekly Data'!G799,'Weekly Data'!G747,'Weekly Data'!G695)</f>
        <v>4505.75</v>
      </c>
      <c r="N903" s="16">
        <f>AVERAGE('Weekly Data'!H851,'Weekly Data'!H799,'Weekly Data'!H747,'Weekly Data'!H695)</f>
        <v>791.75</v>
      </c>
      <c r="O903" s="101">
        <f>AVERAGE('Weekly Data'!I851,'Weekly Data'!I799,'Weekly Data'!I747,'Weekly Data'!I695)</f>
        <v>8416</v>
      </c>
      <c r="P903" s="203">
        <f>AVERAGE('Weekly Data'!J851,'Weekly Data'!J799,'Weekly Data'!J747,'Weekly Data'!J695)</f>
        <v>1908.5463562516488</v>
      </c>
      <c r="R903" s="13">
        <f t="shared" si="50"/>
        <v>40611</v>
      </c>
      <c r="S903" s="106">
        <f t="shared" si="51"/>
        <v>1097.6875</v>
      </c>
      <c r="T903" s="106">
        <f t="shared" si="52"/>
        <v>1767.125</v>
      </c>
      <c r="U903" s="109">
        <f t="shared" si="53"/>
        <v>898</v>
      </c>
      <c r="V903" s="109">
        <f t="shared" si="54"/>
        <v>4461.5625</v>
      </c>
      <c r="W903" s="110">
        <f t="shared" si="55"/>
        <v>840.8125</v>
      </c>
      <c r="X903" s="106">
        <f t="shared" si="56"/>
        <v>8167.1875</v>
      </c>
      <c r="Y903" s="204">
        <f t="shared" si="56"/>
        <v>1701.0738885633498</v>
      </c>
    </row>
    <row r="904" spans="1:34" x14ac:dyDescent="0.25">
      <c r="A904" s="105">
        <f t="shared" si="43"/>
        <v>40618</v>
      </c>
      <c r="B904" s="59">
        <f>SUM('Weekly Data'!D901:D904)/4</f>
        <v>1101.75</v>
      </c>
      <c r="C904" s="90">
        <f>SUM('Weekly Data'!E901:E904)/4</f>
        <v>2320.5</v>
      </c>
      <c r="D904" s="90">
        <f>SUM('Weekly Data'!F901:F904)/4</f>
        <v>643</v>
      </c>
      <c r="E904" s="90">
        <f>SUM('Weekly Data'!G901:G904)/4</f>
        <v>3671</v>
      </c>
      <c r="F904" s="90">
        <f>SUM('Weekly Data'!H901:H904)/4</f>
        <v>753.75</v>
      </c>
      <c r="G904" s="90">
        <f>SUM('Weekly Data'!I901:I904)/4</f>
        <v>7847</v>
      </c>
      <c r="H904" s="202">
        <f>SUM('Weekly Data'!J901:J904)/4</f>
        <v>1598.5588990426459</v>
      </c>
      <c r="J904" s="101">
        <f>AVERAGE('Weekly Data'!D852,'Weekly Data'!D800,'Weekly Data'!D748,'Weekly Data'!D696)</f>
        <v>812.75</v>
      </c>
      <c r="K904" s="16">
        <f>AVERAGE('Weekly Data'!E852,'Weekly Data'!E800,'Weekly Data'!E748,'Weekly Data'!E696)</f>
        <v>1626.25</v>
      </c>
      <c r="L904" s="16">
        <f>AVERAGE('Weekly Data'!F852,'Weekly Data'!F800,'Weekly Data'!F748,'Weekly Data'!F696)</f>
        <v>682.25</v>
      </c>
      <c r="M904" s="16">
        <f>AVERAGE('Weekly Data'!G852,'Weekly Data'!G800,'Weekly Data'!G748,'Weekly Data'!G696)</f>
        <v>4177.5</v>
      </c>
      <c r="N904" s="16">
        <f>AVERAGE('Weekly Data'!H852,'Weekly Data'!H800,'Weekly Data'!H748,'Weekly Data'!H696)</f>
        <v>705.25</v>
      </c>
      <c r="O904" s="101">
        <f>AVERAGE('Weekly Data'!I852,'Weekly Data'!I800,'Weekly Data'!I748,'Weekly Data'!I696)</f>
        <v>7321.75</v>
      </c>
      <c r="P904" s="203">
        <f>AVERAGE('Weekly Data'!J852,'Weekly Data'!J800,'Weekly Data'!J748,'Weekly Data'!J696)</f>
        <v>1828.4503053223777</v>
      </c>
      <c r="R904" s="13">
        <f t="shared" si="50"/>
        <v>40618</v>
      </c>
      <c r="S904" s="106">
        <f t="shared" si="51"/>
        <v>991</v>
      </c>
      <c r="T904" s="106">
        <f t="shared" si="52"/>
        <v>1748.75</v>
      </c>
      <c r="U904" s="109">
        <f t="shared" si="53"/>
        <v>838.4375</v>
      </c>
      <c r="V904" s="109">
        <f t="shared" si="54"/>
        <v>4401.5625</v>
      </c>
      <c r="W904" s="110">
        <f t="shared" si="55"/>
        <v>813.125</v>
      </c>
      <c r="X904" s="106">
        <f t="shared" si="56"/>
        <v>7954.4375</v>
      </c>
      <c r="Y904" s="204">
        <f t="shared" si="56"/>
        <v>1720.4131954656293</v>
      </c>
    </row>
    <row r="905" spans="1:34" x14ac:dyDescent="0.25">
      <c r="A905" s="105">
        <f t="shared" si="43"/>
        <v>40625</v>
      </c>
      <c r="B905" s="59">
        <f>SUM('Weekly Data'!D902:D905)/4</f>
        <v>1269.25</v>
      </c>
      <c r="C905" s="90">
        <f>SUM('Weekly Data'!E902:E905)/4</f>
        <v>2398.75</v>
      </c>
      <c r="D905" s="90">
        <f>SUM('Weekly Data'!F902:F905)/4</f>
        <v>723.75</v>
      </c>
      <c r="E905" s="90">
        <f>SUM('Weekly Data'!G902:G905)/4</f>
        <v>3809.75</v>
      </c>
      <c r="F905" s="90">
        <f>SUM('Weekly Data'!H902:H905)/4</f>
        <v>760.5</v>
      </c>
      <c r="G905" s="90">
        <f>SUM('Weekly Data'!I902:I905)/4</f>
        <v>8238.25</v>
      </c>
      <c r="H905" s="202">
        <f>SUM('Weekly Data'!J902:J905)/4</f>
        <v>1548.0010645327659</v>
      </c>
      <c r="J905" s="101">
        <f>AVERAGE('Weekly Data'!D853,'Weekly Data'!D801,'Weekly Data'!D749,'Weekly Data'!D697)</f>
        <v>710.5</v>
      </c>
      <c r="K905" s="16">
        <f>AVERAGE('Weekly Data'!E853,'Weekly Data'!E801,'Weekly Data'!E749,'Weekly Data'!E697)</f>
        <v>1262</v>
      </c>
      <c r="L905" s="16">
        <f>AVERAGE('Weekly Data'!F853,'Weekly Data'!F801,'Weekly Data'!F749,'Weekly Data'!F697)</f>
        <v>938.75</v>
      </c>
      <c r="M905" s="16">
        <f>AVERAGE('Weekly Data'!G853,'Weekly Data'!G801,'Weekly Data'!G749,'Weekly Data'!G697)</f>
        <v>5109.5</v>
      </c>
      <c r="N905" s="16">
        <f>AVERAGE('Weekly Data'!H853,'Weekly Data'!H801,'Weekly Data'!H749,'Weekly Data'!H697)</f>
        <v>815.25</v>
      </c>
      <c r="O905" s="101">
        <f>AVERAGE('Weekly Data'!I853,'Weekly Data'!I801,'Weekly Data'!I749,'Weekly Data'!I697)</f>
        <v>7897.25</v>
      </c>
      <c r="P905" s="203">
        <f>AVERAGE('Weekly Data'!J853,'Weekly Data'!J801,'Weekly Data'!J749,'Weekly Data'!J697)</f>
        <v>1550.2068693423439</v>
      </c>
      <c r="R905" s="13">
        <f t="shared" si="50"/>
        <v>40625</v>
      </c>
      <c r="S905" s="106">
        <f t="shared" si="51"/>
        <v>1002.125</v>
      </c>
      <c r="T905" s="106">
        <f t="shared" si="52"/>
        <v>1712.5</v>
      </c>
      <c r="U905" s="109">
        <f t="shared" si="53"/>
        <v>887.1875</v>
      </c>
      <c r="V905" s="109">
        <f t="shared" si="54"/>
        <v>4534.125</v>
      </c>
      <c r="W905" s="110">
        <f t="shared" si="55"/>
        <v>805.1875</v>
      </c>
      <c r="X905" s="106">
        <f t="shared" si="56"/>
        <v>8053.9375</v>
      </c>
      <c r="Y905" s="204">
        <f t="shared" si="56"/>
        <v>1792.0309069164502</v>
      </c>
    </row>
    <row r="906" spans="1:34" x14ac:dyDescent="0.25">
      <c r="A906" s="105">
        <f t="shared" si="43"/>
        <v>40632</v>
      </c>
      <c r="B906" s="59">
        <f>SUM('Weekly Data'!D903:D906)/4</f>
        <v>1303</v>
      </c>
      <c r="C906" s="90">
        <f>SUM('Weekly Data'!E903:E906)/4</f>
        <v>2479</v>
      </c>
      <c r="D906" s="90">
        <f>SUM('Weekly Data'!F903:F906)/4</f>
        <v>959.75</v>
      </c>
      <c r="E906" s="90">
        <f>SUM('Weekly Data'!G903:G906)/4</f>
        <v>4277</v>
      </c>
      <c r="F906" s="90">
        <f>SUM('Weekly Data'!H903:H906)/4</f>
        <v>736.75</v>
      </c>
      <c r="G906" s="90">
        <f>SUM('Weekly Data'!I903:I906)/4</f>
        <v>8795.75</v>
      </c>
      <c r="H906" s="202">
        <f>SUM('Weekly Data'!J903:J906)/4</f>
        <v>1793.2509108833233</v>
      </c>
      <c r="J906" s="101">
        <f>AVERAGE('Weekly Data'!D854,'Weekly Data'!D802,'Weekly Data'!D750,'Weekly Data'!D698)</f>
        <v>617.75</v>
      </c>
      <c r="K906" s="16">
        <f>AVERAGE('Weekly Data'!E854,'Weekly Data'!E802,'Weekly Data'!E750,'Weekly Data'!E698)</f>
        <v>1702.25</v>
      </c>
      <c r="L906" s="16">
        <f>AVERAGE('Weekly Data'!F854,'Weekly Data'!F802,'Weekly Data'!F750,'Weekly Data'!F698)</f>
        <v>703.5</v>
      </c>
      <c r="M906" s="16">
        <f>AVERAGE('Weekly Data'!G854,'Weekly Data'!G802,'Weekly Data'!G750,'Weekly Data'!G698)</f>
        <v>4171.5</v>
      </c>
      <c r="N906" s="16">
        <f>AVERAGE('Weekly Data'!H854,'Weekly Data'!H802,'Weekly Data'!H750,'Weekly Data'!H698)</f>
        <v>605.25</v>
      </c>
      <c r="O906" s="101">
        <f>AVERAGE('Weekly Data'!I854,'Weekly Data'!I802,'Weekly Data'!I750,'Weekly Data'!I698)</f>
        <v>7096.75</v>
      </c>
      <c r="P906" s="203">
        <f>AVERAGE('Weekly Data'!J854,'Weekly Data'!J802,'Weekly Data'!J750,'Weekly Data'!J698)</f>
        <v>1714.218998813298</v>
      </c>
      <c r="R906" s="13">
        <f t="shared" si="50"/>
        <v>40632</v>
      </c>
      <c r="S906" s="106">
        <f t="shared" si="51"/>
        <v>848.9375</v>
      </c>
      <c r="T906" s="106">
        <f t="shared" si="52"/>
        <v>1682.5</v>
      </c>
      <c r="U906" s="109">
        <f t="shared" si="53"/>
        <v>834.125</v>
      </c>
      <c r="V906" s="109">
        <f t="shared" si="54"/>
        <v>4466.75</v>
      </c>
      <c r="W906" s="110">
        <f t="shared" si="55"/>
        <v>728.625</v>
      </c>
      <c r="X906" s="106">
        <f t="shared" si="56"/>
        <v>7726.8125</v>
      </c>
      <c r="Y906" s="204">
        <f t="shared" si="56"/>
        <v>1750.3556324324172</v>
      </c>
    </row>
    <row r="907" spans="1:34" x14ac:dyDescent="0.25">
      <c r="A907" s="105">
        <f t="shared" si="43"/>
        <v>40639</v>
      </c>
      <c r="B907" s="59">
        <f>SUM('Weekly Data'!D904:D907)/4</f>
        <v>1300.75</v>
      </c>
      <c r="C907" s="90">
        <f>SUM('Weekly Data'!E904:E907)/4</f>
        <v>2503.75</v>
      </c>
      <c r="D907" s="90">
        <f>SUM('Weekly Data'!F904:F907)/4</f>
        <v>1106.75</v>
      </c>
      <c r="E907" s="90">
        <f>SUM('Weekly Data'!G904:G907)/4</f>
        <v>4340.5</v>
      </c>
      <c r="F907" s="90">
        <f>SUM('Weekly Data'!H904:H907)/4</f>
        <v>699.75</v>
      </c>
      <c r="G907" s="90">
        <f>SUM('Weekly Data'!I904:I907)/4</f>
        <v>8844.75</v>
      </c>
      <c r="H907" s="202">
        <f>SUM('Weekly Data'!J904:J907)/4</f>
        <v>1959.7813219224447</v>
      </c>
      <c r="J907" s="101">
        <f>AVERAGE('Weekly Data'!D855,'Weekly Data'!D803,'Weekly Data'!D751,'Weekly Data'!D699)</f>
        <v>581.5</v>
      </c>
      <c r="K907" s="16">
        <f>AVERAGE('Weekly Data'!E855,'Weekly Data'!E803,'Weekly Data'!E751,'Weekly Data'!E699)</f>
        <v>1619.25</v>
      </c>
      <c r="L907" s="16">
        <f>AVERAGE('Weekly Data'!F855,'Weekly Data'!F803,'Weekly Data'!F751,'Weekly Data'!F699)</f>
        <v>843.75</v>
      </c>
      <c r="M907" s="16">
        <f>AVERAGE('Weekly Data'!G855,'Weekly Data'!G803,'Weekly Data'!G751,'Weekly Data'!G699)</f>
        <v>4421.5</v>
      </c>
      <c r="N907" s="16">
        <f>AVERAGE('Weekly Data'!H855,'Weekly Data'!H803,'Weekly Data'!H751,'Weekly Data'!H699)</f>
        <v>563</v>
      </c>
      <c r="O907" s="101">
        <f>AVERAGE('Weekly Data'!I855,'Weekly Data'!I803,'Weekly Data'!I751,'Weekly Data'!I699)</f>
        <v>7185.25</v>
      </c>
      <c r="P907" s="203">
        <f>AVERAGE('Weekly Data'!J855,'Weekly Data'!J803,'Weekly Data'!J751,'Weekly Data'!J699)</f>
        <v>1711.3717574941822</v>
      </c>
      <c r="R907" s="13">
        <f t="shared" si="50"/>
        <v>40639</v>
      </c>
      <c r="S907" s="106">
        <f t="shared" si="51"/>
        <v>731</v>
      </c>
      <c r="T907" s="106">
        <f t="shared" si="52"/>
        <v>1578.5625</v>
      </c>
      <c r="U907" s="109">
        <f t="shared" si="53"/>
        <v>794</v>
      </c>
      <c r="V907" s="109">
        <f t="shared" si="54"/>
        <v>4462.875</v>
      </c>
      <c r="W907" s="110">
        <f t="shared" si="55"/>
        <v>663.5</v>
      </c>
      <c r="X907" s="106">
        <f t="shared" si="56"/>
        <v>7435.9375</v>
      </c>
      <c r="Y907" s="204">
        <f t="shared" si="56"/>
        <v>1701.0619827430503</v>
      </c>
    </row>
    <row r="908" spans="1:34" x14ac:dyDescent="0.25">
      <c r="A908" s="105">
        <f t="shared" si="43"/>
        <v>40646</v>
      </c>
      <c r="B908" s="59">
        <f>SUM('Weekly Data'!D905:D908)/4</f>
        <v>1198.75</v>
      </c>
      <c r="C908" s="90">
        <f>SUM('Weekly Data'!E905:E908)/4</f>
        <v>2598.25</v>
      </c>
      <c r="D908" s="90">
        <f>SUM('Weekly Data'!F905:F908)/4</f>
        <v>1218</v>
      </c>
      <c r="E908" s="90">
        <f>SUM('Weekly Data'!G905:G908)/4</f>
        <v>4378</v>
      </c>
      <c r="F908" s="90">
        <f>SUM('Weekly Data'!H905:H908)/4</f>
        <v>675.75</v>
      </c>
      <c r="G908" s="90">
        <f>SUM('Weekly Data'!I905:I908)/4</f>
        <v>8850.75</v>
      </c>
      <c r="H908" s="202">
        <f>SUM('Weekly Data'!J905:J908)/4</f>
        <v>2386.8619765980084</v>
      </c>
      <c r="J908" s="101">
        <f>AVERAGE('Weekly Data'!D856,'Weekly Data'!D804,'Weekly Data'!D752,'Weekly Data'!D700)</f>
        <v>830.75</v>
      </c>
      <c r="K908" s="16">
        <f>AVERAGE('Weekly Data'!E856,'Weekly Data'!E804,'Weekly Data'!E752,'Weekly Data'!E700)</f>
        <v>1452.5</v>
      </c>
      <c r="L908" s="16">
        <f>AVERAGE('Weekly Data'!F856,'Weekly Data'!F804,'Weekly Data'!F752,'Weekly Data'!F700)</f>
        <v>907.25</v>
      </c>
      <c r="M908" s="16">
        <f>AVERAGE('Weekly Data'!G856,'Weekly Data'!G804,'Weekly Data'!G752,'Weekly Data'!G700)</f>
        <v>4502</v>
      </c>
      <c r="N908" s="16">
        <f>AVERAGE('Weekly Data'!H856,'Weekly Data'!H804,'Weekly Data'!H752,'Weekly Data'!H700)</f>
        <v>508.5</v>
      </c>
      <c r="O908" s="101">
        <f>AVERAGE('Weekly Data'!I856,'Weekly Data'!I804,'Weekly Data'!I752,'Weekly Data'!I700)</f>
        <v>7293.75</v>
      </c>
      <c r="P908" s="203">
        <f>AVERAGE('Weekly Data'!J856,'Weekly Data'!J804,'Weekly Data'!J752,'Weekly Data'!J700)</f>
        <v>1342.3950104623282</v>
      </c>
      <c r="R908" s="13">
        <f t="shared" si="50"/>
        <v>40646</v>
      </c>
      <c r="S908" s="106">
        <f t="shared" si="51"/>
        <v>713.125</v>
      </c>
      <c r="T908" s="106">
        <f t="shared" si="52"/>
        <v>1492.375</v>
      </c>
      <c r="U908" s="109">
        <f t="shared" si="53"/>
        <v>846.125</v>
      </c>
      <c r="V908" s="109">
        <f t="shared" si="54"/>
        <v>4570.625</v>
      </c>
      <c r="W908" s="110">
        <f t="shared" si="55"/>
        <v>617.6875</v>
      </c>
      <c r="X908" s="106">
        <f t="shared" si="56"/>
        <v>7393.8125</v>
      </c>
      <c r="Y908" s="204">
        <f t="shared" si="56"/>
        <v>1579.5481590280381</v>
      </c>
    </row>
    <row r="909" spans="1:34" x14ac:dyDescent="0.25">
      <c r="A909" s="105">
        <f t="shared" ref="A909:A972" si="57">A908+7</f>
        <v>40653</v>
      </c>
      <c r="B909" s="59">
        <f>SUM('Weekly Data'!D906:D909)/4</f>
        <v>829.25</v>
      </c>
      <c r="C909" s="90">
        <f>SUM('Weekly Data'!E906:E909)/4</f>
        <v>2559.75</v>
      </c>
      <c r="D909" s="90">
        <f>SUM('Weekly Data'!F906:F909)/4</f>
        <v>1345.25</v>
      </c>
      <c r="E909" s="90">
        <f>SUM('Weekly Data'!G906:G909)/4</f>
        <v>4224.25</v>
      </c>
      <c r="F909" s="90">
        <f>SUM('Weekly Data'!H906:H909)/4</f>
        <v>607.5</v>
      </c>
      <c r="G909" s="90">
        <f>SUM('Weekly Data'!I906:I909)/4</f>
        <v>8220.75</v>
      </c>
      <c r="H909" s="202">
        <f>SUM('Weekly Data'!J906:J909)/4</f>
        <v>2695.7526058623171</v>
      </c>
      <c r="J909" s="101">
        <f>AVERAGE('Weekly Data'!D857,'Weekly Data'!D805,'Weekly Data'!D753,'Weekly Data'!D701)</f>
        <v>508.75</v>
      </c>
      <c r="K909" s="16">
        <f>AVERAGE('Weekly Data'!E857,'Weekly Data'!E805,'Weekly Data'!E753,'Weekly Data'!E701)</f>
        <v>1093.75</v>
      </c>
      <c r="L909" s="16">
        <f>AVERAGE('Weekly Data'!F857,'Weekly Data'!F805,'Weekly Data'!F753,'Weekly Data'!F701)</f>
        <v>1036.25</v>
      </c>
      <c r="M909" s="16">
        <f>AVERAGE('Weekly Data'!G857,'Weekly Data'!G805,'Weekly Data'!G753,'Weekly Data'!G701)</f>
        <v>4302.25</v>
      </c>
      <c r="N909" s="16">
        <f>AVERAGE('Weekly Data'!H857,'Weekly Data'!H805,'Weekly Data'!H753,'Weekly Data'!H701)</f>
        <v>404.75</v>
      </c>
      <c r="O909" s="101">
        <f>AVERAGE('Weekly Data'!I857,'Weekly Data'!I805,'Weekly Data'!I753,'Weekly Data'!I701)</f>
        <v>6309.5</v>
      </c>
      <c r="P909" s="203">
        <f>AVERAGE('Weekly Data'!J857,'Weekly Data'!J805,'Weekly Data'!J753,'Weekly Data'!J701)</f>
        <v>1471.9800484654843</v>
      </c>
      <c r="R909" s="13">
        <f t="shared" si="50"/>
        <v>40653</v>
      </c>
      <c r="S909" s="106">
        <f t="shared" si="51"/>
        <v>649.75</v>
      </c>
      <c r="T909" s="106">
        <f t="shared" si="52"/>
        <v>1480.375</v>
      </c>
      <c r="U909" s="109">
        <f t="shared" si="53"/>
        <v>845.5</v>
      </c>
      <c r="V909" s="109">
        <f t="shared" si="54"/>
        <v>4430.6875</v>
      </c>
      <c r="W909" s="110">
        <f t="shared" si="55"/>
        <v>522.5</v>
      </c>
      <c r="X909" s="106">
        <f t="shared" si="56"/>
        <v>7083.3125</v>
      </c>
      <c r="Y909" s="204">
        <f t="shared" si="56"/>
        <v>1559.9914538088231</v>
      </c>
    </row>
    <row r="910" spans="1:34" x14ac:dyDescent="0.25">
      <c r="A910" s="105">
        <f t="shared" si="57"/>
        <v>40660</v>
      </c>
      <c r="B910" s="59">
        <f>SUM('Weekly Data'!D907:D910)/4</f>
        <v>629.25</v>
      </c>
      <c r="C910" s="90">
        <f>SUM('Weekly Data'!E907:E910)/4</f>
        <v>2581</v>
      </c>
      <c r="D910" s="90">
        <f>SUM('Weekly Data'!F907:F910)/4</f>
        <v>1312.75</v>
      </c>
      <c r="E910" s="90">
        <f>SUM('Weekly Data'!G907:G910)/4</f>
        <v>3977.5</v>
      </c>
      <c r="F910" s="90">
        <f>SUM('Weekly Data'!H907:H910)/4</f>
        <v>582.25</v>
      </c>
      <c r="G910" s="90">
        <f>SUM('Weekly Data'!I907:I910)/4</f>
        <v>7770</v>
      </c>
      <c r="H910" s="202">
        <f>SUM('Weekly Data'!J907:J910)/4</f>
        <v>2783.5635815900032</v>
      </c>
      <c r="J910" s="101">
        <f>AVERAGE('Weekly Data'!D858,'Weekly Data'!D806,'Weekly Data'!D754,'Weekly Data'!D702)</f>
        <v>492.75</v>
      </c>
      <c r="K910" s="16">
        <f>AVERAGE('Weekly Data'!E858,'Weekly Data'!E806,'Weekly Data'!E754,'Weekly Data'!E702)</f>
        <v>1329.5</v>
      </c>
      <c r="L910" s="16">
        <f>AVERAGE('Weekly Data'!F858,'Weekly Data'!F806,'Weekly Data'!F754,'Weekly Data'!F702)</f>
        <v>871.75</v>
      </c>
      <c r="M910" s="16">
        <f>AVERAGE('Weekly Data'!G858,'Weekly Data'!G806,'Weekly Data'!G754,'Weekly Data'!G702)</f>
        <v>4211.5</v>
      </c>
      <c r="N910" s="16">
        <f>AVERAGE('Weekly Data'!H858,'Weekly Data'!H806,'Weekly Data'!H754,'Weekly Data'!H702)</f>
        <v>390.5</v>
      </c>
      <c r="O910" s="101">
        <f>AVERAGE('Weekly Data'!I858,'Weekly Data'!I806,'Weekly Data'!I754,'Weekly Data'!I702)</f>
        <v>6424.25</v>
      </c>
      <c r="P910" s="203">
        <f>AVERAGE('Weekly Data'!J858,'Weekly Data'!J806,'Weekly Data'!J754,'Weekly Data'!J702)</f>
        <v>2237.6685828425416</v>
      </c>
      <c r="R910" s="13">
        <f t="shared" si="50"/>
        <v>40660</v>
      </c>
      <c r="S910" s="106">
        <f t="shared" si="51"/>
        <v>600.875</v>
      </c>
      <c r="T910" s="106">
        <f t="shared" si="52"/>
        <v>1348.125</v>
      </c>
      <c r="U910" s="109">
        <f t="shared" si="53"/>
        <v>904.4375</v>
      </c>
      <c r="V910" s="109">
        <f t="shared" si="54"/>
        <v>4397.0625</v>
      </c>
      <c r="W910" s="110">
        <f t="shared" si="55"/>
        <v>470.8125</v>
      </c>
      <c r="X910" s="106">
        <f t="shared" si="56"/>
        <v>6816.875</v>
      </c>
      <c r="Y910" s="204">
        <f t="shared" si="56"/>
        <v>1690.853849816134</v>
      </c>
    </row>
    <row r="911" spans="1:34" x14ac:dyDescent="0.25">
      <c r="A911" s="105">
        <f t="shared" si="57"/>
        <v>40667</v>
      </c>
      <c r="B911" s="59">
        <f>SUM('Weekly Data'!D908:D911)/4</f>
        <v>454.25</v>
      </c>
      <c r="C911" s="90">
        <f>SUM('Weekly Data'!E908:E911)/4</f>
        <v>2466.75</v>
      </c>
      <c r="D911" s="90">
        <f>SUM('Weekly Data'!F908:F911)/4</f>
        <v>1196</v>
      </c>
      <c r="E911" s="90">
        <f>SUM('Weekly Data'!G908:G911)/4</f>
        <v>3815.25</v>
      </c>
      <c r="F911" s="90">
        <f>SUM('Weekly Data'!H908:H911)/4</f>
        <v>530</v>
      </c>
      <c r="G911" s="90">
        <f>SUM('Weekly Data'!I908:I911)/4</f>
        <v>7266.25</v>
      </c>
      <c r="H911" s="202">
        <f>SUM('Weekly Data'!J908:J911)/4</f>
        <v>2935.9023197842462</v>
      </c>
      <c r="J911" s="101">
        <f>AVERAGE('Weekly Data'!D859,'Weekly Data'!D807,'Weekly Data'!D755,'Weekly Data'!D703)</f>
        <v>374.5</v>
      </c>
      <c r="K911" s="16">
        <f>AVERAGE('Weekly Data'!E859,'Weekly Data'!E807,'Weekly Data'!E755,'Weekly Data'!E703)</f>
        <v>1499</v>
      </c>
      <c r="L911" s="16">
        <f>AVERAGE('Weekly Data'!F859,'Weekly Data'!F807,'Weekly Data'!F755,'Weekly Data'!F703)</f>
        <v>734</v>
      </c>
      <c r="M911" s="16">
        <f>AVERAGE('Weekly Data'!G859,'Weekly Data'!G807,'Weekly Data'!G755,'Weekly Data'!G703)</f>
        <v>4365</v>
      </c>
      <c r="N911" s="16">
        <f>AVERAGE('Weekly Data'!H859,'Weekly Data'!H807,'Weekly Data'!H755,'Weekly Data'!H703)</f>
        <v>540.25</v>
      </c>
      <c r="O911" s="101">
        <f>AVERAGE('Weekly Data'!I859,'Weekly Data'!I807,'Weekly Data'!I755,'Weekly Data'!I703)</f>
        <v>6778.75</v>
      </c>
      <c r="P911" s="203">
        <f>AVERAGE('Weekly Data'!J859,'Weekly Data'!J807,'Weekly Data'!J755,'Weekly Data'!J703)</f>
        <v>1516.4000606658956</v>
      </c>
      <c r="R911" s="13">
        <f t="shared" si="50"/>
        <v>40667</v>
      </c>
      <c r="S911" s="106">
        <f t="shared" si="51"/>
        <v>552.625</v>
      </c>
      <c r="T911" s="106">
        <f t="shared" si="52"/>
        <v>1383.125</v>
      </c>
      <c r="U911" s="109">
        <f t="shared" si="53"/>
        <v>870</v>
      </c>
      <c r="V911" s="109">
        <f t="shared" si="54"/>
        <v>4338.9375</v>
      </c>
      <c r="W911" s="110">
        <f t="shared" si="55"/>
        <v>474.5625</v>
      </c>
      <c r="X911" s="106">
        <f t="shared" si="56"/>
        <v>6749.25</v>
      </c>
      <c r="Y911" s="204">
        <f t="shared" si="56"/>
        <v>1642.1109256090626</v>
      </c>
    </row>
    <row r="912" spans="1:34" x14ac:dyDescent="0.25">
      <c r="A912" s="105">
        <f t="shared" si="57"/>
        <v>40674</v>
      </c>
      <c r="B912" s="59">
        <f>SUM('Weekly Data'!D909:D912)/4</f>
        <v>473</v>
      </c>
      <c r="C912" s="90">
        <f>SUM('Weekly Data'!E909:E912)/4</f>
        <v>2328</v>
      </c>
      <c r="D912" s="90">
        <f>SUM('Weekly Data'!F909:F912)/4</f>
        <v>1190.75</v>
      </c>
      <c r="E912" s="90">
        <f>SUM('Weekly Data'!G909:G912)/4</f>
        <v>3812.5</v>
      </c>
      <c r="F912" s="90">
        <f>SUM('Weekly Data'!H909:H912)/4</f>
        <v>552.5</v>
      </c>
      <c r="G912" s="90">
        <f>SUM('Weekly Data'!I909:I912)/4</f>
        <v>7166</v>
      </c>
      <c r="H912" s="202">
        <f>SUM('Weekly Data'!J909:J912)/4</f>
        <v>2602.8414977060033</v>
      </c>
      <c r="J912" s="101">
        <f>AVERAGE('Weekly Data'!D860,'Weekly Data'!D808,'Weekly Data'!D756,'Weekly Data'!D704)</f>
        <v>481.5</v>
      </c>
      <c r="K912" s="16">
        <f>AVERAGE('Weekly Data'!E860,'Weekly Data'!E808,'Weekly Data'!E756,'Weekly Data'!E704)</f>
        <v>987.75</v>
      </c>
      <c r="L912" s="16">
        <f>AVERAGE('Weekly Data'!F860,'Weekly Data'!F808,'Weekly Data'!F756,'Weekly Data'!F704)</f>
        <v>1049.75</v>
      </c>
      <c r="M912" s="16">
        <f>AVERAGE('Weekly Data'!G860,'Weekly Data'!G808,'Weekly Data'!G756,'Weekly Data'!G704)</f>
        <v>3395.25</v>
      </c>
      <c r="N912" s="16">
        <f>AVERAGE('Weekly Data'!H860,'Weekly Data'!H808,'Weekly Data'!H756,'Weekly Data'!H704)</f>
        <v>342.75</v>
      </c>
      <c r="O912" s="101">
        <f>AVERAGE('Weekly Data'!I860,'Weekly Data'!I808,'Weekly Data'!I756,'Weekly Data'!I704)</f>
        <v>5207.25</v>
      </c>
      <c r="P912" s="203">
        <f>AVERAGE('Weekly Data'!J860,'Weekly Data'!J808,'Weekly Data'!J756,'Weekly Data'!J704)</f>
        <v>1539.159921419495</v>
      </c>
      <c r="R912" s="13">
        <f t="shared" si="50"/>
        <v>40674</v>
      </c>
      <c r="S912" s="106">
        <f t="shared" si="51"/>
        <v>477</v>
      </c>
      <c r="T912" s="106">
        <f t="shared" si="52"/>
        <v>1253.375</v>
      </c>
      <c r="U912" s="109">
        <f t="shared" si="53"/>
        <v>923.8125</v>
      </c>
      <c r="V912" s="109">
        <f t="shared" si="54"/>
        <v>4141.4375</v>
      </c>
      <c r="W912" s="110">
        <f t="shared" si="55"/>
        <v>428.5625</v>
      </c>
      <c r="X912" s="106">
        <f t="shared" si="56"/>
        <v>6300.375</v>
      </c>
      <c r="Y912" s="204">
        <f t="shared" si="56"/>
        <v>1691.3021533483541</v>
      </c>
    </row>
    <row r="913" spans="1:25" x14ac:dyDescent="0.25">
      <c r="A913" s="105">
        <f t="shared" si="57"/>
        <v>40681</v>
      </c>
      <c r="B913" s="59">
        <f>SUM('Weekly Data'!D910:D913)/4</f>
        <v>550.25</v>
      </c>
      <c r="C913" s="90">
        <f>SUM('Weekly Data'!E910:E913)/4</f>
        <v>2173.75</v>
      </c>
      <c r="D913" s="90">
        <f>SUM('Weekly Data'!F910:F913)/4</f>
        <v>1131.25</v>
      </c>
      <c r="E913" s="90">
        <f>SUM('Weekly Data'!G910:G913)/4</f>
        <v>3732.75</v>
      </c>
      <c r="F913" s="90">
        <f>SUM('Weekly Data'!H910:H913)/4</f>
        <v>514</v>
      </c>
      <c r="G913" s="90">
        <f>SUM('Weekly Data'!I910:I913)/4</f>
        <v>6970.75</v>
      </c>
      <c r="H913" s="202">
        <f>SUM('Weekly Data'!J910:J913)/4</f>
        <v>2236.5189423975762</v>
      </c>
      <c r="J913" s="101">
        <f>AVERAGE('Weekly Data'!D861,'Weekly Data'!D809,'Weekly Data'!D757,'Weekly Data'!D705)</f>
        <v>359.25</v>
      </c>
      <c r="K913" s="16">
        <f>AVERAGE('Weekly Data'!E861,'Weekly Data'!E809,'Weekly Data'!E757,'Weekly Data'!E705)</f>
        <v>1058.5</v>
      </c>
      <c r="L913" s="16">
        <f>AVERAGE('Weekly Data'!F861,'Weekly Data'!F809,'Weekly Data'!F757,'Weekly Data'!F705)</f>
        <v>969</v>
      </c>
      <c r="M913" s="16">
        <f>AVERAGE('Weekly Data'!G861,'Weekly Data'!G809,'Weekly Data'!G757,'Weekly Data'!G705)</f>
        <v>3752</v>
      </c>
      <c r="N913" s="16">
        <f>AVERAGE('Weekly Data'!H861,'Weekly Data'!H809,'Weekly Data'!H757,'Weekly Data'!H705)</f>
        <v>255.25</v>
      </c>
      <c r="O913" s="101">
        <f>AVERAGE('Weekly Data'!I861,'Weekly Data'!I809,'Weekly Data'!I757,'Weekly Data'!I705)</f>
        <v>5425</v>
      </c>
      <c r="P913" s="203">
        <f>AVERAGE('Weekly Data'!J861,'Weekly Data'!J809,'Weekly Data'!J757,'Weekly Data'!J705)</f>
        <v>1858.7238606063202</v>
      </c>
      <c r="R913" s="13">
        <f t="shared" si="50"/>
        <v>40681</v>
      </c>
      <c r="S913" s="106">
        <f t="shared" si="51"/>
        <v>449.3125</v>
      </c>
      <c r="T913" s="106">
        <f t="shared" si="52"/>
        <v>1188.875</v>
      </c>
      <c r="U913" s="109">
        <f t="shared" si="53"/>
        <v>898.9375</v>
      </c>
      <c r="V913" s="109">
        <f t="shared" si="54"/>
        <v>3974.6875</v>
      </c>
      <c r="W913" s="110">
        <f t="shared" si="55"/>
        <v>390.75</v>
      </c>
      <c r="X913" s="106">
        <f t="shared" si="56"/>
        <v>6003.625</v>
      </c>
      <c r="Y913" s="204">
        <f t="shared" si="56"/>
        <v>1787.9881063835628</v>
      </c>
    </row>
    <row r="914" spans="1:25" x14ac:dyDescent="0.25">
      <c r="A914" s="105">
        <f t="shared" si="57"/>
        <v>40688</v>
      </c>
      <c r="B914" s="59">
        <f>SUM('Weekly Data'!D911:D914)/4</f>
        <v>568.25</v>
      </c>
      <c r="C914" s="90">
        <f>SUM('Weekly Data'!E911:E914)/4</f>
        <v>2014.25</v>
      </c>
      <c r="D914" s="90">
        <f>SUM('Weekly Data'!F911:F914)/4</f>
        <v>1168.75</v>
      </c>
      <c r="E914" s="90">
        <f>SUM('Weekly Data'!G911:G914)/4</f>
        <v>3834</v>
      </c>
      <c r="F914" s="90">
        <f>SUM('Weekly Data'!H911:H914)/4</f>
        <v>465.75</v>
      </c>
      <c r="G914" s="90">
        <f>SUM('Weekly Data'!I911:I914)/4</f>
        <v>6882.25</v>
      </c>
      <c r="H914" s="202">
        <f>SUM('Weekly Data'!J911:J914)/4</f>
        <v>2174.8738634776355</v>
      </c>
      <c r="J914" s="101">
        <f>AVERAGE('Weekly Data'!D862,'Weekly Data'!D810,'Weekly Data'!D758,'Weekly Data'!D706)</f>
        <v>362.5</v>
      </c>
      <c r="K914" s="16">
        <f>AVERAGE('Weekly Data'!E862,'Weekly Data'!E810,'Weekly Data'!E758,'Weekly Data'!E706)</f>
        <v>818</v>
      </c>
      <c r="L914" s="16">
        <f>AVERAGE('Weekly Data'!F862,'Weekly Data'!F810,'Weekly Data'!F758,'Weekly Data'!F706)</f>
        <v>902.25</v>
      </c>
      <c r="M914" s="16">
        <f>AVERAGE('Weekly Data'!G862,'Weekly Data'!G810,'Weekly Data'!G758,'Weekly Data'!G706)</f>
        <v>3713.5</v>
      </c>
      <c r="N914" s="16">
        <f>AVERAGE('Weekly Data'!H862,'Weekly Data'!H810,'Weekly Data'!H758,'Weekly Data'!H706)</f>
        <v>280.75</v>
      </c>
      <c r="O914" s="101">
        <f>AVERAGE('Weekly Data'!I862,'Weekly Data'!I810,'Weekly Data'!I758,'Weekly Data'!I706)</f>
        <v>5174.75</v>
      </c>
      <c r="P914" s="203">
        <f>AVERAGE('Weekly Data'!J862,'Weekly Data'!J810,'Weekly Data'!J758,'Weekly Data'!J706)</f>
        <v>2222.455544319052</v>
      </c>
      <c r="R914" s="13">
        <f t="shared" si="50"/>
        <v>40688</v>
      </c>
      <c r="S914" s="106">
        <f t="shared" si="51"/>
        <v>429.625</v>
      </c>
      <c r="T914" s="106">
        <f t="shared" si="52"/>
        <v>1165</v>
      </c>
      <c r="U914" s="109">
        <f t="shared" si="53"/>
        <v>914.25</v>
      </c>
      <c r="V914" s="109">
        <f t="shared" si="54"/>
        <v>3842.4375</v>
      </c>
      <c r="W914" s="110">
        <f t="shared" si="55"/>
        <v>360.5</v>
      </c>
      <c r="X914" s="106">
        <f t="shared" si="56"/>
        <v>5797.5625</v>
      </c>
      <c r="Y914" s="204">
        <f t="shared" si="56"/>
        <v>1784.1848467526906</v>
      </c>
    </row>
    <row r="915" spans="1:25" x14ac:dyDescent="0.25">
      <c r="A915" s="105">
        <f t="shared" si="57"/>
        <v>40695</v>
      </c>
      <c r="B915" s="59">
        <f>SUM('Weekly Data'!D912:D915)/4</f>
        <v>576</v>
      </c>
      <c r="C915" s="90">
        <f>SUM('Weekly Data'!E912:E915)/4</f>
        <v>1968</v>
      </c>
      <c r="D915" s="90">
        <f>SUM('Weekly Data'!F912:F915)/4</f>
        <v>1253</v>
      </c>
      <c r="E915" s="90">
        <f>SUM('Weekly Data'!G912:G915)/4</f>
        <v>3835.5</v>
      </c>
      <c r="F915" s="90">
        <f>SUM('Weekly Data'!H912:H915)/4</f>
        <v>410.25</v>
      </c>
      <c r="G915" s="90">
        <f>SUM('Weekly Data'!I912:I915)/4</f>
        <v>6789.75</v>
      </c>
      <c r="H915" s="202">
        <f>SUM('Weekly Data'!J912:J915)/4</f>
        <v>2100.5893259302238</v>
      </c>
      <c r="J915" s="101">
        <f>AVERAGE('Weekly Data'!D863,'Weekly Data'!D811,'Weekly Data'!D759,'Weekly Data'!D707)</f>
        <v>461.25</v>
      </c>
      <c r="K915" s="16">
        <f>AVERAGE('Weekly Data'!E863,'Weekly Data'!E811,'Weekly Data'!E759,'Weekly Data'!E707)</f>
        <v>1334.5</v>
      </c>
      <c r="L915" s="16">
        <f>AVERAGE('Weekly Data'!F863,'Weekly Data'!F811,'Weekly Data'!F759,'Weekly Data'!F707)</f>
        <v>857.5</v>
      </c>
      <c r="M915" s="16">
        <f>AVERAGE('Weekly Data'!G863,'Weekly Data'!G811,'Weekly Data'!G759,'Weekly Data'!G707)</f>
        <v>3422.5</v>
      </c>
      <c r="N915" s="16">
        <f>AVERAGE('Weekly Data'!H863,'Weekly Data'!H811,'Weekly Data'!H759,'Weekly Data'!H707)</f>
        <v>243</v>
      </c>
      <c r="O915" s="101">
        <f>AVERAGE('Weekly Data'!I863,'Weekly Data'!I811,'Weekly Data'!I759,'Weekly Data'!I707)</f>
        <v>5461.25</v>
      </c>
      <c r="P915" s="203">
        <f>AVERAGE('Weekly Data'!J863,'Weekly Data'!J811,'Weekly Data'!J759,'Weekly Data'!J707)</f>
        <v>1696.3316507113859</v>
      </c>
      <c r="R915" s="13">
        <f t="shared" si="50"/>
        <v>40695</v>
      </c>
      <c r="S915" s="106">
        <f t="shared" si="51"/>
        <v>401.0625</v>
      </c>
      <c r="T915" s="106">
        <f t="shared" si="52"/>
        <v>1058.375</v>
      </c>
      <c r="U915" s="109">
        <f t="shared" si="53"/>
        <v>932.6875</v>
      </c>
      <c r="V915" s="109">
        <f t="shared" si="54"/>
        <v>3654.5625</v>
      </c>
      <c r="W915" s="110">
        <f t="shared" si="55"/>
        <v>291.3125</v>
      </c>
      <c r="X915" s="106">
        <f t="shared" si="56"/>
        <v>5405.3125</v>
      </c>
      <c r="Y915" s="204">
        <f t="shared" si="56"/>
        <v>1829.1677442640632</v>
      </c>
    </row>
    <row r="916" spans="1:25" x14ac:dyDescent="0.25">
      <c r="A916" s="105">
        <f t="shared" si="57"/>
        <v>40702</v>
      </c>
      <c r="B916" s="59">
        <f>SUM('Weekly Data'!D913:D916)/4</f>
        <v>474.75</v>
      </c>
      <c r="C916" s="90">
        <f>SUM('Weekly Data'!E913:E916)/4</f>
        <v>1852.25</v>
      </c>
      <c r="D916" s="90">
        <f>SUM('Weekly Data'!F913:F916)/4</f>
        <v>1258.5</v>
      </c>
      <c r="E916" s="90">
        <f>SUM('Weekly Data'!G913:G916)/4</f>
        <v>3761.75</v>
      </c>
      <c r="F916" s="90">
        <f>SUM('Weekly Data'!H913:H916)/4</f>
        <v>273.5</v>
      </c>
      <c r="G916" s="90">
        <f>SUM('Weekly Data'!I913:I916)/4</f>
        <v>6362.25</v>
      </c>
      <c r="H916" s="202">
        <f>SUM('Weekly Data'!J913:J916)/4</f>
        <v>1839.8173374055809</v>
      </c>
      <c r="J916" s="101">
        <f>AVERAGE('Weekly Data'!D864,'Weekly Data'!D812,'Weekly Data'!D760,'Weekly Data'!D708)</f>
        <v>148.75</v>
      </c>
      <c r="K916" s="16">
        <f>AVERAGE('Weekly Data'!E864,'Weekly Data'!E812,'Weekly Data'!E760,'Weekly Data'!E708)</f>
        <v>1543</v>
      </c>
      <c r="L916" s="16">
        <f>AVERAGE('Weekly Data'!F864,'Weekly Data'!F812,'Weekly Data'!F760,'Weekly Data'!F708)</f>
        <v>519.25</v>
      </c>
      <c r="M916" s="16">
        <f>AVERAGE('Weekly Data'!G864,'Weekly Data'!G812,'Weekly Data'!G760,'Weekly Data'!G708)</f>
        <v>3449.75</v>
      </c>
      <c r="N916" s="16">
        <f>AVERAGE('Weekly Data'!H864,'Weekly Data'!H812,'Weekly Data'!H760,'Weekly Data'!H708)</f>
        <v>267.25</v>
      </c>
      <c r="O916" s="101">
        <f>AVERAGE('Weekly Data'!I864,'Weekly Data'!I812,'Weekly Data'!I760,'Weekly Data'!I708)</f>
        <v>5408.75</v>
      </c>
      <c r="P916" s="203">
        <f>AVERAGE('Weekly Data'!J864,'Weekly Data'!J812,'Weekly Data'!J760,'Weekly Data'!J708)</f>
        <v>2124.5626205913127</v>
      </c>
      <c r="R916" s="13">
        <f t="shared" si="50"/>
        <v>40702</v>
      </c>
      <c r="S916" s="106">
        <f t="shared" si="51"/>
        <v>344.5</v>
      </c>
      <c r="T916" s="106">
        <f t="shared" si="52"/>
        <v>1119.6875</v>
      </c>
      <c r="U916" s="109">
        <f t="shared" si="53"/>
        <v>874.0625</v>
      </c>
      <c r="V916" s="109">
        <f t="shared" si="54"/>
        <v>3558.0625</v>
      </c>
      <c r="W916" s="110">
        <f t="shared" si="55"/>
        <v>257.8125</v>
      </c>
      <c r="X916" s="106">
        <f t="shared" si="56"/>
        <v>5280.0625</v>
      </c>
      <c r="Y916" s="204">
        <f t="shared" si="56"/>
        <v>1975.5184190570176</v>
      </c>
    </row>
    <row r="917" spans="1:25" x14ac:dyDescent="0.25">
      <c r="A917" s="105">
        <f t="shared" si="57"/>
        <v>40709</v>
      </c>
      <c r="B917" s="59">
        <f>SUM('Weekly Data'!D914:D917)/4</f>
        <v>379.5</v>
      </c>
      <c r="C917" s="90">
        <f>SUM('Weekly Data'!E914:E917)/4</f>
        <v>1752.75</v>
      </c>
      <c r="D917" s="90">
        <f>SUM('Weekly Data'!F914:F917)/4</f>
        <v>1051</v>
      </c>
      <c r="E917" s="90">
        <f>SUM('Weekly Data'!G914:G917)/4</f>
        <v>3625.25</v>
      </c>
      <c r="F917" s="90">
        <f>SUM('Weekly Data'!H914:H917)/4</f>
        <v>239.5</v>
      </c>
      <c r="G917" s="90">
        <f>SUM('Weekly Data'!I914:I917)/4</f>
        <v>5997</v>
      </c>
      <c r="H917" s="202">
        <f>SUM('Weekly Data'!J914:J917)/4</f>
        <v>2130.3031409491887</v>
      </c>
      <c r="J917" s="101">
        <f>AVERAGE('Weekly Data'!D865,'Weekly Data'!D813,'Weekly Data'!D761,'Weekly Data'!D709)</f>
        <v>319.75</v>
      </c>
      <c r="K917" s="16">
        <f>AVERAGE('Weekly Data'!E865,'Weekly Data'!E813,'Weekly Data'!E761,'Weekly Data'!E709)</f>
        <v>1220.75</v>
      </c>
      <c r="L917" s="16">
        <f>AVERAGE('Weekly Data'!F865,'Weekly Data'!F813,'Weekly Data'!F761,'Weekly Data'!F709)</f>
        <v>827.25</v>
      </c>
      <c r="M917" s="16">
        <f>AVERAGE('Weekly Data'!G865,'Weekly Data'!G813,'Weekly Data'!G761,'Weekly Data'!G709)</f>
        <v>3108</v>
      </c>
      <c r="N917" s="16">
        <f>AVERAGE('Weekly Data'!H865,'Weekly Data'!H813,'Weekly Data'!H761,'Weekly Data'!H709)</f>
        <v>225.75</v>
      </c>
      <c r="O917" s="101">
        <f>AVERAGE('Weekly Data'!I865,'Weekly Data'!I813,'Weekly Data'!I761,'Weekly Data'!I709)</f>
        <v>4874.25</v>
      </c>
      <c r="P917" s="203">
        <f>AVERAGE('Weekly Data'!J865,'Weekly Data'!J813,'Weekly Data'!J761,'Weekly Data'!J709)</f>
        <v>2047.3610714501874</v>
      </c>
      <c r="R917" s="13">
        <f t="shared" si="50"/>
        <v>40709</v>
      </c>
      <c r="S917" s="106">
        <f t="shared" ref="S917:S950" si="58">AVERAGE(B865,B813,B761,B708)</f>
        <v>314.8125</v>
      </c>
      <c r="T917" s="106">
        <f t="shared" ref="T917:T950" si="59">AVERAGE(C865,C813,C761,C708)</f>
        <v>1225.875</v>
      </c>
      <c r="U917" s="109">
        <f t="shared" ref="U917:U950" si="60">AVERAGE(D865,D813,D761,D708)</f>
        <v>799.875</v>
      </c>
      <c r="V917" s="109">
        <f t="shared" ref="V917:V950" si="61">AVERAGE(E865,E813,E761,E708)</f>
        <v>3464.1875</v>
      </c>
      <c r="W917" s="110">
        <f t="shared" ref="W917:W950" si="62">AVERAGE(F865,F813,F761,F708)</f>
        <v>251.875</v>
      </c>
      <c r="X917" s="106">
        <f t="shared" ref="X917:Y950" si="63">AVERAGE(G865,G813,G761,G708)</f>
        <v>5256.75</v>
      </c>
      <c r="Y917" s="204">
        <f t="shared" si="63"/>
        <v>2022.6777217679846</v>
      </c>
    </row>
    <row r="918" spans="1:25" x14ac:dyDescent="0.25">
      <c r="A918" s="105">
        <f t="shared" si="57"/>
        <v>40716</v>
      </c>
      <c r="B918" s="59">
        <f>SUM('Weekly Data'!D915:D918)/4</f>
        <v>298.75</v>
      </c>
      <c r="C918" s="90">
        <f>SUM('Weekly Data'!E915:E918)/4</f>
        <v>1610.25</v>
      </c>
      <c r="D918" s="90">
        <f>SUM('Weekly Data'!F915:F918)/4</f>
        <v>970.5</v>
      </c>
      <c r="E918" s="90">
        <f>SUM('Weekly Data'!G915:G918)/4</f>
        <v>3482.75</v>
      </c>
      <c r="F918" s="90">
        <f>SUM('Weekly Data'!H915:H918)/4</f>
        <v>231.5</v>
      </c>
      <c r="G918" s="90">
        <f>SUM('Weekly Data'!I915:I918)/4</f>
        <v>5623.25</v>
      </c>
      <c r="H918" s="202">
        <f>SUM('Weekly Data'!J915:J918)/4</f>
        <v>1929.6240171270779</v>
      </c>
      <c r="J918" s="101">
        <f>AVERAGE('Weekly Data'!D866,'Weekly Data'!D814,'Weekly Data'!D762,'Weekly Data'!D710)</f>
        <v>367</v>
      </c>
      <c r="K918" s="16">
        <f>AVERAGE('Weekly Data'!E866,'Weekly Data'!E814,'Weekly Data'!E762,'Weekly Data'!E710)</f>
        <v>1519.5</v>
      </c>
      <c r="L918" s="16">
        <f>AVERAGE('Weekly Data'!F866,'Weekly Data'!F814,'Weekly Data'!F762,'Weekly Data'!F710)</f>
        <v>691.25</v>
      </c>
      <c r="M918" s="16">
        <f>AVERAGE('Weekly Data'!G866,'Weekly Data'!G814,'Weekly Data'!G762,'Weekly Data'!G710)</f>
        <v>3796</v>
      </c>
      <c r="N918" s="16">
        <f>AVERAGE('Weekly Data'!H866,'Weekly Data'!H814,'Weekly Data'!H762,'Weekly Data'!H710)</f>
        <v>223</v>
      </c>
      <c r="O918" s="101">
        <f>AVERAGE('Weekly Data'!I866,'Weekly Data'!I814,'Weekly Data'!I762,'Weekly Data'!I710)</f>
        <v>5905.5</v>
      </c>
      <c r="P918" s="203">
        <f>AVERAGE('Weekly Data'!J866,'Weekly Data'!J814,'Weekly Data'!J762,'Weekly Data'!J710)</f>
        <v>1411.6792911758789</v>
      </c>
      <c r="R918" s="13">
        <f t="shared" si="50"/>
        <v>40716</v>
      </c>
      <c r="S918" s="106">
        <f t="shared" si="58"/>
        <v>324</v>
      </c>
      <c r="T918" s="106">
        <f t="shared" si="59"/>
        <v>1274.875</v>
      </c>
      <c r="U918" s="109">
        <f t="shared" si="60"/>
        <v>768.875</v>
      </c>
      <c r="V918" s="109">
        <f t="shared" si="61"/>
        <v>3419.4375</v>
      </c>
      <c r="W918" s="110">
        <f t="shared" si="62"/>
        <v>236.3125</v>
      </c>
      <c r="X918" s="106">
        <f t="shared" si="63"/>
        <v>5254.625</v>
      </c>
      <c r="Y918" s="204">
        <f t="shared" si="63"/>
        <v>1819.9836584821915</v>
      </c>
    </row>
    <row r="919" spans="1:25" x14ac:dyDescent="0.25">
      <c r="A919" s="105">
        <f t="shared" si="57"/>
        <v>40723</v>
      </c>
      <c r="B919" s="59">
        <f>SUM('Weekly Data'!D916:D919)/4</f>
        <v>244.5</v>
      </c>
      <c r="C919" s="90">
        <f>SUM('Weekly Data'!E916:E919)/4</f>
        <v>1269</v>
      </c>
      <c r="D919" s="90">
        <f>SUM('Weekly Data'!F916:F919)/4</f>
        <v>779.75</v>
      </c>
      <c r="E919" s="90">
        <f>SUM('Weekly Data'!G916:G919)/4</f>
        <v>3481.75</v>
      </c>
      <c r="F919" s="90">
        <f>SUM('Weekly Data'!H916:H919)/4</f>
        <v>238.75</v>
      </c>
      <c r="G919" s="90">
        <f>SUM('Weekly Data'!I916:I919)/4</f>
        <v>5234</v>
      </c>
      <c r="H919" s="202">
        <f>SUM('Weekly Data'!J916:J919)/4</f>
        <v>2090.6108059611688</v>
      </c>
      <c r="J919" s="101">
        <f>AVERAGE('Weekly Data'!D867,'Weekly Data'!D815,'Weekly Data'!D763,'Weekly Data'!D711)</f>
        <v>513.75</v>
      </c>
      <c r="K919" s="16">
        <f>AVERAGE('Weekly Data'!E867,'Weekly Data'!E815,'Weekly Data'!E763,'Weekly Data'!E711)</f>
        <v>1341.5</v>
      </c>
      <c r="L919" s="16">
        <f>AVERAGE('Weekly Data'!F867,'Weekly Data'!F815,'Weekly Data'!F763,'Weekly Data'!F711)</f>
        <v>728</v>
      </c>
      <c r="M919" s="16">
        <f>AVERAGE('Weekly Data'!G867,'Weekly Data'!G815,'Weekly Data'!G763,'Weekly Data'!G711)</f>
        <v>3403</v>
      </c>
      <c r="N919" s="16">
        <f>AVERAGE('Weekly Data'!H867,'Weekly Data'!H815,'Weekly Data'!H763,'Weekly Data'!H711)</f>
        <v>289</v>
      </c>
      <c r="O919" s="101">
        <f>AVERAGE('Weekly Data'!I867,'Weekly Data'!I815,'Weekly Data'!I763,'Weekly Data'!I711)</f>
        <v>5547.25</v>
      </c>
      <c r="P919" s="203">
        <f>AVERAGE('Weekly Data'!J867,'Weekly Data'!J815,'Weekly Data'!J763,'Weekly Data'!J711)</f>
        <v>1993.0196188901032</v>
      </c>
      <c r="R919" s="13">
        <f t="shared" si="50"/>
        <v>40723</v>
      </c>
      <c r="S919" s="106">
        <f t="shared" si="58"/>
        <v>370.5</v>
      </c>
      <c r="T919" s="106">
        <f t="shared" si="59"/>
        <v>1366.1875</v>
      </c>
      <c r="U919" s="109">
        <f t="shared" si="60"/>
        <v>713.3125</v>
      </c>
      <c r="V919" s="109">
        <f t="shared" si="61"/>
        <v>3478.125</v>
      </c>
      <c r="W919" s="110">
        <f t="shared" si="62"/>
        <v>244.6875</v>
      </c>
      <c r="X919" s="106">
        <f t="shared" si="63"/>
        <v>5459.5</v>
      </c>
      <c r="Y919" s="204">
        <f t="shared" si="63"/>
        <v>1894.1556505268704</v>
      </c>
    </row>
    <row r="920" spans="1:25" x14ac:dyDescent="0.25">
      <c r="A920" s="105">
        <f t="shared" si="57"/>
        <v>40730</v>
      </c>
      <c r="B920" s="59">
        <f>SUM('Weekly Data'!D917:D920)/4</f>
        <v>203.5</v>
      </c>
      <c r="C920" s="90">
        <f>SUM('Weekly Data'!E917:E920)/4</f>
        <v>1123.5</v>
      </c>
      <c r="D920" s="90">
        <f>SUM('Weekly Data'!F917:F920)/4</f>
        <v>867.25</v>
      </c>
      <c r="E920" s="90">
        <f>SUM('Weekly Data'!G917:G920)/4</f>
        <v>3139.75</v>
      </c>
      <c r="F920" s="90">
        <f>SUM('Weekly Data'!H917:H920)/4</f>
        <v>263.75</v>
      </c>
      <c r="G920" s="90">
        <f>SUM('Weekly Data'!I917:I920)/4</f>
        <v>4730.5</v>
      </c>
      <c r="H920" s="202">
        <f>SUM('Weekly Data'!J917:J920)/4</f>
        <v>2291.2899297832791</v>
      </c>
      <c r="J920" s="101">
        <f>AVERAGE('Weekly Data'!D868,'Weekly Data'!D816,'Weekly Data'!D764,'Weekly Data'!D712)</f>
        <v>422</v>
      </c>
      <c r="K920" s="16">
        <f>AVERAGE('Weekly Data'!E868,'Weekly Data'!E816,'Weekly Data'!E764,'Weekly Data'!E712)</f>
        <v>1922.25</v>
      </c>
      <c r="L920" s="16">
        <f>AVERAGE('Weekly Data'!F868,'Weekly Data'!F816,'Weekly Data'!F764,'Weekly Data'!F712)</f>
        <v>675.25</v>
      </c>
      <c r="M920" s="16">
        <f>AVERAGE('Weekly Data'!G868,'Weekly Data'!G816,'Weekly Data'!G764,'Weekly Data'!G712)</f>
        <v>3197.25</v>
      </c>
      <c r="N920" s="16">
        <f>AVERAGE('Weekly Data'!H868,'Weekly Data'!H816,'Weekly Data'!H764,'Weekly Data'!H712)</f>
        <v>274</v>
      </c>
      <c r="O920" s="101">
        <f>AVERAGE('Weekly Data'!I868,'Weekly Data'!I816,'Weekly Data'!I764,'Weekly Data'!I712)</f>
        <v>5815.5</v>
      </c>
      <c r="P920" s="203">
        <f>AVERAGE('Weekly Data'!J868,'Weekly Data'!J816,'Weekly Data'!J764,'Weekly Data'!J712)</f>
        <v>1393.0189390127375</v>
      </c>
      <c r="R920" s="13">
        <f t="shared" si="50"/>
        <v>40730</v>
      </c>
      <c r="S920" s="106">
        <f t="shared" si="58"/>
        <v>406.5625</v>
      </c>
      <c r="T920" s="106">
        <f t="shared" si="59"/>
        <v>1526.375</v>
      </c>
      <c r="U920" s="109">
        <f t="shared" si="60"/>
        <v>667.6875</v>
      </c>
      <c r="V920" s="109">
        <f t="shared" si="61"/>
        <v>3398</v>
      </c>
      <c r="W920" s="110">
        <f t="shared" si="62"/>
        <v>262.6875</v>
      </c>
      <c r="X920" s="106">
        <f t="shared" si="63"/>
        <v>5593.625</v>
      </c>
      <c r="Y920" s="204">
        <f t="shared" si="63"/>
        <v>1711.2697301322269</v>
      </c>
    </row>
    <row r="921" spans="1:25" x14ac:dyDescent="0.25">
      <c r="A921" s="105">
        <f t="shared" si="57"/>
        <v>40737</v>
      </c>
      <c r="B921" s="59">
        <f>SUM('Weekly Data'!D918:D921)/4</f>
        <v>206.25</v>
      </c>
      <c r="C921" s="90">
        <f>SUM('Weekly Data'!E918:E921)/4</f>
        <v>1148.5</v>
      </c>
      <c r="D921" s="90">
        <f>SUM('Weekly Data'!F918:F921)/4</f>
        <v>1033.75</v>
      </c>
      <c r="E921" s="90">
        <f>SUM('Weekly Data'!G918:G921)/4</f>
        <v>3266</v>
      </c>
      <c r="F921" s="90">
        <f>SUM('Weekly Data'!H918:H921)/4</f>
        <v>266</v>
      </c>
      <c r="G921" s="90">
        <f>SUM('Weekly Data'!I918:I921)/4</f>
        <v>4886.75</v>
      </c>
      <c r="H921" s="202">
        <f>SUM('Weekly Data'!J918:J921)/4</f>
        <v>2164.6735986203785</v>
      </c>
      <c r="J921" s="101">
        <f>AVERAGE('Weekly Data'!D869,'Weekly Data'!D817,'Weekly Data'!D765,'Weekly Data'!D713)</f>
        <v>554</v>
      </c>
      <c r="K921" s="16">
        <f>AVERAGE('Weekly Data'!E869,'Weekly Data'!E817,'Weekly Data'!E765,'Weekly Data'!E713)</f>
        <v>1757.75</v>
      </c>
      <c r="L921" s="16">
        <f>AVERAGE('Weekly Data'!F869,'Weekly Data'!F817,'Weekly Data'!F765,'Weekly Data'!F713)</f>
        <v>650.5</v>
      </c>
      <c r="M921" s="16">
        <f>AVERAGE('Weekly Data'!G869,'Weekly Data'!G817,'Weekly Data'!G765,'Weekly Data'!G713)</f>
        <v>3743.75</v>
      </c>
      <c r="N921" s="16">
        <f>AVERAGE('Weekly Data'!H869,'Weekly Data'!H817,'Weekly Data'!H765,'Weekly Data'!H713)</f>
        <v>409.25</v>
      </c>
      <c r="O921" s="101">
        <f>AVERAGE('Weekly Data'!I869,'Weekly Data'!I817,'Weekly Data'!I765,'Weekly Data'!I713)</f>
        <v>6464.75</v>
      </c>
      <c r="P921" s="203">
        <f>AVERAGE('Weekly Data'!J869,'Weekly Data'!J817,'Weekly Data'!J765,'Weekly Data'!J713)</f>
        <v>1138.9996048943303</v>
      </c>
      <c r="R921" s="13">
        <f t="shared" si="50"/>
        <v>40737</v>
      </c>
      <c r="S921" s="106">
        <f t="shared" si="58"/>
        <v>452.375</v>
      </c>
      <c r="T921" s="106">
        <f t="shared" si="59"/>
        <v>1625.4375</v>
      </c>
      <c r="U921" s="109">
        <f t="shared" si="60"/>
        <v>725.8125</v>
      </c>
      <c r="V921" s="109">
        <f t="shared" si="61"/>
        <v>3569.875</v>
      </c>
      <c r="W921" s="110">
        <f t="shared" si="62"/>
        <v>300.4375</v>
      </c>
      <c r="X921" s="106">
        <f t="shared" si="63"/>
        <v>5948.125</v>
      </c>
      <c r="Y921" s="204">
        <f t="shared" si="63"/>
        <v>1484.1793634932624</v>
      </c>
    </row>
    <row r="922" spans="1:25" x14ac:dyDescent="0.25">
      <c r="A922" s="105">
        <f t="shared" si="57"/>
        <v>40744</v>
      </c>
      <c r="B922" s="59">
        <f>SUM('Weekly Data'!D919:D922)/4</f>
        <v>149.25</v>
      </c>
      <c r="C922" s="90">
        <f>SUM('Weekly Data'!E919:E922)/4</f>
        <v>984.25</v>
      </c>
      <c r="D922" s="90">
        <f>SUM('Weekly Data'!F919:F922)/4</f>
        <v>1125</v>
      </c>
      <c r="E922" s="90">
        <f>SUM('Weekly Data'!G919:G922)/4</f>
        <v>3236.5</v>
      </c>
      <c r="F922" s="90">
        <f>SUM('Weekly Data'!H919:H922)/4</f>
        <v>210</v>
      </c>
      <c r="G922" s="90">
        <f>SUM('Weekly Data'!I919:I922)/4</f>
        <v>4580</v>
      </c>
      <c r="H922" s="202">
        <f>SUM('Weekly Data'!J919:J922)/4</f>
        <v>2276.2112773855956</v>
      </c>
      <c r="J922" s="101">
        <f>AVERAGE('Weekly Data'!D870,'Weekly Data'!D818,'Weekly Data'!D766,'Weekly Data'!D714)</f>
        <v>731.5</v>
      </c>
      <c r="K922" s="16">
        <f>AVERAGE('Weekly Data'!E870,'Weekly Data'!E818,'Weekly Data'!E766,'Weekly Data'!E714)</f>
        <v>1562.75</v>
      </c>
      <c r="L922" s="16">
        <f>AVERAGE('Weekly Data'!F870,'Weekly Data'!F818,'Weekly Data'!F766,'Weekly Data'!F714)</f>
        <v>590.75</v>
      </c>
      <c r="M922" s="16">
        <f>AVERAGE('Weekly Data'!G870,'Weekly Data'!G818,'Weekly Data'!G766,'Weekly Data'!G714)</f>
        <v>4009</v>
      </c>
      <c r="N922" s="16">
        <f>AVERAGE('Weekly Data'!H870,'Weekly Data'!H818,'Weekly Data'!H766,'Weekly Data'!H714)</f>
        <v>332.25</v>
      </c>
      <c r="O922" s="101">
        <f>AVERAGE('Weekly Data'!I870,'Weekly Data'!I818,'Weekly Data'!I766,'Weekly Data'!I714)</f>
        <v>6635.5</v>
      </c>
      <c r="P922" s="203">
        <f>AVERAGE('Weekly Data'!J870,'Weekly Data'!J818,'Weekly Data'!J766,'Weekly Data'!J714)</f>
        <v>1425.4502402268004</v>
      </c>
      <c r="R922" s="13">
        <f t="shared" si="50"/>
        <v>40744</v>
      </c>
      <c r="S922" s="106">
        <f t="shared" si="58"/>
        <v>520.8125</v>
      </c>
      <c r="T922" s="106">
        <f t="shared" si="59"/>
        <v>1718.5</v>
      </c>
      <c r="U922" s="109">
        <f t="shared" si="60"/>
        <v>643.625</v>
      </c>
      <c r="V922" s="109">
        <f t="shared" si="61"/>
        <v>3670.3125</v>
      </c>
      <c r="W922" s="110">
        <f t="shared" si="62"/>
        <v>322.75</v>
      </c>
      <c r="X922" s="106">
        <f t="shared" si="63"/>
        <v>6232.375</v>
      </c>
      <c r="Y922" s="204">
        <f t="shared" si="63"/>
        <v>1487.622100755993</v>
      </c>
    </row>
    <row r="923" spans="1:25" x14ac:dyDescent="0.25">
      <c r="A923" s="105">
        <f t="shared" si="57"/>
        <v>40751</v>
      </c>
      <c r="B923" s="59">
        <f>SUM('Weekly Data'!D920:D923)/4</f>
        <v>122.5</v>
      </c>
      <c r="C923" s="90">
        <f>SUM('Weekly Data'!E920:E923)/4</f>
        <v>908</v>
      </c>
      <c r="D923" s="90">
        <f>SUM('Weekly Data'!F920:F923)/4</f>
        <v>1184.25</v>
      </c>
      <c r="E923" s="90">
        <f>SUM('Weekly Data'!G920:G923)/4</f>
        <v>3321.75</v>
      </c>
      <c r="F923" s="90">
        <f>SUM('Weekly Data'!H920:H923)/4</f>
        <v>224.25</v>
      </c>
      <c r="G923" s="90">
        <f>SUM('Weekly Data'!I920:I923)/4</f>
        <v>4576.5</v>
      </c>
      <c r="H923" s="202">
        <f>SUM('Weekly Data'!J920:J923)/4</f>
        <v>1965.5466890156767</v>
      </c>
      <c r="J923" s="101">
        <f>AVERAGE('Weekly Data'!D871,'Weekly Data'!D819,'Weekly Data'!D767,'Weekly Data'!D715)</f>
        <v>614</v>
      </c>
      <c r="K923" s="16">
        <f>AVERAGE('Weekly Data'!E871,'Weekly Data'!E819,'Weekly Data'!E767,'Weekly Data'!E715)</f>
        <v>1977.25</v>
      </c>
      <c r="L923" s="16">
        <f>AVERAGE('Weekly Data'!F871,'Weekly Data'!F819,'Weekly Data'!F767,'Weekly Data'!F715)</f>
        <v>719.5</v>
      </c>
      <c r="M923" s="16">
        <f>AVERAGE('Weekly Data'!G871,'Weekly Data'!G819,'Weekly Data'!G767,'Weekly Data'!G715)</f>
        <v>3959.25</v>
      </c>
      <c r="N923" s="16">
        <f>AVERAGE('Weekly Data'!H871,'Weekly Data'!H819,'Weekly Data'!H767,'Weekly Data'!H715)</f>
        <v>94.5</v>
      </c>
      <c r="O923" s="101">
        <f>AVERAGE('Weekly Data'!I871,'Weekly Data'!I819,'Weekly Data'!I767,'Weekly Data'!I715)</f>
        <v>6645</v>
      </c>
      <c r="P923" s="203">
        <f>AVERAGE('Weekly Data'!J871,'Weekly Data'!J819,'Weekly Data'!J767,'Weekly Data'!J715)</f>
        <v>1589.3530627691316</v>
      </c>
      <c r="R923" s="13">
        <f t="shared" si="50"/>
        <v>40751</v>
      </c>
      <c r="S923" s="106">
        <f t="shared" si="58"/>
        <v>560.75</v>
      </c>
      <c r="T923" s="106">
        <f t="shared" si="59"/>
        <v>1747.75</v>
      </c>
      <c r="U923" s="109">
        <f t="shared" si="60"/>
        <v>682.6875</v>
      </c>
      <c r="V923" s="109">
        <f t="shared" si="61"/>
        <v>3691.1875</v>
      </c>
      <c r="W923" s="110">
        <f t="shared" si="62"/>
        <v>282.125</v>
      </c>
      <c r="X923" s="106">
        <f t="shared" si="63"/>
        <v>6281.8125</v>
      </c>
      <c r="Y923" s="204">
        <f t="shared" si="63"/>
        <v>1386.70546172575</v>
      </c>
    </row>
    <row r="924" spans="1:25" x14ac:dyDescent="0.25">
      <c r="A924" s="105">
        <f t="shared" si="57"/>
        <v>40758</v>
      </c>
      <c r="B924" s="59">
        <f>SUM('Weekly Data'!D921:D924)/4</f>
        <v>121.75</v>
      </c>
      <c r="C924" s="90">
        <f>SUM('Weekly Data'!E921:E924)/4</f>
        <v>937.5</v>
      </c>
      <c r="D924" s="90">
        <f>SUM('Weekly Data'!F921:F924)/4</f>
        <v>1025.75</v>
      </c>
      <c r="E924" s="90">
        <f>SUM('Weekly Data'!G921:G924)/4</f>
        <v>3725.75</v>
      </c>
      <c r="F924" s="90">
        <f>SUM('Weekly Data'!H921:H924)/4</f>
        <v>227.5</v>
      </c>
      <c r="G924" s="90">
        <f>SUM('Weekly Data'!I921:I924)/4</f>
        <v>5012.5</v>
      </c>
      <c r="H924" s="202">
        <f>SUM('Weekly Data'!J921:J924)/4</f>
        <v>1857.3351835734777</v>
      </c>
      <c r="J924" s="101">
        <f>AVERAGE('Weekly Data'!D872,'Weekly Data'!D820,'Weekly Data'!D768,'Weekly Data'!D716)</f>
        <v>450.5</v>
      </c>
      <c r="K924" s="16">
        <f>AVERAGE('Weekly Data'!E872,'Weekly Data'!E820,'Weekly Data'!E768,'Weekly Data'!E716)</f>
        <v>1800.75</v>
      </c>
      <c r="L924" s="16">
        <f>AVERAGE('Weekly Data'!F872,'Weekly Data'!F820,'Weekly Data'!F768,'Weekly Data'!F716)</f>
        <v>688.25</v>
      </c>
      <c r="M924" s="16">
        <f>AVERAGE('Weekly Data'!G872,'Weekly Data'!G820,'Weekly Data'!G768,'Weekly Data'!G716)</f>
        <v>3315.25</v>
      </c>
      <c r="N924" s="16">
        <f>AVERAGE('Weekly Data'!H872,'Weekly Data'!H820,'Weekly Data'!H768,'Weekly Data'!H716)</f>
        <v>221.5</v>
      </c>
      <c r="O924" s="101">
        <f>AVERAGE('Weekly Data'!I872,'Weekly Data'!I820,'Weekly Data'!I768,'Weekly Data'!I716)</f>
        <v>5788</v>
      </c>
      <c r="P924" s="203">
        <f>AVERAGE('Weekly Data'!J872,'Weekly Data'!J820,'Weekly Data'!J768,'Weekly Data'!J716)</f>
        <v>1902.3211771958522</v>
      </c>
      <c r="R924" s="13">
        <f t="shared" si="50"/>
        <v>40758</v>
      </c>
      <c r="S924" s="106">
        <f t="shared" si="58"/>
        <v>561</v>
      </c>
      <c r="T924" s="106">
        <f t="shared" si="59"/>
        <v>1747.5</v>
      </c>
      <c r="U924" s="109">
        <f t="shared" si="60"/>
        <v>681.875</v>
      </c>
      <c r="V924" s="109">
        <f t="shared" si="61"/>
        <v>3714.875</v>
      </c>
      <c r="W924" s="110">
        <f t="shared" si="62"/>
        <v>251.3125</v>
      </c>
      <c r="X924" s="106">
        <f t="shared" si="63"/>
        <v>6274.6875</v>
      </c>
      <c r="Y924" s="204">
        <f t="shared" si="63"/>
        <v>1514.0310212715285</v>
      </c>
    </row>
    <row r="925" spans="1:25" x14ac:dyDescent="0.25">
      <c r="A925" s="105">
        <f t="shared" si="57"/>
        <v>40765</v>
      </c>
      <c r="B925" s="59">
        <f>SUM('Weekly Data'!D922:D925)/4</f>
        <v>80</v>
      </c>
      <c r="C925" s="90">
        <f>SUM('Weekly Data'!E922:E925)/4</f>
        <v>805.75</v>
      </c>
      <c r="D925" s="90">
        <f>SUM('Weekly Data'!F922:F925)/4</f>
        <v>1069</v>
      </c>
      <c r="E925" s="90">
        <f>SUM('Weekly Data'!G922:G925)/4</f>
        <v>3357</v>
      </c>
      <c r="F925" s="90">
        <f>SUM('Weekly Data'!H922:H925)/4</f>
        <v>239.75</v>
      </c>
      <c r="G925" s="90">
        <f>SUM('Weekly Data'!I922:I925)/4</f>
        <v>4482.5</v>
      </c>
      <c r="H925" s="202">
        <f>SUM('Weekly Data'!J922:J925)/4</f>
        <v>1801.0119819703662</v>
      </c>
      <c r="J925" s="101">
        <f>AVERAGE('Weekly Data'!D873,'Weekly Data'!D821,'Weekly Data'!D769,'Weekly Data'!D717)</f>
        <v>700.75</v>
      </c>
      <c r="K925" s="16">
        <f>AVERAGE('Weekly Data'!E873,'Weekly Data'!E821,'Weekly Data'!E769,'Weekly Data'!E717)</f>
        <v>2119</v>
      </c>
      <c r="L925" s="16">
        <f>AVERAGE('Weekly Data'!F873,'Weekly Data'!F821,'Weekly Data'!F769,'Weekly Data'!F717)</f>
        <v>688.75</v>
      </c>
      <c r="M925" s="16">
        <f>AVERAGE('Weekly Data'!G873,'Weekly Data'!G821,'Weekly Data'!G769,'Weekly Data'!G717)</f>
        <v>3788.75</v>
      </c>
      <c r="N925" s="16">
        <f>AVERAGE('Weekly Data'!H873,'Weekly Data'!H821,'Weekly Data'!H769,'Weekly Data'!H717)</f>
        <v>205.5</v>
      </c>
      <c r="O925" s="101">
        <f>AVERAGE('Weekly Data'!I873,'Weekly Data'!I821,'Weekly Data'!I769,'Weekly Data'!I717)</f>
        <v>6814</v>
      </c>
      <c r="P925" s="203">
        <f>AVERAGE('Weekly Data'!J873,'Weekly Data'!J821,'Weekly Data'!J769,'Weekly Data'!J717)</f>
        <v>1092.6810810695135</v>
      </c>
      <c r="R925" s="13">
        <f t="shared" si="50"/>
        <v>40765</v>
      </c>
      <c r="S925" s="106">
        <f t="shared" si="58"/>
        <v>607.4375</v>
      </c>
      <c r="T925" s="106">
        <f t="shared" si="59"/>
        <v>1796.375</v>
      </c>
      <c r="U925" s="109">
        <f t="shared" si="60"/>
        <v>663.5625</v>
      </c>
      <c r="V925" s="109">
        <f t="shared" si="61"/>
        <v>3672.125</v>
      </c>
      <c r="W925" s="110">
        <f t="shared" si="62"/>
        <v>202.3125</v>
      </c>
      <c r="X925" s="106">
        <f t="shared" si="63"/>
        <v>6278.25</v>
      </c>
      <c r="Y925" s="204">
        <f t="shared" si="63"/>
        <v>1502.4513903153245</v>
      </c>
    </row>
    <row r="926" spans="1:25" x14ac:dyDescent="0.25">
      <c r="A926" s="105">
        <f t="shared" si="57"/>
        <v>40772</v>
      </c>
      <c r="B926" s="59">
        <f>SUM('Weekly Data'!D923:D926)/4</f>
        <v>111.25</v>
      </c>
      <c r="C926" s="90">
        <f>SUM('Weekly Data'!E923:E926)/4</f>
        <v>1021.75</v>
      </c>
      <c r="D926" s="90">
        <f>SUM('Weekly Data'!F923:F926)/4</f>
        <v>923.25</v>
      </c>
      <c r="E926" s="90">
        <f>SUM('Weekly Data'!G923:G926)/4</f>
        <v>2960.75</v>
      </c>
      <c r="F926" s="90">
        <f>SUM('Weekly Data'!H923:H926)/4</f>
        <v>237.5</v>
      </c>
      <c r="G926" s="90">
        <f>SUM('Weekly Data'!I923:I926)/4</f>
        <v>4331.25</v>
      </c>
      <c r="H926" s="202">
        <f>SUM('Weekly Data'!J923:J926)/4</f>
        <v>1630.4901629436224</v>
      </c>
      <c r="J926" s="101">
        <f>AVERAGE('Weekly Data'!D874,'Weekly Data'!D822,'Weekly Data'!D770,'Weekly Data'!D718)</f>
        <v>569.75</v>
      </c>
      <c r="K926" s="16">
        <f>AVERAGE('Weekly Data'!E874,'Weekly Data'!E822,'Weekly Data'!E770,'Weekly Data'!E718)</f>
        <v>2107.75</v>
      </c>
      <c r="L926" s="16">
        <f>AVERAGE('Weekly Data'!F874,'Weekly Data'!F822,'Weekly Data'!F770,'Weekly Data'!F718)</f>
        <v>634.75</v>
      </c>
      <c r="M926" s="16">
        <f>AVERAGE('Weekly Data'!G874,'Weekly Data'!G822,'Weekly Data'!G770,'Weekly Data'!G718)</f>
        <v>3452.5</v>
      </c>
      <c r="N926" s="16">
        <f>AVERAGE('Weekly Data'!H874,'Weekly Data'!H822,'Weekly Data'!H770,'Weekly Data'!H718)</f>
        <v>222</v>
      </c>
      <c r="O926" s="101">
        <f>AVERAGE('Weekly Data'!I874,'Weekly Data'!I822,'Weekly Data'!I770,'Weekly Data'!I718)</f>
        <v>6352</v>
      </c>
      <c r="P926" s="203">
        <f>AVERAGE('Weekly Data'!J874,'Weekly Data'!J822,'Weekly Data'!J770,'Weekly Data'!J718)</f>
        <v>1383.2376655061589</v>
      </c>
      <c r="R926" s="13">
        <f t="shared" si="50"/>
        <v>40772</v>
      </c>
      <c r="S926" s="106">
        <f t="shared" si="58"/>
        <v>573.1875</v>
      </c>
      <c r="T926" s="106">
        <f t="shared" si="59"/>
        <v>1902.75</v>
      </c>
      <c r="U926" s="109">
        <f t="shared" si="60"/>
        <v>699</v>
      </c>
      <c r="V926" s="109">
        <f t="shared" si="61"/>
        <v>3421.75</v>
      </c>
      <c r="W926" s="110">
        <f t="shared" si="62"/>
        <v>185.1875</v>
      </c>
      <c r="X926" s="106">
        <f t="shared" si="63"/>
        <v>6082.875</v>
      </c>
      <c r="Y926" s="204">
        <f t="shared" si="63"/>
        <v>1491.898246635164</v>
      </c>
    </row>
    <row r="927" spans="1:25" x14ac:dyDescent="0.25">
      <c r="A927" s="105">
        <f t="shared" si="57"/>
        <v>40779</v>
      </c>
      <c r="B927" s="59">
        <f>SUM('Weekly Data'!D924:D927)/4</f>
        <v>110.5</v>
      </c>
      <c r="C927" s="90">
        <f>SUM('Weekly Data'!E924:E927)/4</f>
        <v>1082.75</v>
      </c>
      <c r="D927" s="90">
        <f>SUM('Weekly Data'!F924:F927)/4</f>
        <v>860.75</v>
      </c>
      <c r="E927" s="90">
        <f>SUM('Weekly Data'!G924:G927)/4</f>
        <v>2843.25</v>
      </c>
      <c r="F927" s="90">
        <f>SUM('Weekly Data'!H924:H927)/4</f>
        <v>197.5</v>
      </c>
      <c r="G927" s="90">
        <f>SUM('Weekly Data'!I924:I927)/4</f>
        <v>4234</v>
      </c>
      <c r="H927" s="202">
        <f>SUM('Weekly Data'!J924:J927)/4</f>
        <v>1670.4042428198434</v>
      </c>
      <c r="J927" s="101">
        <f>AVERAGE('Weekly Data'!D875,'Weekly Data'!D823,'Weekly Data'!D771,'Weekly Data'!D719)</f>
        <v>832.5</v>
      </c>
      <c r="K927" s="16">
        <f>AVERAGE('Weekly Data'!E875,'Weekly Data'!E823,'Weekly Data'!E771,'Weekly Data'!E719)</f>
        <v>2095.25</v>
      </c>
      <c r="L927" s="16">
        <f>AVERAGE('Weekly Data'!F875,'Weekly Data'!F823,'Weekly Data'!F771,'Weekly Data'!F719)</f>
        <v>690</v>
      </c>
      <c r="M927" s="16">
        <f>AVERAGE('Weekly Data'!G875,'Weekly Data'!G823,'Weekly Data'!G771,'Weekly Data'!G719)</f>
        <v>3505.25</v>
      </c>
      <c r="N927" s="16">
        <f>AVERAGE('Weekly Data'!H875,'Weekly Data'!H823,'Weekly Data'!H771,'Weekly Data'!H719)</f>
        <v>393.5</v>
      </c>
      <c r="O927" s="101">
        <f>AVERAGE('Weekly Data'!I875,'Weekly Data'!I823,'Weekly Data'!I771,'Weekly Data'!I719)</f>
        <v>6826.5</v>
      </c>
      <c r="P927" s="203">
        <f>AVERAGE('Weekly Data'!J875,'Weekly Data'!J823,'Weekly Data'!J771,'Weekly Data'!J719)</f>
        <v>1621.3987327814807</v>
      </c>
      <c r="R927" s="13">
        <f t="shared" si="50"/>
        <v>40779</v>
      </c>
      <c r="S927" s="106">
        <f t="shared" si="58"/>
        <v>587.625</v>
      </c>
      <c r="T927" s="106">
        <f t="shared" si="59"/>
        <v>1982.125</v>
      </c>
      <c r="U927" s="109">
        <f t="shared" si="60"/>
        <v>659.75</v>
      </c>
      <c r="V927" s="109">
        <f t="shared" si="61"/>
        <v>3476.8125</v>
      </c>
      <c r="W927" s="110">
        <f t="shared" si="62"/>
        <v>209.6875</v>
      </c>
      <c r="X927" s="106">
        <f t="shared" si="63"/>
        <v>6256.25</v>
      </c>
      <c r="Y927" s="204">
        <f t="shared" si="63"/>
        <v>1499.9096641382516</v>
      </c>
    </row>
    <row r="928" spans="1:25" x14ac:dyDescent="0.25">
      <c r="A928" s="105">
        <f t="shared" si="57"/>
        <v>40786</v>
      </c>
      <c r="B928" s="59">
        <f>SUM('Weekly Data'!D925:D928)/4</f>
        <v>59.25</v>
      </c>
      <c r="C928" s="90">
        <f>SUM('Weekly Data'!E925:E928)/4</f>
        <v>964.75</v>
      </c>
      <c r="D928" s="90">
        <f>SUM('Weekly Data'!F925:F928)/4</f>
        <v>802.75</v>
      </c>
      <c r="E928" s="90">
        <f>SUM('Weekly Data'!G925:G928)/4</f>
        <v>2624.25</v>
      </c>
      <c r="F928" s="90">
        <f>SUM('Weekly Data'!H925:H928)/4</f>
        <v>148.75</v>
      </c>
      <c r="G928" s="90">
        <f>SUM('Weekly Data'!I925:I928)/4</f>
        <v>3797</v>
      </c>
      <c r="H928" s="202">
        <f>SUM('Weekly Data'!J925:J928)/4</f>
        <v>1626.4987549560005</v>
      </c>
      <c r="J928" s="101">
        <f>AVERAGE('Weekly Data'!D876,'Weekly Data'!D824,'Weekly Data'!D772,'Weekly Data'!D720)</f>
        <v>874</v>
      </c>
      <c r="K928" s="16">
        <f>AVERAGE('Weekly Data'!E876,'Weekly Data'!E824,'Weekly Data'!E772,'Weekly Data'!E720)</f>
        <v>1986.5</v>
      </c>
      <c r="L928" s="16">
        <f>AVERAGE('Weekly Data'!F876,'Weekly Data'!F824,'Weekly Data'!F772,'Weekly Data'!F720)</f>
        <v>542</v>
      </c>
      <c r="M928" s="16">
        <f>AVERAGE('Weekly Data'!G876,'Weekly Data'!G824,'Weekly Data'!G772,'Weekly Data'!G720)</f>
        <v>3154.75</v>
      </c>
      <c r="N928" s="16">
        <f>AVERAGE('Weekly Data'!H876,'Weekly Data'!H824,'Weekly Data'!H772,'Weekly Data'!H720)</f>
        <v>291.25</v>
      </c>
      <c r="O928" s="101">
        <f>AVERAGE('Weekly Data'!I876,'Weekly Data'!I824,'Weekly Data'!I772,'Weekly Data'!I720)</f>
        <v>6306.5</v>
      </c>
      <c r="P928" s="203">
        <f>AVERAGE('Weekly Data'!J876,'Weekly Data'!J824,'Weekly Data'!J772,'Weekly Data'!J720)</f>
        <v>1388.9032293845639</v>
      </c>
      <c r="R928" s="13">
        <f t="shared" si="50"/>
        <v>40786</v>
      </c>
      <c r="S928" s="106">
        <f t="shared" si="58"/>
        <v>704.25</v>
      </c>
      <c r="T928" s="106">
        <f t="shared" si="59"/>
        <v>2006.625</v>
      </c>
      <c r="U928" s="109">
        <f t="shared" si="60"/>
        <v>638.25</v>
      </c>
      <c r="V928" s="109">
        <f t="shared" si="61"/>
        <v>3525.5</v>
      </c>
      <c r="W928" s="110">
        <f t="shared" si="62"/>
        <v>275.875</v>
      </c>
      <c r="X928" s="106">
        <f t="shared" si="63"/>
        <v>6512.25</v>
      </c>
      <c r="Y928" s="204">
        <f t="shared" si="63"/>
        <v>1371.5551771854293</v>
      </c>
    </row>
    <row r="929" spans="1:25" x14ac:dyDescent="0.25">
      <c r="A929" s="105">
        <f t="shared" si="57"/>
        <v>40793</v>
      </c>
      <c r="B929" s="59">
        <f>SUM('Weekly Data'!D926:D929)/4</f>
        <v>89.25</v>
      </c>
      <c r="C929" s="90">
        <f>SUM('Weekly Data'!E926:E929)/4</f>
        <v>981.75</v>
      </c>
      <c r="D929" s="90">
        <f>SUM('Weekly Data'!F926:F929)/4</f>
        <v>668.5</v>
      </c>
      <c r="E929" s="90">
        <f>SUM('Weekly Data'!G926:G929)/4</f>
        <v>2748.25</v>
      </c>
      <c r="F929" s="90">
        <f>SUM('Weekly Data'!H926:H929)/4</f>
        <v>74.25</v>
      </c>
      <c r="G929" s="90">
        <f>SUM('Weekly Data'!I926:I929)/4</f>
        <v>3893.5</v>
      </c>
      <c r="H929" s="202">
        <f>SUM('Weekly Data'!J926:J929)/4</f>
        <v>1519.8394637312103</v>
      </c>
      <c r="J929" s="101">
        <f>AVERAGE('Weekly Data'!D877,'Weekly Data'!D825,'Weekly Data'!D773,'Weekly Data'!D721)</f>
        <v>767.5</v>
      </c>
      <c r="K929" s="16">
        <f>AVERAGE('Weekly Data'!E877,'Weekly Data'!E825,'Weekly Data'!E773,'Weekly Data'!E721)</f>
        <v>2357.25</v>
      </c>
      <c r="L929" s="16">
        <f>AVERAGE('Weekly Data'!F877,'Weekly Data'!F825,'Weekly Data'!F773,'Weekly Data'!F721)</f>
        <v>497.5</v>
      </c>
      <c r="M929" s="16">
        <f>AVERAGE('Weekly Data'!G877,'Weekly Data'!G825,'Weekly Data'!G773,'Weekly Data'!G721)</f>
        <v>3347.25</v>
      </c>
      <c r="N929" s="16">
        <f>AVERAGE('Weekly Data'!H877,'Weekly Data'!H825,'Weekly Data'!H773,'Weekly Data'!H721)</f>
        <v>413</v>
      </c>
      <c r="O929" s="101">
        <f>AVERAGE('Weekly Data'!I877,'Weekly Data'!I825,'Weekly Data'!I773,'Weekly Data'!I721)</f>
        <v>6885</v>
      </c>
      <c r="P929" s="203">
        <f>AVERAGE('Weekly Data'!J877,'Weekly Data'!J825,'Weekly Data'!J773,'Weekly Data'!J721)</f>
        <v>1732.5306936022653</v>
      </c>
      <c r="R929" s="13">
        <f t="shared" si="50"/>
        <v>40793</v>
      </c>
      <c r="S929" s="106">
        <f t="shared" si="58"/>
        <v>722.1875</v>
      </c>
      <c r="T929" s="106">
        <f t="shared" si="59"/>
        <v>2059.1875</v>
      </c>
      <c r="U929" s="109">
        <f t="shared" si="60"/>
        <v>598.375</v>
      </c>
      <c r="V929" s="109">
        <f t="shared" si="61"/>
        <v>3474.3125</v>
      </c>
      <c r="W929" s="110">
        <f t="shared" si="62"/>
        <v>319.6875</v>
      </c>
      <c r="X929" s="106">
        <f t="shared" si="63"/>
        <v>6575.375</v>
      </c>
      <c r="Y929" s="204">
        <f t="shared" si="63"/>
        <v>1531.5175803186173</v>
      </c>
    </row>
    <row r="930" spans="1:25" x14ac:dyDescent="0.25">
      <c r="A930" s="105">
        <f t="shared" si="57"/>
        <v>40800</v>
      </c>
      <c r="B930" s="59">
        <f>SUM('Weekly Data'!D927:D930)/4</f>
        <v>84.75</v>
      </c>
      <c r="C930" s="90">
        <f>SUM('Weekly Data'!E927:E930)/4</f>
        <v>1022.5</v>
      </c>
      <c r="D930" s="90">
        <f>SUM('Weekly Data'!F927:F930)/4</f>
        <v>786.5</v>
      </c>
      <c r="E930" s="90">
        <f>SUM('Weekly Data'!G927:G930)/4</f>
        <v>2727.75</v>
      </c>
      <c r="F930" s="90">
        <f>SUM('Weekly Data'!H927:H930)/4</f>
        <v>40.25</v>
      </c>
      <c r="G930" s="90">
        <f>SUM('Weekly Data'!I927:I930)/4</f>
        <v>3875.25</v>
      </c>
      <c r="H930" s="202">
        <f>SUM('Weekly Data'!J927:J930)/4</f>
        <v>1622.9508367447806</v>
      </c>
      <c r="J930" s="101">
        <f>AVERAGE('Weekly Data'!D878,'Weekly Data'!D826,'Weekly Data'!D774,'Weekly Data'!D722)</f>
        <v>879.75</v>
      </c>
      <c r="K930" s="16">
        <f>AVERAGE('Weekly Data'!E878,'Weekly Data'!E826,'Weekly Data'!E774,'Weekly Data'!E722)</f>
        <v>2144.75</v>
      </c>
      <c r="L930" s="16">
        <f>AVERAGE('Weekly Data'!F878,'Weekly Data'!F826,'Weekly Data'!F774,'Weekly Data'!F722)</f>
        <v>709.25</v>
      </c>
      <c r="M930" s="16">
        <f>AVERAGE('Weekly Data'!G878,'Weekly Data'!G826,'Weekly Data'!G774,'Weekly Data'!G722)</f>
        <v>3215.5</v>
      </c>
      <c r="N930" s="16">
        <f>AVERAGE('Weekly Data'!H878,'Weekly Data'!H826,'Weekly Data'!H774,'Weekly Data'!H722)</f>
        <v>335.5</v>
      </c>
      <c r="O930" s="101">
        <f>AVERAGE('Weekly Data'!I878,'Weekly Data'!I826,'Weekly Data'!I774,'Weekly Data'!I722)</f>
        <v>6575.5</v>
      </c>
      <c r="P930" s="203">
        <f>AVERAGE('Weekly Data'!J878,'Weekly Data'!J826,'Weekly Data'!J774,'Weekly Data'!J722)</f>
        <v>1036.4799956756908</v>
      </c>
      <c r="R930" s="13">
        <f t="shared" si="50"/>
        <v>40800</v>
      </c>
      <c r="S930" s="106">
        <f t="shared" si="58"/>
        <v>794.0625</v>
      </c>
      <c r="T930" s="106">
        <f t="shared" si="59"/>
        <v>2061.8125</v>
      </c>
      <c r="U930" s="109">
        <f t="shared" si="60"/>
        <v>563.9375</v>
      </c>
      <c r="V930" s="109">
        <f t="shared" si="61"/>
        <v>3457.5625</v>
      </c>
      <c r="W930" s="110">
        <f t="shared" si="62"/>
        <v>349.5625</v>
      </c>
      <c r="X930" s="106">
        <f t="shared" si="63"/>
        <v>6663</v>
      </c>
      <c r="Y930" s="204">
        <f t="shared" si="63"/>
        <v>1444.8281628610002</v>
      </c>
    </row>
    <row r="931" spans="1:25" x14ac:dyDescent="0.25">
      <c r="A931" s="105">
        <f t="shared" si="57"/>
        <v>40807</v>
      </c>
      <c r="B931" s="59">
        <f>SUM('Weekly Data'!D928:D931)/4</f>
        <v>95</v>
      </c>
      <c r="C931" s="90">
        <f>SUM('Weekly Data'!E928:E931)/4</f>
        <v>1153.5</v>
      </c>
      <c r="D931" s="90">
        <f>SUM('Weekly Data'!F928:F931)/4</f>
        <v>810.75</v>
      </c>
      <c r="E931" s="90">
        <f>SUM('Weekly Data'!G928:G931)/4</f>
        <v>2554.5</v>
      </c>
      <c r="F931" s="90">
        <f>SUM('Weekly Data'!H928:H931)/4</f>
        <v>37</v>
      </c>
      <c r="G931" s="90">
        <f>SUM('Weekly Data'!I928:I931)/4</f>
        <v>3840</v>
      </c>
      <c r="H931" s="202">
        <f>SUM('Weekly Data'!J928:J931)/4</f>
        <v>1739.5886479386263</v>
      </c>
      <c r="J931" s="101">
        <f>AVERAGE('Weekly Data'!D879,'Weekly Data'!D827,'Weekly Data'!D775,'Weekly Data'!D723)</f>
        <v>1191.75</v>
      </c>
      <c r="K931" s="16">
        <f>AVERAGE('Weekly Data'!E879,'Weekly Data'!E827,'Weekly Data'!E775,'Weekly Data'!E723)</f>
        <v>2317.5</v>
      </c>
      <c r="L931" s="16">
        <f>AVERAGE('Weekly Data'!F879,'Weekly Data'!F827,'Weekly Data'!F775,'Weekly Data'!F723)</f>
        <v>867.25</v>
      </c>
      <c r="M931" s="16">
        <f>AVERAGE('Weekly Data'!G879,'Weekly Data'!G827,'Weekly Data'!G775,'Weekly Data'!G723)</f>
        <v>2824</v>
      </c>
      <c r="N931" s="16">
        <f>AVERAGE('Weekly Data'!H879,'Weekly Data'!H827,'Weekly Data'!H775,'Weekly Data'!H723)</f>
        <v>521.5</v>
      </c>
      <c r="O931" s="101">
        <f>AVERAGE('Weekly Data'!I879,'Weekly Data'!I827,'Weekly Data'!I775,'Weekly Data'!I723)</f>
        <v>6854.75</v>
      </c>
      <c r="P931" s="203">
        <f>AVERAGE('Weekly Data'!J879,'Weekly Data'!J827,'Weekly Data'!J775,'Weekly Data'!J723)</f>
        <v>1407.9115494990619</v>
      </c>
      <c r="R931" s="13">
        <f t="shared" si="50"/>
        <v>40807</v>
      </c>
      <c r="S931" s="106">
        <f t="shared" si="58"/>
        <v>878.8125</v>
      </c>
      <c r="T931" s="106">
        <f t="shared" si="59"/>
        <v>2131.625</v>
      </c>
      <c r="U931" s="109">
        <f t="shared" si="60"/>
        <v>627.375</v>
      </c>
      <c r="V931" s="109">
        <f t="shared" si="61"/>
        <v>3202</v>
      </c>
      <c r="W931" s="110">
        <f t="shared" si="62"/>
        <v>389.25</v>
      </c>
      <c r="X931" s="106">
        <f t="shared" si="63"/>
        <v>6601.6875</v>
      </c>
      <c r="Y931" s="204">
        <f t="shared" si="63"/>
        <v>1391.4563670403954</v>
      </c>
    </row>
    <row r="932" spans="1:25" x14ac:dyDescent="0.25">
      <c r="A932" s="105">
        <f t="shared" si="57"/>
        <v>40814</v>
      </c>
      <c r="B932" s="59">
        <f>SUM('Weekly Data'!D929:D932)/4</f>
        <v>249</v>
      </c>
      <c r="C932" s="90">
        <f>SUM('Weekly Data'!E929:E932)/4</f>
        <v>1355.5</v>
      </c>
      <c r="D932" s="90">
        <f>SUM('Weekly Data'!F929:F932)/4</f>
        <v>826</v>
      </c>
      <c r="E932" s="90">
        <f>SUM('Weekly Data'!G929:G932)/4</f>
        <v>2217.25</v>
      </c>
      <c r="F932" s="90">
        <f>SUM('Weekly Data'!H929:H932)/4</f>
        <v>85.5</v>
      </c>
      <c r="G932" s="90">
        <f>SUM('Weekly Data'!I929:I932)/4</f>
        <v>3907.25</v>
      </c>
      <c r="H932" s="202">
        <f>SUM('Weekly Data'!J929:J932)/4</f>
        <v>1604.546011024079</v>
      </c>
      <c r="J932" s="101">
        <f>AVERAGE('Weekly Data'!D880,'Weekly Data'!D828,'Weekly Data'!D776,'Weekly Data'!D724)</f>
        <v>1154</v>
      </c>
      <c r="K932" s="16">
        <f>AVERAGE('Weekly Data'!E880,'Weekly Data'!E828,'Weekly Data'!E776,'Weekly Data'!E724)</f>
        <v>1914.5</v>
      </c>
      <c r="L932" s="16">
        <f>AVERAGE('Weekly Data'!F880,'Weekly Data'!F828,'Weekly Data'!F776,'Weekly Data'!F724)</f>
        <v>717.25</v>
      </c>
      <c r="M932" s="16">
        <f>AVERAGE('Weekly Data'!G880,'Weekly Data'!G828,'Weekly Data'!G776,'Weekly Data'!G724)</f>
        <v>3371.25</v>
      </c>
      <c r="N932" s="16">
        <f>AVERAGE('Weekly Data'!H880,'Weekly Data'!H828,'Weekly Data'!H776,'Weekly Data'!H724)</f>
        <v>620</v>
      </c>
      <c r="O932" s="101">
        <f>AVERAGE('Weekly Data'!I880,'Weekly Data'!I828,'Weekly Data'!I776,'Weekly Data'!I724)</f>
        <v>7059.75</v>
      </c>
      <c r="P932" s="203">
        <f>AVERAGE('Weekly Data'!J880,'Weekly Data'!J828,'Weekly Data'!J776,'Weekly Data'!J724)</f>
        <v>1166.9776784756782</v>
      </c>
      <c r="R932" s="13">
        <f t="shared" si="50"/>
        <v>40814</v>
      </c>
      <c r="S932" s="106">
        <f t="shared" si="58"/>
        <v>940.3125</v>
      </c>
      <c r="T932" s="106">
        <f t="shared" si="59"/>
        <v>2216.3125</v>
      </c>
      <c r="U932" s="109">
        <f t="shared" si="60"/>
        <v>697.25</v>
      </c>
      <c r="V932" s="109">
        <f t="shared" si="61"/>
        <v>3114.9375</v>
      </c>
      <c r="W932" s="110">
        <f t="shared" si="62"/>
        <v>426.75</v>
      </c>
      <c r="X932" s="106">
        <f t="shared" si="63"/>
        <v>6698.3125</v>
      </c>
      <c r="Y932" s="204">
        <f t="shared" si="63"/>
        <v>1335.9749793131741</v>
      </c>
    </row>
    <row r="933" spans="1:25" x14ac:dyDescent="0.25">
      <c r="A933" s="105">
        <f t="shared" si="57"/>
        <v>40821</v>
      </c>
      <c r="B933" s="59">
        <f>SUM('Weekly Data'!D930:D933)/4</f>
        <v>338.75</v>
      </c>
      <c r="C933" s="90">
        <f>SUM('Weekly Data'!E930:E933)/4</f>
        <v>1390.25</v>
      </c>
      <c r="D933" s="90">
        <f>SUM('Weekly Data'!F930:F933)/4</f>
        <v>798</v>
      </c>
      <c r="E933" s="90">
        <f>SUM('Weekly Data'!G930:G933)/4</f>
        <v>2057</v>
      </c>
      <c r="F933" s="90">
        <f>SUM('Weekly Data'!H930:H933)/4</f>
        <v>119.5</v>
      </c>
      <c r="G933" s="90">
        <f>SUM('Weekly Data'!I930:I933)/4</f>
        <v>3905.5</v>
      </c>
      <c r="H933" s="202">
        <f>SUM('Weekly Data'!J930:J933)/4</f>
        <v>1692.3569867517649</v>
      </c>
      <c r="J933" s="101">
        <f>AVERAGE('Weekly Data'!D881,'Weekly Data'!D829,'Weekly Data'!D777,'Weekly Data'!D725)</f>
        <v>1646</v>
      </c>
      <c r="K933" s="16">
        <f>AVERAGE('Weekly Data'!E881,'Weekly Data'!E829,'Weekly Data'!E777,'Weekly Data'!E725)</f>
        <v>2044.25</v>
      </c>
      <c r="L933" s="16">
        <f>AVERAGE('Weekly Data'!F881,'Weekly Data'!F829,'Weekly Data'!F777,'Weekly Data'!F725)</f>
        <v>529</v>
      </c>
      <c r="M933" s="16">
        <f>AVERAGE('Weekly Data'!G881,'Weekly Data'!G829,'Weekly Data'!G777,'Weekly Data'!G725)</f>
        <v>3928</v>
      </c>
      <c r="N933" s="16">
        <f>AVERAGE('Weekly Data'!H881,'Weekly Data'!H829,'Weekly Data'!H777,'Weekly Data'!H725)</f>
        <v>659</v>
      </c>
      <c r="O933" s="101">
        <f>AVERAGE('Weekly Data'!I881,'Weekly Data'!I829,'Weekly Data'!I777,'Weekly Data'!I725)</f>
        <v>8277.25</v>
      </c>
      <c r="P933" s="203">
        <f>AVERAGE('Weekly Data'!J881,'Weekly Data'!J829,'Weekly Data'!J777,'Weekly Data'!J725)</f>
        <v>1596.6357063379353</v>
      </c>
      <c r="R933" s="13">
        <f t="shared" si="50"/>
        <v>40821</v>
      </c>
      <c r="S933" s="106">
        <f t="shared" si="58"/>
        <v>1140.625</v>
      </c>
      <c r="T933" s="106">
        <f t="shared" si="59"/>
        <v>2166</v>
      </c>
      <c r="U933" s="109">
        <f t="shared" si="60"/>
        <v>724.25</v>
      </c>
      <c r="V933" s="109">
        <f t="shared" si="61"/>
        <v>3179.375</v>
      </c>
      <c r="W933" s="110">
        <f t="shared" si="62"/>
        <v>510.5625</v>
      </c>
      <c r="X933" s="106">
        <f t="shared" si="63"/>
        <v>6996.5625</v>
      </c>
      <c r="Y933" s="204">
        <f t="shared" si="63"/>
        <v>1001.0537971928889</v>
      </c>
    </row>
    <row r="934" spans="1:25" x14ac:dyDescent="0.25">
      <c r="A934" s="105">
        <f t="shared" si="57"/>
        <v>40828</v>
      </c>
      <c r="B934" s="59">
        <f>SUM('Weekly Data'!D931:D934)/4</f>
        <v>381</v>
      </c>
      <c r="C934" s="90">
        <f>SUM('Weekly Data'!E931:E934)/4</f>
        <v>1241.75</v>
      </c>
      <c r="D934" s="90">
        <f>SUM('Weekly Data'!F931:F934)/4</f>
        <v>634.25</v>
      </c>
      <c r="E934" s="90">
        <f>SUM('Weekly Data'!G931:G934)/4</f>
        <v>2559.75</v>
      </c>
      <c r="F934" s="90">
        <f>SUM('Weekly Data'!H931:H934)/4</f>
        <v>164.75</v>
      </c>
      <c r="G934" s="90">
        <f>SUM('Weekly Data'!I931:I934)/4</f>
        <v>4347.25</v>
      </c>
      <c r="H934" s="202">
        <f>SUM('Weekly Data'!J931:J934)/4</f>
        <v>1767.7502487401821</v>
      </c>
      <c r="J934" s="101">
        <f>AVERAGE('Weekly Data'!D882,'Weekly Data'!D830,'Weekly Data'!D778,'Weekly Data'!D726)</f>
        <v>2160.75</v>
      </c>
      <c r="K934" s="16">
        <f>AVERAGE('Weekly Data'!E882,'Weekly Data'!E830,'Weekly Data'!E778,'Weekly Data'!E726)</f>
        <v>2205.5</v>
      </c>
      <c r="L934" s="16">
        <f>AVERAGE('Weekly Data'!F882,'Weekly Data'!F830,'Weekly Data'!F778,'Weekly Data'!F726)</f>
        <v>861</v>
      </c>
      <c r="M934" s="16">
        <f>AVERAGE('Weekly Data'!G882,'Weekly Data'!G830,'Weekly Data'!G778,'Weekly Data'!G726)</f>
        <v>5779.5</v>
      </c>
      <c r="N934" s="16">
        <f>AVERAGE('Weekly Data'!H882,'Weekly Data'!H830,'Weekly Data'!H778,'Weekly Data'!H726)</f>
        <v>863.75</v>
      </c>
      <c r="O934" s="101">
        <f>AVERAGE('Weekly Data'!I882,'Weekly Data'!I830,'Weekly Data'!I778,'Weekly Data'!I726)</f>
        <v>11009.5</v>
      </c>
      <c r="P934" s="203">
        <f>AVERAGE('Weekly Data'!J882,'Weekly Data'!J830,'Weekly Data'!J778,'Weekly Data'!J726)</f>
        <v>2112.0776139894328</v>
      </c>
      <c r="R934" s="13">
        <f t="shared" si="50"/>
        <v>40828</v>
      </c>
      <c r="S934" s="106">
        <f t="shared" si="58"/>
        <v>1450.875</v>
      </c>
      <c r="T934" s="106">
        <f t="shared" si="59"/>
        <v>2182.5625</v>
      </c>
      <c r="U934" s="109">
        <f t="shared" si="60"/>
        <v>743.5625</v>
      </c>
      <c r="V934" s="109">
        <f t="shared" si="61"/>
        <v>3780.5625</v>
      </c>
      <c r="W934" s="110">
        <f t="shared" si="62"/>
        <v>639.5</v>
      </c>
      <c r="X934" s="106">
        <f t="shared" si="63"/>
        <v>8053.5</v>
      </c>
      <c r="Y934" s="204">
        <f t="shared" si="63"/>
        <v>1356.3265347442987</v>
      </c>
    </row>
    <row r="935" spans="1:25" x14ac:dyDescent="0.25">
      <c r="A935" s="105">
        <f t="shared" si="57"/>
        <v>40835</v>
      </c>
      <c r="B935" s="59">
        <f>SUM('Weekly Data'!D932:D935)/4</f>
        <v>541.5</v>
      </c>
      <c r="C935" s="90">
        <f>SUM('Weekly Data'!E932:E935)/4</f>
        <v>1028.25</v>
      </c>
      <c r="D935" s="90">
        <f>SUM('Weekly Data'!F932:F935)/4</f>
        <v>835.5</v>
      </c>
      <c r="E935" s="90">
        <f>SUM('Weekly Data'!G932:G935)/4</f>
        <v>3029.25</v>
      </c>
      <c r="F935" s="90">
        <f>SUM('Weekly Data'!H932:H935)/4</f>
        <v>249.25</v>
      </c>
      <c r="G935" s="90">
        <f>SUM('Weekly Data'!I932:I935)/4</f>
        <v>4848.25</v>
      </c>
      <c r="H935" s="202">
        <f>SUM('Weekly Data'!J932:J935)/4</f>
        <v>1504.3173215571246</v>
      </c>
      <c r="J935" s="101">
        <f>AVERAGE('Weekly Data'!D883,'Weekly Data'!D831,'Weekly Data'!D779,'Weekly Data'!D727)</f>
        <v>2063</v>
      </c>
      <c r="K935" s="16">
        <f>AVERAGE('Weekly Data'!E883,'Weekly Data'!E831,'Weekly Data'!E779,'Weekly Data'!E727)</f>
        <v>1946.25</v>
      </c>
      <c r="L935" s="16">
        <f>AVERAGE('Weekly Data'!F883,'Weekly Data'!F831,'Weekly Data'!F779,'Weekly Data'!F727)</f>
        <v>688.25</v>
      </c>
      <c r="M935" s="16">
        <f>AVERAGE('Weekly Data'!G883,'Weekly Data'!G831,'Weekly Data'!G779,'Weekly Data'!G727)</f>
        <v>5187</v>
      </c>
      <c r="N935" s="16">
        <f>AVERAGE('Weekly Data'!H883,'Weekly Data'!H831,'Weekly Data'!H779,'Weekly Data'!H727)</f>
        <v>978.25</v>
      </c>
      <c r="O935" s="101">
        <f>AVERAGE('Weekly Data'!I883,'Weekly Data'!I831,'Weekly Data'!I779,'Weekly Data'!I727)</f>
        <v>10174.5</v>
      </c>
      <c r="P935" s="203">
        <f>AVERAGE('Weekly Data'!J883,'Weekly Data'!J831,'Weekly Data'!J779,'Weekly Data'!J727)</f>
        <v>2049.9986559890658</v>
      </c>
      <c r="R935" s="13">
        <f t="shared" si="50"/>
        <v>40835</v>
      </c>
      <c r="S935" s="106">
        <f t="shared" si="58"/>
        <v>1753.3125</v>
      </c>
      <c r="T935" s="106">
        <f t="shared" si="59"/>
        <v>2101.125</v>
      </c>
      <c r="U935" s="109">
        <f t="shared" si="60"/>
        <v>722.625</v>
      </c>
      <c r="V935" s="109">
        <f t="shared" si="61"/>
        <v>4406.3125</v>
      </c>
      <c r="W935" s="110">
        <f t="shared" si="62"/>
        <v>776.125</v>
      </c>
      <c r="X935" s="106">
        <f t="shared" si="63"/>
        <v>9036.875</v>
      </c>
      <c r="Y935" s="204">
        <f t="shared" si="63"/>
        <v>1634.1742738250548</v>
      </c>
    </row>
    <row r="936" spans="1:25" x14ac:dyDescent="0.25">
      <c r="A936" s="105">
        <f t="shared" si="57"/>
        <v>40842</v>
      </c>
      <c r="B936" s="59">
        <f>SUM('Weekly Data'!D933:D936)/4</f>
        <v>610</v>
      </c>
      <c r="C936" s="90">
        <f>SUM('Weekly Data'!E933:E936)/4</f>
        <v>766</v>
      </c>
      <c r="D936" s="90">
        <f>SUM('Weekly Data'!F933:F936)/4</f>
        <v>1144.5</v>
      </c>
      <c r="E936" s="90">
        <f>SUM('Weekly Data'!G933:G936)/4</f>
        <v>3664.25</v>
      </c>
      <c r="F936" s="90">
        <f>SUM('Weekly Data'!H933:H936)/4</f>
        <v>380.5</v>
      </c>
      <c r="G936" s="90">
        <f>SUM('Weekly Data'!I933:I936)/4</f>
        <v>5420.75</v>
      </c>
      <c r="H936" s="202">
        <f>SUM('Weekly Data'!J933:J936)/4</f>
        <v>1791.9204415541158</v>
      </c>
      <c r="J936" s="101">
        <f>AVERAGE('Weekly Data'!D884,'Weekly Data'!D832,'Weekly Data'!D780,'Weekly Data'!D728)</f>
        <v>2038.75</v>
      </c>
      <c r="K936" s="16">
        <f>AVERAGE('Weekly Data'!E884,'Weekly Data'!E832,'Weekly Data'!E780,'Weekly Data'!E728)</f>
        <v>2194.75</v>
      </c>
      <c r="L936" s="16">
        <f>AVERAGE('Weekly Data'!F884,'Weekly Data'!F832,'Weekly Data'!F780,'Weekly Data'!F728)</f>
        <v>1068.5</v>
      </c>
      <c r="M936" s="16">
        <f>AVERAGE('Weekly Data'!G884,'Weekly Data'!G832,'Weekly Data'!G780,'Weekly Data'!G728)</f>
        <v>5050</v>
      </c>
      <c r="N936" s="16">
        <f>AVERAGE('Weekly Data'!H884,'Weekly Data'!H832,'Weekly Data'!H780,'Weekly Data'!H728)</f>
        <v>911.25</v>
      </c>
      <c r="O936" s="101">
        <f>AVERAGE('Weekly Data'!I884,'Weekly Data'!I832,'Weekly Data'!I780,'Weekly Data'!I728)</f>
        <v>10194.75</v>
      </c>
      <c r="P936" s="203">
        <f>AVERAGE('Weekly Data'!J884,'Weekly Data'!J832,'Weekly Data'!J780,'Weekly Data'!J728)</f>
        <v>2073.5968609164788</v>
      </c>
      <c r="R936" s="13">
        <f t="shared" si="50"/>
        <v>40842</v>
      </c>
      <c r="S936" s="106">
        <f t="shared" si="58"/>
        <v>1995.9375</v>
      </c>
      <c r="T936" s="106">
        <f t="shared" si="59"/>
        <v>2016.1875</v>
      </c>
      <c r="U936" s="109">
        <f t="shared" si="60"/>
        <v>777.25</v>
      </c>
      <c r="V936" s="109">
        <f t="shared" si="61"/>
        <v>4832.8125</v>
      </c>
      <c r="W936" s="110">
        <f t="shared" si="62"/>
        <v>859.5</v>
      </c>
      <c r="X936" s="106">
        <f t="shared" si="63"/>
        <v>9704.4375</v>
      </c>
      <c r="Y936" s="204">
        <f t="shared" si="63"/>
        <v>1958.077209308228</v>
      </c>
    </row>
    <row r="937" spans="1:25" x14ac:dyDescent="0.25">
      <c r="A937" s="105">
        <f t="shared" si="57"/>
        <v>40849</v>
      </c>
      <c r="B937" s="59">
        <f>SUM('Weekly Data'!D934:D937)/4</f>
        <v>623.5</v>
      </c>
      <c r="C937" s="90">
        <f>SUM('Weekly Data'!E934:E937)/4</f>
        <v>551.75</v>
      </c>
      <c r="D937" s="90">
        <f>SUM('Weekly Data'!F934:F937)/4</f>
        <v>1321.75</v>
      </c>
      <c r="E937" s="90">
        <f>SUM('Weekly Data'!G934:G937)/4</f>
        <v>4137</v>
      </c>
      <c r="F937" s="90">
        <f>SUM('Weekly Data'!H934:H937)/4</f>
        <v>475</v>
      </c>
      <c r="G937" s="90">
        <f>SUM('Weekly Data'!I934:I937)/4</f>
        <v>5787.25</v>
      </c>
      <c r="H937" s="202">
        <f>SUM('Weekly Data'!J934:J937)/4</f>
        <v>1869.3094075363442</v>
      </c>
      <c r="J937" s="101">
        <f>AVERAGE('Weekly Data'!D885,'Weekly Data'!D833,'Weekly Data'!D781,'Weekly Data'!D729)</f>
        <v>1666.75</v>
      </c>
      <c r="K937" s="16">
        <f>AVERAGE('Weekly Data'!E885,'Weekly Data'!E833,'Weekly Data'!E781,'Weekly Data'!E729)</f>
        <v>2136.5</v>
      </c>
      <c r="L937" s="16">
        <f>AVERAGE('Weekly Data'!F885,'Weekly Data'!F833,'Weekly Data'!F781,'Weekly Data'!F729)</f>
        <v>1114.75</v>
      </c>
      <c r="M937" s="16">
        <f>AVERAGE('Weekly Data'!G885,'Weekly Data'!G833,'Weekly Data'!G781,'Weekly Data'!G729)</f>
        <v>5172.75</v>
      </c>
      <c r="N937" s="16">
        <f>AVERAGE('Weekly Data'!H885,'Weekly Data'!H833,'Weekly Data'!H781,'Weekly Data'!H729)</f>
        <v>1008.25</v>
      </c>
      <c r="O937" s="101">
        <f>AVERAGE('Weekly Data'!I885,'Weekly Data'!I833,'Weekly Data'!I781,'Weekly Data'!I729)</f>
        <v>9984.25</v>
      </c>
      <c r="P937" s="203">
        <f>AVERAGE('Weekly Data'!J885,'Weekly Data'!J833,'Weekly Data'!J781,'Weekly Data'!J729)</f>
        <v>1785.3292813902756</v>
      </c>
      <c r="R937" s="13">
        <f t="shared" si="50"/>
        <v>40849</v>
      </c>
      <c r="S937" s="106">
        <f t="shared" si="58"/>
        <v>2050.4375</v>
      </c>
      <c r="T937" s="106">
        <f t="shared" si="59"/>
        <v>2091.6875</v>
      </c>
      <c r="U937" s="109">
        <f t="shared" si="60"/>
        <v>879.1875</v>
      </c>
      <c r="V937" s="109">
        <f t="shared" si="61"/>
        <v>5237.875</v>
      </c>
      <c r="W937" s="110">
        <f t="shared" si="62"/>
        <v>938.5</v>
      </c>
      <c r="X937" s="106">
        <f t="shared" si="63"/>
        <v>10318.5</v>
      </c>
      <c r="Y937" s="204">
        <f t="shared" si="63"/>
        <v>2005.2506030713132</v>
      </c>
    </row>
    <row r="938" spans="1:25" x14ac:dyDescent="0.25">
      <c r="A938" s="105">
        <f t="shared" si="57"/>
        <v>40856</v>
      </c>
      <c r="B938" s="59">
        <f>SUM('Weekly Data'!D935:D938)/4</f>
        <v>686.75</v>
      </c>
      <c r="C938" s="90">
        <f>SUM('Weekly Data'!E935:E938)/4</f>
        <v>362.25</v>
      </c>
      <c r="D938" s="90">
        <f>SUM('Weekly Data'!F935:F938)/4</f>
        <v>1425.75</v>
      </c>
      <c r="E938" s="90">
        <f>SUM('Weekly Data'!G935:G938)/4</f>
        <v>4148</v>
      </c>
      <c r="F938" s="90">
        <f>SUM('Weekly Data'!H935:H938)/4</f>
        <v>636</v>
      </c>
      <c r="G938" s="90">
        <f>SUM('Weekly Data'!I935:I938)/4</f>
        <v>5833</v>
      </c>
      <c r="H938" s="202">
        <f>SUM('Weekly Data'!J935:J938)/4</f>
        <v>1912.5496607355833</v>
      </c>
      <c r="J938" s="101">
        <f>AVERAGE('Weekly Data'!D886,'Weekly Data'!D834,'Weekly Data'!D782,'Weekly Data'!D730)</f>
        <v>1625.75</v>
      </c>
      <c r="K938" s="16">
        <f>AVERAGE('Weekly Data'!E886,'Weekly Data'!E834,'Weekly Data'!E782,'Weekly Data'!E730)</f>
        <v>2455.75</v>
      </c>
      <c r="L938" s="16">
        <f>AVERAGE('Weekly Data'!F886,'Weekly Data'!F834,'Weekly Data'!F782,'Weekly Data'!F730)</f>
        <v>839.25</v>
      </c>
      <c r="M938" s="16">
        <f>AVERAGE('Weekly Data'!G886,'Weekly Data'!G834,'Weekly Data'!G782,'Weekly Data'!G730)</f>
        <v>4203</v>
      </c>
      <c r="N938" s="16">
        <f>AVERAGE('Weekly Data'!H886,'Weekly Data'!H834,'Weekly Data'!H782,'Weekly Data'!H730)</f>
        <v>980.5</v>
      </c>
      <c r="O938" s="101">
        <f>AVERAGE('Weekly Data'!I886,'Weekly Data'!I834,'Weekly Data'!I782,'Weekly Data'!I730)</f>
        <v>9265</v>
      </c>
      <c r="P938" s="203">
        <f>AVERAGE('Weekly Data'!J886,'Weekly Data'!J834,'Weekly Data'!J782,'Weekly Data'!J730)</f>
        <v>1948.6996515747596</v>
      </c>
      <c r="R938" s="13">
        <f t="shared" si="50"/>
        <v>40856</v>
      </c>
      <c r="S938" s="106">
        <f t="shared" si="58"/>
        <v>1938.875</v>
      </c>
      <c r="T938" s="106">
        <f t="shared" si="59"/>
        <v>2165.6875</v>
      </c>
      <c r="U938" s="109">
        <f t="shared" si="60"/>
        <v>955.875</v>
      </c>
      <c r="V938" s="109">
        <f t="shared" si="61"/>
        <v>4991.125</v>
      </c>
      <c r="W938" s="110">
        <f t="shared" si="62"/>
        <v>941.1875</v>
      </c>
      <c r="X938" s="106">
        <f t="shared" si="63"/>
        <v>10036.875</v>
      </c>
      <c r="Y938" s="204">
        <f t="shared" si="63"/>
        <v>1964.4061124676452</v>
      </c>
    </row>
    <row r="939" spans="1:25" x14ac:dyDescent="0.25">
      <c r="A939" s="105">
        <f t="shared" si="57"/>
        <v>40863</v>
      </c>
      <c r="B939" s="59">
        <f>SUM('Weekly Data'!D936:D939)/4</f>
        <v>508</v>
      </c>
      <c r="C939" s="90">
        <f>SUM('Weekly Data'!E936:E939)/4</f>
        <v>381.5</v>
      </c>
      <c r="D939" s="90">
        <f>SUM('Weekly Data'!F936:F939)/4</f>
        <v>1362</v>
      </c>
      <c r="E939" s="90">
        <f>SUM('Weekly Data'!G936:G939)/4</f>
        <v>3984.5</v>
      </c>
      <c r="F939" s="90">
        <f>SUM('Weekly Data'!H936:H939)/4</f>
        <v>714</v>
      </c>
      <c r="G939" s="90">
        <f>SUM('Weekly Data'!I936:I939)/4</f>
        <v>5588</v>
      </c>
      <c r="H939" s="202">
        <f>SUM('Weekly Data'!J936:J939)/4</f>
        <v>2120.1028760919321</v>
      </c>
      <c r="J939" s="101">
        <f>AVERAGE('Weekly Data'!D887,'Weekly Data'!D835,'Weekly Data'!D783,'Weekly Data'!D731)</f>
        <v>1381.25</v>
      </c>
      <c r="K939" s="16">
        <f>AVERAGE('Weekly Data'!E887,'Weekly Data'!E835,'Weekly Data'!E783,'Weekly Data'!E731)</f>
        <v>2330.25</v>
      </c>
      <c r="L939" s="16">
        <f>AVERAGE('Weekly Data'!F887,'Weekly Data'!F835,'Weekly Data'!F783,'Weekly Data'!F731)</f>
        <v>741.75</v>
      </c>
      <c r="M939" s="16">
        <f>AVERAGE('Weekly Data'!G887,'Weekly Data'!G835,'Weekly Data'!G783,'Weekly Data'!G731)</f>
        <v>4683</v>
      </c>
      <c r="N939" s="16">
        <f>AVERAGE('Weekly Data'!H887,'Weekly Data'!H835,'Weekly Data'!H783,'Weekly Data'!H731)</f>
        <v>1327</v>
      </c>
      <c r="O939" s="101">
        <f>AVERAGE('Weekly Data'!I887,'Weekly Data'!I835,'Weekly Data'!I783,'Weekly Data'!I731)</f>
        <v>9721.5</v>
      </c>
      <c r="P939" s="203">
        <f>AVERAGE('Weekly Data'!J887,'Weekly Data'!J835,'Weekly Data'!J783,'Weekly Data'!J731)</f>
        <v>1878.0525000486914</v>
      </c>
      <c r="R939" s="13">
        <f t="shared" si="50"/>
        <v>40863</v>
      </c>
      <c r="S939" s="106">
        <f t="shared" si="58"/>
        <v>1733.125</v>
      </c>
      <c r="T939" s="106">
        <f t="shared" si="59"/>
        <v>2308.3125</v>
      </c>
      <c r="U939" s="109">
        <f t="shared" si="60"/>
        <v>945.9375</v>
      </c>
      <c r="V939" s="109">
        <f t="shared" si="61"/>
        <v>4736.625</v>
      </c>
      <c r="W939" s="110">
        <f t="shared" si="62"/>
        <v>1018.6875</v>
      </c>
      <c r="X939" s="106">
        <f t="shared" si="63"/>
        <v>9796.75</v>
      </c>
      <c r="Y939" s="204">
        <f t="shared" si="63"/>
        <v>1921.4195734825516</v>
      </c>
    </row>
    <row r="940" spans="1:25" x14ac:dyDescent="0.25">
      <c r="A940" s="105">
        <f t="shared" si="57"/>
        <v>40870</v>
      </c>
      <c r="B940" s="59">
        <f>SUM('Weekly Data'!D937:D940)/4</f>
        <v>386.5</v>
      </c>
      <c r="C940" s="90">
        <f>SUM('Weekly Data'!E937:E940)/4</f>
        <v>539.5</v>
      </c>
      <c r="D940" s="90">
        <f>SUM('Weekly Data'!F937:F940)/4</f>
        <v>1103</v>
      </c>
      <c r="E940" s="90">
        <f>SUM('Weekly Data'!G937:G940)/4</f>
        <v>3799.5</v>
      </c>
      <c r="F940" s="90">
        <f>SUM('Weekly Data'!H937:H940)/4</f>
        <v>707.5</v>
      </c>
      <c r="G940" s="90">
        <f>SUM('Weekly Data'!I937:I940)/4</f>
        <v>5433</v>
      </c>
      <c r="H940" s="202">
        <f>SUM('Weekly Data'!J937:J940)/4</f>
        <v>1983.2862800717749</v>
      </c>
      <c r="J940" s="101">
        <f>AVERAGE('Weekly Data'!D888,'Weekly Data'!D836,'Weekly Data'!D784,'Weekly Data'!D732)</f>
        <v>1530.75</v>
      </c>
      <c r="K940" s="16">
        <f>AVERAGE('Weekly Data'!E888,'Weekly Data'!E836,'Weekly Data'!E784,'Weekly Data'!E732)</f>
        <v>2175.25</v>
      </c>
      <c r="L940" s="16">
        <f>AVERAGE('Weekly Data'!F888,'Weekly Data'!F836,'Weekly Data'!F784,'Weekly Data'!F732)</f>
        <v>886.25</v>
      </c>
      <c r="M940" s="16">
        <f>AVERAGE('Weekly Data'!G888,'Weekly Data'!G836,'Weekly Data'!G784,'Weekly Data'!G732)</f>
        <v>3972.5</v>
      </c>
      <c r="N940" s="16">
        <f>AVERAGE('Weekly Data'!H888,'Weekly Data'!H836,'Weekly Data'!H784,'Weekly Data'!H732)</f>
        <v>1108.25</v>
      </c>
      <c r="O940" s="101">
        <f>AVERAGE('Weekly Data'!I888,'Weekly Data'!I836,'Weekly Data'!I784,'Weekly Data'!I732)</f>
        <v>8786.75</v>
      </c>
      <c r="P940" s="203">
        <f>AVERAGE('Weekly Data'!J888,'Weekly Data'!J836,'Weekly Data'!J784,'Weekly Data'!J732)</f>
        <v>1780.2068865615468</v>
      </c>
      <c r="R940" s="13">
        <f t="shared" si="50"/>
        <v>40870</v>
      </c>
      <c r="S940" s="106">
        <f t="shared" si="58"/>
        <v>1550.9375</v>
      </c>
      <c r="T940" s="106">
        <f t="shared" si="59"/>
        <v>2404.6875</v>
      </c>
      <c r="U940" s="109">
        <f t="shared" si="60"/>
        <v>916.125</v>
      </c>
      <c r="V940" s="109">
        <f t="shared" si="61"/>
        <v>4617.375</v>
      </c>
      <c r="W940" s="110">
        <f t="shared" si="62"/>
        <v>1101.25</v>
      </c>
      <c r="X940" s="106">
        <f t="shared" si="63"/>
        <v>9674.25</v>
      </c>
      <c r="Y940" s="204">
        <f t="shared" si="63"/>
        <v>1848.0720798938182</v>
      </c>
    </row>
    <row r="941" spans="1:25" x14ac:dyDescent="0.25">
      <c r="A941" s="105">
        <f t="shared" si="57"/>
        <v>40877</v>
      </c>
      <c r="B941" s="59">
        <f>SUM('Weekly Data'!D938:D941)/4</f>
        <v>284.5</v>
      </c>
      <c r="C941" s="90">
        <f>SUM('Weekly Data'!E938:E941)/4</f>
        <v>757.25</v>
      </c>
      <c r="D941" s="90">
        <f>SUM('Weekly Data'!F938:F941)/4</f>
        <v>989.75</v>
      </c>
      <c r="E941" s="90">
        <f>SUM('Weekly Data'!G938:G941)/4</f>
        <v>3790.5</v>
      </c>
      <c r="F941" s="90">
        <f>SUM('Weekly Data'!H938:H941)/4</f>
        <v>669</v>
      </c>
      <c r="G941" s="90">
        <f>SUM('Weekly Data'!I938:I941)/4</f>
        <v>5501.25</v>
      </c>
      <c r="H941" s="202">
        <f>SUM('Weekly Data'!J938:J941)/4</f>
        <v>1885.0532945986313</v>
      </c>
      <c r="J941" s="101">
        <f>AVERAGE('Weekly Data'!D889,'Weekly Data'!D837,'Weekly Data'!D785,'Weekly Data'!D733)</f>
        <v>1426.75</v>
      </c>
      <c r="K941" s="16">
        <f>AVERAGE('Weekly Data'!E889,'Weekly Data'!E837,'Weekly Data'!E785,'Weekly Data'!E733)</f>
        <v>1734.25</v>
      </c>
      <c r="L941" s="16">
        <f>AVERAGE('Weekly Data'!F889,'Weekly Data'!F837,'Weekly Data'!F785,'Weekly Data'!F733)</f>
        <v>704</v>
      </c>
      <c r="M941" s="16">
        <f>AVERAGE('Weekly Data'!G889,'Weekly Data'!G837,'Weekly Data'!G785,'Weekly Data'!G733)</f>
        <v>4256.5</v>
      </c>
      <c r="N941" s="16">
        <f>AVERAGE('Weekly Data'!H889,'Weekly Data'!H837,'Weekly Data'!H785,'Weekly Data'!H733)</f>
        <v>953.25</v>
      </c>
      <c r="O941" s="101">
        <f>AVERAGE('Weekly Data'!I889,'Weekly Data'!I837,'Weekly Data'!I785,'Weekly Data'!I733)</f>
        <v>8370.75</v>
      </c>
      <c r="P941" s="203">
        <f>AVERAGE('Weekly Data'!J889,'Weekly Data'!J837,'Weekly Data'!J785,'Weekly Data'!J733)</f>
        <v>1501.3012068517864</v>
      </c>
      <c r="R941" s="13">
        <f t="shared" si="50"/>
        <v>40877</v>
      </c>
      <c r="S941" s="106">
        <f t="shared" si="58"/>
        <v>1474.6875</v>
      </c>
      <c r="T941" s="106">
        <f t="shared" si="59"/>
        <v>2237.4375</v>
      </c>
      <c r="U941" s="109">
        <f t="shared" si="60"/>
        <v>827.125</v>
      </c>
      <c r="V941" s="109">
        <f t="shared" si="61"/>
        <v>4377.75</v>
      </c>
      <c r="W941" s="110">
        <f t="shared" si="62"/>
        <v>1069.9375</v>
      </c>
      <c r="X941" s="106">
        <f t="shared" si="63"/>
        <v>9159.8125</v>
      </c>
      <c r="Y941" s="204">
        <f t="shared" si="63"/>
        <v>1777.0650612591962</v>
      </c>
    </row>
    <row r="942" spans="1:25" x14ac:dyDescent="0.25">
      <c r="A942" s="105">
        <f t="shared" si="57"/>
        <v>40884</v>
      </c>
      <c r="B942" s="59">
        <f>SUM('Weekly Data'!D939:D942)/4</f>
        <v>179.25</v>
      </c>
      <c r="C942" s="90">
        <f>SUM('Weekly Data'!E939:E942)/4</f>
        <v>840.25</v>
      </c>
      <c r="D942" s="90">
        <f>SUM('Weekly Data'!F939:F942)/4</f>
        <v>926.5</v>
      </c>
      <c r="E942" s="90">
        <f>SUM('Weekly Data'!G939:G942)/4</f>
        <v>3818.25</v>
      </c>
      <c r="F942" s="90">
        <f>SUM('Weekly Data'!H939:H942)/4</f>
        <v>602</v>
      </c>
      <c r="G942" s="90">
        <f>SUM('Weekly Data'!I939:I942)/4</f>
        <v>5439.75</v>
      </c>
      <c r="H942" s="202">
        <f>SUM('Weekly Data'!J939:J942)/4</f>
        <v>1780.8331971440546</v>
      </c>
      <c r="J942" s="101">
        <f>AVERAGE('Weekly Data'!D890,'Weekly Data'!D838,'Weekly Data'!D786,'Weekly Data'!D734)</f>
        <v>1387</v>
      </c>
      <c r="K942" s="16">
        <f>AVERAGE('Weekly Data'!E890,'Weekly Data'!E838,'Weekly Data'!E786,'Weekly Data'!E734)</f>
        <v>1435.75</v>
      </c>
      <c r="L942" s="16">
        <f>AVERAGE('Weekly Data'!F890,'Weekly Data'!F838,'Weekly Data'!F786,'Weekly Data'!F734)</f>
        <v>820.75</v>
      </c>
      <c r="M942" s="16">
        <f>AVERAGE('Weekly Data'!G890,'Weekly Data'!G838,'Weekly Data'!G786,'Weekly Data'!G734)</f>
        <v>4953.75</v>
      </c>
      <c r="N942" s="16">
        <f>AVERAGE('Weekly Data'!H890,'Weekly Data'!H838,'Weekly Data'!H786,'Weekly Data'!H734)</f>
        <v>1007.25</v>
      </c>
      <c r="O942" s="101">
        <f>AVERAGE('Weekly Data'!I890,'Weekly Data'!I838,'Weekly Data'!I786,'Weekly Data'!I734)</f>
        <v>8783.75</v>
      </c>
      <c r="P942" s="203">
        <f>AVERAGE('Weekly Data'!J890,'Weekly Data'!J838,'Weekly Data'!J786,'Weekly Data'!J734)</f>
        <v>1287.7802283510944</v>
      </c>
      <c r="R942" s="13">
        <f t="shared" si="50"/>
        <v>40884</v>
      </c>
      <c r="S942" s="106">
        <f t="shared" si="58"/>
        <v>1417.625</v>
      </c>
      <c r="T942" s="106">
        <f t="shared" si="59"/>
        <v>2012.75</v>
      </c>
      <c r="U942" s="109">
        <f t="shared" si="60"/>
        <v>809.5625</v>
      </c>
      <c r="V942" s="109">
        <f t="shared" si="61"/>
        <v>4371.875</v>
      </c>
      <c r="W942" s="110">
        <f t="shared" si="62"/>
        <v>1119.3125</v>
      </c>
      <c r="X942" s="106">
        <f t="shared" si="63"/>
        <v>8921.5625</v>
      </c>
      <c r="Y942" s="204">
        <f t="shared" si="63"/>
        <v>1611.8352054532797</v>
      </c>
    </row>
    <row r="943" spans="1:25" x14ac:dyDescent="0.25">
      <c r="A943" s="105">
        <f t="shared" si="57"/>
        <v>40891</v>
      </c>
      <c r="B943" s="59">
        <f>SUM('Weekly Data'!D940:D943)/4</f>
        <v>189.5</v>
      </c>
      <c r="C943" s="90">
        <f>SUM('Weekly Data'!E940:E943)/4</f>
        <v>876.75</v>
      </c>
      <c r="D943" s="90">
        <f>SUM('Weekly Data'!F940:F943)/4</f>
        <v>901.25</v>
      </c>
      <c r="E943" s="90">
        <f>SUM('Weekly Data'!G940:G943)/4</f>
        <v>4480.5</v>
      </c>
      <c r="F943" s="90">
        <f>SUM('Weekly Data'!H940:H943)/4</f>
        <v>563.5</v>
      </c>
      <c r="G943" s="90">
        <f>SUM('Weekly Data'!I940:I943)/4</f>
        <v>6110.25</v>
      </c>
      <c r="H943" s="202">
        <f>SUM('Weekly Data'!J940:J943)/4</f>
        <v>1616.0767452105429</v>
      </c>
      <c r="J943" s="101">
        <f>AVERAGE('Weekly Data'!D891,'Weekly Data'!D839,'Weekly Data'!D787,'Weekly Data'!D735)</f>
        <v>981.75</v>
      </c>
      <c r="K943" s="16">
        <f>AVERAGE('Weekly Data'!E891,'Weekly Data'!E839,'Weekly Data'!E787,'Weekly Data'!E735)</f>
        <v>1627.25</v>
      </c>
      <c r="L943" s="16">
        <f>AVERAGE('Weekly Data'!F891,'Weekly Data'!F839,'Weekly Data'!F787,'Weekly Data'!F735)</f>
        <v>429</v>
      </c>
      <c r="M943" s="16">
        <f>AVERAGE('Weekly Data'!G891,'Weekly Data'!G839,'Weekly Data'!G787,'Weekly Data'!G735)</f>
        <v>3911.5</v>
      </c>
      <c r="N943" s="16">
        <f>AVERAGE('Weekly Data'!H891,'Weekly Data'!H839,'Weekly Data'!H787,'Weekly Data'!H735)</f>
        <v>720.25</v>
      </c>
      <c r="O943" s="101">
        <f>AVERAGE('Weekly Data'!I891,'Weekly Data'!I839,'Weekly Data'!I787,'Weekly Data'!I735)</f>
        <v>7240.75</v>
      </c>
      <c r="P943" s="203">
        <f>AVERAGE('Weekly Data'!J891,'Weekly Data'!J839,'Weekly Data'!J787,'Weekly Data'!J735)</f>
        <v>1767.9753709305076</v>
      </c>
      <c r="R943" s="13">
        <f t="shared" si="50"/>
        <v>40891</v>
      </c>
      <c r="S943" s="106">
        <f t="shared" si="58"/>
        <v>1334.1875</v>
      </c>
      <c r="T943" s="106">
        <f t="shared" si="59"/>
        <v>1772.5</v>
      </c>
      <c r="U943" s="109">
        <f t="shared" si="60"/>
        <v>740.9375</v>
      </c>
      <c r="V943" s="109">
        <f t="shared" si="61"/>
        <v>4322.8125</v>
      </c>
      <c r="W943" s="110">
        <f t="shared" si="62"/>
        <v>1027.375</v>
      </c>
      <c r="X943" s="106">
        <f t="shared" si="63"/>
        <v>8456.875</v>
      </c>
      <c r="Y943" s="204">
        <f t="shared" si="63"/>
        <v>1584.3159231737336</v>
      </c>
    </row>
    <row r="944" spans="1:25" x14ac:dyDescent="0.25">
      <c r="A944" s="105">
        <f t="shared" si="57"/>
        <v>40898</v>
      </c>
      <c r="B944" s="59">
        <f>SUM('Weekly Data'!D941:D944)/4</f>
        <v>102.25</v>
      </c>
      <c r="C944" s="90">
        <f>SUM('Weekly Data'!E941:E944)/4</f>
        <v>760.5</v>
      </c>
      <c r="D944" s="90">
        <f>SUM('Weekly Data'!F941:F944)/4</f>
        <v>862.75</v>
      </c>
      <c r="E944" s="90">
        <f>SUM('Weekly Data'!G941:G944)/4</f>
        <v>5022.25</v>
      </c>
      <c r="F944" s="90">
        <f>SUM('Weekly Data'!H941:H944)/4</f>
        <v>515</v>
      </c>
      <c r="G944" s="90">
        <f>SUM('Weekly Data'!I941:I944)/4</f>
        <v>6400</v>
      </c>
      <c r="H944" s="202">
        <f>SUM('Weekly Data'!J941:J944)/4</f>
        <v>1540.6834832221257</v>
      </c>
      <c r="J944" s="101">
        <f>AVERAGE('Weekly Data'!D892,'Weekly Data'!D840,'Weekly Data'!D788,'Weekly Data'!D736)</f>
        <v>992.25</v>
      </c>
      <c r="K944" s="16">
        <f>AVERAGE('Weekly Data'!E892,'Weekly Data'!E840,'Weekly Data'!E788,'Weekly Data'!E736)</f>
        <v>1457.25</v>
      </c>
      <c r="L944" s="16">
        <f>AVERAGE('Weekly Data'!F892,'Weekly Data'!F840,'Weekly Data'!F788,'Weekly Data'!F736)</f>
        <v>763.25</v>
      </c>
      <c r="M944" s="16">
        <f>AVERAGE('Weekly Data'!G892,'Weekly Data'!G840,'Weekly Data'!G788,'Weekly Data'!G736)</f>
        <v>3641.25</v>
      </c>
      <c r="N944" s="16">
        <f>AVERAGE('Weekly Data'!H892,'Weekly Data'!H840,'Weekly Data'!H788,'Weekly Data'!H736)</f>
        <v>934.5</v>
      </c>
      <c r="O944" s="101">
        <f>AVERAGE('Weekly Data'!I892,'Weekly Data'!I840,'Weekly Data'!I788,'Weekly Data'!I736)</f>
        <v>7025.25</v>
      </c>
      <c r="P944" s="203">
        <f>AVERAGE('Weekly Data'!J892,'Weekly Data'!J840,'Weekly Data'!J788,'Weekly Data'!J736)</f>
        <v>1231.7594882100582</v>
      </c>
      <c r="R944" s="13">
        <f t="shared" si="50"/>
        <v>40898</v>
      </c>
      <c r="S944" s="106">
        <f t="shared" si="58"/>
        <v>1218.1875</v>
      </c>
      <c r="T944" s="106">
        <f t="shared" si="59"/>
        <v>1594.875</v>
      </c>
      <c r="U944" s="109">
        <f t="shared" si="60"/>
        <v>684.25</v>
      </c>
      <c r="V944" s="109">
        <f t="shared" si="61"/>
        <v>4237.5</v>
      </c>
      <c r="W944" s="110">
        <f t="shared" si="62"/>
        <v>911.625</v>
      </c>
      <c r="X944" s="106">
        <f t="shared" si="63"/>
        <v>7962.1875</v>
      </c>
      <c r="Y944" s="204">
        <f t="shared" si="63"/>
        <v>1447.2040735858616</v>
      </c>
    </row>
    <row r="945" spans="1:25" x14ac:dyDescent="0.25">
      <c r="A945" s="105">
        <f t="shared" si="57"/>
        <v>40905</v>
      </c>
      <c r="B945" s="59">
        <f>SUM('Weekly Data'!D942:D945)/4</f>
        <v>72</v>
      </c>
      <c r="C945" s="90">
        <f>SUM('Weekly Data'!E942:E945)/4</f>
        <v>571.75</v>
      </c>
      <c r="D945" s="90">
        <f>SUM('Weekly Data'!F942:F945)/4</f>
        <v>914</v>
      </c>
      <c r="E945" s="90">
        <f>SUM('Weekly Data'!G942:G945)/4</f>
        <v>5064</v>
      </c>
      <c r="F945" s="90">
        <f>SUM('Weekly Data'!H942:H945)/4</f>
        <v>529.5</v>
      </c>
      <c r="G945" s="90">
        <f>SUM('Weekly Data'!I942:I945)/4</f>
        <v>6237.25</v>
      </c>
      <c r="H945" s="202">
        <f>SUM('Weekly Data'!J942:J945)/4</f>
        <v>1915.6540891704008</v>
      </c>
      <c r="J945" s="101">
        <f>AVERAGE('Weekly Data'!D893,'Weekly Data'!D841,'Weekly Data'!D789,'Weekly Data'!D737)</f>
        <v>710</v>
      </c>
      <c r="K945" s="16">
        <f>AVERAGE('Weekly Data'!E893,'Weekly Data'!E841,'Weekly Data'!E789,'Weekly Data'!E737)</f>
        <v>1467</v>
      </c>
      <c r="L945" s="16">
        <f>AVERAGE('Weekly Data'!F893,'Weekly Data'!F841,'Weekly Data'!F789,'Weekly Data'!F737)</f>
        <v>389.75</v>
      </c>
      <c r="M945" s="16">
        <f>AVERAGE('Weekly Data'!G893,'Weekly Data'!G841,'Weekly Data'!G789,'Weekly Data'!G737)</f>
        <v>3021.25</v>
      </c>
      <c r="N945" s="16">
        <f>AVERAGE('Weekly Data'!H893,'Weekly Data'!H841,'Weekly Data'!H789,'Weekly Data'!H737)</f>
        <v>569</v>
      </c>
      <c r="O945" s="101">
        <f>AVERAGE('Weekly Data'!I893,'Weekly Data'!I841,'Weekly Data'!I789,'Weekly Data'!I737)</f>
        <v>5767.25</v>
      </c>
      <c r="P945" s="203">
        <f>AVERAGE('Weekly Data'!J893,'Weekly Data'!J841,'Weekly Data'!J789,'Weekly Data'!J737)</f>
        <v>1386.5284146949898</v>
      </c>
      <c r="R945" s="13">
        <f t="shared" si="50"/>
        <v>40905</v>
      </c>
      <c r="S945" s="106">
        <f t="shared" si="58"/>
        <v>1079.125</v>
      </c>
      <c r="T945" s="106">
        <f t="shared" si="59"/>
        <v>1528.4375</v>
      </c>
      <c r="U945" s="109">
        <f t="shared" si="60"/>
        <v>618.5625</v>
      </c>
      <c r="V945" s="109">
        <f t="shared" si="61"/>
        <v>3895.5</v>
      </c>
      <c r="W945" s="110">
        <f t="shared" si="62"/>
        <v>838.8125</v>
      </c>
      <c r="X945" s="106">
        <f t="shared" si="63"/>
        <v>7341.875</v>
      </c>
      <c r="Y945" s="204">
        <f t="shared" si="63"/>
        <v>1418.5108755466626</v>
      </c>
    </row>
    <row r="946" spans="1:25" x14ac:dyDescent="0.25">
      <c r="A946" s="105">
        <f t="shared" si="57"/>
        <v>40912</v>
      </c>
      <c r="B946" s="59">
        <f>SUM('Weekly Data'!D943:D946)/4</f>
        <v>50.5</v>
      </c>
      <c r="C946" s="90">
        <f>SUM('Weekly Data'!E943:E946)/4</f>
        <v>662</v>
      </c>
      <c r="D946" s="90">
        <f>SUM('Weekly Data'!F943:F946)/4</f>
        <v>917.75</v>
      </c>
      <c r="E946" s="90">
        <f>SUM('Weekly Data'!G943:G946)/4</f>
        <v>5193</v>
      </c>
      <c r="F946" s="90">
        <f>SUM('Weekly Data'!H943:H946)/4</f>
        <v>469.25</v>
      </c>
      <c r="G946" s="90">
        <f>SUM('Weekly Data'!I943:I946)/4</f>
        <v>6374.75</v>
      </c>
      <c r="H946" s="202">
        <f>SUM('Weekly Data'!J943:J946)/4</f>
        <v>1871.5268564183564</v>
      </c>
      <c r="J946" s="101">
        <f>AVERAGE('Weekly Data'!D894,'Weekly Data'!D842,'Weekly Data'!D790,'Weekly Data'!D738)</f>
        <v>978.25</v>
      </c>
      <c r="K946" s="16">
        <f>AVERAGE('Weekly Data'!E894,'Weekly Data'!E842,'Weekly Data'!E790,'Weekly Data'!E738)</f>
        <v>1775.5</v>
      </c>
      <c r="L946" s="16">
        <f>AVERAGE('Weekly Data'!F894,'Weekly Data'!F842,'Weekly Data'!F790,'Weekly Data'!F738)</f>
        <v>819.75</v>
      </c>
      <c r="M946" s="16">
        <f>AVERAGE('Weekly Data'!G894,'Weekly Data'!G842,'Weekly Data'!G790,'Weekly Data'!G738)</f>
        <v>3245.25</v>
      </c>
      <c r="N946" s="16">
        <f>AVERAGE('Weekly Data'!H894,'Weekly Data'!H842,'Weekly Data'!H790,'Weekly Data'!H738)</f>
        <v>859.75</v>
      </c>
      <c r="O946" s="101">
        <f>AVERAGE('Weekly Data'!I894,'Weekly Data'!I842,'Weekly Data'!I790,'Weekly Data'!I738)</f>
        <v>6858.75</v>
      </c>
      <c r="P946" s="203">
        <f>AVERAGE('Weekly Data'!J894,'Weekly Data'!J842,'Weekly Data'!J790,'Weekly Data'!J738)</f>
        <v>1116.866500026237</v>
      </c>
      <c r="R946" s="13">
        <f t="shared" si="50"/>
        <v>40912</v>
      </c>
      <c r="S946" s="106">
        <f t="shared" si="58"/>
        <v>926.625</v>
      </c>
      <c r="T946" s="106">
        <f t="shared" si="59"/>
        <v>1505.5625</v>
      </c>
      <c r="U946" s="109">
        <f t="shared" si="60"/>
        <v>564</v>
      </c>
      <c r="V946" s="109">
        <f t="shared" si="61"/>
        <v>3549.25</v>
      </c>
      <c r="W946" s="110">
        <f t="shared" si="62"/>
        <v>766.5</v>
      </c>
      <c r="X946" s="106">
        <f t="shared" si="63"/>
        <v>6747.9375</v>
      </c>
      <c r="Y946" s="204">
        <f t="shared" si="63"/>
        <v>1375.7824434654483</v>
      </c>
    </row>
    <row r="947" spans="1:25" x14ac:dyDescent="0.25">
      <c r="A947" s="105">
        <f t="shared" si="57"/>
        <v>40919</v>
      </c>
      <c r="B947" s="59">
        <f>SUM('Weekly Data'!D944:D947)/4</f>
        <v>58.25</v>
      </c>
      <c r="C947" s="90">
        <f>SUM('Weekly Data'!E944:E947)/4</f>
        <v>618.5</v>
      </c>
      <c r="D947" s="90">
        <f>SUM('Weekly Data'!F944:F947)/4</f>
        <v>848</v>
      </c>
      <c r="E947" s="90">
        <f>SUM('Weekly Data'!G944:G947)/4</f>
        <v>4847.25</v>
      </c>
      <c r="F947" s="90">
        <f>SUM('Weekly Data'!H944:H947)/4</f>
        <v>421.5</v>
      </c>
      <c r="G947" s="90">
        <f>SUM('Weekly Data'!I944:I947)/4</f>
        <v>5945.5</v>
      </c>
      <c r="H947" s="202">
        <f>SUM('Weekly Data'!J944:J947)/4</f>
        <v>2205.9567987192295</v>
      </c>
      <c r="J947" s="101">
        <f>AVERAGE('Weekly Data'!D895,'Weekly Data'!D843,'Weekly Data'!D791,'Weekly Data'!D739)</f>
        <v>992.5</v>
      </c>
      <c r="K947" s="16">
        <f>AVERAGE('Weekly Data'!E895,'Weekly Data'!E843,'Weekly Data'!E791,'Weekly Data'!E739)</f>
        <v>1740</v>
      </c>
      <c r="L947" s="16">
        <f>AVERAGE('Weekly Data'!F895,'Weekly Data'!F843,'Weekly Data'!F791,'Weekly Data'!F739)</f>
        <v>504.25</v>
      </c>
      <c r="M947" s="16">
        <f>AVERAGE('Weekly Data'!G895,'Weekly Data'!G843,'Weekly Data'!G791,'Weekly Data'!G739)</f>
        <v>3689.25</v>
      </c>
      <c r="N947" s="16">
        <f>AVERAGE('Weekly Data'!H895,'Weekly Data'!H843,'Weekly Data'!H791,'Weekly Data'!H739)</f>
        <v>1089.5</v>
      </c>
      <c r="O947" s="101">
        <f>AVERAGE('Weekly Data'!I895,'Weekly Data'!I843,'Weekly Data'!I791,'Weekly Data'!I739)</f>
        <v>7511.25</v>
      </c>
      <c r="P947" s="203">
        <f>AVERAGE('Weekly Data'!J895,'Weekly Data'!J843,'Weekly Data'!J791,'Weekly Data'!J739)</f>
        <v>1755.154261810854</v>
      </c>
      <c r="R947" s="13">
        <f t="shared" si="50"/>
        <v>40919</v>
      </c>
      <c r="S947" s="106">
        <f t="shared" si="58"/>
        <v>873.6875</v>
      </c>
      <c r="T947" s="106">
        <f t="shared" si="59"/>
        <v>1562.4375</v>
      </c>
      <c r="U947" s="109">
        <f t="shared" si="60"/>
        <v>603.9375</v>
      </c>
      <c r="V947" s="109">
        <f t="shared" si="61"/>
        <v>3381.875</v>
      </c>
      <c r="W947" s="110">
        <f t="shared" si="62"/>
        <v>808.1875</v>
      </c>
      <c r="X947" s="106">
        <f t="shared" si="63"/>
        <v>6626.1875</v>
      </c>
      <c r="Y947" s="204">
        <f t="shared" si="63"/>
        <v>1372.5771661855349</v>
      </c>
    </row>
    <row r="948" spans="1:25" x14ac:dyDescent="0.25">
      <c r="A948" s="105">
        <f t="shared" si="57"/>
        <v>40926</v>
      </c>
      <c r="B948" s="59">
        <f>SUM('Weekly Data'!D945:D948)/4</f>
        <v>44.25</v>
      </c>
      <c r="C948" s="90">
        <f>SUM('Weekly Data'!E945:E948)/4</f>
        <v>636.25</v>
      </c>
      <c r="D948" s="90">
        <f>SUM('Weekly Data'!F945:F948)/4</f>
        <v>908.75</v>
      </c>
      <c r="E948" s="90">
        <f>SUM('Weekly Data'!G945:G948)/4</f>
        <v>4489.25</v>
      </c>
      <c r="F948" s="90">
        <f>SUM('Weekly Data'!H945:H948)/4</f>
        <v>411.5</v>
      </c>
      <c r="G948" s="90">
        <f>SUM('Weekly Data'!I945:I948)/4</f>
        <v>5581.25</v>
      </c>
      <c r="H948" s="202">
        <f>SUM('Weekly Data'!J945:J948)/4</f>
        <v>2342.7691319075093</v>
      </c>
      <c r="J948" s="101">
        <f>AVERAGE('Weekly Data'!D896,'Weekly Data'!D844,'Weekly Data'!D792,'Weekly Data'!D740)</f>
        <v>1194</v>
      </c>
      <c r="K948" s="16">
        <f>AVERAGE('Weekly Data'!E896,'Weekly Data'!E844,'Weekly Data'!E792,'Weekly Data'!E740)</f>
        <v>1853.75</v>
      </c>
      <c r="L948" s="16">
        <f>AVERAGE('Weekly Data'!F896,'Weekly Data'!F844,'Weekly Data'!F792,'Weekly Data'!F740)</f>
        <v>645.25</v>
      </c>
      <c r="M948" s="16">
        <f>AVERAGE('Weekly Data'!G896,'Weekly Data'!G844,'Weekly Data'!G792,'Weekly Data'!G740)</f>
        <v>4091.25</v>
      </c>
      <c r="N948" s="16">
        <f>AVERAGE('Weekly Data'!H896,'Weekly Data'!H844,'Weekly Data'!H792,'Weekly Data'!H740)</f>
        <v>945.25</v>
      </c>
      <c r="O948" s="101">
        <f>AVERAGE('Weekly Data'!I896,'Weekly Data'!I844,'Weekly Data'!I792,'Weekly Data'!I740)</f>
        <v>8084.25</v>
      </c>
      <c r="P948" s="203">
        <f>AVERAGE('Weekly Data'!J896,'Weekly Data'!J844,'Weekly Data'!J792,'Weekly Data'!J740)</f>
        <v>1265.2074019120507</v>
      </c>
      <c r="R948" s="13">
        <f t="shared" si="50"/>
        <v>40926</v>
      </c>
      <c r="S948" s="106">
        <f t="shared" si="58"/>
        <v>949.0625</v>
      </c>
      <c r="T948" s="106">
        <f t="shared" si="59"/>
        <v>1644.875</v>
      </c>
      <c r="U948" s="109">
        <f t="shared" si="60"/>
        <v>581.5</v>
      </c>
      <c r="V948" s="109">
        <f t="shared" si="61"/>
        <v>3442.9375</v>
      </c>
      <c r="W948" s="110">
        <f t="shared" si="62"/>
        <v>860.0625</v>
      </c>
      <c r="X948" s="106">
        <f t="shared" si="63"/>
        <v>6896.9375</v>
      </c>
      <c r="Y948" s="204">
        <f t="shared" si="63"/>
        <v>1380.9391446110328</v>
      </c>
    </row>
    <row r="949" spans="1:25" x14ac:dyDescent="0.25">
      <c r="A949" s="105">
        <f t="shared" si="57"/>
        <v>40933</v>
      </c>
      <c r="B949" s="59">
        <f>SUM('Weekly Data'!D946:D949)/4</f>
        <v>49.5</v>
      </c>
      <c r="C949" s="90">
        <f>SUM('Weekly Data'!E946:E949)/4</f>
        <v>765.75</v>
      </c>
      <c r="D949" s="90">
        <f>SUM('Weekly Data'!F946:F949)/4</f>
        <v>1035.5</v>
      </c>
      <c r="E949" s="90">
        <f>SUM('Weekly Data'!G946:G949)/4</f>
        <v>4250</v>
      </c>
      <c r="F949" s="90">
        <f>SUM('Weekly Data'!H946:H949)/4</f>
        <v>411.75</v>
      </c>
      <c r="G949" s="90">
        <f>SUM('Weekly Data'!I946:I949)/4</f>
        <v>5477</v>
      </c>
      <c r="H949" s="202">
        <f>SUM('Weekly Data'!J946:J949)/4</f>
        <v>2003.2850738430625</v>
      </c>
      <c r="J949" s="101">
        <f>AVERAGE('Weekly Data'!D897,'Weekly Data'!D845,'Weekly Data'!D793,'Weekly Data'!D741)</f>
        <v>1115</v>
      </c>
      <c r="K949" s="16">
        <f>AVERAGE('Weekly Data'!E897,'Weekly Data'!E845,'Weekly Data'!E793,'Weekly Data'!E741)</f>
        <v>1711</v>
      </c>
      <c r="L949" s="16">
        <f>AVERAGE('Weekly Data'!F897,'Weekly Data'!F845,'Weekly Data'!F793,'Weekly Data'!F741)</f>
        <v>610.5</v>
      </c>
      <c r="M949" s="16">
        <f>AVERAGE('Weekly Data'!G897,'Weekly Data'!G845,'Weekly Data'!G793,'Weekly Data'!G741)</f>
        <v>4235.25</v>
      </c>
      <c r="N949" s="16">
        <f>AVERAGE('Weekly Data'!H897,'Weekly Data'!H845,'Weekly Data'!H793,'Weekly Data'!H741)</f>
        <v>1007.5</v>
      </c>
      <c r="O949" s="101">
        <f>AVERAGE('Weekly Data'!I897,'Weekly Data'!I845,'Weekly Data'!I793,'Weekly Data'!I741)</f>
        <v>8068.75</v>
      </c>
      <c r="P949" s="203">
        <f>AVERAGE('Weekly Data'!J897,'Weekly Data'!J845,'Weekly Data'!J793,'Weekly Data'!J741)</f>
        <v>1615.1764607689083</v>
      </c>
      <c r="R949" s="13">
        <f t="shared" si="50"/>
        <v>40933</v>
      </c>
      <c r="S949" s="106">
        <f t="shared" si="58"/>
        <v>1029.375</v>
      </c>
      <c r="T949" s="106">
        <f t="shared" si="59"/>
        <v>1736.625</v>
      </c>
      <c r="U949" s="109">
        <f t="shared" si="60"/>
        <v>636</v>
      </c>
      <c r="V949" s="109">
        <f t="shared" si="61"/>
        <v>3769.4375</v>
      </c>
      <c r="W949" s="110">
        <f t="shared" si="62"/>
        <v>942.0625</v>
      </c>
      <c r="X949" s="106">
        <f t="shared" si="63"/>
        <v>7477.5</v>
      </c>
      <c r="Y949" s="204">
        <f t="shared" si="63"/>
        <v>1438.1011561295124</v>
      </c>
    </row>
    <row r="950" spans="1:25" x14ac:dyDescent="0.25">
      <c r="A950" s="105">
        <f t="shared" si="57"/>
        <v>40940</v>
      </c>
      <c r="B950" s="59">
        <f>SUM('Weekly Data'!D947:D950)/4</f>
        <v>155.5</v>
      </c>
      <c r="C950" s="90">
        <f>SUM('Weekly Data'!E947:E950)/4</f>
        <v>717</v>
      </c>
      <c r="D950" s="90">
        <f>SUM('Weekly Data'!F947:F950)/4</f>
        <v>988</v>
      </c>
      <c r="E950" s="90">
        <f>SUM('Weekly Data'!G947:G950)/4</f>
        <v>4116.5</v>
      </c>
      <c r="F950" s="90">
        <f>SUM('Weekly Data'!H947:H950)/4</f>
        <v>471.5</v>
      </c>
      <c r="G950" s="90">
        <f>SUM('Weekly Data'!I947:I950)/4</f>
        <v>5460.5</v>
      </c>
      <c r="H950" s="202">
        <f>SUM('Weekly Data'!J947:J950)/4</f>
        <v>2086.3249999999998</v>
      </c>
      <c r="J950" s="101">
        <f>AVERAGE('Weekly Data'!D898,'Weekly Data'!D846,'Weekly Data'!D794,'Weekly Data'!D742)</f>
        <v>1002</v>
      </c>
      <c r="K950" s="16">
        <f>AVERAGE('Weekly Data'!E898,'Weekly Data'!E846,'Weekly Data'!E794,'Weekly Data'!E742)</f>
        <v>1984.5</v>
      </c>
      <c r="L950" s="16">
        <f>AVERAGE('Weekly Data'!F898,'Weekly Data'!F846,'Weekly Data'!F794,'Weekly Data'!F742)</f>
        <v>615.75</v>
      </c>
      <c r="M950" s="16">
        <f>AVERAGE('Weekly Data'!G898,'Weekly Data'!G846,'Weekly Data'!G794,'Weekly Data'!G742)</f>
        <v>4161.5</v>
      </c>
      <c r="N950" s="16">
        <f>AVERAGE('Weekly Data'!H898,'Weekly Data'!H846,'Weekly Data'!H794,'Weekly Data'!H742)</f>
        <v>907.5</v>
      </c>
      <c r="O950" s="101">
        <f>AVERAGE('Weekly Data'!I898,'Weekly Data'!I846,'Weekly Data'!I794,'Weekly Data'!I742)</f>
        <v>8055.5</v>
      </c>
      <c r="P950" s="203">
        <f>AVERAGE('Weekly Data'!J898,'Weekly Data'!J846,'Weekly Data'!J794,'Weekly Data'!J742)</f>
        <v>1377.2198238434421</v>
      </c>
      <c r="R950" s="13">
        <f t="shared" si="50"/>
        <v>40940</v>
      </c>
      <c r="S950" s="106">
        <f t="shared" si="58"/>
        <v>1086.125</v>
      </c>
      <c r="T950" s="106">
        <f t="shared" si="59"/>
        <v>1901.8125</v>
      </c>
      <c r="U950" s="109">
        <f t="shared" si="60"/>
        <v>620.0625</v>
      </c>
      <c r="V950" s="109">
        <f t="shared" si="61"/>
        <v>4049.125</v>
      </c>
      <c r="W950" s="110">
        <f t="shared" si="62"/>
        <v>992.4375</v>
      </c>
      <c r="X950" s="106">
        <f t="shared" si="63"/>
        <v>8029.5</v>
      </c>
      <c r="Y950" s="204">
        <f t="shared" si="63"/>
        <v>1503.1894870838139</v>
      </c>
    </row>
    <row r="951" spans="1:25" x14ac:dyDescent="0.25">
      <c r="A951" s="105">
        <f t="shared" si="57"/>
        <v>40947</v>
      </c>
      <c r="B951" s="59">
        <f>SUM('Weekly Data'!D948:D951)/4</f>
        <v>154.5</v>
      </c>
      <c r="C951" s="90">
        <f>SUM('Weekly Data'!E948:E951)/4</f>
        <v>739.5</v>
      </c>
      <c r="D951" s="90">
        <f>SUM('Weekly Data'!F948:F951)/4</f>
        <v>1054.5</v>
      </c>
      <c r="E951" s="90">
        <f>SUM('Weekly Data'!G948:G951)/4</f>
        <v>4256</v>
      </c>
      <c r="F951" s="90">
        <f>SUM('Weekly Data'!H948:H951)/4</f>
        <v>475.25</v>
      </c>
      <c r="G951" s="90">
        <f>SUM('Weekly Data'!I948:I951)/4</f>
        <v>5625.25</v>
      </c>
      <c r="H951" s="202">
        <f>SUM('Weekly Data'!J948:J951)/4</f>
        <v>1773.1</v>
      </c>
      <c r="J951" s="101">
        <f>AVERAGE('Weekly Data'!D899,'Weekly Data'!D847,'Weekly Data'!D795,'Weekly Data'!D743)</f>
        <v>1064.25</v>
      </c>
      <c r="K951" s="16">
        <f>AVERAGE('Weekly Data'!E899,'Weekly Data'!E847,'Weekly Data'!E795,'Weekly Data'!E743)</f>
        <v>2136.5</v>
      </c>
      <c r="L951" s="16">
        <f>AVERAGE('Weekly Data'!F899,'Weekly Data'!F847,'Weekly Data'!F795,'Weekly Data'!F743)</f>
        <v>863.75</v>
      </c>
      <c r="M951" s="16">
        <f>AVERAGE('Weekly Data'!G899,'Weekly Data'!G847,'Weekly Data'!G795,'Weekly Data'!G743)</f>
        <v>3910.75</v>
      </c>
      <c r="N951" s="16">
        <f>AVERAGE('Weekly Data'!H899,'Weekly Data'!H847,'Weekly Data'!H795,'Weekly Data'!H743)</f>
        <v>873</v>
      </c>
      <c r="O951" s="101">
        <f>AVERAGE('Weekly Data'!I899,'Weekly Data'!I847,'Weekly Data'!I795,'Weekly Data'!I743)</f>
        <v>7984.5</v>
      </c>
      <c r="P951" s="203">
        <f>AVERAGE('Weekly Data'!J899,'Weekly Data'!J847,'Weekly Data'!J795,'Weekly Data'!J743)</f>
        <v>1192.8622554128449</v>
      </c>
      <c r="R951" s="13">
        <f t="shared" ref="R951:R1014" si="64">R950+7</f>
        <v>40947</v>
      </c>
      <c r="S951" s="106">
        <f t="shared" ref="S951:Y955" si="65">AVERAGE(B899,B847,B795,B742)</f>
        <v>1123.625</v>
      </c>
      <c r="T951" s="106">
        <f t="shared" si="65"/>
        <v>1930.0625</v>
      </c>
      <c r="U951" s="109">
        <f t="shared" si="65"/>
        <v>671.0625</v>
      </c>
      <c r="V951" s="109">
        <f t="shared" si="65"/>
        <v>4152.4375</v>
      </c>
      <c r="W951" s="110">
        <f t="shared" si="65"/>
        <v>956.6875</v>
      </c>
      <c r="X951" s="106">
        <f t="shared" si="65"/>
        <v>8162.8125</v>
      </c>
      <c r="Y951" s="204">
        <f t="shared" si="65"/>
        <v>1362.6164854843116</v>
      </c>
    </row>
    <row r="952" spans="1:25" x14ac:dyDescent="0.25">
      <c r="A952" s="105">
        <f t="shared" si="57"/>
        <v>40954</v>
      </c>
      <c r="B952" s="59">
        <f>SUM('Weekly Data'!D949:D952)/4</f>
        <v>312</v>
      </c>
      <c r="C952" s="90">
        <f>SUM('Weekly Data'!E949:E952)/4</f>
        <v>730.75</v>
      </c>
      <c r="D952" s="90">
        <f>SUM('Weekly Data'!F949:F952)/4</f>
        <v>1049.25</v>
      </c>
      <c r="E952" s="90">
        <f>SUM('Weekly Data'!G949:G952)/4</f>
        <v>4344.75</v>
      </c>
      <c r="F952" s="90">
        <f>SUM('Weekly Data'!H949:H952)/4</f>
        <v>571.75</v>
      </c>
      <c r="G952" s="90">
        <f>SUM('Weekly Data'!I949:I952)/4</f>
        <v>5959.25</v>
      </c>
      <c r="H952" s="202">
        <f>SUM('Weekly Data'!J949:J952)/4</f>
        <v>1821.3375000000001</v>
      </c>
      <c r="J952" s="101">
        <f>AVERAGE('Weekly Data'!D900,'Weekly Data'!D848,'Weekly Data'!D796,'Weekly Data'!D744)</f>
        <v>1196</v>
      </c>
      <c r="K952" s="16">
        <f>AVERAGE('Weekly Data'!E900,'Weekly Data'!E848,'Weekly Data'!E796,'Weekly Data'!E744)</f>
        <v>2112</v>
      </c>
      <c r="L952" s="16">
        <f>AVERAGE('Weekly Data'!F900,'Weekly Data'!F848,'Weekly Data'!F796,'Weekly Data'!F744)</f>
        <v>598</v>
      </c>
      <c r="M952" s="16">
        <f>AVERAGE('Weekly Data'!G900,'Weekly Data'!G848,'Weekly Data'!G796,'Weekly Data'!G744)</f>
        <v>3985</v>
      </c>
      <c r="N952" s="16">
        <f>AVERAGE('Weekly Data'!H900,'Weekly Data'!H848,'Weekly Data'!H796,'Weekly Data'!H744)</f>
        <v>767.25</v>
      </c>
      <c r="O952" s="101">
        <f>AVERAGE('Weekly Data'!I900,'Weekly Data'!I848,'Weekly Data'!I796,'Weekly Data'!I744)</f>
        <v>8060.25</v>
      </c>
      <c r="P952" s="203">
        <f>AVERAGE('Weekly Data'!J900,'Weekly Data'!J848,'Weekly Data'!J796,'Weekly Data'!J744)</f>
        <v>1457.1420390584433</v>
      </c>
      <c r="R952" s="13">
        <f t="shared" si="64"/>
        <v>40954</v>
      </c>
      <c r="S952" s="106">
        <f t="shared" si="65"/>
        <v>1099.875</v>
      </c>
      <c r="T952" s="106">
        <f t="shared" si="65"/>
        <v>1957.25</v>
      </c>
      <c r="U952" s="109">
        <f t="shared" si="65"/>
        <v>682.9375</v>
      </c>
      <c r="V952" s="109">
        <f t="shared" si="65"/>
        <v>4090.5625</v>
      </c>
      <c r="W952" s="110">
        <f t="shared" si="65"/>
        <v>904.6875</v>
      </c>
      <c r="X952" s="106">
        <f t="shared" si="65"/>
        <v>8052.375</v>
      </c>
      <c r="Y952" s="204">
        <f t="shared" si="65"/>
        <v>1410.6001447709095</v>
      </c>
    </row>
    <row r="953" spans="1:25" x14ac:dyDescent="0.25">
      <c r="A953" s="105">
        <f t="shared" si="57"/>
        <v>40961</v>
      </c>
      <c r="B953" s="59">
        <f>SUM('Weekly Data'!D950:D953)/4</f>
        <v>447.5</v>
      </c>
      <c r="C953" s="90">
        <f>SUM('Weekly Data'!E950:E953)/4</f>
        <v>604.75</v>
      </c>
      <c r="D953" s="90">
        <f>SUM('Weekly Data'!F950:F953)/4</f>
        <v>1055.25</v>
      </c>
      <c r="E953" s="90">
        <f>SUM('Weekly Data'!G950:G953)/4</f>
        <v>4837.5</v>
      </c>
      <c r="F953" s="90">
        <f>SUM('Weekly Data'!H950:H953)/4</f>
        <v>608.75</v>
      </c>
      <c r="G953" s="90">
        <f>SUM('Weekly Data'!I950:I953)/4</f>
        <v>6498.5</v>
      </c>
      <c r="H953" s="202">
        <f>SUM('Weekly Data'!J950:J953)/4</f>
        <v>1876.8000000000002</v>
      </c>
      <c r="J953" s="101">
        <f>AVERAGE('Weekly Data'!D901,'Weekly Data'!D849,'Weekly Data'!D797,'Weekly Data'!D745)</f>
        <v>725.5</v>
      </c>
      <c r="K953" s="16">
        <f>AVERAGE('Weekly Data'!E901,'Weekly Data'!E849,'Weekly Data'!E797,'Weekly Data'!E745)</f>
        <v>1616.25</v>
      </c>
      <c r="L953" s="16">
        <f>AVERAGE('Weekly Data'!F901,'Weekly Data'!F849,'Weekly Data'!F797,'Weekly Data'!F745)</f>
        <v>867.25</v>
      </c>
      <c r="M953" s="16">
        <f>AVERAGE('Weekly Data'!G901,'Weekly Data'!G849,'Weekly Data'!G797,'Weekly Data'!G745)</f>
        <v>4440</v>
      </c>
      <c r="N953" s="16">
        <f>AVERAGE('Weekly Data'!H901,'Weekly Data'!H849,'Weekly Data'!H797,'Weekly Data'!H745)</f>
        <v>934.25</v>
      </c>
      <c r="O953" s="101">
        <f>AVERAGE('Weekly Data'!I901,'Weekly Data'!I849,'Weekly Data'!I797,'Weekly Data'!I745)</f>
        <v>7716</v>
      </c>
      <c r="P953" s="203">
        <f>AVERAGE('Weekly Data'!J901,'Weekly Data'!J849,'Weekly Data'!J797,'Weekly Data'!J745)</f>
        <v>1419.323051533499</v>
      </c>
      <c r="R953" s="13">
        <f t="shared" si="64"/>
        <v>40961</v>
      </c>
      <c r="S953" s="106">
        <f t="shared" si="65"/>
        <v>1045.0625</v>
      </c>
      <c r="T953" s="106">
        <f t="shared" si="65"/>
        <v>1990.25</v>
      </c>
      <c r="U953" s="109">
        <f t="shared" si="65"/>
        <v>725.3125</v>
      </c>
      <c r="V953" s="109">
        <f t="shared" si="65"/>
        <v>4041.3125</v>
      </c>
      <c r="W953" s="110">
        <f t="shared" si="65"/>
        <v>878.5</v>
      </c>
      <c r="X953" s="106">
        <f t="shared" si="65"/>
        <v>7955.125</v>
      </c>
      <c r="Y953" s="204">
        <f t="shared" si="65"/>
        <v>1361.6367924620574</v>
      </c>
    </row>
    <row r="954" spans="1:25" x14ac:dyDescent="0.25">
      <c r="A954" s="105">
        <f t="shared" si="57"/>
        <v>40968</v>
      </c>
      <c r="B954" s="59">
        <f>SUM('Weekly Data'!D951:D954)/4</f>
        <v>443.5</v>
      </c>
      <c r="C954" s="90">
        <f>SUM('Weekly Data'!E951:E954)/4</f>
        <v>548.5</v>
      </c>
      <c r="D954" s="90">
        <f>SUM('Weekly Data'!F951:F954)/4</f>
        <v>1233.75</v>
      </c>
      <c r="E954" s="90">
        <f>SUM('Weekly Data'!G951:G954)/4</f>
        <v>4969.25</v>
      </c>
      <c r="F954" s="90">
        <f>SUM('Weekly Data'!H951:H954)/4</f>
        <v>579.75</v>
      </c>
      <c r="G954" s="90">
        <f>SUM('Weekly Data'!I951:I954)/4</f>
        <v>6541</v>
      </c>
      <c r="H954" s="202">
        <f>SUM('Weekly Data'!J951:J954)/4</f>
        <v>1881.05</v>
      </c>
      <c r="J954" s="101">
        <f>AVERAGE('Weekly Data'!D902,'Weekly Data'!D850,'Weekly Data'!D798,'Weekly Data'!D746)</f>
        <v>1188</v>
      </c>
      <c r="K954" s="16">
        <f>AVERAGE('Weekly Data'!E902,'Weekly Data'!E850,'Weekly Data'!E798,'Weekly Data'!E746)</f>
        <v>1846.75</v>
      </c>
      <c r="L954" s="16">
        <f>AVERAGE('Weekly Data'!F902,'Weekly Data'!F850,'Weekly Data'!F798,'Weekly Data'!F746)</f>
        <v>713</v>
      </c>
      <c r="M954" s="16">
        <f>AVERAGE('Weekly Data'!G902,'Weekly Data'!G850,'Weekly Data'!G798,'Weekly Data'!G746)</f>
        <v>4332.75</v>
      </c>
      <c r="N954" s="16">
        <f>AVERAGE('Weekly Data'!H902,'Weekly Data'!H850,'Weekly Data'!H798,'Weekly Data'!H746)</f>
        <v>981.75</v>
      </c>
      <c r="O954" s="101">
        <f>AVERAGE('Weekly Data'!I902,'Weekly Data'!I850,'Weekly Data'!I798,'Weekly Data'!I746)</f>
        <v>8349.25</v>
      </c>
      <c r="P954" s="203">
        <f>AVERAGE('Weekly Data'!J902,'Weekly Data'!J850,'Weekly Data'!J798,'Weekly Data'!J746)</f>
        <v>1685.610113531342</v>
      </c>
      <c r="R954" s="13">
        <f t="shared" si="64"/>
        <v>40968</v>
      </c>
      <c r="S954" s="106">
        <f t="shared" si="65"/>
        <v>1015.625</v>
      </c>
      <c r="T954" s="106">
        <f t="shared" si="65"/>
        <v>1863.4375</v>
      </c>
      <c r="U954" s="109">
        <f t="shared" si="65"/>
        <v>765.375</v>
      </c>
      <c r="V954" s="109">
        <f t="shared" si="65"/>
        <v>4036.8125</v>
      </c>
      <c r="W954" s="110">
        <f t="shared" si="65"/>
        <v>893.75</v>
      </c>
      <c r="X954" s="106">
        <f t="shared" si="65"/>
        <v>7809.625</v>
      </c>
      <c r="Y954" s="204">
        <f t="shared" si="65"/>
        <v>1438.7343648840324</v>
      </c>
    </row>
    <row r="955" spans="1:25" x14ac:dyDescent="0.25">
      <c r="A955" s="105">
        <f t="shared" si="57"/>
        <v>40975</v>
      </c>
      <c r="B955" s="59">
        <f>SUM('Weekly Data'!D952:D955)/4</f>
        <v>497.25</v>
      </c>
      <c r="C955" s="90">
        <f>SUM('Weekly Data'!E952:E955)/4</f>
        <v>584</v>
      </c>
      <c r="D955" s="90">
        <f>SUM('Weekly Data'!F952:F955)/4</f>
        <v>1228.75</v>
      </c>
      <c r="E955" s="90">
        <f>SUM('Weekly Data'!G952:G955)/4</f>
        <v>4837.5</v>
      </c>
      <c r="F955" s="90">
        <f>SUM('Weekly Data'!H952:H955)/4</f>
        <v>604.75</v>
      </c>
      <c r="G955" s="90">
        <f>SUM('Weekly Data'!I952:I955)/4</f>
        <v>6523.5</v>
      </c>
      <c r="H955" s="202">
        <f>SUM('Weekly Data'!J952:J955)/4</f>
        <v>2102.2624999999998</v>
      </c>
      <c r="J955" s="101">
        <f>AVERAGE('Weekly Data'!D903,'Weekly Data'!D851,'Weekly Data'!D799,'Weekly Data'!D747)</f>
        <v>1060.5</v>
      </c>
      <c r="K955" s="16">
        <f>AVERAGE('Weekly Data'!E903,'Weekly Data'!E851,'Weekly Data'!E799,'Weekly Data'!E747)</f>
        <v>2195.25</v>
      </c>
      <c r="L955" s="16">
        <f>AVERAGE('Weekly Data'!F903,'Weekly Data'!F851,'Weekly Data'!F799,'Weekly Data'!F747)</f>
        <v>1040</v>
      </c>
      <c r="M955" s="16">
        <f>AVERAGE('Weekly Data'!G903,'Weekly Data'!G851,'Weekly Data'!G799,'Weekly Data'!G747)</f>
        <v>4299</v>
      </c>
      <c r="N955" s="16">
        <f>AVERAGE('Weekly Data'!H903,'Weekly Data'!H851,'Weekly Data'!H799,'Weekly Data'!H747)</f>
        <v>899</v>
      </c>
      <c r="O955" s="101">
        <f>AVERAGE('Weekly Data'!I903,'Weekly Data'!I851,'Weekly Data'!I799,'Weekly Data'!I747)</f>
        <v>8453.75</v>
      </c>
      <c r="P955" s="203">
        <f>AVERAGE('Weekly Data'!J903,'Weekly Data'!J851,'Weekly Data'!J799,'Weekly Data'!J747)</f>
        <v>1647.2609284866405</v>
      </c>
      <c r="R955" s="13">
        <f t="shared" si="64"/>
        <v>40975</v>
      </c>
      <c r="S955" s="106">
        <f t="shared" si="65"/>
        <v>1027.125</v>
      </c>
      <c r="T955" s="106">
        <f t="shared" si="65"/>
        <v>1962.0625</v>
      </c>
      <c r="U955" s="109">
        <f t="shared" si="65"/>
        <v>797.1875</v>
      </c>
      <c r="V955" s="109">
        <f t="shared" si="65"/>
        <v>4201.3125</v>
      </c>
      <c r="W955" s="110">
        <f t="shared" si="65"/>
        <v>871.4375</v>
      </c>
      <c r="X955" s="106">
        <f t="shared" si="65"/>
        <v>8061.9375</v>
      </c>
      <c r="Y955" s="204">
        <f t="shared" si="65"/>
        <v>1552.3340331524812</v>
      </c>
    </row>
    <row r="956" spans="1:25" x14ac:dyDescent="0.25">
      <c r="A956" s="105">
        <f t="shared" si="57"/>
        <v>40982</v>
      </c>
      <c r="B956" s="59">
        <f>SUM('Weekly Data'!D953:D956)/4</f>
        <v>421.75</v>
      </c>
      <c r="C956" s="90">
        <f>SUM('Weekly Data'!E953:E956)/4</f>
        <v>590.25</v>
      </c>
      <c r="D956" s="90">
        <f>SUM('Weekly Data'!F953:F956)/4</f>
        <v>1347</v>
      </c>
      <c r="E956" s="90">
        <f>SUM('Weekly Data'!G953:G956)/4</f>
        <v>4899.75</v>
      </c>
      <c r="F956" s="90">
        <f>SUM('Weekly Data'!H953:H956)/4</f>
        <v>498.25</v>
      </c>
      <c r="G956" s="90">
        <f>SUM('Weekly Data'!I953:I956)/4</f>
        <v>6410</v>
      </c>
      <c r="H956" s="202">
        <f>SUM('Weekly Data'!J953:J956)/4</f>
        <v>2227.85</v>
      </c>
      <c r="J956" s="101">
        <f>AVERAGE('Weekly Data'!D904,'Weekly Data'!D852,'Weekly Data'!D800,'Weekly Data'!D748)</f>
        <v>822.75</v>
      </c>
      <c r="K956" s="16">
        <f>AVERAGE('Weekly Data'!E904,'Weekly Data'!E852,'Weekly Data'!E800,'Weekly Data'!E748)</f>
        <v>1831.25</v>
      </c>
      <c r="L956" s="16">
        <f>AVERAGE('Weekly Data'!F904,'Weekly Data'!F852,'Weekly Data'!F800,'Weekly Data'!F748)</f>
        <v>577.25</v>
      </c>
      <c r="M956" s="16">
        <f>AVERAGE('Weekly Data'!G904,'Weekly Data'!G852,'Weekly Data'!G800,'Weekly Data'!G748)</f>
        <v>3960</v>
      </c>
      <c r="N956" s="16">
        <f>AVERAGE('Weekly Data'!H904,'Weekly Data'!H852,'Weekly Data'!H800,'Weekly Data'!H748)</f>
        <v>774.5</v>
      </c>
      <c r="O956" s="101">
        <f>AVERAGE('Weekly Data'!I904,'Weekly Data'!I852,'Weekly Data'!I800,'Weekly Data'!I748)</f>
        <v>7388.5</v>
      </c>
      <c r="P956" s="203">
        <f>AVERAGE('Weekly Data'!J904,'Weekly Data'!J852,'Weekly Data'!J800,'Weekly Data'!J748)</f>
        <v>1966.9862930803913</v>
      </c>
      <c r="R956" s="13">
        <f t="shared" si="64"/>
        <v>40982</v>
      </c>
      <c r="S956" s="106">
        <f t="shared" ref="S956:X956" si="66">AVERAGE(B904,B852,B800,B747)</f>
        <v>956.3125</v>
      </c>
      <c r="T956" s="106">
        <f t="shared" si="66"/>
        <v>1926.9375</v>
      </c>
      <c r="U956" s="109">
        <f t="shared" si="66"/>
        <v>824.25</v>
      </c>
      <c r="V956" s="109">
        <f t="shared" si="66"/>
        <v>4220.125</v>
      </c>
      <c r="W956" s="110">
        <f t="shared" si="66"/>
        <v>875.1875</v>
      </c>
      <c r="X956" s="106">
        <f t="shared" si="66"/>
        <v>7978.5625</v>
      </c>
      <c r="Y956" s="204">
        <f t="shared" ref="Y956:Y989" si="67">AVERAGE(H904,H852,H800,H747)</f>
        <v>1679.7950966579683</v>
      </c>
    </row>
    <row r="957" spans="1:25" x14ac:dyDescent="0.25">
      <c r="A957" s="105">
        <f t="shared" si="57"/>
        <v>40989</v>
      </c>
      <c r="B957" s="59">
        <f>SUM('Weekly Data'!D954:D957)/4</f>
        <v>297</v>
      </c>
      <c r="C957" s="90">
        <f>SUM('Weekly Data'!E954:E957)/4</f>
        <v>694.5</v>
      </c>
      <c r="D957" s="90">
        <f>SUM('Weekly Data'!F954:F957)/4</f>
        <v>1270.25</v>
      </c>
      <c r="E957" s="90">
        <f>SUM('Weekly Data'!G954:G957)/4</f>
        <v>4695</v>
      </c>
      <c r="F957" s="90">
        <f>SUM('Weekly Data'!H954:H957)/4</f>
        <v>506.25</v>
      </c>
      <c r="G957" s="90">
        <f>SUM('Weekly Data'!I954:I957)/4</f>
        <v>6192.75</v>
      </c>
      <c r="H957" s="202">
        <f>SUM('Weekly Data'!J954:J957)/4</f>
        <v>2256.9624999999996</v>
      </c>
      <c r="J957" s="101">
        <f>AVERAGE('Weekly Data'!D905,'Weekly Data'!D853,'Weekly Data'!D801,'Weekly Data'!D749)</f>
        <v>935.5</v>
      </c>
      <c r="K957" s="16">
        <f>AVERAGE('Weekly Data'!E905,'Weekly Data'!E853,'Weekly Data'!E801,'Weekly Data'!E749)</f>
        <v>1531.25</v>
      </c>
      <c r="L957" s="16">
        <f>AVERAGE('Weekly Data'!F905,'Weekly Data'!F853,'Weekly Data'!F801,'Weekly Data'!F749)</f>
        <v>926</v>
      </c>
      <c r="M957" s="16">
        <f>AVERAGE('Weekly Data'!G905,'Weekly Data'!G853,'Weekly Data'!G801,'Weekly Data'!G749)</f>
        <v>4808.25</v>
      </c>
      <c r="N957" s="16">
        <f>AVERAGE('Weekly Data'!H905,'Weekly Data'!H853,'Weekly Data'!H801,'Weekly Data'!H749)</f>
        <v>913</v>
      </c>
      <c r="O957" s="101">
        <f>AVERAGE('Weekly Data'!I905,'Weekly Data'!I853,'Weekly Data'!I801,'Weekly Data'!I749)</f>
        <v>8188</v>
      </c>
      <c r="P957" s="203">
        <f>AVERAGE('Weekly Data'!J905,'Weekly Data'!J853,'Weekly Data'!J801,'Weekly Data'!J749)</f>
        <v>1542.8931693891816</v>
      </c>
      <c r="R957" s="13">
        <f t="shared" si="64"/>
        <v>40989</v>
      </c>
      <c r="S957" s="106">
        <f t="shared" ref="S957:X958" si="68">AVERAGE(B905,B853,B801,B748)</f>
        <v>964.5625</v>
      </c>
      <c r="T957" s="106">
        <f t="shared" si="68"/>
        <v>1868.4375</v>
      </c>
      <c r="U957" s="109">
        <f t="shared" si="68"/>
        <v>800.9375</v>
      </c>
      <c r="V957" s="109">
        <f t="shared" si="68"/>
        <v>4342</v>
      </c>
      <c r="W957" s="110">
        <f t="shared" si="68"/>
        <v>911.875</v>
      </c>
      <c r="X957" s="106">
        <f t="shared" si="68"/>
        <v>8086.875</v>
      </c>
      <c r="Y957" s="204">
        <f t="shared" si="67"/>
        <v>1710.6876261218888</v>
      </c>
    </row>
    <row r="958" spans="1:25" x14ac:dyDescent="0.25">
      <c r="A958" s="105">
        <f t="shared" si="57"/>
        <v>40996</v>
      </c>
      <c r="B958" s="59">
        <f>SUM('Weekly Data'!D955:D958)/4</f>
        <v>190.25</v>
      </c>
      <c r="C958" s="90">
        <f>SUM('Weekly Data'!E955:E958)/4</f>
        <v>795.75</v>
      </c>
      <c r="D958" s="90">
        <f>SUM('Weekly Data'!F955:F958)/4</f>
        <v>1314.5</v>
      </c>
      <c r="E958" s="90">
        <f>SUM('Weekly Data'!G955:G958)/4</f>
        <v>4735.5</v>
      </c>
      <c r="F958" s="90">
        <f>SUM('Weekly Data'!H955:H958)/4</f>
        <v>523.75</v>
      </c>
      <c r="G958" s="90">
        <f>SUM('Weekly Data'!I955:I958)/4</f>
        <v>6245.25</v>
      </c>
      <c r="H958" s="202">
        <f>SUM('Weekly Data'!J955:J958)/4</f>
        <v>2299.4624999999996</v>
      </c>
      <c r="J958" s="101">
        <f>AVERAGE('Weekly Data'!D906,'Weekly Data'!D854,'Weekly Data'!D802,'Weekly Data'!D750)</f>
        <v>775.25</v>
      </c>
      <c r="K958" s="16">
        <f>AVERAGE('Weekly Data'!E906,'Weekly Data'!E854,'Weekly Data'!E802,'Weekly Data'!E750)</f>
        <v>2020.25</v>
      </c>
      <c r="L958" s="16">
        <f>AVERAGE('Weekly Data'!F906,'Weekly Data'!F854,'Weekly Data'!F802,'Weekly Data'!F750)</f>
        <v>780.5</v>
      </c>
      <c r="M958" s="16">
        <f>AVERAGE('Weekly Data'!G906,'Weekly Data'!G854,'Weekly Data'!G802,'Weekly Data'!G750)</f>
        <v>4256.5</v>
      </c>
      <c r="N958" s="16">
        <f>AVERAGE('Weekly Data'!H906,'Weekly Data'!H854,'Weekly Data'!H802,'Weekly Data'!H750)</f>
        <v>676</v>
      </c>
      <c r="O958" s="101">
        <f>AVERAGE('Weekly Data'!I906,'Weekly Data'!I854,'Weekly Data'!I802,'Weekly Data'!I750)</f>
        <v>7728</v>
      </c>
      <c r="P958" s="203">
        <f>AVERAGE('Weekly Data'!J906,'Weekly Data'!J854,'Weekly Data'!J802,'Weekly Data'!J750)</f>
        <v>1901.4758433746636</v>
      </c>
      <c r="R958" s="13">
        <f t="shared" si="64"/>
        <v>40996</v>
      </c>
      <c r="S958" s="106">
        <f t="shared" si="68"/>
        <v>925.8125</v>
      </c>
      <c r="T958" s="106">
        <f t="shared" si="68"/>
        <v>1923.625</v>
      </c>
      <c r="U958" s="109">
        <f t="shared" si="68"/>
        <v>811.125</v>
      </c>
      <c r="V958" s="109">
        <f t="shared" si="68"/>
        <v>4402.8125</v>
      </c>
      <c r="W958" s="110">
        <f t="shared" si="68"/>
        <v>831.1875</v>
      </c>
      <c r="X958" s="106">
        <f t="shared" si="68"/>
        <v>8083.4375</v>
      </c>
      <c r="Y958" s="204">
        <f t="shared" si="67"/>
        <v>1764.6540585827195</v>
      </c>
    </row>
    <row r="959" spans="1:25" x14ac:dyDescent="0.25">
      <c r="A959" s="105">
        <f t="shared" si="57"/>
        <v>41003</v>
      </c>
      <c r="B959" s="59">
        <f>SUM('Weekly Data'!D956:D959)/4</f>
        <v>159.25</v>
      </c>
      <c r="C959" s="90">
        <f>SUM('Weekly Data'!E956:E959)/4</f>
        <v>728.75</v>
      </c>
      <c r="D959" s="90">
        <f>SUM('Weekly Data'!F956:F959)/4</f>
        <v>1572</v>
      </c>
      <c r="E959" s="90">
        <f>SUM('Weekly Data'!G956:G959)/4</f>
        <v>4652</v>
      </c>
      <c r="F959" s="90">
        <f>SUM('Weekly Data'!H956:H959)/4</f>
        <v>495.25</v>
      </c>
      <c r="G959" s="90">
        <f>SUM('Weekly Data'!I956:I959)/4</f>
        <v>6035.25</v>
      </c>
      <c r="H959" s="202">
        <f>SUM('Weekly Data'!J956:J959)/4</f>
        <v>2458.8375000000001</v>
      </c>
      <c r="J959" s="101">
        <f>AVERAGE('Weekly Data'!D907,'Weekly Data'!D855,'Weekly Data'!D803,'Weekly Data'!D751)</f>
        <v>729.75</v>
      </c>
      <c r="K959" s="16">
        <f>AVERAGE('Weekly Data'!E907,'Weekly Data'!E855,'Weekly Data'!E803,'Weekly Data'!E751)</f>
        <v>1936.75</v>
      </c>
      <c r="L959" s="16">
        <f>AVERAGE('Weekly Data'!F907,'Weekly Data'!F855,'Weekly Data'!F803,'Weekly Data'!F751)</f>
        <v>1064</v>
      </c>
      <c r="M959" s="16">
        <f>AVERAGE('Weekly Data'!G907,'Weekly Data'!G855,'Weekly Data'!G803,'Weekly Data'!G751)</f>
        <v>4249.75</v>
      </c>
      <c r="N959" s="16">
        <f>AVERAGE('Weekly Data'!H907,'Weekly Data'!H855,'Weekly Data'!H803,'Weekly Data'!H751)</f>
        <v>598.5</v>
      </c>
      <c r="O959" s="101">
        <f>AVERAGE('Weekly Data'!I907,'Weekly Data'!I855,'Weekly Data'!I803,'Weekly Data'!I751)</f>
        <v>7514.75</v>
      </c>
      <c r="P959" s="203">
        <f>AVERAGE('Weekly Data'!J907,'Weekly Data'!J855,'Weekly Data'!J803,'Weekly Data'!J751)</f>
        <v>1737.8517440338248</v>
      </c>
      <c r="R959" s="13">
        <f t="shared" si="64"/>
        <v>41003</v>
      </c>
      <c r="S959" s="106">
        <f t="shared" ref="S959:X959" si="69">AVERAGE(B907,B855,B803,B750)</f>
        <v>841.75</v>
      </c>
      <c r="T959" s="106">
        <f t="shared" si="69"/>
        <v>1834.0625</v>
      </c>
      <c r="U959" s="109">
        <f t="shared" si="69"/>
        <v>828.9375</v>
      </c>
      <c r="V959" s="109">
        <f t="shared" si="69"/>
        <v>4330.4375</v>
      </c>
      <c r="W959" s="110">
        <f t="shared" si="69"/>
        <v>767.4375</v>
      </c>
      <c r="X959" s="106">
        <f t="shared" si="69"/>
        <v>7773.6875</v>
      </c>
      <c r="Y959" s="204">
        <f t="shared" si="67"/>
        <v>1787.3017624695149</v>
      </c>
    </row>
    <row r="960" spans="1:25" x14ac:dyDescent="0.25">
      <c r="A960" s="105">
        <f t="shared" si="57"/>
        <v>41010</v>
      </c>
      <c r="B960" s="59">
        <f>SUM('Weekly Data'!D957:D960)/4</f>
        <v>95</v>
      </c>
      <c r="C960" s="90">
        <f>SUM('Weekly Data'!E957:E960)/4</f>
        <v>692.5</v>
      </c>
      <c r="D960" s="90">
        <f>SUM('Weekly Data'!F957:F960)/4</f>
        <v>1476.5</v>
      </c>
      <c r="E960" s="90">
        <f>SUM('Weekly Data'!G957:G960)/4</f>
        <v>4342.25</v>
      </c>
      <c r="F960" s="90">
        <f>SUM('Weekly Data'!H957:H960)/4</f>
        <v>487.25</v>
      </c>
      <c r="G960" s="90">
        <f>SUM('Weekly Data'!I957:I960)/4</f>
        <v>5617</v>
      </c>
      <c r="H960" s="202">
        <f>SUM('Weekly Data'!J957:J960)/4</f>
        <v>2455.65</v>
      </c>
      <c r="J960" s="101">
        <f>AVERAGE('Weekly Data'!D908,'Weekly Data'!D856,'Weekly Data'!D804,'Weekly Data'!D752)</f>
        <v>850.75</v>
      </c>
      <c r="K960" s="16">
        <f>AVERAGE('Weekly Data'!E908,'Weekly Data'!E856,'Weekly Data'!E804,'Weekly Data'!E752)</f>
        <v>1685.5</v>
      </c>
      <c r="L960" s="16">
        <f>AVERAGE('Weekly Data'!F908,'Weekly Data'!F856,'Weekly Data'!F804,'Weekly Data'!F752)</f>
        <v>904.75</v>
      </c>
      <c r="M960" s="16">
        <f>AVERAGE('Weekly Data'!G908,'Weekly Data'!G856,'Weekly Data'!G804,'Weekly Data'!G752)</f>
        <v>4400</v>
      </c>
      <c r="N960" s="16">
        <f>AVERAGE('Weekly Data'!H908,'Weekly Data'!H856,'Weekly Data'!H804,'Weekly Data'!H752)</f>
        <v>532.5</v>
      </c>
      <c r="O960" s="101">
        <f>AVERAGE('Weekly Data'!I908,'Weekly Data'!I856,'Weekly Data'!I804,'Weekly Data'!I752)</f>
        <v>7468.75</v>
      </c>
      <c r="P960" s="203">
        <f>AVERAGE('Weekly Data'!J908,'Weekly Data'!J856,'Weekly Data'!J804,'Weekly Data'!J752)</f>
        <v>2212.3903027411088</v>
      </c>
      <c r="R960" s="13">
        <f t="shared" si="64"/>
        <v>41010</v>
      </c>
      <c r="S960" s="106">
        <f t="shared" ref="S960:X960" si="70">AVERAGE(B908,B856,B804,B751)</f>
        <v>785.625</v>
      </c>
      <c r="T960" s="106">
        <f t="shared" si="70"/>
        <v>1768.6875</v>
      </c>
      <c r="U960" s="109">
        <f t="shared" si="70"/>
        <v>893.5</v>
      </c>
      <c r="V960" s="109">
        <f t="shared" si="70"/>
        <v>4405.125</v>
      </c>
      <c r="W960" s="110">
        <f t="shared" si="70"/>
        <v>721.75</v>
      </c>
      <c r="X960" s="106">
        <f t="shared" si="70"/>
        <v>7681.1875</v>
      </c>
      <c r="Y960" s="204">
        <f t="shared" si="67"/>
        <v>1848.6527648846948</v>
      </c>
    </row>
    <row r="961" spans="1:25" x14ac:dyDescent="0.25">
      <c r="A961" s="105">
        <f t="shared" si="57"/>
        <v>41017</v>
      </c>
      <c r="B961" s="59">
        <f>SUM('Weekly Data'!D958:D961)/4</f>
        <v>78</v>
      </c>
      <c r="C961" s="90">
        <f>SUM('Weekly Data'!E958:E961)/4</f>
        <v>741.5</v>
      </c>
      <c r="D961" s="90">
        <f>SUM('Weekly Data'!F958:F961)/4</f>
        <v>1571.5</v>
      </c>
      <c r="E961" s="90">
        <f>SUM('Weekly Data'!G958:G961)/4</f>
        <v>4248.25</v>
      </c>
      <c r="F961" s="90">
        <f>SUM('Weekly Data'!H958:H961)/4</f>
        <v>416</v>
      </c>
      <c r="G961" s="90">
        <f>SUM('Weekly Data'!I958:I961)/4</f>
        <v>5483.75</v>
      </c>
      <c r="H961" s="202">
        <f>SUM('Weekly Data'!J958:J961)/4</f>
        <v>2525.7749999999996</v>
      </c>
      <c r="J961" s="101">
        <f>AVERAGE('Weekly Data'!D909,'Weekly Data'!D857,'Weekly Data'!D805,'Weekly Data'!D753)</f>
        <v>424.5</v>
      </c>
      <c r="K961" s="16">
        <f>AVERAGE('Weekly Data'!E909,'Weekly Data'!E857,'Weekly Data'!E805,'Weekly Data'!E753)</f>
        <v>1378.25</v>
      </c>
      <c r="L961" s="16">
        <f>AVERAGE('Weekly Data'!F909,'Weekly Data'!F857,'Weekly Data'!F805,'Weekly Data'!F753)</f>
        <v>1042</v>
      </c>
      <c r="M961" s="16">
        <f>AVERAGE('Weekly Data'!G909,'Weekly Data'!G857,'Weekly Data'!G805,'Weekly Data'!G753)</f>
        <v>4172.75</v>
      </c>
      <c r="N961" s="16">
        <f>AVERAGE('Weekly Data'!H909,'Weekly Data'!H857,'Weekly Data'!H805,'Weekly Data'!H753)</f>
        <v>442.75</v>
      </c>
      <c r="O961" s="101">
        <f>AVERAGE('Weekly Data'!I909,'Weekly Data'!I857,'Weekly Data'!I805,'Weekly Data'!I753)</f>
        <v>6418.25</v>
      </c>
      <c r="P961" s="203">
        <f>AVERAGE('Weekly Data'!J909,'Weekly Data'!J857,'Weekly Data'!J805,'Weekly Data'!J753)</f>
        <v>1902.596127823688</v>
      </c>
      <c r="R961" s="13">
        <f t="shared" si="64"/>
        <v>41017</v>
      </c>
      <c r="S961" s="106">
        <f t="shared" ref="S961:X961" si="71">AVERAGE(B909,B857,B805,B752)</f>
        <v>701.8125</v>
      </c>
      <c r="T961" s="106">
        <f t="shared" si="71"/>
        <v>1766.1875</v>
      </c>
      <c r="U961" s="109">
        <f t="shared" si="71"/>
        <v>939.3125</v>
      </c>
      <c r="V961" s="109">
        <f t="shared" si="71"/>
        <v>4302.5625</v>
      </c>
      <c r="W961" s="110">
        <f t="shared" si="71"/>
        <v>594.1875</v>
      </c>
      <c r="X961" s="106">
        <f t="shared" si="71"/>
        <v>7364.75</v>
      </c>
      <c r="Y961" s="204">
        <f t="shared" si="67"/>
        <v>1938.5785044933209</v>
      </c>
    </row>
    <row r="962" spans="1:25" x14ac:dyDescent="0.25">
      <c r="A962" s="105">
        <f t="shared" si="57"/>
        <v>41024</v>
      </c>
      <c r="B962" s="59">
        <f>SUM('Weekly Data'!D959:D962)/4</f>
        <v>89.5</v>
      </c>
      <c r="C962" s="90">
        <f>SUM('Weekly Data'!E959:E962)/4</f>
        <v>630.25</v>
      </c>
      <c r="D962" s="90">
        <f>SUM('Weekly Data'!F959:F962)/4</f>
        <v>1457.75</v>
      </c>
      <c r="E962" s="90">
        <f>SUM('Weekly Data'!G959:G962)/4</f>
        <v>3789.5</v>
      </c>
      <c r="F962" s="90">
        <f>SUM('Weekly Data'!H959:H962)/4</f>
        <v>375</v>
      </c>
      <c r="G962" s="90">
        <f>SUM('Weekly Data'!I959:I962)/4</f>
        <v>4884.25</v>
      </c>
      <c r="H962" s="202">
        <f>SUM('Weekly Data'!J959:J962)/4</f>
        <v>2591.4375</v>
      </c>
      <c r="J962" s="101">
        <f>AVERAGE('Weekly Data'!D910,'Weekly Data'!D858,'Weekly Data'!D806,'Weekly Data'!D754)</f>
        <v>440</v>
      </c>
      <c r="K962" s="16">
        <f>AVERAGE('Weekly Data'!E910,'Weekly Data'!E858,'Weekly Data'!E806,'Weekly Data'!E754)</f>
        <v>1566.25</v>
      </c>
      <c r="L962" s="16">
        <f>AVERAGE('Weekly Data'!F910,'Weekly Data'!F858,'Weekly Data'!F806,'Weekly Data'!F754)</f>
        <v>875</v>
      </c>
      <c r="M962" s="16">
        <f>AVERAGE('Weekly Data'!G910,'Weekly Data'!G858,'Weekly Data'!G806,'Weekly Data'!G754)</f>
        <v>4200.75</v>
      </c>
      <c r="N962" s="16">
        <f>AVERAGE('Weekly Data'!H910,'Weekly Data'!H858,'Weekly Data'!H806,'Weekly Data'!H754)</f>
        <v>452.5</v>
      </c>
      <c r="O962" s="101">
        <f>AVERAGE('Weekly Data'!I910,'Weekly Data'!I858,'Weekly Data'!I806,'Weekly Data'!I754)</f>
        <v>6659.5</v>
      </c>
      <c r="P962" s="203">
        <f>AVERAGE('Weekly Data'!J910,'Weekly Data'!J858,'Weekly Data'!J806,'Weekly Data'!J754)</f>
        <v>2367.5235336977403</v>
      </c>
      <c r="R962" s="13">
        <f t="shared" si="64"/>
        <v>41024</v>
      </c>
      <c r="S962" s="106">
        <f t="shared" ref="S962:X962" si="72">AVERAGE(B910,B858,B806,B753)</f>
        <v>631.5625</v>
      </c>
      <c r="T962" s="106">
        <f t="shared" si="72"/>
        <v>1676.5</v>
      </c>
      <c r="U962" s="109">
        <f t="shared" si="72"/>
        <v>977.8125</v>
      </c>
      <c r="V962" s="109">
        <f t="shared" si="72"/>
        <v>4248</v>
      </c>
      <c r="W962" s="110">
        <f t="shared" si="72"/>
        <v>509.9375</v>
      </c>
      <c r="X962" s="106">
        <f t="shared" si="72"/>
        <v>7066</v>
      </c>
      <c r="Y962" s="204">
        <f t="shared" si="67"/>
        <v>2055.0904270740907</v>
      </c>
    </row>
    <row r="963" spans="1:25" x14ac:dyDescent="0.25">
      <c r="A963" s="105">
        <f t="shared" si="57"/>
        <v>41031</v>
      </c>
      <c r="B963" s="59">
        <f>SUM('Weekly Data'!D960:D963)/4</f>
        <v>37</v>
      </c>
      <c r="C963" s="90">
        <f>SUM('Weekly Data'!E960:E963)/4</f>
        <v>645.5</v>
      </c>
      <c r="D963" s="90">
        <f>SUM('Weekly Data'!F960:F963)/4</f>
        <v>1349.5</v>
      </c>
      <c r="E963" s="90">
        <f>SUM('Weekly Data'!G960:G963)/4</f>
        <v>3603</v>
      </c>
      <c r="F963" s="90">
        <f>SUM('Weekly Data'!H960:H963)/4</f>
        <v>367.75</v>
      </c>
      <c r="G963" s="90">
        <f>SUM('Weekly Data'!I960:I963)/4</f>
        <v>4653.25</v>
      </c>
      <c r="H963" s="202">
        <f>SUM('Weekly Data'!J960:J963)/4</f>
        <v>2438.8625000000002</v>
      </c>
      <c r="J963" s="101">
        <f>AVERAGE('Weekly Data'!D911,'Weekly Data'!D859,'Weekly Data'!D807,'Weekly Data'!D755)</f>
        <v>351.5</v>
      </c>
      <c r="K963" s="16">
        <f>AVERAGE('Weekly Data'!E911,'Weekly Data'!E859,'Weekly Data'!E807,'Weekly Data'!E755)</f>
        <v>1860</v>
      </c>
      <c r="L963" s="16">
        <f>AVERAGE('Weekly Data'!F911,'Weekly Data'!F859,'Weekly Data'!F807,'Weekly Data'!F755)</f>
        <v>768.25</v>
      </c>
      <c r="M963" s="16">
        <f>AVERAGE('Weekly Data'!G911,'Weekly Data'!G859,'Weekly Data'!G807,'Weekly Data'!G755)</f>
        <v>4006</v>
      </c>
      <c r="N963" s="16">
        <f>AVERAGE('Weekly Data'!H911,'Weekly Data'!H859,'Weekly Data'!H807,'Weekly Data'!H755)</f>
        <v>577.75</v>
      </c>
      <c r="O963" s="101">
        <f>AVERAGE('Weekly Data'!I911,'Weekly Data'!I859,'Weekly Data'!I807,'Weekly Data'!I755)</f>
        <v>6795.25</v>
      </c>
      <c r="P963" s="203">
        <f>AVERAGE('Weekly Data'!J911,'Weekly Data'!J859,'Weekly Data'!J807,'Weekly Data'!J755)</f>
        <v>1810.9889304072913</v>
      </c>
      <c r="R963" s="13">
        <f t="shared" si="64"/>
        <v>41031</v>
      </c>
      <c r="S963" s="106">
        <f t="shared" ref="S963:X963" si="73">AVERAGE(B911,B859,B807,B754)</f>
        <v>550.875</v>
      </c>
      <c r="T963" s="106">
        <f t="shared" si="73"/>
        <v>1630.4375</v>
      </c>
      <c r="U963" s="109">
        <f t="shared" si="73"/>
        <v>922.125</v>
      </c>
      <c r="V963" s="109">
        <f t="shared" si="73"/>
        <v>4150</v>
      </c>
      <c r="W963" s="110">
        <f t="shared" si="73"/>
        <v>483.875</v>
      </c>
      <c r="X963" s="106">
        <f t="shared" si="73"/>
        <v>6815.1875</v>
      </c>
      <c r="Y963" s="204">
        <f t="shared" si="67"/>
        <v>2073.3747236674567</v>
      </c>
    </row>
    <row r="964" spans="1:25" x14ac:dyDescent="0.25">
      <c r="A964" s="105">
        <f t="shared" si="57"/>
        <v>41038</v>
      </c>
      <c r="B964" s="59">
        <f>SUM('Weekly Data'!D961:D964)/4</f>
        <v>24.25</v>
      </c>
      <c r="C964" s="90">
        <f>SUM('Weekly Data'!E961:E964)/4</f>
        <v>530.5</v>
      </c>
      <c r="D964" s="90">
        <f>SUM('Weekly Data'!F961:F964)/4</f>
        <v>1438.25</v>
      </c>
      <c r="E964" s="90">
        <f>SUM('Weekly Data'!G961:G964)/4</f>
        <v>3708.75</v>
      </c>
      <c r="F964" s="90">
        <f>SUM('Weekly Data'!H961:H964)/4</f>
        <v>341.75</v>
      </c>
      <c r="G964" s="90">
        <f>SUM('Weekly Data'!I961:I964)/4</f>
        <v>4605.25</v>
      </c>
      <c r="H964" s="202">
        <f>SUM('Weekly Data'!J961:J964)/4</f>
        <v>2384.8875000000003</v>
      </c>
      <c r="J964" s="101">
        <f>AVERAGE('Weekly Data'!D912,'Weekly Data'!D860,'Weekly Data'!D808,'Weekly Data'!D756)</f>
        <v>570.75</v>
      </c>
      <c r="K964" s="16">
        <f>AVERAGE('Weekly Data'!E912,'Weekly Data'!E860,'Weekly Data'!E808,'Weekly Data'!E756)</f>
        <v>1185.5</v>
      </c>
      <c r="L964" s="16">
        <f>AVERAGE('Weekly Data'!F912,'Weekly Data'!F860,'Weekly Data'!F808,'Weekly Data'!F756)</f>
        <v>1045.5</v>
      </c>
      <c r="M964" s="16">
        <f>AVERAGE('Weekly Data'!G912,'Weekly Data'!G860,'Weekly Data'!G808,'Weekly Data'!G756)</f>
        <v>3582.25</v>
      </c>
      <c r="N964" s="16">
        <f>AVERAGE('Weekly Data'!H912,'Weekly Data'!H860,'Weekly Data'!H808,'Weekly Data'!H756)</f>
        <v>425.25</v>
      </c>
      <c r="O964" s="101">
        <f>AVERAGE('Weekly Data'!I912,'Weekly Data'!I860,'Weekly Data'!I808,'Weekly Data'!I756)</f>
        <v>5763.75</v>
      </c>
      <c r="P964" s="203">
        <f>AVERAGE('Weekly Data'!J912,'Weekly Data'!J860,'Weekly Data'!J808,'Weekly Data'!J756)</f>
        <v>1899.4858139415628</v>
      </c>
      <c r="R964" s="13">
        <f t="shared" si="64"/>
        <v>41038</v>
      </c>
      <c r="S964" s="106">
        <f t="shared" ref="S964:X964" si="74">AVERAGE(B912,B860,B808,B755)</f>
        <v>518</v>
      </c>
      <c r="T964" s="106">
        <f t="shared" si="74"/>
        <v>1572.6875</v>
      </c>
      <c r="U964" s="109">
        <f t="shared" si="74"/>
        <v>917.3125</v>
      </c>
      <c r="V964" s="109">
        <f t="shared" si="74"/>
        <v>4056.4375</v>
      </c>
      <c r="W964" s="110">
        <f t="shared" si="74"/>
        <v>475.6875</v>
      </c>
      <c r="X964" s="106">
        <f t="shared" si="74"/>
        <v>6622.8125</v>
      </c>
      <c r="Y964" s="204">
        <f t="shared" si="67"/>
        <v>1995.1486014675704</v>
      </c>
    </row>
    <row r="965" spans="1:25" x14ac:dyDescent="0.25">
      <c r="A965" s="105">
        <f t="shared" si="57"/>
        <v>41045</v>
      </c>
      <c r="B965" s="59">
        <f>SUM('Weekly Data'!D962:D965)/4</f>
        <v>24.25</v>
      </c>
      <c r="C965" s="90">
        <f>SUM('Weekly Data'!E962:E965)/4</f>
        <v>416.75</v>
      </c>
      <c r="D965" s="90">
        <f>SUM('Weekly Data'!F962:F965)/4</f>
        <v>1334</v>
      </c>
      <c r="E965" s="90">
        <f>SUM('Weekly Data'!G962:G965)/4</f>
        <v>3585</v>
      </c>
      <c r="F965" s="90">
        <f>SUM('Weekly Data'!H962:H965)/4</f>
        <v>339.25</v>
      </c>
      <c r="G965" s="90">
        <f>SUM('Weekly Data'!I962:I965)/4</f>
        <v>4365.25</v>
      </c>
      <c r="H965" s="202">
        <f>SUM('Weekly Data'!J962:J965)/4</f>
        <v>2420.1624999999999</v>
      </c>
      <c r="J965" s="101">
        <f>AVERAGE('Weekly Data'!D913,'Weekly Data'!D861,'Weekly Data'!D809,'Weekly Data'!D757)</f>
        <v>441.5</v>
      </c>
      <c r="K965" s="16">
        <f>AVERAGE('Weekly Data'!E913,'Weekly Data'!E861,'Weekly Data'!E809,'Weekly Data'!E757)</f>
        <v>1069.5</v>
      </c>
      <c r="L965" s="16">
        <f>AVERAGE('Weekly Data'!F913,'Weekly Data'!F861,'Weekly Data'!F809,'Weekly Data'!F757)</f>
        <v>886.5</v>
      </c>
      <c r="M965" s="16">
        <f>AVERAGE('Weekly Data'!G913,'Weekly Data'!G861,'Weekly Data'!G809,'Weekly Data'!G757)</f>
        <v>3717.75</v>
      </c>
      <c r="N965" s="16">
        <f>AVERAGE('Weekly Data'!H913,'Weekly Data'!H861,'Weekly Data'!H809,'Weekly Data'!H757)</f>
        <v>289</v>
      </c>
      <c r="O965" s="101">
        <f>AVERAGE('Weekly Data'!I913,'Weekly Data'!I861,'Weekly Data'!I809,'Weekly Data'!I757)</f>
        <v>5517.75</v>
      </c>
      <c r="P965" s="203">
        <f>AVERAGE('Weekly Data'!J913,'Weekly Data'!J861,'Weekly Data'!J809,'Weekly Data'!J757)</f>
        <v>1671.9952621730088</v>
      </c>
      <c r="R965" s="13">
        <f t="shared" si="64"/>
        <v>41045</v>
      </c>
      <c r="S965" s="106">
        <f t="shared" ref="S965:X965" si="75">AVERAGE(B913,B861,B809,B756)</f>
        <v>471.5625</v>
      </c>
      <c r="T965" s="106">
        <f t="shared" si="75"/>
        <v>1456.875</v>
      </c>
      <c r="U965" s="109">
        <f t="shared" si="75"/>
        <v>911.875</v>
      </c>
      <c r="V965" s="109">
        <f t="shared" si="75"/>
        <v>3891.9375</v>
      </c>
      <c r="W965" s="110">
        <f t="shared" si="75"/>
        <v>442.1875</v>
      </c>
      <c r="X965" s="106">
        <f t="shared" si="75"/>
        <v>6262.5625</v>
      </c>
      <c r="Y965" s="204">
        <f t="shared" si="67"/>
        <v>1937.4983850549006</v>
      </c>
    </row>
    <row r="966" spans="1:25" x14ac:dyDescent="0.25">
      <c r="A966" s="105">
        <f t="shared" si="57"/>
        <v>41052</v>
      </c>
      <c r="B966" s="59">
        <f>SUM('Weekly Data'!D963:D966)/4</f>
        <v>11.25</v>
      </c>
      <c r="C966" s="90">
        <f>SUM('Weekly Data'!E963:E966)/4</f>
        <v>536.75</v>
      </c>
      <c r="D966" s="90">
        <f>SUM('Weekly Data'!F963:F966)/4</f>
        <v>1341.75</v>
      </c>
      <c r="E966" s="90">
        <f>SUM('Weekly Data'!G963:G966)/4</f>
        <v>3825</v>
      </c>
      <c r="F966" s="90">
        <f>SUM('Weekly Data'!H963:H966)/4</f>
        <v>336</v>
      </c>
      <c r="G966" s="90">
        <f>SUM('Weekly Data'!I963:I966)/4</f>
        <v>4709</v>
      </c>
      <c r="H966" s="202">
        <f>SUM('Weekly Data'!J963:J966)/4</f>
        <v>2316.25</v>
      </c>
      <c r="J966" s="101">
        <f>AVERAGE('Weekly Data'!D914,'Weekly Data'!D862,'Weekly Data'!D810,'Weekly Data'!D758)</f>
        <v>468.5</v>
      </c>
      <c r="K966" s="16">
        <f>AVERAGE('Weekly Data'!E914,'Weekly Data'!E862,'Weekly Data'!E810,'Weekly Data'!E758)</f>
        <v>1192</v>
      </c>
      <c r="L966" s="16">
        <f>AVERAGE('Weekly Data'!F914,'Weekly Data'!F862,'Weekly Data'!F810,'Weekly Data'!F758)</f>
        <v>945</v>
      </c>
      <c r="M966" s="16">
        <f>AVERAGE('Weekly Data'!G914,'Weekly Data'!G862,'Weekly Data'!G810,'Weekly Data'!G758)</f>
        <v>3948</v>
      </c>
      <c r="N966" s="16">
        <f>AVERAGE('Weekly Data'!H914,'Weekly Data'!H862,'Weekly Data'!H810,'Weekly Data'!H758)</f>
        <v>317.5</v>
      </c>
      <c r="O966" s="101">
        <f>AVERAGE('Weekly Data'!I914,'Weekly Data'!I862,'Weekly Data'!I810,'Weekly Data'!I758)</f>
        <v>5926</v>
      </c>
      <c r="P966" s="203">
        <f>AVERAGE('Weekly Data'!J914,'Weekly Data'!J862,'Weekly Data'!J810,'Weekly Data'!J758)</f>
        <v>2275.1880694554925</v>
      </c>
      <c r="R966" s="13">
        <f t="shared" si="64"/>
        <v>41052</v>
      </c>
      <c r="S966" s="106">
        <f t="shared" ref="S966:X966" si="76">AVERAGE(B914,B862,B810,B757)</f>
        <v>473.6875</v>
      </c>
      <c r="T966" s="106">
        <f t="shared" si="76"/>
        <v>1362.6875</v>
      </c>
      <c r="U966" s="109">
        <f t="shared" si="76"/>
        <v>898.25</v>
      </c>
      <c r="V966" s="109">
        <f t="shared" si="76"/>
        <v>3810.4375</v>
      </c>
      <c r="W966" s="110">
        <f t="shared" si="76"/>
        <v>429</v>
      </c>
      <c r="X966" s="106">
        <f t="shared" si="76"/>
        <v>6075.8125</v>
      </c>
      <c r="Y966" s="204">
        <f t="shared" si="67"/>
        <v>1914.414518994339</v>
      </c>
    </row>
    <row r="967" spans="1:25" x14ac:dyDescent="0.25">
      <c r="A967" s="105">
        <f t="shared" si="57"/>
        <v>41059</v>
      </c>
      <c r="B967" s="59">
        <f>SUM('Weekly Data'!D964:D967)/4</f>
        <v>9.75</v>
      </c>
      <c r="C967" s="90">
        <f>SUM('Weekly Data'!E964:E967)/4</f>
        <v>797.5</v>
      </c>
      <c r="D967" s="90">
        <f>SUM('Weekly Data'!F964:F967)/4</f>
        <v>1213</v>
      </c>
      <c r="E967" s="90">
        <f>SUM('Weekly Data'!G964:G967)/4</f>
        <v>3794.25</v>
      </c>
      <c r="F967" s="90">
        <f>SUM('Weekly Data'!H964:H967)/4</f>
        <v>293.75</v>
      </c>
      <c r="G967" s="90">
        <f>SUM('Weekly Data'!I964:I967)/4</f>
        <v>4895.25</v>
      </c>
      <c r="H967" s="202">
        <f>SUM('Weekly Data'!J964:J967)/4</f>
        <v>2264.4</v>
      </c>
      <c r="J967" s="101">
        <f>AVERAGE('Weekly Data'!D915,'Weekly Data'!D863,'Weekly Data'!D811,'Weekly Data'!D759)</f>
        <v>385.75</v>
      </c>
      <c r="K967" s="16">
        <f>AVERAGE('Weekly Data'!E915,'Weekly Data'!E863,'Weekly Data'!E811,'Weekly Data'!E759)</f>
        <v>1684</v>
      </c>
      <c r="L967" s="16">
        <f>AVERAGE('Weekly Data'!F915,'Weekly Data'!F863,'Weekly Data'!F811,'Weekly Data'!F759)</f>
        <v>928.25</v>
      </c>
      <c r="M967" s="16">
        <f>AVERAGE('Weekly Data'!G915,'Weekly Data'!G863,'Weekly Data'!G811,'Weekly Data'!G759)</f>
        <v>3400</v>
      </c>
      <c r="N967" s="16">
        <f>AVERAGE('Weekly Data'!H915,'Weekly Data'!H863,'Weekly Data'!H811,'Weekly Data'!H759)</f>
        <v>268.5</v>
      </c>
      <c r="O967" s="101">
        <f>AVERAGE('Weekly Data'!I915,'Weekly Data'!I863,'Weekly Data'!I811,'Weekly Data'!I759)</f>
        <v>5738.25</v>
      </c>
      <c r="P967" s="203">
        <f>AVERAGE('Weekly Data'!J915,'Weekly Data'!J863,'Weekly Data'!J811,'Weekly Data'!J759)</f>
        <v>1831.8972737077363</v>
      </c>
      <c r="R967" s="13">
        <f t="shared" si="64"/>
        <v>41059</v>
      </c>
      <c r="S967" s="106">
        <f t="shared" ref="S967:X967" si="77">AVERAGE(B915,B863,B811,B758)</f>
        <v>483.4375</v>
      </c>
      <c r="T967" s="106">
        <f t="shared" si="77"/>
        <v>1283.3125</v>
      </c>
      <c r="U967" s="109">
        <f t="shared" si="77"/>
        <v>941.3125</v>
      </c>
      <c r="V967" s="109">
        <f t="shared" si="77"/>
        <v>3717.625</v>
      </c>
      <c r="W967" s="110">
        <f t="shared" si="77"/>
        <v>379.9375</v>
      </c>
      <c r="X967" s="106">
        <f t="shared" si="77"/>
        <v>5864.3125</v>
      </c>
      <c r="Y967" s="204">
        <f t="shared" si="67"/>
        <v>1919.6416048194503</v>
      </c>
    </row>
    <row r="968" spans="1:25" x14ac:dyDescent="0.25">
      <c r="A968" s="105">
        <f t="shared" si="57"/>
        <v>41066</v>
      </c>
      <c r="B968" s="59">
        <f>SUM('Weekly Data'!D965:D968)/4</f>
        <v>58.5</v>
      </c>
      <c r="C968" s="90">
        <f>SUM('Weekly Data'!E965:E968)/4</f>
        <v>1167.5</v>
      </c>
      <c r="D968" s="90">
        <f>SUM('Weekly Data'!F965:F968)/4</f>
        <v>1137.25</v>
      </c>
      <c r="E968" s="90">
        <f>SUM('Weekly Data'!G965:G968)/4</f>
        <v>3529.75</v>
      </c>
      <c r="F968" s="90">
        <f>SUM('Weekly Data'!H965:H968)/4</f>
        <v>249.25</v>
      </c>
      <c r="G968" s="90">
        <f>SUM('Weekly Data'!I965:I968)/4</f>
        <v>5005</v>
      </c>
      <c r="H968" s="202">
        <f>SUM('Weekly Data'!J965:J968)/4</f>
        <v>2160.9124999999999</v>
      </c>
      <c r="J968" s="101">
        <f>AVERAGE('Weekly Data'!D916,'Weekly Data'!D864,'Weekly Data'!D812,'Weekly Data'!D760)</f>
        <v>183</v>
      </c>
      <c r="K968" s="16">
        <f>AVERAGE('Weekly Data'!E916,'Weekly Data'!E864,'Weekly Data'!E812,'Weekly Data'!E760)</f>
        <v>1349.75</v>
      </c>
      <c r="L968" s="16">
        <f>AVERAGE('Weekly Data'!F916,'Weekly Data'!F864,'Weekly Data'!F812,'Weekly Data'!F760)</f>
        <v>768.75</v>
      </c>
      <c r="M968" s="16">
        <f>AVERAGE('Weekly Data'!G916,'Weekly Data'!G864,'Weekly Data'!G812,'Weekly Data'!G760)</f>
        <v>3457.5</v>
      </c>
      <c r="N968" s="16">
        <f>AVERAGE('Weekly Data'!H916,'Weekly Data'!H864,'Weekly Data'!H812,'Weekly Data'!H760)</f>
        <v>198</v>
      </c>
      <c r="O968" s="101">
        <f>AVERAGE('Weekly Data'!I916,'Weekly Data'!I864,'Weekly Data'!I812,'Weekly Data'!I760)</f>
        <v>5188.25</v>
      </c>
      <c r="P968" s="203">
        <f>AVERAGE('Weekly Data'!J916,'Weekly Data'!J864,'Weekly Data'!J812,'Weekly Data'!J760)</f>
        <v>1942.0582953565843</v>
      </c>
      <c r="R968" s="13">
        <f t="shared" si="64"/>
        <v>41066</v>
      </c>
      <c r="S968" s="106">
        <f t="shared" ref="S968:X968" si="78">AVERAGE(B916,B864,B812,B759)</f>
        <v>418.4375</v>
      </c>
      <c r="T968" s="106">
        <f t="shared" si="78"/>
        <v>1275.25</v>
      </c>
      <c r="U968" s="109">
        <f t="shared" si="78"/>
        <v>920.25</v>
      </c>
      <c r="V968" s="109">
        <f t="shared" si="78"/>
        <v>3597.375</v>
      </c>
      <c r="W968" s="110">
        <f t="shared" si="78"/>
        <v>290.875</v>
      </c>
      <c r="X968" s="106">
        <f t="shared" si="78"/>
        <v>5581.9375</v>
      </c>
      <c r="Y968" s="204">
        <f t="shared" si="67"/>
        <v>1930.2847251732055</v>
      </c>
    </row>
    <row r="969" spans="1:25" x14ac:dyDescent="0.25">
      <c r="A969" s="105">
        <f t="shared" si="57"/>
        <v>41073</v>
      </c>
      <c r="B969" s="59">
        <f>SUM('Weekly Data'!D966:D969)/4</f>
        <v>86</v>
      </c>
      <c r="C969" s="90">
        <f>SUM('Weekly Data'!E966:E969)/4</f>
        <v>1295.5</v>
      </c>
      <c r="D969" s="90">
        <f>SUM('Weekly Data'!F966:F969)/4</f>
        <v>1102.5</v>
      </c>
      <c r="E969" s="90">
        <f>SUM('Weekly Data'!G966:G969)/4</f>
        <v>3520.75</v>
      </c>
      <c r="F969" s="90">
        <f>SUM('Weekly Data'!H966:H969)/4</f>
        <v>215.5</v>
      </c>
      <c r="G969" s="90">
        <f>SUM('Weekly Data'!I966:I969)/4</f>
        <v>5117.75</v>
      </c>
      <c r="H969" s="202">
        <f>SUM('Weekly Data'!J966:J969)/4</f>
        <v>1945.0125</v>
      </c>
      <c r="J969" s="101">
        <f>AVERAGE('Weekly Data'!D917,'Weekly Data'!D865,'Weekly Data'!D813,'Weekly Data'!D761)</f>
        <v>273.75</v>
      </c>
      <c r="K969" s="16">
        <f>AVERAGE('Weekly Data'!E917,'Weekly Data'!E865,'Weekly Data'!E813,'Weekly Data'!E761)</f>
        <v>1119.5</v>
      </c>
      <c r="L969" s="16">
        <f>AVERAGE('Weekly Data'!F917,'Weekly Data'!F865,'Weekly Data'!F813,'Weekly Data'!F761)</f>
        <v>630.5</v>
      </c>
      <c r="M969" s="16">
        <f>AVERAGE('Weekly Data'!G917,'Weekly Data'!G865,'Weekly Data'!G813,'Weekly Data'!G761)</f>
        <v>3100.25</v>
      </c>
      <c r="N969" s="16">
        <f>AVERAGE('Weekly Data'!H917,'Weekly Data'!H865,'Weekly Data'!H813,'Weekly Data'!H761)</f>
        <v>216.25</v>
      </c>
      <c r="O969" s="101">
        <f>AVERAGE('Weekly Data'!I917,'Weekly Data'!I865,'Weekly Data'!I813,'Weekly Data'!I761)</f>
        <v>4709.75</v>
      </c>
      <c r="P969" s="203">
        <f>AVERAGE('Weekly Data'!J917,'Weekly Data'!J865,'Weekly Data'!J813,'Weekly Data'!J761)</f>
        <v>2185.067807460397</v>
      </c>
      <c r="R969" s="13">
        <f t="shared" si="64"/>
        <v>41073</v>
      </c>
      <c r="S969" s="106">
        <f t="shared" ref="S969:X969" si="79">AVERAGE(B917,B865,B813,B760)</f>
        <v>350.875</v>
      </c>
      <c r="T969" s="106">
        <f t="shared" si="79"/>
        <v>1296.25</v>
      </c>
      <c r="U969" s="109">
        <f t="shared" si="79"/>
        <v>825.125</v>
      </c>
      <c r="V969" s="109">
        <f t="shared" si="79"/>
        <v>3528.25</v>
      </c>
      <c r="W969" s="110">
        <f t="shared" si="79"/>
        <v>271.625</v>
      </c>
      <c r="X969" s="106">
        <f t="shared" si="79"/>
        <v>5447</v>
      </c>
      <c r="Y969" s="204">
        <f t="shared" si="67"/>
        <v>2058.5528614950526</v>
      </c>
    </row>
    <row r="970" spans="1:25" x14ac:dyDescent="0.25">
      <c r="A970" s="105">
        <f t="shared" si="57"/>
        <v>41080</v>
      </c>
      <c r="B970" s="59">
        <f>SUM('Weekly Data'!D967:D970)/4</f>
        <v>86</v>
      </c>
      <c r="C970" s="90">
        <f>SUM('Weekly Data'!E967:E970)/4</f>
        <v>1239.75</v>
      </c>
      <c r="D970" s="90">
        <f>SUM('Weekly Data'!F967:F970)/4</f>
        <v>995.25</v>
      </c>
      <c r="E970" s="90">
        <f>SUM('Weekly Data'!G967:G970)/4</f>
        <v>3252.75</v>
      </c>
      <c r="F970" s="90">
        <f>SUM('Weekly Data'!H967:H970)/4</f>
        <v>171.75</v>
      </c>
      <c r="G970" s="90">
        <f>SUM('Weekly Data'!I967:I970)/4</f>
        <v>4750.25</v>
      </c>
      <c r="H970" s="202">
        <f>SUM('Weekly Data'!J967:J970)/4</f>
        <v>1838.7625</v>
      </c>
      <c r="J970" s="101">
        <f>AVERAGE('Weekly Data'!D918,'Weekly Data'!D866,'Weekly Data'!D814,'Weekly Data'!D762)</f>
        <v>391.5</v>
      </c>
      <c r="K970" s="16">
        <f>AVERAGE('Weekly Data'!E918,'Weekly Data'!E866,'Weekly Data'!E814,'Weekly Data'!E762)</f>
        <v>1232.75</v>
      </c>
      <c r="L970" s="16">
        <f>AVERAGE('Weekly Data'!F918,'Weekly Data'!F866,'Weekly Data'!F814,'Weekly Data'!F762)</f>
        <v>833.75</v>
      </c>
      <c r="M970" s="16">
        <f>AVERAGE('Weekly Data'!G918,'Weekly Data'!G866,'Weekly Data'!G814,'Weekly Data'!G762)</f>
        <v>3789.5</v>
      </c>
      <c r="N970" s="16">
        <f>AVERAGE('Weekly Data'!H918,'Weekly Data'!H866,'Weekly Data'!H814,'Weekly Data'!H762)</f>
        <v>238</v>
      </c>
      <c r="O970" s="101">
        <f>AVERAGE('Weekly Data'!I918,'Weekly Data'!I866,'Weekly Data'!I814,'Weekly Data'!I762)</f>
        <v>5651.75</v>
      </c>
      <c r="P970" s="203">
        <f>AVERAGE('Weekly Data'!J918,'Weekly Data'!J866,'Weekly Data'!J814,'Weekly Data'!J762)</f>
        <v>1467.0984022638966</v>
      </c>
      <c r="R970" s="13">
        <f t="shared" si="64"/>
        <v>41080</v>
      </c>
      <c r="S970" s="106">
        <f t="shared" ref="S970:X970" si="80">AVERAGE(B918,B866,B814,B761)</f>
        <v>301.9375</v>
      </c>
      <c r="T970" s="106">
        <f t="shared" si="80"/>
        <v>1294.8125</v>
      </c>
      <c r="U970" s="109">
        <f t="shared" si="80"/>
        <v>832.9375</v>
      </c>
      <c r="V970" s="109">
        <f t="shared" si="80"/>
        <v>3463.75</v>
      </c>
      <c r="W970" s="110">
        <f t="shared" si="80"/>
        <v>236.5625</v>
      </c>
      <c r="X970" s="106">
        <f t="shared" si="80"/>
        <v>5297.0625</v>
      </c>
      <c r="Y970" s="204">
        <f t="shared" si="67"/>
        <v>1856.5304446971534</v>
      </c>
    </row>
    <row r="971" spans="1:25" x14ac:dyDescent="0.25">
      <c r="A971" s="105">
        <f t="shared" si="57"/>
        <v>41087</v>
      </c>
      <c r="B971" s="59">
        <f>SUM('Weekly Data'!D968:D971)/4</f>
        <v>81.25</v>
      </c>
      <c r="C971" s="90">
        <f>SUM('Weekly Data'!E968:E971)/4</f>
        <v>1105.5</v>
      </c>
      <c r="D971" s="90">
        <f>SUM('Weekly Data'!F968:F971)/4</f>
        <v>874.25</v>
      </c>
      <c r="E971" s="90">
        <f>SUM('Weekly Data'!G968:G971)/4</f>
        <v>3175</v>
      </c>
      <c r="F971" s="90">
        <f>SUM('Weekly Data'!H968:H971)/4</f>
        <v>171.25</v>
      </c>
      <c r="G971" s="90">
        <f>SUM('Weekly Data'!I968:I971)/4</f>
        <v>4533</v>
      </c>
      <c r="H971" s="202">
        <f>SUM('Weekly Data'!J968:J971)/4</f>
        <v>1681.5125</v>
      </c>
      <c r="J971" s="101">
        <f>AVERAGE('Weekly Data'!D919,'Weekly Data'!D867,'Weekly Data'!D815,'Weekly Data'!D763)</f>
        <v>516.75</v>
      </c>
      <c r="K971" s="16">
        <f>AVERAGE('Weekly Data'!E919,'Weekly Data'!E867,'Weekly Data'!E815,'Weekly Data'!E763)</f>
        <v>1189.75</v>
      </c>
      <c r="L971" s="16">
        <f>AVERAGE('Weekly Data'!F919,'Weekly Data'!F867,'Weekly Data'!F815,'Weekly Data'!F763)</f>
        <v>695.5</v>
      </c>
      <c r="M971" s="16">
        <f>AVERAGE('Weekly Data'!G919,'Weekly Data'!G867,'Weekly Data'!G815,'Weekly Data'!G763)</f>
        <v>3535.25</v>
      </c>
      <c r="N971" s="16">
        <f>AVERAGE('Weekly Data'!H919,'Weekly Data'!H867,'Weekly Data'!H815,'Weekly Data'!H763)</f>
        <v>295.5</v>
      </c>
      <c r="O971" s="101">
        <f>AVERAGE('Weekly Data'!I919,'Weekly Data'!I867,'Weekly Data'!I815,'Weekly Data'!I763)</f>
        <v>5537.25</v>
      </c>
      <c r="P971" s="203">
        <f>AVERAGE('Weekly Data'!J919,'Weekly Data'!J867,'Weekly Data'!J815,'Weekly Data'!J763)</f>
        <v>2244.3383042723358</v>
      </c>
      <c r="R971" s="13">
        <f t="shared" si="64"/>
        <v>41087</v>
      </c>
      <c r="S971" s="106">
        <f t="shared" ref="S971:X971" si="81">AVERAGE(B919,B867,B815,B762)</f>
        <v>273.375</v>
      </c>
      <c r="T971" s="106">
        <f t="shared" si="81"/>
        <v>1216.125</v>
      </c>
      <c r="U971" s="109">
        <f t="shared" si="81"/>
        <v>726.875</v>
      </c>
      <c r="V971" s="109">
        <f t="shared" si="81"/>
        <v>3514.75</v>
      </c>
      <c r="W971" s="110">
        <f t="shared" si="81"/>
        <v>216.0625</v>
      </c>
      <c r="X971" s="106">
        <f t="shared" si="81"/>
        <v>5220.3125</v>
      </c>
      <c r="Y971" s="204">
        <f t="shared" si="67"/>
        <v>1959.6407023383035</v>
      </c>
    </row>
    <row r="972" spans="1:25" x14ac:dyDescent="0.25">
      <c r="A972" s="105">
        <f t="shared" si="57"/>
        <v>41094</v>
      </c>
      <c r="B972" s="59">
        <f>SUM('Weekly Data'!D969:D972)/4</f>
        <v>55</v>
      </c>
      <c r="C972" s="90">
        <f>SUM('Weekly Data'!E969:E972)/4</f>
        <v>861.75</v>
      </c>
      <c r="D972" s="90">
        <f>SUM('Weekly Data'!F969:F972)/4</f>
        <v>784.25</v>
      </c>
      <c r="E972" s="90">
        <f>SUM('Weekly Data'!G969:G972)/4</f>
        <v>3256.25</v>
      </c>
      <c r="F972" s="90">
        <f>SUM('Weekly Data'!H969:H972)/4</f>
        <v>197</v>
      </c>
      <c r="G972" s="90">
        <f>SUM('Weekly Data'!I969:I972)/4</f>
        <v>4370</v>
      </c>
      <c r="H972" s="202">
        <f>SUM('Weekly Data'!J969:J972)/4</f>
        <v>1471.5625</v>
      </c>
      <c r="J972" s="101">
        <f>AVERAGE('Weekly Data'!D920,'Weekly Data'!D868,'Weekly Data'!D816,'Weekly Data'!D764)</f>
        <v>419</v>
      </c>
      <c r="K972" s="16">
        <f>AVERAGE('Weekly Data'!E920,'Weekly Data'!E868,'Weekly Data'!E816,'Weekly Data'!E764)</f>
        <v>1685</v>
      </c>
      <c r="L972" s="16">
        <f>AVERAGE('Weekly Data'!F920,'Weekly Data'!F868,'Weekly Data'!F816,'Weekly Data'!F764)</f>
        <v>761.25</v>
      </c>
      <c r="M972" s="16">
        <f>AVERAGE('Weekly Data'!G920,'Weekly Data'!G868,'Weekly Data'!G816,'Weekly Data'!G764)</f>
        <v>2950.75</v>
      </c>
      <c r="N972" s="16">
        <f>AVERAGE('Weekly Data'!H920,'Weekly Data'!H868,'Weekly Data'!H816,'Weekly Data'!H764)</f>
        <v>268.75</v>
      </c>
      <c r="O972" s="101">
        <f>AVERAGE('Weekly Data'!I920,'Weekly Data'!I868,'Weekly Data'!I816,'Weekly Data'!I764)</f>
        <v>5323.5</v>
      </c>
      <c r="P972" s="203">
        <f>AVERAGE('Weekly Data'!J920,'Weekly Data'!J868,'Weekly Data'!J816,'Weekly Data'!J764)</f>
        <v>1721.9346727336813</v>
      </c>
      <c r="R972" s="13">
        <f t="shared" si="64"/>
        <v>41094</v>
      </c>
      <c r="S972" s="106">
        <f t="shared" ref="S972:X972" si="82">AVERAGE(B920,B868,B816,B763)</f>
        <v>335.9375</v>
      </c>
      <c r="T972" s="106">
        <f t="shared" si="82"/>
        <v>1239.5625</v>
      </c>
      <c r="U972" s="109">
        <f t="shared" si="82"/>
        <v>711.375</v>
      </c>
      <c r="V972" s="109">
        <f t="shared" si="82"/>
        <v>3427.875</v>
      </c>
      <c r="W972" s="110">
        <f t="shared" si="82"/>
        <v>245.3125</v>
      </c>
      <c r="X972" s="106">
        <f t="shared" si="82"/>
        <v>5248.6875</v>
      </c>
      <c r="Y972" s="204">
        <f t="shared" si="67"/>
        <v>1904.6097966825776</v>
      </c>
    </row>
    <row r="973" spans="1:25" x14ac:dyDescent="0.25">
      <c r="A973" s="105">
        <f t="shared" ref="A973:A1036" si="83">A972+7</f>
        <v>41101</v>
      </c>
      <c r="B973" s="59">
        <f>SUM('Weekly Data'!D970:D973)/4</f>
        <v>27.5</v>
      </c>
      <c r="C973" s="90">
        <f>SUM('Weekly Data'!E970:E973)/4</f>
        <v>796.75</v>
      </c>
      <c r="D973" s="90">
        <f>SUM('Weekly Data'!F970:F973)/4</f>
        <v>691.5</v>
      </c>
      <c r="E973" s="90">
        <f>SUM('Weekly Data'!G970:G973)/4</f>
        <v>3156</v>
      </c>
      <c r="F973" s="90">
        <f>SUM('Weekly Data'!H970:H973)/4</f>
        <v>173.75</v>
      </c>
      <c r="G973" s="90">
        <f>SUM('Weekly Data'!I970:I973)/4</f>
        <v>4154</v>
      </c>
      <c r="H973" s="202">
        <f>SUM('Weekly Data'!J970:J973)/4</f>
        <v>1393.5749999999998</v>
      </c>
      <c r="J973" s="101">
        <f>AVERAGE('Weekly Data'!D921,'Weekly Data'!D869,'Weekly Data'!D817,'Weekly Data'!D765)</f>
        <v>463.5</v>
      </c>
      <c r="K973" s="16">
        <f>AVERAGE('Weekly Data'!E921,'Weekly Data'!E869,'Weekly Data'!E817,'Weekly Data'!E765)</f>
        <v>1642.25</v>
      </c>
      <c r="L973" s="16">
        <f>AVERAGE('Weekly Data'!F921,'Weekly Data'!F869,'Weekly Data'!F817,'Weekly Data'!F765)</f>
        <v>778.5</v>
      </c>
      <c r="M973" s="16">
        <f>AVERAGE('Weekly Data'!G921,'Weekly Data'!G869,'Weekly Data'!G817,'Weekly Data'!G765)</f>
        <v>4001.75</v>
      </c>
      <c r="N973" s="16">
        <f>AVERAGE('Weekly Data'!H921,'Weekly Data'!H869,'Weekly Data'!H817,'Weekly Data'!H765)</f>
        <v>408.5</v>
      </c>
      <c r="O973" s="101">
        <f>AVERAGE('Weekly Data'!I921,'Weekly Data'!I869,'Weekly Data'!I817,'Weekly Data'!I765)</f>
        <v>6516</v>
      </c>
      <c r="P973" s="203">
        <f>AVERAGE('Weekly Data'!J921,'Weekly Data'!J869,'Weekly Data'!J817,'Weekly Data'!J765)</f>
        <v>1410.671721539291</v>
      </c>
      <c r="R973" s="13">
        <f t="shared" si="64"/>
        <v>41101</v>
      </c>
      <c r="S973" s="106">
        <f t="shared" ref="S973:X973" si="84">AVERAGE(B921,B869,B817,B764)</f>
        <v>380.8125</v>
      </c>
      <c r="T973" s="106">
        <f t="shared" si="84"/>
        <v>1350.25</v>
      </c>
      <c r="U973" s="109">
        <f t="shared" si="84"/>
        <v>781.0625</v>
      </c>
      <c r="V973" s="109">
        <f t="shared" si="84"/>
        <v>3573.375</v>
      </c>
      <c r="W973" s="110">
        <f t="shared" si="84"/>
        <v>262.9375</v>
      </c>
      <c r="X973" s="106">
        <f t="shared" si="84"/>
        <v>5567.375</v>
      </c>
      <c r="Y973" s="204">
        <f t="shared" si="67"/>
        <v>1711.0107752023011</v>
      </c>
    </row>
    <row r="974" spans="1:25" x14ac:dyDescent="0.25">
      <c r="A974" s="105">
        <f t="shared" si="83"/>
        <v>41108</v>
      </c>
      <c r="B974" s="59">
        <f>SUM('Weekly Data'!D971:D974)/4</f>
        <v>153.5</v>
      </c>
      <c r="C974" s="90">
        <f>SUM('Weekly Data'!E971:E974)/4</f>
        <v>710</v>
      </c>
      <c r="D974" s="90">
        <f>SUM('Weekly Data'!F971:F974)/4</f>
        <v>831.25</v>
      </c>
      <c r="E974" s="90">
        <f>SUM('Weekly Data'!G971:G974)/4</f>
        <v>3065.5</v>
      </c>
      <c r="F974" s="90">
        <f>SUM('Weekly Data'!H971:H974)/4</f>
        <v>159.25</v>
      </c>
      <c r="G974" s="90">
        <f>SUM('Weekly Data'!I971:I974)/4</f>
        <v>4088.25</v>
      </c>
      <c r="H974" s="202">
        <f>SUM('Weekly Data'!J971:J974)/4</f>
        <v>1409.9375</v>
      </c>
      <c r="J974" s="101">
        <f>AVERAGE('Weekly Data'!D922,'Weekly Data'!D870,'Weekly Data'!D818,'Weekly Data'!D766)</f>
        <v>561</v>
      </c>
      <c r="K974" s="16">
        <f>AVERAGE('Weekly Data'!E922,'Weekly Data'!E870,'Weekly Data'!E818,'Weekly Data'!E766)</f>
        <v>1401.5</v>
      </c>
      <c r="L974" s="16">
        <f>AVERAGE('Weekly Data'!F922,'Weekly Data'!F870,'Weekly Data'!F818,'Weekly Data'!F766)</f>
        <v>754.5</v>
      </c>
      <c r="M974" s="16">
        <f>AVERAGE('Weekly Data'!G922,'Weekly Data'!G870,'Weekly Data'!G818,'Weekly Data'!G766)</f>
        <v>4301.25</v>
      </c>
      <c r="N974" s="16">
        <f>AVERAGE('Weekly Data'!H922,'Weekly Data'!H870,'Weekly Data'!H818,'Weekly Data'!H766)</f>
        <v>277.75</v>
      </c>
      <c r="O974" s="101">
        <f>AVERAGE('Weekly Data'!I922,'Weekly Data'!I870,'Weekly Data'!I818,'Weekly Data'!I766)</f>
        <v>6541.5</v>
      </c>
      <c r="P974" s="203">
        <f>AVERAGE('Weekly Data'!J922,'Weekly Data'!J870,'Weekly Data'!J818,'Weekly Data'!J766)</f>
        <v>1624.9959399848003</v>
      </c>
      <c r="R974" s="13">
        <f t="shared" si="64"/>
        <v>41108</v>
      </c>
      <c r="S974" s="106">
        <f t="shared" ref="S974:X974" si="85">AVERAGE(B922,B870,B818,B765)</f>
        <v>446.8125</v>
      </c>
      <c r="T974" s="106">
        <f t="shared" si="85"/>
        <v>1404.75</v>
      </c>
      <c r="U974" s="109">
        <f t="shared" si="85"/>
        <v>713.3125</v>
      </c>
      <c r="V974" s="109">
        <f t="shared" si="85"/>
        <v>3709.0625</v>
      </c>
      <c r="W974" s="110">
        <f t="shared" si="85"/>
        <v>290.1875</v>
      </c>
      <c r="X974" s="106">
        <f t="shared" si="85"/>
        <v>5850.8125</v>
      </c>
      <c r="Y974" s="204">
        <f t="shared" si="67"/>
        <v>1750.485159632527</v>
      </c>
    </row>
    <row r="975" spans="1:25" x14ac:dyDescent="0.25">
      <c r="A975" s="105">
        <f t="shared" si="83"/>
        <v>41115</v>
      </c>
      <c r="B975" s="59">
        <f>SUM('Weekly Data'!D972:D975)/4</f>
        <v>223.5</v>
      </c>
      <c r="C975" s="90">
        <f>SUM('Weekly Data'!E972:E975)/4</f>
        <v>668</v>
      </c>
      <c r="D975" s="90">
        <f>SUM('Weekly Data'!F972:F975)/4</f>
        <v>806.25</v>
      </c>
      <c r="E975" s="90">
        <f>SUM('Weekly Data'!G972:G975)/4</f>
        <v>3061.25</v>
      </c>
      <c r="F975" s="90">
        <f>SUM('Weekly Data'!H972:H975)/4</f>
        <v>167</v>
      </c>
      <c r="G975" s="90">
        <f>SUM('Weekly Data'!I972:I975)/4</f>
        <v>4119.75</v>
      </c>
      <c r="H975" s="202">
        <f>SUM('Weekly Data'!J972:J975)/4</f>
        <v>1386.9875</v>
      </c>
      <c r="J975" s="101">
        <f>AVERAGE('Weekly Data'!D923,'Weekly Data'!D871,'Weekly Data'!D819,'Weekly Data'!D767)</f>
        <v>511.75</v>
      </c>
      <c r="K975" s="16">
        <f>AVERAGE('Weekly Data'!E923,'Weekly Data'!E871,'Weekly Data'!E819,'Weekly Data'!E767)</f>
        <v>1520.25</v>
      </c>
      <c r="L975" s="16">
        <f>AVERAGE('Weekly Data'!F923,'Weekly Data'!F871,'Weekly Data'!F819,'Weekly Data'!F767)</f>
        <v>841</v>
      </c>
      <c r="M975" s="16">
        <f>AVERAGE('Weekly Data'!G923,'Weekly Data'!G871,'Weekly Data'!G819,'Weekly Data'!G767)</f>
        <v>4032.25</v>
      </c>
      <c r="N975" s="16">
        <f>AVERAGE('Weekly Data'!H923,'Weekly Data'!H871,'Weekly Data'!H819,'Weekly Data'!H767)</f>
        <v>133.75</v>
      </c>
      <c r="O975" s="101">
        <f>AVERAGE('Weekly Data'!I923,'Weekly Data'!I871,'Weekly Data'!I819,'Weekly Data'!I767)</f>
        <v>6198</v>
      </c>
      <c r="P975" s="203">
        <f>AVERAGE('Weekly Data'!J923,'Weekly Data'!J871,'Weekly Data'!J819,'Weekly Data'!J767)</f>
        <v>1561.0078156984625</v>
      </c>
      <c r="R975" s="13">
        <f t="shared" si="64"/>
        <v>41115</v>
      </c>
      <c r="S975" s="106">
        <f t="shared" ref="S975:X975" si="86">AVERAGE(B923,B871,B819,B766)</f>
        <v>521.625</v>
      </c>
      <c r="T975" s="106">
        <f t="shared" si="86"/>
        <v>1536.8125</v>
      </c>
      <c r="U975" s="109">
        <f t="shared" si="86"/>
        <v>810.4375</v>
      </c>
      <c r="V975" s="109">
        <f t="shared" si="86"/>
        <v>3795.375</v>
      </c>
      <c r="W975" s="110">
        <f t="shared" si="86"/>
        <v>296.875</v>
      </c>
      <c r="X975" s="106">
        <f t="shared" si="86"/>
        <v>6150.6875</v>
      </c>
      <c r="Y975" s="204">
        <f t="shared" si="67"/>
        <v>1579.6525374890589</v>
      </c>
    </row>
    <row r="976" spans="1:25" x14ac:dyDescent="0.25">
      <c r="A976" s="105">
        <f t="shared" si="83"/>
        <v>41122</v>
      </c>
      <c r="B976" s="59">
        <f>SUM('Weekly Data'!D973:D976)/4</f>
        <v>294.25</v>
      </c>
      <c r="C976" s="90">
        <f>SUM('Weekly Data'!E973:E976)/4</f>
        <v>613</v>
      </c>
      <c r="D976" s="90">
        <f>SUM('Weekly Data'!F973:F976)/4</f>
        <v>866</v>
      </c>
      <c r="E976" s="90">
        <f>SUM('Weekly Data'!G973:G976)/4</f>
        <v>2856</v>
      </c>
      <c r="F976" s="90">
        <f>SUM('Weekly Data'!H973:H976)/4</f>
        <v>142.25</v>
      </c>
      <c r="G976" s="90">
        <f>SUM('Weekly Data'!I973:I976)/4</f>
        <v>3905.5</v>
      </c>
      <c r="H976" s="202">
        <f>SUM('Weekly Data'!J973:J976)/4</f>
        <v>1291.5749999999998</v>
      </c>
      <c r="J976" s="101">
        <f>AVERAGE('Weekly Data'!D924,'Weekly Data'!D872,'Weekly Data'!D820,'Weekly Data'!D768)</f>
        <v>340.75</v>
      </c>
      <c r="K976" s="16">
        <f>AVERAGE('Weekly Data'!E924,'Weekly Data'!E872,'Weekly Data'!E820,'Weekly Data'!E768)</f>
        <v>1484.5</v>
      </c>
      <c r="L976" s="16">
        <f>AVERAGE('Weekly Data'!F924,'Weekly Data'!F872,'Weekly Data'!F820,'Weekly Data'!F768)</f>
        <v>694.25</v>
      </c>
      <c r="M976" s="16">
        <f>AVERAGE('Weekly Data'!G924,'Weekly Data'!G872,'Weekly Data'!G820,'Weekly Data'!G768)</f>
        <v>3305</v>
      </c>
      <c r="N976" s="16">
        <f>AVERAGE('Weekly Data'!H924,'Weekly Data'!H872,'Weekly Data'!H820,'Weekly Data'!H768)</f>
        <v>167.25</v>
      </c>
      <c r="O976" s="101">
        <f>AVERAGE('Weekly Data'!I924,'Weekly Data'!I872,'Weekly Data'!I820,'Weekly Data'!I768)</f>
        <v>5297.5</v>
      </c>
      <c r="P976" s="203">
        <f>AVERAGE('Weekly Data'!J924,'Weekly Data'!J872,'Weekly Data'!J820,'Weekly Data'!J768)</f>
        <v>1917.187490932826</v>
      </c>
      <c r="R976" s="13">
        <f t="shared" si="64"/>
        <v>41122</v>
      </c>
      <c r="S976" s="106">
        <f t="shared" ref="S976:X977" si="87">AVERAGE(B924,B872,B820,B767)</f>
        <v>496</v>
      </c>
      <c r="T976" s="106">
        <f t="shared" si="87"/>
        <v>1560.6875</v>
      </c>
      <c r="U976" s="109">
        <f t="shared" si="87"/>
        <v>736.5625</v>
      </c>
      <c r="V976" s="109">
        <f t="shared" si="87"/>
        <v>3964.625</v>
      </c>
      <c r="W976" s="110">
        <f t="shared" si="87"/>
        <v>258.75</v>
      </c>
      <c r="X976" s="106">
        <f t="shared" si="87"/>
        <v>6280.0625</v>
      </c>
      <c r="Y976" s="204">
        <f t="shared" si="67"/>
        <v>1628.4657420388448</v>
      </c>
    </row>
    <row r="977" spans="1:25" x14ac:dyDescent="0.25">
      <c r="A977" s="105">
        <f t="shared" si="83"/>
        <v>41129</v>
      </c>
      <c r="B977" s="59">
        <f>SUM('Weekly Data'!D974:D977)/4</f>
        <v>492</v>
      </c>
      <c r="C977" s="90">
        <f>SUM('Weekly Data'!E974:E977)/4</f>
        <v>640.25</v>
      </c>
      <c r="D977" s="90">
        <f>SUM('Weekly Data'!F974:F977)/4</f>
        <v>826.5</v>
      </c>
      <c r="E977" s="90">
        <f>SUM('Weekly Data'!G974:G977)/4</f>
        <v>3033</v>
      </c>
      <c r="F977" s="90">
        <f>SUM('Weekly Data'!H974:H977)/4</f>
        <v>122.75</v>
      </c>
      <c r="G977" s="90">
        <f>SUM('Weekly Data'!I974:I977)/4</f>
        <v>4288</v>
      </c>
      <c r="H977" s="202">
        <f>SUM('Weekly Data'!J974:J977)/4</f>
        <v>1389.3249999999998</v>
      </c>
      <c r="J977" s="101">
        <f>AVERAGE('Weekly Data'!D925,'Weekly Data'!D873,'Weekly Data'!D821,'Weekly Data'!D769)</f>
        <v>501.5</v>
      </c>
      <c r="K977" s="16">
        <f>AVERAGE('Weekly Data'!E925,'Weekly Data'!E873,'Weekly Data'!E821,'Weekly Data'!E769)</f>
        <v>1597.5</v>
      </c>
      <c r="L977" s="16">
        <f>AVERAGE('Weekly Data'!F925,'Weekly Data'!F873,'Weekly Data'!F821,'Weekly Data'!F769)</f>
        <v>827</v>
      </c>
      <c r="M977" s="16">
        <f>AVERAGE('Weekly Data'!G925,'Weekly Data'!G873,'Weekly Data'!G821,'Weekly Data'!G769)</f>
        <v>3294.25</v>
      </c>
      <c r="N977" s="16">
        <f>AVERAGE('Weekly Data'!H925,'Weekly Data'!H873,'Weekly Data'!H821,'Weekly Data'!H769)</f>
        <v>172.5</v>
      </c>
      <c r="O977" s="101">
        <f>AVERAGE('Weekly Data'!I925,'Weekly Data'!I873,'Weekly Data'!I821,'Weekly Data'!I769)</f>
        <v>5565.75</v>
      </c>
      <c r="P977" s="203">
        <f>AVERAGE('Weekly Data'!J925,'Weekly Data'!J873,'Weekly Data'!J821,'Weekly Data'!J769)</f>
        <v>1304.6951035185978</v>
      </c>
      <c r="R977" s="13">
        <f t="shared" si="64"/>
        <v>41129</v>
      </c>
      <c r="S977" s="106">
        <f t="shared" si="87"/>
        <v>496.6875</v>
      </c>
      <c r="T977" s="106">
        <f t="shared" si="87"/>
        <v>1470.6875</v>
      </c>
      <c r="U977" s="109">
        <f t="shared" si="87"/>
        <v>764.125</v>
      </c>
      <c r="V977" s="109">
        <f t="shared" si="87"/>
        <v>3830</v>
      </c>
      <c r="W977" s="110">
        <f t="shared" si="87"/>
        <v>225.5</v>
      </c>
      <c r="X977" s="106">
        <f t="shared" si="87"/>
        <v>6022.875</v>
      </c>
      <c r="Y977" s="204">
        <f t="shared" si="67"/>
        <v>1601.9715875336717</v>
      </c>
    </row>
    <row r="978" spans="1:25" x14ac:dyDescent="0.25">
      <c r="A978" s="105">
        <f t="shared" si="83"/>
        <v>41136</v>
      </c>
      <c r="B978" s="59">
        <f>SUM('Weekly Data'!D975:D978)/4</f>
        <v>430.25</v>
      </c>
      <c r="C978" s="90">
        <f>SUM('Weekly Data'!E975:E978)/4</f>
        <v>694</v>
      </c>
      <c r="D978" s="90">
        <f>SUM('Weekly Data'!F975:F978)/4</f>
        <v>692</v>
      </c>
      <c r="E978" s="90">
        <f>SUM('Weekly Data'!G975:G978)/4</f>
        <v>3434.25</v>
      </c>
      <c r="F978" s="90">
        <f>SUM('Weekly Data'!H975:H978)/4</f>
        <v>121.5</v>
      </c>
      <c r="G978" s="90">
        <f>SUM('Weekly Data'!I975:I978)/4</f>
        <v>4680</v>
      </c>
      <c r="H978" s="202">
        <f>SUM('Weekly Data'!J975:J978)/4</f>
        <v>1484.7375</v>
      </c>
      <c r="J978" s="101">
        <f>AVERAGE('Weekly Data'!D926,'Weekly Data'!D874,'Weekly Data'!D822,'Weekly Data'!D770)</f>
        <v>388.25</v>
      </c>
      <c r="K978" s="16">
        <f>AVERAGE('Weekly Data'!E926,'Weekly Data'!E874,'Weekly Data'!E822,'Weekly Data'!E770)</f>
        <v>1768.75</v>
      </c>
      <c r="L978" s="16">
        <f>AVERAGE('Weekly Data'!F926,'Weekly Data'!F874,'Weekly Data'!F822,'Weekly Data'!F770)</f>
        <v>717.5</v>
      </c>
      <c r="M978" s="16">
        <f>AVERAGE('Weekly Data'!G926,'Weekly Data'!G874,'Weekly Data'!G822,'Weekly Data'!G770)</f>
        <v>2519.75</v>
      </c>
      <c r="N978" s="16">
        <f>AVERAGE('Weekly Data'!H926,'Weekly Data'!H874,'Weekly Data'!H822,'Weekly Data'!H770)</f>
        <v>162.5</v>
      </c>
      <c r="O978" s="101">
        <f>AVERAGE('Weekly Data'!I926,'Weekly Data'!I874,'Weekly Data'!I822,'Weekly Data'!I770)</f>
        <v>4839.25</v>
      </c>
      <c r="P978" s="203">
        <f>AVERAGE('Weekly Data'!J926,'Weekly Data'!J874,'Weekly Data'!J822,'Weekly Data'!J770)</f>
        <v>1369.4917981353813</v>
      </c>
      <c r="R978" s="13">
        <f t="shared" si="64"/>
        <v>41136</v>
      </c>
      <c r="S978" s="106">
        <f t="shared" ref="S978:X978" si="88">AVERAGE(B926,B874,B822,B769)</f>
        <v>478.75</v>
      </c>
      <c r="T978" s="106">
        <f t="shared" si="88"/>
        <v>1616.5625</v>
      </c>
      <c r="U978" s="109">
        <f t="shared" si="88"/>
        <v>772</v>
      </c>
      <c r="V978" s="109">
        <f t="shared" si="88"/>
        <v>3497.75</v>
      </c>
      <c r="W978" s="110">
        <f t="shared" si="88"/>
        <v>181.9375</v>
      </c>
      <c r="X978" s="106">
        <f t="shared" si="88"/>
        <v>5775</v>
      </c>
      <c r="Y978" s="204">
        <f t="shared" si="67"/>
        <v>1538.0955520713167</v>
      </c>
    </row>
    <row r="979" spans="1:25" x14ac:dyDescent="0.25">
      <c r="A979" s="105">
        <f t="shared" si="83"/>
        <v>41143</v>
      </c>
      <c r="B979" s="59">
        <f>SUM('Weekly Data'!D976:D979)/4</f>
        <v>517.5</v>
      </c>
      <c r="C979" s="90">
        <f>SUM('Weekly Data'!E976:E979)/4</f>
        <v>593.75</v>
      </c>
      <c r="D979" s="90">
        <f>SUM('Weekly Data'!F976:F979)/4</f>
        <v>666</v>
      </c>
      <c r="E979" s="90">
        <f>SUM('Weekly Data'!G976:G979)/4</f>
        <v>3665</v>
      </c>
      <c r="F979" s="90">
        <f>SUM('Weekly Data'!H976:H979)/4</f>
        <v>128.25</v>
      </c>
      <c r="G979" s="90">
        <f>SUM('Weekly Data'!I976:I979)/4</f>
        <v>4904.5</v>
      </c>
      <c r="H979" s="202">
        <f>SUM('Weekly Data'!J976:J979)/4</f>
        <v>1548.6999999999998</v>
      </c>
      <c r="J979" s="101">
        <f>AVERAGE('Weekly Data'!D927,'Weekly Data'!D875,'Weekly Data'!D823,'Weekly Data'!D771)</f>
        <v>526.5</v>
      </c>
      <c r="K979" s="16">
        <f>AVERAGE('Weekly Data'!E927,'Weekly Data'!E875,'Weekly Data'!E823,'Weekly Data'!E771)</f>
        <v>1505</v>
      </c>
      <c r="L979" s="16">
        <f>AVERAGE('Weekly Data'!F927,'Weekly Data'!F875,'Weekly Data'!F823,'Weekly Data'!F771)</f>
        <v>686.25</v>
      </c>
      <c r="M979" s="16">
        <f>AVERAGE('Weekly Data'!G927,'Weekly Data'!G875,'Weekly Data'!G823,'Weekly Data'!G771)</f>
        <v>3306.25</v>
      </c>
      <c r="N979" s="16">
        <f>AVERAGE('Weekly Data'!H927,'Weekly Data'!H875,'Weekly Data'!H823,'Weekly Data'!H771)</f>
        <v>189</v>
      </c>
      <c r="O979" s="101">
        <f>AVERAGE('Weekly Data'!I927,'Weekly Data'!I875,'Weekly Data'!I823,'Weekly Data'!I771)</f>
        <v>5526.75</v>
      </c>
      <c r="P979" s="203">
        <f>AVERAGE('Weekly Data'!J927,'Weekly Data'!J875,'Weekly Data'!J823,'Weekly Data'!J771)</f>
        <v>1635.5903688749897</v>
      </c>
      <c r="R979" s="13">
        <f t="shared" si="64"/>
        <v>41143</v>
      </c>
      <c r="S979" s="106">
        <f t="shared" ref="S979:X979" si="89">AVERAGE(B927,B875,B823,B770)</f>
        <v>440.9375</v>
      </c>
      <c r="T979" s="106">
        <f t="shared" si="89"/>
        <v>1604.875</v>
      </c>
      <c r="U979" s="109">
        <f t="shared" si="89"/>
        <v>707.9375</v>
      </c>
      <c r="V979" s="109">
        <f t="shared" si="89"/>
        <v>3180.5</v>
      </c>
      <c r="W979" s="110">
        <f t="shared" si="89"/>
        <v>168.375</v>
      </c>
      <c r="X979" s="106">
        <f t="shared" si="89"/>
        <v>5394.6875</v>
      </c>
      <c r="Y979" s="204">
        <f t="shared" si="67"/>
        <v>1556.741190365449</v>
      </c>
    </row>
    <row r="980" spans="1:25" x14ac:dyDescent="0.25">
      <c r="A980" s="105">
        <f t="shared" si="83"/>
        <v>41150</v>
      </c>
      <c r="B980" s="59">
        <f>SUM('Weekly Data'!D977:D980)/4</f>
        <v>419.5</v>
      </c>
      <c r="C980" s="90">
        <f>SUM('Weekly Data'!E977:E980)/4</f>
        <v>770</v>
      </c>
      <c r="D980" s="90">
        <f>SUM('Weekly Data'!F977:F980)/4</f>
        <v>568</v>
      </c>
      <c r="E980" s="90">
        <f>SUM('Weekly Data'!G977:G980)/4</f>
        <v>3868.25</v>
      </c>
      <c r="F980" s="90">
        <f>SUM('Weekly Data'!H977:H980)/4</f>
        <v>110.75</v>
      </c>
      <c r="G980" s="90">
        <f>SUM('Weekly Data'!I977:I980)/4</f>
        <v>5168.5</v>
      </c>
      <c r="H980" s="202">
        <f>SUM('Weekly Data'!J977:J980)/4</f>
        <v>1577.3875</v>
      </c>
      <c r="J980" s="101">
        <f>AVERAGE('Weekly Data'!D928,'Weekly Data'!D876,'Weekly Data'!D824,'Weekly Data'!D772)</f>
        <v>553</v>
      </c>
      <c r="K980" s="16">
        <f>AVERAGE('Weekly Data'!E928,'Weekly Data'!E876,'Weekly Data'!E824,'Weekly Data'!E772)</f>
        <v>1270.25</v>
      </c>
      <c r="L980" s="16">
        <f>AVERAGE('Weekly Data'!F928,'Weekly Data'!F876,'Weekly Data'!F824,'Weekly Data'!F772)</f>
        <v>487.5</v>
      </c>
      <c r="M980" s="16">
        <f>AVERAGE('Weekly Data'!G928,'Weekly Data'!G876,'Weekly Data'!G824,'Weekly Data'!G772)</f>
        <v>3126.25</v>
      </c>
      <c r="N980" s="16">
        <f>AVERAGE('Weekly Data'!H928,'Weekly Data'!H876,'Weekly Data'!H824,'Weekly Data'!H772)</f>
        <v>179.5</v>
      </c>
      <c r="O980" s="101">
        <f>AVERAGE('Weekly Data'!I928,'Weekly Data'!I876,'Weekly Data'!I824,'Weekly Data'!I772)</f>
        <v>5129</v>
      </c>
      <c r="P980" s="203">
        <f>AVERAGE('Weekly Data'!J928,'Weekly Data'!J876,'Weekly Data'!J824,'Weekly Data'!J772)</f>
        <v>1516.3682085735099</v>
      </c>
      <c r="R980" s="13">
        <f t="shared" si="64"/>
        <v>41150</v>
      </c>
      <c r="S980" s="106">
        <f t="shared" ref="S980:X981" si="90">AVERAGE(B928,B876,B824,B771)</f>
        <v>467.8125</v>
      </c>
      <c r="T980" s="106">
        <f t="shared" si="90"/>
        <v>1608.3125</v>
      </c>
      <c r="U980" s="109">
        <f t="shared" si="90"/>
        <v>709.5625</v>
      </c>
      <c r="V980" s="109">
        <f t="shared" si="90"/>
        <v>3036.6875</v>
      </c>
      <c r="W980" s="110">
        <f t="shared" si="90"/>
        <v>165.3125</v>
      </c>
      <c r="X980" s="106">
        <f t="shared" si="90"/>
        <v>5278.125</v>
      </c>
      <c r="Y980" s="204">
        <f t="shared" si="67"/>
        <v>1456.53636977562</v>
      </c>
    </row>
    <row r="981" spans="1:25" x14ac:dyDescent="0.25">
      <c r="A981" s="105">
        <f t="shared" si="83"/>
        <v>41157</v>
      </c>
      <c r="B981" s="59">
        <f>SUM('Weekly Data'!D978:D981)/4</f>
        <v>240.25</v>
      </c>
      <c r="C981" s="90">
        <f>SUM('Weekly Data'!E978:E981)/4</f>
        <v>776.5</v>
      </c>
      <c r="D981" s="90">
        <f>SUM('Weekly Data'!F978:F981)/4</f>
        <v>514.25</v>
      </c>
      <c r="E981" s="90">
        <f>SUM('Weekly Data'!G978:G981)/4</f>
        <v>3580.75</v>
      </c>
      <c r="F981" s="90">
        <f>SUM('Weekly Data'!H978:H981)/4</f>
        <v>121.5</v>
      </c>
      <c r="G981" s="90">
        <f>SUM('Weekly Data'!I978:I981)/4</f>
        <v>4719</v>
      </c>
      <c r="H981" s="202">
        <f>SUM('Weekly Data'!J978:J981)/4</f>
        <v>1497.4875</v>
      </c>
      <c r="J981" s="101">
        <f>AVERAGE('Weekly Data'!D929,'Weekly Data'!D877,'Weekly Data'!D825,'Weekly Data'!D773)</f>
        <v>443.25</v>
      </c>
      <c r="K981" s="16">
        <f>AVERAGE('Weekly Data'!E929,'Weekly Data'!E877,'Weekly Data'!E825,'Weekly Data'!E773)</f>
        <v>1542.75</v>
      </c>
      <c r="L981" s="16">
        <f>AVERAGE('Weekly Data'!F929,'Weekly Data'!F877,'Weekly Data'!F825,'Weekly Data'!F773)</f>
        <v>530.75</v>
      </c>
      <c r="M981" s="16">
        <f>AVERAGE('Weekly Data'!G929,'Weekly Data'!G877,'Weekly Data'!G825,'Weekly Data'!G773)</f>
        <v>3414.25</v>
      </c>
      <c r="N981" s="16">
        <f>AVERAGE('Weekly Data'!H929,'Weekly Data'!H877,'Weekly Data'!H825,'Weekly Data'!H773)</f>
        <v>264.5</v>
      </c>
      <c r="O981" s="101">
        <f>AVERAGE('Weekly Data'!I929,'Weekly Data'!I877,'Weekly Data'!I825,'Weekly Data'!I773)</f>
        <v>5664.75</v>
      </c>
      <c r="P981" s="203">
        <f>AVERAGE('Weekly Data'!J929,'Weekly Data'!J877,'Weekly Data'!J825,'Weekly Data'!J773)</f>
        <v>1589.0491235740453</v>
      </c>
      <c r="R981" s="13">
        <f t="shared" si="64"/>
        <v>41157</v>
      </c>
      <c r="S981" s="106">
        <f t="shared" si="90"/>
        <v>526.9375</v>
      </c>
      <c r="T981" s="106">
        <f t="shared" si="90"/>
        <v>1631.625</v>
      </c>
      <c r="U981" s="109">
        <f t="shared" si="90"/>
        <v>621.5625</v>
      </c>
      <c r="V981" s="109">
        <f t="shared" si="90"/>
        <v>2978.5</v>
      </c>
      <c r="W981" s="110">
        <f t="shared" si="90"/>
        <v>177.875</v>
      </c>
      <c r="X981" s="106">
        <f t="shared" si="90"/>
        <v>5314.9375</v>
      </c>
      <c r="Y981" s="204">
        <f t="shared" si="67"/>
        <v>1527.6248747894817</v>
      </c>
    </row>
    <row r="982" spans="1:25" x14ac:dyDescent="0.25">
      <c r="A982" s="105">
        <f t="shared" si="83"/>
        <v>41164</v>
      </c>
      <c r="B982" s="59">
        <f>SUM('Weekly Data'!D979:D982)/4</f>
        <v>188.5</v>
      </c>
      <c r="C982" s="90">
        <f>SUM('Weekly Data'!E979:E982)/4</f>
        <v>944</v>
      </c>
      <c r="D982" s="90">
        <f>SUM('Weekly Data'!F979:F982)/4</f>
        <v>553.25</v>
      </c>
      <c r="E982" s="90">
        <f>SUM('Weekly Data'!G979:G982)/4</f>
        <v>3146</v>
      </c>
      <c r="F982" s="90">
        <f>SUM('Weekly Data'!H979:H982)/4</f>
        <v>129.25</v>
      </c>
      <c r="G982" s="90">
        <f>SUM('Weekly Data'!I979:I982)/4</f>
        <v>4407.75</v>
      </c>
      <c r="H982" s="202">
        <f>SUM('Weekly Data'!J979:J982)/4</f>
        <v>1291.9999999999998</v>
      </c>
      <c r="J982" s="101">
        <f>AVERAGE('Weekly Data'!D930,'Weekly Data'!D878,'Weekly Data'!D826,'Weekly Data'!D774)</f>
        <v>516.25</v>
      </c>
      <c r="K982" s="16">
        <f>AVERAGE('Weekly Data'!E930,'Weekly Data'!E878,'Weekly Data'!E826,'Weekly Data'!E774)</f>
        <v>1510</v>
      </c>
      <c r="L982" s="16">
        <f>AVERAGE('Weekly Data'!F930,'Weekly Data'!F878,'Weekly Data'!F826,'Weekly Data'!F774)</f>
        <v>727</v>
      </c>
      <c r="M982" s="16">
        <f>AVERAGE('Weekly Data'!G930,'Weekly Data'!G878,'Weekly Data'!G826,'Weekly Data'!G774)</f>
        <v>2869.75</v>
      </c>
      <c r="N982" s="16">
        <f>AVERAGE('Weekly Data'!H930,'Weekly Data'!H878,'Weekly Data'!H826,'Weekly Data'!H774)</f>
        <v>207</v>
      </c>
      <c r="O982" s="101">
        <f>AVERAGE('Weekly Data'!I930,'Weekly Data'!I878,'Weekly Data'!I826,'Weekly Data'!I774)</f>
        <v>5103</v>
      </c>
      <c r="P982" s="203">
        <f>AVERAGE('Weekly Data'!J930,'Weekly Data'!J878,'Weekly Data'!J826,'Weekly Data'!J774)</f>
        <v>1275.8018489331635</v>
      </c>
      <c r="R982" s="13">
        <f t="shared" si="64"/>
        <v>41164</v>
      </c>
      <c r="S982" s="106">
        <f t="shared" ref="S982:X982" si="91">AVERAGE(B930,B878,B826,B773)</f>
        <v>519.6875</v>
      </c>
      <c r="T982" s="106">
        <f t="shared" si="91"/>
        <v>1606.25</v>
      </c>
      <c r="U982" s="109">
        <f t="shared" si="91"/>
        <v>633.625</v>
      </c>
      <c r="V982" s="109">
        <f t="shared" si="91"/>
        <v>3024.75</v>
      </c>
      <c r="W982" s="110">
        <f t="shared" si="91"/>
        <v>201.1875</v>
      </c>
      <c r="X982" s="106">
        <f t="shared" si="91"/>
        <v>5351.875</v>
      </c>
      <c r="Y982" s="204">
        <f t="shared" si="67"/>
        <v>1504.2023874889271</v>
      </c>
    </row>
    <row r="983" spans="1:25" x14ac:dyDescent="0.25">
      <c r="A983" s="105">
        <f t="shared" si="83"/>
        <v>41171</v>
      </c>
      <c r="B983" s="59">
        <f>SUM('Weekly Data'!D980:D983)/4</f>
        <v>114.5</v>
      </c>
      <c r="C983" s="90">
        <f>SUM('Weekly Data'!E980:E983)/4</f>
        <v>1131.5</v>
      </c>
      <c r="D983" s="90">
        <f>SUM('Weekly Data'!F980:F983)/4</f>
        <v>578.75</v>
      </c>
      <c r="E983" s="90">
        <f>SUM('Weekly Data'!G980:G983)/4</f>
        <v>2804</v>
      </c>
      <c r="F983" s="90">
        <f>SUM('Weekly Data'!H980:H983)/4</f>
        <v>126.25</v>
      </c>
      <c r="G983" s="90">
        <f>SUM('Weekly Data'!I980:I983)/4</f>
        <v>4176.25</v>
      </c>
      <c r="H983" s="202">
        <f>SUM('Weekly Data'!J980:J983)/4</f>
        <v>1224.2125000000001</v>
      </c>
      <c r="J983" s="101">
        <f>AVERAGE('Weekly Data'!D931,'Weekly Data'!D879,'Weekly Data'!D827,'Weekly Data'!D775)</f>
        <v>698.25</v>
      </c>
      <c r="K983" s="16">
        <f>AVERAGE('Weekly Data'!E931,'Weekly Data'!E879,'Weekly Data'!E827,'Weekly Data'!E775)</f>
        <v>1578.75</v>
      </c>
      <c r="L983" s="16">
        <f>AVERAGE('Weekly Data'!F931,'Weekly Data'!F879,'Weekly Data'!F827,'Weekly Data'!F775)</f>
        <v>781.25</v>
      </c>
      <c r="M983" s="16">
        <f>AVERAGE('Weekly Data'!G931,'Weekly Data'!G879,'Weekly Data'!G827,'Weekly Data'!G775)</f>
        <v>2718.25</v>
      </c>
      <c r="N983" s="16">
        <f>AVERAGE('Weekly Data'!H931,'Weekly Data'!H879,'Weekly Data'!H827,'Weekly Data'!H775)</f>
        <v>309.5</v>
      </c>
      <c r="O983" s="101">
        <f>AVERAGE('Weekly Data'!I931,'Weekly Data'!I879,'Weekly Data'!I827,'Weekly Data'!I775)</f>
        <v>5304.75</v>
      </c>
      <c r="P983" s="203">
        <f>AVERAGE('Weekly Data'!J931,'Weekly Data'!J879,'Weekly Data'!J827,'Weekly Data'!J775)</f>
        <v>1648.782661611838</v>
      </c>
      <c r="R983" s="13">
        <f t="shared" si="64"/>
        <v>41171</v>
      </c>
      <c r="S983" s="106">
        <f t="shared" ref="S983:X983" si="92">AVERAGE(B931,B879,B827,B774)</f>
        <v>545.8125</v>
      </c>
      <c r="T983" s="106">
        <f t="shared" si="92"/>
        <v>1539.125</v>
      </c>
      <c r="U983" s="109">
        <f t="shared" si="92"/>
        <v>597.8125</v>
      </c>
      <c r="V983" s="109">
        <f t="shared" si="92"/>
        <v>2999.25</v>
      </c>
      <c r="W983" s="110">
        <f t="shared" si="92"/>
        <v>220</v>
      </c>
      <c r="X983" s="106">
        <f t="shared" si="92"/>
        <v>5304.1875</v>
      </c>
      <c r="Y983" s="204">
        <f t="shared" si="67"/>
        <v>1507.5004606731391</v>
      </c>
    </row>
    <row r="984" spans="1:25" x14ac:dyDescent="0.25">
      <c r="A984" s="105">
        <f t="shared" si="83"/>
        <v>41178</v>
      </c>
      <c r="B984" s="59">
        <f>SUM('Weekly Data'!D981:D984)/4</f>
        <v>240.75</v>
      </c>
      <c r="C984" s="90">
        <f>SUM('Weekly Data'!E981:E984)/4</f>
        <v>1243.75</v>
      </c>
      <c r="D984" s="90">
        <f>SUM('Weekly Data'!F981:F984)/4</f>
        <v>532.25</v>
      </c>
      <c r="E984" s="90">
        <f>SUM('Weekly Data'!G981:G984)/4</f>
        <v>3043.25</v>
      </c>
      <c r="F984" s="90">
        <f>SUM('Weekly Data'!H981:H984)/4</f>
        <v>181.75</v>
      </c>
      <c r="G984" s="90">
        <f>SUM('Weekly Data'!I981:I984)/4</f>
        <v>4709.5</v>
      </c>
      <c r="H984" s="202">
        <f>SUM('Weekly Data'!J981:J984)/4</f>
        <v>1370.8374999999999</v>
      </c>
      <c r="J984" s="101">
        <f>AVERAGE('Weekly Data'!D932,'Weekly Data'!D880,'Weekly Data'!D828,'Weekly Data'!D776)</f>
        <v>755.25</v>
      </c>
      <c r="K984" s="16">
        <f>AVERAGE('Weekly Data'!E932,'Weekly Data'!E880,'Weekly Data'!E828,'Weekly Data'!E776)</f>
        <v>1531.5</v>
      </c>
      <c r="L984" s="16">
        <f>AVERAGE('Weekly Data'!F932,'Weekly Data'!F880,'Weekly Data'!F828,'Weekly Data'!F776)</f>
        <v>675.75</v>
      </c>
      <c r="M984" s="16">
        <f>AVERAGE('Weekly Data'!G932,'Weekly Data'!G880,'Weekly Data'!G828,'Weekly Data'!G776)</f>
        <v>2707.25</v>
      </c>
      <c r="N984" s="16">
        <f>AVERAGE('Weekly Data'!H932,'Weekly Data'!H880,'Weekly Data'!H828,'Weekly Data'!H776)</f>
        <v>373.75</v>
      </c>
      <c r="O984" s="101">
        <f>AVERAGE('Weekly Data'!I932,'Weekly Data'!I880,'Weekly Data'!I828,'Weekly Data'!I776)</f>
        <v>5367.75</v>
      </c>
      <c r="P984" s="203">
        <f>AVERAGE('Weekly Data'!J932,'Weekly Data'!J880,'Weekly Data'!J828,'Weekly Data'!J776)</f>
        <v>1188.3609920815231</v>
      </c>
      <c r="R984" s="13">
        <f t="shared" si="64"/>
        <v>41178</v>
      </c>
      <c r="S984" s="106">
        <f t="shared" ref="S984:X987" si="93">AVERAGE(B932,B880,B828,B775)</f>
        <v>617.625</v>
      </c>
      <c r="T984" s="106">
        <f t="shared" si="93"/>
        <v>1490.5625</v>
      </c>
      <c r="U984" s="109">
        <f t="shared" si="93"/>
        <v>674.125</v>
      </c>
      <c r="V984" s="109">
        <f t="shared" si="93"/>
        <v>2899.125</v>
      </c>
      <c r="W984" s="110">
        <f t="shared" si="93"/>
        <v>293.75</v>
      </c>
      <c r="X984" s="106">
        <f t="shared" si="93"/>
        <v>5301.0625</v>
      </c>
      <c r="Y984" s="204">
        <f t="shared" si="67"/>
        <v>1425.4986565501424</v>
      </c>
    </row>
    <row r="985" spans="1:25" x14ac:dyDescent="0.25">
      <c r="A985" s="105">
        <f t="shared" si="83"/>
        <v>41185</v>
      </c>
      <c r="B985" s="59">
        <f>SUM('Weekly Data'!D982:D985)/4</f>
        <v>526.75</v>
      </c>
      <c r="C985" s="90">
        <f>SUM('Weekly Data'!E982:E985)/4</f>
        <v>1284.25</v>
      </c>
      <c r="D985" s="90">
        <f>SUM('Weekly Data'!F982:F985)/4</f>
        <v>632.25</v>
      </c>
      <c r="E985" s="90">
        <f>SUM('Weekly Data'!G982:G985)/4</f>
        <v>3491.25</v>
      </c>
      <c r="F985" s="90">
        <f>SUM('Weekly Data'!H982:H985)/4</f>
        <v>231.75</v>
      </c>
      <c r="G985" s="90">
        <f>SUM('Weekly Data'!I982:I985)/4</f>
        <v>5534</v>
      </c>
      <c r="H985" s="202">
        <f>SUM('Weekly Data'!J982:J985)/4</f>
        <v>1364.25</v>
      </c>
      <c r="J985" s="101">
        <f>AVERAGE('Weekly Data'!D933,'Weekly Data'!D881,'Weekly Data'!D829,'Weekly Data'!D777)</f>
        <v>1102.5</v>
      </c>
      <c r="K985" s="16">
        <f>AVERAGE('Weekly Data'!E933,'Weekly Data'!E881,'Weekly Data'!E829,'Weekly Data'!E777)</f>
        <v>1507.5</v>
      </c>
      <c r="L985" s="16">
        <f>AVERAGE('Weekly Data'!F933,'Weekly Data'!F881,'Weekly Data'!F829,'Weekly Data'!F777)</f>
        <v>608.5</v>
      </c>
      <c r="M985" s="16">
        <f>AVERAGE('Weekly Data'!G933,'Weekly Data'!G881,'Weekly Data'!G829,'Weekly Data'!G777)</f>
        <v>3213.5</v>
      </c>
      <c r="N985" s="16">
        <f>AVERAGE('Weekly Data'!H933,'Weekly Data'!H881,'Weekly Data'!H829,'Weekly Data'!H777)</f>
        <v>450.75</v>
      </c>
      <c r="O985" s="101">
        <f>AVERAGE('Weekly Data'!I933,'Weekly Data'!I881,'Weekly Data'!I829,'Weekly Data'!I777)</f>
        <v>6274.25</v>
      </c>
      <c r="P985" s="203">
        <f>AVERAGE('Weekly Data'!J933,'Weekly Data'!J881,'Weekly Data'!J829,'Weekly Data'!J777)</f>
        <v>1610.8092513605384</v>
      </c>
      <c r="R985" s="13">
        <f t="shared" si="64"/>
        <v>41185</v>
      </c>
      <c r="S985" s="106">
        <f t="shared" si="93"/>
        <v>694.0625</v>
      </c>
      <c r="T985" s="106">
        <f t="shared" si="93"/>
        <v>1564.0625</v>
      </c>
      <c r="U985" s="109">
        <f t="shared" si="93"/>
        <v>657</v>
      </c>
      <c r="V985" s="109">
        <f t="shared" si="93"/>
        <v>2921.375</v>
      </c>
      <c r="W985" s="110">
        <f t="shared" si="93"/>
        <v>330.6875</v>
      </c>
      <c r="X985" s="106">
        <f t="shared" si="93"/>
        <v>5510.1875</v>
      </c>
      <c r="Y985" s="204">
        <f t="shared" si="67"/>
        <v>1364.0061261101439</v>
      </c>
    </row>
    <row r="986" spans="1:25" x14ac:dyDescent="0.25">
      <c r="A986" s="105">
        <f t="shared" si="83"/>
        <v>41192</v>
      </c>
      <c r="B986" s="59">
        <f>SUM('Weekly Data'!D983:D986)/4</f>
        <v>874</v>
      </c>
      <c r="C986" s="90">
        <f>SUM('Weekly Data'!E983:E986)/4</f>
        <v>1136.75</v>
      </c>
      <c r="D986" s="90" t="s">
        <v>34</v>
      </c>
      <c r="E986" s="90">
        <f>SUM('Weekly Data'!G983:G986)/4</f>
        <v>4066.75</v>
      </c>
      <c r="F986" s="90">
        <f>SUM('Weekly Data'!H983:H986)/4</f>
        <v>406.5</v>
      </c>
      <c r="G986" s="90">
        <f>SUM('Weekly Data'!I983:I986)/4</f>
        <v>6484</v>
      </c>
      <c r="H986" s="202">
        <f>SUM('Weekly Data'!J983:J986)/4</f>
        <v>1639.65</v>
      </c>
      <c r="J986" s="101">
        <f>AVERAGE('Weekly Data'!D934,'Weekly Data'!D882,'Weekly Data'!D830,'Weekly Data'!D778)</f>
        <v>1490.5</v>
      </c>
      <c r="K986" s="16">
        <f>AVERAGE('Weekly Data'!E934,'Weekly Data'!E882,'Weekly Data'!E830,'Weekly Data'!E778)</f>
        <v>1670.75</v>
      </c>
      <c r="L986" s="16">
        <f>AVERAGE('Weekly Data'!F934,'Weekly Data'!F882,'Weekly Data'!F830,'Weekly Data'!F778)</f>
        <v>714.75</v>
      </c>
      <c r="M986" s="16">
        <f>AVERAGE('Weekly Data'!G934,'Weekly Data'!G882,'Weekly Data'!G830,'Weekly Data'!G778)</f>
        <v>5156</v>
      </c>
      <c r="N986" s="16">
        <f>AVERAGE('Weekly Data'!H934,'Weekly Data'!H882,'Weekly Data'!H830,'Weekly Data'!H778)</f>
        <v>674.25</v>
      </c>
      <c r="O986" s="101">
        <f>AVERAGE('Weekly Data'!I934,'Weekly Data'!I882,'Weekly Data'!I830,'Weekly Data'!I778)</f>
        <v>8991.5</v>
      </c>
      <c r="P986" s="203">
        <f>AVERAGE('Weekly Data'!J934,'Weekly Data'!J882,'Weekly Data'!J830,'Weekly Data'!J778)</f>
        <v>2098.0628613425188</v>
      </c>
      <c r="R986" s="13">
        <f t="shared" si="64"/>
        <v>41192</v>
      </c>
      <c r="S986" s="106">
        <f t="shared" si="93"/>
        <v>886</v>
      </c>
      <c r="T986" s="106">
        <f t="shared" si="93"/>
        <v>1525.5625</v>
      </c>
      <c r="U986" s="109">
        <f t="shared" si="93"/>
        <v>643.4375</v>
      </c>
      <c r="V986" s="109">
        <f t="shared" si="93"/>
        <v>3349.6875</v>
      </c>
      <c r="W986" s="110">
        <f t="shared" si="93"/>
        <v>425.875</v>
      </c>
      <c r="X986" s="106">
        <f t="shared" si="93"/>
        <v>6187.125</v>
      </c>
      <c r="Y986" s="204">
        <f t="shared" si="67"/>
        <v>1277.9730882432696</v>
      </c>
    </row>
    <row r="987" spans="1:25" x14ac:dyDescent="0.25">
      <c r="A987" s="105">
        <f t="shared" si="83"/>
        <v>41199</v>
      </c>
      <c r="B987" s="59">
        <f>SUM('Weekly Data'!D984:D987)/4</f>
        <v>1267</v>
      </c>
      <c r="C987" s="90">
        <f>SUM('Weekly Data'!E984:E987)/4</f>
        <v>989</v>
      </c>
      <c r="D987" s="90" t="s">
        <v>34</v>
      </c>
      <c r="E987" s="90">
        <f>SUM('Weekly Data'!G984:G987)/4</f>
        <v>4172.25</v>
      </c>
      <c r="F987" s="90">
        <f>SUM('Weekly Data'!H984:H987)/4</f>
        <v>539.5</v>
      </c>
      <c r="G987" s="90">
        <f>SUM('Weekly Data'!I984:I987)/4</f>
        <v>6967.75</v>
      </c>
      <c r="H987" s="202">
        <f>SUM('Weekly Data'!J984:J987)/4</f>
        <v>1658.35</v>
      </c>
      <c r="J987" s="101">
        <f>AVERAGE('Weekly Data'!D935,'Weekly Data'!D883,'Weekly Data'!D831,'Weekly Data'!D779)</f>
        <v>1719.5</v>
      </c>
      <c r="K987" s="16">
        <f>AVERAGE('Weekly Data'!E935,'Weekly Data'!E883,'Weekly Data'!E831,'Weekly Data'!E779)</f>
        <v>1288</v>
      </c>
      <c r="L987" s="16">
        <f>AVERAGE('Weekly Data'!F935,'Weekly Data'!F883,'Weekly Data'!F831,'Weekly Data'!F779)</f>
        <v>898.5</v>
      </c>
      <c r="M987" s="16">
        <f>AVERAGE('Weekly Data'!G935,'Weekly Data'!G883,'Weekly Data'!G831,'Weekly Data'!G779)</f>
        <v>4910.25</v>
      </c>
      <c r="N987" s="16">
        <f>AVERAGE('Weekly Data'!H935,'Weekly Data'!H883,'Weekly Data'!H831,'Weekly Data'!H779)</f>
        <v>834.25</v>
      </c>
      <c r="O987" s="101">
        <f>AVERAGE('Weekly Data'!I935,'Weekly Data'!I883,'Weekly Data'!I831,'Weekly Data'!I779)</f>
        <v>8752</v>
      </c>
      <c r="P987" s="203">
        <f>AVERAGE('Weekly Data'!J935,'Weekly Data'!J883,'Weekly Data'!J831,'Weekly Data'!J779)</f>
        <v>1806.6972862680891</v>
      </c>
      <c r="R987" s="13">
        <f t="shared" si="64"/>
        <v>41199</v>
      </c>
      <c r="S987" s="106">
        <f t="shared" si="93"/>
        <v>1179.3125</v>
      </c>
      <c r="T987" s="106">
        <f t="shared" si="93"/>
        <v>1557.5625</v>
      </c>
      <c r="U987" s="109">
        <f t="shared" si="93"/>
        <v>751.25</v>
      </c>
      <c r="V987" s="109">
        <f t="shared" si="93"/>
        <v>3901.9375</v>
      </c>
      <c r="W987" s="110">
        <f t="shared" si="93"/>
        <v>571.1875</v>
      </c>
      <c r="X987" s="106">
        <f t="shared" si="93"/>
        <v>7210</v>
      </c>
      <c r="Y987" s="204">
        <f t="shared" si="67"/>
        <v>1433.6225357580724</v>
      </c>
    </row>
    <row r="988" spans="1:25" x14ac:dyDescent="0.25">
      <c r="A988" s="105">
        <f t="shared" si="83"/>
        <v>41206</v>
      </c>
      <c r="B988" s="59">
        <f>SUM('Weekly Data'!D985:D988)/4</f>
        <v>1298.25</v>
      </c>
      <c r="C988" s="90">
        <f>SUM('Weekly Data'!E985:E988)/4</f>
        <v>768.25</v>
      </c>
      <c r="D988" s="90" t="s">
        <v>34</v>
      </c>
      <c r="E988" s="90">
        <f>SUM('Weekly Data'!G985:G988)/4</f>
        <v>3934</v>
      </c>
      <c r="F988" s="90">
        <f>SUM('Weekly Data'!H985:H988)/4</f>
        <v>825.25</v>
      </c>
      <c r="G988" s="90">
        <f>SUM('Weekly Data'!I985:I988)/4</f>
        <v>6825.75</v>
      </c>
      <c r="H988" s="202">
        <f>SUM('Weekly Data'!J985:J988)/4</f>
        <v>1644.75</v>
      </c>
      <c r="J988" s="101">
        <f>AVERAGE('Weekly Data'!D936,'Weekly Data'!D884,'Weekly Data'!D832,'Weekly Data'!D780)</f>
        <v>1783.75</v>
      </c>
      <c r="K988" s="16">
        <f>AVERAGE('Weekly Data'!E936,'Weekly Data'!E884,'Weekly Data'!E832,'Weekly Data'!E780)</f>
        <v>1223.5</v>
      </c>
      <c r="L988" s="16">
        <f>AVERAGE('Weekly Data'!F936,'Weekly Data'!F884,'Weekly Data'!F832,'Weekly Data'!F780)</f>
        <v>1298.25</v>
      </c>
      <c r="M988" s="16">
        <f>AVERAGE('Weekly Data'!G936,'Weekly Data'!G884,'Weekly Data'!G832,'Weekly Data'!G780)</f>
        <v>4407.75</v>
      </c>
      <c r="N988" s="16">
        <f>AVERAGE('Weekly Data'!H936,'Weekly Data'!H884,'Weekly Data'!H832,'Weekly Data'!H780)</f>
        <v>822</v>
      </c>
      <c r="O988" s="101">
        <f>AVERAGE('Weekly Data'!I936,'Weekly Data'!I884,'Weekly Data'!I832,'Weekly Data'!I780)</f>
        <v>8237</v>
      </c>
      <c r="P988" s="203">
        <f>AVERAGE('Weekly Data'!J936,'Weekly Data'!J884,'Weekly Data'!J832,'Weekly Data'!J780)</f>
        <v>2150.5826705076538</v>
      </c>
      <c r="R988" s="13">
        <f t="shared" si="64"/>
        <v>41206</v>
      </c>
      <c r="S988" s="106">
        <f t="shared" ref="S988:X989" si="94">AVERAGE(B936,B884,B832,B779)</f>
        <v>1428</v>
      </c>
      <c r="T988" s="106">
        <f t="shared" si="94"/>
        <v>1512.3125</v>
      </c>
      <c r="U988" s="109">
        <f t="shared" si="94"/>
        <v>818.5</v>
      </c>
      <c r="V988" s="109">
        <f t="shared" si="94"/>
        <v>4385.875</v>
      </c>
      <c r="W988" s="110">
        <f t="shared" si="94"/>
        <v>665.125</v>
      </c>
      <c r="X988" s="106">
        <f t="shared" si="94"/>
        <v>7991.3125</v>
      </c>
      <c r="Y988" s="204">
        <f t="shared" si="67"/>
        <v>1740.5348923697002</v>
      </c>
    </row>
    <row r="989" spans="1:25" x14ac:dyDescent="0.25">
      <c r="A989" s="105">
        <f t="shared" si="83"/>
        <v>41213</v>
      </c>
      <c r="B989" s="59">
        <f>SUM('Weekly Data'!D986:D989)/4</f>
        <v>1128.5</v>
      </c>
      <c r="C989" s="90">
        <f>SUM('Weekly Data'!E986:E989)/4</f>
        <v>758.75</v>
      </c>
      <c r="D989" s="90" t="s">
        <v>34</v>
      </c>
      <c r="E989" s="90">
        <f>SUM('Weekly Data'!G986:G989)/4</f>
        <v>3913</v>
      </c>
      <c r="F989" s="90">
        <f>SUM('Weekly Data'!H986:H989)/4</f>
        <v>1061</v>
      </c>
      <c r="G989" s="90">
        <f>SUM('Weekly Data'!I986:I989)/4</f>
        <v>6861.25</v>
      </c>
      <c r="H989" s="202">
        <f>SUM('Weekly Data'!J986:J989)/4</f>
        <v>1749.7249999999999</v>
      </c>
      <c r="J989" s="101">
        <f>AVERAGE('Weekly Data'!D937,'Weekly Data'!D885,'Weekly Data'!D833,'Weekly Data'!D781)</f>
        <v>1409.25</v>
      </c>
      <c r="K989" s="16">
        <f>AVERAGE('Weekly Data'!E937,'Weekly Data'!E885,'Weekly Data'!E833,'Weekly Data'!E781)</f>
        <v>1269.25</v>
      </c>
      <c r="L989" s="16">
        <f>AVERAGE('Weekly Data'!F937,'Weekly Data'!F885,'Weekly Data'!F833,'Weekly Data'!F781)</f>
        <v>1155.75</v>
      </c>
      <c r="M989" s="16">
        <f>AVERAGE('Weekly Data'!G937,'Weekly Data'!G885,'Weekly Data'!G833,'Weekly Data'!G781)</f>
        <v>4693.25</v>
      </c>
      <c r="N989" s="16">
        <f>AVERAGE('Weekly Data'!H937,'Weekly Data'!H885,'Weekly Data'!H833,'Weekly Data'!H781)</f>
        <v>887</v>
      </c>
      <c r="O989" s="101">
        <f>AVERAGE('Weekly Data'!I937,'Weekly Data'!I885,'Weekly Data'!I833,'Weekly Data'!I781)</f>
        <v>8258.75</v>
      </c>
      <c r="P989" s="203">
        <f>AVERAGE('Weekly Data'!J937,'Weekly Data'!J885,'Weekly Data'!J833,'Weekly Data'!J781)</f>
        <v>1829.7183986320222</v>
      </c>
      <c r="R989" s="13">
        <f t="shared" si="64"/>
        <v>41213</v>
      </c>
      <c r="S989" s="106">
        <f t="shared" si="94"/>
        <v>1601.625</v>
      </c>
      <c r="T989" s="106">
        <f t="shared" si="94"/>
        <v>1412.3125</v>
      </c>
      <c r="U989" s="109">
        <f t="shared" si="94"/>
        <v>935.0625</v>
      </c>
      <c r="V989" s="109">
        <f t="shared" si="94"/>
        <v>4751.5</v>
      </c>
      <c r="W989" s="110">
        <f t="shared" si="94"/>
        <v>787.4375</v>
      </c>
      <c r="X989" s="106">
        <f t="shared" si="94"/>
        <v>8552.875</v>
      </c>
      <c r="Y989" s="204">
        <f t="shared" si="67"/>
        <v>2003.034054187571</v>
      </c>
    </row>
    <row r="990" spans="1:25" x14ac:dyDescent="0.25">
      <c r="A990" s="105">
        <f t="shared" si="83"/>
        <v>41220</v>
      </c>
      <c r="B990" s="59">
        <f>SUM('Weekly Data'!D987:D990)/4</f>
        <v>942.25</v>
      </c>
      <c r="C990" s="90">
        <f>SUM('Weekly Data'!E987:E990)/4</f>
        <v>764</v>
      </c>
      <c r="D990" s="90" t="s">
        <v>34</v>
      </c>
      <c r="E990" s="90">
        <f>SUM('Weekly Data'!G987:G990)/4</f>
        <v>3716.5</v>
      </c>
      <c r="F990" s="90">
        <f>SUM('Weekly Data'!H987:H990)/4</f>
        <v>1102.75</v>
      </c>
      <c r="G990" s="90">
        <f>SUM('Weekly Data'!I987:I990)/4</f>
        <v>6525.5</v>
      </c>
      <c r="H990" s="202">
        <f>SUM('Weekly Data'!J987:J990)/4</f>
        <v>1528.85</v>
      </c>
      <c r="J990" s="101">
        <f>AVERAGE('Weekly Data'!D938,'Weekly Data'!D886,'Weekly Data'!D834,'Weekly Data'!D782)</f>
        <v>1380</v>
      </c>
      <c r="K990" s="16">
        <f>AVERAGE('Weekly Data'!E938,'Weekly Data'!E886,'Weekly Data'!E834,'Weekly Data'!E782)</f>
        <v>1661</v>
      </c>
      <c r="L990" s="16">
        <f>AVERAGE('Weekly Data'!F938,'Weekly Data'!F886,'Weekly Data'!F834,'Weekly Data'!F782)</f>
        <v>909.75</v>
      </c>
      <c r="M990" s="16">
        <f>AVERAGE('Weekly Data'!G938,'Weekly Data'!G886,'Weekly Data'!G834,'Weekly Data'!G782)</f>
        <v>3942.25</v>
      </c>
      <c r="N990" s="16">
        <f>AVERAGE('Weekly Data'!H938,'Weekly Data'!H886,'Weekly Data'!H834,'Weekly Data'!H782)</f>
        <v>838.5</v>
      </c>
      <c r="O990" s="101">
        <f>AVERAGE('Weekly Data'!I938,'Weekly Data'!I886,'Weekly Data'!I834,'Weekly Data'!I782)</f>
        <v>7821.75</v>
      </c>
      <c r="P990" s="203">
        <f>AVERAGE('Weekly Data'!J938,'Weekly Data'!J886,'Weekly Data'!J834,'Weekly Data'!J782)</f>
        <v>2018.7696427307535</v>
      </c>
      <c r="R990" s="13">
        <f t="shared" si="64"/>
        <v>41220</v>
      </c>
      <c r="S990" s="106">
        <f t="shared" ref="S990:Y990" si="95">AVERAGE(B938,B886,B834,B781)</f>
        <v>1661.25</v>
      </c>
      <c r="T990" s="106">
        <f t="shared" si="95"/>
        <v>1384.0625</v>
      </c>
      <c r="U990" s="109">
        <f t="shared" si="95"/>
        <v>1076.75</v>
      </c>
      <c r="V990" s="109">
        <f t="shared" si="95"/>
        <v>4681.5625</v>
      </c>
      <c r="W990" s="110">
        <f t="shared" si="95"/>
        <v>866.25</v>
      </c>
      <c r="X990" s="106">
        <f t="shared" si="95"/>
        <v>8593.125</v>
      </c>
      <c r="Y990" s="204">
        <f t="shared" si="95"/>
        <v>1981.6701245346296</v>
      </c>
    </row>
    <row r="991" spans="1:25" x14ac:dyDescent="0.25">
      <c r="A991" s="105">
        <f t="shared" si="83"/>
        <v>41227</v>
      </c>
      <c r="B991" s="59">
        <f>SUM('Weekly Data'!D988:D991)/4</f>
        <v>626.25</v>
      </c>
      <c r="C991" s="90">
        <f>SUM('Weekly Data'!E988:E991)/4</f>
        <v>722.75</v>
      </c>
      <c r="D991" s="90" t="s">
        <v>34</v>
      </c>
      <c r="E991" s="90">
        <f>SUM('Weekly Data'!G988:G991)/4</f>
        <v>3762</v>
      </c>
      <c r="F991" s="90">
        <f>SUM('Weekly Data'!H988:H991)/4</f>
        <v>1194.75</v>
      </c>
      <c r="G991" s="90">
        <f>SUM('Weekly Data'!I988:I991)/4</f>
        <v>6305.75</v>
      </c>
      <c r="H991" s="202">
        <f>SUM('Weekly Data'!J988:J991)/4</f>
        <v>1602.0625</v>
      </c>
      <c r="J991" s="101">
        <f>AVERAGE('Weekly Data'!D939,'Weekly Data'!D887,'Weekly Data'!D835,'Weekly Data'!D783)</f>
        <v>1079</v>
      </c>
      <c r="K991" s="16">
        <f>AVERAGE('Weekly Data'!E939,'Weekly Data'!E887,'Weekly Data'!E835,'Weekly Data'!E783)</f>
        <v>1807.25</v>
      </c>
      <c r="L991" s="16">
        <f>AVERAGE('Weekly Data'!F939,'Weekly Data'!F887,'Weekly Data'!F835,'Weekly Data'!F783)</f>
        <v>907.75</v>
      </c>
      <c r="M991" s="16">
        <f>AVERAGE('Weekly Data'!G939,'Weekly Data'!G887,'Weekly Data'!G835,'Weekly Data'!G783)</f>
        <v>4080.5</v>
      </c>
      <c r="N991" s="16">
        <f>AVERAGE('Weekly Data'!H939,'Weekly Data'!H887,'Weekly Data'!H835,'Weekly Data'!H783)</f>
        <v>1108.75</v>
      </c>
      <c r="O991" s="101">
        <f>AVERAGE('Weekly Data'!I939,'Weekly Data'!I887,'Weekly Data'!I835,'Weekly Data'!I783)</f>
        <v>8075.5</v>
      </c>
      <c r="P991" s="203">
        <f>AVERAGE('Weekly Data'!J939,'Weekly Data'!J887,'Weekly Data'!J835,'Weekly Data'!J783)</f>
        <v>1885.2908846691566</v>
      </c>
      <c r="R991" s="13">
        <f t="shared" si="64"/>
        <v>41227</v>
      </c>
      <c r="S991" s="106">
        <f t="shared" ref="S991:Y992" si="96">AVERAGE(B939,B887,B835,B782)</f>
        <v>1504.6875</v>
      </c>
      <c r="T991" s="106">
        <f t="shared" si="96"/>
        <v>1476.6875</v>
      </c>
      <c r="U991" s="109">
        <f t="shared" si="96"/>
        <v>1023.0625</v>
      </c>
      <c r="V991" s="109">
        <f t="shared" si="96"/>
        <v>4399.9375</v>
      </c>
      <c r="W991" s="110">
        <f t="shared" si="96"/>
        <v>887.875</v>
      </c>
      <c r="X991" s="106">
        <f t="shared" si="96"/>
        <v>8269.1875</v>
      </c>
      <c r="Y991" s="204">
        <f t="shared" si="96"/>
        <v>2010.3497741348965</v>
      </c>
    </row>
    <row r="992" spans="1:25" x14ac:dyDescent="0.25">
      <c r="A992" s="105">
        <f t="shared" si="83"/>
        <v>41234</v>
      </c>
      <c r="B992" s="59">
        <f>SUM('Weekly Data'!D989:D992)/4</f>
        <v>750.25</v>
      </c>
      <c r="C992" s="90">
        <f>SUM('Weekly Data'!E989:E992)/4</f>
        <v>705.5</v>
      </c>
      <c r="D992" s="90" t="s">
        <v>34</v>
      </c>
      <c r="E992" s="90">
        <f>SUM('Weekly Data'!G989:G992)/4</f>
        <v>3989</v>
      </c>
      <c r="F992" s="90">
        <f>SUM('Weekly Data'!H989:H992)/4</f>
        <v>1085</v>
      </c>
      <c r="G992" s="90">
        <f>SUM('Weekly Data'!I989:I992)/4</f>
        <v>6529.75</v>
      </c>
      <c r="H992" s="202">
        <f>SUM('Weekly Data'!J989:J992)/4</f>
        <v>1588.55</v>
      </c>
      <c r="J992" s="101">
        <f>AVERAGE('Weekly Data'!D940,'Weekly Data'!D888,'Weekly Data'!D836,'Weekly Data'!D784)</f>
        <v>1153.5</v>
      </c>
      <c r="K992" s="16">
        <f>AVERAGE('Weekly Data'!E940,'Weekly Data'!E888,'Weekly Data'!E836,'Weekly Data'!E784)</f>
        <v>1883</v>
      </c>
      <c r="L992" s="16">
        <f>AVERAGE('Weekly Data'!F940,'Weekly Data'!F888,'Weekly Data'!F836,'Weekly Data'!F784)</f>
        <v>939.5</v>
      </c>
      <c r="M992" s="16">
        <f>AVERAGE('Weekly Data'!G940,'Weekly Data'!G888,'Weekly Data'!G836,'Weekly Data'!G784)</f>
        <v>3583.5</v>
      </c>
      <c r="N992" s="16">
        <f>AVERAGE('Weekly Data'!H940,'Weekly Data'!H888,'Weekly Data'!H836,'Weekly Data'!H784)</f>
        <v>993.5</v>
      </c>
      <c r="O992" s="101">
        <f>AVERAGE('Weekly Data'!I940,'Weekly Data'!I888,'Weekly Data'!I836,'Weekly Data'!I784)</f>
        <v>7613.5</v>
      </c>
      <c r="P992" s="203">
        <f>AVERAGE('Weekly Data'!J940,'Weekly Data'!J888,'Weekly Data'!J836,'Weekly Data'!J784)</f>
        <v>1793.7235937212977</v>
      </c>
      <c r="R992" s="13">
        <f t="shared" si="64"/>
        <v>41234</v>
      </c>
      <c r="S992" s="106">
        <f t="shared" si="96"/>
        <v>1342.8125</v>
      </c>
      <c r="T992" s="106">
        <f t="shared" si="96"/>
        <v>1626.125</v>
      </c>
      <c r="U992" s="109">
        <f t="shared" si="96"/>
        <v>1005.125</v>
      </c>
      <c r="V992" s="109">
        <f t="shared" si="96"/>
        <v>4140.5625</v>
      </c>
      <c r="W992" s="110">
        <f t="shared" si="96"/>
        <v>967.125</v>
      </c>
      <c r="X992" s="106">
        <f t="shared" si="96"/>
        <v>8076.625</v>
      </c>
      <c r="Y992" s="204">
        <f t="shared" si="96"/>
        <v>1925.3850049383075</v>
      </c>
    </row>
    <row r="993" spans="1:25" x14ac:dyDescent="0.25">
      <c r="A993" s="105">
        <f t="shared" si="83"/>
        <v>41241</v>
      </c>
      <c r="B993" s="59">
        <f>SUM('Weekly Data'!D990:D993)/4</f>
        <v>943.25</v>
      </c>
      <c r="C993" s="90">
        <f>SUM('Weekly Data'!E990:E993)/4</f>
        <v>686</v>
      </c>
      <c r="D993" s="90" t="s">
        <v>34</v>
      </c>
      <c r="E993" s="90">
        <f>SUM('Weekly Data'!G990:G993)/4</f>
        <v>4056.25</v>
      </c>
      <c r="F993" s="90">
        <f>SUM('Weekly Data'!H990:H993)/4</f>
        <v>989.5</v>
      </c>
      <c r="G993" s="90">
        <f>SUM('Weekly Data'!I990:I993)/4</f>
        <v>6675</v>
      </c>
      <c r="H993" s="202">
        <f>SUM('Weekly Data'!J990:J993)/4</f>
        <v>1435</v>
      </c>
      <c r="J993" s="101">
        <f>AVERAGE('Weekly Data'!D941,'Weekly Data'!D889,'Weekly Data'!D837,'Weekly Data'!D785)</f>
        <v>1001.5</v>
      </c>
      <c r="K993" s="16">
        <f>AVERAGE('Weekly Data'!E941,'Weekly Data'!E889,'Weekly Data'!E837,'Weekly Data'!E785)</f>
        <v>1339</v>
      </c>
      <c r="L993" s="16">
        <f>AVERAGE('Weekly Data'!F941,'Weekly Data'!F889,'Weekly Data'!F837,'Weekly Data'!F785)</f>
        <v>769</v>
      </c>
      <c r="M993" s="16">
        <f>AVERAGE('Weekly Data'!G941,'Weekly Data'!G889,'Weekly Data'!G837,'Weekly Data'!G785)</f>
        <v>4164</v>
      </c>
      <c r="N993" s="16">
        <f>AVERAGE('Weekly Data'!H941,'Weekly Data'!H889,'Weekly Data'!H837,'Weekly Data'!H785)</f>
        <v>704.25</v>
      </c>
      <c r="O993" s="101">
        <f>AVERAGE('Weekly Data'!I941,'Weekly Data'!I889,'Weekly Data'!I837,'Weekly Data'!I785)</f>
        <v>7208.75</v>
      </c>
      <c r="P993" s="203">
        <f>AVERAGE('Weekly Data'!J941,'Weekly Data'!J889,'Weekly Data'!J837,'Weekly Data'!J785)</f>
        <v>1518.4643572550119</v>
      </c>
      <c r="R993" s="13">
        <f t="shared" si="64"/>
        <v>41241</v>
      </c>
      <c r="S993" s="106">
        <f t="shared" ref="S993:Y993" si="97">AVERAGE(B941,B889,B837,B784)</f>
        <v>1187.3125</v>
      </c>
      <c r="T993" s="106">
        <f t="shared" si="97"/>
        <v>1645.1875</v>
      </c>
      <c r="U993" s="109">
        <f t="shared" si="97"/>
        <v>940.8125</v>
      </c>
      <c r="V993" s="109">
        <f t="shared" si="97"/>
        <v>3965.625</v>
      </c>
      <c r="W993" s="110">
        <f t="shared" si="97"/>
        <v>929.75</v>
      </c>
      <c r="X993" s="106">
        <f t="shared" si="97"/>
        <v>7727.875</v>
      </c>
      <c r="Y993" s="204">
        <f t="shared" si="97"/>
        <v>1822.6027445940547</v>
      </c>
    </row>
    <row r="994" spans="1:25" x14ac:dyDescent="0.25">
      <c r="A994" s="105">
        <f t="shared" si="83"/>
        <v>41248</v>
      </c>
      <c r="B994" s="59">
        <f>SUM('Weekly Data'!D991:D994)/4</f>
        <v>1111</v>
      </c>
      <c r="C994" s="90">
        <f>SUM('Weekly Data'!E991:E994)/4</f>
        <v>727.75</v>
      </c>
      <c r="D994" s="90" t="s">
        <v>34</v>
      </c>
      <c r="E994" s="90">
        <f>SUM('Weekly Data'!G991:G994)/4</f>
        <v>3874.75</v>
      </c>
      <c r="F994" s="90">
        <f>SUM('Weekly Data'!H991:H994)/4</f>
        <v>1015.75</v>
      </c>
      <c r="G994" s="90">
        <f>SUM('Weekly Data'!I991:I994)/4</f>
        <v>6729.25</v>
      </c>
      <c r="H994" s="202">
        <f>SUM('Weekly Data'!J991:J994)/4</f>
        <v>1360.5</v>
      </c>
      <c r="J994" s="101">
        <f>AVERAGE('Weekly Data'!D942,'Weekly Data'!D890,'Weekly Data'!D838,'Weekly Data'!D786)</f>
        <v>980.75</v>
      </c>
      <c r="K994" s="16">
        <f>AVERAGE('Weekly Data'!E942,'Weekly Data'!E890,'Weekly Data'!E838,'Weekly Data'!E786)</f>
        <v>1099.5</v>
      </c>
      <c r="L994" s="16">
        <f>AVERAGE('Weekly Data'!F942,'Weekly Data'!F890,'Weekly Data'!F838,'Weekly Data'!F786)</f>
        <v>913.5</v>
      </c>
      <c r="M994" s="16">
        <f>AVERAGE('Weekly Data'!G942,'Weekly Data'!G890,'Weekly Data'!G838,'Weekly Data'!G786)</f>
        <v>4342.5</v>
      </c>
      <c r="N994" s="16">
        <f>AVERAGE('Weekly Data'!H942,'Weekly Data'!H890,'Weekly Data'!H838,'Weekly Data'!H786)</f>
        <v>879.75</v>
      </c>
      <c r="O994" s="101">
        <f>AVERAGE('Weekly Data'!I942,'Weekly Data'!I890,'Weekly Data'!I838,'Weekly Data'!I786)</f>
        <v>7302.5</v>
      </c>
      <c r="P994" s="203">
        <f>AVERAGE('Weekly Data'!J942,'Weekly Data'!J890,'Weekly Data'!J838,'Weekly Data'!J786)</f>
        <v>1418.8599778584276</v>
      </c>
      <c r="R994" s="13">
        <f t="shared" si="64"/>
        <v>41248</v>
      </c>
      <c r="S994" s="106">
        <f t="shared" ref="S994:Y994" si="98">AVERAGE(B942,B890,B838,B785)</f>
        <v>1071.3125</v>
      </c>
      <c r="T994" s="106">
        <f t="shared" si="98"/>
        <v>1544.5</v>
      </c>
      <c r="U994" s="109">
        <f t="shared" si="98"/>
        <v>887.5</v>
      </c>
      <c r="V994" s="109">
        <f t="shared" si="98"/>
        <v>3982.25</v>
      </c>
      <c r="W994" s="110">
        <f t="shared" si="98"/>
        <v>897.4375</v>
      </c>
      <c r="X994" s="106">
        <f t="shared" si="98"/>
        <v>7495.5</v>
      </c>
      <c r="Y994" s="204">
        <f t="shared" si="98"/>
        <v>1711.6190783759735</v>
      </c>
    </row>
    <row r="995" spans="1:25" x14ac:dyDescent="0.25">
      <c r="A995" s="105">
        <f t="shared" si="83"/>
        <v>41255</v>
      </c>
      <c r="B995" s="59">
        <f>SUM('Weekly Data'!D992:D995)/4</f>
        <v>1207.5</v>
      </c>
      <c r="C995" s="90">
        <f>SUM('Weekly Data'!E992:E995)/4</f>
        <v>739.75</v>
      </c>
      <c r="D995" s="90" t="s">
        <v>34</v>
      </c>
      <c r="E995" s="90">
        <f>SUM('Weekly Data'!G992:G995)/4</f>
        <v>3740.5</v>
      </c>
      <c r="F995" s="90">
        <f>SUM('Weekly Data'!H992:H995)/4</f>
        <v>1030.75</v>
      </c>
      <c r="G995" s="90">
        <f>SUM('Weekly Data'!I992:I995)/4</f>
        <v>6718.5</v>
      </c>
      <c r="H995" s="202">
        <f>SUM('Weekly Data'!J992:J995)/4</f>
        <v>1269.75</v>
      </c>
      <c r="J995" s="101">
        <f>AVERAGE('Weekly Data'!D943,'Weekly Data'!D891,'Weekly Data'!D839,'Weekly Data'!D787)</f>
        <v>700.25</v>
      </c>
      <c r="K995" s="16">
        <f>AVERAGE('Weekly Data'!E943,'Weekly Data'!E891,'Weekly Data'!E839,'Weekly Data'!E787)</f>
        <v>1258.25</v>
      </c>
      <c r="L995" s="16">
        <f>AVERAGE('Weekly Data'!F943,'Weekly Data'!F891,'Weekly Data'!F839,'Weekly Data'!F787)</f>
        <v>693.5</v>
      </c>
      <c r="M995" s="16">
        <f>AVERAGE('Weekly Data'!G943,'Weekly Data'!G891,'Weekly Data'!G839,'Weekly Data'!G787)</f>
        <v>4168.25</v>
      </c>
      <c r="N995" s="16">
        <f>AVERAGE('Weekly Data'!H943,'Weekly Data'!H891,'Weekly Data'!H839,'Weekly Data'!H787)</f>
        <v>784</v>
      </c>
      <c r="O995" s="101">
        <f>AVERAGE('Weekly Data'!I943,'Weekly Data'!I891,'Weekly Data'!I839,'Weekly Data'!I787)</f>
        <v>6910.75</v>
      </c>
      <c r="P995" s="203">
        <f>AVERAGE('Weekly Data'!J943,'Weekly Data'!J891,'Weekly Data'!J839,'Weekly Data'!J787)</f>
        <v>1637.9765858970072</v>
      </c>
      <c r="R995" s="13">
        <f t="shared" si="64"/>
        <v>41255</v>
      </c>
      <c r="S995" s="106">
        <f t="shared" ref="S995:Y995" si="99">AVERAGE(B943,B891,B839,B786)</f>
        <v>978</v>
      </c>
      <c r="T995" s="106">
        <f t="shared" si="99"/>
        <v>1404.875</v>
      </c>
      <c r="U995" s="109">
        <f t="shared" si="99"/>
        <v>880.75</v>
      </c>
      <c r="V995" s="109">
        <f t="shared" si="99"/>
        <v>4134.25</v>
      </c>
      <c r="W995" s="110">
        <f t="shared" si="99"/>
        <v>867.125</v>
      </c>
      <c r="X995" s="106">
        <f t="shared" si="99"/>
        <v>7384.25</v>
      </c>
      <c r="Y995" s="204">
        <f t="shared" si="99"/>
        <v>1625.0873786829359</v>
      </c>
    </row>
    <row r="996" spans="1:25" x14ac:dyDescent="0.25">
      <c r="A996" s="105">
        <f t="shared" si="83"/>
        <v>41262</v>
      </c>
      <c r="B996" s="59">
        <f>SUM('Weekly Data'!D993:D996)/4</f>
        <v>1287.75</v>
      </c>
      <c r="C996" s="90">
        <f>SUM('Weekly Data'!E993:E996)/4</f>
        <v>816.75</v>
      </c>
      <c r="D996" s="90" t="s">
        <v>34</v>
      </c>
      <c r="E996" s="90">
        <f>SUM('Weekly Data'!G993:G996)/4</f>
        <v>3677.75</v>
      </c>
      <c r="F996" s="90">
        <f>SUM('Weekly Data'!H993:H996)/4</f>
        <v>975.25</v>
      </c>
      <c r="G996" s="90">
        <f>SUM('Weekly Data'!I993:I996)/4</f>
        <v>6757.5</v>
      </c>
      <c r="H996" s="202">
        <f>SUM('Weekly Data'!J993:J996)/4</f>
        <v>1134.75</v>
      </c>
      <c r="J996" s="101">
        <f>AVERAGE('Weekly Data'!D944,'Weekly Data'!D892,'Weekly Data'!D840,'Weekly Data'!D788)</f>
        <v>612.75</v>
      </c>
      <c r="K996" s="16">
        <f>AVERAGE('Weekly Data'!E944,'Weekly Data'!E892,'Weekly Data'!E840,'Weekly Data'!E788)</f>
        <v>1173.75</v>
      </c>
      <c r="L996" s="16">
        <f>AVERAGE('Weekly Data'!F944,'Weekly Data'!F892,'Weekly Data'!F840,'Weekly Data'!F788)</f>
        <v>798</v>
      </c>
      <c r="M996" s="16">
        <f>AVERAGE('Weekly Data'!G944,'Weekly Data'!G892,'Weekly Data'!G840,'Weekly Data'!G788)</f>
        <v>3981</v>
      </c>
      <c r="N996" s="16">
        <f>AVERAGE('Weekly Data'!H944,'Weekly Data'!H892,'Weekly Data'!H840,'Weekly Data'!H788)</f>
        <v>802.5</v>
      </c>
      <c r="O996" s="101">
        <f>AVERAGE('Weekly Data'!I944,'Weekly Data'!I892,'Weekly Data'!I840,'Weekly Data'!I788)</f>
        <v>6570</v>
      </c>
      <c r="P996" s="203">
        <f>AVERAGE('Weekly Data'!J944,'Weekly Data'!J892,'Weekly Data'!J840,'Weekly Data'!J788)</f>
        <v>1306.994782969264</v>
      </c>
      <c r="R996" s="13">
        <f t="shared" si="64"/>
        <v>41262</v>
      </c>
      <c r="S996" s="106">
        <f t="shared" ref="S996:Y996" si="100">AVERAGE(B944,B892,B840,B787)</f>
        <v>848.375</v>
      </c>
      <c r="T996" s="106">
        <f t="shared" si="100"/>
        <v>1261.0625</v>
      </c>
      <c r="U996" s="109">
        <f t="shared" si="100"/>
        <v>795.125</v>
      </c>
      <c r="V996" s="109">
        <f t="shared" si="100"/>
        <v>4270.6875</v>
      </c>
      <c r="W996" s="110">
        <f t="shared" si="100"/>
        <v>801.0625</v>
      </c>
      <c r="X996" s="106">
        <f t="shared" si="100"/>
        <v>7181.1875</v>
      </c>
      <c r="Y996" s="204">
        <f t="shared" si="100"/>
        <v>1530.8708009949275</v>
      </c>
    </row>
    <row r="997" spans="1:25" x14ac:dyDescent="0.25">
      <c r="A997" s="105">
        <f t="shared" si="83"/>
        <v>41269</v>
      </c>
      <c r="B997" s="59">
        <f>SUM('Weekly Data'!D994:D997)/4</f>
        <v>1310.5</v>
      </c>
      <c r="C997" s="90">
        <f>SUM('Weekly Data'!E994:E997)/4</f>
        <v>733.75</v>
      </c>
      <c r="D997" s="90" t="s">
        <v>34</v>
      </c>
      <c r="E997" s="90">
        <f>SUM('Weekly Data'!G994:G997)/4</f>
        <v>3488</v>
      </c>
      <c r="F997" s="90">
        <f>SUM('Weekly Data'!H994:H997)/4</f>
        <v>967</v>
      </c>
      <c r="G997" s="90">
        <f>SUM('Weekly Data'!I994:I997)/4</f>
        <v>6499.25</v>
      </c>
      <c r="H997" s="202">
        <f>SUM('Weekly Data'!J994:J997)/4</f>
        <v>1144.75</v>
      </c>
      <c r="J997" s="101">
        <f>AVERAGE('Weekly Data'!D945,'Weekly Data'!D893,'Weekly Data'!D841,'Weekly Data'!D789)</f>
        <v>500</v>
      </c>
      <c r="K997" s="16">
        <f>AVERAGE('Weekly Data'!E945,'Weekly Data'!E893,'Weekly Data'!E841,'Weekly Data'!E789)</f>
        <v>1009.5</v>
      </c>
      <c r="L997" s="16">
        <f>AVERAGE('Weekly Data'!F945,'Weekly Data'!F893,'Weekly Data'!F841,'Weekly Data'!F789)</f>
        <v>577.5</v>
      </c>
      <c r="M997" s="16">
        <f>AVERAGE('Weekly Data'!G945,'Weekly Data'!G893,'Weekly Data'!G841,'Weekly Data'!G789)</f>
        <v>3024.75</v>
      </c>
      <c r="N997" s="16">
        <f>AVERAGE('Weekly Data'!H945,'Weekly Data'!H893,'Weekly Data'!H841,'Weekly Data'!H789)</f>
        <v>458.75</v>
      </c>
      <c r="O997" s="101">
        <f>AVERAGE('Weekly Data'!I945,'Weekly Data'!I893,'Weekly Data'!I841,'Weekly Data'!I789)</f>
        <v>4993</v>
      </c>
      <c r="P997" s="203">
        <f>AVERAGE('Weekly Data'!J945,'Weekly Data'!J893,'Weekly Data'!J841,'Weekly Data'!J789)</f>
        <v>1807.3553690856891</v>
      </c>
      <c r="R997" s="13">
        <f t="shared" si="64"/>
        <v>41269</v>
      </c>
      <c r="S997" s="106">
        <f t="shared" ref="S997:Y997" si="101">AVERAGE(B945,B893,B841,B788)</f>
        <v>730.125</v>
      </c>
      <c r="T997" s="106">
        <f t="shared" si="101"/>
        <v>1129.25</v>
      </c>
      <c r="U997" s="109">
        <f t="shared" si="101"/>
        <v>795.6875</v>
      </c>
      <c r="V997" s="109">
        <f t="shared" si="101"/>
        <v>4012.4375</v>
      </c>
      <c r="W997" s="110">
        <f t="shared" si="101"/>
        <v>741.375</v>
      </c>
      <c r="X997" s="106">
        <f t="shared" si="101"/>
        <v>6613.1875</v>
      </c>
      <c r="Y997" s="204">
        <f t="shared" si="101"/>
        <v>1555.0685539525971</v>
      </c>
    </row>
    <row r="998" spans="1:25" x14ac:dyDescent="0.25">
      <c r="A998" s="105">
        <f t="shared" si="83"/>
        <v>41276</v>
      </c>
      <c r="B998" s="59">
        <f>SUM('Weekly Data'!D995:D998)/4</f>
        <v>1223</v>
      </c>
      <c r="C998" s="90">
        <f>SUM('Weekly Data'!E995:E998)/4</f>
        <v>705.75</v>
      </c>
      <c r="D998" s="90" t="s">
        <v>34</v>
      </c>
      <c r="E998" s="90">
        <f>SUM('Weekly Data'!G995:G998)/4</f>
        <v>3618</v>
      </c>
      <c r="F998" s="90">
        <f>SUM('Weekly Data'!H995:H998)/4</f>
        <v>908.25</v>
      </c>
      <c r="G998" s="90">
        <f>SUM('Weekly Data'!I995:I998)/4</f>
        <v>6455</v>
      </c>
      <c r="H998" s="202">
        <f>SUM('Weekly Data'!J995:J998)/4</f>
        <v>1078.25</v>
      </c>
      <c r="J998" s="101">
        <f>AVERAGE('Weekly Data'!D946,'Weekly Data'!D894,'Weekly Data'!D842,'Weekly Data'!D790)</f>
        <v>594.75</v>
      </c>
      <c r="K998" s="16">
        <f>AVERAGE('Weekly Data'!E946,'Weekly Data'!E894,'Weekly Data'!E842,'Weekly Data'!E790)</f>
        <v>1224.75</v>
      </c>
      <c r="L998" s="16">
        <f>AVERAGE('Weekly Data'!F946,'Weekly Data'!F894,'Weekly Data'!F842,'Weekly Data'!F790)</f>
        <v>770.5</v>
      </c>
      <c r="M998" s="16">
        <f>AVERAGE('Weekly Data'!G946,'Weekly Data'!G894,'Weekly Data'!G842,'Weekly Data'!G790)</f>
        <v>3140.75</v>
      </c>
      <c r="N998" s="16">
        <f>AVERAGE('Weekly Data'!H946,'Weekly Data'!H894,'Weekly Data'!H842,'Weekly Data'!H790)</f>
        <v>654.5</v>
      </c>
      <c r="O998" s="101">
        <f>AVERAGE('Weekly Data'!I946,'Weekly Data'!I894,'Weekly Data'!I842,'Weekly Data'!I790)</f>
        <v>5614.75</v>
      </c>
      <c r="P998" s="203">
        <f>AVERAGE('Weekly Data'!J946,'Weekly Data'!J894,'Weekly Data'!J842,'Weekly Data'!J790)</f>
        <v>1246.5474488627403</v>
      </c>
      <c r="R998" s="13">
        <f t="shared" si="64"/>
        <v>41276</v>
      </c>
      <c r="S998" s="106">
        <f t="shared" ref="S998:Y998" si="102">AVERAGE(B946,B894,B842,B789)</f>
        <v>622.5</v>
      </c>
      <c r="T998" s="106">
        <f t="shared" si="102"/>
        <v>1165.8125</v>
      </c>
      <c r="U998" s="109">
        <f t="shared" si="102"/>
        <v>704.3125</v>
      </c>
      <c r="V998" s="109">
        <f t="shared" si="102"/>
        <v>3726.625</v>
      </c>
      <c r="W998" s="110">
        <f t="shared" si="102"/>
        <v>692.3125</v>
      </c>
      <c r="X998" s="106">
        <f t="shared" si="102"/>
        <v>6207.25</v>
      </c>
      <c r="Y998" s="204">
        <f t="shared" si="102"/>
        <v>1526.1216717036752</v>
      </c>
    </row>
    <row r="999" spans="1:25" x14ac:dyDescent="0.25">
      <c r="A999" s="105">
        <f t="shared" si="83"/>
        <v>41283</v>
      </c>
      <c r="B999" s="59">
        <f>SUM('Weekly Data'!D996:D999)/4</f>
        <v>1266</v>
      </c>
      <c r="C999" s="90">
        <f>SUM('Weekly Data'!E996:E999)/4</f>
        <v>710.75</v>
      </c>
      <c r="D999" s="90" t="s">
        <v>34</v>
      </c>
      <c r="E999" s="90">
        <f>SUM('Weekly Data'!G996:G999)/4</f>
        <v>3996</v>
      </c>
      <c r="F999" s="90">
        <f>SUM('Weekly Data'!H996:H999)/4</f>
        <v>787</v>
      </c>
      <c r="G999" s="90">
        <f>SUM('Weekly Data'!I996:I999)/4</f>
        <v>6759.75</v>
      </c>
      <c r="H999" s="202">
        <f>SUM('Weekly Data'!J996:J999)/4</f>
        <v>980.75</v>
      </c>
      <c r="J999" s="101">
        <f>AVERAGE('Weekly Data'!D947,'Weekly Data'!D895,'Weekly Data'!D843,'Weekly Data'!D791)</f>
        <v>540.5</v>
      </c>
      <c r="K999" s="16">
        <f>AVERAGE('Weekly Data'!E947,'Weekly Data'!E895,'Weekly Data'!E843,'Weekly Data'!E791)</f>
        <v>1137.5</v>
      </c>
      <c r="L999" s="16">
        <f>AVERAGE('Weekly Data'!F947,'Weekly Data'!F895,'Weekly Data'!F843,'Weekly Data'!F791)</f>
        <v>637.75</v>
      </c>
      <c r="M999" s="16">
        <f>AVERAGE('Weekly Data'!G947,'Weekly Data'!G895,'Weekly Data'!G843,'Weekly Data'!G791)</f>
        <v>3530.75</v>
      </c>
      <c r="N999" s="16">
        <f>AVERAGE('Weekly Data'!H947,'Weekly Data'!H895,'Weekly Data'!H843,'Weekly Data'!H791)</f>
        <v>885.5</v>
      </c>
      <c r="O999" s="101">
        <f>AVERAGE('Weekly Data'!I947,'Weekly Data'!I895,'Weekly Data'!I843,'Weekly Data'!I791)</f>
        <v>6094.25</v>
      </c>
      <c r="P999" s="203">
        <f>AVERAGE('Weekly Data'!J947,'Weekly Data'!J895,'Weekly Data'!J843,'Weekly Data'!J791)</f>
        <v>1962.7906963581402</v>
      </c>
      <c r="R999" s="13">
        <f t="shared" si="64"/>
        <v>41283</v>
      </c>
      <c r="S999" s="106">
        <f t="shared" ref="S999:Y999" si="103">AVERAGE(B947,B895,B843,B790)</f>
        <v>554.875</v>
      </c>
      <c r="T999" s="106">
        <f t="shared" si="103"/>
        <v>1141.875</v>
      </c>
      <c r="U999" s="109">
        <f t="shared" si="103"/>
        <v>694.75</v>
      </c>
      <c r="V999" s="109">
        <f t="shared" si="103"/>
        <v>3411.5</v>
      </c>
      <c r="W999" s="110">
        <f t="shared" si="103"/>
        <v>706.9375</v>
      </c>
      <c r="X999" s="106">
        <f t="shared" si="103"/>
        <v>5815.1875</v>
      </c>
      <c r="Y999" s="204">
        <f t="shared" si="103"/>
        <v>1564.6807797505785</v>
      </c>
    </row>
    <row r="1000" spans="1:25" x14ac:dyDescent="0.25">
      <c r="A1000" s="105">
        <f t="shared" si="83"/>
        <v>41290</v>
      </c>
      <c r="B1000" s="59">
        <f>SUM('Weekly Data'!D997:D1000)/4</f>
        <v>1158.5</v>
      </c>
      <c r="C1000" s="90">
        <f>SUM('Weekly Data'!E997:E1000)/4</f>
        <v>660.5</v>
      </c>
      <c r="D1000" s="90" t="s">
        <v>34</v>
      </c>
      <c r="E1000" s="90">
        <f>SUM('Weekly Data'!G997:G1000)/4</f>
        <v>4189.5</v>
      </c>
      <c r="F1000" s="90">
        <f>SUM('Weekly Data'!H997:H1000)/4</f>
        <v>723.25</v>
      </c>
      <c r="G1000" s="90">
        <f>SUM('Weekly Data'!I997:I1000)/4</f>
        <v>6731.75</v>
      </c>
      <c r="H1000" s="202">
        <f>SUM('Weekly Data'!J997:J1000)/4</f>
        <v>1070.75</v>
      </c>
      <c r="J1000" s="101">
        <f>AVERAGE('Weekly Data'!D948,'Weekly Data'!D896,'Weekly Data'!D844,'Weekly Data'!D792)</f>
        <v>722</v>
      </c>
      <c r="K1000" s="16">
        <f>AVERAGE('Weekly Data'!E948,'Weekly Data'!E896,'Weekly Data'!E844,'Weekly Data'!E792)</f>
        <v>1331.25</v>
      </c>
      <c r="L1000" s="16">
        <f>AVERAGE('Weekly Data'!F948,'Weekly Data'!F896,'Weekly Data'!F844,'Weekly Data'!F792)</f>
        <v>707.75</v>
      </c>
      <c r="M1000" s="16">
        <f>AVERAGE('Weekly Data'!G948,'Weekly Data'!G896,'Weekly Data'!G844,'Weekly Data'!G792)</f>
        <v>3797.75</v>
      </c>
      <c r="N1000" s="16">
        <f>AVERAGE('Weekly Data'!H948,'Weekly Data'!H896,'Weekly Data'!H844,'Weekly Data'!H792)</f>
        <v>780</v>
      </c>
      <c r="O1000" s="101">
        <f>AVERAGE('Weekly Data'!I948,'Weekly Data'!I896,'Weekly Data'!I844,'Weekly Data'!I792)</f>
        <v>6631</v>
      </c>
      <c r="P1000" s="203">
        <f>AVERAGE('Weekly Data'!J948,'Weekly Data'!J896,'Weekly Data'!J844,'Weekly Data'!J792)</f>
        <v>1468.8930514340379</v>
      </c>
      <c r="R1000" s="13">
        <f t="shared" si="64"/>
        <v>41290</v>
      </c>
      <c r="S1000" s="106">
        <f t="shared" ref="S1000:Y1000" si="104">AVERAGE(B948,B896,B844,B791)</f>
        <v>586.375</v>
      </c>
      <c r="T1000" s="106">
        <f t="shared" si="104"/>
        <v>1158.4375</v>
      </c>
      <c r="U1000" s="109">
        <f t="shared" si="104"/>
        <v>703.75</v>
      </c>
      <c r="V1000" s="109">
        <f t="shared" si="104"/>
        <v>3285.1875</v>
      </c>
      <c r="W1000" s="110">
        <f t="shared" si="104"/>
        <v>687.75</v>
      </c>
      <c r="X1000" s="106">
        <f t="shared" si="104"/>
        <v>5717.75</v>
      </c>
      <c r="Y1000" s="204">
        <f t="shared" si="104"/>
        <v>1624.2452367345768</v>
      </c>
    </row>
    <row r="1001" spans="1:25" x14ac:dyDescent="0.25">
      <c r="A1001" s="105">
        <f t="shared" si="83"/>
        <v>41297</v>
      </c>
      <c r="B1001" s="59">
        <f>SUM('Weekly Data'!D998:D1001)/4</f>
        <v>1049.25</v>
      </c>
      <c r="C1001" s="90">
        <f>SUM('Weekly Data'!E998:E1001)/4</f>
        <v>696</v>
      </c>
      <c r="D1001" s="90" t="s">
        <v>34</v>
      </c>
      <c r="E1001" s="90">
        <f>SUM('Weekly Data'!G998:G1001)/4</f>
        <v>4359.25</v>
      </c>
      <c r="F1001" s="90">
        <f>SUM('Weekly Data'!H998:H1001)/4</f>
        <v>774.25</v>
      </c>
      <c r="G1001" s="90">
        <f>SUM('Weekly Data'!I998:I1001)/4</f>
        <v>6878.75</v>
      </c>
      <c r="H1001" s="202">
        <f>SUM('Weekly Data'!J998:J1001)/4</f>
        <v>1008.75</v>
      </c>
      <c r="J1001" s="101">
        <f>AVERAGE('Weekly Data'!D949,'Weekly Data'!D897,'Weekly Data'!D845,'Weekly Data'!D793)</f>
        <v>748</v>
      </c>
      <c r="K1001" s="16">
        <f>AVERAGE('Weekly Data'!E949,'Weekly Data'!E897,'Weekly Data'!E845,'Weekly Data'!E793)</f>
        <v>1249.25</v>
      </c>
      <c r="L1001" s="16">
        <f>AVERAGE('Weekly Data'!F949,'Weekly Data'!F897,'Weekly Data'!F845,'Weekly Data'!F793)</f>
        <v>889.25</v>
      </c>
      <c r="M1001" s="16">
        <f>AVERAGE('Weekly Data'!G949,'Weekly Data'!G897,'Weekly Data'!G845,'Weekly Data'!G793)</f>
        <v>3816.25</v>
      </c>
      <c r="N1001" s="16">
        <f>AVERAGE('Weekly Data'!H949,'Weekly Data'!H897,'Weekly Data'!H845,'Weekly Data'!H793)</f>
        <v>763.75</v>
      </c>
      <c r="O1001" s="101">
        <f>AVERAGE('Weekly Data'!I949,'Weekly Data'!I897,'Weekly Data'!I845,'Weekly Data'!I793)</f>
        <v>6577.25</v>
      </c>
      <c r="P1001" s="203">
        <f>AVERAGE('Weekly Data'!J949,'Weekly Data'!J897,'Weekly Data'!J845,'Weekly Data'!J793)</f>
        <v>1639.3573455766812</v>
      </c>
      <c r="R1001" s="13">
        <f t="shared" si="64"/>
        <v>41297</v>
      </c>
      <c r="S1001" s="106">
        <f t="shared" ref="S1001:Y1001" si="105">AVERAGE(B949,B897,B845,B792)</f>
        <v>624.8125</v>
      </c>
      <c r="T1001" s="106">
        <f t="shared" si="105"/>
        <v>1268.125</v>
      </c>
      <c r="U1001" s="109">
        <f t="shared" si="105"/>
        <v>706.8125</v>
      </c>
      <c r="V1001" s="109">
        <f t="shared" si="105"/>
        <v>3508.5</v>
      </c>
      <c r="W1001" s="110">
        <f t="shared" si="105"/>
        <v>745.375</v>
      </c>
      <c r="X1001" s="106">
        <f t="shared" si="105"/>
        <v>6146.8125</v>
      </c>
      <c r="Y1001" s="204">
        <f t="shared" si="105"/>
        <v>1591.728008399132</v>
      </c>
    </row>
    <row r="1002" spans="1:25" x14ac:dyDescent="0.25">
      <c r="A1002" s="105">
        <f t="shared" si="83"/>
        <v>41304</v>
      </c>
      <c r="B1002" s="59">
        <f>SUM('Weekly Data'!D999:D1002)/4</f>
        <v>1057.75</v>
      </c>
      <c r="C1002" s="90">
        <f>SUM('Weekly Data'!E999:E1002)/4</f>
        <v>695.25</v>
      </c>
      <c r="D1002" s="90" t="s">
        <v>34</v>
      </c>
      <c r="E1002" s="90">
        <f>SUM('Weekly Data'!G999:G1002)/4</f>
        <v>4556</v>
      </c>
      <c r="F1002" s="90">
        <f>SUM('Weekly Data'!H999:H1002)/4</f>
        <v>695</v>
      </c>
      <c r="G1002" s="90">
        <f>SUM('Weekly Data'!I999:I1002)/4</f>
        <v>7004</v>
      </c>
      <c r="H1002" s="202">
        <f>SUM('Weekly Data'!J999:J1002)/4</f>
        <v>1065</v>
      </c>
      <c r="J1002" s="101">
        <f>AVERAGE('Weekly Data'!D950,'Weekly Data'!D898,'Weekly Data'!D846,'Weekly Data'!D794)</f>
        <v>765.5</v>
      </c>
      <c r="K1002" s="16">
        <f>AVERAGE('Weekly Data'!E950,'Weekly Data'!E898,'Weekly Data'!E846,'Weekly Data'!E794)</f>
        <v>1703</v>
      </c>
      <c r="L1002" s="16">
        <f>AVERAGE('Weekly Data'!F950,'Weekly Data'!F898,'Weekly Data'!F846,'Weekly Data'!F794)</f>
        <v>623.5</v>
      </c>
      <c r="M1002" s="16">
        <f>AVERAGE('Weekly Data'!G950,'Weekly Data'!G898,'Weekly Data'!G846,'Weekly Data'!G794)</f>
        <v>3942.75</v>
      </c>
      <c r="N1002" s="16">
        <f>AVERAGE('Weekly Data'!H950,'Weekly Data'!H898,'Weekly Data'!H846,'Weekly Data'!H794)</f>
        <v>782</v>
      </c>
      <c r="O1002" s="101">
        <f>AVERAGE('Weekly Data'!I950,'Weekly Data'!I898,'Weekly Data'!I846,'Weekly Data'!I794)</f>
        <v>7193.25</v>
      </c>
      <c r="P1002" s="203">
        <f>AVERAGE('Weekly Data'!J950,'Weekly Data'!J898,'Weekly Data'!J846,'Weekly Data'!J794)</f>
        <v>1524.8523678825818</v>
      </c>
      <c r="R1002" s="13">
        <f t="shared" si="64"/>
        <v>41304</v>
      </c>
      <c r="S1002" s="106">
        <f t="shared" ref="S1002:Y1002" si="106">AVERAGE(B950,B898,B846,B793)</f>
        <v>674</v>
      </c>
      <c r="T1002" s="106">
        <f t="shared" si="106"/>
        <v>1305.875</v>
      </c>
      <c r="U1002" s="109">
        <f t="shared" si="106"/>
        <v>747.5625</v>
      </c>
      <c r="V1002" s="109">
        <f t="shared" si="106"/>
        <v>3601.0625</v>
      </c>
      <c r="W1002" s="110">
        <f t="shared" si="106"/>
        <v>791.75</v>
      </c>
      <c r="X1002" s="106">
        <f t="shared" si="106"/>
        <v>6372.6875</v>
      </c>
      <c r="Y1002" s="204">
        <f t="shared" si="106"/>
        <v>1627.9799729526296</v>
      </c>
    </row>
    <row r="1003" spans="1:25" x14ac:dyDescent="0.25">
      <c r="A1003" s="105">
        <f t="shared" si="83"/>
        <v>41311</v>
      </c>
      <c r="B1003" s="59">
        <f>SUM('Weekly Data'!D1000:D1003)/4</f>
        <v>1013</v>
      </c>
      <c r="C1003" s="90">
        <f>SUM('Weekly Data'!E1000:E1003)/4</f>
        <v>632.75</v>
      </c>
      <c r="D1003" s="90" t="s">
        <v>34</v>
      </c>
      <c r="E1003" s="90">
        <f>SUM('Weekly Data'!G1000:G1003)/4</f>
        <v>4363.75</v>
      </c>
      <c r="F1003" s="90">
        <f>SUM('Weekly Data'!H1000:H1003)/4</f>
        <v>726.5</v>
      </c>
      <c r="G1003" s="90">
        <f>SUM('Weekly Data'!I1000:I1003)/4</f>
        <v>6736</v>
      </c>
      <c r="H1003" s="202">
        <f>SUM('Weekly Data'!J1000:J1003)/4</f>
        <v>1161.25</v>
      </c>
      <c r="J1003" s="101">
        <f>AVERAGE('Weekly Data'!D951,'Weekly Data'!D899,'Weekly Data'!D847,'Weekly Data'!D795)</f>
        <v>730.5</v>
      </c>
      <c r="K1003" s="16">
        <f>AVERAGE('Weekly Data'!E951,'Weekly Data'!E899,'Weekly Data'!E847,'Weekly Data'!E795)</f>
        <v>1591</v>
      </c>
      <c r="L1003" s="16">
        <f>AVERAGE('Weekly Data'!F951,'Weekly Data'!F899,'Weekly Data'!F847,'Weekly Data'!F795)</f>
        <v>1012.75</v>
      </c>
      <c r="M1003" s="16">
        <f>AVERAGE('Weekly Data'!G951,'Weekly Data'!G899,'Weekly Data'!G847,'Weekly Data'!G795)</f>
        <v>4102.75</v>
      </c>
      <c r="N1003" s="16">
        <f>AVERAGE('Weekly Data'!H951,'Weekly Data'!H899,'Weekly Data'!H847,'Weekly Data'!H795)</f>
        <v>766.25</v>
      </c>
      <c r="O1003" s="101">
        <f>AVERAGE('Weekly Data'!I951,'Weekly Data'!I899,'Weekly Data'!I847,'Weekly Data'!I795)</f>
        <v>7190.5</v>
      </c>
      <c r="P1003" s="203">
        <f>AVERAGE('Weekly Data'!J951,'Weekly Data'!J899,'Weekly Data'!J847,'Weekly Data'!J795)</f>
        <v>1227.8466915596337</v>
      </c>
      <c r="R1003" s="13">
        <f t="shared" si="64"/>
        <v>41311</v>
      </c>
      <c r="S1003" s="106">
        <f t="shared" ref="S1003:Y1003" si="107">AVERAGE(B951,B899,B847,B794)</f>
        <v>717.5</v>
      </c>
      <c r="T1003" s="106">
        <f t="shared" si="107"/>
        <v>1414</v>
      </c>
      <c r="U1003" s="109">
        <f t="shared" si="107"/>
        <v>792.875</v>
      </c>
      <c r="V1003" s="109">
        <f t="shared" si="107"/>
        <v>3861.3125</v>
      </c>
      <c r="W1003" s="110">
        <f t="shared" si="107"/>
        <v>759.875</v>
      </c>
      <c r="X1003" s="106">
        <f t="shared" si="107"/>
        <v>6752.6875</v>
      </c>
      <c r="Y1003" s="204">
        <f t="shared" si="107"/>
        <v>1528.6010080183012</v>
      </c>
    </row>
    <row r="1004" spans="1:25" x14ac:dyDescent="0.25">
      <c r="A1004" s="105">
        <f t="shared" si="83"/>
        <v>41318</v>
      </c>
      <c r="B1004" s="59">
        <f>SUM('Weekly Data'!D1001:D1004)/4</f>
        <v>934.25</v>
      </c>
      <c r="C1004" s="90">
        <f>SUM('Weekly Data'!E1001:E1004)/4</f>
        <v>682.75</v>
      </c>
      <c r="D1004" s="90" t="s">
        <v>34</v>
      </c>
      <c r="E1004" s="90">
        <f>SUM('Weekly Data'!G1001:G1004)/4</f>
        <v>4271.75</v>
      </c>
      <c r="F1004" s="90">
        <f>SUM('Weekly Data'!H1001:H1004)/4</f>
        <v>892</v>
      </c>
      <c r="G1004" s="90">
        <f>SUM('Weekly Data'!I1001:I1004)/4</f>
        <v>6780.75</v>
      </c>
      <c r="H1004" s="202">
        <f>SUM('Weekly Data'!J1001:J1004)/4</f>
        <v>1109.25</v>
      </c>
      <c r="J1004" s="101">
        <f>AVERAGE('Weekly Data'!D952,'Weekly Data'!D900,'Weekly Data'!D848,'Weekly Data'!D796)</f>
        <v>903.75</v>
      </c>
      <c r="K1004" s="16">
        <f>AVERAGE('Weekly Data'!E952,'Weekly Data'!E900,'Weekly Data'!E848,'Weekly Data'!E796)</f>
        <v>1465.75</v>
      </c>
      <c r="L1004" s="16">
        <f>AVERAGE('Weekly Data'!F952,'Weekly Data'!F900,'Weekly Data'!F848,'Weekly Data'!F796)</f>
        <v>699</v>
      </c>
      <c r="M1004" s="16">
        <f>AVERAGE('Weekly Data'!G952,'Weekly Data'!G900,'Weekly Data'!G848,'Weekly Data'!G796)</f>
        <v>3850</v>
      </c>
      <c r="N1004" s="16">
        <f>AVERAGE('Weekly Data'!H952,'Weekly Data'!H900,'Weekly Data'!H848,'Weekly Data'!H796)</f>
        <v>762</v>
      </c>
      <c r="O1004" s="101">
        <f>AVERAGE('Weekly Data'!I952,'Weekly Data'!I900,'Weekly Data'!I848,'Weekly Data'!I796)</f>
        <v>6981.5</v>
      </c>
      <c r="P1004" s="203">
        <f>AVERAGE('Weekly Data'!J952,'Weekly Data'!J900,'Weekly Data'!J848,'Weekly Data'!J796)</f>
        <v>1661.0815292938325</v>
      </c>
      <c r="R1004" s="13">
        <f t="shared" si="64"/>
        <v>41318</v>
      </c>
      <c r="S1004" s="106">
        <f t="shared" ref="S1004:Y1004" si="108">AVERAGE(B952,B900,B848,B795)</f>
        <v>756</v>
      </c>
      <c r="T1004" s="106">
        <f t="shared" si="108"/>
        <v>1491.3125</v>
      </c>
      <c r="U1004" s="109">
        <f t="shared" si="108"/>
        <v>804.5</v>
      </c>
      <c r="V1004" s="109">
        <f t="shared" si="108"/>
        <v>3937.6875</v>
      </c>
      <c r="W1004" s="110">
        <f t="shared" si="108"/>
        <v>755.1875</v>
      </c>
      <c r="X1004" s="106">
        <f t="shared" si="108"/>
        <v>6940.1875</v>
      </c>
      <c r="Y1004" s="204">
        <f t="shared" si="108"/>
        <v>1484.9887055625804</v>
      </c>
    </row>
    <row r="1005" spans="1:25" x14ac:dyDescent="0.25">
      <c r="A1005" s="105">
        <f t="shared" si="83"/>
        <v>41325</v>
      </c>
      <c r="B1005" s="59">
        <f>SUM('Weekly Data'!D1002:D1005)/4</f>
        <v>755.25</v>
      </c>
      <c r="C1005" s="90">
        <f>SUM('Weekly Data'!E1002:E1005)/4</f>
        <v>818.5</v>
      </c>
      <c r="D1005" s="90" t="s">
        <v>34</v>
      </c>
      <c r="E1005" s="90">
        <f>SUM('Weekly Data'!G1002:G1005)/4</f>
        <v>4369</v>
      </c>
      <c r="F1005" s="90">
        <f>SUM('Weekly Data'!H1002:H1005)/4</f>
        <v>782.75</v>
      </c>
      <c r="G1005" s="90">
        <f>SUM('Weekly Data'!I1002:I1005)/4</f>
        <v>6725.5</v>
      </c>
      <c r="H1005" s="202">
        <f>SUM('Weekly Data'!J1002:J1005)/4</f>
        <v>1125</v>
      </c>
      <c r="J1005" s="101">
        <f>AVERAGE('Weekly Data'!D953,'Weekly Data'!D901,'Weekly Data'!D849,'Weekly Data'!D797)</f>
        <v>686.5</v>
      </c>
      <c r="K1005" s="16">
        <f>AVERAGE('Weekly Data'!E953,'Weekly Data'!E901,'Weekly Data'!E849,'Weekly Data'!E797)</f>
        <v>1140.25</v>
      </c>
      <c r="L1005" s="16">
        <f>AVERAGE('Weekly Data'!F953,'Weekly Data'!F901,'Weekly Data'!F849,'Weekly Data'!F797)</f>
        <v>1108.5</v>
      </c>
      <c r="M1005" s="16">
        <f>AVERAGE('Weekly Data'!G953,'Weekly Data'!G901,'Weekly Data'!G849,'Weekly Data'!G797)</f>
        <v>4181.75</v>
      </c>
      <c r="N1005" s="16">
        <f>AVERAGE('Weekly Data'!H953,'Weekly Data'!H901,'Weekly Data'!H849,'Weekly Data'!H797)</f>
        <v>759.5</v>
      </c>
      <c r="O1005" s="101">
        <f>AVERAGE('Weekly Data'!I953,'Weekly Data'!I901,'Weekly Data'!I849,'Weekly Data'!I797)</f>
        <v>6768</v>
      </c>
      <c r="P1005" s="203">
        <f>AVERAGE('Weekly Data'!J953,'Weekly Data'!J901,'Weekly Data'!J849,'Weekly Data'!J797)</f>
        <v>1547.9297886501242</v>
      </c>
      <c r="R1005" s="13">
        <f t="shared" si="64"/>
        <v>41325</v>
      </c>
      <c r="S1005" s="106">
        <f t="shared" ref="S1005:Y1005" si="109">AVERAGE(B953,B901,B849,B796)</f>
        <v>780.1875</v>
      </c>
      <c r="T1005" s="106">
        <f t="shared" si="109"/>
        <v>1459.4375</v>
      </c>
      <c r="U1005" s="109">
        <f t="shared" si="109"/>
        <v>859.375</v>
      </c>
      <c r="V1005" s="109">
        <f t="shared" si="109"/>
        <v>3998</v>
      </c>
      <c r="W1005" s="110">
        <f t="shared" si="109"/>
        <v>773.9375</v>
      </c>
      <c r="X1005" s="106">
        <f t="shared" si="109"/>
        <v>7011.5625</v>
      </c>
      <c r="Y1005" s="204">
        <f t="shared" si="109"/>
        <v>1486.5428307599855</v>
      </c>
    </row>
    <row r="1006" spans="1:25" x14ac:dyDescent="0.25">
      <c r="A1006" s="105">
        <f t="shared" si="83"/>
        <v>41332</v>
      </c>
      <c r="B1006" s="59">
        <f>SUM('Weekly Data'!D1003:D1006)/4</f>
        <v>535</v>
      </c>
      <c r="C1006" s="90">
        <f>SUM('Weekly Data'!E1003:E1006)/4</f>
        <v>833.25</v>
      </c>
      <c r="D1006" s="90" t="s">
        <v>34</v>
      </c>
      <c r="E1006" s="90">
        <f>SUM('Weekly Data'!G1003:G1006)/4</f>
        <v>4176</v>
      </c>
      <c r="F1006" s="90">
        <f>SUM('Weekly Data'!H1003:H1006)/4</f>
        <v>764.25</v>
      </c>
      <c r="G1006" s="90">
        <f>SUM('Weekly Data'!I1003:I1006)/4</f>
        <v>6308.5</v>
      </c>
      <c r="H1006" s="202">
        <f>SUM('Weekly Data'!J1003:J1006)/4</f>
        <v>1153.5</v>
      </c>
      <c r="J1006" s="101">
        <f>AVERAGE('Weekly Data'!D954,'Weekly Data'!D902,'Weekly Data'!D850,'Weekly Data'!D798)</f>
        <v>836.25</v>
      </c>
      <c r="K1006" s="16">
        <f>AVERAGE('Weekly Data'!E954,'Weekly Data'!E902,'Weekly Data'!E850,'Weekly Data'!E798)</f>
        <v>1251.25</v>
      </c>
      <c r="L1006" s="16">
        <f>AVERAGE('Weekly Data'!F954,'Weekly Data'!F902,'Weekly Data'!F850,'Weekly Data'!F798)</f>
        <v>918.75</v>
      </c>
      <c r="M1006" s="16">
        <f>AVERAGE('Weekly Data'!G954,'Weekly Data'!G902,'Weekly Data'!G850,'Weekly Data'!G798)</f>
        <v>3724.5</v>
      </c>
      <c r="N1006" s="16">
        <f>AVERAGE('Weekly Data'!H954,'Weekly Data'!H902,'Weekly Data'!H850,'Weekly Data'!H798)</f>
        <v>846</v>
      </c>
      <c r="O1006" s="101">
        <f>AVERAGE('Weekly Data'!I954,'Weekly Data'!I902,'Weekly Data'!I850,'Weekly Data'!I798)</f>
        <v>6658</v>
      </c>
      <c r="P1006" s="203">
        <f>AVERAGE('Weekly Data'!J954,'Weekly Data'!J902,'Weekly Data'!J850,'Weekly Data'!J798)</f>
        <v>1760.3950851485067</v>
      </c>
      <c r="R1006" s="13">
        <f t="shared" si="64"/>
        <v>41332</v>
      </c>
      <c r="S1006" s="106">
        <f t="shared" ref="S1006:Y1006" si="110">AVERAGE(B954,B902,B850,B797)</f>
        <v>778.1875</v>
      </c>
      <c r="T1006" s="106">
        <f t="shared" si="110"/>
        <v>1382.875</v>
      </c>
      <c r="U1006" s="109">
        <f t="shared" si="110"/>
        <v>911.625</v>
      </c>
      <c r="V1006" s="109">
        <f t="shared" si="110"/>
        <v>4025.5625</v>
      </c>
      <c r="W1006" s="110">
        <f t="shared" si="110"/>
        <v>779.1875</v>
      </c>
      <c r="X1006" s="106">
        <f t="shared" si="110"/>
        <v>6965.8125</v>
      </c>
      <c r="Y1006" s="204">
        <f t="shared" si="110"/>
        <v>1520.4925275951846</v>
      </c>
    </row>
    <row r="1007" spans="1:25" x14ac:dyDescent="0.25">
      <c r="A1007" s="105">
        <f t="shared" si="83"/>
        <v>41339</v>
      </c>
      <c r="B1007" s="59">
        <f>SUM('Weekly Data'!D1004:D1007)/4</f>
        <v>291.75</v>
      </c>
      <c r="C1007" s="90">
        <f>SUM('Weekly Data'!E1004:E1007)/4</f>
        <v>968.75</v>
      </c>
      <c r="D1007" s="90" t="s">
        <v>34</v>
      </c>
      <c r="E1007" s="90">
        <f>SUM('Weekly Data'!G1004:G1007)/4</f>
        <v>4286</v>
      </c>
      <c r="F1007" s="90">
        <f>SUM('Weekly Data'!H1004:H1007)/4</f>
        <v>671.75</v>
      </c>
      <c r="G1007" s="90">
        <f>SUM('Weekly Data'!I1004:I1007)/4</f>
        <v>6218.25</v>
      </c>
      <c r="H1007" s="202">
        <f>SUM('Weekly Data'!J1004:J1007)/4</f>
        <v>1038</v>
      </c>
      <c r="J1007" s="101">
        <f>AVERAGE('Weekly Data'!D955,'Weekly Data'!D903,'Weekly Data'!D851,'Weekly Data'!D799)</f>
        <v>719</v>
      </c>
      <c r="K1007" s="16">
        <f>AVERAGE('Weekly Data'!E955,'Weekly Data'!E903,'Weekly Data'!E851,'Weekly Data'!E799)</f>
        <v>1763.25</v>
      </c>
      <c r="L1007" s="16">
        <f>AVERAGE('Weekly Data'!F955,'Weekly Data'!F903,'Weekly Data'!F851,'Weekly Data'!F799)</f>
        <v>1154.5</v>
      </c>
      <c r="M1007" s="16">
        <f>AVERAGE('Weekly Data'!G955,'Weekly Data'!G903,'Weekly Data'!G851,'Weekly Data'!G799)</f>
        <v>4107.75</v>
      </c>
      <c r="N1007" s="16">
        <f>AVERAGE('Weekly Data'!H955,'Weekly Data'!H903,'Weekly Data'!H851,'Weekly Data'!H799)</f>
        <v>720.75</v>
      </c>
      <c r="O1007" s="101">
        <f>AVERAGE('Weekly Data'!I955,'Weekly Data'!I903,'Weekly Data'!I851,'Weekly Data'!I799)</f>
        <v>7310.75</v>
      </c>
      <c r="P1007" s="203">
        <f>AVERAGE('Weekly Data'!J955,'Weekly Data'!J903,'Weekly Data'!J851,'Weekly Data'!J799)</f>
        <v>1789.8581963649804</v>
      </c>
      <c r="R1007" s="13">
        <f t="shared" si="64"/>
        <v>41339</v>
      </c>
      <c r="S1007" s="106">
        <f t="shared" ref="S1007:Y1007" si="111">AVERAGE(B955,B903,B851,B798)</f>
        <v>812.5</v>
      </c>
      <c r="T1007" s="106">
        <f t="shared" si="111"/>
        <v>1430.8125</v>
      </c>
      <c r="U1007" s="109">
        <f t="shared" si="111"/>
        <v>943.3125</v>
      </c>
      <c r="V1007" s="109">
        <f t="shared" si="111"/>
        <v>3971.1875</v>
      </c>
      <c r="W1007" s="110">
        <f t="shared" si="111"/>
        <v>778.5</v>
      </c>
      <c r="X1007" s="106">
        <f t="shared" si="111"/>
        <v>6993</v>
      </c>
      <c r="Y1007" s="204">
        <f t="shared" si="111"/>
        <v>1634.7994979898697</v>
      </c>
    </row>
    <row r="1008" spans="1:25" x14ac:dyDescent="0.25">
      <c r="A1008" s="105">
        <f t="shared" si="83"/>
        <v>41346</v>
      </c>
      <c r="B1008" s="59">
        <f>SUM('Weekly Data'!D1005:D1008)/4</f>
        <v>116</v>
      </c>
      <c r="C1008" s="90">
        <f>SUM('Weekly Data'!E1005:E1008)/4</f>
        <v>999.25</v>
      </c>
      <c r="D1008" s="90" t="s">
        <v>34</v>
      </c>
      <c r="E1008" s="90">
        <f>SUM('Weekly Data'!G1005:G1008)/4</f>
        <v>4157.75</v>
      </c>
      <c r="F1008" s="90">
        <f>SUM('Weekly Data'!H1005:H1008)/4</f>
        <v>469</v>
      </c>
      <c r="G1008" s="90">
        <f>SUM('Weekly Data'!I1005:I1008)/4</f>
        <v>5742</v>
      </c>
      <c r="H1008" s="202">
        <f>SUM('Weekly Data'!J1005:J1008)/4</f>
        <v>1098.5</v>
      </c>
      <c r="J1008" s="101">
        <f>AVERAGE('Weekly Data'!D956,'Weekly Data'!D904,'Weekly Data'!D852,'Weekly Data'!D800)</f>
        <v>483.5</v>
      </c>
      <c r="K1008" s="16">
        <f>AVERAGE('Weekly Data'!E956,'Weekly Data'!E904,'Weekly Data'!E852,'Weekly Data'!E800)</f>
        <v>1409.5</v>
      </c>
      <c r="L1008" s="16">
        <f>AVERAGE('Weekly Data'!F956,'Weekly Data'!F904,'Weekly Data'!F852,'Weekly Data'!F800)</f>
        <v>896</v>
      </c>
      <c r="M1008" s="16">
        <f>AVERAGE('Weekly Data'!G956,'Weekly Data'!G904,'Weekly Data'!G852,'Weekly Data'!G800)</f>
        <v>3736</v>
      </c>
      <c r="N1008" s="16">
        <f>AVERAGE('Weekly Data'!H956,'Weekly Data'!H904,'Weekly Data'!H852,'Weekly Data'!H800)</f>
        <v>574</v>
      </c>
      <c r="O1008" s="101">
        <f>AVERAGE('Weekly Data'!I956,'Weekly Data'!I904,'Weekly Data'!I852,'Weekly Data'!I800)</f>
        <v>6203</v>
      </c>
      <c r="P1008" s="203">
        <f>AVERAGE('Weekly Data'!J956,'Weekly Data'!J904,'Weekly Data'!J852,'Weekly Data'!J800)</f>
        <v>2169.0522198102935</v>
      </c>
      <c r="R1008" s="13">
        <f t="shared" si="64"/>
        <v>41346</v>
      </c>
      <c r="S1008" s="106">
        <f t="shared" ref="S1008:Y1008" si="112">AVERAGE(B956,B904,B852,B799)</f>
        <v>752.625</v>
      </c>
      <c r="T1008" s="106">
        <f t="shared" si="112"/>
        <v>1388.9375</v>
      </c>
      <c r="U1008" s="109">
        <f t="shared" si="112"/>
        <v>1036.5625</v>
      </c>
      <c r="V1008" s="109">
        <f t="shared" si="112"/>
        <v>3954.875</v>
      </c>
      <c r="W1008" s="110">
        <f t="shared" si="112"/>
        <v>740.25</v>
      </c>
      <c r="X1008" s="106">
        <f t="shared" si="112"/>
        <v>6836.6875</v>
      </c>
      <c r="Y1008" s="204">
        <f t="shared" si="112"/>
        <v>1834.3952522434327</v>
      </c>
    </row>
    <row r="1009" spans="1:25" x14ac:dyDescent="0.25">
      <c r="A1009" s="105">
        <f t="shared" si="83"/>
        <v>41353</v>
      </c>
      <c r="B1009" s="59">
        <f>SUM('Weekly Data'!D1006:D1009)/4</f>
        <v>90.75</v>
      </c>
      <c r="C1009" s="90">
        <f>SUM('Weekly Data'!E1006:E1009)/4</f>
        <v>1013.5</v>
      </c>
      <c r="D1009" s="90" t="s">
        <v>34</v>
      </c>
      <c r="E1009" s="90">
        <f>SUM('Weekly Data'!G1006:G1009)/4</f>
        <v>3803</v>
      </c>
      <c r="F1009" s="90">
        <f>SUM('Weekly Data'!H1006:H1009)/4</f>
        <v>372</v>
      </c>
      <c r="G1009" s="90">
        <f>SUM('Weekly Data'!I1006:I1009)/4</f>
        <v>5279.25</v>
      </c>
      <c r="H1009" s="202">
        <f>SUM('Weekly Data'!J1006:J1009)/4</f>
        <v>1100.75</v>
      </c>
      <c r="J1009" s="101">
        <f>AVERAGE('Weekly Data'!D957,'Weekly Data'!D905,'Weekly Data'!D853,'Weekly Data'!D801)</f>
        <v>623.25</v>
      </c>
      <c r="K1009" s="16">
        <f>AVERAGE('Weekly Data'!E957,'Weekly Data'!E905,'Weekly Data'!E853,'Weekly Data'!E801)</f>
        <v>1228.75</v>
      </c>
      <c r="L1009" s="16">
        <f>AVERAGE('Weekly Data'!F957,'Weekly Data'!F905,'Weekly Data'!F853,'Weekly Data'!F801)</f>
        <v>1038</v>
      </c>
      <c r="M1009" s="16">
        <f>AVERAGE('Weekly Data'!G957,'Weekly Data'!G905,'Weekly Data'!G853,'Weekly Data'!G801)</f>
        <v>4313.25</v>
      </c>
      <c r="N1009" s="16">
        <f>AVERAGE('Weekly Data'!H957,'Weekly Data'!H905,'Weekly Data'!H853,'Weekly Data'!H801)</f>
        <v>825.5</v>
      </c>
      <c r="O1009" s="101">
        <f>AVERAGE('Weekly Data'!I957,'Weekly Data'!I905,'Weekly Data'!I853,'Weekly Data'!I801)</f>
        <v>6990.75</v>
      </c>
      <c r="P1009" s="203">
        <f>AVERAGE('Weekly Data'!J957,'Weekly Data'!J905,'Weekly Data'!J853,'Weekly Data'!J801)</f>
        <v>1669.7198770418859</v>
      </c>
      <c r="R1009" s="13">
        <f t="shared" si="64"/>
        <v>41353</v>
      </c>
      <c r="S1009" s="106">
        <f t="shared" ref="S1009:Y1009" si="113">AVERAGE(B957,B905,B853,B800)</f>
        <v>714.75</v>
      </c>
      <c r="T1009" s="106">
        <f t="shared" si="113"/>
        <v>1421.0625</v>
      </c>
      <c r="U1009" s="109">
        <f t="shared" si="113"/>
        <v>1017</v>
      </c>
      <c r="V1009" s="109">
        <f t="shared" si="113"/>
        <v>3951.125</v>
      </c>
      <c r="W1009" s="110">
        <f t="shared" si="113"/>
        <v>733.125</v>
      </c>
      <c r="X1009" s="106">
        <f t="shared" si="113"/>
        <v>6820.0625</v>
      </c>
      <c r="Y1009" s="204">
        <f t="shared" si="113"/>
        <v>1864.632787120478</v>
      </c>
    </row>
    <row r="1010" spans="1:25" x14ac:dyDescent="0.25">
      <c r="A1010" s="105">
        <f t="shared" si="83"/>
        <v>41360</v>
      </c>
      <c r="B1010" s="59">
        <f>SUM('Weekly Data'!D1007:D1010)/4</f>
        <v>49</v>
      </c>
      <c r="C1010" s="90">
        <f>SUM('Weekly Data'!E1007:E1010)/4</f>
        <v>1142</v>
      </c>
      <c r="D1010" s="90" t="s">
        <v>34</v>
      </c>
      <c r="E1010" s="90">
        <f>SUM('Weekly Data'!G1007:G1010)/4</f>
        <v>3776</v>
      </c>
      <c r="F1010" s="90">
        <f>SUM('Weekly Data'!H1007:H1010)/4</f>
        <v>283.75</v>
      </c>
      <c r="G1010" s="90">
        <f>SUM('Weekly Data'!I1007:I1010)/4</f>
        <v>5250.75</v>
      </c>
      <c r="H1010" s="202">
        <f>SUM('Weekly Data'!J1007:J1010)/4</f>
        <v>1175.25</v>
      </c>
      <c r="J1010" s="101">
        <f>AVERAGE('Weekly Data'!D958,'Weekly Data'!D906,'Weekly Data'!D854,'Weekly Data'!D802)</f>
        <v>426</v>
      </c>
      <c r="K1010" s="16">
        <f>AVERAGE('Weekly Data'!E958,'Weekly Data'!E906,'Weekly Data'!E854,'Weekly Data'!E802)</f>
        <v>1642.5</v>
      </c>
      <c r="L1010" s="16">
        <f>AVERAGE('Weekly Data'!F958,'Weekly Data'!F906,'Weekly Data'!F854,'Weekly Data'!F802)</f>
        <v>951.25</v>
      </c>
      <c r="M1010" s="16">
        <f>AVERAGE('Weekly Data'!G958,'Weekly Data'!G906,'Weekly Data'!G854,'Weekly Data'!G802)</f>
        <v>3976.25</v>
      </c>
      <c r="N1010" s="16">
        <f>AVERAGE('Weekly Data'!H958,'Weekly Data'!H906,'Weekly Data'!H854,'Weekly Data'!H802)</f>
        <v>620</v>
      </c>
      <c r="O1010" s="101">
        <f>AVERAGE('Weekly Data'!I958,'Weekly Data'!I906,'Weekly Data'!I854,'Weekly Data'!I802)</f>
        <v>6664.75</v>
      </c>
      <c r="P1010" s="203">
        <f>AVERAGE('Weekly Data'!J958,'Weekly Data'!J906,'Weekly Data'!J854,'Weekly Data'!J802)</f>
        <v>1964.7943825309978</v>
      </c>
      <c r="R1010" s="13">
        <f t="shared" si="64"/>
        <v>41360</v>
      </c>
      <c r="S1010" s="106">
        <f t="shared" ref="S1010:Y1010" si="114">AVERAGE(B958,B906,B854,B801)</f>
        <v>621</v>
      </c>
      <c r="T1010" s="106">
        <f t="shared" si="114"/>
        <v>1504.3125</v>
      </c>
      <c r="U1010" s="109">
        <f t="shared" si="114"/>
        <v>1034.5</v>
      </c>
      <c r="V1010" s="109">
        <f t="shared" si="114"/>
        <v>4040</v>
      </c>
      <c r="W1010" s="110">
        <f t="shared" si="114"/>
        <v>688.1875</v>
      </c>
      <c r="X1010" s="106">
        <f t="shared" si="114"/>
        <v>6853.5</v>
      </c>
      <c r="Y1010" s="204">
        <f t="shared" si="114"/>
        <v>1955.6826802413757</v>
      </c>
    </row>
    <row r="1011" spans="1:25" x14ac:dyDescent="0.25">
      <c r="A1011" s="105">
        <f t="shared" si="83"/>
        <v>41367</v>
      </c>
      <c r="B1011" s="59">
        <f>SUM('Weekly Data'!D1008:D1011)/4</f>
        <v>83.5</v>
      </c>
      <c r="C1011" s="90">
        <f>SUM('Weekly Data'!E1008:E1011)/4</f>
        <v>1363.75</v>
      </c>
      <c r="D1011" s="90" t="s">
        <v>34</v>
      </c>
      <c r="E1011" s="90">
        <f>SUM('Weekly Data'!G1008:G1011)/4</f>
        <v>3452.25</v>
      </c>
      <c r="F1011" s="90">
        <f>SUM('Weekly Data'!H1008:H1011)/4</f>
        <v>198.5</v>
      </c>
      <c r="G1011" s="90">
        <f>SUM('Weekly Data'!I1008:I1011)/4</f>
        <v>5098</v>
      </c>
      <c r="H1011" s="202">
        <f>SUM('Weekly Data'!J1008:J1011)/4</f>
        <v>1291.25</v>
      </c>
      <c r="J1011" s="101">
        <f>AVERAGE('Weekly Data'!D959,'Weekly Data'!D907,'Weekly Data'!D855,'Weekly Data'!D803)</f>
        <v>461</v>
      </c>
      <c r="K1011" s="16">
        <f>AVERAGE('Weekly Data'!E959,'Weekly Data'!E907,'Weekly Data'!E855,'Weekly Data'!E803)</f>
        <v>1454.5</v>
      </c>
      <c r="L1011" s="16">
        <f>AVERAGE('Weekly Data'!F959,'Weekly Data'!F907,'Weekly Data'!F855,'Weekly Data'!F803)</f>
        <v>1404</v>
      </c>
      <c r="M1011" s="16">
        <f>AVERAGE('Weekly Data'!G959,'Weekly Data'!G907,'Weekly Data'!G855,'Weekly Data'!G803)</f>
        <v>4022.25</v>
      </c>
      <c r="N1011" s="16">
        <f>AVERAGE('Weekly Data'!H959,'Weekly Data'!H907,'Weekly Data'!H855,'Weekly Data'!H803)</f>
        <v>499.5</v>
      </c>
      <c r="O1011" s="101">
        <f>AVERAGE('Weekly Data'!I959,'Weekly Data'!I907,'Weekly Data'!I855,'Weekly Data'!I803)</f>
        <v>6437.25</v>
      </c>
      <c r="P1011" s="203">
        <f>AVERAGE('Weekly Data'!J959,'Weekly Data'!J907,'Weekly Data'!J855,'Weekly Data'!J803)</f>
        <v>2017.1763080253686</v>
      </c>
      <c r="R1011" s="13">
        <f t="shared" si="64"/>
        <v>41367</v>
      </c>
      <c r="S1011" s="106">
        <f t="shared" ref="S1011:Y1011" si="115">AVERAGE(B959,B907,B855,B802)</f>
        <v>532.4375</v>
      </c>
      <c r="T1011" s="106">
        <f t="shared" si="115"/>
        <v>1462.625</v>
      </c>
      <c r="U1011" s="109">
        <f t="shared" si="115"/>
        <v>1092.625</v>
      </c>
      <c r="V1011" s="109">
        <f t="shared" si="115"/>
        <v>4003.25</v>
      </c>
      <c r="W1011" s="110">
        <f t="shared" si="115"/>
        <v>649.6875</v>
      </c>
      <c r="X1011" s="106">
        <f t="shared" si="115"/>
        <v>6648</v>
      </c>
      <c r="Y1011" s="204">
        <f t="shared" si="115"/>
        <v>1972.0371713289605</v>
      </c>
    </row>
    <row r="1012" spans="1:25" x14ac:dyDescent="0.25">
      <c r="A1012" s="105">
        <f t="shared" si="83"/>
        <v>41374</v>
      </c>
      <c r="B1012" s="59">
        <f>SUM('Weekly Data'!D1009:D1012)/4</f>
        <v>114</v>
      </c>
      <c r="C1012" s="90">
        <f>SUM('Weekly Data'!E1009:E1012)/4</f>
        <v>1394.5</v>
      </c>
      <c r="D1012" s="90" t="s">
        <v>34</v>
      </c>
      <c r="E1012" s="90">
        <f>SUM('Weekly Data'!G1009:G1012)/4</f>
        <v>2887</v>
      </c>
      <c r="F1012" s="90">
        <f>SUM('Weekly Data'!H1009:H1012)/4</f>
        <v>142.25</v>
      </c>
      <c r="G1012" s="90">
        <f>SUM('Weekly Data'!I1009:I1012)/4</f>
        <v>4537.75</v>
      </c>
      <c r="H1012" s="202">
        <f>SUM('Weekly Data'!J1009:J1012)/4</f>
        <v>1309.75</v>
      </c>
      <c r="J1012" s="101">
        <f>AVERAGE('Weekly Data'!D960,'Weekly Data'!D908,'Weekly Data'!D856,'Weekly Data'!D804)</f>
        <v>298.5</v>
      </c>
      <c r="K1012" s="16">
        <f>AVERAGE('Weekly Data'!E960,'Weekly Data'!E908,'Weekly Data'!E856,'Weekly Data'!E804)</f>
        <v>1128.5</v>
      </c>
      <c r="L1012" s="16">
        <f>AVERAGE('Weekly Data'!F960,'Weekly Data'!F908,'Weekly Data'!F856,'Weekly Data'!F804)</f>
        <v>1026.75</v>
      </c>
      <c r="M1012" s="16">
        <f>AVERAGE('Weekly Data'!G960,'Weekly Data'!G908,'Weekly Data'!G856,'Weekly Data'!G804)</f>
        <v>3772.25</v>
      </c>
      <c r="N1012" s="16">
        <f>AVERAGE('Weekly Data'!H960,'Weekly Data'!H908,'Weekly Data'!H856,'Weekly Data'!H804)</f>
        <v>491</v>
      </c>
      <c r="O1012" s="101">
        <f>AVERAGE('Weekly Data'!I960,'Weekly Data'!I908,'Weekly Data'!I856,'Weekly Data'!I804)</f>
        <v>5690.25</v>
      </c>
      <c r="P1012" s="203">
        <f>AVERAGE('Weekly Data'!J960,'Weekly Data'!J908,'Weekly Data'!J856,'Weekly Data'!J804)</f>
        <v>2349.9177270558316</v>
      </c>
      <c r="R1012" s="13">
        <f t="shared" si="64"/>
        <v>41374</v>
      </c>
      <c r="S1012" s="106">
        <f t="shared" ref="S1012:Y1012" si="116">AVERAGE(B960,B908,B856,B803)</f>
        <v>456.625</v>
      </c>
      <c r="T1012" s="106">
        <f t="shared" si="116"/>
        <v>1407.625</v>
      </c>
      <c r="U1012" s="109">
        <f t="shared" si="116"/>
        <v>1085</v>
      </c>
      <c r="V1012" s="109">
        <f t="shared" si="116"/>
        <v>3945.9375</v>
      </c>
      <c r="W1012" s="110">
        <f t="shared" si="116"/>
        <v>602.1875</v>
      </c>
      <c r="X1012" s="106">
        <f t="shared" si="116"/>
        <v>6412.375</v>
      </c>
      <c r="Y1012" s="204">
        <f t="shared" si="116"/>
        <v>2034.7874810850781</v>
      </c>
    </row>
    <row r="1013" spans="1:25" x14ac:dyDescent="0.25">
      <c r="A1013" s="105">
        <f t="shared" si="83"/>
        <v>41381</v>
      </c>
      <c r="B1013" s="59">
        <f>SUM('Weekly Data'!D1010:D1013)/4</f>
        <v>77.25</v>
      </c>
      <c r="C1013" s="90">
        <f>SUM('Weekly Data'!E1010:E1013)/4</f>
        <v>1502.25</v>
      </c>
      <c r="D1013" s="90" t="s">
        <v>34</v>
      </c>
      <c r="E1013" s="90">
        <f>SUM('Weekly Data'!G1010:G1013)/4</f>
        <v>2359.25</v>
      </c>
      <c r="F1013" s="90">
        <f>SUM('Weekly Data'!H1010:H1013)/4</f>
        <v>104</v>
      </c>
      <c r="G1013" s="90">
        <f>SUM('Weekly Data'!I1010:I1013)/4</f>
        <v>4042.75</v>
      </c>
      <c r="H1013" s="202">
        <f>SUM('Weekly Data'!J1010:J1013)/4</f>
        <v>1370.5</v>
      </c>
      <c r="J1013" s="101">
        <f>AVERAGE('Weekly Data'!D961,'Weekly Data'!D909,'Weekly Data'!D857,'Weekly Data'!D805)</f>
        <v>122.25</v>
      </c>
      <c r="K1013" s="16">
        <f>AVERAGE('Weekly Data'!E961,'Weekly Data'!E909,'Weekly Data'!E857,'Weekly Data'!E805)</f>
        <v>1168.75</v>
      </c>
      <c r="L1013" s="16">
        <f>AVERAGE('Weekly Data'!F961,'Weekly Data'!F909,'Weekly Data'!F857,'Weekly Data'!F805)</f>
        <v>1215</v>
      </c>
      <c r="M1013" s="16">
        <f>AVERAGE('Weekly Data'!G961,'Weekly Data'!G909,'Weekly Data'!G857,'Weekly Data'!G805)</f>
        <v>3715</v>
      </c>
      <c r="N1013" s="16">
        <f>AVERAGE('Weekly Data'!H961,'Weekly Data'!H909,'Weekly Data'!H857,'Weekly Data'!H805)</f>
        <v>411</v>
      </c>
      <c r="O1013" s="101">
        <f>AVERAGE('Weekly Data'!I961,'Weekly Data'!I909,'Weekly Data'!I857,'Weekly Data'!I805)</f>
        <v>5417</v>
      </c>
      <c r="P1013" s="203">
        <f>AVERAGE('Weekly Data'!J961,'Weekly Data'!J909,'Weekly Data'!J857,'Weekly Data'!J805)</f>
        <v>2009.6220958677657</v>
      </c>
      <c r="R1013" s="13">
        <f t="shared" si="64"/>
        <v>41381</v>
      </c>
      <c r="S1013" s="106">
        <f t="shared" ref="S1013:Y1013" si="117">AVERAGE(B961,B909,B857,B804)</f>
        <v>324.6875</v>
      </c>
      <c r="T1013" s="106">
        <f t="shared" si="117"/>
        <v>1364.875</v>
      </c>
      <c r="U1013" s="109">
        <f t="shared" si="117"/>
        <v>1168.75</v>
      </c>
      <c r="V1013" s="109">
        <f t="shared" si="117"/>
        <v>3914.1875</v>
      </c>
      <c r="W1013" s="110">
        <f t="shared" si="117"/>
        <v>533.5</v>
      </c>
      <c r="X1013" s="106">
        <f t="shared" si="117"/>
        <v>6137.25</v>
      </c>
      <c r="Y1013" s="204">
        <f t="shared" si="117"/>
        <v>2094.8795501154896</v>
      </c>
    </row>
    <row r="1014" spans="1:25" x14ac:dyDescent="0.25">
      <c r="A1014" s="105">
        <f t="shared" si="83"/>
        <v>41388</v>
      </c>
      <c r="B1014" s="59">
        <f>SUM('Weekly Data'!D1011:D1014)/4</f>
        <v>77</v>
      </c>
      <c r="C1014" s="90">
        <f>SUM('Weekly Data'!E1011:E1014)/4</f>
        <v>1503</v>
      </c>
      <c r="D1014" s="90" t="s">
        <v>34</v>
      </c>
      <c r="E1014" s="90">
        <f>SUM('Weekly Data'!G1011:G1014)/4</f>
        <v>1881.25</v>
      </c>
      <c r="F1014" s="90">
        <f>SUM('Weekly Data'!H1011:H1014)/4</f>
        <v>155.5</v>
      </c>
      <c r="G1014" s="90">
        <f>SUM('Weekly Data'!I1011:I1014)/4</f>
        <v>3616.75</v>
      </c>
      <c r="H1014" s="202">
        <f>SUM('Weekly Data'!J1011:J1014)/4</f>
        <v>1290.25</v>
      </c>
      <c r="J1014" s="101">
        <f>AVERAGE('Weekly Data'!D962,'Weekly Data'!D910,'Weekly Data'!D858,'Weekly Data'!D806)</f>
        <v>183.5</v>
      </c>
      <c r="K1014" s="16">
        <f>AVERAGE('Weekly Data'!E962,'Weekly Data'!E910,'Weekly Data'!E858,'Weekly Data'!E806)</f>
        <v>1216.5</v>
      </c>
      <c r="L1014" s="16">
        <f>AVERAGE('Weekly Data'!F962,'Weekly Data'!F910,'Weekly Data'!F858,'Weekly Data'!F806)</f>
        <v>957.5</v>
      </c>
      <c r="M1014" s="16">
        <f>AVERAGE('Weekly Data'!G962,'Weekly Data'!G910,'Weekly Data'!G858,'Weekly Data'!G806)</f>
        <v>3430.5</v>
      </c>
      <c r="N1014" s="16">
        <f>AVERAGE('Weekly Data'!H962,'Weekly Data'!H910,'Weekly Data'!H858,'Weekly Data'!H806)</f>
        <v>369</v>
      </c>
      <c r="O1014" s="101">
        <f>AVERAGE('Weekly Data'!I962,'Weekly Data'!I910,'Weekly Data'!I858,'Weekly Data'!I806)</f>
        <v>5199.5</v>
      </c>
      <c r="P1014" s="203">
        <f>AVERAGE('Weekly Data'!J962,'Weekly Data'!J910,'Weekly Data'!J858,'Weekly Data'!J806)</f>
        <v>2379.9926502733051</v>
      </c>
      <c r="R1014" s="13">
        <f t="shared" si="64"/>
        <v>41388</v>
      </c>
      <c r="S1014" s="106">
        <f t="shared" ref="S1014:Y1014" si="118">AVERAGE(B962,B910,B858,B805)</f>
        <v>286.9375</v>
      </c>
      <c r="T1014" s="106">
        <f t="shared" si="118"/>
        <v>1276.75</v>
      </c>
      <c r="U1014" s="109">
        <f t="shared" si="118"/>
        <v>1133.875</v>
      </c>
      <c r="V1014" s="109">
        <f t="shared" si="118"/>
        <v>3701.5625</v>
      </c>
      <c r="W1014" s="110">
        <f t="shared" si="118"/>
        <v>474</v>
      </c>
      <c r="X1014" s="106">
        <f t="shared" si="118"/>
        <v>5739.25</v>
      </c>
      <c r="Y1014" s="204">
        <f t="shared" si="118"/>
        <v>2142.8750130982194</v>
      </c>
    </row>
    <row r="1015" spans="1:25" x14ac:dyDescent="0.25">
      <c r="A1015" s="105">
        <f t="shared" si="83"/>
        <v>41395</v>
      </c>
      <c r="B1015" s="59">
        <f>SUM('Weekly Data'!D1012:D1015)/4</f>
        <v>69.5</v>
      </c>
      <c r="C1015" s="90">
        <f>SUM('Weekly Data'!E1012:E1015)/4</f>
        <v>1450</v>
      </c>
      <c r="D1015" s="90" t="s">
        <v>34</v>
      </c>
      <c r="E1015" s="90">
        <f>SUM('Weekly Data'!G1012:G1015)/4</f>
        <v>1532</v>
      </c>
      <c r="F1015" s="90">
        <f>SUM('Weekly Data'!H1012:H1015)/4</f>
        <v>147.25</v>
      </c>
      <c r="G1015" s="90">
        <f>SUM('Weekly Data'!I1012:I1015)/4</f>
        <v>3198.75</v>
      </c>
      <c r="H1015" s="202">
        <f>SUM('Weekly Data'!J1012:J1015)/4</f>
        <v>1321.5</v>
      </c>
      <c r="J1015" s="101">
        <f>AVERAGE('Weekly Data'!D963,'Weekly Data'!D911,'Weekly Data'!D859,'Weekly Data'!D807)</f>
        <v>167</v>
      </c>
      <c r="K1015" s="16">
        <f>AVERAGE('Weekly Data'!E963,'Weekly Data'!E911,'Weekly Data'!E859,'Weekly Data'!E807)</f>
        <v>1424.75</v>
      </c>
      <c r="L1015" s="16">
        <f>AVERAGE('Weekly Data'!F963,'Weekly Data'!F911,'Weekly Data'!F859,'Weekly Data'!F807)</f>
        <v>1098.5</v>
      </c>
      <c r="M1015" s="16">
        <f>AVERAGE('Weekly Data'!G963,'Weekly Data'!G911,'Weekly Data'!G859,'Weekly Data'!G807)</f>
        <v>3412.5</v>
      </c>
      <c r="N1015" s="16">
        <f>AVERAGE('Weekly Data'!H963,'Weekly Data'!H911,'Weekly Data'!H859,'Weekly Data'!H807)</f>
        <v>401.5</v>
      </c>
      <c r="O1015" s="101">
        <f>AVERAGE('Weekly Data'!I963,'Weekly Data'!I911,'Weekly Data'!I859,'Weekly Data'!I807)</f>
        <v>5405.75</v>
      </c>
      <c r="P1015" s="203">
        <f>AVERAGE('Weekly Data'!J963,'Weekly Data'!J911,'Weekly Data'!J859,'Weekly Data'!J807)</f>
        <v>1919.4541978054681</v>
      </c>
      <c r="R1015" s="13">
        <f t="shared" ref="R1015:R1065" si="119">R1014+7</f>
        <v>41395</v>
      </c>
      <c r="S1015" s="106">
        <f t="shared" ref="S1015:Y1015" si="120">AVERAGE(B963,B911,B859,B806)</f>
        <v>203.625</v>
      </c>
      <c r="T1015" s="106">
        <f t="shared" si="120"/>
        <v>1190.6875</v>
      </c>
      <c r="U1015" s="109">
        <f t="shared" si="120"/>
        <v>1095.75</v>
      </c>
      <c r="V1015" s="109">
        <f t="shared" si="120"/>
        <v>3646.125</v>
      </c>
      <c r="W1015" s="110">
        <f t="shared" si="120"/>
        <v>406.8125</v>
      </c>
      <c r="X1015" s="106">
        <f t="shared" si="120"/>
        <v>5447.25</v>
      </c>
      <c r="Y1015" s="204">
        <f t="shared" si="120"/>
        <v>2190.9425735572449</v>
      </c>
    </row>
    <row r="1016" spans="1:25" x14ac:dyDescent="0.25">
      <c r="A1016" s="105">
        <f t="shared" si="83"/>
        <v>41402</v>
      </c>
      <c r="B1016" s="59">
        <f>SUM('Weekly Data'!D1013:D1016)/4</f>
        <v>39.75</v>
      </c>
      <c r="C1016" s="90">
        <f>SUM('Weekly Data'!E1013:E1016)/4</f>
        <v>1599</v>
      </c>
      <c r="D1016" s="90" t="s">
        <v>34</v>
      </c>
      <c r="E1016" s="90">
        <f>SUM('Weekly Data'!G1013:G1016)/4</f>
        <v>1413</v>
      </c>
      <c r="F1016" s="90">
        <f>SUM('Weekly Data'!H1013:H1016)/4</f>
        <v>146.25</v>
      </c>
      <c r="G1016" s="90">
        <f>SUM('Weekly Data'!I1013:I1016)/4</f>
        <v>3198</v>
      </c>
      <c r="H1016" s="202">
        <f>SUM('Weekly Data'!J1013:J1016)/4</f>
        <v>1260.25</v>
      </c>
      <c r="J1016" s="101">
        <f>AVERAGE('Weekly Data'!D964,'Weekly Data'!D912,'Weekly Data'!D860,'Weekly Data'!D808)</f>
        <v>291</v>
      </c>
      <c r="K1016" s="16">
        <f>AVERAGE('Weekly Data'!E964,'Weekly Data'!E912,'Weekly Data'!E860,'Weekly Data'!E808)</f>
        <v>814.25</v>
      </c>
      <c r="L1016" s="16">
        <f>AVERAGE('Weekly Data'!F964,'Weekly Data'!F912,'Weekly Data'!F860,'Weekly Data'!F808)</f>
        <v>1194.75</v>
      </c>
      <c r="M1016" s="16">
        <f>AVERAGE('Weekly Data'!G964,'Weekly Data'!G912,'Weekly Data'!G860,'Weekly Data'!G808)</f>
        <v>3324.25</v>
      </c>
      <c r="N1016" s="16">
        <f>AVERAGE('Weekly Data'!H964,'Weekly Data'!H912,'Weekly Data'!H860,'Weekly Data'!H808)</f>
        <v>362.25</v>
      </c>
      <c r="O1016" s="101">
        <f>AVERAGE('Weekly Data'!I964,'Weekly Data'!I912,'Weekly Data'!I860,'Weekly Data'!I808)</f>
        <v>4791.75</v>
      </c>
      <c r="P1016" s="203">
        <f>AVERAGE('Weekly Data'!J964,'Weekly Data'!J912,'Weekly Data'!J860,'Weekly Data'!J808)</f>
        <v>2061.2643604561722</v>
      </c>
      <c r="R1016" s="13">
        <f t="shared" si="119"/>
        <v>41402</v>
      </c>
      <c r="S1016" s="106">
        <f t="shared" ref="S1016:Y1016" si="121">AVERAGE(B964,B912,B860,B807)</f>
        <v>187.1875</v>
      </c>
      <c r="T1016" s="106">
        <f t="shared" si="121"/>
        <v>1173.3125</v>
      </c>
      <c r="U1016" s="109">
        <f t="shared" si="121"/>
        <v>1078.5</v>
      </c>
      <c r="V1016" s="109">
        <f t="shared" si="121"/>
        <v>3574.8125</v>
      </c>
      <c r="W1016" s="110">
        <f t="shared" si="121"/>
        <v>415.125</v>
      </c>
      <c r="X1016" s="106">
        <f t="shared" si="121"/>
        <v>5350.4375</v>
      </c>
      <c r="Y1016" s="204">
        <f t="shared" si="121"/>
        <v>2072.6870369208764</v>
      </c>
    </row>
    <row r="1017" spans="1:25" x14ac:dyDescent="0.25">
      <c r="A1017" s="105">
        <f t="shared" si="83"/>
        <v>41409</v>
      </c>
      <c r="B1017" s="59">
        <f>SUM('Weekly Data'!D1014:D1017)/4</f>
        <v>70</v>
      </c>
      <c r="C1017" s="90">
        <f>SUM('Weekly Data'!E1014:E1017)/4</f>
        <v>1461.25</v>
      </c>
      <c r="D1017" s="90" t="s">
        <v>34</v>
      </c>
      <c r="E1017" s="90">
        <f>SUM('Weekly Data'!G1014:G1017)/4</f>
        <v>1301.75</v>
      </c>
      <c r="F1017" s="90">
        <f>SUM('Weekly Data'!H1014:H1017)/4</f>
        <v>198.5</v>
      </c>
      <c r="G1017" s="90">
        <f>SUM('Weekly Data'!I1014:I1017)/4</f>
        <v>3031.5</v>
      </c>
      <c r="H1017" s="202">
        <f>SUM('Weekly Data'!J1014:J1017)/4</f>
        <v>1241.25</v>
      </c>
      <c r="J1017" s="101">
        <f>AVERAGE('Weekly Data'!D965,'Weekly Data'!D913,'Weekly Data'!D861,'Weekly Data'!D809)</f>
        <v>221.75</v>
      </c>
      <c r="K1017" s="16">
        <f>AVERAGE('Weekly Data'!E965,'Weekly Data'!E913,'Weekly Data'!E861,'Weekly Data'!E809)</f>
        <v>892.5</v>
      </c>
      <c r="L1017" s="16">
        <f>AVERAGE('Weekly Data'!F965,'Weekly Data'!F913,'Weekly Data'!F861,'Weekly Data'!F809)</f>
        <v>1027.5</v>
      </c>
      <c r="M1017" s="16">
        <f>AVERAGE('Weekly Data'!G965,'Weekly Data'!G913,'Weekly Data'!G861,'Weekly Data'!G809)</f>
        <v>3197.25</v>
      </c>
      <c r="N1017" s="16">
        <f>AVERAGE('Weekly Data'!H965,'Weekly Data'!H913,'Weekly Data'!H861,'Weekly Data'!H809)</f>
        <v>279</v>
      </c>
      <c r="O1017" s="101">
        <f>AVERAGE('Weekly Data'!I965,'Weekly Data'!I913,'Weekly Data'!I861,'Weekly Data'!I809)</f>
        <v>4590.5</v>
      </c>
      <c r="P1017" s="203">
        <f>AVERAGE('Weekly Data'!J965,'Weekly Data'!J913,'Weekly Data'!J861,'Weekly Data'!J809)</f>
        <v>1871.9464466297563</v>
      </c>
      <c r="R1017" s="13">
        <f t="shared" si="119"/>
        <v>41409</v>
      </c>
      <c r="S1017" s="106">
        <f t="shared" ref="S1017:Y1017" si="122">AVERAGE(B965,B913,B861,B808)</f>
        <v>216.375</v>
      </c>
      <c r="T1017" s="106">
        <f t="shared" si="122"/>
        <v>1083.25</v>
      </c>
      <c r="U1017" s="109">
        <f t="shared" si="122"/>
        <v>1068.0625</v>
      </c>
      <c r="V1017" s="109">
        <f t="shared" si="122"/>
        <v>3425.4375</v>
      </c>
      <c r="W1017" s="110">
        <f t="shared" si="122"/>
        <v>355.25</v>
      </c>
      <c r="X1017" s="106">
        <f t="shared" si="122"/>
        <v>5080.3125</v>
      </c>
      <c r="Y1017" s="204">
        <f t="shared" si="122"/>
        <v>2007.609990360703</v>
      </c>
    </row>
    <row r="1018" spans="1:25" x14ac:dyDescent="0.25">
      <c r="A1018" s="105">
        <f t="shared" si="83"/>
        <v>41416</v>
      </c>
      <c r="B1018" s="59">
        <f>SUM('Weekly Data'!D1015:D1018)/4</f>
        <v>122.75</v>
      </c>
      <c r="C1018" s="90">
        <f>SUM('Weekly Data'!E1015:E1018)/4</f>
        <v>1444.5</v>
      </c>
      <c r="D1018" s="90" t="s">
        <v>34</v>
      </c>
      <c r="E1018" s="90">
        <f>SUM('Weekly Data'!G1015:G1018)/4</f>
        <v>1052.5</v>
      </c>
      <c r="F1018" s="90">
        <f>SUM('Weekly Data'!H1015:H1018)/4</f>
        <v>139.75</v>
      </c>
      <c r="G1018" s="90">
        <f>SUM('Weekly Data'!I1015:I1018)/4</f>
        <v>2759.5</v>
      </c>
      <c r="H1018" s="202">
        <f>SUM('Weekly Data'!J1015:J1018)/4</f>
        <v>1223.75</v>
      </c>
      <c r="J1018" s="101">
        <f>AVERAGE('Weekly Data'!D966,'Weekly Data'!D914,'Weekly Data'!D862,'Weekly Data'!D810)</f>
        <v>261.5</v>
      </c>
      <c r="K1018" s="16">
        <f>AVERAGE('Weekly Data'!E966,'Weekly Data'!E914,'Weekly Data'!E862,'Weekly Data'!E810)</f>
        <v>1106</v>
      </c>
      <c r="L1018" s="16">
        <f>AVERAGE('Weekly Data'!F966,'Weekly Data'!F914,'Weekly Data'!F862,'Weekly Data'!F810)</f>
        <v>983</v>
      </c>
      <c r="M1018" s="16">
        <f>AVERAGE('Weekly Data'!G966,'Weekly Data'!G914,'Weekly Data'!G862,'Weekly Data'!G810)</f>
        <v>3405.5</v>
      </c>
      <c r="N1018" s="16">
        <f>AVERAGE('Weekly Data'!H966,'Weekly Data'!H914,'Weekly Data'!H862,'Weekly Data'!H810)</f>
        <v>337.25</v>
      </c>
      <c r="O1018" s="101">
        <f>AVERAGE('Weekly Data'!I966,'Weekly Data'!I914,'Weekly Data'!I862,'Weekly Data'!I810)</f>
        <v>5110.25</v>
      </c>
      <c r="P1018" s="203">
        <f>AVERAGE('Weekly Data'!J966,'Weekly Data'!J914,'Weekly Data'!J862,'Weekly Data'!J810)</f>
        <v>2206.8285520916197</v>
      </c>
      <c r="R1018" s="13">
        <f t="shared" si="119"/>
        <v>41416</v>
      </c>
      <c r="S1018" s="106">
        <f t="shared" ref="S1018:Y1018" si="123">AVERAGE(B966,B914,B862,B809)</f>
        <v>217.25</v>
      </c>
      <c r="T1018" s="106">
        <f t="shared" si="123"/>
        <v>1061.5625</v>
      </c>
      <c r="U1018" s="109">
        <f t="shared" si="123"/>
        <v>1086.375</v>
      </c>
      <c r="V1018" s="109">
        <f t="shared" si="123"/>
        <v>3445.6875</v>
      </c>
      <c r="W1018" s="110">
        <f t="shared" si="123"/>
        <v>331.6875</v>
      </c>
      <c r="X1018" s="106">
        <f t="shared" si="123"/>
        <v>5056.1875</v>
      </c>
      <c r="Y1018" s="204">
        <f t="shared" si="123"/>
        <v>1986.3676240092573</v>
      </c>
    </row>
    <row r="1019" spans="1:25" x14ac:dyDescent="0.25">
      <c r="A1019" s="105">
        <f t="shared" si="83"/>
        <v>41423</v>
      </c>
      <c r="B1019" s="59">
        <f>SUM('Weekly Data'!D1016:D1019)/4</f>
        <v>184.75</v>
      </c>
      <c r="C1019" s="90">
        <f>SUM('Weekly Data'!E1016:E1019)/4</f>
        <v>1517.75</v>
      </c>
      <c r="D1019" s="90" t="s">
        <v>34</v>
      </c>
      <c r="E1019" s="90">
        <f>SUM('Weekly Data'!G1016:G1019)/4</f>
        <v>880.5</v>
      </c>
      <c r="F1019" s="90">
        <f>SUM('Weekly Data'!H1016:H1019)/4</f>
        <v>121.75</v>
      </c>
      <c r="G1019" s="90">
        <f>SUM('Weekly Data'!I1016:I1019)/4</f>
        <v>2704.75</v>
      </c>
      <c r="H1019" s="202">
        <f>SUM('Weekly Data'!J1016:J1019)/4</f>
        <v>1155.5</v>
      </c>
      <c r="J1019" s="101">
        <f>AVERAGE('Weekly Data'!D967,'Weekly Data'!D915,'Weekly Data'!D863,'Weekly Data'!D811)</f>
        <v>267</v>
      </c>
      <c r="K1019" s="16">
        <f>AVERAGE('Weekly Data'!E967,'Weekly Data'!E915,'Weekly Data'!E863,'Weekly Data'!E811)</f>
        <v>1511.75</v>
      </c>
      <c r="L1019" s="16">
        <f>AVERAGE('Weekly Data'!F967,'Weekly Data'!F915,'Weekly Data'!F863,'Weekly Data'!F811)</f>
        <v>1089.75</v>
      </c>
      <c r="M1019" s="16">
        <f>AVERAGE('Weekly Data'!G967,'Weekly Data'!G915,'Weekly Data'!G863,'Weekly Data'!G811)</f>
        <v>2998.25</v>
      </c>
      <c r="N1019" s="16">
        <f>AVERAGE('Weekly Data'!H967,'Weekly Data'!H915,'Weekly Data'!H863,'Weekly Data'!H811)</f>
        <v>269.5</v>
      </c>
      <c r="O1019" s="101">
        <f>AVERAGE('Weekly Data'!I967,'Weekly Data'!I915,'Weekly Data'!I863,'Weekly Data'!I811)</f>
        <v>5046.5</v>
      </c>
      <c r="P1019" s="203">
        <f>AVERAGE('Weekly Data'!J967,'Weekly Data'!J915,'Weekly Data'!J863,'Weekly Data'!J811)</f>
        <v>1883.2854552808024</v>
      </c>
      <c r="R1019" s="13">
        <f t="shared" si="119"/>
        <v>41423</v>
      </c>
      <c r="S1019" s="106">
        <f t="shared" ref="S1019:Y1019" si="124">AVERAGE(B967,B915,B863,B810)</f>
        <v>243.1875</v>
      </c>
      <c r="T1019" s="106">
        <f t="shared" si="124"/>
        <v>1083.3125</v>
      </c>
      <c r="U1019" s="109">
        <f t="shared" si="124"/>
        <v>1048.0625</v>
      </c>
      <c r="V1019" s="109">
        <f t="shared" si="124"/>
        <v>3293.625</v>
      </c>
      <c r="W1019" s="110">
        <f t="shared" si="124"/>
        <v>318.125</v>
      </c>
      <c r="X1019" s="106">
        <f t="shared" si="124"/>
        <v>4938.25</v>
      </c>
      <c r="Y1019" s="204">
        <f t="shared" si="124"/>
        <v>1984.8324815250871</v>
      </c>
    </row>
    <row r="1020" spans="1:25" x14ac:dyDescent="0.25">
      <c r="A1020" s="105">
        <f t="shared" si="83"/>
        <v>41430</v>
      </c>
      <c r="B1020" s="59">
        <f>SUM('Weekly Data'!D1017:D1020)/4</f>
        <v>210</v>
      </c>
      <c r="C1020" s="90">
        <f>SUM('Weekly Data'!E1017:E1020)/4</f>
        <v>1612.5</v>
      </c>
      <c r="D1020" s="90" t="s">
        <v>34</v>
      </c>
      <c r="E1020" s="90">
        <f>SUM('Weekly Data'!G1017:G1020)/4</f>
        <v>849.5</v>
      </c>
      <c r="F1020" s="90">
        <f>SUM('Weekly Data'!H1017:H1020)/4</f>
        <v>116.25</v>
      </c>
      <c r="G1020" s="90">
        <f>SUM('Weekly Data'!I1017:I1020)/4</f>
        <v>2788.25</v>
      </c>
      <c r="H1020" s="202">
        <f>SUM('Weekly Data'!J1017:J1020)/4</f>
        <v>1210.5</v>
      </c>
      <c r="J1020" s="101">
        <f>AVERAGE('Weekly Data'!D968,'Weekly Data'!D916,'Weekly Data'!D864,'Weekly Data'!D812)</f>
        <v>147</v>
      </c>
      <c r="K1020" s="16">
        <f>AVERAGE('Weekly Data'!E968,'Weekly Data'!E916,'Weekly Data'!E864,'Weekly Data'!E812)</f>
        <v>1154.25</v>
      </c>
      <c r="L1020" s="16">
        <f>AVERAGE('Weekly Data'!F968,'Weekly Data'!F916,'Weekly Data'!F864,'Weekly Data'!F812)</f>
        <v>994.75</v>
      </c>
      <c r="M1020" s="16">
        <f>AVERAGE('Weekly Data'!G968,'Weekly Data'!G916,'Weekly Data'!G864,'Weekly Data'!G812)</f>
        <v>2801.25</v>
      </c>
      <c r="N1020" s="16">
        <f>AVERAGE('Weekly Data'!H968,'Weekly Data'!H916,'Weekly Data'!H864,'Weekly Data'!H812)</f>
        <v>181</v>
      </c>
      <c r="O1020" s="101">
        <f>AVERAGE('Weekly Data'!I968,'Weekly Data'!I916,'Weekly Data'!I864,'Weekly Data'!I812)</f>
        <v>4283.5</v>
      </c>
      <c r="P1020" s="203">
        <f>AVERAGE('Weekly Data'!J968,'Weekly Data'!J916,'Weekly Data'!J864,'Weekly Data'!J812)</f>
        <v>1989.7062215174383</v>
      </c>
      <c r="R1020" s="13">
        <f t="shared" si="119"/>
        <v>41430</v>
      </c>
      <c r="S1020" s="106">
        <f t="shared" ref="S1020:Y1020" si="125">AVERAGE(B968,B916,B864,B811)</f>
        <v>240.4375</v>
      </c>
      <c r="T1020" s="106">
        <f t="shared" si="125"/>
        <v>1149</v>
      </c>
      <c r="U1020" s="109">
        <f t="shared" si="125"/>
        <v>1049.5625</v>
      </c>
      <c r="V1020" s="109">
        <f t="shared" si="125"/>
        <v>3173</v>
      </c>
      <c r="W1020" s="110">
        <f t="shared" si="125"/>
        <v>249.5625</v>
      </c>
      <c r="X1020" s="106">
        <f t="shared" si="125"/>
        <v>4812</v>
      </c>
      <c r="Y1020" s="204">
        <f t="shared" si="125"/>
        <v>1938.594671969578</v>
      </c>
    </row>
    <row r="1021" spans="1:25" x14ac:dyDescent="0.25">
      <c r="A1021" s="105">
        <f t="shared" si="83"/>
        <v>41437</v>
      </c>
      <c r="B1021" s="59">
        <f>SUM('Weekly Data'!D1018:D1021)/4</f>
        <v>179.5</v>
      </c>
      <c r="C1021" s="90">
        <f>SUM('Weekly Data'!E1018:E1021)/4</f>
        <v>1647.5</v>
      </c>
      <c r="D1021" s="90" t="s">
        <v>34</v>
      </c>
      <c r="E1021" s="90">
        <f>SUM('Weekly Data'!G1018:G1021)/4</f>
        <v>968.75</v>
      </c>
      <c r="F1021" s="90">
        <f>SUM('Weekly Data'!H1018:H1021)/4</f>
        <v>56.75</v>
      </c>
      <c r="G1021" s="90">
        <f>SUM('Weekly Data'!I1018:I1021)/4</f>
        <v>2852.5</v>
      </c>
      <c r="H1021" s="202">
        <f>SUM('Weekly Data'!J1018:J1021)/4</f>
        <v>1133</v>
      </c>
      <c r="J1021" s="101">
        <f>AVERAGE('Weekly Data'!D969,'Weekly Data'!D917,'Weekly Data'!D865,'Weekly Data'!D813)</f>
        <v>174</v>
      </c>
      <c r="K1021" s="16">
        <f>AVERAGE('Weekly Data'!E969,'Weekly Data'!E917,'Weekly Data'!E865,'Weekly Data'!E813)</f>
        <v>910.25</v>
      </c>
      <c r="L1021" s="16">
        <f>AVERAGE('Weekly Data'!F969,'Weekly Data'!F917,'Weekly Data'!F865,'Weekly Data'!F813)</f>
        <v>764.75</v>
      </c>
      <c r="M1021" s="16">
        <f>AVERAGE('Weekly Data'!G969,'Weekly Data'!G917,'Weekly Data'!G865,'Weekly Data'!G813)</f>
        <v>2778</v>
      </c>
      <c r="N1021" s="16">
        <f>AVERAGE('Weekly Data'!H969,'Weekly Data'!H917,'Weekly Data'!H865,'Weekly Data'!H813)</f>
        <v>258.75</v>
      </c>
      <c r="O1021" s="101">
        <f>AVERAGE('Weekly Data'!I969,'Weekly Data'!I917,'Weekly Data'!I865,'Weekly Data'!I813)</f>
        <v>4121</v>
      </c>
      <c r="P1021" s="203">
        <f>AVERAGE('Weekly Data'!J969,'Weekly Data'!J917,'Weekly Data'!J865,'Weekly Data'!J813)</f>
        <v>2040.8508555952976</v>
      </c>
      <c r="R1021" s="13">
        <f t="shared" si="119"/>
        <v>41437</v>
      </c>
      <c r="S1021" s="106">
        <f t="shared" ref="S1021:Y1021" si="126">AVERAGE(B969,B917,B865,B812)</f>
        <v>221.875</v>
      </c>
      <c r="T1021" s="106">
        <f t="shared" si="126"/>
        <v>1160.8125</v>
      </c>
      <c r="U1021" s="109">
        <f t="shared" si="126"/>
        <v>954.125</v>
      </c>
      <c r="V1021" s="109">
        <f t="shared" si="126"/>
        <v>3002.125</v>
      </c>
      <c r="W1021" s="110">
        <f t="shared" si="126"/>
        <v>248.25</v>
      </c>
      <c r="X1021" s="106">
        <f t="shared" si="126"/>
        <v>4633.0625</v>
      </c>
      <c r="Y1021" s="204">
        <f t="shared" si="126"/>
        <v>2013.0013158131228</v>
      </c>
    </row>
    <row r="1022" spans="1:25" x14ac:dyDescent="0.25">
      <c r="A1022" s="105">
        <f t="shared" si="83"/>
        <v>41444</v>
      </c>
      <c r="B1022" s="59">
        <f>SUM('Weekly Data'!D1019:D1022)/4</f>
        <v>127.75</v>
      </c>
      <c r="C1022" s="90">
        <f>SUM('Weekly Data'!E1019:E1022)/4</f>
        <v>1614.75</v>
      </c>
      <c r="D1022" s="90" t="s">
        <v>34</v>
      </c>
      <c r="E1022" s="90">
        <f>SUM('Weekly Data'!G1019:G1022)/4</f>
        <v>951.5</v>
      </c>
      <c r="F1022" s="90">
        <f>SUM('Weekly Data'!H1019:H1022)/4</f>
        <v>26.75</v>
      </c>
      <c r="G1022" s="90">
        <f>SUM('Weekly Data'!I1019:I1022)/4</f>
        <v>2720.75</v>
      </c>
      <c r="H1022" s="202">
        <f>SUM('Weekly Data'!J1019:J1022)/4</f>
        <v>1073</v>
      </c>
      <c r="J1022" s="101">
        <f>AVERAGE('Weekly Data'!D970,'Weekly Data'!D918,'Weekly Data'!D866,'Weekly Data'!D814)</f>
        <v>158.25</v>
      </c>
      <c r="K1022" s="16">
        <f>AVERAGE('Weekly Data'!E970,'Weekly Data'!E918,'Weekly Data'!E866,'Weekly Data'!E814)</f>
        <v>884.25</v>
      </c>
      <c r="L1022" s="16">
        <f>AVERAGE('Weekly Data'!F970,'Weekly Data'!F918,'Weekly Data'!F866,'Weekly Data'!F814)</f>
        <v>935</v>
      </c>
      <c r="M1022" s="16">
        <f>AVERAGE('Weekly Data'!G970,'Weekly Data'!G918,'Weekly Data'!G866,'Weekly Data'!G814)</f>
        <v>3086.75</v>
      </c>
      <c r="N1022" s="16">
        <f>AVERAGE('Weekly Data'!H970,'Weekly Data'!H918,'Weekly Data'!H866,'Weekly Data'!H814)</f>
        <v>239.5</v>
      </c>
      <c r="O1022" s="101">
        <f>AVERAGE('Weekly Data'!I970,'Weekly Data'!I918,'Weekly Data'!I866,'Weekly Data'!I814)</f>
        <v>4368.75</v>
      </c>
      <c r="P1022" s="203">
        <f>AVERAGE('Weekly Data'!J970,'Weekly Data'!J918,'Weekly Data'!J866,'Weekly Data'!J814)</f>
        <v>1494.5113016979224</v>
      </c>
      <c r="R1022" s="13">
        <f t="shared" si="119"/>
        <v>41444</v>
      </c>
      <c r="S1022" s="106">
        <f t="shared" ref="S1022:Y1022" si="127">AVERAGE(B970,B918,B866,B813)</f>
        <v>189.5</v>
      </c>
      <c r="T1022" s="106">
        <f t="shared" si="127"/>
        <v>1138.3125</v>
      </c>
      <c r="U1022" s="109">
        <f t="shared" si="127"/>
        <v>915</v>
      </c>
      <c r="V1022" s="109">
        <f t="shared" si="127"/>
        <v>2855.5</v>
      </c>
      <c r="W1022" s="110">
        <f t="shared" si="127"/>
        <v>242.625</v>
      </c>
      <c r="X1022" s="106">
        <f t="shared" si="127"/>
        <v>4425.9375</v>
      </c>
      <c r="Y1022" s="204">
        <f t="shared" si="127"/>
        <v>1917.4994778316591</v>
      </c>
    </row>
    <row r="1023" spans="1:25" x14ac:dyDescent="0.25">
      <c r="A1023" s="105">
        <f t="shared" si="83"/>
        <v>41451</v>
      </c>
      <c r="B1023" s="59">
        <f>SUM('Weekly Data'!D1020:D1023)/4</f>
        <v>94.25</v>
      </c>
      <c r="C1023" s="90">
        <f>SUM('Weekly Data'!E1020:E1023)/4</f>
        <v>1521.25</v>
      </c>
      <c r="D1023" s="90" t="s">
        <v>34</v>
      </c>
      <c r="E1023" s="90">
        <f>SUM('Weekly Data'!G1020:G1023)/4</f>
        <v>1114.5</v>
      </c>
      <c r="F1023" s="90">
        <f>SUM('Weekly Data'!H1020:H1023)/4</f>
        <v>38.5</v>
      </c>
      <c r="G1023" s="90">
        <f>SUM('Weekly Data'!I1020:I1023)/4</f>
        <v>2768.5</v>
      </c>
      <c r="H1023" s="202">
        <f>SUM('Weekly Data'!J1020:J1023)/4</f>
        <v>1070.75</v>
      </c>
      <c r="J1023" s="101">
        <f>AVERAGE('Weekly Data'!D971,'Weekly Data'!D919,'Weekly Data'!D867,'Weekly Data'!D815)</f>
        <v>121.75</v>
      </c>
      <c r="K1023" s="16">
        <f>AVERAGE('Weekly Data'!E971,'Weekly Data'!E919,'Weekly Data'!E867,'Weekly Data'!E815)</f>
        <v>856</v>
      </c>
      <c r="L1023" s="16">
        <f>AVERAGE('Weekly Data'!F971,'Weekly Data'!F919,'Weekly Data'!F867,'Weekly Data'!F815)</f>
        <v>715</v>
      </c>
      <c r="M1023" s="16">
        <f>AVERAGE('Weekly Data'!G971,'Weekly Data'!G919,'Weekly Data'!G867,'Weekly Data'!G815)</f>
        <v>3232.25</v>
      </c>
      <c r="N1023" s="16">
        <f>AVERAGE('Weekly Data'!H971,'Weekly Data'!H919,'Weekly Data'!H867,'Weekly Data'!H815)</f>
        <v>212.5</v>
      </c>
      <c r="O1023" s="101">
        <f>AVERAGE('Weekly Data'!I971,'Weekly Data'!I919,'Weekly Data'!I867,'Weekly Data'!I815)</f>
        <v>4422.5</v>
      </c>
      <c r="P1023" s="203">
        <f>AVERAGE('Weekly Data'!J971,'Weekly Data'!J919,'Weekly Data'!J867,'Weekly Data'!J815)</f>
        <v>2035.3662282042517</v>
      </c>
      <c r="R1023" s="13">
        <f t="shared" si="119"/>
        <v>41451</v>
      </c>
      <c r="S1023" s="106">
        <f t="shared" ref="S1023:Y1023" si="128">AVERAGE(B971,B919,B867,B814)</f>
        <v>172.1875</v>
      </c>
      <c r="T1023" s="106">
        <f t="shared" si="128"/>
        <v>1015.1875</v>
      </c>
      <c r="U1023" s="109">
        <f t="shared" si="128"/>
        <v>880.1875</v>
      </c>
      <c r="V1023" s="109">
        <f t="shared" si="128"/>
        <v>2888.6875</v>
      </c>
      <c r="W1023" s="110">
        <f t="shared" si="128"/>
        <v>234.6875</v>
      </c>
      <c r="X1023" s="106">
        <f t="shared" si="128"/>
        <v>4310.75</v>
      </c>
      <c r="Y1023" s="204">
        <f t="shared" si="128"/>
        <v>1867.0100574552769</v>
      </c>
    </row>
    <row r="1024" spans="1:25" x14ac:dyDescent="0.25">
      <c r="A1024" s="105">
        <f t="shared" si="83"/>
        <v>41458</v>
      </c>
      <c r="B1024" s="59">
        <f>SUM('Weekly Data'!D1021:D1024)/4</f>
        <v>104.5</v>
      </c>
      <c r="C1024" s="90">
        <f>SUM('Weekly Data'!E1021:E1024)/4</f>
        <v>1375</v>
      </c>
      <c r="D1024" s="90" t="s">
        <v>34</v>
      </c>
      <c r="E1024" s="90">
        <f>SUM('Weekly Data'!G1021:G1024)/4</f>
        <v>1240.5</v>
      </c>
      <c r="F1024" s="90">
        <f>SUM('Weekly Data'!H1021:H1024)/4</f>
        <v>40.5</v>
      </c>
      <c r="G1024" s="90">
        <f>SUM('Weekly Data'!I1021:I1024)/4</f>
        <v>2760.5</v>
      </c>
      <c r="H1024" s="202">
        <f>SUM('Weekly Data'!J1021:J1024)/4</f>
        <v>1087.25</v>
      </c>
      <c r="J1024" s="101">
        <f>AVERAGE('Weekly Data'!D972,'Weekly Data'!D920,'Weekly Data'!D868,'Weekly Data'!D816)</f>
        <v>99.5</v>
      </c>
      <c r="K1024" s="16">
        <f>AVERAGE('Weekly Data'!E972,'Weekly Data'!E920,'Weekly Data'!E868,'Weekly Data'!E816)</f>
        <v>977</v>
      </c>
      <c r="L1024" s="16">
        <f>AVERAGE('Weekly Data'!F972,'Weekly Data'!F920,'Weekly Data'!F868,'Weekly Data'!F816)</f>
        <v>821.75</v>
      </c>
      <c r="M1024" s="16">
        <f>AVERAGE('Weekly Data'!G972,'Weekly Data'!G920,'Weekly Data'!G868,'Weekly Data'!G816)</f>
        <v>2711.5</v>
      </c>
      <c r="N1024" s="16">
        <f>AVERAGE('Weekly Data'!H972,'Weekly Data'!H920,'Weekly Data'!H868,'Weekly Data'!H816)</f>
        <v>240.25</v>
      </c>
      <c r="O1024" s="101">
        <f>AVERAGE('Weekly Data'!I972,'Weekly Data'!I920,'Weekly Data'!I868,'Weekly Data'!I816)</f>
        <v>4028.25</v>
      </c>
      <c r="P1024" s="203">
        <f>AVERAGE('Weekly Data'!J972,'Weekly Data'!J920,'Weekly Data'!J868,'Weekly Data'!J816)</f>
        <v>1614.663504550261</v>
      </c>
      <c r="R1024" s="13">
        <f t="shared" si="119"/>
        <v>41458</v>
      </c>
      <c r="S1024" s="106">
        <f t="shared" ref="S1024:Y1024" si="129">AVERAGE(B972,B920,B868,B815)</f>
        <v>133.75</v>
      </c>
      <c r="T1024" s="106">
        <f t="shared" si="129"/>
        <v>879.75</v>
      </c>
      <c r="U1024" s="109">
        <f t="shared" si="129"/>
        <v>818.25</v>
      </c>
      <c r="V1024" s="109">
        <f t="shared" si="129"/>
        <v>2871.5</v>
      </c>
      <c r="W1024" s="110">
        <f t="shared" si="129"/>
        <v>232.9375</v>
      </c>
      <c r="X1024" s="106">
        <f t="shared" si="129"/>
        <v>4117.9375</v>
      </c>
      <c r="Y1024" s="204">
        <f t="shared" si="129"/>
        <v>1820.2865156939638</v>
      </c>
    </row>
    <row r="1025" spans="1:25" x14ac:dyDescent="0.25">
      <c r="A1025" s="105">
        <f t="shared" si="83"/>
        <v>41465</v>
      </c>
      <c r="B1025" s="59">
        <f>SUM('Weekly Data'!D1022:D1025)/4</f>
        <v>183</v>
      </c>
      <c r="C1025" s="90">
        <f>SUM('Weekly Data'!E1022:E1025)/4</f>
        <v>1403.75</v>
      </c>
      <c r="D1025" s="90" t="s">
        <v>34</v>
      </c>
      <c r="E1025" s="90">
        <f>SUM('Weekly Data'!G1022:G1025)/4</f>
        <v>1161.5</v>
      </c>
      <c r="F1025" s="90">
        <f>SUM('Weekly Data'!H1022:H1025)/4</f>
        <v>88.75</v>
      </c>
      <c r="G1025" s="90">
        <f>SUM('Weekly Data'!I1022:I1025)/4</f>
        <v>2837</v>
      </c>
      <c r="H1025" s="202">
        <f>SUM('Weekly Data'!J1022:J1025)/4</f>
        <v>1139</v>
      </c>
      <c r="J1025" s="101">
        <f>AVERAGE('Weekly Data'!D973,'Weekly Data'!D921,'Weekly Data'!D869,'Weekly Data'!D817)</f>
        <v>68.75</v>
      </c>
      <c r="K1025" s="16">
        <f>AVERAGE('Weekly Data'!E973,'Weekly Data'!E921,'Weekly Data'!E869,'Weekly Data'!E817)</f>
        <v>1019.25</v>
      </c>
      <c r="L1025" s="16">
        <f>AVERAGE('Weekly Data'!F973,'Weekly Data'!F921,'Weekly Data'!F869,'Weekly Data'!F817)</f>
        <v>875.25</v>
      </c>
      <c r="M1025" s="16">
        <f>AVERAGE('Weekly Data'!G973,'Weekly Data'!G921,'Weekly Data'!G869,'Weekly Data'!G817)</f>
        <v>3595.5</v>
      </c>
      <c r="N1025" s="16">
        <f>AVERAGE('Weekly Data'!H973,'Weekly Data'!H921,'Weekly Data'!H869,'Weekly Data'!H817)</f>
        <v>268.75</v>
      </c>
      <c r="O1025" s="101">
        <f>AVERAGE('Weekly Data'!I973,'Weekly Data'!I921,'Weekly Data'!I869,'Weekly Data'!I817)</f>
        <v>4952.25</v>
      </c>
      <c r="P1025" s="203">
        <f>AVERAGE('Weekly Data'!J973,'Weekly Data'!J921,'Weekly Data'!J869,'Weekly Data'!J817)</f>
        <v>1382.0662911544684</v>
      </c>
      <c r="R1025" s="13">
        <f t="shared" si="119"/>
        <v>41465</v>
      </c>
      <c r="S1025" s="106">
        <f t="shared" ref="S1025:Y1025" si="130">AVERAGE(B973,B921,B869,B816)</f>
        <v>111.875</v>
      </c>
      <c r="T1025" s="106">
        <f t="shared" si="130"/>
        <v>930.9375</v>
      </c>
      <c r="U1025" s="109">
        <f t="shared" si="130"/>
        <v>853.9375</v>
      </c>
      <c r="V1025" s="109">
        <f t="shared" si="130"/>
        <v>3042.8125</v>
      </c>
      <c r="W1025" s="110">
        <f t="shared" si="130"/>
        <v>238.1875</v>
      </c>
      <c r="X1025" s="106">
        <f t="shared" si="130"/>
        <v>4323.8125</v>
      </c>
      <c r="Y1025" s="204">
        <f t="shared" si="130"/>
        <v>1687.0359609127831</v>
      </c>
    </row>
    <row r="1026" spans="1:25" x14ac:dyDescent="0.25">
      <c r="A1026" s="105">
        <f t="shared" si="83"/>
        <v>41472</v>
      </c>
      <c r="B1026" s="59">
        <f>SUM('Weekly Data'!D1023:D1026)/4</f>
        <v>216.25</v>
      </c>
      <c r="C1026" s="90">
        <f>SUM('Weekly Data'!E1023:E1026)/4</f>
        <v>1445.25</v>
      </c>
      <c r="D1026" s="90" t="s">
        <v>34</v>
      </c>
      <c r="E1026" s="90">
        <f>SUM('Weekly Data'!G1023:G1026)/4</f>
        <v>1173.75</v>
      </c>
      <c r="F1026" s="90">
        <f>SUM('Weekly Data'!H1023:H1026)/4</f>
        <v>128.25</v>
      </c>
      <c r="G1026" s="90">
        <f>SUM('Weekly Data'!I1023:I1026)/4</f>
        <v>2963.5</v>
      </c>
      <c r="H1026" s="202">
        <f>SUM('Weekly Data'!J1023:J1026)/4</f>
        <v>1357.75</v>
      </c>
      <c r="J1026" s="101">
        <f>AVERAGE('Weekly Data'!D974,'Weekly Data'!D922,'Weekly Data'!D870,'Weekly Data'!D818)</f>
        <v>280.75</v>
      </c>
      <c r="K1026" s="16">
        <f>AVERAGE('Weekly Data'!E974,'Weekly Data'!E922,'Weekly Data'!E870,'Weekly Data'!E818)</f>
        <v>666.75</v>
      </c>
      <c r="L1026" s="16">
        <f>AVERAGE('Weekly Data'!F974,'Weekly Data'!F922,'Weekly Data'!F870,'Weekly Data'!F818)</f>
        <v>859</v>
      </c>
      <c r="M1026" s="16">
        <f>AVERAGE('Weekly Data'!G974,'Weekly Data'!G922,'Weekly Data'!G870,'Weekly Data'!G818)</f>
        <v>3555.25</v>
      </c>
      <c r="N1026" s="16">
        <f>AVERAGE('Weekly Data'!H974,'Weekly Data'!H922,'Weekly Data'!H870,'Weekly Data'!H818)</f>
        <v>175</v>
      </c>
      <c r="O1026" s="101">
        <f>AVERAGE('Weekly Data'!I974,'Weekly Data'!I922,'Weekly Data'!I870,'Weekly Data'!I818)</f>
        <v>4677.75</v>
      </c>
      <c r="P1026" s="203">
        <f>AVERAGE('Weekly Data'!J974,'Weekly Data'!J922,'Weekly Data'!J870,'Weekly Data'!J818)</f>
        <v>1629.2969549886004</v>
      </c>
      <c r="R1026" s="13">
        <f t="shared" si="119"/>
        <v>41472</v>
      </c>
      <c r="S1026" s="106">
        <f t="shared" ref="S1026:Y1026" si="131">AVERAGE(B974,B922,B870,B817)</f>
        <v>133.875</v>
      </c>
      <c r="T1026" s="106">
        <f t="shared" si="131"/>
        <v>870.625</v>
      </c>
      <c r="U1026" s="109">
        <f t="shared" si="131"/>
        <v>842.5</v>
      </c>
      <c r="V1026" s="109">
        <f t="shared" si="131"/>
        <v>3232.8125</v>
      </c>
      <c r="W1026" s="110">
        <f t="shared" si="131"/>
        <v>232.25</v>
      </c>
      <c r="X1026" s="106">
        <f t="shared" si="131"/>
        <v>4469.5625</v>
      </c>
      <c r="Y1026" s="204">
        <f t="shared" si="131"/>
        <v>1640.517255853561</v>
      </c>
    </row>
    <row r="1027" spans="1:25" x14ac:dyDescent="0.25">
      <c r="A1027" s="105">
        <f t="shared" si="83"/>
        <v>41479</v>
      </c>
      <c r="B1027" s="59">
        <f>SUM('Weekly Data'!D1024:D1027)/4</f>
        <v>177.5</v>
      </c>
      <c r="C1027" s="90">
        <f>SUM('Weekly Data'!E1024:E1027)/4</f>
        <v>1360.5</v>
      </c>
      <c r="D1027" s="90" t="s">
        <v>34</v>
      </c>
      <c r="E1027" s="90">
        <f>SUM('Weekly Data'!G1024:G1027)/4</f>
        <v>1007.25</v>
      </c>
      <c r="F1027" s="90">
        <f>SUM('Weekly Data'!H1024:H1027)/4</f>
        <v>171</v>
      </c>
      <c r="G1027" s="90">
        <f>SUM('Weekly Data'!I1024:I1027)/4</f>
        <v>2716.25</v>
      </c>
      <c r="H1027" s="202">
        <f>SUM('Weekly Data'!J1024:J1027)/4</f>
        <v>1374.5</v>
      </c>
      <c r="J1027" s="101">
        <f>AVERAGE('Weekly Data'!D975,'Weekly Data'!D923,'Weekly Data'!D871,'Weekly Data'!D819)</f>
        <v>318</v>
      </c>
      <c r="K1027" s="16">
        <f>AVERAGE('Weekly Data'!E975,'Weekly Data'!E923,'Weekly Data'!E871,'Weekly Data'!E819)</f>
        <v>1042.75</v>
      </c>
      <c r="L1027" s="16">
        <f>AVERAGE('Weekly Data'!F975,'Weekly Data'!F923,'Weekly Data'!F871,'Weekly Data'!F819)</f>
        <v>942</v>
      </c>
      <c r="M1027" s="16">
        <f>AVERAGE('Weekly Data'!G975,'Weekly Data'!G923,'Weekly Data'!G871,'Weekly Data'!G819)</f>
        <v>3620.5</v>
      </c>
      <c r="N1027" s="16">
        <f>AVERAGE('Weekly Data'!H975,'Weekly Data'!H923,'Weekly Data'!H871,'Weekly Data'!H819)</f>
        <v>157.25</v>
      </c>
      <c r="O1027" s="101">
        <f>AVERAGE('Weekly Data'!I975,'Weekly Data'!I923,'Weekly Data'!I871,'Weekly Data'!I819)</f>
        <v>5138.5</v>
      </c>
      <c r="P1027" s="203">
        <f>AVERAGE('Weekly Data'!J975,'Weekly Data'!J923,'Weekly Data'!J871,'Weekly Data'!J819)</f>
        <v>1499.9183617738468</v>
      </c>
      <c r="R1027" s="13">
        <f t="shared" si="119"/>
        <v>41479</v>
      </c>
      <c r="S1027" s="106">
        <f t="shared" ref="S1027:Y1027" si="132">AVERAGE(B975,B923,B871,B818)</f>
        <v>167.75</v>
      </c>
      <c r="T1027" s="106">
        <f t="shared" si="132"/>
        <v>896.625</v>
      </c>
      <c r="U1027" s="109">
        <f t="shared" si="132"/>
        <v>871.5</v>
      </c>
      <c r="V1027" s="109">
        <f t="shared" si="132"/>
        <v>3357</v>
      </c>
      <c r="W1027" s="110">
        <f t="shared" si="132"/>
        <v>221.8125</v>
      </c>
      <c r="X1027" s="106">
        <f t="shared" si="132"/>
        <v>4643.1875</v>
      </c>
      <c r="Y1027" s="204">
        <f t="shared" si="132"/>
        <v>1540.1482509787131</v>
      </c>
    </row>
    <row r="1028" spans="1:25" x14ac:dyDescent="0.25">
      <c r="A1028" s="105">
        <f t="shared" si="83"/>
        <v>41486</v>
      </c>
      <c r="B1028" s="59">
        <f>SUM('Weekly Data'!D1025:D1028)/4</f>
        <v>141.5</v>
      </c>
      <c r="C1028" s="90">
        <f>SUM('Weekly Data'!E1025:E1028)/4</f>
        <v>1396.75</v>
      </c>
      <c r="D1028" s="90" t="s">
        <v>34</v>
      </c>
      <c r="E1028" s="90">
        <f>SUM('Weekly Data'!G1025:G1028)/4</f>
        <v>941.25</v>
      </c>
      <c r="F1028" s="90">
        <f>SUM('Weekly Data'!H1025:H1028)/4</f>
        <v>157.75</v>
      </c>
      <c r="G1028" s="90">
        <f>SUM('Weekly Data'!I1025:I1028)/4</f>
        <v>2637.25</v>
      </c>
      <c r="H1028" s="202">
        <f>SUM('Weekly Data'!J1025:J1028)/4</f>
        <v>1265.5</v>
      </c>
      <c r="J1028" s="101">
        <f>AVERAGE('Weekly Data'!D976,'Weekly Data'!D924,'Weekly Data'!D872,'Weekly Data'!D820)</f>
        <v>199</v>
      </c>
      <c r="K1028" s="16">
        <f>AVERAGE('Weekly Data'!E976,'Weekly Data'!E924,'Weekly Data'!E872,'Weekly Data'!E820)</f>
        <v>915.75</v>
      </c>
      <c r="L1028" s="16">
        <f>AVERAGE('Weekly Data'!F976,'Weekly Data'!F924,'Weekly Data'!F872,'Weekly Data'!F820)</f>
        <v>692.5</v>
      </c>
      <c r="M1028" s="16">
        <f>AVERAGE('Weekly Data'!G976,'Weekly Data'!G924,'Weekly Data'!G872,'Weekly Data'!G820)</f>
        <v>3078.75</v>
      </c>
      <c r="N1028" s="16">
        <f>AVERAGE('Weekly Data'!H976,'Weekly Data'!H924,'Weekly Data'!H872,'Weekly Data'!H820)</f>
        <v>161.75</v>
      </c>
      <c r="O1028" s="101">
        <f>AVERAGE('Weekly Data'!I976,'Weekly Data'!I924,'Weekly Data'!I872,'Weekly Data'!I820)</f>
        <v>4355.25</v>
      </c>
      <c r="P1028" s="203">
        <f>AVERAGE('Weekly Data'!J976,'Weekly Data'!J924,'Weekly Data'!J872,'Weekly Data'!J820)</f>
        <v>1665.6906181996196</v>
      </c>
      <c r="R1028" s="13">
        <f t="shared" si="119"/>
        <v>41486</v>
      </c>
      <c r="S1028" s="106">
        <f t="shared" ref="S1028:Y1028" si="133">AVERAGE(B976,B924,B872,B819)</f>
        <v>215.25</v>
      </c>
      <c r="T1028" s="106">
        <f t="shared" si="133"/>
        <v>910.9375</v>
      </c>
      <c r="U1028" s="109">
        <f t="shared" si="133"/>
        <v>851.5</v>
      </c>
      <c r="V1028" s="109">
        <f t="shared" si="133"/>
        <v>3464.375</v>
      </c>
      <c r="W1028" s="110">
        <f t="shared" si="133"/>
        <v>205.3125</v>
      </c>
      <c r="X1028" s="106">
        <f t="shared" si="133"/>
        <v>4795.875</v>
      </c>
      <c r="Y1028" s="204">
        <f t="shared" si="133"/>
        <v>1545.8179606858462</v>
      </c>
    </row>
    <row r="1029" spans="1:25" x14ac:dyDescent="0.25">
      <c r="A1029" s="105">
        <f t="shared" si="83"/>
        <v>41493</v>
      </c>
      <c r="B1029" s="59">
        <f>SUM('Weekly Data'!D1026:D1029)/4</f>
        <v>63</v>
      </c>
      <c r="C1029" s="90">
        <f>SUM('Weekly Data'!E1026:E1029)/4</f>
        <v>1642</v>
      </c>
      <c r="D1029" s="90" t="s">
        <v>34</v>
      </c>
      <c r="E1029" s="90">
        <f>SUM('Weekly Data'!G1026:G1029)/4</f>
        <v>923.25</v>
      </c>
      <c r="F1029" s="90">
        <f>SUM('Weekly Data'!H1026:H1029)/4</f>
        <v>117.5</v>
      </c>
      <c r="G1029" s="90">
        <f>SUM('Weekly Data'!I1026:I1029)/4</f>
        <v>2745.75</v>
      </c>
      <c r="H1029" s="202">
        <f>SUM('Weekly Data'!J1026:J1029)/4</f>
        <v>1375.25</v>
      </c>
      <c r="J1029" s="101">
        <f>AVERAGE('Weekly Data'!D977,'Weekly Data'!D925,'Weekly Data'!D873,'Weekly Data'!D821)</f>
        <v>376.25</v>
      </c>
      <c r="K1029" s="16">
        <f>AVERAGE('Weekly Data'!E977,'Weekly Data'!E925,'Weekly Data'!E873,'Weekly Data'!E821)</f>
        <v>880.75</v>
      </c>
      <c r="L1029" s="16">
        <f>AVERAGE('Weekly Data'!F977,'Weekly Data'!F925,'Weekly Data'!F873,'Weekly Data'!F821)</f>
        <v>824</v>
      </c>
      <c r="M1029" s="16">
        <f>AVERAGE('Weekly Data'!G977,'Weekly Data'!G925,'Weekly Data'!G873,'Weekly Data'!G821)</f>
        <v>3452.25</v>
      </c>
      <c r="N1029" s="16">
        <f>AVERAGE('Weekly Data'!H977,'Weekly Data'!H925,'Weekly Data'!H873,'Weekly Data'!H821)</f>
        <v>164</v>
      </c>
      <c r="O1029" s="101">
        <f>AVERAGE('Weekly Data'!I977,'Weekly Data'!I925,'Weekly Data'!I873,'Weekly Data'!I821)</f>
        <v>4873.25</v>
      </c>
      <c r="P1029" s="203">
        <f>AVERAGE('Weekly Data'!J977,'Weekly Data'!J925,'Weekly Data'!J873,'Weekly Data'!J821)</f>
        <v>1400.3338276389484</v>
      </c>
      <c r="R1029" s="13">
        <f t="shared" si="119"/>
        <v>41493</v>
      </c>
      <c r="S1029" s="106">
        <f t="shared" ref="S1029:Y1029" si="134">AVERAGE(B977,B925,B873,B820)</f>
        <v>265.4375</v>
      </c>
      <c r="T1029" s="106">
        <f t="shared" si="134"/>
        <v>886.6875</v>
      </c>
      <c r="U1029" s="109">
        <f t="shared" si="134"/>
        <v>817.8125</v>
      </c>
      <c r="V1029" s="109">
        <f t="shared" si="134"/>
        <v>3396.5625</v>
      </c>
      <c r="W1029" s="110">
        <f t="shared" si="134"/>
        <v>180.8125</v>
      </c>
      <c r="X1029" s="106">
        <f t="shared" si="134"/>
        <v>4729.5</v>
      </c>
      <c r="Y1029" s="204">
        <f t="shared" si="134"/>
        <v>1545.975113168171</v>
      </c>
    </row>
    <row r="1030" spans="1:25" x14ac:dyDescent="0.25">
      <c r="A1030" s="105">
        <f t="shared" si="83"/>
        <v>41500</v>
      </c>
      <c r="B1030" s="59">
        <f>SUM('Weekly Data'!D1027:D1030)/4</f>
        <v>28.75</v>
      </c>
      <c r="C1030" s="90">
        <f>SUM('Weekly Data'!E1027:E1030)/4</f>
        <v>1675.25</v>
      </c>
      <c r="D1030" s="90" t="s">
        <v>34</v>
      </c>
      <c r="E1030" s="90">
        <f>SUM('Weekly Data'!G1027:G1030)/4</f>
        <v>1253.25</v>
      </c>
      <c r="F1030" s="90">
        <f>SUM('Weekly Data'!H1027:H1030)/4</f>
        <v>89</v>
      </c>
      <c r="G1030" s="90">
        <f>SUM('Weekly Data'!I1027:I1030)/4</f>
        <v>3046.25</v>
      </c>
      <c r="H1030" s="202">
        <f>SUM('Weekly Data'!J1027:J1030)/4</f>
        <v>1218.5</v>
      </c>
      <c r="J1030" s="101">
        <f>AVERAGE('Weekly Data'!D978,'Weekly Data'!D926,'Weekly Data'!D874,'Weekly Data'!D822)</f>
        <v>219</v>
      </c>
      <c r="K1030" s="16">
        <f>AVERAGE('Weekly Data'!E978,'Weekly Data'!E926,'Weekly Data'!E874,'Weekly Data'!E822)</f>
        <v>1183</v>
      </c>
      <c r="L1030" s="16">
        <f>AVERAGE('Weekly Data'!F978,'Weekly Data'!F926,'Weekly Data'!F874,'Weekly Data'!F822)</f>
        <v>695.75</v>
      </c>
      <c r="M1030" s="16">
        <f>AVERAGE('Weekly Data'!G978,'Weekly Data'!G926,'Weekly Data'!G874,'Weekly Data'!G822)</f>
        <v>3014.75</v>
      </c>
      <c r="N1030" s="16">
        <f>AVERAGE('Weekly Data'!H978,'Weekly Data'!H926,'Weekly Data'!H874,'Weekly Data'!H822)</f>
        <v>150.25</v>
      </c>
      <c r="O1030" s="101">
        <f>AVERAGE('Weekly Data'!I978,'Weekly Data'!I926,'Weekly Data'!I874,'Weekly Data'!I822)</f>
        <v>4567</v>
      </c>
      <c r="P1030" s="203">
        <f>AVERAGE('Weekly Data'!J978,'Weekly Data'!J926,'Weekly Data'!J874,'Weekly Data'!J822)</f>
        <v>1533.0813486015361</v>
      </c>
      <c r="R1030" s="13">
        <f t="shared" si="119"/>
        <v>41500</v>
      </c>
      <c r="S1030" s="106">
        <f t="shared" ref="S1030:Y1030" si="135">AVERAGE(B978,B926,B874,B821)</f>
        <v>296</v>
      </c>
      <c r="T1030" s="106">
        <f t="shared" si="135"/>
        <v>979</v>
      </c>
      <c r="U1030" s="109">
        <f t="shared" si="135"/>
        <v>782.875</v>
      </c>
      <c r="V1030" s="109">
        <f t="shared" si="135"/>
        <v>3338.9375</v>
      </c>
      <c r="W1030" s="110">
        <f t="shared" si="135"/>
        <v>162.625</v>
      </c>
      <c r="X1030" s="106">
        <f t="shared" si="135"/>
        <v>4776.5625</v>
      </c>
      <c r="Y1030" s="204">
        <f t="shared" si="135"/>
        <v>1531.5806237325753</v>
      </c>
    </row>
    <row r="1031" spans="1:25" x14ac:dyDescent="0.25">
      <c r="A1031" s="105">
        <f t="shared" si="83"/>
        <v>41507</v>
      </c>
      <c r="B1031" s="59">
        <f>SUM('Weekly Data'!D1028:D1031)/4</f>
        <v>1.5</v>
      </c>
      <c r="C1031" s="90">
        <f>SUM('Weekly Data'!E1028:E1031)/4</f>
        <v>1967.75</v>
      </c>
      <c r="D1031" s="90" t="s">
        <v>34</v>
      </c>
      <c r="E1031" s="90">
        <f>SUM('Weekly Data'!G1028:G1031)/4</f>
        <v>1608.75</v>
      </c>
      <c r="F1031" s="90">
        <f>SUM('Weekly Data'!H1028:H1031)/4</f>
        <v>29.75</v>
      </c>
      <c r="G1031" s="90">
        <f>SUM('Weekly Data'!I1028:I1031)/4</f>
        <v>3607.75</v>
      </c>
      <c r="H1031" s="202">
        <f>SUM('Weekly Data'!J1028:J1031)/4</f>
        <v>1237.5</v>
      </c>
      <c r="J1031" s="101">
        <f>AVERAGE('Weekly Data'!D979,'Weekly Data'!D927,'Weekly Data'!D875,'Weekly Data'!D823)</f>
        <v>426.75</v>
      </c>
      <c r="K1031" s="16">
        <f>AVERAGE('Weekly Data'!E979,'Weekly Data'!E927,'Weekly Data'!E875,'Weekly Data'!E823)</f>
        <v>991</v>
      </c>
      <c r="L1031" s="16">
        <f>AVERAGE('Weekly Data'!F979,'Weekly Data'!F927,'Weekly Data'!F875,'Weekly Data'!F823)</f>
        <v>668</v>
      </c>
      <c r="M1031" s="16">
        <f>AVERAGE('Weekly Data'!G979,'Weekly Data'!G927,'Weekly Data'!G875,'Weekly Data'!G823)</f>
        <v>3422</v>
      </c>
      <c r="N1031" s="16">
        <f>AVERAGE('Weekly Data'!H979,'Weekly Data'!H927,'Weekly Data'!H875,'Weekly Data'!H823)</f>
        <v>201.5</v>
      </c>
      <c r="O1031" s="101">
        <f>AVERAGE('Weekly Data'!I979,'Weekly Data'!I927,'Weekly Data'!I875,'Weekly Data'!I823)</f>
        <v>5041.25</v>
      </c>
      <c r="P1031" s="203">
        <f>AVERAGE('Weekly Data'!J979,'Weekly Data'!J927,'Weekly Data'!J875,'Weekly Data'!J823)</f>
        <v>1619.8177766562426</v>
      </c>
      <c r="R1031" s="13">
        <f t="shared" si="119"/>
        <v>41507</v>
      </c>
      <c r="S1031" s="106">
        <f t="shared" ref="S1031:Y1031" si="136">AVERAGE(B979,B927,B875,B822)</f>
        <v>302.9375</v>
      </c>
      <c r="T1031" s="106">
        <f t="shared" si="136"/>
        <v>981.9375</v>
      </c>
      <c r="U1031" s="109">
        <f t="shared" si="136"/>
        <v>716</v>
      </c>
      <c r="V1031" s="109">
        <f t="shared" si="136"/>
        <v>3297.125</v>
      </c>
      <c r="W1031" s="110">
        <f t="shared" si="136"/>
        <v>156.875</v>
      </c>
      <c r="X1031" s="106">
        <f t="shared" si="136"/>
        <v>4738.875</v>
      </c>
      <c r="Y1031" s="204">
        <f t="shared" si="136"/>
        <v>1555.2033640211002</v>
      </c>
    </row>
    <row r="1032" spans="1:25" x14ac:dyDescent="0.25">
      <c r="A1032" s="105">
        <f t="shared" si="83"/>
        <v>41514</v>
      </c>
      <c r="B1032" s="59">
        <f>SUM('Weekly Data'!D1029:D1032)/4</f>
        <v>29</v>
      </c>
      <c r="C1032" s="90">
        <f>SUM('Weekly Data'!E1029:E1032)/4</f>
        <v>2085.25</v>
      </c>
      <c r="D1032" s="90" t="s">
        <v>34</v>
      </c>
      <c r="E1032" s="90">
        <f>SUM('Weekly Data'!G1029:G1032)/4</f>
        <v>1977.5</v>
      </c>
      <c r="F1032" s="90">
        <f>SUM('Weekly Data'!H1029:H1032)/4</f>
        <v>31</v>
      </c>
      <c r="G1032" s="90">
        <f>SUM('Weekly Data'!I1029:I1032)/4</f>
        <v>4122.75</v>
      </c>
      <c r="H1032" s="202">
        <f>SUM('Weekly Data'!J1029:J1032)/4</f>
        <v>1239.75</v>
      </c>
      <c r="J1032" s="101">
        <f>AVERAGE('Weekly Data'!D980,'Weekly Data'!D928,'Weekly Data'!D876,'Weekly Data'!D824)</f>
        <v>215.25</v>
      </c>
      <c r="K1032" s="16">
        <f>AVERAGE('Weekly Data'!E980,'Weekly Data'!E928,'Weekly Data'!E876,'Weekly Data'!E824)</f>
        <v>1169.5</v>
      </c>
      <c r="L1032" s="16">
        <f>AVERAGE('Weekly Data'!F980,'Weekly Data'!F928,'Weekly Data'!F876,'Weekly Data'!F824)</f>
        <v>507.75</v>
      </c>
      <c r="M1032" s="16">
        <f>AVERAGE('Weekly Data'!G980,'Weekly Data'!G928,'Weekly Data'!G876,'Weekly Data'!G824)</f>
        <v>3003.5</v>
      </c>
      <c r="N1032" s="16">
        <f>AVERAGE('Weekly Data'!H980,'Weekly Data'!H928,'Weekly Data'!H876,'Weekly Data'!H824)</f>
        <v>114.25</v>
      </c>
      <c r="O1032" s="101">
        <f>AVERAGE('Weekly Data'!I980,'Weekly Data'!I928,'Weekly Data'!I876,'Weekly Data'!I824)</f>
        <v>4502.5</v>
      </c>
      <c r="P1032" s="203">
        <f>AVERAGE('Weekly Data'!J980,'Weekly Data'!J928,'Weekly Data'!J876,'Weekly Data'!J824)</f>
        <v>1393.7636564301324</v>
      </c>
      <c r="R1032" s="13">
        <f t="shared" si="119"/>
        <v>41514</v>
      </c>
      <c r="S1032" s="106">
        <f t="shared" ref="S1032:Y1033" si="137">AVERAGE(B980,B928,B876,B823)</f>
        <v>284.875</v>
      </c>
      <c r="T1032" s="106">
        <f t="shared" si="137"/>
        <v>1046.3125</v>
      </c>
      <c r="U1032" s="109">
        <f t="shared" si="137"/>
        <v>690.0625</v>
      </c>
      <c r="V1032" s="109">
        <f t="shared" si="137"/>
        <v>3201.6875</v>
      </c>
      <c r="W1032" s="110">
        <f t="shared" si="137"/>
        <v>155.1875</v>
      </c>
      <c r="X1032" s="106">
        <f t="shared" si="137"/>
        <v>4688.0625</v>
      </c>
      <c r="Y1032" s="204">
        <f t="shared" si="137"/>
        <v>1467.1678439832558</v>
      </c>
    </row>
    <row r="1033" spans="1:25" x14ac:dyDescent="0.25">
      <c r="A1033" s="105">
        <f t="shared" si="83"/>
        <v>41521</v>
      </c>
      <c r="B1033" s="59">
        <f>SUM('Weekly Data'!D1030:D1033)/4</f>
        <v>37.25</v>
      </c>
      <c r="C1033" s="90">
        <f>SUM('Weekly Data'!E1030:E1033)/4</f>
        <v>2034.75</v>
      </c>
      <c r="D1033" s="90" t="s">
        <v>34</v>
      </c>
      <c r="E1033" s="90">
        <f>SUM('Weekly Data'!G1030:G1033)/4</f>
        <v>2500.75</v>
      </c>
      <c r="F1033" s="90">
        <f>SUM('Weekly Data'!H1030:H1033)/4</f>
        <v>64.25</v>
      </c>
      <c r="G1033" s="90">
        <f>SUM('Weekly Data'!I1030:I1033)/4</f>
        <v>4637</v>
      </c>
      <c r="H1033" s="202">
        <f>SUM('Weekly Data'!J1030:J1033)/4</f>
        <v>1193.5</v>
      </c>
      <c r="J1033" s="101">
        <f>AVERAGE('Weekly Data'!D981,'Weekly Data'!D929,'Weekly Data'!D877,'Weekly Data'!D825)</f>
        <v>335.5</v>
      </c>
      <c r="K1033" s="16">
        <f>AVERAGE('Weekly Data'!E981,'Weekly Data'!E929,'Weekly Data'!E877,'Weekly Data'!E825)</f>
        <v>1272.25</v>
      </c>
      <c r="L1033" s="16">
        <f>AVERAGE('Weekly Data'!F981,'Weekly Data'!F929,'Weekly Data'!F877,'Weekly Data'!F825)</f>
        <v>538.25</v>
      </c>
      <c r="M1033" s="16">
        <f>AVERAGE('Weekly Data'!G981,'Weekly Data'!G929,'Weekly Data'!G877,'Weekly Data'!G825)</f>
        <v>2832.25</v>
      </c>
      <c r="N1033" s="16">
        <f>AVERAGE('Weekly Data'!H981,'Weekly Data'!H929,'Weekly Data'!H877,'Weekly Data'!H825)</f>
        <v>182.75</v>
      </c>
      <c r="O1033" s="101">
        <f>AVERAGE('Weekly Data'!I981,'Weekly Data'!I929,'Weekly Data'!I877,'Weekly Data'!I825)</f>
        <v>4622.75</v>
      </c>
      <c r="P1033" s="203">
        <f>AVERAGE('Weekly Data'!J981,'Weekly Data'!J929,'Weekly Data'!J877,'Weekly Data'!J825)</f>
        <v>1533.6993426805338</v>
      </c>
      <c r="R1033" s="13">
        <f t="shared" si="119"/>
        <v>41521</v>
      </c>
      <c r="S1033" s="106">
        <f t="shared" si="137"/>
        <v>302.9375</v>
      </c>
      <c r="T1033" s="106">
        <f t="shared" ref="T1033:Y1033" si="138">AVERAGE(C981,C929,C877,C824)</f>
        <v>1128.9375</v>
      </c>
      <c r="U1033" s="109">
        <f t="shared" si="138"/>
        <v>598.3125</v>
      </c>
      <c r="V1033" s="109">
        <f t="shared" si="138"/>
        <v>3134.5</v>
      </c>
      <c r="W1033" s="110">
        <f t="shared" si="138"/>
        <v>153.375</v>
      </c>
      <c r="X1033" s="106">
        <f t="shared" si="138"/>
        <v>4719.75</v>
      </c>
      <c r="Y1033" s="204">
        <f t="shared" si="138"/>
        <v>1499.9842546914147</v>
      </c>
    </row>
    <row r="1034" spans="1:25" x14ac:dyDescent="0.25">
      <c r="A1034" s="105">
        <f t="shared" si="83"/>
        <v>41528</v>
      </c>
      <c r="B1034" s="59">
        <f>SUM('Weekly Data'!D1031:D1034)/4</f>
        <v>37.25</v>
      </c>
      <c r="C1034" s="90">
        <f>SUM('Weekly Data'!E1031:E1034)/4</f>
        <v>2283.25</v>
      </c>
      <c r="D1034" s="90" t="s">
        <v>34</v>
      </c>
      <c r="E1034" s="90">
        <f>SUM('Weekly Data'!G1031:G1034)/4</f>
        <v>2732.5</v>
      </c>
      <c r="F1034" s="90">
        <f>SUM('Weekly Data'!H1031:H1034)/4</f>
        <v>61</v>
      </c>
      <c r="G1034" s="90">
        <f>SUM('Weekly Data'!I1031:I1034)/4</f>
        <v>5114</v>
      </c>
      <c r="H1034" s="202">
        <f>SUM('Weekly Data'!J1031:J1034)/4</f>
        <v>1170.5</v>
      </c>
      <c r="J1034" s="101">
        <f>AVERAGE('Weekly Data'!D982,'Weekly Data'!D930,'Weekly Data'!D878,'Weekly Data'!D826)</f>
        <v>335</v>
      </c>
      <c r="K1034" s="16">
        <f>AVERAGE('Weekly Data'!E982,'Weekly Data'!E930,'Weekly Data'!E878,'Weekly Data'!E826)</f>
        <v>1688.75</v>
      </c>
      <c r="L1034" s="16">
        <f>AVERAGE('Weekly Data'!F982,'Weekly Data'!F930,'Weekly Data'!F878,'Weekly Data'!F826)</f>
        <v>847.25</v>
      </c>
      <c r="M1034" s="16">
        <f>AVERAGE('Weekly Data'!G982,'Weekly Data'!G930,'Weekly Data'!G878,'Weekly Data'!G826)</f>
        <v>2312.5</v>
      </c>
      <c r="N1034" s="16">
        <f>AVERAGE('Weekly Data'!H982,'Weekly Data'!H930,'Weekly Data'!H878,'Weekly Data'!H826)</f>
        <v>167.25</v>
      </c>
      <c r="O1034" s="101">
        <f>AVERAGE('Weekly Data'!I982,'Weekly Data'!I930,'Weekly Data'!I878,'Weekly Data'!I826)</f>
        <v>4503.5</v>
      </c>
      <c r="P1034" s="203">
        <f>AVERAGE('Weekly Data'!J982,'Weekly Data'!J930,'Weekly Data'!J878,'Weekly Data'!J826)</f>
        <v>1257.3263866998725</v>
      </c>
      <c r="R1034" s="13">
        <f t="shared" si="119"/>
        <v>41528</v>
      </c>
      <c r="S1034" s="106">
        <f t="shared" ref="S1034:Y1034" si="139">AVERAGE(B982,B930,B878,B825)</f>
        <v>315.75</v>
      </c>
      <c r="T1034" s="106">
        <f t="shared" si="139"/>
        <v>1278.6875</v>
      </c>
      <c r="U1034" s="109">
        <f t="shared" si="139"/>
        <v>665.3125</v>
      </c>
      <c r="V1034" s="109">
        <f t="shared" si="139"/>
        <v>2855.1875</v>
      </c>
      <c r="W1034" s="110">
        <f t="shared" si="139"/>
        <v>155.4375</v>
      </c>
      <c r="X1034" s="106">
        <f t="shared" si="139"/>
        <v>4605.0625</v>
      </c>
      <c r="Y1034" s="204">
        <f t="shared" si="139"/>
        <v>1467.7932778726245</v>
      </c>
    </row>
    <row r="1035" spans="1:25" x14ac:dyDescent="0.25">
      <c r="A1035" s="105">
        <f t="shared" si="83"/>
        <v>41535</v>
      </c>
      <c r="B1035" s="59">
        <f>SUM('Weekly Data'!D1032:D1035)/4</f>
        <v>63.5</v>
      </c>
      <c r="C1035" s="90">
        <f>SUM('Weekly Data'!E1032:E1035)/4</f>
        <v>2359.75</v>
      </c>
      <c r="D1035" s="90" t="s">
        <v>34</v>
      </c>
      <c r="E1035" s="90">
        <f>SUM('Weekly Data'!G1032:G1035)/4</f>
        <v>2943.75</v>
      </c>
      <c r="F1035" s="90">
        <f>SUM('Weekly Data'!H1032:H1035)/4</f>
        <v>78</v>
      </c>
      <c r="G1035" s="90">
        <f>SUM('Weekly Data'!I1032:I1035)/4</f>
        <v>5445</v>
      </c>
      <c r="H1035" s="202">
        <f>SUM('Weekly Data'!J1032:J1035)/4</f>
        <v>1233.25</v>
      </c>
      <c r="J1035" s="101">
        <f>AVERAGE('Weekly Data'!D983,'Weekly Data'!D931,'Weekly Data'!D879,'Weekly Data'!D827)</f>
        <v>497</v>
      </c>
      <c r="K1035" s="16">
        <f>AVERAGE('Weekly Data'!E983,'Weekly Data'!E931,'Weekly Data'!E879,'Weekly Data'!E827)</f>
        <v>1507</v>
      </c>
      <c r="L1035" s="16">
        <f>AVERAGE('Weekly Data'!F983,'Weekly Data'!F931,'Weekly Data'!F879,'Weekly Data'!F827)</f>
        <v>653.25</v>
      </c>
      <c r="M1035" s="16">
        <f>AVERAGE('Weekly Data'!G983,'Weekly Data'!G931,'Weekly Data'!G879,'Weekly Data'!G827)</f>
        <v>2360.5</v>
      </c>
      <c r="N1035" s="16">
        <f>AVERAGE('Weekly Data'!H983,'Weekly Data'!H931,'Weekly Data'!H879,'Weekly Data'!H827)</f>
        <v>238.5</v>
      </c>
      <c r="O1035" s="101">
        <f>AVERAGE('Weekly Data'!I983,'Weekly Data'!I931,'Weekly Data'!I879,'Weekly Data'!I827)</f>
        <v>4603</v>
      </c>
      <c r="P1035" s="203">
        <f>AVERAGE('Weekly Data'!J983,'Weekly Data'!J931,'Weekly Data'!J879,'Weekly Data'!J827)</f>
        <v>1561.9244962088785</v>
      </c>
      <c r="R1035" s="13">
        <f t="shared" si="119"/>
        <v>41535</v>
      </c>
      <c r="S1035" s="106">
        <f t="shared" ref="S1035:Y1035" si="140">AVERAGE(B983,B931,B879,B826)</f>
        <v>361.8125</v>
      </c>
      <c r="T1035" s="106">
        <f t="shared" si="140"/>
        <v>1374.25</v>
      </c>
      <c r="U1035" s="109">
        <f t="shared" si="140"/>
        <v>640.0625</v>
      </c>
      <c r="V1035" s="109">
        <f t="shared" si="140"/>
        <v>2606.125</v>
      </c>
      <c r="W1035" s="110">
        <f t="shared" si="140"/>
        <v>179.8125</v>
      </c>
      <c r="X1035" s="106">
        <f t="shared" si="140"/>
        <v>4522</v>
      </c>
      <c r="Y1035" s="204">
        <f t="shared" si="140"/>
        <v>1467.1791143398536</v>
      </c>
    </row>
    <row r="1036" spans="1:25" x14ac:dyDescent="0.25">
      <c r="A1036" s="105">
        <f t="shared" si="83"/>
        <v>41542</v>
      </c>
      <c r="B1036" s="59">
        <f>SUM('Weekly Data'!D1033:D1036)/4</f>
        <v>35.75</v>
      </c>
      <c r="C1036" s="90">
        <f>SUM('Weekly Data'!E1033:E1036)/4</f>
        <v>2325.25</v>
      </c>
      <c r="D1036" s="90" t="s">
        <v>34</v>
      </c>
      <c r="E1036" s="90">
        <f>SUM('Weekly Data'!G1033:G1036)/4</f>
        <v>2742.75</v>
      </c>
      <c r="F1036" s="90">
        <f>SUM('Weekly Data'!H1033:H1036)/4</f>
        <v>72.5</v>
      </c>
      <c r="G1036" s="90">
        <f>SUM('Weekly Data'!I1033:I1036)/4</f>
        <v>5176.25</v>
      </c>
      <c r="H1036" s="202">
        <f>SUM('Weekly Data'!J1033:J1036)/4</f>
        <v>1410.5</v>
      </c>
      <c r="J1036" s="101">
        <f>AVERAGE('Weekly Data'!D984,'Weekly Data'!D932,'Weekly Data'!D880,'Weekly Data'!D828)</f>
        <v>601.25</v>
      </c>
      <c r="K1036" s="16">
        <f>AVERAGE('Weekly Data'!E984,'Weekly Data'!E932,'Weekly Data'!E880,'Weekly Data'!E828)</f>
        <v>1342.25</v>
      </c>
      <c r="L1036" s="16">
        <f>AVERAGE('Weekly Data'!F984,'Weekly Data'!F932,'Weekly Data'!F880,'Weekly Data'!F828)</f>
        <v>631.25</v>
      </c>
      <c r="M1036" s="16">
        <f>AVERAGE('Weekly Data'!G984,'Weekly Data'!G932,'Weekly Data'!G880,'Weekly Data'!G828)</f>
        <v>2710.75</v>
      </c>
      <c r="N1036" s="16">
        <f>AVERAGE('Weekly Data'!H984,'Weekly Data'!H932,'Weekly Data'!H880,'Weekly Data'!H828)</f>
        <v>384.25</v>
      </c>
      <c r="O1036" s="101">
        <f>AVERAGE('Weekly Data'!I984,'Weekly Data'!I932,'Weekly Data'!I880,'Weekly Data'!I828)</f>
        <v>5038.5</v>
      </c>
      <c r="P1036" s="203">
        <f>AVERAGE('Weekly Data'!J984,'Weekly Data'!J932,'Weekly Data'!J880,'Weekly Data'!J828)</f>
        <v>1294.3832440611422</v>
      </c>
      <c r="R1036" s="13">
        <f t="shared" si="119"/>
        <v>41542</v>
      </c>
      <c r="S1036" s="106">
        <f t="shared" ref="S1036:Y1036" si="141">AVERAGE(B984,B932,B880,B827)</f>
        <v>445.5625</v>
      </c>
      <c r="T1036" s="106">
        <f t="shared" si="141"/>
        <v>1488.1875</v>
      </c>
      <c r="U1036" s="109">
        <f t="shared" si="141"/>
        <v>645.25</v>
      </c>
      <c r="V1036" s="109">
        <f t="shared" si="141"/>
        <v>2566.3125</v>
      </c>
      <c r="W1036" s="110">
        <f t="shared" si="141"/>
        <v>244.5625</v>
      </c>
      <c r="X1036" s="106">
        <f t="shared" si="141"/>
        <v>4744.625</v>
      </c>
      <c r="Y1036" s="204">
        <f t="shared" si="141"/>
        <v>1450.576009667735</v>
      </c>
    </row>
    <row r="1037" spans="1:25" x14ac:dyDescent="0.25">
      <c r="A1037" s="105">
        <f t="shared" ref="A1037:A1097" si="142">A1036+7</f>
        <v>41549</v>
      </c>
      <c r="B1037" s="59">
        <f>SUM('Weekly Data'!D1034:D1037)/4</f>
        <v>75.25</v>
      </c>
      <c r="C1037" s="90">
        <f>SUM('Weekly Data'!E1034:E1037)/4</f>
        <v>2188.5</v>
      </c>
      <c r="D1037" s="90" t="s">
        <v>34</v>
      </c>
      <c r="E1037" s="90">
        <f>SUM('Weekly Data'!G1034:G1037)/4</f>
        <v>2646.75</v>
      </c>
      <c r="F1037" s="90">
        <f>SUM('Weekly Data'!H1034:H1037)/4</f>
        <v>77</v>
      </c>
      <c r="G1037" s="90">
        <f>SUM('Weekly Data'!I1034:I1037)/4</f>
        <v>4987.5</v>
      </c>
      <c r="H1037" s="202">
        <f>SUM('Weekly Data'!J1034:J1037)/4</f>
        <v>1435.75</v>
      </c>
      <c r="J1037" s="101">
        <f>AVERAGE('Weekly Data'!D985,'Weekly Data'!D933,'Weekly Data'!D881,'Weekly Data'!D829)</f>
        <v>984.75</v>
      </c>
      <c r="K1037" s="16">
        <f>AVERAGE('Weekly Data'!E985,'Weekly Data'!E933,'Weekly Data'!E881,'Weekly Data'!E829)</f>
        <v>1406</v>
      </c>
      <c r="L1037" s="16">
        <f>AVERAGE('Weekly Data'!F985,'Weekly Data'!F933,'Weekly Data'!F881,'Weekly Data'!F829)</f>
        <v>551.5</v>
      </c>
      <c r="M1037" s="16">
        <f>AVERAGE('Weekly Data'!G985,'Weekly Data'!G933,'Weekly Data'!G881,'Weekly Data'!G829)</f>
        <v>3256.25</v>
      </c>
      <c r="N1037" s="16">
        <f>AVERAGE('Weekly Data'!H985,'Weekly Data'!H933,'Weekly Data'!H881,'Weekly Data'!H829)</f>
        <v>400.75</v>
      </c>
      <c r="O1037" s="101">
        <f>AVERAGE('Weekly Data'!I985,'Weekly Data'!I933,'Weekly Data'!I881,'Weekly Data'!I829)</f>
        <v>6047.75</v>
      </c>
      <c r="P1037" s="203">
        <f>AVERAGE('Weekly Data'!J985,'Weekly Data'!J933,'Weekly Data'!J881,'Weekly Data'!J829)</f>
        <v>1342.6342513605387</v>
      </c>
      <c r="R1037" s="13">
        <f t="shared" si="119"/>
        <v>41549</v>
      </c>
      <c r="S1037" s="106">
        <f t="shared" ref="S1037:Y1039" si="143">AVERAGE(B985,B933,B881,B828)</f>
        <v>579.9375</v>
      </c>
      <c r="T1037" s="106">
        <f t="shared" si="143"/>
        <v>1427.1875</v>
      </c>
      <c r="U1037" s="109">
        <f t="shared" si="143"/>
        <v>680.5</v>
      </c>
      <c r="V1037" s="109">
        <f t="shared" si="143"/>
        <v>2621.125</v>
      </c>
      <c r="W1037" s="110">
        <f t="shared" si="143"/>
        <v>294.3125</v>
      </c>
      <c r="X1037" s="106">
        <f t="shared" si="143"/>
        <v>4922.5625</v>
      </c>
      <c r="Y1037" s="204">
        <f t="shared" si="143"/>
        <v>1390.8404652467211</v>
      </c>
    </row>
    <row r="1038" spans="1:25" x14ac:dyDescent="0.25">
      <c r="A1038" s="105">
        <f t="shared" si="142"/>
        <v>41556</v>
      </c>
      <c r="B1038" s="59">
        <f>SUM('Weekly Data'!D1035:D1038)/4</f>
        <v>468</v>
      </c>
      <c r="C1038" s="90">
        <f>SUM('Weekly Data'!E1035:E1038)/4</f>
        <v>1996.75</v>
      </c>
      <c r="D1038" s="90" t="s">
        <v>34</v>
      </c>
      <c r="E1038" s="90">
        <f>SUM('Weekly Data'!G1035:G1038)/4</f>
        <v>3339.5</v>
      </c>
      <c r="F1038" s="90">
        <f>SUM('Weekly Data'!H1035:H1038)/4</f>
        <v>355.25</v>
      </c>
      <c r="G1038" s="90">
        <f>SUM('Weekly Data'!I1035:I1038)/4</f>
        <v>6159.5</v>
      </c>
      <c r="H1038" s="202">
        <f>SUM('Weekly Data'!J1035:J1038)/4</f>
        <v>1629.75</v>
      </c>
      <c r="J1038" s="101">
        <f>AVERAGE('Weekly Data'!D986,'Weekly Data'!D934,'Weekly Data'!D882,'Weekly Data'!D830)</f>
        <v>1154</v>
      </c>
      <c r="K1038" s="16">
        <f>AVERAGE('Weekly Data'!E986,'Weekly Data'!E934,'Weekly Data'!E882,'Weekly Data'!E830)</f>
        <v>1515.75</v>
      </c>
      <c r="L1038" s="16">
        <f>AVERAGE('Weekly Data'!F986,'Weekly Data'!F934,'Weekly Data'!F882,'Weekly Data'!F830)</f>
        <v>532</v>
      </c>
      <c r="M1038" s="16">
        <f>AVERAGE('Weekly Data'!G986,'Weekly Data'!G934,'Weekly Data'!G882,'Weekly Data'!G830)</f>
        <v>4778</v>
      </c>
      <c r="N1038" s="16">
        <f>AVERAGE('Weekly Data'!H986,'Weekly Data'!H934,'Weekly Data'!H882,'Weekly Data'!H830)</f>
        <v>704.5</v>
      </c>
      <c r="O1038" s="101">
        <f>AVERAGE('Weekly Data'!I986,'Weekly Data'!I934,'Weekly Data'!I882,'Weekly Data'!I830)</f>
        <v>8152.25</v>
      </c>
      <c r="P1038" s="203">
        <f>AVERAGE('Weekly Data'!J986,'Weekly Data'!J934,'Weekly Data'!J882,'Weekly Data'!J830)</f>
        <v>1949.1003613425187</v>
      </c>
      <c r="R1038" s="13">
        <f t="shared" si="119"/>
        <v>41556</v>
      </c>
      <c r="S1038" s="106">
        <f t="shared" si="143"/>
        <v>743.375</v>
      </c>
      <c r="T1038" s="106">
        <f t="shared" si="143"/>
        <v>1389.5</v>
      </c>
      <c r="U1038" s="109">
        <f t="shared" si="143"/>
        <v>590.5</v>
      </c>
      <c r="V1038" s="109">
        <f t="shared" si="143"/>
        <v>3200.0625</v>
      </c>
      <c r="W1038" s="110">
        <f t="shared" si="143"/>
        <v>399.6875</v>
      </c>
      <c r="X1038" s="106">
        <f t="shared" si="143"/>
        <v>5732.625</v>
      </c>
      <c r="Y1038" s="204">
        <f t="shared" si="143"/>
        <v>1495.2756280903875</v>
      </c>
    </row>
    <row r="1039" spans="1:25" x14ac:dyDescent="0.25">
      <c r="A1039" s="105">
        <f t="shared" si="142"/>
        <v>41563</v>
      </c>
      <c r="B1039" s="59">
        <f>SUM('Weekly Data'!D1036:D1039)/4</f>
        <v>922.75</v>
      </c>
      <c r="C1039" s="90">
        <f>SUM('Weekly Data'!E1036:E1039)/4</f>
        <v>1613.5</v>
      </c>
      <c r="D1039" s="90" t="s">
        <v>34</v>
      </c>
      <c r="E1039" s="90">
        <f>SUM('Weekly Data'!G1036:G1039)/4</f>
        <v>3943.25</v>
      </c>
      <c r="F1039" s="90">
        <f>SUM('Weekly Data'!H1036:H1039)/4</f>
        <v>674.75</v>
      </c>
      <c r="G1039" s="90">
        <f>SUM('Weekly Data'!I1036:I1039)/4</f>
        <v>7154.25</v>
      </c>
      <c r="H1039" s="202">
        <f>SUM('Weekly Data'!J1036:J1039)/4</f>
        <v>1742.25</v>
      </c>
      <c r="J1039" s="101">
        <f>AVERAGE('Weekly Data'!D987,'Weekly Data'!D935,'Weekly Data'!D883,'Weekly Data'!D831)</f>
        <v>1560.75</v>
      </c>
      <c r="K1039" s="16">
        <f>AVERAGE('Weekly Data'!E987,'Weekly Data'!E935,'Weekly Data'!E883,'Weekly Data'!E831)</f>
        <v>1301</v>
      </c>
      <c r="L1039" s="16">
        <f>AVERAGE('Weekly Data'!F987,'Weekly Data'!F935,'Weekly Data'!F883,'Weekly Data'!F831)</f>
        <v>738.5</v>
      </c>
      <c r="M1039" s="16">
        <f>AVERAGE('Weekly Data'!G987,'Weekly Data'!G935,'Weekly Data'!G883,'Weekly Data'!G831)</f>
        <v>4278.75</v>
      </c>
      <c r="N1039" s="16">
        <f>AVERAGE('Weekly Data'!H987,'Weekly Data'!H935,'Weekly Data'!H883,'Weekly Data'!H831)</f>
        <v>848</v>
      </c>
      <c r="O1039" s="101">
        <f>AVERAGE('Weekly Data'!I987,'Weekly Data'!I935,'Weekly Data'!I883,'Weekly Data'!I831)</f>
        <v>7988.5</v>
      </c>
      <c r="P1039" s="203">
        <f>AVERAGE('Weekly Data'!J987,'Weekly Data'!J935,'Weekly Data'!J883,'Weekly Data'!J831)</f>
        <v>1478.3847862680891</v>
      </c>
      <c r="R1039" s="13">
        <f t="shared" si="119"/>
        <v>41563</v>
      </c>
      <c r="S1039" s="106">
        <f t="shared" si="143"/>
        <v>998</v>
      </c>
      <c r="T1039" s="106">
        <f t="shared" si="143"/>
        <v>1383.25</v>
      </c>
      <c r="U1039" s="109">
        <f t="shared" si="143"/>
        <v>690.83333333333337</v>
      </c>
      <c r="V1039" s="109">
        <f t="shared" si="143"/>
        <v>3639.625</v>
      </c>
      <c r="W1039" s="110">
        <f t="shared" si="143"/>
        <v>530.875</v>
      </c>
      <c r="X1039" s="106">
        <f t="shared" si="143"/>
        <v>6551.75</v>
      </c>
      <c r="Y1039" s="204">
        <f t="shared" si="143"/>
        <v>1470.2434529925138</v>
      </c>
    </row>
    <row r="1040" spans="1:25" x14ac:dyDescent="0.25">
      <c r="A1040" s="105">
        <f t="shared" si="142"/>
        <v>41570</v>
      </c>
      <c r="B1040" s="59">
        <f>SUM('Weekly Data'!D1037:D1040)/4</f>
        <v>1392.75</v>
      </c>
      <c r="C1040" s="90">
        <f>SUM('Weekly Data'!E1037:E1040)/4</f>
        <v>1419.25</v>
      </c>
      <c r="D1040" s="90" t="s">
        <v>34</v>
      </c>
      <c r="E1040" s="90">
        <f>SUM('Weekly Data'!G1037:G1040)/4</f>
        <v>4964.5</v>
      </c>
      <c r="F1040" s="90">
        <f>SUM('Weekly Data'!H1037:H1040)/4</f>
        <v>1009.5</v>
      </c>
      <c r="G1040" s="90">
        <f>SUM('Weekly Data'!I1037:I1040)/4</f>
        <v>8786</v>
      </c>
      <c r="H1040" s="202">
        <f>SUM('Weekly Data'!J1037:J1040)/4</f>
        <v>1753.25</v>
      </c>
      <c r="J1040" s="101">
        <f>AVERAGE('Weekly Data'!D988,'Weekly Data'!D936,'Weekly Data'!D884,'Weekly Data'!D832)</f>
        <v>1276.75</v>
      </c>
      <c r="K1040" s="16">
        <f>AVERAGE('Weekly Data'!E988,'Weekly Data'!E936,'Weekly Data'!E884,'Weekly Data'!E832)</f>
        <v>1173</v>
      </c>
      <c r="L1040" s="16">
        <f>AVERAGE('Weekly Data'!F988,'Weekly Data'!F936,'Weekly Data'!F884,'Weekly Data'!F832)</f>
        <v>937.5</v>
      </c>
      <c r="M1040" s="16">
        <f>AVERAGE('Weekly Data'!G988,'Weekly Data'!G936,'Weekly Data'!G884,'Weekly Data'!G832)</f>
        <v>4029</v>
      </c>
      <c r="N1040" s="16">
        <f>AVERAGE('Weekly Data'!H988,'Weekly Data'!H936,'Weekly Data'!H884,'Weekly Data'!H832)</f>
        <v>997.5</v>
      </c>
      <c r="O1040" s="101">
        <f>AVERAGE('Weekly Data'!I988,'Weekly Data'!I936,'Weekly Data'!I884,'Weekly Data'!I832)</f>
        <v>7476.25</v>
      </c>
      <c r="P1040" s="203">
        <f>AVERAGE('Weekly Data'!J988,'Weekly Data'!J936,'Weekly Data'!J884,'Weekly Data'!J832)</f>
        <v>1836.0826705076538</v>
      </c>
      <c r="R1040" s="13">
        <f t="shared" si="119"/>
        <v>41570</v>
      </c>
      <c r="S1040" s="106">
        <f t="shared" ref="S1040:S1045" si="144">AVERAGE(B988,B936,B884,B831)</f>
        <v>1146</v>
      </c>
      <c r="T1040" s="106">
        <f t="shared" ref="T1040:T1045" si="145">AVERAGE(C988,C936,C884,C831)</f>
        <v>1271.75</v>
      </c>
      <c r="U1040" s="109">
        <f t="shared" ref="U1040:U1045" si="146">AVERAGE(D988,D936,D884,D831)</f>
        <v>810.58333333333337</v>
      </c>
      <c r="V1040" s="109">
        <f t="shared" ref="V1040:V1045" si="147">AVERAGE(E988,E936,E884,E831)</f>
        <v>4010.375</v>
      </c>
      <c r="W1040" s="110">
        <f t="shared" ref="W1040:W1045" si="148">AVERAGE(F988,F936,F884,F831)</f>
        <v>705.5</v>
      </c>
      <c r="X1040" s="106">
        <f t="shared" ref="X1040:X1045" si="149">AVERAGE(G988,G936,G884,G831)</f>
        <v>7133.625</v>
      </c>
      <c r="Y1040" s="204">
        <f t="shared" ref="Y1040:Y1045" si="150">AVERAGE(H988,H936,H884,H831)</f>
        <v>1622.9397585227557</v>
      </c>
    </row>
    <row r="1041" spans="1:25" x14ac:dyDescent="0.25">
      <c r="A1041" s="105">
        <f t="shared" si="142"/>
        <v>41577</v>
      </c>
      <c r="B1041" s="59">
        <f>SUM('Weekly Data'!D1038:D1041)/4</f>
        <v>1791.5</v>
      </c>
      <c r="C1041" s="90">
        <f>SUM('Weekly Data'!E1038:E1041)/4</f>
        <v>1206</v>
      </c>
      <c r="D1041" s="90" t="s">
        <v>34</v>
      </c>
      <c r="E1041" s="90">
        <f>SUM('Weekly Data'!G1038:G1041)/4</f>
        <v>5917.25</v>
      </c>
      <c r="F1041" s="90">
        <f>SUM('Weekly Data'!H1038:H1041)/4</f>
        <v>1295.75</v>
      </c>
      <c r="G1041" s="90">
        <f>SUM('Weekly Data'!I1038:I1041)/4</f>
        <v>10210.5</v>
      </c>
      <c r="H1041" s="202">
        <f>SUM('Weekly Data'!J1038:J1041)/4</f>
        <v>1952.25</v>
      </c>
      <c r="J1041" s="101">
        <f>AVERAGE('Weekly Data'!D989,'Weekly Data'!D937,'Weekly Data'!D885,'Weekly Data'!D833)</f>
        <v>1125.25</v>
      </c>
      <c r="K1041" s="16">
        <f>AVERAGE('Weekly Data'!E989,'Weekly Data'!E937,'Weekly Data'!E885,'Weekly Data'!E833)</f>
        <v>1356</v>
      </c>
      <c r="L1041" s="16">
        <f>AVERAGE('Weekly Data'!F989,'Weekly Data'!F937,'Weekly Data'!F885,'Weekly Data'!F833)</f>
        <v>682.25</v>
      </c>
      <c r="M1041" s="16">
        <f>AVERAGE('Weekly Data'!G989,'Weekly Data'!G937,'Weekly Data'!G885,'Weekly Data'!G833)</f>
        <v>4553.75</v>
      </c>
      <c r="N1041" s="16">
        <f>AVERAGE('Weekly Data'!H989,'Weekly Data'!H937,'Weekly Data'!H885,'Weekly Data'!H833)</f>
        <v>1005</v>
      </c>
      <c r="O1041" s="101">
        <f>AVERAGE('Weekly Data'!I989,'Weekly Data'!I937,'Weekly Data'!I885,'Weekly Data'!I833)</f>
        <v>8040</v>
      </c>
      <c r="P1041" s="203">
        <f>AVERAGE('Weekly Data'!J989,'Weekly Data'!J937,'Weekly Data'!J885,'Weekly Data'!J833)</f>
        <v>1793.5933986320224</v>
      </c>
      <c r="R1041" s="13">
        <f t="shared" si="119"/>
        <v>41577</v>
      </c>
      <c r="S1041" s="106">
        <f t="shared" si="144"/>
        <v>1232.875</v>
      </c>
      <c r="T1041" s="106">
        <f t="shared" si="145"/>
        <v>1299.8125</v>
      </c>
      <c r="U1041" s="109">
        <f t="shared" si="146"/>
        <v>882.83333333333337</v>
      </c>
      <c r="V1041" s="109">
        <f t="shared" si="147"/>
        <v>4326.4375</v>
      </c>
      <c r="W1041" s="110">
        <f t="shared" si="148"/>
        <v>845.0625</v>
      </c>
      <c r="X1041" s="106">
        <f t="shared" si="149"/>
        <v>7704.1875</v>
      </c>
      <c r="Y1041" s="204">
        <f t="shared" si="150"/>
        <v>1731.5847945331741</v>
      </c>
    </row>
    <row r="1042" spans="1:25" x14ac:dyDescent="0.25">
      <c r="A1042" s="105">
        <f t="shared" si="142"/>
        <v>41584</v>
      </c>
      <c r="B1042" s="59">
        <f>SUM('Weekly Data'!D1039:D1042)/4</f>
        <v>1887.5</v>
      </c>
      <c r="C1042" s="90">
        <f>SUM('Weekly Data'!E1039:E1042)/4</f>
        <v>1046.75</v>
      </c>
      <c r="D1042" s="90" t="s">
        <v>34</v>
      </c>
      <c r="E1042" s="90">
        <f>SUM('Weekly Data'!G1039:G1042)/4</f>
        <v>5955</v>
      </c>
      <c r="F1042" s="90">
        <f>SUM('Weekly Data'!H1039:H1042)/4</f>
        <v>1356.5</v>
      </c>
      <c r="G1042" s="90">
        <f>SUM('Weekly Data'!I1039:I1042)/4</f>
        <v>10245.75</v>
      </c>
      <c r="H1042" s="202">
        <f>SUM('Weekly Data'!J1039:J1042)/4</f>
        <v>1838.75</v>
      </c>
      <c r="J1042" s="101">
        <f>AVERAGE('Weekly Data'!D990,'Weekly Data'!D938,'Weekly Data'!D886,'Weekly Data'!D834)</f>
        <v>1209.75</v>
      </c>
      <c r="K1042" s="16">
        <f>AVERAGE('Weekly Data'!E990,'Weekly Data'!E938,'Weekly Data'!E886,'Weekly Data'!E834)</f>
        <v>1605.75</v>
      </c>
      <c r="L1042" s="16">
        <f>AVERAGE('Weekly Data'!F990,'Weekly Data'!F938,'Weekly Data'!F886,'Weekly Data'!F834)</f>
        <v>708.75</v>
      </c>
      <c r="M1042" s="16">
        <f>AVERAGE('Weekly Data'!G990,'Weekly Data'!G938,'Weekly Data'!G886,'Weekly Data'!G834)</f>
        <v>4140.5</v>
      </c>
      <c r="N1042" s="16">
        <f>AVERAGE('Weekly Data'!H990,'Weekly Data'!H938,'Weekly Data'!H886,'Weekly Data'!H834)</f>
        <v>993.75</v>
      </c>
      <c r="O1042" s="101">
        <f>AVERAGE('Weekly Data'!I990,'Weekly Data'!I938,'Weekly Data'!I886,'Weekly Data'!I834)</f>
        <v>7949.75</v>
      </c>
      <c r="P1042" s="203">
        <f>AVERAGE('Weekly Data'!J990,'Weekly Data'!J938,'Weekly Data'!J886,'Weekly Data'!J834)</f>
        <v>1769.8446427307535</v>
      </c>
      <c r="R1042" s="13">
        <f t="shared" si="119"/>
        <v>41584</v>
      </c>
      <c r="S1042" s="106">
        <f t="shared" si="144"/>
        <v>1262.6875</v>
      </c>
      <c r="T1042" s="106">
        <f t="shared" si="145"/>
        <v>1297.5625</v>
      </c>
      <c r="U1042" s="109">
        <f t="shared" si="146"/>
        <v>942.66666666666663</v>
      </c>
      <c r="V1042" s="109">
        <f t="shared" si="147"/>
        <v>4297.3125</v>
      </c>
      <c r="W1042" s="110">
        <f t="shared" si="148"/>
        <v>940.75</v>
      </c>
      <c r="X1042" s="106">
        <f t="shared" si="149"/>
        <v>7798.3125</v>
      </c>
      <c r="Y1042" s="204">
        <f t="shared" si="150"/>
        <v>1716.0115853898619</v>
      </c>
    </row>
    <row r="1043" spans="1:25" x14ac:dyDescent="0.25">
      <c r="A1043" s="105">
        <f t="shared" si="142"/>
        <v>41591</v>
      </c>
      <c r="B1043" s="59">
        <f>SUM('Weekly Data'!D1040:D1043)/4</f>
        <v>1892.5</v>
      </c>
      <c r="C1043" s="90">
        <f>SUM('Weekly Data'!E1040:E1043)/4</f>
        <v>1029.25</v>
      </c>
      <c r="D1043" s="90" t="s">
        <v>34</v>
      </c>
      <c r="E1043" s="90">
        <f>SUM('Weekly Data'!G1040:G1043)/4</f>
        <v>6474</v>
      </c>
      <c r="F1043" s="90">
        <f>SUM('Weekly Data'!H1040:H1043)/4</f>
        <v>1322.25</v>
      </c>
      <c r="G1043" s="90">
        <f>SUM('Weekly Data'!I1040:I1043)/4</f>
        <v>10718</v>
      </c>
      <c r="H1043" s="202">
        <f>SUM('Weekly Data'!J1040:J1043)/4</f>
        <v>1865</v>
      </c>
      <c r="J1043" s="101">
        <f>AVERAGE('Weekly Data'!D991,'Weekly Data'!D939,'Weekly Data'!D887,'Weekly Data'!D835)</f>
        <v>971</v>
      </c>
      <c r="K1043" s="16">
        <f>AVERAGE('Weekly Data'!E991,'Weekly Data'!E939,'Weekly Data'!E887,'Weekly Data'!E835)</f>
        <v>1724.75</v>
      </c>
      <c r="L1043" s="16">
        <f>AVERAGE('Weekly Data'!F991,'Weekly Data'!F939,'Weekly Data'!F887,'Weekly Data'!F835)</f>
        <v>724</v>
      </c>
      <c r="M1043" s="16">
        <f>AVERAGE('Weekly Data'!G991,'Weekly Data'!G939,'Weekly Data'!G887,'Weekly Data'!G835)</f>
        <v>3970.5</v>
      </c>
      <c r="N1043" s="16">
        <f>AVERAGE('Weekly Data'!H991,'Weekly Data'!H939,'Weekly Data'!H887,'Weekly Data'!H835)</f>
        <v>1109.75</v>
      </c>
      <c r="O1043" s="101">
        <f>AVERAGE('Weekly Data'!I991,'Weekly Data'!I939,'Weekly Data'!I887,'Weekly Data'!I835)</f>
        <v>7776</v>
      </c>
      <c r="P1043" s="203">
        <f>AVERAGE('Weekly Data'!J991,'Weekly Data'!J939,'Weekly Data'!J887,'Weekly Data'!J835)</f>
        <v>1787.2283846691566</v>
      </c>
      <c r="R1043" s="13">
        <f t="shared" si="119"/>
        <v>41591</v>
      </c>
      <c r="S1043" s="106">
        <f t="shared" si="144"/>
        <v>1141.3125</v>
      </c>
      <c r="T1043" s="106">
        <f t="shared" si="145"/>
        <v>1374.875</v>
      </c>
      <c r="U1043" s="109">
        <f t="shared" si="146"/>
        <v>933.58333333333337</v>
      </c>
      <c r="V1043" s="109">
        <f t="shared" si="147"/>
        <v>4230.625</v>
      </c>
      <c r="W1043" s="110">
        <f t="shared" si="148"/>
        <v>1022.6875</v>
      </c>
      <c r="X1043" s="106">
        <f t="shared" si="149"/>
        <v>7769.5</v>
      </c>
      <c r="Y1043" s="204">
        <f t="shared" si="150"/>
        <v>1769.5989226394411</v>
      </c>
    </row>
    <row r="1044" spans="1:25" x14ac:dyDescent="0.25">
      <c r="A1044" s="105">
        <f t="shared" si="142"/>
        <v>41598</v>
      </c>
      <c r="B1044" s="59">
        <f>SUM('Weekly Data'!D1041:D1044)/4</f>
        <v>2001</v>
      </c>
      <c r="C1044" s="90">
        <f>SUM('Weekly Data'!E1041:E1044)/4</f>
        <v>995</v>
      </c>
      <c r="D1044" s="90" t="s">
        <v>34</v>
      </c>
      <c r="E1044" s="90">
        <f>SUM('Weekly Data'!G1041:G1044)/4</f>
        <v>6800.75</v>
      </c>
      <c r="F1044" s="90">
        <f>SUM('Weekly Data'!H1041:H1044)/4</f>
        <v>1300.5</v>
      </c>
      <c r="G1044" s="90">
        <f>SUM('Weekly Data'!I1041:I1044)/4</f>
        <v>11097.25</v>
      </c>
      <c r="H1044" s="202">
        <f>SUM('Weekly Data'!J1041:J1044)/4</f>
        <v>2001.5</v>
      </c>
      <c r="J1044" s="101">
        <f>AVERAGE('Weekly Data'!D992,'Weekly Data'!D940,'Weekly Data'!D888,'Weekly Data'!D836)</f>
        <v>1120</v>
      </c>
      <c r="K1044" s="16">
        <f>AVERAGE('Weekly Data'!E992,'Weekly Data'!E940,'Weekly Data'!E888,'Weekly Data'!E836)</f>
        <v>1699.25</v>
      </c>
      <c r="L1044" s="16">
        <f>AVERAGE('Weekly Data'!F992,'Weekly Data'!F940,'Weekly Data'!F888,'Weekly Data'!F836)</f>
        <v>884.33333333333337</v>
      </c>
      <c r="M1044" s="16">
        <f>AVERAGE('Weekly Data'!G992,'Weekly Data'!G940,'Weekly Data'!G888,'Weekly Data'!G836)</f>
        <v>3694.5</v>
      </c>
      <c r="N1044" s="16">
        <f>AVERAGE('Weekly Data'!H992,'Weekly Data'!H940,'Weekly Data'!H888,'Weekly Data'!H836)</f>
        <v>1100</v>
      </c>
      <c r="O1044" s="101">
        <f>AVERAGE('Weekly Data'!I992,'Weekly Data'!I940,'Weekly Data'!I888,'Weekly Data'!I836)</f>
        <v>7613.75</v>
      </c>
      <c r="P1044" s="203">
        <f>AVERAGE('Weekly Data'!J992,'Weekly Data'!J940,'Weekly Data'!J888,'Weekly Data'!J836)</f>
        <v>1639.7485937212975</v>
      </c>
      <c r="R1044" s="13">
        <f t="shared" si="119"/>
        <v>41598</v>
      </c>
      <c r="S1044" s="106">
        <f t="shared" si="144"/>
        <v>1117.5625</v>
      </c>
      <c r="T1044" s="106">
        <f t="shared" si="145"/>
        <v>1529.5625</v>
      </c>
      <c r="U1044" s="109">
        <f t="shared" si="146"/>
        <v>822.58333333333337</v>
      </c>
      <c r="V1044" s="109">
        <f t="shared" si="147"/>
        <v>4098.3125</v>
      </c>
      <c r="W1044" s="110">
        <f t="shared" si="148"/>
        <v>1016.1875</v>
      </c>
      <c r="X1044" s="106">
        <f t="shared" si="149"/>
        <v>7761.625</v>
      </c>
      <c r="Y1044" s="204">
        <f t="shared" si="150"/>
        <v>1738.2068268032563</v>
      </c>
    </row>
    <row r="1045" spans="1:25" x14ac:dyDescent="0.25">
      <c r="A1045" s="105">
        <f t="shared" si="142"/>
        <v>41605</v>
      </c>
      <c r="B1045" s="59">
        <f>SUM('Weekly Data'!D1042:D1045)/4</f>
        <v>2054.75</v>
      </c>
      <c r="C1045" s="90">
        <f>SUM('Weekly Data'!E1042:E1045)/4</f>
        <v>1215.5</v>
      </c>
      <c r="D1045" s="90" t="s">
        <v>34</v>
      </c>
      <c r="E1045" s="90">
        <f>SUM('Weekly Data'!G1042:G1045)/4</f>
        <v>6790</v>
      </c>
      <c r="F1045" s="90">
        <f>SUM('Weekly Data'!H1042:H1045)/4</f>
        <v>1271.25</v>
      </c>
      <c r="G1045" s="90">
        <f>SUM('Weekly Data'!I1042:I1045)/4</f>
        <v>11331.5</v>
      </c>
      <c r="H1045" s="202">
        <f>SUM('Weekly Data'!J1042:J1045)/4</f>
        <v>1800</v>
      </c>
      <c r="J1045" s="101">
        <f>AVERAGE('Weekly Data'!D993,'Weekly Data'!D941,'Weekly Data'!D889,'Weekly Data'!D837)</f>
        <v>1045.75</v>
      </c>
      <c r="K1045" s="16">
        <f>AVERAGE('Weekly Data'!E993,'Weekly Data'!E941,'Weekly Data'!E889,'Weekly Data'!E837)</f>
        <v>1296.75</v>
      </c>
      <c r="L1045" s="16">
        <f>AVERAGE('Weekly Data'!F993,'Weekly Data'!F941,'Weekly Data'!F889,'Weekly Data'!F837)</f>
        <v>604</v>
      </c>
      <c r="M1045" s="16">
        <f>AVERAGE('Weekly Data'!G993,'Weekly Data'!G941,'Weekly Data'!G889,'Weekly Data'!G837)</f>
        <v>4184</v>
      </c>
      <c r="N1045" s="16">
        <f>AVERAGE('Weekly Data'!H993,'Weekly Data'!H941,'Weekly Data'!H889,'Weekly Data'!H837)</f>
        <v>800.75</v>
      </c>
      <c r="O1045" s="101">
        <f>AVERAGE('Weekly Data'!I993,'Weekly Data'!I941,'Weekly Data'!I889,'Weekly Data'!I837)</f>
        <v>7327.25</v>
      </c>
      <c r="P1045" s="203">
        <f>AVERAGE('Weekly Data'!J993,'Weekly Data'!J941,'Weekly Data'!J889,'Weekly Data'!J837)</f>
        <v>1402.9518572550116</v>
      </c>
      <c r="R1045" s="13">
        <f t="shared" si="119"/>
        <v>41605</v>
      </c>
      <c r="S1045" s="106">
        <f t="shared" si="144"/>
        <v>1092.5</v>
      </c>
      <c r="T1045" s="106">
        <f t="shared" si="145"/>
        <v>1640.125</v>
      </c>
      <c r="U1045" s="109">
        <f t="shared" si="146"/>
        <v>787.58333333333337</v>
      </c>
      <c r="V1045" s="109">
        <f t="shared" si="147"/>
        <v>4033.6875</v>
      </c>
      <c r="W1045" s="110">
        <f t="shared" si="148"/>
        <v>1002.375</v>
      </c>
      <c r="X1045" s="106">
        <f t="shared" si="149"/>
        <v>7768.6875</v>
      </c>
      <c r="Y1045" s="204">
        <f t="shared" si="150"/>
        <v>1648.9984271000274</v>
      </c>
    </row>
    <row r="1046" spans="1:25" x14ac:dyDescent="0.25">
      <c r="A1046" s="105">
        <f t="shared" si="142"/>
        <v>41612</v>
      </c>
      <c r="B1046" s="59">
        <f>SUM('Weekly Data'!D1043:D1046)/4</f>
        <v>1566</v>
      </c>
      <c r="C1046" s="90">
        <f>SUM('Weekly Data'!E1043:E1046)/4</f>
        <v>945.5</v>
      </c>
      <c r="D1046" s="90" t="s">
        <v>34</v>
      </c>
      <c r="E1046" s="90">
        <f>SUM('Weekly Data'!G1043:G1046)/4</f>
        <v>5330.75</v>
      </c>
      <c r="F1046" s="90">
        <f>SUM('Weekly Data'!H1043:H1046)/4</f>
        <v>924.5</v>
      </c>
      <c r="G1046" s="90">
        <f>SUM('Weekly Data'!I1043:I1046)/4</f>
        <v>8766.75</v>
      </c>
      <c r="H1046" s="202">
        <f>SUM('Weekly Data'!J1043:J1046)/4</f>
        <v>1465</v>
      </c>
      <c r="J1046" s="101">
        <f>AVERAGE('Weekly Data'!D994,'Weekly Data'!D942,'Weekly Data'!D890,'Weekly Data'!D838)</f>
        <v>1048.75</v>
      </c>
      <c r="K1046" s="16">
        <f>AVERAGE('Weekly Data'!E994,'Weekly Data'!E942,'Weekly Data'!E890,'Weekly Data'!E838)</f>
        <v>1135.25</v>
      </c>
      <c r="L1046" s="16">
        <f>AVERAGE('Weekly Data'!F994,'Weekly Data'!F942,'Weekly Data'!F890,'Weekly Data'!F838)</f>
        <v>917</v>
      </c>
      <c r="M1046" s="16">
        <f>AVERAGE('Weekly Data'!G994,'Weekly Data'!G942,'Weekly Data'!G890,'Weekly Data'!G838)</f>
        <v>4117.75</v>
      </c>
      <c r="N1046" s="16">
        <f>AVERAGE('Weekly Data'!H994,'Weekly Data'!H942,'Weekly Data'!H890,'Weekly Data'!H838)</f>
        <v>964.75</v>
      </c>
      <c r="O1046" s="101">
        <f>AVERAGE('Weekly Data'!I994,'Weekly Data'!I942,'Weekly Data'!I890,'Weekly Data'!I838)</f>
        <v>7266.5</v>
      </c>
      <c r="P1046" s="203">
        <f>AVERAGE('Weekly Data'!J994,'Weekly Data'!J942,'Weekly Data'!J890,'Weekly Data'!J838)</f>
        <v>1325.5724778584274</v>
      </c>
      <c r="R1046" s="13">
        <f t="shared" si="119"/>
        <v>41612</v>
      </c>
      <c r="S1046" s="106">
        <f t="shared" ref="S1046:Y1046" si="151">AVERAGE(B994,B942,B890,B837)</f>
        <v>1099.6875</v>
      </c>
      <c r="T1046" s="106">
        <f t="shared" si="151"/>
        <v>1557.125</v>
      </c>
      <c r="U1046" s="109">
        <f t="shared" si="151"/>
        <v>755.5</v>
      </c>
      <c r="V1046" s="109">
        <f t="shared" si="151"/>
        <v>3972.3125</v>
      </c>
      <c r="W1046" s="110">
        <f t="shared" si="151"/>
        <v>986.4375</v>
      </c>
      <c r="X1046" s="106">
        <f t="shared" si="151"/>
        <v>7615.5625</v>
      </c>
      <c r="Y1046" s="204">
        <f t="shared" si="151"/>
        <v>1578.6154099303531</v>
      </c>
    </row>
    <row r="1047" spans="1:25" x14ac:dyDescent="0.25">
      <c r="A1047" s="105">
        <f t="shared" si="142"/>
        <v>41619</v>
      </c>
      <c r="B1047" s="103"/>
      <c r="R1047" s="13">
        <f t="shared" si="119"/>
        <v>41619</v>
      </c>
    </row>
    <row r="1048" spans="1:25" x14ac:dyDescent="0.25">
      <c r="A1048" s="105">
        <f t="shared" si="142"/>
        <v>41626</v>
      </c>
      <c r="B1048" s="103"/>
      <c r="R1048" s="13">
        <f t="shared" si="119"/>
        <v>41626</v>
      </c>
    </row>
    <row r="1049" spans="1:25" x14ac:dyDescent="0.25">
      <c r="A1049" s="105">
        <f t="shared" si="142"/>
        <v>41633</v>
      </c>
      <c r="B1049" s="103"/>
      <c r="R1049" s="13">
        <f t="shared" si="119"/>
        <v>41633</v>
      </c>
    </row>
    <row r="1050" spans="1:25" x14ac:dyDescent="0.25">
      <c r="A1050" s="105">
        <f t="shared" si="142"/>
        <v>41640</v>
      </c>
      <c r="B1050" s="103"/>
      <c r="R1050" s="13">
        <f t="shared" si="119"/>
        <v>41640</v>
      </c>
    </row>
    <row r="1051" spans="1:25" x14ac:dyDescent="0.25">
      <c r="A1051" s="105">
        <f t="shared" si="142"/>
        <v>41647</v>
      </c>
      <c r="B1051" s="103"/>
      <c r="R1051" s="13">
        <f t="shared" si="119"/>
        <v>41647</v>
      </c>
    </row>
    <row r="1052" spans="1:25" x14ac:dyDescent="0.25">
      <c r="A1052" s="105">
        <f t="shared" si="142"/>
        <v>41654</v>
      </c>
      <c r="B1052" s="103"/>
      <c r="R1052" s="13">
        <f t="shared" si="119"/>
        <v>41654</v>
      </c>
    </row>
    <row r="1053" spans="1:25" x14ac:dyDescent="0.25">
      <c r="A1053" s="105">
        <f t="shared" si="142"/>
        <v>41661</v>
      </c>
      <c r="B1053" s="103"/>
      <c r="R1053" s="13">
        <f t="shared" si="119"/>
        <v>41661</v>
      </c>
    </row>
    <row r="1054" spans="1:25" x14ac:dyDescent="0.25">
      <c r="A1054" s="105">
        <f t="shared" si="142"/>
        <v>41668</v>
      </c>
      <c r="B1054" s="103"/>
      <c r="R1054" s="13">
        <f t="shared" si="119"/>
        <v>41668</v>
      </c>
    </row>
    <row r="1055" spans="1:25" x14ac:dyDescent="0.25">
      <c r="A1055" s="105">
        <f t="shared" si="142"/>
        <v>41675</v>
      </c>
      <c r="B1055" s="103"/>
      <c r="R1055" s="13">
        <f t="shared" si="119"/>
        <v>41675</v>
      </c>
    </row>
    <row r="1056" spans="1:25" x14ac:dyDescent="0.25">
      <c r="A1056" s="105">
        <f t="shared" si="142"/>
        <v>41682</v>
      </c>
      <c r="B1056" s="103"/>
      <c r="R1056" s="13">
        <f t="shared" si="119"/>
        <v>41682</v>
      </c>
    </row>
    <row r="1057" spans="1:18" x14ac:dyDescent="0.25">
      <c r="A1057" s="105">
        <f t="shared" si="142"/>
        <v>41689</v>
      </c>
      <c r="B1057" s="103"/>
      <c r="R1057" s="13">
        <f t="shared" si="119"/>
        <v>41689</v>
      </c>
    </row>
    <row r="1058" spans="1:18" x14ac:dyDescent="0.25">
      <c r="A1058" s="105">
        <f t="shared" si="142"/>
        <v>41696</v>
      </c>
      <c r="B1058" s="103"/>
      <c r="R1058" s="13">
        <f t="shared" si="119"/>
        <v>41696</v>
      </c>
    </row>
    <row r="1059" spans="1:18" x14ac:dyDescent="0.25">
      <c r="A1059" s="105">
        <f t="shared" si="142"/>
        <v>41703</v>
      </c>
      <c r="B1059" s="103"/>
      <c r="R1059" s="13">
        <f t="shared" si="119"/>
        <v>41703</v>
      </c>
    </row>
    <row r="1060" spans="1:18" x14ac:dyDescent="0.25">
      <c r="A1060" s="105">
        <f t="shared" si="142"/>
        <v>41710</v>
      </c>
      <c r="B1060" s="103"/>
      <c r="R1060" s="13">
        <f t="shared" si="119"/>
        <v>41710</v>
      </c>
    </row>
    <row r="1061" spans="1:18" x14ac:dyDescent="0.25">
      <c r="A1061" s="105">
        <f t="shared" si="142"/>
        <v>41717</v>
      </c>
      <c r="B1061" s="103"/>
      <c r="R1061" s="13">
        <f t="shared" si="119"/>
        <v>41717</v>
      </c>
    </row>
    <row r="1062" spans="1:18" x14ac:dyDescent="0.25">
      <c r="A1062" s="105">
        <f t="shared" si="142"/>
        <v>41724</v>
      </c>
      <c r="B1062" s="103"/>
      <c r="R1062" s="13">
        <f t="shared" si="119"/>
        <v>41724</v>
      </c>
    </row>
    <row r="1063" spans="1:18" x14ac:dyDescent="0.25">
      <c r="A1063" s="105">
        <f t="shared" si="142"/>
        <v>41731</v>
      </c>
      <c r="B1063" s="103"/>
      <c r="R1063" s="13">
        <f t="shared" si="119"/>
        <v>41731</v>
      </c>
    </row>
    <row r="1064" spans="1:18" x14ac:dyDescent="0.25">
      <c r="A1064" s="105">
        <f t="shared" si="142"/>
        <v>41738</v>
      </c>
      <c r="B1064" s="103"/>
      <c r="R1064" s="13">
        <f t="shared" si="119"/>
        <v>41738</v>
      </c>
    </row>
    <row r="1065" spans="1:18" x14ac:dyDescent="0.25">
      <c r="A1065" s="105">
        <f t="shared" si="142"/>
        <v>41745</v>
      </c>
      <c r="B1065" s="103"/>
      <c r="R1065" s="13">
        <f t="shared" si="119"/>
        <v>41745</v>
      </c>
    </row>
    <row r="1066" spans="1:18" x14ac:dyDescent="0.25">
      <c r="A1066" s="105">
        <f t="shared" si="142"/>
        <v>41752</v>
      </c>
      <c r="B1066" s="103"/>
    </row>
    <row r="1067" spans="1:18" x14ac:dyDescent="0.25">
      <c r="A1067" s="105">
        <f t="shared" si="142"/>
        <v>41759</v>
      </c>
      <c r="B1067" s="103"/>
    </row>
    <row r="1068" spans="1:18" x14ac:dyDescent="0.25">
      <c r="A1068" s="105">
        <f t="shared" si="142"/>
        <v>41766</v>
      </c>
      <c r="B1068" s="103"/>
    </row>
    <row r="1069" spans="1:18" x14ac:dyDescent="0.25">
      <c r="A1069" s="105">
        <f t="shared" si="142"/>
        <v>41773</v>
      </c>
      <c r="B1069" s="103"/>
    </row>
    <row r="1070" spans="1:18" x14ac:dyDescent="0.25">
      <c r="A1070" s="105">
        <f t="shared" si="142"/>
        <v>41780</v>
      </c>
      <c r="B1070" s="103"/>
    </row>
    <row r="1071" spans="1:18" x14ac:dyDescent="0.25">
      <c r="A1071" s="105">
        <f t="shared" si="142"/>
        <v>41787</v>
      </c>
      <c r="B1071" s="103"/>
    </row>
    <row r="1072" spans="1:18" x14ac:dyDescent="0.25">
      <c r="A1072" s="105">
        <f t="shared" si="142"/>
        <v>41794</v>
      </c>
      <c r="B1072" s="103"/>
    </row>
    <row r="1073" spans="1:2" x14ac:dyDescent="0.25">
      <c r="A1073" s="105">
        <f t="shared" si="142"/>
        <v>41801</v>
      </c>
      <c r="B1073" s="103"/>
    </row>
    <row r="1074" spans="1:2" x14ac:dyDescent="0.25">
      <c r="A1074" s="105">
        <f t="shared" si="142"/>
        <v>41808</v>
      </c>
      <c r="B1074" s="103"/>
    </row>
    <row r="1075" spans="1:2" x14ac:dyDescent="0.25">
      <c r="A1075" s="105">
        <f t="shared" si="142"/>
        <v>41815</v>
      </c>
      <c r="B1075" s="103"/>
    </row>
    <row r="1076" spans="1:2" x14ac:dyDescent="0.25">
      <c r="A1076" s="105">
        <f t="shared" si="142"/>
        <v>41822</v>
      </c>
      <c r="B1076" s="103"/>
    </row>
    <row r="1077" spans="1:2" x14ac:dyDescent="0.25">
      <c r="A1077" s="105">
        <f t="shared" si="142"/>
        <v>41829</v>
      </c>
      <c r="B1077" s="103"/>
    </row>
    <row r="1078" spans="1:2" x14ac:dyDescent="0.25">
      <c r="A1078" s="105">
        <f t="shared" si="142"/>
        <v>41836</v>
      </c>
      <c r="B1078" s="103"/>
    </row>
    <row r="1079" spans="1:2" x14ac:dyDescent="0.25">
      <c r="A1079" s="105">
        <f t="shared" si="142"/>
        <v>41843</v>
      </c>
      <c r="B1079" s="103"/>
    </row>
    <row r="1080" spans="1:2" x14ac:dyDescent="0.25">
      <c r="A1080" s="105">
        <f t="shared" si="142"/>
        <v>41850</v>
      </c>
      <c r="B1080" s="103"/>
    </row>
    <row r="1081" spans="1:2" x14ac:dyDescent="0.25">
      <c r="A1081" s="105">
        <f t="shared" si="142"/>
        <v>41857</v>
      </c>
      <c r="B1081" s="103"/>
    </row>
    <row r="1082" spans="1:2" x14ac:dyDescent="0.25">
      <c r="A1082" s="105">
        <f t="shared" si="142"/>
        <v>41864</v>
      </c>
      <c r="B1082" s="103"/>
    </row>
    <row r="1083" spans="1:2" x14ac:dyDescent="0.25">
      <c r="A1083" s="105">
        <f t="shared" si="142"/>
        <v>41871</v>
      </c>
      <c r="B1083" s="103"/>
    </row>
    <row r="1084" spans="1:2" x14ac:dyDescent="0.25">
      <c r="A1084" s="105">
        <f t="shared" si="142"/>
        <v>41878</v>
      </c>
      <c r="B1084" s="103"/>
    </row>
    <row r="1085" spans="1:2" x14ac:dyDescent="0.25">
      <c r="A1085" s="105">
        <f t="shared" si="142"/>
        <v>41885</v>
      </c>
      <c r="B1085" s="103"/>
    </row>
    <row r="1086" spans="1:2" x14ac:dyDescent="0.25">
      <c r="A1086" s="105">
        <f t="shared" si="142"/>
        <v>41892</v>
      </c>
      <c r="B1086" s="103"/>
    </row>
    <row r="1087" spans="1:2" x14ac:dyDescent="0.25">
      <c r="A1087" s="105">
        <f t="shared" si="142"/>
        <v>41899</v>
      </c>
      <c r="B1087" s="103"/>
    </row>
    <row r="1088" spans="1:2" x14ac:dyDescent="0.25">
      <c r="A1088" s="105">
        <f t="shared" si="142"/>
        <v>41906</v>
      </c>
      <c r="B1088" s="103"/>
    </row>
    <row r="1089" spans="1:2" x14ac:dyDescent="0.25">
      <c r="A1089" s="105">
        <f t="shared" si="142"/>
        <v>41913</v>
      </c>
      <c r="B1089" s="103"/>
    </row>
    <row r="1090" spans="1:2" x14ac:dyDescent="0.25">
      <c r="A1090" s="105">
        <f t="shared" si="142"/>
        <v>41920</v>
      </c>
      <c r="B1090" s="103"/>
    </row>
    <row r="1091" spans="1:2" x14ac:dyDescent="0.25">
      <c r="A1091" s="105">
        <f t="shared" si="142"/>
        <v>41927</v>
      </c>
      <c r="B1091" s="103"/>
    </row>
    <row r="1092" spans="1:2" x14ac:dyDescent="0.25">
      <c r="A1092" s="105">
        <f t="shared" si="142"/>
        <v>41934</v>
      </c>
      <c r="B1092" s="103"/>
    </row>
    <row r="1093" spans="1:2" x14ac:dyDescent="0.25">
      <c r="A1093" s="105">
        <f t="shared" si="142"/>
        <v>41941</v>
      </c>
      <c r="B1093" s="103"/>
    </row>
    <row r="1094" spans="1:2" x14ac:dyDescent="0.25">
      <c r="A1094" s="105">
        <f t="shared" si="142"/>
        <v>41948</v>
      </c>
      <c r="B1094" s="103"/>
    </row>
    <row r="1095" spans="1:2" x14ac:dyDescent="0.25">
      <c r="A1095" s="105">
        <f t="shared" si="142"/>
        <v>41955</v>
      </c>
      <c r="B1095" s="103"/>
    </row>
    <row r="1096" spans="1:2" x14ac:dyDescent="0.25">
      <c r="A1096" s="105">
        <f t="shared" si="142"/>
        <v>41962</v>
      </c>
      <c r="B1096" s="103"/>
    </row>
    <row r="1097" spans="1:2" x14ac:dyDescent="0.25">
      <c r="A1097" s="105">
        <f t="shared" si="142"/>
        <v>41969</v>
      </c>
      <c r="B1097" s="103"/>
    </row>
  </sheetData>
  <mergeCells count="8">
    <mergeCell ref="J6:O6"/>
    <mergeCell ref="AD4:AE4"/>
    <mergeCell ref="S6:X6"/>
    <mergeCell ref="AG4:AH4"/>
    <mergeCell ref="S4:T4"/>
    <mergeCell ref="V4:W4"/>
    <mergeCell ref="X4:Y4"/>
    <mergeCell ref="AA4:AB4"/>
  </mergeCells>
  <pageMargins left="0.7" right="0.7" top="0.75" bottom="0.75" header="0.3" footer="0.3"/>
  <pageSetup orientation="portrait" r:id="rId1"/>
  <ignoredErrors>
    <ignoredError sqref="E839:E849 E850 E851:E857 B858:E865 B866:E866 B867:E868 B869:E869 B870:E870 B871:E872 B873:G873 B874:E874 B875:E875 B876:G876 B877:E877 B878:G878 B879:F879 B880:E880 B881:E881 B882:G882 B883:E883 B884:F884 B885:G886 B887:E887 B888:E888 B889:E891 B892:E892 B893:E893 B894:G894 B895:E895 B896:E896 B897:F897 B898:F898 B899:G899 B900:G901 B902:G902 B903:E903 B904:G904 B905:G905 B906:E906 B907:E907 B908:E908 B909:G909 B910:E910 B911:G911 B912:G912 B913:F913 B914:E914 B915:G915 B916:G916 B917:F918 B919:G920 B921:F921 B922:F923 B924:E925 B926:E926 B927:E929 B930:E930 B931:E931 B932:E932 B933:E934 B935:F935 B936:E936 B937:F937 B938:E938 B939:E939 B940:F940 B941:F941 B942:E942 B943:E943 I944:J946 B947:F947 B948:G948 B949:E949 I950:O951 B952:F955 B956:F956 B957:F958 B959:E959 B960:E960 B961:E961 B962:F962 B963:F963 B964:E965 B966:E966 B967:E967 B968:F968 B969:G969 B970:G970 B971:F971 B972:D973 E972:E973 B974:F974 B975:E977 B978:F978 B979:E979 B980:E981 B982:E982 B983:E983 B984:E985 B989:C989 B987:C987 B986:C986 E986 E987 B988:C988 E988 E989 B950:G951 B944:G946 B857:D857 B855:D856 B851:D854 B850:D850 B839:D849 B769:D838 H777 H957:H988 H946:H956 H939:H945 B990:E990 B991:G991 E992 B992:C992 B993:G993 B994:G994 B995:G995 H989:H995 H778:H792 B996:H996 B997:H997 B998:H998 B999:H1000 B1001:H1001 B1002:H1002 B1003:H1003 B1004:H1005 B1006:H1006 B1007:I1007 B1008:H1008 B1009:H1009 B1010:H1010 B1011:H1011 B1012:H1012 B1013:H1013 B1014:H1014 B1015:H1015 B1016:H1016 B1017:H1018 B1019:I1019 B1020:H1020 B1021:I1021 B1022:H1022 B1023:H1023 B1024:H1024 B1025:H1025 B1026:G1027 H1026:H1027 B1028:H1028 B1029:H1029 B1030:H1030 B1031:H1032 B1033:H1033 B1034:H1034 B1035:I1035 B1036:H1039 B1040:H1044 B1045:H104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2"/>
  <sheetViews>
    <sheetView topLeftCell="E1" workbookViewId="0">
      <selection activeCell="K17" sqref="K17"/>
    </sheetView>
  </sheetViews>
  <sheetFormatPr defaultRowHeight="15" x14ac:dyDescent="0.25"/>
  <cols>
    <col min="1" max="1" width="15.1796875" customWidth="1"/>
    <col min="2" max="2" width="10.54296875" customWidth="1"/>
    <col min="3" max="3" width="9.7265625" customWidth="1"/>
    <col min="6" max="6" width="10.81640625" customWidth="1"/>
    <col min="7" max="7" width="9.453125" customWidth="1"/>
    <col min="12" max="12" width="15.90625" customWidth="1"/>
    <col min="13" max="13" width="7.36328125" customWidth="1"/>
    <col min="14" max="14" width="7.453125" customWidth="1"/>
    <col min="15" max="15" width="10.90625" customWidth="1"/>
    <col min="16" max="16" width="7.08984375" customWidth="1"/>
    <col min="17" max="17" width="6.90625" customWidth="1"/>
    <col min="18" max="18" width="7.453125" customWidth="1"/>
    <col min="19" max="19" width="7.36328125" customWidth="1"/>
  </cols>
  <sheetData>
    <row r="2" spans="1:20" ht="15.6" thickBot="1" x14ac:dyDescent="0.3">
      <c r="A2" s="13"/>
      <c r="B2" s="39"/>
      <c r="C2" s="39"/>
      <c r="D2" s="255" t="s">
        <v>39</v>
      </c>
      <c r="E2" s="255"/>
      <c r="F2" s="255"/>
      <c r="G2" s="255"/>
      <c r="H2" s="255"/>
      <c r="I2" s="255"/>
      <c r="J2" s="255"/>
      <c r="L2" s="86"/>
      <c r="M2" s="255" t="s">
        <v>38</v>
      </c>
      <c r="N2" s="255"/>
      <c r="O2" s="255"/>
      <c r="P2" s="255"/>
      <c r="Q2" s="255"/>
      <c r="R2" s="255"/>
      <c r="S2" s="255"/>
      <c r="T2" s="201"/>
    </row>
    <row r="3" spans="1:20" x14ac:dyDescent="0.25">
      <c r="A3" s="39"/>
      <c r="B3" s="39"/>
      <c r="C3" s="39"/>
      <c r="D3" s="47" t="s">
        <v>31</v>
      </c>
      <c r="E3" s="47" t="s">
        <v>32</v>
      </c>
      <c r="F3" s="234" t="s">
        <v>63</v>
      </c>
      <c r="G3" s="47" t="s">
        <v>21</v>
      </c>
      <c r="H3" s="47" t="s">
        <v>24</v>
      </c>
      <c r="I3" s="47" t="s">
        <v>33</v>
      </c>
      <c r="J3" s="47" t="s">
        <v>7</v>
      </c>
      <c r="L3" s="39"/>
      <c r="M3" s="67" t="s">
        <v>31</v>
      </c>
      <c r="N3" s="67" t="s">
        <v>32</v>
      </c>
      <c r="O3" s="234" t="s">
        <v>63</v>
      </c>
      <c r="P3" s="67" t="s">
        <v>20</v>
      </c>
      <c r="Q3" s="67" t="s">
        <v>24</v>
      </c>
      <c r="R3" s="67" t="s">
        <v>33</v>
      </c>
      <c r="S3" s="67" t="s">
        <v>7</v>
      </c>
      <c r="T3" s="233"/>
    </row>
    <row r="4" spans="1:20" x14ac:dyDescent="0.25">
      <c r="A4" s="99" t="s">
        <v>28</v>
      </c>
      <c r="B4" s="99"/>
      <c r="C4" s="39"/>
      <c r="D4" s="85">
        <f>('Weekly Data'!D1045/'Weekly Data'!D1044)*100</f>
        <v>86.47363872082974</v>
      </c>
      <c r="E4" s="85">
        <f>('Weekly Data'!E1045/'Weekly Data'!E1044)*100</f>
        <v>153.44506517690874</v>
      </c>
      <c r="F4" s="85">
        <f>('Weekly Data'!J1045/'Weekly Data'!J1044)*100</f>
        <v>60.5543710021322</v>
      </c>
      <c r="G4" s="187" t="s">
        <v>34</v>
      </c>
      <c r="H4" s="85">
        <f>('Weekly Data'!G1045/'Weekly Data'!G1044)*100</f>
        <v>88.949897048730264</v>
      </c>
      <c r="I4" s="85">
        <f>('Weekly Data'!H1045/'Weekly Data'!H1044)*100</f>
        <v>94.757433489827861</v>
      </c>
      <c r="J4" s="85">
        <f>('Weekly Data'!I1045/'Weekly Data'!I1044)*100</f>
        <v>94.887457116559276</v>
      </c>
      <c r="L4" s="39" t="s">
        <v>28</v>
      </c>
      <c r="M4" s="85">
        <f>('Weekly Averages'!B1045/'Weekly Averages'!B1044)*100</f>
        <v>102.68615692153924</v>
      </c>
      <c r="N4" s="85">
        <f>('Weekly Averages'!C1045/'Weekly Averages'!C1044)*100</f>
        <v>122.1608040201005</v>
      </c>
      <c r="O4" s="85">
        <f>('Weekly Averages'!H1045/'Weekly Averages'!H1044)*100</f>
        <v>89.932550587059694</v>
      </c>
      <c r="P4" s="187" t="s">
        <v>34</v>
      </c>
      <c r="Q4" s="85">
        <f>('Weekly Averages'!E1045/'Weekly Averages'!E1044)*100</f>
        <v>99.841929198985397</v>
      </c>
      <c r="R4" s="85">
        <f>('Weekly Averages'!F1045/'Weekly Averages'!F1044)*100</f>
        <v>97.750865051903119</v>
      </c>
      <c r="S4" s="85">
        <f>('Weekly Averages'!G1045/'Weekly Averages'!G1044)*100</f>
        <v>102.11088332695037</v>
      </c>
      <c r="T4" s="172"/>
    </row>
    <row r="5" spans="1:20" x14ac:dyDescent="0.25">
      <c r="A5" s="97" t="s">
        <v>29</v>
      </c>
      <c r="B5" s="39"/>
      <c r="C5" s="39"/>
      <c r="D5" s="85">
        <f>('Weekly Data'!D1045/'Weekly Data'!D993)*100</f>
        <v>152.63157894736844</v>
      </c>
      <c r="E5" s="85">
        <f>('Weekly Data'!E1045/'Weekly Data'!E993)*100</f>
        <v>195.72446555819479</v>
      </c>
      <c r="F5" s="85">
        <f>('Weekly Data'!J1045/'Weekly Data'!J993)*100</f>
        <v>123.80122057541412</v>
      </c>
      <c r="G5" s="187" t="s">
        <v>34</v>
      </c>
      <c r="H5" s="85">
        <f>('Weekly Data'!G1045/'Weekly Data'!G993)*100</f>
        <v>141.48471615720524</v>
      </c>
      <c r="I5" s="85">
        <f>('Weekly Data'!H1045/'Weekly Data'!H993)*100</f>
        <v>144.85645933014354</v>
      </c>
      <c r="J5" s="85">
        <f>('Weekly Data'!I1045/'Weekly Data'!I993)*100</f>
        <v>149.82164090368607</v>
      </c>
      <c r="L5" s="39" t="s">
        <v>29</v>
      </c>
      <c r="M5" s="172">
        <f>('Weekly Averages'!B1045/'Weekly Averages'!B993)*100</f>
        <v>217.83726477604031</v>
      </c>
      <c r="N5" s="172">
        <f>('Weekly Averages'!C1045/'Weekly Averages'!C993)*100</f>
        <v>177.18658892128281</v>
      </c>
      <c r="O5" s="172">
        <f>('Weekly Averages'!H1045/'Weekly Averages'!H993)*100</f>
        <v>125.4355400696864</v>
      </c>
      <c r="P5" s="187" t="s">
        <v>34</v>
      </c>
      <c r="Q5" s="172">
        <f>('Weekly Averages'!E1045/'Weekly Averages'!E993)*100</f>
        <v>167.39599383667181</v>
      </c>
      <c r="R5" s="172">
        <f>('Weekly Averages'!F1045/'Weekly Averages'!F993)*100</f>
        <v>128.47397675593734</v>
      </c>
      <c r="S5" s="172">
        <f>('Weekly Averages'!G1045/'Weekly Averages'!G993)*100</f>
        <v>169.76029962546818</v>
      </c>
      <c r="T5" s="172"/>
    </row>
    <row r="6" spans="1:20" x14ac:dyDescent="0.25">
      <c r="A6" s="97" t="s">
        <v>30</v>
      </c>
      <c r="B6" s="39"/>
      <c r="C6" s="39"/>
      <c r="D6" s="85">
        <f>('Weekly Data'!D1045/'Weekly Averages'!J1045)*100</f>
        <v>191.3459239780062</v>
      </c>
      <c r="E6" s="85">
        <f>('Weekly Data'!E1045/'Weekly Averages'!K1045)*100</f>
        <v>127.08694813957973</v>
      </c>
      <c r="F6" s="85">
        <f>('Weekly Data'!J1045/'Weekly Averages'!P1045)*100</f>
        <v>101.21516234907335</v>
      </c>
      <c r="G6" s="187" t="s">
        <v>34</v>
      </c>
      <c r="H6" s="85">
        <f>('Weekly Data'!G1045/'Weekly Averages'!M1045)*100</f>
        <v>154.87571701720842</v>
      </c>
      <c r="I6" s="85">
        <f>('Weekly Data'!H1045/'Weekly Averages'!N1045)*100</f>
        <v>151.23321885732125</v>
      </c>
      <c r="J6" s="85">
        <f>('Weekly Data'!I1045/'Weekly Averages'!O1045)*100</f>
        <v>154.76474802961548</v>
      </c>
      <c r="L6" s="39" t="s">
        <v>30</v>
      </c>
      <c r="M6" s="172">
        <f>('Weekly Averages'!B1045/'Weekly Averages'!S1045)*100</f>
        <v>188.07780320366132</v>
      </c>
      <c r="N6" s="172">
        <f>('Weekly Averages'!C1045/'Weekly Averages'!T1045)*100</f>
        <v>74.110205014861677</v>
      </c>
      <c r="O6" s="172">
        <f>('Weekly Averages'!H1045/'Weekly Averages'!Y1045)*100</f>
        <v>109.15716900746402</v>
      </c>
      <c r="P6" s="187" t="s">
        <v>34</v>
      </c>
      <c r="Q6" s="172">
        <f>('Weekly Averages'!E1045/'Weekly Averages'!V1045)*100</f>
        <v>168.33232619036551</v>
      </c>
      <c r="R6" s="172">
        <f>('Weekly Averages'!F1045/'Weekly Averages'!W1045)*100</f>
        <v>126.82379349046016</v>
      </c>
      <c r="S6" s="172">
        <f>('Weekly Averages'!G1045/'Weekly Averages'!X1045)*100</f>
        <v>145.86118955100201</v>
      </c>
      <c r="T6" s="172"/>
    </row>
    <row r="7" spans="1:20" x14ac:dyDescent="0.25">
      <c r="A7" s="39"/>
      <c r="B7" s="39"/>
      <c r="C7" s="39"/>
      <c r="D7" s="96" t="s">
        <v>44</v>
      </c>
      <c r="E7" s="39"/>
      <c r="F7" s="39"/>
      <c r="G7" s="39"/>
      <c r="H7" s="39"/>
      <c r="I7" s="39"/>
      <c r="J7" s="96" t="s">
        <v>44</v>
      </c>
      <c r="L7" s="39"/>
      <c r="M7" s="96" t="s">
        <v>44</v>
      </c>
      <c r="N7" s="39"/>
      <c r="O7" s="39"/>
      <c r="P7" s="39"/>
      <c r="Q7" s="39"/>
      <c r="R7" s="39"/>
      <c r="S7" s="96" t="s">
        <v>44</v>
      </c>
    </row>
    <row r="8" spans="1:20" x14ac:dyDescent="0.25">
      <c r="A8" s="39"/>
      <c r="B8" s="39"/>
      <c r="C8" s="39"/>
      <c r="D8" s="96"/>
      <c r="E8" s="39"/>
      <c r="F8" s="39"/>
      <c r="G8" s="39"/>
      <c r="H8" s="39"/>
      <c r="I8" s="39"/>
      <c r="J8" s="96"/>
    </row>
    <row r="9" spans="1:20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20" x14ac:dyDescent="0.25">
      <c r="A10" s="39" t="s">
        <v>75</v>
      </c>
      <c r="B10" s="39"/>
      <c r="C10" s="39"/>
      <c r="D10" s="100">
        <f>SUM('Weekly Data'!D1024:D1036)</f>
        <v>970</v>
      </c>
      <c r="E10" s="100">
        <f>SUM('Weekly Data'!E1024:E1036)</f>
        <v>24740</v>
      </c>
      <c r="F10" s="100">
        <f>SUM('Weekly Data'!J1024:J1036)</f>
        <v>17136</v>
      </c>
      <c r="G10" s="187" t="s">
        <v>34</v>
      </c>
      <c r="H10" s="100">
        <f>SUM('Weekly Data'!G1024:G1036)</f>
        <v>24132</v>
      </c>
      <c r="I10" s="100">
        <f>SUM('Weekly Data'!H1024:H1036)</f>
        <v>1141</v>
      </c>
      <c r="J10" s="100">
        <f>SUM('Weekly Data'!I1024:I1036)</f>
        <v>50983</v>
      </c>
    </row>
    <row r="11" spans="1:20" x14ac:dyDescent="0.25">
      <c r="A11" s="39" t="s">
        <v>76</v>
      </c>
      <c r="B11" s="39"/>
      <c r="C11" s="39"/>
      <c r="D11" s="100">
        <f>SUM('Weekly Data'!D972:D984)</f>
        <v>3928</v>
      </c>
      <c r="E11" s="100">
        <f>SUM('Weekly Data'!E972:E984)</f>
        <v>11094</v>
      </c>
      <c r="F11" s="100">
        <f>SUM('Weekly Data'!J972:J984)</f>
        <v>18252.05</v>
      </c>
      <c r="G11" s="187" t="s">
        <v>34</v>
      </c>
      <c r="H11" s="100">
        <f>SUM('Weekly Data'!G972:G984)</f>
        <v>42367</v>
      </c>
      <c r="I11" s="100">
        <f>SUM('Weekly Data'!H972:H984)</f>
        <v>1947</v>
      </c>
      <c r="J11" s="100">
        <f>SUM('Weekly Data'!I972:I984)</f>
        <v>59336</v>
      </c>
    </row>
    <row r="12" spans="1:20" x14ac:dyDescent="0.25">
      <c r="A12" s="39" t="s">
        <v>42</v>
      </c>
      <c r="B12" s="39"/>
      <c r="C12" s="39"/>
      <c r="D12" s="40">
        <f>(D10/D11)-1</f>
        <v>-0.7530549898167006</v>
      </c>
      <c r="E12" s="40">
        <f>(E10/E11)-1</f>
        <v>1.2300342527492338</v>
      </c>
      <c r="F12" s="40">
        <f>(F10/F11)-1</f>
        <v>-6.1146556140269093E-2</v>
      </c>
      <c r="G12" s="187" t="s">
        <v>34</v>
      </c>
      <c r="H12" s="40">
        <f>(H10/H11)-1</f>
        <v>-0.43040574031675594</v>
      </c>
      <c r="I12" s="40">
        <f>(I10/I11)-1</f>
        <v>-0.41397021058038008</v>
      </c>
      <c r="J12" s="40">
        <f>(J10/J11)-1</f>
        <v>-0.1407745719293515</v>
      </c>
      <c r="L12" s="146"/>
    </row>
  </sheetData>
  <mergeCells count="2">
    <mergeCell ref="D2:J2"/>
    <mergeCell ref="M2:S2"/>
  </mergeCells>
  <pageMargins left="0.7" right="0.7" top="0.75" bottom="0.75" header="0.3" footer="0.3"/>
  <pageSetup scale="69" orientation="landscape" r:id="rId1"/>
  <ignoredErrors>
    <ignoredError sqref="H12 K11 D12 G11 D10:D11 E10:E11 F10:F11 H10:H1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zoomScale="150" zoomScaleNormal="150" workbookViewId="0">
      <selection sqref="A1:I20"/>
    </sheetView>
  </sheetViews>
  <sheetFormatPr defaultRowHeight="15" x14ac:dyDescent="0.25"/>
  <cols>
    <col min="1" max="1" width="21.26953125" customWidth="1"/>
    <col min="2" max="2" width="8.81640625" customWidth="1"/>
    <col min="3" max="3" width="7.453125" customWidth="1"/>
    <col min="4" max="4" width="8.1796875" customWidth="1"/>
    <col min="5" max="5" width="7.36328125" customWidth="1"/>
    <col min="6" max="6" width="8.36328125" customWidth="1"/>
    <col min="7" max="8" width="10.7265625" customWidth="1"/>
    <col min="9" max="9" width="9.1796875" customWidth="1"/>
    <col min="10" max="10" width="9" customWidth="1"/>
  </cols>
  <sheetData>
    <row r="1" spans="1:12" x14ac:dyDescent="0.25">
      <c r="A1" s="24" t="s">
        <v>77</v>
      </c>
      <c r="B1" s="42"/>
      <c r="C1" s="42"/>
      <c r="D1" s="42"/>
      <c r="E1" s="42"/>
      <c r="F1" s="42"/>
      <c r="G1" s="42"/>
      <c r="H1" s="42"/>
      <c r="I1" s="206"/>
    </row>
    <row r="2" spans="1:12" ht="15" customHeight="1" x14ac:dyDescent="0.25">
      <c r="A2" s="70" t="s">
        <v>37</v>
      </c>
      <c r="B2" s="71"/>
      <c r="C2" s="22"/>
      <c r="D2" s="22"/>
      <c r="E2" s="22"/>
      <c r="F2" s="22"/>
      <c r="G2" s="36"/>
      <c r="H2" s="42"/>
      <c r="I2" s="206"/>
    </row>
    <row r="3" spans="1:12" x14ac:dyDescent="0.25">
      <c r="A3" s="73"/>
      <c r="B3" s="89" t="s">
        <v>1</v>
      </c>
      <c r="C3" s="74"/>
      <c r="D3" s="75" t="s">
        <v>5</v>
      </c>
      <c r="E3" s="76" t="s">
        <v>2</v>
      </c>
      <c r="F3" s="198"/>
      <c r="G3" s="211"/>
      <c r="H3" s="193" t="s">
        <v>19</v>
      </c>
      <c r="I3" s="206"/>
    </row>
    <row r="4" spans="1:12" x14ac:dyDescent="0.25">
      <c r="A4" s="77" t="s">
        <v>15</v>
      </c>
      <c r="B4" s="78" t="s">
        <v>46</v>
      </c>
      <c r="C4" s="79" t="s">
        <v>12</v>
      </c>
      <c r="D4" s="80" t="s">
        <v>13</v>
      </c>
      <c r="E4" s="79" t="s">
        <v>10</v>
      </c>
      <c r="F4" s="199" t="s">
        <v>7</v>
      </c>
      <c r="G4" s="212" t="s">
        <v>15</v>
      </c>
      <c r="H4" s="79" t="s">
        <v>56</v>
      </c>
      <c r="I4" s="206"/>
    </row>
    <row r="5" spans="1:12" ht="6" customHeight="1" x14ac:dyDescent="0.25">
      <c r="A5" s="24"/>
      <c r="B5" s="28"/>
      <c r="C5" s="23"/>
      <c r="D5" s="24"/>
      <c r="E5" s="24"/>
      <c r="F5" s="194"/>
      <c r="G5" s="23"/>
      <c r="H5" s="42"/>
      <c r="I5" s="206"/>
    </row>
    <row r="6" spans="1:12" ht="12.6" customHeight="1" x14ac:dyDescent="0.25">
      <c r="A6" s="25" t="s">
        <v>78</v>
      </c>
      <c r="B6" s="174">
        <f>'Weekly Data'!D1045</f>
        <v>2001</v>
      </c>
      <c r="C6" s="174">
        <f>'Weekly Data'!E1045</f>
        <v>1648</v>
      </c>
      <c r="D6" s="174">
        <f>'Weekly Data'!G1045</f>
        <v>6480</v>
      </c>
      <c r="E6" s="174">
        <f>'Weekly Data'!H1045</f>
        <v>1211</v>
      </c>
      <c r="F6" s="174">
        <f>'Weekly Data'!I1045</f>
        <v>11340</v>
      </c>
      <c r="G6" s="253">
        <v>41601</v>
      </c>
      <c r="H6" s="174">
        <f>'Weekly Data'!J1045</f>
        <v>1420</v>
      </c>
      <c r="I6" s="206"/>
    </row>
    <row r="7" spans="1:12" ht="12.6" customHeight="1" x14ac:dyDescent="0.25">
      <c r="A7" s="25" t="s">
        <v>79</v>
      </c>
      <c r="B7" s="174">
        <f>'Weekly Data'!D1044</f>
        <v>2314</v>
      </c>
      <c r="C7" s="174">
        <f>'Weekly Data'!E1044</f>
        <v>1074</v>
      </c>
      <c r="D7" s="174">
        <f>'Weekly Data'!G1044</f>
        <v>7285</v>
      </c>
      <c r="E7" s="174">
        <f>'Weekly Data'!H1044</f>
        <v>1278</v>
      </c>
      <c r="F7" s="174">
        <f>'Weekly Data'!I1044</f>
        <v>11951</v>
      </c>
      <c r="G7" s="253">
        <v>41594</v>
      </c>
      <c r="H7" s="174">
        <f>'Weekly Data'!J1044</f>
        <v>2345</v>
      </c>
      <c r="I7" s="206"/>
    </row>
    <row r="8" spans="1:12" ht="12.6" customHeight="1" x14ac:dyDescent="0.25">
      <c r="A8" s="25" t="s">
        <v>64</v>
      </c>
      <c r="B8" s="174">
        <f>SUM('Weekly Data'!D998:D1049)</f>
        <v>25707</v>
      </c>
      <c r="C8" s="174">
        <f>SUM('Weekly Data'!E998:E1049)</f>
        <v>67318</v>
      </c>
      <c r="D8" s="174">
        <f>SUM('Weekly Data'!G998:G1049)</f>
        <v>148402</v>
      </c>
      <c r="E8" s="174">
        <f>SUM('Weekly Data'!H998:H1049)</f>
        <v>20811</v>
      </c>
      <c r="F8" s="174">
        <f>SUM('Weekly Data'!I998:I1049)</f>
        <v>262238</v>
      </c>
      <c r="G8" s="230" t="s">
        <v>68</v>
      </c>
      <c r="H8" s="200">
        <f>SUM('Weekly Data'!J998:J1049)</f>
        <v>63500</v>
      </c>
      <c r="I8" s="206"/>
    </row>
    <row r="9" spans="1:12" ht="12.6" customHeight="1" x14ac:dyDescent="0.25">
      <c r="A9" s="25" t="s">
        <v>55</v>
      </c>
      <c r="B9" s="167">
        <f>SUM('Weekly Data'!D946:D993)</f>
        <v>17362</v>
      </c>
      <c r="C9" s="167">
        <f>SUM('Weekly Data'!E946:E993)</f>
        <v>37845</v>
      </c>
      <c r="D9" s="167">
        <f>SUM('Weekly Data'!G946:G993)</f>
        <v>185467</v>
      </c>
      <c r="E9" s="167">
        <f>SUM('Weekly Data'!H946:H993)</f>
        <v>20791</v>
      </c>
      <c r="F9" s="167">
        <f>SUM('Weekly Data'!I946:I993)</f>
        <v>261465</v>
      </c>
      <c r="G9" s="230" t="s">
        <v>57</v>
      </c>
      <c r="H9" s="226">
        <f>SUM('Weekly Data'!J946:J993)</f>
        <v>87429.440295372231</v>
      </c>
      <c r="I9" s="206"/>
    </row>
    <row r="10" spans="1:12" ht="12.75" customHeight="1" x14ac:dyDescent="0.25">
      <c r="A10" s="25" t="s">
        <v>65</v>
      </c>
      <c r="B10" s="174">
        <f t="shared" ref="B10:H10" si="0">B8/B9*100</f>
        <v>148.06473908535881</v>
      </c>
      <c r="C10" s="176">
        <f t="shared" si="0"/>
        <v>177.87818734311006</v>
      </c>
      <c r="D10" s="176">
        <f t="shared" si="0"/>
        <v>80.015312697137503</v>
      </c>
      <c r="E10" s="176">
        <f t="shared" si="0"/>
        <v>100.09619546919339</v>
      </c>
      <c r="F10" s="196">
        <f t="shared" si="0"/>
        <v>100.29564186411184</v>
      </c>
      <c r="G10" s="23" t="s">
        <v>59</v>
      </c>
      <c r="H10" s="200">
        <f t="shared" si="0"/>
        <v>72.629997155959316</v>
      </c>
      <c r="I10" s="207"/>
    </row>
    <row r="11" spans="1:12" ht="13.5" customHeight="1" x14ac:dyDescent="0.25">
      <c r="A11" s="87" t="s">
        <v>66</v>
      </c>
      <c r="B11" s="167">
        <f>'Weekly Changes'!M5</f>
        <v>217.83726477604031</v>
      </c>
      <c r="C11" s="29">
        <f>'Weekly Changes'!N5</f>
        <v>177.18658892128281</v>
      </c>
      <c r="D11" s="29">
        <f>'Weekly Changes'!Q5</f>
        <v>167.39599383667181</v>
      </c>
      <c r="E11" s="29">
        <f>'Weekly Changes'!R5</f>
        <v>128.47397675593734</v>
      </c>
      <c r="F11" s="196">
        <f>'Weekly Changes'!S5</f>
        <v>169.76029962546818</v>
      </c>
      <c r="G11" s="37" t="s">
        <v>69</v>
      </c>
      <c r="H11" s="200">
        <f>'Weekly Changes'!O5</f>
        <v>125.4355400696864</v>
      </c>
      <c r="I11" s="206"/>
    </row>
    <row r="12" spans="1:12" ht="13.5" customHeight="1" x14ac:dyDescent="0.25">
      <c r="A12" s="87" t="s">
        <v>47</v>
      </c>
      <c r="B12" s="167">
        <f>'Weekly Changes'!M6</f>
        <v>188.07780320366132</v>
      </c>
      <c r="C12" s="88">
        <f>'Weekly Changes'!N6</f>
        <v>74.110205014861677</v>
      </c>
      <c r="D12" s="88">
        <f>'Weekly Changes'!Q6</f>
        <v>168.33232619036551</v>
      </c>
      <c r="E12" s="88">
        <f>'Weekly Changes'!R6</f>
        <v>126.82379349046016</v>
      </c>
      <c r="F12" s="197">
        <f>'Weekly Changes'!S6</f>
        <v>145.86118955100201</v>
      </c>
      <c r="G12" s="37" t="s">
        <v>58</v>
      </c>
      <c r="H12" s="205">
        <f>'Weekly Changes'!O6</f>
        <v>109.15716900746402</v>
      </c>
      <c r="I12" s="206"/>
    </row>
    <row r="13" spans="1:12" ht="12.75" customHeight="1" x14ac:dyDescent="0.25">
      <c r="A13" s="27" t="s">
        <v>67</v>
      </c>
      <c r="B13" s="167">
        <f>SUM('Weekly Data'!D946:D997)</f>
        <v>22604</v>
      </c>
      <c r="C13" s="167">
        <f>SUM('Weekly Data'!E946:E997)</f>
        <v>40780</v>
      </c>
      <c r="D13" s="174">
        <f>SUM('Weekly Data'!G946:G997)</f>
        <v>199419</v>
      </c>
      <c r="E13" s="174">
        <f>SUM('Weekly Data'!H946:H9997)</f>
        <v>45470</v>
      </c>
      <c r="F13" s="195">
        <f>SUM('Weekly Data'!I946:I997)</f>
        <v>287462</v>
      </c>
      <c r="G13" s="27" t="s">
        <v>67</v>
      </c>
      <c r="H13" s="200">
        <v>92008</v>
      </c>
      <c r="I13" s="215"/>
      <c r="J13" s="216"/>
      <c r="K13" s="217"/>
      <c r="L13" s="216"/>
    </row>
    <row r="14" spans="1:12" ht="12.6" customHeight="1" x14ac:dyDescent="0.25">
      <c r="A14" s="102" t="s">
        <v>54</v>
      </c>
      <c r="B14" s="213">
        <f>SUM('Weekly Data'!D894:D945)</f>
        <v>27358</v>
      </c>
      <c r="C14" s="213">
        <f>SUM('Weekly Data'!E894:E945)</f>
        <v>77515</v>
      </c>
      <c r="D14" s="213">
        <f>SUM('Weekly Data'!G894:G945)</f>
        <v>191187</v>
      </c>
      <c r="E14" s="213">
        <f>SUM('Weekly Data'!H894:H945)</f>
        <v>24088</v>
      </c>
      <c r="F14" s="214">
        <f>SUM('Weekly Data'!I894:I945)</f>
        <v>320148</v>
      </c>
      <c r="G14" s="102" t="s">
        <v>54</v>
      </c>
      <c r="H14" s="252">
        <v>97118</v>
      </c>
      <c r="I14" s="206"/>
      <c r="K14" s="217"/>
    </row>
    <row r="15" spans="1:12" ht="12" customHeight="1" x14ac:dyDescent="0.25">
      <c r="A15" s="72" t="s">
        <v>45</v>
      </c>
      <c r="B15" s="37"/>
      <c r="C15" s="37"/>
      <c r="D15" s="37"/>
      <c r="E15" s="37"/>
      <c r="F15" s="37"/>
      <c r="G15" s="23"/>
      <c r="H15" s="42"/>
      <c r="I15" s="206"/>
    </row>
    <row r="16" spans="1:12" ht="12" customHeight="1" x14ac:dyDescent="0.25">
      <c r="A16" s="91" t="s">
        <v>73</v>
      </c>
      <c r="B16" s="33"/>
      <c r="C16" s="33"/>
      <c r="D16" s="33"/>
      <c r="E16" s="33"/>
      <c r="F16" s="21"/>
      <c r="G16" s="35"/>
      <c r="H16" s="42"/>
      <c r="I16" s="206"/>
    </row>
    <row r="17" spans="1:9" ht="12" customHeight="1" x14ac:dyDescent="0.25">
      <c r="A17" s="91" t="s">
        <v>70</v>
      </c>
      <c r="B17" s="33"/>
      <c r="C17" s="33"/>
      <c r="D17" s="33"/>
      <c r="E17" s="33"/>
      <c r="F17" s="21"/>
      <c r="G17" s="35"/>
      <c r="H17" s="42"/>
      <c r="I17" s="206"/>
    </row>
    <row r="18" spans="1:9" ht="12" customHeight="1" x14ac:dyDescent="0.25">
      <c r="A18" s="91" t="s">
        <v>71</v>
      </c>
      <c r="B18" s="33"/>
      <c r="C18" s="33"/>
      <c r="D18" s="33"/>
      <c r="E18" s="33"/>
      <c r="F18" s="21"/>
      <c r="G18" s="35"/>
      <c r="H18" s="42"/>
      <c r="I18" s="206"/>
    </row>
    <row r="19" spans="1:9" ht="12" customHeight="1" x14ac:dyDescent="0.25">
      <c r="A19" s="235" t="s">
        <v>74</v>
      </c>
      <c r="B19" s="236"/>
      <c r="C19" s="236"/>
      <c r="D19" s="236"/>
      <c r="E19" s="236"/>
      <c r="F19" s="237"/>
      <c r="G19" s="238"/>
      <c r="H19" s="206"/>
      <c r="I19" s="206"/>
    </row>
    <row r="20" spans="1:9" ht="12" customHeight="1" x14ac:dyDescent="0.25">
      <c r="A20" s="237" t="s">
        <v>16</v>
      </c>
      <c r="B20" s="206"/>
      <c r="C20" s="206"/>
      <c r="D20" s="206"/>
      <c r="E20" s="206"/>
      <c r="F20" s="206"/>
      <c r="G20" s="206"/>
      <c r="H20" s="206"/>
      <c r="I20" s="206"/>
    </row>
    <row r="21" spans="1:9" x14ac:dyDescent="0.25">
      <c r="A21" s="206"/>
      <c r="B21" s="206"/>
      <c r="C21" s="206"/>
      <c r="D21" s="206"/>
      <c r="E21" s="206"/>
      <c r="F21" s="206"/>
      <c r="G21" s="206"/>
      <c r="H21" s="206"/>
      <c r="I21" s="206"/>
    </row>
    <row r="22" spans="1:9" x14ac:dyDescent="0.25">
      <c r="A22" s="206"/>
      <c r="B22" s="206"/>
      <c r="C22" s="206"/>
      <c r="D22" s="206"/>
      <c r="E22" s="206"/>
      <c r="F22" s="206"/>
      <c r="G22" s="206"/>
      <c r="H22" s="206"/>
      <c r="I22" s="206"/>
    </row>
    <row r="23" spans="1:9" x14ac:dyDescent="0.25">
      <c r="A23" s="206"/>
      <c r="B23" s="206"/>
      <c r="C23" s="206"/>
      <c r="D23" s="206"/>
      <c r="E23" s="206"/>
      <c r="F23" s="206"/>
      <c r="G23" s="206"/>
      <c r="H23" s="206"/>
      <c r="I23" s="206"/>
    </row>
    <row r="24" spans="1:9" x14ac:dyDescent="0.25">
      <c r="A24" s="206"/>
      <c r="B24" s="206"/>
      <c r="C24" s="206"/>
      <c r="D24" s="206"/>
      <c r="E24" s="206"/>
      <c r="F24" s="206"/>
      <c r="G24" s="206"/>
      <c r="H24" s="206"/>
      <c r="I24" s="206"/>
    </row>
    <row r="25" spans="1:9" x14ac:dyDescent="0.25">
      <c r="A25" s="206"/>
      <c r="B25" s="206"/>
      <c r="C25" s="206"/>
      <c r="D25" s="206"/>
      <c r="E25" s="206"/>
      <c r="F25" s="206"/>
      <c r="G25" s="206"/>
      <c r="H25" s="206"/>
      <c r="I25" s="206"/>
    </row>
    <row r="26" spans="1:9" ht="12" customHeight="1" x14ac:dyDescent="0.25"/>
  </sheetData>
  <phoneticPr fontId="9" type="noConversion"/>
  <pageMargins left="0.75" right="0.75" top="1" bottom="1" header="0.5" footer="0.5"/>
  <pageSetup scale="90" orientation="portrait" r:id="rId1"/>
  <headerFooter alignWithMargins="0"/>
  <ignoredErrors>
    <ignoredError sqref="B13:D13 B14:D14 B8:B9 H8:H9 D8:D9 C8:C9 G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zoomScale="150" zoomScaleNormal="150" workbookViewId="0">
      <selection activeCell="O2" sqref="O2"/>
    </sheetView>
  </sheetViews>
  <sheetFormatPr defaultRowHeight="15" x14ac:dyDescent="0.25"/>
  <sheetData>
    <row r="1" spans="1:22" ht="15.6" x14ac:dyDescent="0.3">
      <c r="A1" s="64"/>
      <c r="B1" s="66"/>
      <c r="C1" s="66"/>
      <c r="D1" s="66"/>
      <c r="E1" s="66"/>
      <c r="F1" s="66"/>
      <c r="G1" s="42"/>
      <c r="H1" s="42" t="s">
        <v>72</v>
      </c>
      <c r="I1" s="68"/>
      <c r="J1" s="42"/>
      <c r="K1" s="42"/>
      <c r="L1" s="42"/>
      <c r="M1" s="42"/>
      <c r="N1" s="42"/>
      <c r="O1" s="42"/>
      <c r="P1" s="68"/>
      <c r="Q1" s="42"/>
      <c r="R1" s="42"/>
      <c r="S1" s="42"/>
      <c r="T1" s="42"/>
      <c r="U1" s="42"/>
      <c r="V1" s="42"/>
    </row>
    <row r="2" spans="1:22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15.6" x14ac:dyDescent="0.3">
      <c r="A17" s="68"/>
      <c r="B17" s="42"/>
      <c r="C17" s="42"/>
      <c r="D17" s="42"/>
      <c r="E17" s="42"/>
      <c r="F17" s="42"/>
      <c r="G17" s="42"/>
      <c r="H17" s="42"/>
      <c r="I17" s="68"/>
      <c r="J17" s="42"/>
      <c r="K17" s="42"/>
      <c r="L17" s="42"/>
      <c r="M17" s="42"/>
      <c r="N17" s="42"/>
      <c r="O17" s="42"/>
      <c r="P17" s="68"/>
      <c r="Q17" s="42"/>
      <c r="R17" s="42"/>
      <c r="S17" s="42"/>
      <c r="T17" s="42"/>
      <c r="U17" s="42"/>
      <c r="V17" s="42"/>
    </row>
    <row r="18" spans="1:22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2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4:D78"/>
  <sheetViews>
    <sheetView workbookViewId="0">
      <selection activeCell="L10" sqref="L10"/>
    </sheetView>
  </sheetViews>
  <sheetFormatPr defaultRowHeight="15" x14ac:dyDescent="0.25"/>
  <cols>
    <col min="4" max="4" width="9.1796875" bestFit="1" customWidth="1"/>
  </cols>
  <sheetData>
    <row r="24" spans="2:4" x14ac:dyDescent="0.25">
      <c r="B24" s="146" t="s">
        <v>60</v>
      </c>
    </row>
    <row r="25" spans="2:4" x14ac:dyDescent="0.25">
      <c r="B25" s="146">
        <v>2009</v>
      </c>
      <c r="C25">
        <v>2010</v>
      </c>
      <c r="D25">
        <v>2011</v>
      </c>
    </row>
    <row r="27" spans="2:4" x14ac:dyDescent="0.25">
      <c r="B27" s="209">
        <v>1814.1448093683048</v>
      </c>
      <c r="C27" s="210">
        <v>2185.333180800244</v>
      </c>
      <c r="D27" s="210">
        <v>1739.0574148414694</v>
      </c>
    </row>
    <row r="28" spans="2:4" x14ac:dyDescent="0.25">
      <c r="B28" s="209">
        <v>1880.1930930243843</v>
      </c>
      <c r="C28" s="210">
        <v>2427.9968245384139</v>
      </c>
      <c r="D28" s="210">
        <v>2532.1406632416056</v>
      </c>
    </row>
    <row r="29" spans="2:4" x14ac:dyDescent="0.25">
      <c r="B29" s="209">
        <v>2225.0744292142467</v>
      </c>
      <c r="C29" s="210">
        <v>2537.1322392550837</v>
      </c>
      <c r="D29" s="210">
        <v>2502.7315209628996</v>
      </c>
    </row>
    <row r="30" spans="2:4" x14ac:dyDescent="0.25">
      <c r="B30" s="209">
        <v>2072.7846995444806</v>
      </c>
      <c r="C30" s="210">
        <v>2733.2895840699989</v>
      </c>
      <c r="D30" s="210">
        <v>2616.5514348510374</v>
      </c>
    </row>
    <row r="31" spans="2:4" x14ac:dyDescent="0.25">
      <c r="B31" s="209">
        <v>2622.7555795910725</v>
      </c>
      <c r="C31" s="210">
        <v>2362.666763733178</v>
      </c>
      <c r="D31" s="210">
        <v>2789.5674993586672</v>
      </c>
    </row>
    <row r="32" spans="2:4" x14ac:dyDescent="0.25">
      <c r="B32" s="209">
        <v>2440.4707725800972</v>
      </c>
      <c r="C32" s="210">
        <v>2144.2429852112236</v>
      </c>
      <c r="D32" s="210">
        <v>2294.6458112333685</v>
      </c>
    </row>
    <row r="33" spans="2:4" x14ac:dyDescent="0.25">
      <c r="B33" s="209">
        <v>1842.4063481498429</v>
      </c>
      <c r="C33" s="210">
        <v>2810.2658235746821</v>
      </c>
      <c r="D33" s="210">
        <v>3004.8830001871997</v>
      </c>
    </row>
    <row r="34" spans="2:4" x14ac:dyDescent="0.25">
      <c r="B34" s="209">
        <v>1956.0605556364444</v>
      </c>
      <c r="C34" s="210">
        <v>2691.9692021826095</v>
      </c>
      <c r="D34" s="210">
        <v>2547.7993635210182</v>
      </c>
    </row>
    <row r="35" spans="2:4" x14ac:dyDescent="0.25">
      <c r="B35" s="209">
        <v>2314.2895078034544</v>
      </c>
      <c r="C35" s="210">
        <v>2498.9138950711013</v>
      </c>
      <c r="D35" s="210">
        <v>2475.1506957588867</v>
      </c>
    </row>
    <row r="36" spans="2:4" x14ac:dyDescent="0.25">
      <c r="B36" s="209">
        <v>1840.228522301031</v>
      </c>
      <c r="C36" s="210">
        <v>2116.6360213823655</v>
      </c>
      <c r="D36" s="210">
        <v>2657.138895244434</v>
      </c>
    </row>
    <row r="37" spans="2:4" x14ac:dyDescent="0.25">
      <c r="B37" s="209">
        <v>2003.1701229278033</v>
      </c>
      <c r="C37" s="210">
        <v>2599.1251533997547</v>
      </c>
      <c r="D37" s="210">
        <v>2313.5964529123416</v>
      </c>
    </row>
    <row r="38" spans="2:4" x14ac:dyDescent="0.25">
      <c r="B38" s="209">
        <v>2103.9280043818599</v>
      </c>
      <c r="C38" s="210">
        <v>2252.3397882563386</v>
      </c>
      <c r="D38" s="210">
        <v>2721.4059390838306</v>
      </c>
    </row>
    <row r="39" spans="2:4" x14ac:dyDescent="0.25">
      <c r="B39" s="209">
        <v>2181.3280085418533</v>
      </c>
      <c r="C39" s="210">
        <v>2143.3770825966681</v>
      </c>
      <c r="D39" s="210">
        <v>2501.1451768343836</v>
      </c>
    </row>
    <row r="40" spans="2:4" x14ac:dyDescent="0.25">
      <c r="B40" s="209">
        <v>2075.9919850794904</v>
      </c>
      <c r="C40" s="210">
        <v>1853.0727790835535</v>
      </c>
      <c r="D40" s="210">
        <v>2396.8750129999789</v>
      </c>
    </row>
    <row r="41" spans="2:4" x14ac:dyDescent="0.25">
      <c r="B41" s="209">
        <v>2050.5645110967821</v>
      </c>
      <c r="C41" s="210">
        <v>1966.1176862117022</v>
      </c>
      <c r="D41" s="210">
        <v>2464.2302972315247</v>
      </c>
    </row>
    <row r="42" spans="2:4" x14ac:dyDescent="0.25">
      <c r="B42" s="209">
        <v>1469.3761396648433</v>
      </c>
      <c r="C42" s="210">
        <v>1504.5258647586165</v>
      </c>
      <c r="D42" s="210">
        <v>2018.4529678085846</v>
      </c>
    </row>
    <row r="43" spans="2:4" x14ac:dyDescent="0.25">
      <c r="B43" s="209">
        <v>1693.8516685039972</v>
      </c>
      <c r="C43" s="210">
        <v>1611.0743876143131</v>
      </c>
      <c r="D43" s="210">
        <v>2137.5877585262529</v>
      </c>
    </row>
    <row r="44" spans="2:4" x14ac:dyDescent="0.25">
      <c r="B44" s="209">
        <v>1798.172445590754</v>
      </c>
      <c r="C44" s="210">
        <v>1818.2189681829843</v>
      </c>
      <c r="D44" s="210">
        <v>1996.2810352836768</v>
      </c>
    </row>
    <row r="45" spans="2:4" x14ac:dyDescent="0.25">
      <c r="B45" s="209">
        <v>1651.0592036386074</v>
      </c>
      <c r="C45" s="210">
        <v>1600.0059626571265</v>
      </c>
      <c r="D45" s="210">
        <v>1961.3899231094563</v>
      </c>
    </row>
    <row r="46" spans="2:4" x14ac:dyDescent="0.25">
      <c r="B46" s="209">
        <v>1835.5757777454223</v>
      </c>
      <c r="C46" s="210">
        <v>1852.8412754539593</v>
      </c>
      <c r="D46" s="210">
        <v>2025.4102793435529</v>
      </c>
    </row>
    <row r="47" spans="2:4" x14ac:dyDescent="0.25">
      <c r="B47" s="209">
        <v>1379.2398998828271</v>
      </c>
      <c r="C47" s="210">
        <v>1748.3482746427605</v>
      </c>
      <c r="D47" s="210">
        <v>1935.5754310793104</v>
      </c>
    </row>
    <row r="48" spans="2:4" x14ac:dyDescent="0.25">
      <c r="B48" s="209">
        <v>1445.5651004291724</v>
      </c>
      <c r="C48" s="210">
        <v>1486.1872967669919</v>
      </c>
      <c r="D48" s="210">
        <v>1705.291580866804</v>
      </c>
    </row>
    <row r="49" spans="2:4" x14ac:dyDescent="0.25">
      <c r="B49" s="209">
        <v>1557.7910435343304</v>
      </c>
      <c r="C49" s="210">
        <v>1611.5303228848168</v>
      </c>
      <c r="D49" s="210">
        <v>1787.7993635210184</v>
      </c>
    </row>
    <row r="50" spans="2:4" x14ac:dyDescent="0.25">
      <c r="B50" s="209">
        <v>1880.147125097933</v>
      </c>
      <c r="C50" s="210">
        <v>1377.7266329707206</v>
      </c>
      <c r="D50" s="210">
        <v>1807.4267667838396</v>
      </c>
    </row>
    <row r="51" spans="2:4" x14ac:dyDescent="0.25">
      <c r="B51" s="209">
        <v>1447.6518224237507</v>
      </c>
      <c r="C51" s="210">
        <v>1635.502284529678</v>
      </c>
      <c r="D51" s="210">
        <v>1671.7222372444205</v>
      </c>
    </row>
    <row r="52" spans="2:4" x14ac:dyDescent="0.25">
      <c r="B52" s="209">
        <v>1709.7113657951481</v>
      </c>
      <c r="C52" s="210">
        <v>1634.4882168188531</v>
      </c>
      <c r="D52" s="210">
        <v>1792.4816440293694</v>
      </c>
    </row>
    <row r="53" spans="2:4" x14ac:dyDescent="0.25">
      <c r="B53" s="209">
        <v>1576.9294395795632</v>
      </c>
      <c r="C53" s="210">
        <v>1568.1873522335698</v>
      </c>
      <c r="D53" s="210">
        <v>1649.536160742143</v>
      </c>
    </row>
    <row r="54" spans="2:4" x14ac:dyDescent="0.25">
      <c r="B54" s="209">
        <v>1769.4788221672179</v>
      </c>
      <c r="C54" s="210">
        <v>1956.123371535939</v>
      </c>
      <c r="D54" s="210">
        <v>1546.5992747744938</v>
      </c>
    </row>
    <row r="55" spans="2:4" x14ac:dyDescent="0.25">
      <c r="B55" s="209">
        <v>1984.0840041322601</v>
      </c>
      <c r="C55" s="210">
        <v>1725.1133944852354</v>
      </c>
      <c r="D55" s="210">
        <v>1782.0207167668532</v>
      </c>
    </row>
    <row r="56" spans="2:4" x14ac:dyDescent="0.25">
      <c r="B56" s="209">
        <v>1766.0202730342298</v>
      </c>
      <c r="C56" s="210">
        <v>1815.5869403942288</v>
      </c>
      <c r="D56" s="210">
        <v>1567.0534073812148</v>
      </c>
    </row>
    <row r="57" spans="2:4" x14ac:dyDescent="0.25">
      <c r="B57" s="209">
        <v>1647.5187026367425</v>
      </c>
      <c r="C57" s="210">
        <v>1745.7959800597653</v>
      </c>
      <c r="D57" s="210">
        <v>1837.5643932303042</v>
      </c>
    </row>
    <row r="58" spans="2:4" x14ac:dyDescent="0.25">
      <c r="B58" s="209">
        <v>1790.5527937821967</v>
      </c>
      <c r="C58" s="210">
        <v>1891.4788083005733</v>
      </c>
      <c r="D58" s="210">
        <v>1797.9595925979852</v>
      </c>
    </row>
    <row r="59" spans="2:4" x14ac:dyDescent="0.25">
      <c r="B59" s="209">
        <v>1866.5506721855911</v>
      </c>
      <c r="C59" s="210">
        <v>2134.4636728581231</v>
      </c>
      <c r="D59" s="210">
        <v>1604.9392294305662</v>
      </c>
    </row>
    <row r="60" spans="2:4" x14ac:dyDescent="0.25">
      <c r="B60" s="209">
        <v>1874.5104727832436</v>
      </c>
      <c r="C60" s="210">
        <v>2345.9428278248088</v>
      </c>
      <c r="D60" s="210">
        <v>1648.4698157816281</v>
      </c>
    </row>
    <row r="61" spans="2:4" x14ac:dyDescent="0.25">
      <c r="B61" s="209">
        <v>2067.0375300732853</v>
      </c>
      <c r="C61" s="210">
        <v>2077.9237473220046</v>
      </c>
      <c r="D61" s="210">
        <v>1523.3883839119189</v>
      </c>
    </row>
    <row r="62" spans="2:4" x14ac:dyDescent="0.25">
      <c r="B62" s="209">
        <v>1984.782952347276</v>
      </c>
      <c r="C62" s="210">
        <v>2179.1315320562153</v>
      </c>
      <c r="D62" s="210">
        <v>1242.4751267064639</v>
      </c>
    </row>
    <row r="63" spans="2:4" x14ac:dyDescent="0.25">
      <c r="B63" s="209">
        <v>1797.5729905498818</v>
      </c>
      <c r="C63" s="210">
        <v>2176.6253440661162</v>
      </c>
      <c r="D63" s="210">
        <v>1849.9839840256254</v>
      </c>
    </row>
    <row r="64" spans="2:4" x14ac:dyDescent="0.25">
      <c r="B64" s="209">
        <v>1706.9973861375156</v>
      </c>
      <c r="C64" s="210">
        <v>2146.7286505674924</v>
      </c>
      <c r="D64" s="210">
        <v>1748.6348981841627</v>
      </c>
    </row>
    <row r="65" spans="2:4" x14ac:dyDescent="0.25">
      <c r="B65" s="209">
        <v>2148.7653139754975</v>
      </c>
      <c r="C65" s="210">
        <v>2475.9235531889817</v>
      </c>
      <c r="D65" s="210">
        <v>1656.9964154724018</v>
      </c>
    </row>
    <row r="66" spans="2:4" x14ac:dyDescent="0.25">
      <c r="B66" s="209">
        <v>1813.888761777981</v>
      </c>
      <c r="C66" s="210">
        <v>2838.857943160624</v>
      </c>
      <c r="D66" s="210">
        <v>1800.0351519437568</v>
      </c>
    </row>
    <row r="67" spans="2:4" x14ac:dyDescent="0.25">
      <c r="B67" s="209">
        <v>2406.8416637200048</v>
      </c>
      <c r="C67" s="210">
        <v>3106.7303838980524</v>
      </c>
      <c r="D67" s="210">
        <v>2228.2926000651732</v>
      </c>
    </row>
    <row r="68" spans="2:4" x14ac:dyDescent="0.25">
      <c r="B68" s="209">
        <v>2401.5894641235241</v>
      </c>
      <c r="C68" s="210">
        <v>3210.2792048866049</v>
      </c>
      <c r="D68" s="210">
        <v>2432.7040650068293</v>
      </c>
    </row>
    <row r="69" spans="2:4" x14ac:dyDescent="0.25">
      <c r="B69" s="209">
        <v>2789.216742586545</v>
      </c>
      <c r="C69" s="210">
        <v>3207.140420575327</v>
      </c>
      <c r="D69" s="210">
        <v>2712.07146868565</v>
      </c>
    </row>
    <row r="70" spans="2:4" x14ac:dyDescent="0.25">
      <c r="B70" s="209">
        <v>2899.3036171142126</v>
      </c>
      <c r="C70" s="210">
        <v>3000.1468477650433</v>
      </c>
      <c r="D70" s="210">
        <v>2332.7666035734342</v>
      </c>
    </row>
    <row r="71" spans="2:4" x14ac:dyDescent="0.25">
      <c r="B71" s="209">
        <v>2775.0131386456451</v>
      </c>
      <c r="C71" s="210">
        <v>3269.0217082319332</v>
      </c>
      <c r="D71" s="210">
        <v>2783.996228272701</v>
      </c>
    </row>
    <row r="72" spans="2:4" x14ac:dyDescent="0.25">
      <c r="B72" s="209">
        <v>3389.5098834508531</v>
      </c>
      <c r="C72" s="210">
        <v>2913.9022817563491</v>
      </c>
      <c r="D72" s="210">
        <v>2394.740797748057</v>
      </c>
    </row>
    <row r="73" spans="2:4" x14ac:dyDescent="0.25">
      <c r="B73" s="209">
        <v>2508.3852292502997</v>
      </c>
      <c r="C73" s="210">
        <v>3115.600668372264</v>
      </c>
      <c r="D73" s="210">
        <v>2507.1016633040053</v>
      </c>
    </row>
    <row r="74" spans="2:4" x14ac:dyDescent="0.25">
      <c r="B74" s="209">
        <v>2767.0493167210934</v>
      </c>
      <c r="C74" s="210">
        <v>2594.9976080038268</v>
      </c>
      <c r="D74" s="210">
        <v>2261.6517253572392</v>
      </c>
    </row>
    <row r="75" spans="2:4" x14ac:dyDescent="0.25">
      <c r="B75" s="209">
        <v>2788.9768496370407</v>
      </c>
      <c r="C75" s="210">
        <v>2706.4470190181028</v>
      </c>
      <c r="D75" s="210">
        <v>2214.8910428409981</v>
      </c>
    </row>
    <row r="76" spans="2:4" x14ac:dyDescent="0.25">
      <c r="B76" s="209">
        <v>1717.6168091464388</v>
      </c>
      <c r="C76" s="210">
        <v>3015.3919060396165</v>
      </c>
      <c r="D76" s="210">
        <v>2406.7110399290027</v>
      </c>
    </row>
    <row r="77" spans="2:4" x14ac:dyDescent="0.25">
      <c r="B77" s="209">
        <v>2771.8906476416305</v>
      </c>
      <c r="C77" s="210">
        <v>2650.2417649465096</v>
      </c>
      <c r="D77" s="210">
        <v>2560.0009706651135</v>
      </c>
    </row>
    <row r="78" spans="2:4" x14ac:dyDescent="0.25">
      <c r="B78" s="209">
        <v>2039.6662992005879</v>
      </c>
      <c r="C78" s="210">
        <v>1613.5863302618714</v>
      </c>
      <c r="D78" s="210">
        <v>1881.752674529054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Port Region Graphs-weekly</vt:lpstr>
      <vt:lpstr>Weekly Data</vt:lpstr>
      <vt:lpstr>Weekly Averages</vt:lpstr>
      <vt:lpstr>Weekly Changes</vt:lpstr>
      <vt:lpstr>New Table 3</vt:lpstr>
      <vt:lpstr>Port Region Graphs-4 week avg.</vt:lpstr>
      <vt:lpstr>Sheet1</vt:lpstr>
      <vt:lpstr>'Weekly 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Johnny Hill</cp:lastModifiedBy>
  <cp:lastPrinted>2013-01-09T21:16:36Z</cp:lastPrinted>
  <dcterms:created xsi:type="dcterms:W3CDTF">2003-12-04T20:28:17Z</dcterms:created>
  <dcterms:modified xsi:type="dcterms:W3CDTF">2013-12-03T20:07:48Z</dcterms:modified>
</cp:coreProperties>
</file>