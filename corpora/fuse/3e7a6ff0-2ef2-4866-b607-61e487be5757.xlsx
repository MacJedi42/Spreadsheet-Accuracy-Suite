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23955" windowHeight="9780"/>
  </bookViews>
  <sheets>
    <sheet name="Total Request" sheetId="1" r:id="rId1"/>
    <sheet name="AsianFood" sheetId="7" r:id="rId2"/>
  </sheets>
  <externalReferences>
    <externalReference r:id="rId3"/>
  </externalReferences>
  <definedNames>
    <definedName name="floursepds">[1]Sheet8!$309:$600</definedName>
    <definedName name="name">[1]Sheet3!$A:$B</definedName>
    <definedName name="nutinfo">#REF!</definedName>
    <definedName name="nutrits">[1]Sheet2!$A:$J</definedName>
    <definedName name="_xlnm.Print_Area" localSheetId="1">AsianFood!$A$1:$K$57</definedName>
    <definedName name="sepdscheese">[1]Sheet8!$A$1:$J$301</definedName>
    <definedName name="sepdschic">[1]Sheet8!$A$302:$J$306</definedName>
    <definedName name="sepdsflour">[1]Sheet8!$A$310:$J$600,[1]Sheet8!$A$309:$J$310</definedName>
    <definedName name="sepdspaste">[1]Sheet8!$A$603:$J$882</definedName>
  </definedNames>
  <calcPr calcId="125725"/>
</workbook>
</file>

<file path=xl/calcChain.xml><?xml version="1.0" encoding="utf-8"?>
<calcChain xmlns="http://schemas.openxmlformats.org/spreadsheetml/2006/main">
  <c r="E8" i="1"/>
  <c r="G40" i="7" l="1"/>
  <c r="H40" s="1"/>
  <c r="I40" s="1"/>
  <c r="F40"/>
  <c r="G39"/>
  <c r="H39" s="1"/>
  <c r="F39"/>
  <c r="G38"/>
  <c r="H38" s="1"/>
  <c r="F38"/>
  <c r="G37"/>
  <c r="H37" s="1"/>
  <c r="I37" s="1"/>
  <c r="F37"/>
  <c r="G36"/>
  <c r="H36" s="1"/>
  <c r="F36"/>
  <c r="G35"/>
  <c r="H35" s="1"/>
  <c r="I35" s="1"/>
  <c r="F35"/>
  <c r="G34"/>
  <c r="H34" s="1"/>
  <c r="I34" s="1"/>
  <c r="F34"/>
  <c r="G33"/>
  <c r="H33" s="1"/>
  <c r="I33" s="1"/>
  <c r="F33"/>
  <c r="G32"/>
  <c r="H32" s="1"/>
  <c r="I32" s="1"/>
  <c r="F32"/>
  <c r="F31"/>
  <c r="G31" s="1"/>
  <c r="H31" s="1"/>
  <c r="I31" s="1"/>
  <c r="G30"/>
  <c r="H30" s="1"/>
  <c r="I30" s="1"/>
  <c r="F30"/>
  <c r="G29"/>
  <c r="H29" s="1"/>
  <c r="I29" s="1"/>
  <c r="F29"/>
  <c r="F28"/>
  <c r="G28" s="1"/>
  <c r="H28" s="1"/>
  <c r="K25"/>
  <c r="G25"/>
  <c r="K24"/>
  <c r="G24"/>
  <c r="K23"/>
  <c r="H23"/>
  <c r="G23"/>
  <c r="K22"/>
  <c r="H22"/>
  <c r="G22"/>
  <c r="F22"/>
  <c r="K21"/>
  <c r="H21"/>
  <c r="G21"/>
  <c r="K20"/>
  <c r="H20"/>
  <c r="G20"/>
  <c r="F20"/>
  <c r="K19"/>
  <c r="H19"/>
  <c r="G19"/>
  <c r="F19"/>
  <c r="K18"/>
  <c r="H18"/>
  <c r="G18"/>
  <c r="F18"/>
  <c r="K17"/>
  <c r="H17"/>
  <c r="G17"/>
  <c r="F17"/>
  <c r="K16"/>
  <c r="H16"/>
  <c r="G16"/>
  <c r="F16"/>
  <c r="K15"/>
  <c r="H15"/>
  <c r="G15"/>
  <c r="F15"/>
  <c r="K14"/>
  <c r="H14"/>
  <c r="G14"/>
  <c r="F14"/>
  <c r="K13"/>
  <c r="H13"/>
  <c r="G13"/>
  <c r="I28" l="1"/>
  <c r="E43" s="1"/>
  <c r="E48" s="1"/>
  <c r="D43"/>
  <c r="G8" i="1" s="1"/>
  <c r="G10" s="1"/>
  <c r="D44" i="7"/>
  <c r="I36"/>
  <c r="E44" s="1"/>
  <c r="I38"/>
  <c r="E45" s="1"/>
  <c r="D45"/>
  <c r="D46"/>
  <c r="I39"/>
  <c r="E46" s="1"/>
</calcChain>
</file>

<file path=xl/sharedStrings.xml><?xml version="1.0" encoding="utf-8"?>
<sst xmlns="http://schemas.openxmlformats.org/spreadsheetml/2006/main" count="109" uniqueCount="67">
  <si>
    <t>Processor</t>
  </si>
  <si>
    <t>Broker</t>
  </si>
  <si>
    <t>USDA Value</t>
  </si>
  <si>
    <t>Total Value</t>
  </si>
  <si>
    <t>Material</t>
  </si>
  <si>
    <t>Hockenberg Newburgh</t>
  </si>
  <si>
    <t>Contact</t>
  </si>
  <si>
    <t>Pounds Requested</t>
  </si>
  <si>
    <t>Item Code</t>
  </si>
  <si>
    <t xml:space="preserve"> </t>
  </si>
  <si>
    <t>SCHOOL YEAR 2013 / 2014</t>
  </si>
  <si>
    <t>Asian Food Solutions Commodity Processing Calculator</t>
  </si>
  <si>
    <t xml:space="preserve">DELIVERED COST INTO DISTRIBUTOR (NOI) OR FFS </t>
  </si>
  <si>
    <t>Good through 7/1/13-6/30/14</t>
  </si>
  <si>
    <t>Item Description</t>
  </si>
  <si>
    <t>USDA #/WBSCM</t>
  </si>
  <si>
    <t>Servings                 Per Case</t>
  </si>
  <si>
    <t>DF Lbs                                    Per Case</t>
  </si>
  <si>
    <t xml:space="preserve">PTV </t>
  </si>
  <si>
    <t>Cases Per Load</t>
  </si>
  <si>
    <t>Servings Per Load</t>
  </si>
  <si>
    <t>T/L Yield</t>
  </si>
  <si>
    <t>Commodity Case Cost</t>
  </si>
  <si>
    <t>Cost Per Portion Cost</t>
  </si>
  <si>
    <t>Teriyaki Chicken</t>
  </si>
  <si>
    <t>A518/100113</t>
  </si>
  <si>
    <t>New OrleansChicken</t>
  </si>
  <si>
    <t>Spicy Chicken</t>
  </si>
  <si>
    <t>Gluten Free Teriyaki Chicken</t>
  </si>
  <si>
    <t>Tangerine Chicken</t>
  </si>
  <si>
    <t>General Tsos Chicken</t>
  </si>
  <si>
    <t>Whole Grain Cherry Blossom</t>
  </si>
  <si>
    <t>Curry Chicken</t>
  </si>
  <si>
    <t>Vegetable Fried Rice (Brown)</t>
  </si>
  <si>
    <t>100500, 100501, 101031</t>
  </si>
  <si>
    <t>Brown Rice (Cooked)</t>
  </si>
  <si>
    <t>White Rice (Cooked)</t>
  </si>
  <si>
    <t>B507/100494</t>
  </si>
  <si>
    <t>Yakisoba Noodles</t>
  </si>
  <si>
    <t>B280/100412</t>
  </si>
  <si>
    <t>Vegetable Chow Mein</t>
  </si>
  <si>
    <t>Servings Per Menu</t>
  </si>
  <si>
    <t>Number of times Menued</t>
  </si>
  <si>
    <t>Total Servings Per YR</t>
  </si>
  <si>
    <t>Cases                               Needed</t>
  </si>
  <si>
    <t>Total                                DF Lbs                              Needed</t>
  </si>
  <si>
    <t>Total                                      PAL$</t>
  </si>
  <si>
    <t>Total Amount of Commodities Needed</t>
  </si>
  <si>
    <t>Projected                Total lbs Needed</t>
  </si>
  <si>
    <t>Total            PAL$</t>
  </si>
  <si>
    <t>Chicken Legs Chilled</t>
  </si>
  <si>
    <t>Brown Rice Parboiled</t>
  </si>
  <si>
    <t>White Rice Parboiled 25</t>
  </si>
  <si>
    <t>Bakers Hard Wheat Flour</t>
  </si>
  <si>
    <t>B545/100495</t>
  </si>
  <si>
    <t>TOTAL PAL $ Needed</t>
  </si>
  <si>
    <t>District Name:</t>
  </si>
  <si>
    <t>District Address:</t>
  </si>
  <si>
    <t>District City, State Zip:</t>
  </si>
  <si>
    <t>Director:</t>
  </si>
  <si>
    <t>For Questions call Corporate Office 888-499-6888 x 100, info@asianfoodsolutions.com or broker</t>
  </si>
  <si>
    <t xml:space="preserve">Total Value: </t>
  </si>
  <si>
    <t>67. Asian Food Solutions</t>
  </si>
  <si>
    <t>Kelly O'Brien</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</si>
  <si>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</si>
  <si>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</si>
  <si>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BROWN RICE</t>
  </si>
</sst>
</file>

<file path=xl/styles.xml><?xml version="1.0" encoding="utf-8"?>
<styleSheet xmlns="http://schemas.openxmlformats.org/spreadsheetml/2006/main">
  <numFmts count="7">
    <numFmt numFmtId="44" formatCode="_(&quot;$&quot;* #,##0.00_);_(&quot;$&quot;* \(#,##0.00\);_(&quot;$&quot;* &quot;-&quot;??_);_(@_)"/>
    <numFmt numFmtId="43" formatCode="_(* #,##0.00_);_(* \(#,##0.00\);_(* &quot;-&quot;??_);_(@_)"/>
    <numFmt numFmtId="164" formatCode="&quot;$&quot;#,##0.00000"/>
    <numFmt numFmtId="165" formatCode="&quot;$&quot;#,##0.0000"/>
    <numFmt numFmtId="166" formatCode="_(* #,##0_);_(* \(#,##0\);_(* &quot;-&quot;??_);_(@_)"/>
    <numFmt numFmtId="167" formatCode="0.000"/>
    <numFmt numFmtId="168" formatCode="&quot;$&quot;#,##0.00"/>
  </numFmts>
  <fonts count="30">
    <font>
      <sz val="11"/>
      <color theme="1"/>
      <name val="Calibri"/>
      <family val="2"/>
      <scheme val="minor"/>
    </font>
    <font>
      <b/>
      <sz val="11"/>
      <color theme="1"/>
      <name val="Calibri"/>
      <family val="2"/>
      <scheme val="minor"/>
    </font>
    <font>
      <sz val="10"/>
      <name val="Arial"/>
      <family val="2"/>
    </font>
    <font>
      <b/>
      <sz val="16"/>
      <name val="Arial"/>
      <family val="2"/>
    </font>
    <font>
      <b/>
      <sz val="10"/>
      <name val="Arial"/>
      <family val="2"/>
    </font>
    <font>
      <b/>
      <sz val="12"/>
      <name val="Arial"/>
      <family val="2"/>
    </font>
    <font>
      <u/>
      <sz val="10"/>
      <color theme="10"/>
      <name val="Arial"/>
      <family val="2"/>
    </font>
    <font>
      <sz val="11"/>
      <name val="Arial"/>
      <family val="2"/>
    </font>
    <font>
      <b/>
      <sz val="14"/>
      <name val="Arial"/>
      <family val="2"/>
    </font>
    <font>
      <sz val="8"/>
      <name val="Arial"/>
      <family val="2"/>
    </font>
    <font>
      <u/>
      <sz val="10"/>
      <color indexed="12"/>
      <name val="Arial"/>
      <family val="2"/>
    </font>
    <font>
      <sz val="10"/>
      <color theme="1"/>
      <name val="Arial"/>
      <family val="2"/>
    </font>
    <font>
      <sz val="12"/>
      <name val="Arial"/>
      <family val="2"/>
    </font>
    <font>
      <sz val="10"/>
      <color indexed="8"/>
      <name val="Arial"/>
      <family val="2"/>
    </font>
    <font>
      <sz val="8"/>
      <color indexed="8"/>
      <name val="Arial"/>
      <family val="2"/>
    </font>
    <font>
      <sz val="12"/>
      <color indexed="8"/>
      <name val="Arial"/>
      <family val="2"/>
    </font>
    <font>
      <b/>
      <sz val="16"/>
      <color indexed="8"/>
      <name val="ARIAL"/>
      <family val="2"/>
    </font>
    <font>
      <b/>
      <sz val="14"/>
      <color indexed="8"/>
      <name val="ARIAL"/>
      <family val="2"/>
    </font>
    <font>
      <b/>
      <sz val="16"/>
      <color rgb="FFFF0000"/>
      <name val="Arial"/>
      <family val="2"/>
    </font>
    <font>
      <b/>
      <sz val="10"/>
      <color indexed="8"/>
      <name val="Arial"/>
      <family val="2"/>
    </font>
    <font>
      <b/>
      <sz val="8"/>
      <color indexed="8"/>
      <name val="ARIAL"/>
      <family val="2"/>
    </font>
    <font>
      <b/>
      <sz val="12"/>
      <color indexed="8"/>
      <name val="ARIAL"/>
      <family val="2"/>
    </font>
    <font>
      <sz val="12"/>
      <color theme="1"/>
      <name val="Arial"/>
      <family val="2"/>
    </font>
    <font>
      <sz val="16"/>
      <color indexed="8"/>
      <name val="Arial"/>
      <family val="2"/>
    </font>
    <font>
      <sz val="16"/>
      <color theme="1"/>
      <name val="Arial"/>
      <family val="2"/>
    </font>
    <font>
      <b/>
      <sz val="16"/>
      <color theme="1"/>
      <name val="Arial"/>
      <family val="2"/>
    </font>
    <font>
      <u/>
      <sz val="10.45"/>
      <color indexed="12"/>
      <name val="Arial"/>
      <family val="2"/>
    </font>
    <font>
      <sz val="10"/>
      <name val="Helv"/>
    </font>
    <font>
      <sz val="10"/>
      <name val="Arial"/>
      <family val="2"/>
    </font>
    <font>
      <b/>
      <i/>
      <sz val="11"/>
      <color theme="1"/>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rgb="FFFFFF99"/>
        <bgColor indexed="64"/>
      </patternFill>
    </fill>
    <fill>
      <patternFill patternType="solid">
        <fgColor indexed="44"/>
        <bgColor indexed="64"/>
      </patternFill>
    </fill>
    <fill>
      <patternFill patternType="gray125">
        <bgColor indexed="22"/>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7">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xf numFmtId="0" fontId="13" fillId="0" borderId="0"/>
    <xf numFmtId="43" fontId="11" fillId="0" borderId="0" applyFont="0" applyFill="0" applyBorder="0" applyAlignment="0" applyProtection="0"/>
    <xf numFmtId="44" fontId="11" fillId="0" borderId="0" applyFont="0" applyFill="0" applyBorder="0" applyAlignment="0" applyProtection="0"/>
    <xf numFmtId="0" fontId="2" fillId="0" borderId="0"/>
    <xf numFmtId="0" fontId="2" fillId="0" borderId="0"/>
    <xf numFmtId="0" fontId="26" fillId="0" borderId="0" applyNumberFormat="0" applyFill="0" applyBorder="0" applyAlignment="0" applyProtection="0">
      <alignment vertical="top"/>
      <protection locked="0"/>
    </xf>
    <xf numFmtId="0" fontId="27" fillId="0" borderId="0"/>
    <xf numFmtId="0" fontId="28" fillId="0" borderId="0"/>
    <xf numFmtId="44" fontId="28" fillId="0" borderId="0" applyFont="0" applyFill="0" applyBorder="0" applyAlignment="0" applyProtection="0"/>
    <xf numFmtId="9" fontId="11" fillId="0" borderId="0" applyFont="0" applyFill="0" applyBorder="0" applyAlignment="0" applyProtection="0"/>
  </cellStyleXfs>
  <cellXfs count="107">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0" fillId="0" borderId="0" xfId="0" applyBorder="1" applyAlignment="1">
      <alignment wrapText="1"/>
    </xf>
    <xf numFmtId="0" fontId="12" fillId="3" borderId="0" xfId="6" applyFont="1" applyFill="1"/>
    <xf numFmtId="0" fontId="11" fillId="3" borderId="0" xfId="6" applyFont="1" applyFill="1" applyAlignment="1">
      <alignment wrapText="1"/>
    </xf>
    <xf numFmtId="0" fontId="12" fillId="3" borderId="0" xfId="6" applyFont="1" applyFill="1" applyAlignment="1">
      <alignment horizontal="center"/>
    </xf>
    <xf numFmtId="0" fontId="14" fillId="3" borderId="0" xfId="7" applyFont="1" applyFill="1" applyAlignment="1">
      <alignment wrapText="1"/>
    </xf>
    <xf numFmtId="0" fontId="9" fillId="3" borderId="0" xfId="6" applyFont="1" applyFill="1"/>
    <xf numFmtId="0" fontId="7" fillId="3" borderId="0" xfId="6" applyFont="1" applyFill="1" applyAlignment="1">
      <alignment wrapText="1"/>
    </xf>
    <xf numFmtId="0" fontId="15" fillId="3" borderId="0" xfId="7" applyFont="1" applyFill="1" applyAlignment="1">
      <alignment horizontal="center" wrapText="1"/>
    </xf>
    <xf numFmtId="0" fontId="15" fillId="3" borderId="0" xfId="7" applyFont="1" applyFill="1" applyAlignment="1">
      <alignment wrapText="1"/>
    </xf>
    <xf numFmtId="0" fontId="18" fillId="3" borderId="0" xfId="7" applyFont="1" applyFill="1" applyAlignment="1">
      <alignment horizontal="center" wrapText="1"/>
    </xf>
    <xf numFmtId="0" fontId="8" fillId="3" borderId="0" xfId="6" applyFont="1" applyFill="1" applyBorder="1" applyAlignment="1">
      <alignment horizontal="center"/>
    </xf>
    <xf numFmtId="0" fontId="21" fillId="5" borderId="4" xfId="7" applyFont="1" applyFill="1" applyBorder="1" applyAlignment="1">
      <alignment horizontal="center" wrapText="1" shrinkToFit="1"/>
    </xf>
    <xf numFmtId="0" fontId="4" fillId="2" borderId="7" xfId="6" applyFont="1" applyFill="1" applyBorder="1" applyAlignment="1">
      <alignment horizontal="center" wrapText="1"/>
    </xf>
    <xf numFmtId="0" fontId="19" fillId="2" borderId="4" xfId="7" applyFont="1" applyFill="1" applyBorder="1" applyAlignment="1">
      <alignment horizontal="center" wrapText="1"/>
    </xf>
    <xf numFmtId="0" fontId="11" fillId="0" borderId="0" xfId="6" applyFont="1"/>
    <xf numFmtId="0" fontId="21" fillId="7" borderId="4" xfId="7" applyFont="1" applyFill="1" applyBorder="1" applyAlignment="1">
      <alignment horizontal="center" vertical="center" wrapText="1" shrinkToFit="1"/>
    </xf>
    <xf numFmtId="0" fontId="15" fillId="7" borderId="4" xfId="7" applyFont="1" applyFill="1" applyBorder="1" applyAlignment="1">
      <alignment horizontal="left" vertical="center" wrapText="1" shrinkToFit="1"/>
    </xf>
    <xf numFmtId="0" fontId="15" fillId="8" borderId="4" xfId="7" applyFont="1" applyFill="1" applyBorder="1" applyAlignment="1">
      <alignment horizontal="center" vertical="center" wrapText="1" shrinkToFit="1"/>
    </xf>
    <xf numFmtId="166" fontId="15" fillId="3" borderId="4" xfId="8" applyNumberFormat="1" applyFont="1" applyFill="1" applyBorder="1" applyAlignment="1">
      <alignment horizontal="center" vertical="center" wrapText="1" shrinkToFit="1"/>
    </xf>
    <xf numFmtId="2" fontId="15" fillId="8" borderId="4" xfId="7" applyNumberFormat="1" applyFont="1" applyFill="1" applyBorder="1" applyAlignment="1">
      <alignment horizontal="center" vertical="center" wrapText="1" shrinkToFit="1"/>
    </xf>
    <xf numFmtId="165" fontId="15" fillId="3" borderId="4" xfId="9" applyNumberFormat="1" applyFont="1" applyFill="1" applyBorder="1" applyAlignment="1">
      <alignment horizontal="center" vertical="center" wrapText="1" shrinkToFit="1"/>
    </xf>
    <xf numFmtId="166" fontId="15" fillId="8" borderId="4" xfId="8" applyNumberFormat="1" applyFont="1" applyFill="1" applyBorder="1" applyAlignment="1">
      <alignment horizontal="center" vertical="center" wrapText="1" shrinkToFit="1"/>
    </xf>
    <xf numFmtId="166" fontId="15" fillId="8" borderId="5" xfId="8" applyNumberFormat="1" applyFont="1" applyFill="1" applyBorder="1" applyAlignment="1">
      <alignment horizontal="center" vertical="center" wrapText="1" shrinkToFit="1"/>
    </xf>
    <xf numFmtId="44" fontId="12" fillId="9" borderId="11" xfId="9" applyFont="1" applyFill="1" applyBorder="1" applyProtection="1">
      <protection locked="0"/>
    </xf>
    <xf numFmtId="167" fontId="15" fillId="8" borderId="9" xfId="7" applyNumberFormat="1" applyFont="1" applyFill="1" applyBorder="1" applyAlignment="1">
      <alignment wrapText="1"/>
    </xf>
    <xf numFmtId="44" fontId="12" fillId="9" borderId="6" xfId="9" applyFont="1" applyFill="1" applyBorder="1" applyProtection="1">
      <protection locked="0"/>
    </xf>
    <xf numFmtId="0" fontId="11" fillId="3" borderId="0" xfId="6" applyFont="1" applyFill="1"/>
    <xf numFmtId="44" fontId="12" fillId="9" borderId="12" xfId="9" applyFont="1" applyFill="1" applyBorder="1" applyProtection="1">
      <protection locked="0"/>
    </xf>
    <xf numFmtId="0" fontId="15" fillId="9" borderId="8" xfId="7" applyFont="1" applyFill="1" applyBorder="1" applyAlignment="1" applyProtection="1">
      <alignment wrapText="1"/>
      <protection locked="0"/>
    </xf>
    <xf numFmtId="0" fontId="14" fillId="3" borderId="0" xfId="7" applyFont="1" applyFill="1" applyAlignment="1">
      <alignment horizontal="center" wrapText="1"/>
    </xf>
    <xf numFmtId="0" fontId="21" fillId="5" borderId="4" xfId="7" applyFont="1" applyFill="1" applyBorder="1" applyAlignment="1">
      <alignment horizontal="center" vertical="center" wrapText="1" shrinkToFit="1"/>
    </xf>
    <xf numFmtId="0" fontId="21" fillId="5" borderId="7" xfId="7" applyFont="1" applyFill="1" applyBorder="1" applyAlignment="1">
      <alignment horizontal="center" vertical="center" wrapText="1" shrinkToFit="1"/>
    </xf>
    <xf numFmtId="0" fontId="15" fillId="7" borderId="4" xfId="7" applyFont="1" applyFill="1" applyBorder="1" applyAlignment="1">
      <alignment horizontal="center" wrapText="1" shrinkToFit="1"/>
    </xf>
    <xf numFmtId="0" fontId="15" fillId="7" borderId="4" xfId="7" applyFont="1" applyFill="1" applyBorder="1" applyAlignment="1">
      <alignment horizontal="left" wrapText="1" shrinkToFit="1"/>
    </xf>
    <xf numFmtId="0" fontId="15" fillId="8" borderId="5" xfId="7" applyFont="1" applyFill="1" applyBorder="1" applyAlignment="1">
      <alignment horizontal="center" vertical="center" wrapText="1" shrinkToFit="1"/>
    </xf>
    <xf numFmtId="166" fontId="15" fillId="4" borderId="11" xfId="8" applyNumberFormat="1" applyFont="1" applyFill="1" applyBorder="1" applyAlignment="1" applyProtection="1">
      <alignment horizontal="center" wrapText="1" shrinkToFit="1"/>
      <protection locked="0"/>
    </xf>
    <xf numFmtId="43" fontId="15" fillId="9" borderId="11" xfId="7" applyNumberFormat="1" applyFont="1" applyFill="1" applyBorder="1" applyAlignment="1" applyProtection="1">
      <alignment horizontal="left" wrapText="1" shrinkToFit="1"/>
      <protection locked="0"/>
    </xf>
    <xf numFmtId="166" fontId="15" fillId="3" borderId="9" xfId="8" applyNumberFormat="1" applyFont="1" applyFill="1" applyBorder="1" applyAlignment="1">
      <alignment horizontal="center" wrapText="1" shrinkToFit="1"/>
    </xf>
    <xf numFmtId="43" fontId="15" fillId="3" borderId="4" xfId="7" applyNumberFormat="1" applyFont="1" applyFill="1" applyBorder="1" applyAlignment="1">
      <alignment horizontal="center" wrapText="1" shrinkToFit="1"/>
    </xf>
    <xf numFmtId="166" fontId="15" fillId="10" borderId="4" xfId="8" applyNumberFormat="1" applyFont="1" applyFill="1" applyBorder="1" applyAlignment="1">
      <alignment horizontal="center" wrapText="1" shrinkToFit="1"/>
    </xf>
    <xf numFmtId="168" fontId="15" fillId="3" borderId="4" xfId="9" applyNumberFormat="1" applyFont="1" applyFill="1" applyBorder="1" applyAlignment="1">
      <alignment horizontal="right" wrapText="1" shrinkToFit="1"/>
    </xf>
    <xf numFmtId="166" fontId="15" fillId="4" borderId="6" xfId="8" applyNumberFormat="1" applyFont="1" applyFill="1" applyBorder="1" applyAlignment="1" applyProtection="1">
      <alignment horizontal="center" wrapText="1" shrinkToFit="1"/>
      <protection locked="0"/>
    </xf>
    <xf numFmtId="43" fontId="15" fillId="9" borderId="6" xfId="7" applyNumberFormat="1" applyFont="1" applyFill="1" applyBorder="1" applyAlignment="1" applyProtection="1">
      <alignment horizontal="left" wrapText="1" shrinkToFit="1"/>
      <protection locked="0"/>
    </xf>
    <xf numFmtId="0" fontId="15" fillId="7" borderId="4" xfId="7" applyFont="1" applyFill="1" applyBorder="1" applyAlignment="1">
      <alignment horizontal="center" vertical="center" wrapText="1" shrinkToFit="1"/>
    </xf>
    <xf numFmtId="166" fontId="15" fillId="4" borderId="8" xfId="8" applyNumberFormat="1" applyFont="1" applyFill="1" applyBorder="1" applyAlignment="1" applyProtection="1">
      <alignment horizontal="center" wrapText="1" shrinkToFit="1"/>
      <protection locked="0"/>
    </xf>
    <xf numFmtId="43" fontId="15" fillId="9" borderId="8" xfId="7" applyNumberFormat="1" applyFont="1" applyFill="1" applyBorder="1" applyAlignment="1" applyProtection="1">
      <alignment horizontal="left" wrapText="1" shrinkToFit="1"/>
      <protection locked="0"/>
    </xf>
    <xf numFmtId="0" fontId="11" fillId="3" borderId="0" xfId="6" applyFont="1" applyFill="1" applyAlignment="1">
      <alignment horizontal="center"/>
    </xf>
    <xf numFmtId="0" fontId="5" fillId="5" borderId="4" xfId="6" applyFont="1" applyFill="1" applyBorder="1" applyAlignment="1">
      <alignment horizontal="center" vertical="center" wrapText="1"/>
    </xf>
    <xf numFmtId="0" fontId="21" fillId="5" borderId="4" xfId="6" applyFont="1" applyFill="1" applyBorder="1" applyAlignment="1">
      <alignment horizontal="center" vertical="center" wrapText="1"/>
    </xf>
    <xf numFmtId="0" fontId="14" fillId="11" borderId="4" xfId="7" applyFont="1" applyFill="1" applyBorder="1" applyAlignment="1">
      <alignment horizontal="center" wrapText="1"/>
    </xf>
    <xf numFmtId="0" fontId="9" fillId="0" borderId="0" xfId="6" applyFont="1"/>
    <xf numFmtId="166" fontId="12" fillId="10" borderId="4" xfId="6" applyNumberFormat="1" applyFont="1" applyFill="1" applyBorder="1" applyAlignment="1">
      <alignment horizontal="center"/>
    </xf>
    <xf numFmtId="168" fontId="15" fillId="3" borderId="5" xfId="6" applyNumberFormat="1" applyFont="1" applyFill="1" applyBorder="1" applyAlignment="1"/>
    <xf numFmtId="168" fontId="15" fillId="3" borderId="4" xfId="6" applyNumberFormat="1" applyFont="1" applyFill="1" applyBorder="1" applyAlignment="1"/>
    <xf numFmtId="0" fontId="14" fillId="7" borderId="0" xfId="6" applyFont="1" applyFill="1" applyBorder="1" applyAlignment="1">
      <alignment horizontal="center"/>
    </xf>
    <xf numFmtId="0" fontId="11" fillId="7" borderId="0" xfId="6" applyFont="1" applyFill="1" applyBorder="1" applyAlignment="1"/>
    <xf numFmtId="0" fontId="14" fillId="7" borderId="0" xfId="7" applyFont="1" applyFill="1" applyBorder="1" applyAlignment="1">
      <alignment horizontal="center" wrapText="1"/>
    </xf>
    <xf numFmtId="166" fontId="9" fillId="7" borderId="0" xfId="6" applyNumberFormat="1" applyFont="1" applyFill="1" applyBorder="1" applyAlignment="1">
      <alignment horizontal="center"/>
    </xf>
    <xf numFmtId="168" fontId="14" fillId="7" borderId="0" xfId="6" applyNumberFormat="1" applyFont="1" applyFill="1" applyBorder="1" applyAlignment="1"/>
    <xf numFmtId="0" fontId="16" fillId="7" borderId="5" xfId="6" applyFont="1" applyFill="1" applyBorder="1" applyAlignment="1">
      <alignment horizontal="left"/>
    </xf>
    <xf numFmtId="0" fontId="25" fillId="7" borderId="3" xfId="6" applyFont="1" applyFill="1" applyBorder="1" applyAlignment="1">
      <alignment horizontal="left"/>
    </xf>
    <xf numFmtId="0" fontId="16" fillId="7" borderId="3" xfId="7" applyFont="1" applyFill="1" applyBorder="1" applyAlignment="1">
      <alignment horizontal="center" wrapText="1"/>
    </xf>
    <xf numFmtId="166" fontId="3" fillId="7" borderId="3" xfId="6" applyNumberFormat="1" applyFont="1" applyFill="1" applyBorder="1" applyAlignment="1">
      <alignment horizontal="center"/>
    </xf>
    <xf numFmtId="168" fontId="16" fillId="7" borderId="9" xfId="6" applyNumberFormat="1" applyFont="1" applyFill="1" applyBorder="1" applyAlignment="1">
      <alignment shrinkToFit="1"/>
    </xf>
    <xf numFmtId="0" fontId="14" fillId="3" borderId="0" xfId="7" applyFont="1" applyFill="1" applyBorder="1" applyAlignment="1">
      <alignment horizontal="center" wrapText="1"/>
    </xf>
    <xf numFmtId="0" fontId="11" fillId="3" borderId="0" xfId="6" applyFont="1" applyFill="1" applyBorder="1" applyAlignment="1">
      <alignment horizontal="center"/>
    </xf>
    <xf numFmtId="0" fontId="11" fillId="0" borderId="0" xfId="6" applyFont="1" applyAlignment="1">
      <alignment horizontal="center"/>
    </xf>
    <xf numFmtId="168" fontId="0" fillId="0" borderId="0" xfId="0" applyNumberFormat="1"/>
    <xf numFmtId="167" fontId="0" fillId="6" borderId="1" xfId="0" applyNumberFormat="1" applyFill="1" applyBorder="1"/>
    <xf numFmtId="0" fontId="6" fillId="0" borderId="0" xfId="4" applyFill="1" applyBorder="1" applyAlignment="1" applyProtection="1"/>
    <xf numFmtId="0" fontId="0" fillId="0" borderId="0" xfId="0" applyFill="1" applyBorder="1"/>
    <xf numFmtId="0" fontId="6"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10" xfId="0" applyBorder="1" applyAlignment="1">
      <alignment horizontal="center" wrapText="1"/>
    </xf>
    <xf numFmtId="0" fontId="0" fillId="0" borderId="0" xfId="0" applyBorder="1" applyAlignment="1">
      <alignment horizontal="center" wrapText="1"/>
    </xf>
    <xf numFmtId="0" fontId="0" fillId="0" borderId="13" xfId="0" applyBorder="1" applyAlignment="1">
      <alignment vertical="top" wrapText="1"/>
    </xf>
    <xf numFmtId="0" fontId="0" fillId="0" borderId="14" xfId="0" applyBorder="1" applyAlignment="1">
      <alignment vertical="top" wrapText="1"/>
    </xf>
    <xf numFmtId="0" fontId="0" fillId="0" borderId="2" xfId="0" applyBorder="1" applyAlignment="1">
      <alignment vertical="top" wrapText="1"/>
    </xf>
    <xf numFmtId="0" fontId="0" fillId="0" borderId="13" xfId="0" applyBorder="1" applyAlignment="1">
      <alignment wrapText="1"/>
    </xf>
    <xf numFmtId="0" fontId="0" fillId="0" borderId="14" xfId="0" applyBorder="1" applyAlignment="1">
      <alignment wrapText="1"/>
    </xf>
    <xf numFmtId="0" fontId="0" fillId="0" borderId="2" xfId="0" applyBorder="1" applyAlignment="1">
      <alignment wrapText="1"/>
    </xf>
    <xf numFmtId="0" fontId="19" fillId="3" borderId="0" xfId="7" applyFont="1" applyFill="1" applyBorder="1" applyAlignment="1">
      <alignment horizontal="center" wrapText="1"/>
    </xf>
    <xf numFmtId="0" fontId="4" fillId="3" borderId="0" xfId="6" applyFont="1" applyFill="1" applyBorder="1" applyAlignment="1">
      <alignment horizontal="center" wrapText="1"/>
    </xf>
    <xf numFmtId="0" fontId="11" fillId="0" borderId="0" xfId="6" applyFont="1" applyAlignment="1">
      <alignment wrapText="1"/>
    </xf>
    <xf numFmtId="0" fontId="23" fillId="7" borderId="4" xfId="6" applyFont="1" applyFill="1" applyBorder="1" applyAlignment="1" applyProtection="1">
      <alignment horizontal="right" shrinkToFit="1"/>
    </xf>
    <xf numFmtId="0" fontId="11" fillId="0" borderId="4" xfId="6" applyFont="1" applyBorder="1" applyAlignment="1" applyProtection="1">
      <alignment horizontal="center" shrinkToFit="1"/>
      <protection locked="0"/>
    </xf>
    <xf numFmtId="0" fontId="23" fillId="7" borderId="4" xfId="6" applyFont="1" applyFill="1" applyBorder="1" applyAlignment="1" applyProtection="1">
      <alignment horizontal="center" shrinkToFit="1"/>
    </xf>
    <xf numFmtId="0" fontId="16" fillId="3" borderId="0" xfId="7" applyFont="1" applyFill="1" applyAlignment="1">
      <alignment horizontal="center" wrapText="1"/>
    </xf>
    <xf numFmtId="0" fontId="17" fillId="3" borderId="0" xfId="7" applyFont="1" applyFill="1" applyAlignment="1">
      <alignment horizontal="center" wrapText="1"/>
    </xf>
    <xf numFmtId="0" fontId="19" fillId="3" borderId="0" xfId="7" applyFont="1" applyFill="1" applyAlignment="1">
      <alignment horizontal="center" wrapText="1"/>
    </xf>
    <xf numFmtId="0" fontId="20" fillId="3" borderId="0" xfId="7" applyFont="1" applyFill="1" applyAlignment="1">
      <alignment horizontal="center" wrapText="1"/>
    </xf>
    <xf numFmtId="0" fontId="8" fillId="3" borderId="0" xfId="6" applyFont="1" applyFill="1" applyBorder="1" applyAlignment="1">
      <alignment horizontal="center"/>
    </xf>
    <xf numFmtId="0" fontId="21" fillId="5" borderId="4" xfId="6" applyFont="1" applyFill="1" applyBorder="1" applyAlignment="1">
      <alignment horizontal="center" vertical="center" wrapText="1"/>
    </xf>
    <xf numFmtId="0" fontId="22" fillId="0" borderId="4" xfId="6" applyFont="1" applyBorder="1" applyAlignment="1">
      <alignment horizontal="center" vertical="center" wrapText="1"/>
    </xf>
    <xf numFmtId="0" fontId="23" fillId="3" borderId="4" xfId="6" applyFont="1" applyFill="1" applyBorder="1" applyAlignment="1">
      <alignment horizontal="right"/>
    </xf>
    <xf numFmtId="0" fontId="24" fillId="0" borderId="4" xfId="6" applyFont="1" applyBorder="1" applyAlignment="1">
      <alignment horizontal="right"/>
    </xf>
    <xf numFmtId="0" fontId="24" fillId="0" borderId="5" xfId="6" applyFont="1" applyBorder="1" applyAlignment="1">
      <alignment horizontal="right"/>
    </xf>
    <xf numFmtId="0" fontId="11" fillId="0" borderId="9" xfId="6" applyBorder="1" applyAlignment="1">
      <alignment horizontal="right"/>
    </xf>
  </cellXfs>
  <cellStyles count="17">
    <cellStyle name="Comma 2" xfId="2"/>
    <cellStyle name="Comma 3" xfId="8"/>
    <cellStyle name="Currency 2" xfId="3"/>
    <cellStyle name="Currency 3" xfId="9"/>
    <cellStyle name="Currency 4" xfId="15"/>
    <cellStyle name="Hyperlink" xfId="4" builtinId="8"/>
    <cellStyle name="Hyperlink 2" xfId="5"/>
    <cellStyle name="Hyperlink 3" xfId="12"/>
    <cellStyle name="Normal" xfId="0" builtinId="0"/>
    <cellStyle name="Normal 2" xfId="1"/>
    <cellStyle name="Normal 2 2" xfId="10"/>
    <cellStyle name="Normal 3" xfId="6"/>
    <cellStyle name="Normal 3 2" xfId="11"/>
    <cellStyle name="Normal 4" xfId="13"/>
    <cellStyle name="Normal 5" xfId="14"/>
    <cellStyle name="Normal_Sheet1" xfId="7"/>
    <cellStyle name="Percent 2" xfId="1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1133475</xdr:colOff>
      <xdr:row>0</xdr:row>
      <xdr:rowOff>0</xdr:rowOff>
    </xdr:from>
    <xdr:to>
      <xdr:col>7</xdr:col>
      <xdr:colOff>876300</xdr:colOff>
      <xdr:row>6</xdr:row>
      <xdr:rowOff>66675</xdr:rowOff>
    </xdr:to>
    <xdr:pic>
      <xdr:nvPicPr>
        <xdr:cNvPr id="2" name="Picture 1" descr="AFS Transparent background Large Logo"/>
        <xdr:cNvPicPr>
          <a:picLocks noChangeAspect="1" noChangeArrowheads="1"/>
        </xdr:cNvPicPr>
      </xdr:nvPicPr>
      <xdr:blipFill>
        <a:blip xmlns:r="http://schemas.openxmlformats.org/officeDocument/2006/relationships" r:embed="rId1" cstate="print"/>
        <a:srcRect/>
        <a:stretch>
          <a:fillRect/>
        </a:stretch>
      </xdr:blipFill>
      <xdr:spPr bwMode="auto">
        <a:xfrm>
          <a:off x="2438400" y="0"/>
          <a:ext cx="6953250" cy="17716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elly.obrien@hockenberg.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H11"/>
  <sheetViews>
    <sheetView tabSelected="1" workbookViewId="0">
      <selection activeCell="B11" sqref="B11"/>
    </sheetView>
  </sheetViews>
  <sheetFormatPr defaultRowHeight="15"/>
  <cols>
    <col min="1" max="1" width="24" customWidth="1"/>
    <col min="2" max="2" width="23.7109375" customWidth="1"/>
    <col min="3" max="3" width="18.5703125" customWidth="1"/>
    <col min="4" max="4" width="11.7109375" customWidth="1"/>
    <col min="5" max="5" width="13.28515625" customWidth="1"/>
    <col min="6" max="6" width="14.140625" customWidth="1"/>
    <col min="7" max="7" width="12.140625" customWidth="1"/>
  </cols>
  <sheetData>
    <row r="1" spans="1:8" ht="15.75" thickBot="1"/>
    <row r="2" spans="1:8" ht="104.25" customHeight="1" thickBot="1">
      <c r="A2" s="80" t="s">
        <v>66</v>
      </c>
      <c r="B2" s="84" t="s">
        <v>64</v>
      </c>
      <c r="C2" s="85"/>
      <c r="D2" s="85"/>
      <c r="E2" s="85"/>
      <c r="F2" s="85"/>
      <c r="G2" s="86"/>
      <c r="H2" s="8"/>
    </row>
    <row r="3" spans="1:8" ht="30" customHeight="1" thickBot="1">
      <c r="A3" s="7"/>
      <c r="B3" s="81"/>
      <c r="C3" s="81"/>
      <c r="D3" s="81"/>
      <c r="E3" s="81"/>
      <c r="F3" s="81"/>
      <c r="G3" s="81"/>
      <c r="H3" s="8"/>
    </row>
    <row r="4" spans="1:8" ht="79.5" customHeight="1" thickBot="1">
      <c r="B4" s="87" t="s">
        <v>65</v>
      </c>
      <c r="C4" s="88"/>
      <c r="D4" s="88"/>
      <c r="E4" s="88"/>
      <c r="F4" s="88"/>
      <c r="G4" s="89"/>
      <c r="H4" s="8"/>
    </row>
    <row r="5" spans="1:8">
      <c r="A5" s="7"/>
      <c r="B5" s="82"/>
      <c r="C5" s="82"/>
      <c r="D5" s="82"/>
      <c r="E5" s="82"/>
      <c r="F5" s="82"/>
      <c r="G5" s="82"/>
    </row>
    <row r="6" spans="1:8" ht="18.75" customHeight="1" thickBot="1">
      <c r="B6" s="83"/>
      <c r="C6" s="83"/>
      <c r="D6" s="83"/>
      <c r="E6" s="83"/>
      <c r="F6" s="83"/>
      <c r="G6" s="83"/>
    </row>
    <row r="7" spans="1:8" ht="30.75" thickBot="1">
      <c r="A7" s="5" t="s">
        <v>0</v>
      </c>
      <c r="B7" s="5" t="s">
        <v>1</v>
      </c>
      <c r="C7" s="5" t="s">
        <v>6</v>
      </c>
      <c r="D7" s="5" t="s">
        <v>4</v>
      </c>
      <c r="E7" s="6" t="s">
        <v>7</v>
      </c>
      <c r="F7" s="5" t="s">
        <v>2</v>
      </c>
      <c r="G7" s="4" t="s">
        <v>3</v>
      </c>
    </row>
    <row r="8" spans="1:8" ht="15.75" thickBot="1">
      <c r="A8" s="77" t="s">
        <v>62</v>
      </c>
      <c r="B8" t="s">
        <v>5</v>
      </c>
      <c r="C8" s="79" t="s">
        <v>63</v>
      </c>
      <c r="D8" s="7">
        <v>101031</v>
      </c>
      <c r="E8" s="76">
        <f>AsianFood!D44</f>
        <v>0</v>
      </c>
      <c r="F8" s="1">
        <v>0.51749999999999996</v>
      </c>
      <c r="G8" s="75">
        <f>E8*F8</f>
        <v>0</v>
      </c>
    </row>
    <row r="9" spans="1:8">
      <c r="A9" s="78"/>
    </row>
    <row r="10" spans="1:8">
      <c r="B10" s="3"/>
      <c r="F10" s="7" t="s">
        <v>61</v>
      </c>
      <c r="G10" s="2">
        <f>G8</f>
        <v>0</v>
      </c>
    </row>
    <row r="11" spans="1:8">
      <c r="B11" s="3"/>
    </row>
  </sheetData>
  <sheetProtection password="C307" sheet="1" objects="1" scenarios="1"/>
  <mergeCells count="3">
    <mergeCell ref="B5:G6"/>
    <mergeCell ref="B2:G2"/>
    <mergeCell ref="B4:G4"/>
  </mergeCells>
  <hyperlinks>
    <hyperlink ref="A8" location="AsianFood!A27" display="67. Asian Food Solutions"/>
    <hyperlink ref="C8" r:id="rId1" display="Kelly O'brien"/>
  </hyperlinks>
  <pageMargins left="0.7" right="0.7" top="0.75" bottom="0.75" header="0.3" footer="0.3"/>
  <pageSetup orientation="landscape" r:id="rId2"/>
</worksheet>
</file>

<file path=xl/worksheets/sheet2.xml><?xml version="1.0" encoding="utf-8"?>
<worksheet xmlns="http://schemas.openxmlformats.org/spreadsheetml/2006/main" xmlns:r="http://schemas.openxmlformats.org/officeDocument/2006/relationships">
  <sheetPr>
    <pageSetUpPr fitToPage="1"/>
  </sheetPr>
  <dimension ref="A1:BG242"/>
  <sheetViews>
    <sheetView topLeftCell="A3" zoomScale="75" zoomScaleNormal="75" workbookViewId="0">
      <selection activeCell="A27" sqref="A27"/>
    </sheetView>
  </sheetViews>
  <sheetFormatPr defaultRowHeight="12.75"/>
  <cols>
    <col min="1" max="1" width="19.5703125" style="74" customWidth="1"/>
    <col min="2" max="2" width="33.140625" style="22" customWidth="1"/>
    <col min="3" max="3" width="17.28515625" style="22" customWidth="1"/>
    <col min="4" max="7" width="14.42578125" style="22" customWidth="1"/>
    <col min="8" max="8" width="14.42578125" style="74" customWidth="1"/>
    <col min="9" max="9" width="18" style="22" customWidth="1"/>
    <col min="10" max="11" width="13.42578125" style="13" customWidth="1"/>
    <col min="12" max="59" width="9.140625" style="13" customWidth="1"/>
    <col min="60" max="256" width="9.140625" style="22"/>
    <col min="257" max="257" width="19.5703125" style="22" customWidth="1"/>
    <col min="258" max="258" width="33.140625" style="22" customWidth="1"/>
    <col min="259" max="259" width="17.28515625" style="22" customWidth="1"/>
    <col min="260" max="264" width="14.42578125" style="22" customWidth="1"/>
    <col min="265" max="265" width="18" style="22" customWidth="1"/>
    <col min="266" max="267" width="13.42578125" style="22" customWidth="1"/>
    <col min="268" max="315" width="9.140625" style="22" customWidth="1"/>
    <col min="316" max="512" width="9.140625" style="22"/>
    <col min="513" max="513" width="19.5703125" style="22" customWidth="1"/>
    <col min="514" max="514" width="33.140625" style="22" customWidth="1"/>
    <col min="515" max="515" width="17.28515625" style="22" customWidth="1"/>
    <col min="516" max="520" width="14.42578125" style="22" customWidth="1"/>
    <col min="521" max="521" width="18" style="22" customWidth="1"/>
    <col min="522" max="523" width="13.42578125" style="22" customWidth="1"/>
    <col min="524" max="571" width="9.140625" style="22" customWidth="1"/>
    <col min="572" max="768" width="9.140625" style="22"/>
    <col min="769" max="769" width="19.5703125" style="22" customWidth="1"/>
    <col min="770" max="770" width="33.140625" style="22" customWidth="1"/>
    <col min="771" max="771" width="17.28515625" style="22" customWidth="1"/>
    <col min="772" max="776" width="14.42578125" style="22" customWidth="1"/>
    <col min="777" max="777" width="18" style="22" customWidth="1"/>
    <col min="778" max="779" width="13.42578125" style="22" customWidth="1"/>
    <col min="780" max="827" width="9.140625" style="22" customWidth="1"/>
    <col min="828" max="1024" width="9.140625" style="22"/>
    <col min="1025" max="1025" width="19.5703125" style="22" customWidth="1"/>
    <col min="1026" max="1026" width="33.140625" style="22" customWidth="1"/>
    <col min="1027" max="1027" width="17.28515625" style="22" customWidth="1"/>
    <col min="1028" max="1032" width="14.42578125" style="22" customWidth="1"/>
    <col min="1033" max="1033" width="18" style="22" customWidth="1"/>
    <col min="1034" max="1035" width="13.42578125" style="22" customWidth="1"/>
    <col min="1036" max="1083" width="9.140625" style="22" customWidth="1"/>
    <col min="1084" max="1280" width="9.140625" style="22"/>
    <col min="1281" max="1281" width="19.5703125" style="22" customWidth="1"/>
    <col min="1282" max="1282" width="33.140625" style="22" customWidth="1"/>
    <col min="1283" max="1283" width="17.28515625" style="22" customWidth="1"/>
    <col min="1284" max="1288" width="14.42578125" style="22" customWidth="1"/>
    <col min="1289" max="1289" width="18" style="22" customWidth="1"/>
    <col min="1290" max="1291" width="13.42578125" style="22" customWidth="1"/>
    <col min="1292" max="1339" width="9.140625" style="22" customWidth="1"/>
    <col min="1340" max="1536" width="9.140625" style="22"/>
    <col min="1537" max="1537" width="19.5703125" style="22" customWidth="1"/>
    <col min="1538" max="1538" width="33.140625" style="22" customWidth="1"/>
    <col min="1539" max="1539" width="17.28515625" style="22" customWidth="1"/>
    <col min="1540" max="1544" width="14.42578125" style="22" customWidth="1"/>
    <col min="1545" max="1545" width="18" style="22" customWidth="1"/>
    <col min="1546" max="1547" width="13.42578125" style="22" customWidth="1"/>
    <col min="1548" max="1595" width="9.140625" style="22" customWidth="1"/>
    <col min="1596" max="1792" width="9.140625" style="22"/>
    <col min="1793" max="1793" width="19.5703125" style="22" customWidth="1"/>
    <col min="1794" max="1794" width="33.140625" style="22" customWidth="1"/>
    <col min="1795" max="1795" width="17.28515625" style="22" customWidth="1"/>
    <col min="1796" max="1800" width="14.42578125" style="22" customWidth="1"/>
    <col min="1801" max="1801" width="18" style="22" customWidth="1"/>
    <col min="1802" max="1803" width="13.42578125" style="22" customWidth="1"/>
    <col min="1804" max="1851" width="9.140625" style="22" customWidth="1"/>
    <col min="1852" max="2048" width="9.140625" style="22"/>
    <col min="2049" max="2049" width="19.5703125" style="22" customWidth="1"/>
    <col min="2050" max="2050" width="33.140625" style="22" customWidth="1"/>
    <col min="2051" max="2051" width="17.28515625" style="22" customWidth="1"/>
    <col min="2052" max="2056" width="14.42578125" style="22" customWidth="1"/>
    <col min="2057" max="2057" width="18" style="22" customWidth="1"/>
    <col min="2058" max="2059" width="13.42578125" style="22" customWidth="1"/>
    <col min="2060" max="2107" width="9.140625" style="22" customWidth="1"/>
    <col min="2108" max="2304" width="9.140625" style="22"/>
    <col min="2305" max="2305" width="19.5703125" style="22" customWidth="1"/>
    <col min="2306" max="2306" width="33.140625" style="22" customWidth="1"/>
    <col min="2307" max="2307" width="17.28515625" style="22" customWidth="1"/>
    <col min="2308" max="2312" width="14.42578125" style="22" customWidth="1"/>
    <col min="2313" max="2313" width="18" style="22" customWidth="1"/>
    <col min="2314" max="2315" width="13.42578125" style="22" customWidth="1"/>
    <col min="2316" max="2363" width="9.140625" style="22" customWidth="1"/>
    <col min="2364" max="2560" width="9.140625" style="22"/>
    <col min="2561" max="2561" width="19.5703125" style="22" customWidth="1"/>
    <col min="2562" max="2562" width="33.140625" style="22" customWidth="1"/>
    <col min="2563" max="2563" width="17.28515625" style="22" customWidth="1"/>
    <col min="2564" max="2568" width="14.42578125" style="22" customWidth="1"/>
    <col min="2569" max="2569" width="18" style="22" customWidth="1"/>
    <col min="2570" max="2571" width="13.42578125" style="22" customWidth="1"/>
    <col min="2572" max="2619" width="9.140625" style="22" customWidth="1"/>
    <col min="2620" max="2816" width="9.140625" style="22"/>
    <col min="2817" max="2817" width="19.5703125" style="22" customWidth="1"/>
    <col min="2818" max="2818" width="33.140625" style="22" customWidth="1"/>
    <col min="2819" max="2819" width="17.28515625" style="22" customWidth="1"/>
    <col min="2820" max="2824" width="14.42578125" style="22" customWidth="1"/>
    <col min="2825" max="2825" width="18" style="22" customWidth="1"/>
    <col min="2826" max="2827" width="13.42578125" style="22" customWidth="1"/>
    <col min="2828" max="2875" width="9.140625" style="22" customWidth="1"/>
    <col min="2876" max="3072" width="9.140625" style="22"/>
    <col min="3073" max="3073" width="19.5703125" style="22" customWidth="1"/>
    <col min="3074" max="3074" width="33.140625" style="22" customWidth="1"/>
    <col min="3075" max="3075" width="17.28515625" style="22" customWidth="1"/>
    <col min="3076" max="3080" width="14.42578125" style="22" customWidth="1"/>
    <col min="3081" max="3081" width="18" style="22" customWidth="1"/>
    <col min="3082" max="3083" width="13.42578125" style="22" customWidth="1"/>
    <col min="3084" max="3131" width="9.140625" style="22" customWidth="1"/>
    <col min="3132" max="3328" width="9.140625" style="22"/>
    <col min="3329" max="3329" width="19.5703125" style="22" customWidth="1"/>
    <col min="3330" max="3330" width="33.140625" style="22" customWidth="1"/>
    <col min="3331" max="3331" width="17.28515625" style="22" customWidth="1"/>
    <col min="3332" max="3336" width="14.42578125" style="22" customWidth="1"/>
    <col min="3337" max="3337" width="18" style="22" customWidth="1"/>
    <col min="3338" max="3339" width="13.42578125" style="22" customWidth="1"/>
    <col min="3340" max="3387" width="9.140625" style="22" customWidth="1"/>
    <col min="3388" max="3584" width="9.140625" style="22"/>
    <col min="3585" max="3585" width="19.5703125" style="22" customWidth="1"/>
    <col min="3586" max="3586" width="33.140625" style="22" customWidth="1"/>
    <col min="3587" max="3587" width="17.28515625" style="22" customWidth="1"/>
    <col min="3588" max="3592" width="14.42578125" style="22" customWidth="1"/>
    <col min="3593" max="3593" width="18" style="22" customWidth="1"/>
    <col min="3594" max="3595" width="13.42578125" style="22" customWidth="1"/>
    <col min="3596" max="3643" width="9.140625" style="22" customWidth="1"/>
    <col min="3644" max="3840" width="9.140625" style="22"/>
    <col min="3841" max="3841" width="19.5703125" style="22" customWidth="1"/>
    <col min="3842" max="3842" width="33.140625" style="22" customWidth="1"/>
    <col min="3843" max="3843" width="17.28515625" style="22" customWidth="1"/>
    <col min="3844" max="3848" width="14.42578125" style="22" customWidth="1"/>
    <col min="3849" max="3849" width="18" style="22" customWidth="1"/>
    <col min="3850" max="3851" width="13.42578125" style="22" customWidth="1"/>
    <col min="3852" max="3899" width="9.140625" style="22" customWidth="1"/>
    <col min="3900" max="4096" width="9.140625" style="22"/>
    <col min="4097" max="4097" width="19.5703125" style="22" customWidth="1"/>
    <col min="4098" max="4098" width="33.140625" style="22" customWidth="1"/>
    <col min="4099" max="4099" width="17.28515625" style="22" customWidth="1"/>
    <col min="4100" max="4104" width="14.42578125" style="22" customWidth="1"/>
    <col min="4105" max="4105" width="18" style="22" customWidth="1"/>
    <col min="4106" max="4107" width="13.42578125" style="22" customWidth="1"/>
    <col min="4108" max="4155" width="9.140625" style="22" customWidth="1"/>
    <col min="4156" max="4352" width="9.140625" style="22"/>
    <col min="4353" max="4353" width="19.5703125" style="22" customWidth="1"/>
    <col min="4354" max="4354" width="33.140625" style="22" customWidth="1"/>
    <col min="4355" max="4355" width="17.28515625" style="22" customWidth="1"/>
    <col min="4356" max="4360" width="14.42578125" style="22" customWidth="1"/>
    <col min="4361" max="4361" width="18" style="22" customWidth="1"/>
    <col min="4362" max="4363" width="13.42578125" style="22" customWidth="1"/>
    <col min="4364" max="4411" width="9.140625" style="22" customWidth="1"/>
    <col min="4412" max="4608" width="9.140625" style="22"/>
    <col min="4609" max="4609" width="19.5703125" style="22" customWidth="1"/>
    <col min="4610" max="4610" width="33.140625" style="22" customWidth="1"/>
    <col min="4611" max="4611" width="17.28515625" style="22" customWidth="1"/>
    <col min="4612" max="4616" width="14.42578125" style="22" customWidth="1"/>
    <col min="4617" max="4617" width="18" style="22" customWidth="1"/>
    <col min="4618" max="4619" width="13.42578125" style="22" customWidth="1"/>
    <col min="4620" max="4667" width="9.140625" style="22" customWidth="1"/>
    <col min="4668" max="4864" width="9.140625" style="22"/>
    <col min="4865" max="4865" width="19.5703125" style="22" customWidth="1"/>
    <col min="4866" max="4866" width="33.140625" style="22" customWidth="1"/>
    <col min="4867" max="4867" width="17.28515625" style="22" customWidth="1"/>
    <col min="4868" max="4872" width="14.42578125" style="22" customWidth="1"/>
    <col min="4873" max="4873" width="18" style="22" customWidth="1"/>
    <col min="4874" max="4875" width="13.42578125" style="22" customWidth="1"/>
    <col min="4876" max="4923" width="9.140625" style="22" customWidth="1"/>
    <col min="4924" max="5120" width="9.140625" style="22"/>
    <col min="5121" max="5121" width="19.5703125" style="22" customWidth="1"/>
    <col min="5122" max="5122" width="33.140625" style="22" customWidth="1"/>
    <col min="5123" max="5123" width="17.28515625" style="22" customWidth="1"/>
    <col min="5124" max="5128" width="14.42578125" style="22" customWidth="1"/>
    <col min="5129" max="5129" width="18" style="22" customWidth="1"/>
    <col min="5130" max="5131" width="13.42578125" style="22" customWidth="1"/>
    <col min="5132" max="5179" width="9.140625" style="22" customWidth="1"/>
    <col min="5180" max="5376" width="9.140625" style="22"/>
    <col min="5377" max="5377" width="19.5703125" style="22" customWidth="1"/>
    <col min="5378" max="5378" width="33.140625" style="22" customWidth="1"/>
    <col min="5379" max="5379" width="17.28515625" style="22" customWidth="1"/>
    <col min="5380" max="5384" width="14.42578125" style="22" customWidth="1"/>
    <col min="5385" max="5385" width="18" style="22" customWidth="1"/>
    <col min="5386" max="5387" width="13.42578125" style="22" customWidth="1"/>
    <col min="5388" max="5435" width="9.140625" style="22" customWidth="1"/>
    <col min="5436" max="5632" width="9.140625" style="22"/>
    <col min="5633" max="5633" width="19.5703125" style="22" customWidth="1"/>
    <col min="5634" max="5634" width="33.140625" style="22" customWidth="1"/>
    <col min="5635" max="5635" width="17.28515625" style="22" customWidth="1"/>
    <col min="5636" max="5640" width="14.42578125" style="22" customWidth="1"/>
    <col min="5641" max="5641" width="18" style="22" customWidth="1"/>
    <col min="5642" max="5643" width="13.42578125" style="22" customWidth="1"/>
    <col min="5644" max="5691" width="9.140625" style="22" customWidth="1"/>
    <col min="5692" max="5888" width="9.140625" style="22"/>
    <col min="5889" max="5889" width="19.5703125" style="22" customWidth="1"/>
    <col min="5890" max="5890" width="33.140625" style="22" customWidth="1"/>
    <col min="5891" max="5891" width="17.28515625" style="22" customWidth="1"/>
    <col min="5892" max="5896" width="14.42578125" style="22" customWidth="1"/>
    <col min="5897" max="5897" width="18" style="22" customWidth="1"/>
    <col min="5898" max="5899" width="13.42578125" style="22" customWidth="1"/>
    <col min="5900" max="5947" width="9.140625" style="22" customWidth="1"/>
    <col min="5948" max="6144" width="9.140625" style="22"/>
    <col min="6145" max="6145" width="19.5703125" style="22" customWidth="1"/>
    <col min="6146" max="6146" width="33.140625" style="22" customWidth="1"/>
    <col min="6147" max="6147" width="17.28515625" style="22" customWidth="1"/>
    <col min="6148" max="6152" width="14.42578125" style="22" customWidth="1"/>
    <col min="6153" max="6153" width="18" style="22" customWidth="1"/>
    <col min="6154" max="6155" width="13.42578125" style="22" customWidth="1"/>
    <col min="6156" max="6203" width="9.140625" style="22" customWidth="1"/>
    <col min="6204" max="6400" width="9.140625" style="22"/>
    <col min="6401" max="6401" width="19.5703125" style="22" customWidth="1"/>
    <col min="6402" max="6402" width="33.140625" style="22" customWidth="1"/>
    <col min="6403" max="6403" width="17.28515625" style="22" customWidth="1"/>
    <col min="6404" max="6408" width="14.42578125" style="22" customWidth="1"/>
    <col min="6409" max="6409" width="18" style="22" customWidth="1"/>
    <col min="6410" max="6411" width="13.42578125" style="22" customWidth="1"/>
    <col min="6412" max="6459" width="9.140625" style="22" customWidth="1"/>
    <col min="6460" max="6656" width="9.140625" style="22"/>
    <col min="6657" max="6657" width="19.5703125" style="22" customWidth="1"/>
    <col min="6658" max="6658" width="33.140625" style="22" customWidth="1"/>
    <col min="6659" max="6659" width="17.28515625" style="22" customWidth="1"/>
    <col min="6660" max="6664" width="14.42578125" style="22" customWidth="1"/>
    <col min="6665" max="6665" width="18" style="22" customWidth="1"/>
    <col min="6666" max="6667" width="13.42578125" style="22" customWidth="1"/>
    <col min="6668" max="6715" width="9.140625" style="22" customWidth="1"/>
    <col min="6716" max="6912" width="9.140625" style="22"/>
    <col min="6913" max="6913" width="19.5703125" style="22" customWidth="1"/>
    <col min="6914" max="6914" width="33.140625" style="22" customWidth="1"/>
    <col min="6915" max="6915" width="17.28515625" style="22" customWidth="1"/>
    <col min="6916" max="6920" width="14.42578125" style="22" customWidth="1"/>
    <col min="6921" max="6921" width="18" style="22" customWidth="1"/>
    <col min="6922" max="6923" width="13.42578125" style="22" customWidth="1"/>
    <col min="6924" max="6971" width="9.140625" style="22" customWidth="1"/>
    <col min="6972" max="7168" width="9.140625" style="22"/>
    <col min="7169" max="7169" width="19.5703125" style="22" customWidth="1"/>
    <col min="7170" max="7170" width="33.140625" style="22" customWidth="1"/>
    <col min="7171" max="7171" width="17.28515625" style="22" customWidth="1"/>
    <col min="7172" max="7176" width="14.42578125" style="22" customWidth="1"/>
    <col min="7177" max="7177" width="18" style="22" customWidth="1"/>
    <col min="7178" max="7179" width="13.42578125" style="22" customWidth="1"/>
    <col min="7180" max="7227" width="9.140625" style="22" customWidth="1"/>
    <col min="7228" max="7424" width="9.140625" style="22"/>
    <col min="7425" max="7425" width="19.5703125" style="22" customWidth="1"/>
    <col min="7426" max="7426" width="33.140625" style="22" customWidth="1"/>
    <col min="7427" max="7427" width="17.28515625" style="22" customWidth="1"/>
    <col min="7428" max="7432" width="14.42578125" style="22" customWidth="1"/>
    <col min="7433" max="7433" width="18" style="22" customWidth="1"/>
    <col min="7434" max="7435" width="13.42578125" style="22" customWidth="1"/>
    <col min="7436" max="7483" width="9.140625" style="22" customWidth="1"/>
    <col min="7484" max="7680" width="9.140625" style="22"/>
    <col min="7681" max="7681" width="19.5703125" style="22" customWidth="1"/>
    <col min="7682" max="7682" width="33.140625" style="22" customWidth="1"/>
    <col min="7683" max="7683" width="17.28515625" style="22" customWidth="1"/>
    <col min="7684" max="7688" width="14.42578125" style="22" customWidth="1"/>
    <col min="7689" max="7689" width="18" style="22" customWidth="1"/>
    <col min="7690" max="7691" width="13.42578125" style="22" customWidth="1"/>
    <col min="7692" max="7739" width="9.140625" style="22" customWidth="1"/>
    <col min="7740" max="7936" width="9.140625" style="22"/>
    <col min="7937" max="7937" width="19.5703125" style="22" customWidth="1"/>
    <col min="7938" max="7938" width="33.140625" style="22" customWidth="1"/>
    <col min="7939" max="7939" width="17.28515625" style="22" customWidth="1"/>
    <col min="7940" max="7944" width="14.42578125" style="22" customWidth="1"/>
    <col min="7945" max="7945" width="18" style="22" customWidth="1"/>
    <col min="7946" max="7947" width="13.42578125" style="22" customWidth="1"/>
    <col min="7948" max="7995" width="9.140625" style="22" customWidth="1"/>
    <col min="7996" max="8192" width="9.140625" style="22"/>
    <col min="8193" max="8193" width="19.5703125" style="22" customWidth="1"/>
    <col min="8194" max="8194" width="33.140625" style="22" customWidth="1"/>
    <col min="8195" max="8195" width="17.28515625" style="22" customWidth="1"/>
    <col min="8196" max="8200" width="14.42578125" style="22" customWidth="1"/>
    <col min="8201" max="8201" width="18" style="22" customWidth="1"/>
    <col min="8202" max="8203" width="13.42578125" style="22" customWidth="1"/>
    <col min="8204" max="8251" width="9.140625" style="22" customWidth="1"/>
    <col min="8252" max="8448" width="9.140625" style="22"/>
    <col min="8449" max="8449" width="19.5703125" style="22" customWidth="1"/>
    <col min="8450" max="8450" width="33.140625" style="22" customWidth="1"/>
    <col min="8451" max="8451" width="17.28515625" style="22" customWidth="1"/>
    <col min="8452" max="8456" width="14.42578125" style="22" customWidth="1"/>
    <col min="8457" max="8457" width="18" style="22" customWidth="1"/>
    <col min="8458" max="8459" width="13.42578125" style="22" customWidth="1"/>
    <col min="8460" max="8507" width="9.140625" style="22" customWidth="1"/>
    <col min="8508" max="8704" width="9.140625" style="22"/>
    <col min="8705" max="8705" width="19.5703125" style="22" customWidth="1"/>
    <col min="8706" max="8706" width="33.140625" style="22" customWidth="1"/>
    <col min="8707" max="8707" width="17.28515625" style="22" customWidth="1"/>
    <col min="8708" max="8712" width="14.42578125" style="22" customWidth="1"/>
    <col min="8713" max="8713" width="18" style="22" customWidth="1"/>
    <col min="8714" max="8715" width="13.42578125" style="22" customWidth="1"/>
    <col min="8716" max="8763" width="9.140625" style="22" customWidth="1"/>
    <col min="8764" max="8960" width="9.140625" style="22"/>
    <col min="8961" max="8961" width="19.5703125" style="22" customWidth="1"/>
    <col min="8962" max="8962" width="33.140625" style="22" customWidth="1"/>
    <col min="8963" max="8963" width="17.28515625" style="22" customWidth="1"/>
    <col min="8964" max="8968" width="14.42578125" style="22" customWidth="1"/>
    <col min="8969" max="8969" width="18" style="22" customWidth="1"/>
    <col min="8970" max="8971" width="13.42578125" style="22" customWidth="1"/>
    <col min="8972" max="9019" width="9.140625" style="22" customWidth="1"/>
    <col min="9020" max="9216" width="9.140625" style="22"/>
    <col min="9217" max="9217" width="19.5703125" style="22" customWidth="1"/>
    <col min="9218" max="9218" width="33.140625" style="22" customWidth="1"/>
    <col min="9219" max="9219" width="17.28515625" style="22" customWidth="1"/>
    <col min="9220" max="9224" width="14.42578125" style="22" customWidth="1"/>
    <col min="9225" max="9225" width="18" style="22" customWidth="1"/>
    <col min="9226" max="9227" width="13.42578125" style="22" customWidth="1"/>
    <col min="9228" max="9275" width="9.140625" style="22" customWidth="1"/>
    <col min="9276" max="9472" width="9.140625" style="22"/>
    <col min="9473" max="9473" width="19.5703125" style="22" customWidth="1"/>
    <col min="9474" max="9474" width="33.140625" style="22" customWidth="1"/>
    <col min="9475" max="9475" width="17.28515625" style="22" customWidth="1"/>
    <col min="9476" max="9480" width="14.42578125" style="22" customWidth="1"/>
    <col min="9481" max="9481" width="18" style="22" customWidth="1"/>
    <col min="9482" max="9483" width="13.42578125" style="22" customWidth="1"/>
    <col min="9484" max="9531" width="9.140625" style="22" customWidth="1"/>
    <col min="9532" max="9728" width="9.140625" style="22"/>
    <col min="9729" max="9729" width="19.5703125" style="22" customWidth="1"/>
    <col min="9730" max="9730" width="33.140625" style="22" customWidth="1"/>
    <col min="9731" max="9731" width="17.28515625" style="22" customWidth="1"/>
    <col min="9732" max="9736" width="14.42578125" style="22" customWidth="1"/>
    <col min="9737" max="9737" width="18" style="22" customWidth="1"/>
    <col min="9738" max="9739" width="13.42578125" style="22" customWidth="1"/>
    <col min="9740" max="9787" width="9.140625" style="22" customWidth="1"/>
    <col min="9788" max="9984" width="9.140625" style="22"/>
    <col min="9985" max="9985" width="19.5703125" style="22" customWidth="1"/>
    <col min="9986" max="9986" width="33.140625" style="22" customWidth="1"/>
    <col min="9987" max="9987" width="17.28515625" style="22" customWidth="1"/>
    <col min="9988" max="9992" width="14.42578125" style="22" customWidth="1"/>
    <col min="9993" max="9993" width="18" style="22" customWidth="1"/>
    <col min="9994" max="9995" width="13.42578125" style="22" customWidth="1"/>
    <col min="9996" max="10043" width="9.140625" style="22" customWidth="1"/>
    <col min="10044" max="10240" width="9.140625" style="22"/>
    <col min="10241" max="10241" width="19.5703125" style="22" customWidth="1"/>
    <col min="10242" max="10242" width="33.140625" style="22" customWidth="1"/>
    <col min="10243" max="10243" width="17.28515625" style="22" customWidth="1"/>
    <col min="10244" max="10248" width="14.42578125" style="22" customWidth="1"/>
    <col min="10249" max="10249" width="18" style="22" customWidth="1"/>
    <col min="10250" max="10251" width="13.42578125" style="22" customWidth="1"/>
    <col min="10252" max="10299" width="9.140625" style="22" customWidth="1"/>
    <col min="10300" max="10496" width="9.140625" style="22"/>
    <col min="10497" max="10497" width="19.5703125" style="22" customWidth="1"/>
    <col min="10498" max="10498" width="33.140625" style="22" customWidth="1"/>
    <col min="10499" max="10499" width="17.28515625" style="22" customWidth="1"/>
    <col min="10500" max="10504" width="14.42578125" style="22" customWidth="1"/>
    <col min="10505" max="10505" width="18" style="22" customWidth="1"/>
    <col min="10506" max="10507" width="13.42578125" style="22" customWidth="1"/>
    <col min="10508" max="10555" width="9.140625" style="22" customWidth="1"/>
    <col min="10556" max="10752" width="9.140625" style="22"/>
    <col min="10753" max="10753" width="19.5703125" style="22" customWidth="1"/>
    <col min="10754" max="10754" width="33.140625" style="22" customWidth="1"/>
    <col min="10755" max="10755" width="17.28515625" style="22" customWidth="1"/>
    <col min="10756" max="10760" width="14.42578125" style="22" customWidth="1"/>
    <col min="10761" max="10761" width="18" style="22" customWidth="1"/>
    <col min="10762" max="10763" width="13.42578125" style="22" customWidth="1"/>
    <col min="10764" max="10811" width="9.140625" style="22" customWidth="1"/>
    <col min="10812" max="11008" width="9.140625" style="22"/>
    <col min="11009" max="11009" width="19.5703125" style="22" customWidth="1"/>
    <col min="11010" max="11010" width="33.140625" style="22" customWidth="1"/>
    <col min="11011" max="11011" width="17.28515625" style="22" customWidth="1"/>
    <col min="11012" max="11016" width="14.42578125" style="22" customWidth="1"/>
    <col min="11017" max="11017" width="18" style="22" customWidth="1"/>
    <col min="11018" max="11019" width="13.42578125" style="22" customWidth="1"/>
    <col min="11020" max="11067" width="9.140625" style="22" customWidth="1"/>
    <col min="11068" max="11264" width="9.140625" style="22"/>
    <col min="11265" max="11265" width="19.5703125" style="22" customWidth="1"/>
    <col min="11266" max="11266" width="33.140625" style="22" customWidth="1"/>
    <col min="11267" max="11267" width="17.28515625" style="22" customWidth="1"/>
    <col min="11268" max="11272" width="14.42578125" style="22" customWidth="1"/>
    <col min="11273" max="11273" width="18" style="22" customWidth="1"/>
    <col min="11274" max="11275" width="13.42578125" style="22" customWidth="1"/>
    <col min="11276" max="11323" width="9.140625" style="22" customWidth="1"/>
    <col min="11324" max="11520" width="9.140625" style="22"/>
    <col min="11521" max="11521" width="19.5703125" style="22" customWidth="1"/>
    <col min="11522" max="11522" width="33.140625" style="22" customWidth="1"/>
    <col min="11523" max="11523" width="17.28515625" style="22" customWidth="1"/>
    <col min="11524" max="11528" width="14.42578125" style="22" customWidth="1"/>
    <col min="11529" max="11529" width="18" style="22" customWidth="1"/>
    <col min="11530" max="11531" width="13.42578125" style="22" customWidth="1"/>
    <col min="11532" max="11579" width="9.140625" style="22" customWidth="1"/>
    <col min="11580" max="11776" width="9.140625" style="22"/>
    <col min="11777" max="11777" width="19.5703125" style="22" customWidth="1"/>
    <col min="11778" max="11778" width="33.140625" style="22" customWidth="1"/>
    <col min="11779" max="11779" width="17.28515625" style="22" customWidth="1"/>
    <col min="11780" max="11784" width="14.42578125" style="22" customWidth="1"/>
    <col min="11785" max="11785" width="18" style="22" customWidth="1"/>
    <col min="11786" max="11787" width="13.42578125" style="22" customWidth="1"/>
    <col min="11788" max="11835" width="9.140625" style="22" customWidth="1"/>
    <col min="11836" max="12032" width="9.140625" style="22"/>
    <col min="12033" max="12033" width="19.5703125" style="22" customWidth="1"/>
    <col min="12034" max="12034" width="33.140625" style="22" customWidth="1"/>
    <col min="12035" max="12035" width="17.28515625" style="22" customWidth="1"/>
    <col min="12036" max="12040" width="14.42578125" style="22" customWidth="1"/>
    <col min="12041" max="12041" width="18" style="22" customWidth="1"/>
    <col min="12042" max="12043" width="13.42578125" style="22" customWidth="1"/>
    <col min="12044" max="12091" width="9.140625" style="22" customWidth="1"/>
    <col min="12092" max="12288" width="9.140625" style="22"/>
    <col min="12289" max="12289" width="19.5703125" style="22" customWidth="1"/>
    <col min="12290" max="12290" width="33.140625" style="22" customWidth="1"/>
    <col min="12291" max="12291" width="17.28515625" style="22" customWidth="1"/>
    <col min="12292" max="12296" width="14.42578125" style="22" customWidth="1"/>
    <col min="12297" max="12297" width="18" style="22" customWidth="1"/>
    <col min="12298" max="12299" width="13.42578125" style="22" customWidth="1"/>
    <col min="12300" max="12347" width="9.140625" style="22" customWidth="1"/>
    <col min="12348" max="12544" width="9.140625" style="22"/>
    <col min="12545" max="12545" width="19.5703125" style="22" customWidth="1"/>
    <col min="12546" max="12546" width="33.140625" style="22" customWidth="1"/>
    <col min="12547" max="12547" width="17.28515625" style="22" customWidth="1"/>
    <col min="12548" max="12552" width="14.42578125" style="22" customWidth="1"/>
    <col min="12553" max="12553" width="18" style="22" customWidth="1"/>
    <col min="12554" max="12555" width="13.42578125" style="22" customWidth="1"/>
    <col min="12556" max="12603" width="9.140625" style="22" customWidth="1"/>
    <col min="12604" max="12800" width="9.140625" style="22"/>
    <col min="12801" max="12801" width="19.5703125" style="22" customWidth="1"/>
    <col min="12802" max="12802" width="33.140625" style="22" customWidth="1"/>
    <col min="12803" max="12803" width="17.28515625" style="22" customWidth="1"/>
    <col min="12804" max="12808" width="14.42578125" style="22" customWidth="1"/>
    <col min="12809" max="12809" width="18" style="22" customWidth="1"/>
    <col min="12810" max="12811" width="13.42578125" style="22" customWidth="1"/>
    <col min="12812" max="12859" width="9.140625" style="22" customWidth="1"/>
    <col min="12860" max="13056" width="9.140625" style="22"/>
    <col min="13057" max="13057" width="19.5703125" style="22" customWidth="1"/>
    <col min="13058" max="13058" width="33.140625" style="22" customWidth="1"/>
    <col min="13059" max="13059" width="17.28515625" style="22" customWidth="1"/>
    <col min="13060" max="13064" width="14.42578125" style="22" customWidth="1"/>
    <col min="13065" max="13065" width="18" style="22" customWidth="1"/>
    <col min="13066" max="13067" width="13.42578125" style="22" customWidth="1"/>
    <col min="13068" max="13115" width="9.140625" style="22" customWidth="1"/>
    <col min="13116" max="13312" width="9.140625" style="22"/>
    <col min="13313" max="13313" width="19.5703125" style="22" customWidth="1"/>
    <col min="13314" max="13314" width="33.140625" style="22" customWidth="1"/>
    <col min="13315" max="13315" width="17.28515625" style="22" customWidth="1"/>
    <col min="13316" max="13320" width="14.42578125" style="22" customWidth="1"/>
    <col min="13321" max="13321" width="18" style="22" customWidth="1"/>
    <col min="13322" max="13323" width="13.42578125" style="22" customWidth="1"/>
    <col min="13324" max="13371" width="9.140625" style="22" customWidth="1"/>
    <col min="13372" max="13568" width="9.140625" style="22"/>
    <col min="13569" max="13569" width="19.5703125" style="22" customWidth="1"/>
    <col min="13570" max="13570" width="33.140625" style="22" customWidth="1"/>
    <col min="13571" max="13571" width="17.28515625" style="22" customWidth="1"/>
    <col min="13572" max="13576" width="14.42578125" style="22" customWidth="1"/>
    <col min="13577" max="13577" width="18" style="22" customWidth="1"/>
    <col min="13578" max="13579" width="13.42578125" style="22" customWidth="1"/>
    <col min="13580" max="13627" width="9.140625" style="22" customWidth="1"/>
    <col min="13628" max="13824" width="9.140625" style="22"/>
    <col min="13825" max="13825" width="19.5703125" style="22" customWidth="1"/>
    <col min="13826" max="13826" width="33.140625" style="22" customWidth="1"/>
    <col min="13827" max="13827" width="17.28515625" style="22" customWidth="1"/>
    <col min="13828" max="13832" width="14.42578125" style="22" customWidth="1"/>
    <col min="13833" max="13833" width="18" style="22" customWidth="1"/>
    <col min="13834" max="13835" width="13.42578125" style="22" customWidth="1"/>
    <col min="13836" max="13883" width="9.140625" style="22" customWidth="1"/>
    <col min="13884" max="14080" width="9.140625" style="22"/>
    <col min="14081" max="14081" width="19.5703125" style="22" customWidth="1"/>
    <col min="14082" max="14082" width="33.140625" style="22" customWidth="1"/>
    <col min="14083" max="14083" width="17.28515625" style="22" customWidth="1"/>
    <col min="14084" max="14088" width="14.42578125" style="22" customWidth="1"/>
    <col min="14089" max="14089" width="18" style="22" customWidth="1"/>
    <col min="14090" max="14091" width="13.42578125" style="22" customWidth="1"/>
    <col min="14092" max="14139" width="9.140625" style="22" customWidth="1"/>
    <col min="14140" max="14336" width="9.140625" style="22"/>
    <col min="14337" max="14337" width="19.5703125" style="22" customWidth="1"/>
    <col min="14338" max="14338" width="33.140625" style="22" customWidth="1"/>
    <col min="14339" max="14339" width="17.28515625" style="22" customWidth="1"/>
    <col min="14340" max="14344" width="14.42578125" style="22" customWidth="1"/>
    <col min="14345" max="14345" width="18" style="22" customWidth="1"/>
    <col min="14346" max="14347" width="13.42578125" style="22" customWidth="1"/>
    <col min="14348" max="14395" width="9.140625" style="22" customWidth="1"/>
    <col min="14396" max="14592" width="9.140625" style="22"/>
    <col min="14593" max="14593" width="19.5703125" style="22" customWidth="1"/>
    <col min="14594" max="14594" width="33.140625" style="22" customWidth="1"/>
    <col min="14595" max="14595" width="17.28515625" style="22" customWidth="1"/>
    <col min="14596" max="14600" width="14.42578125" style="22" customWidth="1"/>
    <col min="14601" max="14601" width="18" style="22" customWidth="1"/>
    <col min="14602" max="14603" width="13.42578125" style="22" customWidth="1"/>
    <col min="14604" max="14651" width="9.140625" style="22" customWidth="1"/>
    <col min="14652" max="14848" width="9.140625" style="22"/>
    <col min="14849" max="14849" width="19.5703125" style="22" customWidth="1"/>
    <col min="14850" max="14850" width="33.140625" style="22" customWidth="1"/>
    <col min="14851" max="14851" width="17.28515625" style="22" customWidth="1"/>
    <col min="14852" max="14856" width="14.42578125" style="22" customWidth="1"/>
    <col min="14857" max="14857" width="18" style="22" customWidth="1"/>
    <col min="14858" max="14859" width="13.42578125" style="22" customWidth="1"/>
    <col min="14860" max="14907" width="9.140625" style="22" customWidth="1"/>
    <col min="14908" max="15104" width="9.140625" style="22"/>
    <col min="15105" max="15105" width="19.5703125" style="22" customWidth="1"/>
    <col min="15106" max="15106" width="33.140625" style="22" customWidth="1"/>
    <col min="15107" max="15107" width="17.28515625" style="22" customWidth="1"/>
    <col min="15108" max="15112" width="14.42578125" style="22" customWidth="1"/>
    <col min="15113" max="15113" width="18" style="22" customWidth="1"/>
    <col min="15114" max="15115" width="13.42578125" style="22" customWidth="1"/>
    <col min="15116" max="15163" width="9.140625" style="22" customWidth="1"/>
    <col min="15164" max="15360" width="9.140625" style="22"/>
    <col min="15361" max="15361" width="19.5703125" style="22" customWidth="1"/>
    <col min="15362" max="15362" width="33.140625" style="22" customWidth="1"/>
    <col min="15363" max="15363" width="17.28515625" style="22" customWidth="1"/>
    <col min="15364" max="15368" width="14.42578125" style="22" customWidth="1"/>
    <col min="15369" max="15369" width="18" style="22" customWidth="1"/>
    <col min="15370" max="15371" width="13.42578125" style="22" customWidth="1"/>
    <col min="15372" max="15419" width="9.140625" style="22" customWidth="1"/>
    <col min="15420" max="15616" width="9.140625" style="22"/>
    <col min="15617" max="15617" width="19.5703125" style="22" customWidth="1"/>
    <col min="15618" max="15618" width="33.140625" style="22" customWidth="1"/>
    <col min="15619" max="15619" width="17.28515625" style="22" customWidth="1"/>
    <col min="15620" max="15624" width="14.42578125" style="22" customWidth="1"/>
    <col min="15625" max="15625" width="18" style="22" customWidth="1"/>
    <col min="15626" max="15627" width="13.42578125" style="22" customWidth="1"/>
    <col min="15628" max="15675" width="9.140625" style="22" customWidth="1"/>
    <col min="15676" max="15872" width="9.140625" style="22"/>
    <col min="15873" max="15873" width="19.5703125" style="22" customWidth="1"/>
    <col min="15874" max="15874" width="33.140625" style="22" customWidth="1"/>
    <col min="15875" max="15875" width="17.28515625" style="22" customWidth="1"/>
    <col min="15876" max="15880" width="14.42578125" style="22" customWidth="1"/>
    <col min="15881" max="15881" width="18" style="22" customWidth="1"/>
    <col min="15882" max="15883" width="13.42578125" style="22" customWidth="1"/>
    <col min="15884" max="15931" width="9.140625" style="22" customWidth="1"/>
    <col min="15932" max="16128" width="9.140625" style="22"/>
    <col min="16129" max="16129" width="19.5703125" style="22" customWidth="1"/>
    <col min="16130" max="16130" width="33.140625" style="22" customWidth="1"/>
    <col min="16131" max="16131" width="17.28515625" style="22" customWidth="1"/>
    <col min="16132" max="16136" width="14.42578125" style="22" customWidth="1"/>
    <col min="16137" max="16137" width="18" style="22" customWidth="1"/>
    <col min="16138" max="16139" width="13.42578125" style="22" customWidth="1"/>
    <col min="16140" max="16187" width="9.140625" style="22" customWidth="1"/>
    <col min="16188" max="16384" width="9.140625" style="22"/>
  </cols>
  <sheetData>
    <row r="1" spans="1:59" s="9" customFormat="1" ht="15">
      <c r="B1" s="10"/>
      <c r="C1" s="10"/>
      <c r="D1" s="10"/>
      <c r="H1" s="11"/>
      <c r="J1" s="12"/>
      <c r="K1" s="12"/>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row>
    <row r="2" spans="1:59" s="9" customFormat="1" ht="15">
      <c r="B2" s="14"/>
      <c r="C2" s="14"/>
      <c r="D2" s="14"/>
      <c r="H2" s="11"/>
      <c r="J2" s="12"/>
      <c r="K2" s="12"/>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row>
    <row r="3" spans="1:59" s="9" customFormat="1" ht="15">
      <c r="B3" s="14"/>
      <c r="C3" s="14"/>
      <c r="D3" s="14"/>
      <c r="H3" s="11"/>
      <c r="J3" s="12"/>
      <c r="K3" s="12"/>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row>
    <row r="4" spans="1:59" s="9" customFormat="1" ht="15">
      <c r="A4" s="15"/>
      <c r="B4" s="16"/>
      <c r="C4" s="16"/>
      <c r="D4" s="16"/>
      <c r="E4" s="16"/>
      <c r="F4" s="16"/>
      <c r="G4" s="16"/>
      <c r="H4" s="15"/>
      <c r="I4" s="16"/>
      <c r="J4" s="12"/>
      <c r="K4" s="12" t="s">
        <v>9</v>
      </c>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row>
    <row r="5" spans="1:59" s="9" customFormat="1" ht="39" customHeight="1">
      <c r="A5" s="15"/>
      <c r="B5" s="16"/>
      <c r="C5" s="16"/>
      <c r="D5" s="16"/>
      <c r="E5" s="16"/>
      <c r="F5" s="16"/>
      <c r="G5" s="16"/>
      <c r="H5" s="15"/>
      <c r="I5" s="16"/>
      <c r="J5" s="12"/>
      <c r="K5" s="12"/>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row>
    <row r="6" spans="1:59" s="9" customFormat="1" ht="35.25" customHeight="1">
      <c r="A6" s="15"/>
      <c r="B6" s="16"/>
      <c r="C6" s="16"/>
      <c r="D6" s="16"/>
      <c r="E6" s="16"/>
      <c r="F6" s="16"/>
      <c r="G6" s="16"/>
      <c r="H6" s="15"/>
      <c r="I6" s="16"/>
      <c r="J6" s="12"/>
      <c r="K6" s="12"/>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row>
    <row r="7" spans="1:59" s="9" customFormat="1" ht="35.25" customHeight="1">
      <c r="A7" s="96" t="s">
        <v>10</v>
      </c>
      <c r="B7" s="96"/>
      <c r="C7" s="96"/>
      <c r="D7" s="96"/>
      <c r="E7" s="96"/>
      <c r="F7" s="96"/>
      <c r="G7" s="96"/>
      <c r="H7" s="96"/>
      <c r="I7" s="96"/>
      <c r="J7" s="96"/>
      <c r="K7" s="96"/>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row>
    <row r="8" spans="1:59" s="9" customFormat="1" ht="25.5" customHeight="1">
      <c r="A8" s="97" t="s">
        <v>11</v>
      </c>
      <c r="B8" s="97"/>
      <c r="C8" s="97"/>
      <c r="D8" s="97"/>
      <c r="E8" s="97"/>
      <c r="F8" s="97"/>
      <c r="G8" s="97"/>
      <c r="H8" s="97"/>
      <c r="I8" s="97"/>
      <c r="J8" s="97"/>
      <c r="K8" s="97"/>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row>
    <row r="9" spans="1:59" s="9" customFormat="1" ht="14.25" customHeight="1">
      <c r="A9" s="15"/>
      <c r="B9" s="17"/>
      <c r="C9" s="98"/>
      <c r="D9" s="98"/>
      <c r="E9" s="98"/>
      <c r="F9" s="98"/>
      <c r="G9" s="98"/>
      <c r="H9" s="98"/>
      <c r="I9" s="98"/>
      <c r="J9" s="99" t="s">
        <v>12</v>
      </c>
      <c r="K9" s="99"/>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row>
    <row r="10" spans="1:59" s="9" customFormat="1" ht="19.5" customHeight="1">
      <c r="A10" s="15"/>
      <c r="B10" s="16"/>
      <c r="C10" s="100" t="s">
        <v>13</v>
      </c>
      <c r="D10" s="100"/>
      <c r="E10" s="100"/>
      <c r="F10" s="100"/>
      <c r="G10" s="100"/>
      <c r="H10" s="100"/>
      <c r="I10" s="16"/>
      <c r="J10" s="99"/>
      <c r="K10" s="99"/>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row>
    <row r="11" spans="1:59" s="9" customFormat="1" ht="18">
      <c r="A11" s="15"/>
      <c r="B11" s="16"/>
      <c r="C11" s="18"/>
      <c r="D11" s="18"/>
      <c r="E11" s="18"/>
      <c r="F11" s="18"/>
      <c r="G11" s="18"/>
      <c r="H11" s="18"/>
      <c r="I11" s="16"/>
      <c r="J11" s="12"/>
      <c r="K11" s="12"/>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row>
    <row r="12" spans="1:59" ht="48.75" customHeight="1" thickBot="1">
      <c r="A12" s="19" t="s">
        <v>8</v>
      </c>
      <c r="B12" s="19" t="s">
        <v>14</v>
      </c>
      <c r="C12" s="19" t="s">
        <v>15</v>
      </c>
      <c r="D12" s="19" t="s">
        <v>16</v>
      </c>
      <c r="E12" s="19" t="s">
        <v>17</v>
      </c>
      <c r="F12" s="19" t="s">
        <v>18</v>
      </c>
      <c r="G12" s="19" t="s">
        <v>19</v>
      </c>
      <c r="H12" s="19" t="s">
        <v>20</v>
      </c>
      <c r="I12" s="19" t="s">
        <v>21</v>
      </c>
      <c r="J12" s="20" t="s">
        <v>22</v>
      </c>
      <c r="K12" s="21" t="s">
        <v>23</v>
      </c>
    </row>
    <row r="13" spans="1:59" ht="24.75" customHeight="1">
      <c r="A13" s="23">
        <v>73001</v>
      </c>
      <c r="B13" s="24" t="s">
        <v>24</v>
      </c>
      <c r="C13" s="25" t="s">
        <v>25</v>
      </c>
      <c r="D13" s="26">
        <v>240</v>
      </c>
      <c r="E13" s="27">
        <v>45.98</v>
      </c>
      <c r="F13" s="28">
        <v>0.7063021179991229</v>
      </c>
      <c r="G13" s="29">
        <f>I13/E13</f>
        <v>782.94910830796005</v>
      </c>
      <c r="H13" s="26">
        <f>(I13/E13)*D13</f>
        <v>187907.78599391042</v>
      </c>
      <c r="I13" s="30">
        <v>36000</v>
      </c>
      <c r="J13" s="31"/>
      <c r="K13" s="32">
        <f>J13/D13</f>
        <v>0</v>
      </c>
    </row>
    <row r="14" spans="1:59" s="34" customFormat="1" ht="24.75" customHeight="1">
      <c r="A14" s="23">
        <v>73002</v>
      </c>
      <c r="B14" s="24" t="s">
        <v>26</v>
      </c>
      <c r="C14" s="25" t="s">
        <v>25</v>
      </c>
      <c r="D14" s="26">
        <v>240</v>
      </c>
      <c r="E14" s="27">
        <v>45.98</v>
      </c>
      <c r="F14" s="28">
        <f>F13</f>
        <v>0.7063021179991229</v>
      </c>
      <c r="G14" s="29">
        <f>I14/E14</f>
        <v>782.94910830796005</v>
      </c>
      <c r="H14" s="26">
        <f>(I14/E14)*D14</f>
        <v>187907.78599391042</v>
      </c>
      <c r="I14" s="30">
        <v>36000</v>
      </c>
      <c r="J14" s="33"/>
      <c r="K14" s="32">
        <f>J14/D14</f>
        <v>0</v>
      </c>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row>
    <row r="15" spans="1:59" s="34" customFormat="1" ht="24.75" customHeight="1">
      <c r="A15" s="23">
        <v>73003</v>
      </c>
      <c r="B15" s="24" t="s">
        <v>27</v>
      </c>
      <c r="C15" s="25" t="s">
        <v>25</v>
      </c>
      <c r="D15" s="26">
        <v>240</v>
      </c>
      <c r="E15" s="27">
        <v>45.98</v>
      </c>
      <c r="F15" s="28">
        <f>F13</f>
        <v>0.7063021179991229</v>
      </c>
      <c r="G15" s="29">
        <f>I15/E15</f>
        <v>782.94910830796005</v>
      </c>
      <c r="H15" s="26">
        <f>(I15/E15)*D15</f>
        <v>187907.78599391042</v>
      </c>
      <c r="I15" s="30">
        <v>36000</v>
      </c>
      <c r="J15" s="33"/>
      <c r="K15" s="32">
        <f>J15/D15</f>
        <v>0</v>
      </c>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row>
    <row r="16" spans="1:59" s="34" customFormat="1" ht="24.75" customHeight="1">
      <c r="A16" s="23">
        <v>73005</v>
      </c>
      <c r="B16" s="24" t="s">
        <v>28</v>
      </c>
      <c r="C16" s="25" t="s">
        <v>25</v>
      </c>
      <c r="D16" s="26">
        <v>159</v>
      </c>
      <c r="E16" s="27">
        <v>30.64</v>
      </c>
      <c r="F16" s="28">
        <f>F13</f>
        <v>0.7063021179991229</v>
      </c>
      <c r="G16" s="29">
        <f t="shared" ref="G16:G22" si="0">I16/E16</f>
        <v>1174.9347258485639</v>
      </c>
      <c r="H16" s="26">
        <f t="shared" ref="H16:H22" si="1">(I16/E16)*D16</f>
        <v>186814.62140992164</v>
      </c>
      <c r="I16" s="30">
        <v>36000</v>
      </c>
      <c r="J16" s="33"/>
      <c r="K16" s="32">
        <f t="shared" ref="K16:K22" si="2">J16/D16</f>
        <v>0</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row>
    <row r="17" spans="1:59" s="34" customFormat="1" ht="24.75" customHeight="1">
      <c r="A17" s="23">
        <v>72001</v>
      </c>
      <c r="B17" s="24" t="s">
        <v>29</v>
      </c>
      <c r="C17" s="25" t="s">
        <v>25</v>
      </c>
      <c r="D17" s="26">
        <v>176</v>
      </c>
      <c r="E17" s="27">
        <v>34.65</v>
      </c>
      <c r="F17" s="28">
        <f>F13</f>
        <v>0.7063021179991229</v>
      </c>
      <c r="G17" s="29">
        <f t="shared" si="0"/>
        <v>1038.9610389610391</v>
      </c>
      <c r="H17" s="26">
        <f t="shared" si="1"/>
        <v>182857.14285714287</v>
      </c>
      <c r="I17" s="30">
        <v>36000</v>
      </c>
      <c r="J17" s="33"/>
      <c r="K17" s="32">
        <f t="shared" si="2"/>
        <v>0</v>
      </c>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row>
    <row r="18" spans="1:59" s="34" customFormat="1" ht="24.75" customHeight="1">
      <c r="A18" s="23">
        <v>72003</v>
      </c>
      <c r="B18" s="24" t="s">
        <v>30</v>
      </c>
      <c r="C18" s="25" t="s">
        <v>25</v>
      </c>
      <c r="D18" s="26">
        <v>176</v>
      </c>
      <c r="E18" s="27">
        <v>34.65</v>
      </c>
      <c r="F18" s="28">
        <f>F13</f>
        <v>0.7063021179991229</v>
      </c>
      <c r="G18" s="29">
        <f t="shared" si="0"/>
        <v>1038.9610389610391</v>
      </c>
      <c r="H18" s="26">
        <f t="shared" si="1"/>
        <v>182857.14285714287</v>
      </c>
      <c r="I18" s="30">
        <v>36000</v>
      </c>
      <c r="J18" s="33"/>
      <c r="K18" s="32">
        <f t="shared" si="2"/>
        <v>0</v>
      </c>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row>
    <row r="19" spans="1:59" s="34" customFormat="1" ht="24.75" customHeight="1">
      <c r="A19" s="23">
        <v>72005</v>
      </c>
      <c r="B19" s="24" t="s">
        <v>31</v>
      </c>
      <c r="C19" s="25" t="s">
        <v>25</v>
      </c>
      <c r="D19" s="26">
        <v>176</v>
      </c>
      <c r="E19" s="27">
        <v>34.65</v>
      </c>
      <c r="F19" s="28">
        <f>F13</f>
        <v>0.7063021179991229</v>
      </c>
      <c r="G19" s="29">
        <f t="shared" si="0"/>
        <v>1038.9610389610391</v>
      </c>
      <c r="H19" s="26">
        <f t="shared" si="1"/>
        <v>182857.14285714287</v>
      </c>
      <c r="I19" s="30">
        <v>36000</v>
      </c>
      <c r="J19" s="33"/>
      <c r="K19" s="32">
        <f t="shared" si="2"/>
        <v>0</v>
      </c>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row>
    <row r="20" spans="1:59" s="34" customFormat="1" ht="24.75" customHeight="1">
      <c r="A20" s="23">
        <v>80001</v>
      </c>
      <c r="B20" s="24" t="s">
        <v>32</v>
      </c>
      <c r="C20" s="25" t="s">
        <v>25</v>
      </c>
      <c r="D20" s="26">
        <v>104</v>
      </c>
      <c r="E20" s="27">
        <v>20.079999999999998</v>
      </c>
      <c r="F20" s="28">
        <f>F13</f>
        <v>0.7063021179991229</v>
      </c>
      <c r="G20" s="29">
        <f t="shared" si="0"/>
        <v>1792.8286852589642</v>
      </c>
      <c r="H20" s="26">
        <f t="shared" si="1"/>
        <v>186454.18326693229</v>
      </c>
      <c r="I20" s="30">
        <v>36000</v>
      </c>
      <c r="J20" s="33"/>
      <c r="K20" s="32">
        <f t="shared" si="2"/>
        <v>0</v>
      </c>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row>
    <row r="21" spans="1:59" s="34" customFormat="1" ht="45" customHeight="1">
      <c r="A21" s="23">
        <v>78001</v>
      </c>
      <c r="B21" s="24" t="s">
        <v>33</v>
      </c>
      <c r="C21" s="25" t="s">
        <v>34</v>
      </c>
      <c r="D21" s="26">
        <v>142</v>
      </c>
      <c r="E21" s="27">
        <v>8.89</v>
      </c>
      <c r="F21" s="28">
        <v>0.54139999999999999</v>
      </c>
      <c r="G21" s="29">
        <f t="shared" si="0"/>
        <v>4049.4938132733405</v>
      </c>
      <c r="H21" s="26">
        <f t="shared" si="1"/>
        <v>575028.12148481433</v>
      </c>
      <c r="I21" s="30">
        <v>36000</v>
      </c>
      <c r="J21" s="33"/>
      <c r="K21" s="32">
        <f t="shared" si="2"/>
        <v>0</v>
      </c>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row>
    <row r="22" spans="1:59" s="34" customFormat="1" ht="54.75" customHeight="1">
      <c r="A22" s="23">
        <v>78003</v>
      </c>
      <c r="B22" s="24" t="s">
        <v>35</v>
      </c>
      <c r="C22" s="25" t="s">
        <v>34</v>
      </c>
      <c r="D22" s="26">
        <v>180</v>
      </c>
      <c r="E22" s="27">
        <v>10.32</v>
      </c>
      <c r="F22" s="28">
        <f>F21</f>
        <v>0.54139999999999999</v>
      </c>
      <c r="G22" s="29">
        <f t="shared" si="0"/>
        <v>3488.3720930232557</v>
      </c>
      <c r="H22" s="26">
        <f t="shared" si="1"/>
        <v>627906.97674418602</v>
      </c>
      <c r="I22" s="30">
        <v>36000</v>
      </c>
      <c r="J22" s="33"/>
      <c r="K22" s="32">
        <f t="shared" si="2"/>
        <v>0</v>
      </c>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row>
    <row r="23" spans="1:59" s="34" customFormat="1" ht="24.75" customHeight="1">
      <c r="A23" s="23">
        <v>78002</v>
      </c>
      <c r="B23" s="24" t="s">
        <v>36</v>
      </c>
      <c r="C23" s="25" t="s">
        <v>37</v>
      </c>
      <c r="D23" s="26">
        <v>187</v>
      </c>
      <c r="E23" s="27">
        <v>13.3</v>
      </c>
      <c r="F23" s="28">
        <v>0.35260000000000002</v>
      </c>
      <c r="G23" s="29">
        <f>I23/E23</f>
        <v>3157.894736842105</v>
      </c>
      <c r="H23" s="26">
        <f>(I23/E23)*D23</f>
        <v>590526.31578947359</v>
      </c>
      <c r="I23" s="30">
        <v>42000</v>
      </c>
      <c r="J23" s="35"/>
      <c r="K23" s="32">
        <f>J23/D23</f>
        <v>0</v>
      </c>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row>
    <row r="24" spans="1:59" s="34" customFormat="1" ht="24.75" customHeight="1">
      <c r="A24" s="23">
        <v>22001</v>
      </c>
      <c r="B24" s="24" t="s">
        <v>38</v>
      </c>
      <c r="C24" s="25" t="s">
        <v>39</v>
      </c>
      <c r="D24" s="26">
        <v>160</v>
      </c>
      <c r="E24" s="27">
        <v>11.3</v>
      </c>
      <c r="F24" s="28">
        <v>0.214</v>
      </c>
      <c r="G24" s="29">
        <f>I24/E24</f>
        <v>3861.2389380530972</v>
      </c>
      <c r="H24" s="26">
        <v>617798.23008849553</v>
      </c>
      <c r="I24" s="30">
        <v>43632</v>
      </c>
      <c r="J24" s="35"/>
      <c r="K24" s="32">
        <f>J24/D24</f>
        <v>0</v>
      </c>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row>
    <row r="25" spans="1:59" s="34" customFormat="1" ht="24.75" customHeight="1" thickBot="1">
      <c r="A25" s="23">
        <v>22101</v>
      </c>
      <c r="B25" s="24" t="s">
        <v>40</v>
      </c>
      <c r="C25" s="25" t="s">
        <v>39</v>
      </c>
      <c r="D25" s="26">
        <v>134</v>
      </c>
      <c r="E25" s="27">
        <v>8.4700000000000006</v>
      </c>
      <c r="F25" s="28">
        <v>0.214</v>
      </c>
      <c r="G25" s="29">
        <f>I25/E25</f>
        <v>5151.3577331759143</v>
      </c>
      <c r="H25" s="26">
        <v>690281.93624557252</v>
      </c>
      <c r="I25" s="30">
        <v>43632</v>
      </c>
      <c r="J25" s="36"/>
      <c r="K25" s="32">
        <f>J25/D25</f>
        <v>0</v>
      </c>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row>
    <row r="26" spans="1:59" s="34" customFormat="1" ht="22.5" customHeight="1">
      <c r="A26" s="37"/>
      <c r="B26" s="37"/>
      <c r="C26" s="37"/>
      <c r="D26" s="37"/>
      <c r="E26" s="37"/>
      <c r="F26" s="37"/>
      <c r="G26" s="37"/>
      <c r="H26" s="37"/>
      <c r="I26" s="37"/>
      <c r="J26" s="12"/>
      <c r="K26" s="12"/>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row>
    <row r="27" spans="1:59" ht="53.25" customHeight="1" thickBot="1">
      <c r="A27" s="38" t="s">
        <v>8</v>
      </c>
      <c r="B27" s="38" t="s">
        <v>14</v>
      </c>
      <c r="C27" s="19" t="s">
        <v>15</v>
      </c>
      <c r="D27" s="39" t="s">
        <v>41</v>
      </c>
      <c r="E27" s="39" t="s">
        <v>42</v>
      </c>
      <c r="F27" s="38" t="s">
        <v>43</v>
      </c>
      <c r="G27" s="38" t="s">
        <v>44</v>
      </c>
      <c r="H27" s="38" t="s">
        <v>45</v>
      </c>
      <c r="I27" s="38" t="s">
        <v>46</v>
      </c>
      <c r="J27" s="12"/>
      <c r="K27" s="12"/>
    </row>
    <row r="28" spans="1:59" ht="24" customHeight="1">
      <c r="A28" s="40">
        <v>73001</v>
      </c>
      <c r="B28" s="41" t="s">
        <v>24</v>
      </c>
      <c r="C28" s="42" t="s">
        <v>25</v>
      </c>
      <c r="D28" s="43"/>
      <c r="E28" s="44"/>
      <c r="F28" s="45">
        <f>D28*E28</f>
        <v>0</v>
      </c>
      <c r="G28" s="46">
        <f>F28/D13</f>
        <v>0</v>
      </c>
      <c r="H28" s="47">
        <f t="shared" ref="H28:I39" si="3">G28*E13</f>
        <v>0</v>
      </c>
      <c r="I28" s="48">
        <f t="shared" si="3"/>
        <v>0</v>
      </c>
      <c r="J28" s="12"/>
      <c r="K28" s="12"/>
    </row>
    <row r="29" spans="1:59" s="34" customFormat="1" ht="24" customHeight="1">
      <c r="A29" s="40">
        <v>73002</v>
      </c>
      <c r="B29" s="41" t="s">
        <v>26</v>
      </c>
      <c r="C29" s="42" t="s">
        <v>25</v>
      </c>
      <c r="D29" s="49"/>
      <c r="E29" s="50"/>
      <c r="F29" s="45">
        <f>D29*E29</f>
        <v>0</v>
      </c>
      <c r="G29" s="46">
        <f>F29/D14</f>
        <v>0</v>
      </c>
      <c r="H29" s="47">
        <f t="shared" si="3"/>
        <v>0</v>
      </c>
      <c r="I29" s="48">
        <f t="shared" si="3"/>
        <v>0</v>
      </c>
      <c r="J29" s="12"/>
      <c r="K29" s="12"/>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row>
    <row r="30" spans="1:59" s="34" customFormat="1" ht="24" customHeight="1">
      <c r="A30" s="40">
        <v>73003</v>
      </c>
      <c r="B30" s="41" t="s">
        <v>27</v>
      </c>
      <c r="C30" s="42" t="s">
        <v>25</v>
      </c>
      <c r="D30" s="49"/>
      <c r="E30" s="50"/>
      <c r="F30" s="45">
        <f>D30*E30</f>
        <v>0</v>
      </c>
      <c r="G30" s="46">
        <f>F30/D15</f>
        <v>0</v>
      </c>
      <c r="H30" s="47">
        <f t="shared" si="3"/>
        <v>0</v>
      </c>
      <c r="I30" s="48">
        <f t="shared" si="3"/>
        <v>0</v>
      </c>
      <c r="J30" s="12"/>
      <c r="K30" s="12"/>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row>
    <row r="31" spans="1:59" s="34" customFormat="1" ht="24" customHeight="1">
      <c r="A31" s="40">
        <v>73005</v>
      </c>
      <c r="B31" s="41" t="s">
        <v>28</v>
      </c>
      <c r="C31" s="42" t="s">
        <v>25</v>
      </c>
      <c r="D31" s="49"/>
      <c r="E31" s="50"/>
      <c r="F31" s="45">
        <f t="shared" ref="F31:F39" si="4">D31*E31</f>
        <v>0</v>
      </c>
      <c r="G31" s="46">
        <f t="shared" ref="G31:G39" si="5">F31/D16</f>
        <v>0</v>
      </c>
      <c r="H31" s="47">
        <f t="shared" si="3"/>
        <v>0</v>
      </c>
      <c r="I31" s="48">
        <f t="shared" si="3"/>
        <v>0</v>
      </c>
      <c r="J31" s="12"/>
      <c r="K31" s="12"/>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row>
    <row r="32" spans="1:59" s="34" customFormat="1" ht="24" customHeight="1">
      <c r="A32" s="40">
        <v>72001</v>
      </c>
      <c r="B32" s="41" t="s">
        <v>29</v>
      </c>
      <c r="C32" s="42" t="s">
        <v>25</v>
      </c>
      <c r="D32" s="49"/>
      <c r="E32" s="50"/>
      <c r="F32" s="45">
        <f t="shared" si="4"/>
        <v>0</v>
      </c>
      <c r="G32" s="46">
        <f t="shared" si="5"/>
        <v>0</v>
      </c>
      <c r="H32" s="47">
        <f t="shared" si="3"/>
        <v>0</v>
      </c>
      <c r="I32" s="48">
        <f t="shared" si="3"/>
        <v>0</v>
      </c>
      <c r="J32" s="12"/>
      <c r="K32" s="12"/>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row>
    <row r="33" spans="1:59" s="34" customFormat="1" ht="24" customHeight="1">
      <c r="A33" s="40">
        <v>72003</v>
      </c>
      <c r="B33" s="41" t="s">
        <v>30</v>
      </c>
      <c r="C33" s="42" t="s">
        <v>25</v>
      </c>
      <c r="D33" s="49"/>
      <c r="E33" s="50"/>
      <c r="F33" s="45">
        <f t="shared" si="4"/>
        <v>0</v>
      </c>
      <c r="G33" s="46">
        <f t="shared" si="5"/>
        <v>0</v>
      </c>
      <c r="H33" s="47">
        <f t="shared" si="3"/>
        <v>0</v>
      </c>
      <c r="I33" s="48">
        <f t="shared" si="3"/>
        <v>0</v>
      </c>
      <c r="J33" s="12"/>
      <c r="K33" s="12"/>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row>
    <row r="34" spans="1:59" s="34" customFormat="1" ht="24" customHeight="1">
      <c r="A34" s="40">
        <v>72005</v>
      </c>
      <c r="B34" s="41" t="s">
        <v>31</v>
      </c>
      <c r="C34" s="42" t="s">
        <v>25</v>
      </c>
      <c r="D34" s="49"/>
      <c r="E34" s="50"/>
      <c r="F34" s="45">
        <f t="shared" si="4"/>
        <v>0</v>
      </c>
      <c r="G34" s="46">
        <f t="shared" si="5"/>
        <v>0</v>
      </c>
      <c r="H34" s="47">
        <f t="shared" si="3"/>
        <v>0</v>
      </c>
      <c r="I34" s="48">
        <f t="shared" si="3"/>
        <v>0</v>
      </c>
      <c r="J34" s="12"/>
      <c r="K34" s="12"/>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row>
    <row r="35" spans="1:59" s="34" customFormat="1" ht="24" customHeight="1">
      <c r="A35" s="40">
        <v>80001</v>
      </c>
      <c r="B35" s="41" t="s">
        <v>32</v>
      </c>
      <c r="C35" s="42" t="s">
        <v>25</v>
      </c>
      <c r="D35" s="49"/>
      <c r="E35" s="50"/>
      <c r="F35" s="45">
        <f t="shared" si="4"/>
        <v>0</v>
      </c>
      <c r="G35" s="46">
        <f t="shared" si="5"/>
        <v>0</v>
      </c>
      <c r="H35" s="47">
        <f t="shared" si="3"/>
        <v>0</v>
      </c>
      <c r="I35" s="48">
        <f t="shared" si="3"/>
        <v>0</v>
      </c>
      <c r="J35" s="12"/>
      <c r="K35" s="12"/>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row>
    <row r="36" spans="1:59" s="34" customFormat="1" ht="50.25" customHeight="1">
      <c r="A36" s="40">
        <v>78001</v>
      </c>
      <c r="B36" s="41" t="s">
        <v>33</v>
      </c>
      <c r="C36" s="42" t="s">
        <v>34</v>
      </c>
      <c r="D36" s="49"/>
      <c r="E36" s="50"/>
      <c r="F36" s="45">
        <f t="shared" si="4"/>
        <v>0</v>
      </c>
      <c r="G36" s="46">
        <f t="shared" si="5"/>
        <v>0</v>
      </c>
      <c r="H36" s="47">
        <f t="shared" si="3"/>
        <v>0</v>
      </c>
      <c r="I36" s="48">
        <f t="shared" si="3"/>
        <v>0</v>
      </c>
      <c r="J36" s="12"/>
      <c r="K36" s="12"/>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row>
    <row r="37" spans="1:59" s="34" customFormat="1" ht="51" customHeight="1">
      <c r="A37" s="40">
        <v>78003</v>
      </c>
      <c r="B37" s="41" t="s">
        <v>35</v>
      </c>
      <c r="C37" s="42" t="s">
        <v>34</v>
      </c>
      <c r="D37" s="49"/>
      <c r="E37" s="50"/>
      <c r="F37" s="45">
        <f t="shared" si="4"/>
        <v>0</v>
      </c>
      <c r="G37" s="46">
        <f t="shared" si="5"/>
        <v>0</v>
      </c>
      <c r="H37" s="47">
        <f t="shared" si="3"/>
        <v>0</v>
      </c>
      <c r="I37" s="48">
        <f t="shared" si="3"/>
        <v>0</v>
      </c>
      <c r="J37" s="12"/>
      <c r="K37" s="12"/>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row>
    <row r="38" spans="1:59" s="34" customFormat="1" ht="24" customHeight="1">
      <c r="A38" s="51">
        <v>78002</v>
      </c>
      <c r="B38" s="24" t="s">
        <v>36</v>
      </c>
      <c r="C38" s="25" t="s">
        <v>37</v>
      </c>
      <c r="D38" s="49"/>
      <c r="E38" s="50"/>
      <c r="F38" s="45">
        <f t="shared" si="4"/>
        <v>0</v>
      </c>
      <c r="G38" s="46">
        <f t="shared" si="5"/>
        <v>0</v>
      </c>
      <c r="H38" s="47">
        <f t="shared" si="3"/>
        <v>0</v>
      </c>
      <c r="I38" s="48">
        <f t="shared" si="3"/>
        <v>0</v>
      </c>
      <c r="J38" s="12"/>
      <c r="K38" s="12"/>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row>
    <row r="39" spans="1:59" s="34" customFormat="1" ht="24" customHeight="1">
      <c r="A39" s="40">
        <v>22001</v>
      </c>
      <c r="B39" s="41" t="s">
        <v>38</v>
      </c>
      <c r="C39" s="42" t="s">
        <v>39</v>
      </c>
      <c r="D39" s="49"/>
      <c r="E39" s="50"/>
      <c r="F39" s="45">
        <f t="shared" si="4"/>
        <v>0</v>
      </c>
      <c r="G39" s="46">
        <f t="shared" si="5"/>
        <v>0</v>
      </c>
      <c r="H39" s="47">
        <f t="shared" si="3"/>
        <v>0</v>
      </c>
      <c r="I39" s="48">
        <f t="shared" si="3"/>
        <v>0</v>
      </c>
      <c r="J39" s="12"/>
      <c r="K39" s="12"/>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row>
    <row r="40" spans="1:59" s="34" customFormat="1" ht="24" customHeight="1" thickBot="1">
      <c r="A40" s="40">
        <v>22101</v>
      </c>
      <c r="B40" s="41" t="s">
        <v>40</v>
      </c>
      <c r="C40" s="42" t="s">
        <v>39</v>
      </c>
      <c r="D40" s="52"/>
      <c r="E40" s="53"/>
      <c r="F40" s="45">
        <f>D40*E40</f>
        <v>0</v>
      </c>
      <c r="G40" s="46">
        <f>F40/D25</f>
        <v>0</v>
      </c>
      <c r="H40" s="47">
        <f>G40*E25</f>
        <v>0</v>
      </c>
      <c r="I40" s="48">
        <f>H40*F25</f>
        <v>0</v>
      </c>
      <c r="J40" s="12"/>
      <c r="K40" s="12"/>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row>
    <row r="41" spans="1:59" s="34" customFormat="1">
      <c r="A41" s="54"/>
      <c r="B41" s="54"/>
      <c r="C41" s="54"/>
      <c r="D41" s="54"/>
      <c r="E41" s="54"/>
      <c r="F41" s="54"/>
      <c r="G41" s="54"/>
      <c r="H41" s="54"/>
      <c r="I41" s="54"/>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row>
    <row r="42" spans="1:59" s="58" customFormat="1" ht="47.25">
      <c r="A42" s="101" t="s">
        <v>47</v>
      </c>
      <c r="B42" s="102"/>
      <c r="C42" s="19" t="s">
        <v>15</v>
      </c>
      <c r="D42" s="55" t="s">
        <v>48</v>
      </c>
      <c r="E42" s="56" t="s">
        <v>49</v>
      </c>
      <c r="F42" s="57"/>
      <c r="G42" s="57"/>
      <c r="H42" s="57"/>
      <c r="I42" s="57"/>
      <c r="J42" s="13"/>
      <c r="K42" s="13"/>
      <c r="L42" s="13"/>
      <c r="M42" s="13"/>
      <c r="N42" s="13"/>
      <c r="O42" s="13"/>
      <c r="P42" s="13"/>
      <c r="Q42" s="13"/>
      <c r="R42" s="13"/>
    </row>
    <row r="43" spans="1:59" s="13" customFormat="1" ht="23.25" customHeight="1">
      <c r="A43" s="103" t="s">
        <v>50</v>
      </c>
      <c r="B43" s="104"/>
      <c r="C43" s="25" t="s">
        <v>25</v>
      </c>
      <c r="D43" s="59">
        <f>SUM(H28:H35)</f>
        <v>0</v>
      </c>
      <c r="E43" s="60">
        <f>SUM(I28:I35)</f>
        <v>0</v>
      </c>
      <c r="F43" s="57"/>
      <c r="G43" s="57"/>
      <c r="H43" s="57"/>
      <c r="I43" s="57"/>
    </row>
    <row r="44" spans="1:59" s="13" customFormat="1" ht="48" customHeight="1">
      <c r="A44" s="103" t="s">
        <v>51</v>
      </c>
      <c r="B44" s="104"/>
      <c r="C44" s="42" t="s">
        <v>34</v>
      </c>
      <c r="D44" s="59">
        <f>SUM(H36:H37)</f>
        <v>0</v>
      </c>
      <c r="E44" s="61">
        <f>SUM(I36:I37)</f>
        <v>0</v>
      </c>
      <c r="F44" s="57"/>
      <c r="G44" s="57"/>
      <c r="H44" s="57"/>
      <c r="I44" s="57"/>
    </row>
    <row r="45" spans="1:59" s="13" customFormat="1" ht="23.25" customHeight="1">
      <c r="A45" s="105" t="s">
        <v>52</v>
      </c>
      <c r="B45" s="106"/>
      <c r="C45" s="25" t="s">
        <v>37</v>
      </c>
      <c r="D45" s="59">
        <f>H38</f>
        <v>0</v>
      </c>
      <c r="E45" s="61">
        <f>I38</f>
        <v>0</v>
      </c>
      <c r="F45" s="57"/>
      <c r="G45" s="57"/>
      <c r="H45" s="57"/>
      <c r="I45" s="57"/>
    </row>
    <row r="46" spans="1:59" s="13" customFormat="1" ht="23.25" customHeight="1">
      <c r="A46" s="103" t="s">
        <v>53</v>
      </c>
      <c r="B46" s="104"/>
      <c r="C46" s="25" t="s">
        <v>54</v>
      </c>
      <c r="D46" s="59">
        <f>SUM(H39:H40)</f>
        <v>0</v>
      </c>
      <c r="E46" s="61">
        <f>I39+I40</f>
        <v>0</v>
      </c>
      <c r="F46" s="57"/>
      <c r="G46" s="57"/>
      <c r="H46" s="57"/>
      <c r="I46" s="57"/>
    </row>
    <row r="47" spans="1:59" s="13" customFormat="1">
      <c r="A47" s="62"/>
      <c r="B47" s="63"/>
      <c r="C47" s="64"/>
      <c r="D47" s="65"/>
      <c r="E47" s="66"/>
      <c r="F47" s="64"/>
      <c r="G47" s="64"/>
      <c r="H47" s="64"/>
      <c r="I47" s="64"/>
    </row>
    <row r="48" spans="1:59" s="13" customFormat="1" ht="28.5" customHeight="1">
      <c r="A48" s="67" t="s">
        <v>55</v>
      </c>
      <c r="B48" s="68"/>
      <c r="C48" s="69"/>
      <c r="D48" s="70"/>
      <c r="E48" s="71">
        <f>SUM(E43:E46)</f>
        <v>0</v>
      </c>
      <c r="F48" s="64"/>
      <c r="G48" s="64"/>
      <c r="H48" s="64"/>
      <c r="I48" s="64"/>
    </row>
    <row r="49" spans="1:59" s="13" customFormat="1">
      <c r="A49" s="62"/>
      <c r="B49" s="63"/>
      <c r="C49" s="64"/>
      <c r="D49" s="65"/>
      <c r="E49" s="66"/>
      <c r="F49" s="64"/>
      <c r="G49" s="64"/>
      <c r="H49" s="64"/>
      <c r="I49" s="64"/>
    </row>
    <row r="50" spans="1:59" s="13" customFormat="1" ht="29.25" customHeight="1">
      <c r="A50" s="93" t="s">
        <v>56</v>
      </c>
      <c r="B50" s="93"/>
      <c r="C50" s="94"/>
      <c r="D50" s="94"/>
      <c r="E50" s="94"/>
      <c r="F50" s="94"/>
      <c r="G50" s="94"/>
      <c r="H50" s="94"/>
      <c r="I50" s="94"/>
    </row>
    <row r="51" spans="1:59" s="13" customFormat="1" ht="29.25" customHeight="1">
      <c r="A51" s="93" t="s">
        <v>57</v>
      </c>
      <c r="B51" s="93"/>
      <c r="C51" s="94"/>
      <c r="D51" s="94"/>
      <c r="E51" s="94"/>
      <c r="F51" s="94"/>
      <c r="G51" s="94"/>
      <c r="H51" s="94"/>
      <c r="I51" s="94"/>
    </row>
    <row r="52" spans="1:59" s="13" customFormat="1" ht="29.25" customHeight="1">
      <c r="A52" s="93" t="s">
        <v>58</v>
      </c>
      <c r="B52" s="93"/>
      <c r="C52" s="95"/>
      <c r="D52" s="95"/>
      <c r="E52" s="95"/>
      <c r="F52" s="95"/>
      <c r="G52" s="95"/>
      <c r="H52" s="95"/>
      <c r="I52" s="95"/>
    </row>
    <row r="53" spans="1:59" s="13" customFormat="1" ht="29.25" customHeight="1">
      <c r="A53" s="93" t="s">
        <v>59</v>
      </c>
      <c r="B53" s="93"/>
      <c r="C53" s="94"/>
      <c r="D53" s="94"/>
      <c r="E53" s="94"/>
      <c r="F53" s="94"/>
      <c r="G53" s="94"/>
      <c r="H53" s="94"/>
      <c r="I53" s="94"/>
    </row>
    <row r="54" spans="1:59" s="13" customFormat="1">
      <c r="A54" s="62"/>
      <c r="B54" s="63"/>
      <c r="C54" s="64"/>
      <c r="D54" s="65"/>
      <c r="E54" s="66"/>
      <c r="F54" s="64"/>
      <c r="G54" s="64"/>
      <c r="H54" s="64"/>
      <c r="I54" s="64"/>
    </row>
    <row r="55" spans="1:59" s="13" customFormat="1">
      <c r="A55" s="62"/>
      <c r="B55" s="63"/>
      <c r="C55" s="64"/>
      <c r="D55" s="65"/>
      <c r="E55" s="66"/>
      <c r="F55" s="64"/>
      <c r="G55" s="64"/>
      <c r="H55" s="64"/>
      <c r="I55" s="64"/>
    </row>
    <row r="56" spans="1:59" s="34" customFormat="1" ht="30" customHeight="1">
      <c r="A56" s="90" t="s">
        <v>60</v>
      </c>
      <c r="B56" s="91"/>
      <c r="C56" s="91"/>
      <c r="D56" s="91"/>
      <c r="E56" s="92"/>
      <c r="F56" s="92"/>
      <c r="G56" s="92"/>
      <c r="H56" s="92"/>
      <c r="I56" s="92"/>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row>
    <row r="57" spans="1:59" s="34" customFormat="1">
      <c r="A57" s="54"/>
      <c r="B57" s="54"/>
      <c r="C57" s="54"/>
      <c r="D57" s="54"/>
      <c r="E57" s="54"/>
      <c r="F57" s="72"/>
      <c r="G57" s="72"/>
      <c r="H57" s="72"/>
      <c r="I57" s="72"/>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row>
    <row r="58" spans="1:59" s="34" customFormat="1">
      <c r="A58" s="54"/>
      <c r="B58" s="54"/>
      <c r="C58" s="54"/>
      <c r="D58" s="54"/>
      <c r="E58" s="54"/>
      <c r="F58" s="73"/>
      <c r="G58" s="73"/>
      <c r="H58" s="73"/>
      <c r="I58" s="7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row>
    <row r="59" spans="1:59" s="34" customFormat="1">
      <c r="A59" s="54"/>
      <c r="B59" s="54"/>
      <c r="C59" s="54"/>
      <c r="D59" s="54"/>
      <c r="E59" s="54"/>
      <c r="F59" s="54"/>
      <c r="G59" s="54"/>
      <c r="H59" s="54"/>
      <c r="I59" s="54"/>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row>
    <row r="60" spans="1:59" s="34" customFormat="1">
      <c r="A60" s="54"/>
      <c r="B60" s="54"/>
      <c r="C60" s="54"/>
      <c r="D60" s="54"/>
      <c r="E60" s="54"/>
      <c r="F60" s="54"/>
      <c r="G60" s="54"/>
      <c r="H60" s="54"/>
      <c r="I60" s="54"/>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row>
    <row r="61" spans="1:59" s="34" customFormat="1">
      <c r="A61" s="54"/>
      <c r="B61" s="54"/>
      <c r="C61" s="54"/>
      <c r="D61" s="54"/>
      <c r="E61" s="54"/>
      <c r="F61" s="54"/>
      <c r="G61" s="54"/>
      <c r="H61" s="54"/>
      <c r="I61" s="54"/>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row>
    <row r="62" spans="1:59" s="34" customFormat="1">
      <c r="A62" s="54"/>
      <c r="B62" s="54"/>
      <c r="C62" s="54"/>
      <c r="D62" s="54"/>
      <c r="E62" s="54"/>
      <c r="F62" s="54"/>
      <c r="G62" s="54"/>
      <c r="H62" s="54"/>
      <c r="I62" s="54"/>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row>
    <row r="63" spans="1:59" s="34" customFormat="1">
      <c r="A63" s="54"/>
      <c r="B63" s="54"/>
      <c r="C63" s="54"/>
      <c r="D63" s="54"/>
      <c r="E63" s="54"/>
      <c r="F63" s="54"/>
      <c r="G63" s="54"/>
      <c r="H63" s="54"/>
      <c r="I63" s="54"/>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row>
    <row r="64" spans="1:59" s="34" customFormat="1">
      <c r="A64" s="54"/>
      <c r="B64" s="54"/>
      <c r="C64" s="54"/>
      <c r="D64" s="54"/>
      <c r="E64" s="54"/>
      <c r="F64" s="54"/>
      <c r="G64" s="54"/>
      <c r="H64" s="54"/>
      <c r="I64" s="54"/>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row>
    <row r="65" spans="1:59" s="34" customFormat="1">
      <c r="A65" s="54"/>
      <c r="B65" s="54"/>
      <c r="C65" s="54"/>
      <c r="D65" s="54"/>
      <c r="E65" s="54"/>
      <c r="F65" s="54"/>
      <c r="G65" s="54"/>
      <c r="H65" s="54"/>
      <c r="I65" s="54"/>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row>
    <row r="66" spans="1:59" s="34" customFormat="1">
      <c r="A66" s="54"/>
      <c r="B66" s="54"/>
      <c r="C66" s="54"/>
      <c r="D66" s="54"/>
      <c r="E66" s="54"/>
      <c r="F66" s="54"/>
      <c r="G66" s="54"/>
      <c r="H66" s="54"/>
      <c r="I66" s="54"/>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row>
    <row r="67" spans="1:59" s="34" customFormat="1">
      <c r="A67" s="54"/>
      <c r="B67" s="54"/>
      <c r="C67" s="54"/>
      <c r="D67" s="54"/>
      <c r="E67" s="54"/>
      <c r="F67" s="54"/>
      <c r="G67" s="54"/>
      <c r="H67" s="54"/>
      <c r="I67" s="54"/>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row>
    <row r="68" spans="1:59" s="34" customFormat="1">
      <c r="A68" s="54"/>
      <c r="B68" s="54"/>
      <c r="C68" s="54"/>
      <c r="D68" s="54"/>
      <c r="E68" s="54"/>
      <c r="F68" s="54"/>
      <c r="G68" s="54"/>
      <c r="H68" s="54"/>
      <c r="I68" s="54"/>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row>
    <row r="69" spans="1:59" s="34" customFormat="1">
      <c r="A69" s="54"/>
      <c r="B69" s="54"/>
      <c r="C69" s="54"/>
      <c r="D69" s="54"/>
      <c r="E69" s="54"/>
      <c r="F69" s="54"/>
      <c r="G69" s="54"/>
      <c r="H69" s="54"/>
      <c r="I69" s="54"/>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row>
    <row r="70" spans="1:59" s="34" customFormat="1">
      <c r="A70" s="54"/>
      <c r="B70" s="54"/>
      <c r="C70" s="54"/>
      <c r="D70" s="54"/>
      <c r="E70" s="54"/>
      <c r="F70" s="54"/>
      <c r="G70" s="54"/>
      <c r="H70" s="54"/>
      <c r="I70" s="54"/>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row>
    <row r="71" spans="1:59" s="34" customFormat="1">
      <c r="A71" s="54"/>
      <c r="B71" s="54"/>
      <c r="C71" s="54"/>
      <c r="D71" s="54"/>
      <c r="E71" s="54"/>
      <c r="F71" s="54"/>
      <c r="G71" s="54"/>
      <c r="H71" s="54"/>
      <c r="I71" s="54"/>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row>
    <row r="72" spans="1:59" s="34" customFormat="1">
      <c r="A72" s="54"/>
      <c r="B72" s="54"/>
      <c r="C72" s="54"/>
      <c r="D72" s="54"/>
      <c r="E72" s="54"/>
      <c r="F72" s="54"/>
      <c r="G72" s="54"/>
      <c r="H72" s="54"/>
      <c r="I72" s="54"/>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row>
    <row r="73" spans="1:59" s="34" customFormat="1">
      <c r="A73" s="54"/>
      <c r="B73" s="54"/>
      <c r="C73" s="54"/>
      <c r="D73" s="54"/>
      <c r="E73" s="54"/>
      <c r="F73" s="54"/>
      <c r="G73" s="54"/>
      <c r="H73" s="54"/>
      <c r="I73" s="54"/>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row>
    <row r="74" spans="1:59" s="34" customFormat="1">
      <c r="A74" s="54"/>
      <c r="B74" s="54"/>
      <c r="C74" s="54"/>
      <c r="D74" s="54"/>
      <c r="E74" s="54"/>
      <c r="F74" s="54"/>
      <c r="G74" s="54"/>
      <c r="H74" s="54"/>
      <c r="I74" s="54"/>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row>
    <row r="75" spans="1:59" s="34" customFormat="1">
      <c r="A75" s="54"/>
      <c r="B75" s="54"/>
      <c r="C75" s="54"/>
      <c r="D75" s="54"/>
      <c r="E75" s="54"/>
      <c r="F75" s="54"/>
      <c r="G75" s="54"/>
      <c r="H75" s="54"/>
      <c r="I75" s="54"/>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row>
    <row r="76" spans="1:59" s="34" customFormat="1">
      <c r="A76" s="54"/>
      <c r="B76" s="54"/>
      <c r="C76" s="54"/>
      <c r="D76" s="54"/>
      <c r="E76" s="54"/>
      <c r="F76" s="54"/>
      <c r="G76" s="54"/>
      <c r="H76" s="54"/>
      <c r="I76" s="54"/>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row>
    <row r="77" spans="1:59" s="34" customFormat="1">
      <c r="A77" s="54"/>
      <c r="B77" s="54"/>
      <c r="C77" s="54"/>
      <c r="D77" s="54"/>
      <c r="E77" s="54"/>
      <c r="F77" s="54"/>
      <c r="G77" s="54"/>
      <c r="H77" s="54"/>
      <c r="I77" s="54"/>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row>
    <row r="78" spans="1:59" s="34" customFormat="1">
      <c r="A78" s="54"/>
      <c r="H78" s="54"/>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row>
    <row r="79" spans="1:59" s="34" customFormat="1">
      <c r="A79" s="54"/>
      <c r="H79" s="54"/>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row>
    <row r="80" spans="1:59" s="34" customFormat="1">
      <c r="A80" s="54"/>
      <c r="H80" s="54"/>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row>
    <row r="81" spans="1:59" s="34" customFormat="1">
      <c r="A81" s="54"/>
      <c r="H81" s="54"/>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row>
    <row r="82" spans="1:59" s="34" customFormat="1">
      <c r="A82" s="54"/>
      <c r="H82" s="54"/>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row>
    <row r="83" spans="1:59" s="34" customFormat="1">
      <c r="A83" s="54"/>
      <c r="H83" s="54"/>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row>
    <row r="84" spans="1:59" s="34" customFormat="1">
      <c r="A84" s="54"/>
      <c r="H84" s="54"/>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row>
    <row r="85" spans="1:59" s="34" customFormat="1">
      <c r="A85" s="54"/>
      <c r="H85" s="54"/>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row>
    <row r="86" spans="1:59" s="34" customFormat="1">
      <c r="A86" s="54"/>
      <c r="H86" s="54"/>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row>
    <row r="87" spans="1:59" s="34" customFormat="1">
      <c r="A87" s="54"/>
      <c r="H87" s="54"/>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row>
    <row r="88" spans="1:59" s="34" customFormat="1">
      <c r="A88" s="54"/>
      <c r="H88" s="54"/>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row>
    <row r="89" spans="1:59" s="34" customFormat="1">
      <c r="A89" s="54"/>
      <c r="H89" s="54"/>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row>
    <row r="90" spans="1:59" s="34" customFormat="1">
      <c r="A90" s="54"/>
      <c r="H90" s="54"/>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row>
    <row r="91" spans="1:59" s="34" customFormat="1">
      <c r="A91" s="54"/>
      <c r="H91" s="54"/>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row>
    <row r="92" spans="1:59" s="34" customFormat="1">
      <c r="A92" s="54"/>
      <c r="H92" s="54"/>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row>
    <row r="93" spans="1:59" s="34" customFormat="1">
      <c r="A93" s="54"/>
      <c r="H93" s="54"/>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row>
    <row r="94" spans="1:59" s="34" customFormat="1">
      <c r="A94" s="54"/>
      <c r="H94" s="54"/>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row>
    <row r="95" spans="1:59" s="34" customFormat="1">
      <c r="A95" s="54"/>
      <c r="H95" s="54"/>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row>
    <row r="96" spans="1:59" s="34" customFormat="1">
      <c r="A96" s="54"/>
      <c r="H96" s="54"/>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row>
    <row r="97" spans="1:59" s="34" customFormat="1">
      <c r="A97" s="54"/>
      <c r="H97" s="54"/>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row>
    <row r="98" spans="1:59" s="34" customFormat="1">
      <c r="A98" s="54"/>
      <c r="H98" s="54"/>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row>
    <row r="99" spans="1:59" s="34" customFormat="1">
      <c r="A99" s="54"/>
      <c r="H99" s="54"/>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row>
    <row r="100" spans="1:59" s="34" customFormat="1">
      <c r="A100" s="54"/>
      <c r="H100" s="54"/>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row>
    <row r="101" spans="1:59" s="34" customFormat="1">
      <c r="A101" s="54"/>
      <c r="H101" s="54"/>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row>
    <row r="102" spans="1:59" s="34" customFormat="1">
      <c r="A102" s="54"/>
      <c r="H102" s="54"/>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row>
    <row r="103" spans="1:59" s="34" customFormat="1">
      <c r="A103" s="54"/>
      <c r="H103" s="54"/>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row>
    <row r="104" spans="1:59" s="34" customFormat="1">
      <c r="A104" s="54"/>
      <c r="H104" s="54"/>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row>
    <row r="105" spans="1:59" s="34" customFormat="1">
      <c r="A105" s="54"/>
      <c r="H105" s="54"/>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row>
    <row r="106" spans="1:59" s="34" customFormat="1">
      <c r="A106" s="54"/>
      <c r="H106" s="54"/>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row>
    <row r="107" spans="1:59" s="34" customFormat="1">
      <c r="A107" s="54"/>
      <c r="H107" s="54"/>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row>
    <row r="108" spans="1:59" s="34" customFormat="1">
      <c r="A108" s="54"/>
      <c r="H108" s="54"/>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row>
    <row r="109" spans="1:59" s="34" customFormat="1">
      <c r="A109" s="54"/>
      <c r="H109" s="54"/>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row>
    <row r="110" spans="1:59" s="34" customFormat="1">
      <c r="A110" s="54"/>
      <c r="H110" s="54"/>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row>
    <row r="111" spans="1:59" s="34" customFormat="1">
      <c r="A111" s="54"/>
      <c r="H111" s="54"/>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row>
    <row r="112" spans="1:59" s="34" customFormat="1">
      <c r="A112" s="54"/>
      <c r="H112" s="54"/>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row>
    <row r="113" spans="1:59" s="34" customFormat="1">
      <c r="A113" s="54"/>
      <c r="H113" s="54"/>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row>
    <row r="114" spans="1:59" s="34" customFormat="1">
      <c r="A114" s="54"/>
      <c r="H114" s="54"/>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row>
    <row r="115" spans="1:59" s="34" customFormat="1">
      <c r="A115" s="54"/>
      <c r="H115" s="54"/>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row>
    <row r="116" spans="1:59" s="34" customFormat="1">
      <c r="A116" s="54"/>
      <c r="H116" s="54"/>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row>
    <row r="117" spans="1:59" s="34" customFormat="1">
      <c r="A117" s="54"/>
      <c r="H117" s="54"/>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row>
    <row r="118" spans="1:59" s="34" customFormat="1">
      <c r="A118" s="54"/>
      <c r="H118" s="54"/>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row>
    <row r="119" spans="1:59" s="34" customFormat="1">
      <c r="A119" s="54"/>
      <c r="H119" s="54"/>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row>
    <row r="120" spans="1:59" s="34" customFormat="1">
      <c r="A120" s="54"/>
      <c r="H120" s="54"/>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row>
    <row r="121" spans="1:59" s="34" customFormat="1">
      <c r="A121" s="54"/>
      <c r="H121" s="54"/>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row>
    <row r="122" spans="1:59" s="34" customFormat="1">
      <c r="A122" s="54"/>
      <c r="H122" s="54"/>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row>
    <row r="123" spans="1:59" s="34" customFormat="1">
      <c r="A123" s="54"/>
      <c r="H123" s="54"/>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row>
    <row r="124" spans="1:59" s="34" customFormat="1">
      <c r="A124" s="54"/>
      <c r="H124" s="54"/>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row>
    <row r="125" spans="1:59" s="34" customFormat="1">
      <c r="A125" s="54"/>
      <c r="H125" s="54"/>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row>
    <row r="126" spans="1:59" s="34" customFormat="1">
      <c r="A126" s="54"/>
      <c r="H126" s="54"/>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row>
    <row r="127" spans="1:59" s="34" customFormat="1">
      <c r="A127" s="54"/>
      <c r="H127" s="54"/>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row>
    <row r="128" spans="1:59" s="34" customFormat="1">
      <c r="A128" s="54"/>
      <c r="H128" s="54"/>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row>
    <row r="129" spans="1:59" s="34" customFormat="1">
      <c r="A129" s="54"/>
      <c r="H129" s="54"/>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row>
    <row r="130" spans="1:59" s="34" customFormat="1">
      <c r="A130" s="54"/>
      <c r="H130" s="54"/>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row>
    <row r="131" spans="1:59" s="34" customFormat="1">
      <c r="A131" s="54"/>
      <c r="H131" s="54"/>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row>
    <row r="132" spans="1:59" s="34" customFormat="1">
      <c r="A132" s="54"/>
      <c r="H132" s="54"/>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row>
    <row r="133" spans="1:59" s="34" customFormat="1">
      <c r="A133" s="54"/>
      <c r="H133" s="54"/>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row>
    <row r="134" spans="1:59" s="34" customFormat="1">
      <c r="A134" s="54"/>
      <c r="H134" s="54"/>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row>
    <row r="135" spans="1:59" s="34" customFormat="1">
      <c r="A135" s="54"/>
      <c r="H135" s="54"/>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row>
    <row r="136" spans="1:59" s="34" customFormat="1">
      <c r="A136" s="54"/>
      <c r="H136" s="54"/>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row>
    <row r="137" spans="1:59" s="34" customFormat="1">
      <c r="A137" s="54"/>
      <c r="H137" s="54"/>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row>
    <row r="138" spans="1:59" s="34" customFormat="1">
      <c r="A138" s="54"/>
      <c r="H138" s="54"/>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row>
    <row r="139" spans="1:59" s="34" customFormat="1">
      <c r="A139" s="54"/>
      <c r="H139" s="54"/>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row>
    <row r="140" spans="1:59" s="34" customFormat="1">
      <c r="A140" s="54"/>
      <c r="H140" s="54"/>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row>
    <row r="141" spans="1:59" s="34" customFormat="1">
      <c r="A141" s="54"/>
      <c r="H141" s="54"/>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row>
    <row r="142" spans="1:59" s="34" customFormat="1">
      <c r="A142" s="54"/>
      <c r="H142" s="54"/>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row>
    <row r="143" spans="1:59" s="34" customFormat="1">
      <c r="A143" s="54"/>
      <c r="H143" s="54"/>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row>
    <row r="144" spans="1:59" s="34" customFormat="1">
      <c r="A144" s="54"/>
      <c r="H144" s="54"/>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row>
    <row r="145" spans="1:59" s="34" customFormat="1">
      <c r="A145" s="54"/>
      <c r="H145" s="54"/>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row>
    <row r="146" spans="1:59" s="34" customFormat="1">
      <c r="A146" s="54"/>
      <c r="H146" s="54"/>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row>
    <row r="147" spans="1:59" s="34" customFormat="1">
      <c r="A147" s="54"/>
      <c r="H147" s="54"/>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row>
    <row r="148" spans="1:59" s="34" customFormat="1">
      <c r="A148" s="54"/>
      <c r="H148" s="54"/>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row>
    <row r="149" spans="1:59" s="34" customFormat="1">
      <c r="A149" s="54"/>
      <c r="H149" s="54"/>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row>
    <row r="150" spans="1:59" s="34" customFormat="1">
      <c r="A150" s="54"/>
      <c r="H150" s="54"/>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row>
    <row r="151" spans="1:59" s="34" customFormat="1">
      <c r="A151" s="54"/>
      <c r="H151" s="54"/>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row>
    <row r="152" spans="1:59" s="34" customFormat="1">
      <c r="A152" s="54"/>
      <c r="H152" s="54"/>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row>
    <row r="153" spans="1:59" s="34" customFormat="1">
      <c r="A153" s="54"/>
      <c r="H153" s="54"/>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row>
    <row r="154" spans="1:59" s="34" customFormat="1">
      <c r="A154" s="54"/>
      <c r="H154" s="54"/>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row>
    <row r="155" spans="1:59" s="34" customFormat="1">
      <c r="A155" s="54"/>
      <c r="H155" s="54"/>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row>
    <row r="156" spans="1:59" s="34" customFormat="1">
      <c r="A156" s="54"/>
      <c r="H156" s="54"/>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row>
    <row r="157" spans="1:59" s="34" customFormat="1">
      <c r="A157" s="54"/>
      <c r="H157" s="54"/>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row>
    <row r="158" spans="1:59" s="34" customFormat="1">
      <c r="A158" s="54"/>
      <c r="H158" s="54"/>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row>
    <row r="159" spans="1:59" s="34" customFormat="1">
      <c r="A159" s="54"/>
      <c r="H159" s="54"/>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row>
    <row r="160" spans="1:59" s="34" customFormat="1">
      <c r="A160" s="54"/>
      <c r="H160" s="54"/>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row>
    <row r="161" spans="1:59" s="34" customFormat="1">
      <c r="A161" s="54"/>
      <c r="H161" s="54"/>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row>
    <row r="162" spans="1:59" s="34" customFormat="1">
      <c r="A162" s="54"/>
      <c r="H162" s="54"/>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row>
    <row r="163" spans="1:59" s="34" customFormat="1">
      <c r="A163" s="54"/>
      <c r="H163" s="54"/>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row>
    <row r="164" spans="1:59" s="34" customFormat="1">
      <c r="A164" s="54"/>
      <c r="H164" s="54"/>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row>
    <row r="165" spans="1:59" s="34" customFormat="1">
      <c r="A165" s="54"/>
      <c r="H165" s="54"/>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row>
    <row r="166" spans="1:59" s="34" customFormat="1">
      <c r="A166" s="54"/>
      <c r="H166" s="54"/>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row>
    <row r="167" spans="1:59" s="34" customFormat="1">
      <c r="A167" s="54"/>
      <c r="H167" s="54"/>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row>
    <row r="168" spans="1:59" s="34" customFormat="1">
      <c r="A168" s="54"/>
      <c r="H168" s="54"/>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row>
    <row r="169" spans="1:59" s="34" customFormat="1">
      <c r="A169" s="54"/>
      <c r="H169" s="54"/>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row>
    <row r="170" spans="1:59" s="34" customFormat="1">
      <c r="A170" s="54"/>
      <c r="H170" s="54"/>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row>
    <row r="171" spans="1:59" s="34" customFormat="1">
      <c r="A171" s="54"/>
      <c r="H171" s="54"/>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row>
    <row r="172" spans="1:59" s="34" customFormat="1">
      <c r="A172" s="54"/>
      <c r="H172" s="54"/>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row>
    <row r="173" spans="1:59" s="34" customFormat="1">
      <c r="A173" s="54"/>
      <c r="H173" s="54"/>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row>
    <row r="174" spans="1:59" s="34" customFormat="1">
      <c r="A174" s="54"/>
      <c r="H174" s="54"/>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row>
    <row r="175" spans="1:59" s="34" customFormat="1">
      <c r="A175" s="54"/>
      <c r="H175" s="54"/>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row>
    <row r="176" spans="1:59" s="34" customFormat="1">
      <c r="A176" s="54"/>
      <c r="H176" s="54"/>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row>
    <row r="177" spans="1:59" s="34" customFormat="1">
      <c r="A177" s="54"/>
      <c r="H177" s="54"/>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row>
    <row r="178" spans="1:59" s="34" customFormat="1">
      <c r="A178" s="54"/>
      <c r="H178" s="54"/>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row>
    <row r="179" spans="1:59" s="34" customFormat="1">
      <c r="A179" s="54"/>
      <c r="H179" s="54"/>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row>
    <row r="180" spans="1:59" s="34" customFormat="1">
      <c r="A180" s="54"/>
      <c r="H180" s="54"/>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row>
    <row r="181" spans="1:59" s="34" customFormat="1">
      <c r="A181" s="54"/>
      <c r="H181" s="54"/>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row>
    <row r="182" spans="1:59" s="34" customFormat="1">
      <c r="A182" s="54"/>
      <c r="H182" s="54"/>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row>
    <row r="183" spans="1:59" s="34" customFormat="1">
      <c r="A183" s="54"/>
      <c r="H183" s="54"/>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row>
    <row r="184" spans="1:59" s="34" customFormat="1">
      <c r="A184" s="54"/>
      <c r="H184" s="54"/>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row>
    <row r="185" spans="1:59" s="34" customFormat="1">
      <c r="A185" s="54"/>
      <c r="H185" s="54"/>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row>
    <row r="186" spans="1:59" s="34" customFormat="1">
      <c r="A186" s="54"/>
      <c r="H186" s="54"/>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row>
    <row r="187" spans="1:59" s="34" customFormat="1">
      <c r="A187" s="54"/>
      <c r="H187" s="54"/>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row>
    <row r="188" spans="1:59" s="34" customFormat="1">
      <c r="A188" s="54"/>
      <c r="H188" s="54"/>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row>
    <row r="189" spans="1:59" s="34" customFormat="1">
      <c r="A189" s="54"/>
      <c r="H189" s="54"/>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row>
    <row r="190" spans="1:59" s="34" customFormat="1">
      <c r="A190" s="54"/>
      <c r="H190" s="54"/>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row>
    <row r="191" spans="1:59" s="34" customFormat="1">
      <c r="A191" s="54"/>
      <c r="H191" s="54"/>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row>
    <row r="192" spans="1:59" s="34" customFormat="1">
      <c r="A192" s="54"/>
      <c r="H192" s="54"/>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row>
    <row r="193" spans="1:59" s="34" customFormat="1">
      <c r="A193" s="54"/>
      <c r="H193" s="54"/>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row>
    <row r="194" spans="1:59" s="34" customFormat="1">
      <c r="A194" s="54"/>
      <c r="H194" s="54"/>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row>
    <row r="195" spans="1:59" s="34" customFormat="1">
      <c r="A195" s="54"/>
      <c r="H195" s="54"/>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row>
    <row r="196" spans="1:59" s="34" customFormat="1">
      <c r="A196" s="54"/>
      <c r="H196" s="54"/>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row>
    <row r="197" spans="1:59" s="34" customFormat="1">
      <c r="A197" s="54"/>
      <c r="H197" s="54"/>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row>
    <row r="198" spans="1:59" s="34" customFormat="1">
      <c r="A198" s="54"/>
      <c r="H198" s="54"/>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row>
    <row r="199" spans="1:59" s="34" customFormat="1">
      <c r="A199" s="54"/>
      <c r="H199" s="54"/>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row>
    <row r="200" spans="1:59" s="34" customFormat="1">
      <c r="A200" s="54"/>
      <c r="H200" s="54"/>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row>
    <row r="201" spans="1:59" s="34" customFormat="1">
      <c r="A201" s="54"/>
      <c r="H201" s="54"/>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row>
    <row r="202" spans="1:59" s="34" customFormat="1">
      <c r="A202" s="54"/>
      <c r="H202" s="54"/>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row>
    <row r="203" spans="1:59" s="34" customFormat="1">
      <c r="A203" s="54"/>
      <c r="H203" s="54"/>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row>
    <row r="204" spans="1:59" s="34" customFormat="1">
      <c r="A204" s="54"/>
      <c r="H204" s="54"/>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row>
    <row r="205" spans="1:59" s="34" customFormat="1">
      <c r="A205" s="54"/>
      <c r="H205" s="54"/>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row>
    <row r="206" spans="1:59" s="34" customFormat="1">
      <c r="A206" s="54"/>
      <c r="H206" s="54"/>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row>
    <row r="207" spans="1:59" s="34" customFormat="1">
      <c r="A207" s="54"/>
      <c r="H207" s="54"/>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row>
    <row r="208" spans="1:59" s="34" customFormat="1">
      <c r="A208" s="54"/>
      <c r="H208" s="54"/>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row>
    <row r="209" spans="1:59" s="34" customFormat="1">
      <c r="A209" s="54"/>
      <c r="H209" s="54"/>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row>
    <row r="210" spans="1:59" s="34" customFormat="1">
      <c r="A210" s="54"/>
      <c r="H210" s="54"/>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row>
    <row r="211" spans="1:59" s="34" customFormat="1">
      <c r="A211" s="54"/>
      <c r="H211" s="54"/>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row>
    <row r="212" spans="1:59" s="34" customFormat="1">
      <c r="A212" s="54"/>
      <c r="H212" s="54"/>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row>
    <row r="213" spans="1:59" s="34" customFormat="1">
      <c r="A213" s="54"/>
      <c r="H213" s="54"/>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row>
    <row r="214" spans="1:59" s="34" customFormat="1">
      <c r="A214" s="54"/>
      <c r="H214" s="54"/>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row>
    <row r="215" spans="1:59" s="34" customFormat="1">
      <c r="A215" s="54"/>
      <c r="H215" s="54"/>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row>
    <row r="216" spans="1:59" s="34" customFormat="1">
      <c r="A216" s="54"/>
      <c r="H216" s="54"/>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row>
    <row r="217" spans="1:59" s="34" customFormat="1">
      <c r="A217" s="54"/>
      <c r="H217" s="54"/>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row>
    <row r="218" spans="1:59" s="34" customFormat="1">
      <c r="A218" s="54"/>
      <c r="H218" s="54"/>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row>
    <row r="219" spans="1:59" s="34" customFormat="1">
      <c r="A219" s="54"/>
      <c r="H219" s="54"/>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row>
    <row r="220" spans="1:59" s="34" customFormat="1">
      <c r="A220" s="54"/>
      <c r="H220" s="54"/>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row>
    <row r="221" spans="1:59" s="34" customFormat="1">
      <c r="A221" s="54"/>
      <c r="H221" s="54"/>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row>
    <row r="222" spans="1:59" s="34" customFormat="1">
      <c r="A222" s="54"/>
      <c r="H222" s="54"/>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row>
    <row r="223" spans="1:59" s="34" customFormat="1">
      <c r="A223" s="54"/>
      <c r="H223" s="54"/>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row>
    <row r="224" spans="1:59" s="34" customFormat="1">
      <c r="A224" s="54"/>
      <c r="H224" s="54"/>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row>
    <row r="225" spans="1:59" s="34" customFormat="1">
      <c r="A225" s="54"/>
      <c r="H225" s="54"/>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row>
    <row r="226" spans="1:59" s="34" customFormat="1">
      <c r="A226" s="54"/>
      <c r="H226" s="54"/>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row>
    <row r="227" spans="1:59" s="34" customFormat="1">
      <c r="A227" s="54"/>
      <c r="H227" s="54"/>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row>
    <row r="228" spans="1:59" s="34" customFormat="1">
      <c r="A228" s="54"/>
      <c r="H228" s="54"/>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row>
    <row r="229" spans="1:59" s="34" customFormat="1">
      <c r="A229" s="54"/>
      <c r="H229" s="54"/>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row>
    <row r="230" spans="1:59" s="34" customFormat="1">
      <c r="A230" s="54"/>
      <c r="H230" s="54"/>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row>
    <row r="231" spans="1:59" s="34" customFormat="1">
      <c r="A231" s="54"/>
      <c r="H231" s="54"/>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row>
    <row r="232" spans="1:59" s="34" customFormat="1">
      <c r="A232" s="54"/>
      <c r="H232" s="54"/>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row>
    <row r="233" spans="1:59" s="34" customFormat="1">
      <c r="A233" s="54"/>
      <c r="H233" s="54"/>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row>
    <row r="234" spans="1:59" s="34" customFormat="1">
      <c r="A234" s="54"/>
      <c r="H234" s="54"/>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row>
    <row r="235" spans="1:59" s="34" customFormat="1">
      <c r="A235" s="54"/>
      <c r="H235" s="54"/>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row>
    <row r="236" spans="1:59" s="34" customFormat="1">
      <c r="A236" s="54"/>
      <c r="H236" s="54"/>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row>
    <row r="237" spans="1:59" s="34" customFormat="1">
      <c r="A237" s="54"/>
      <c r="H237" s="54"/>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row>
    <row r="238" spans="1:59" s="34" customFormat="1">
      <c r="A238" s="54"/>
      <c r="H238" s="54"/>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row>
    <row r="239" spans="1:59" s="34" customFormat="1">
      <c r="A239" s="54"/>
      <c r="H239" s="54"/>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row>
    <row r="240" spans="1:59" s="34" customFormat="1">
      <c r="A240" s="54"/>
      <c r="H240" s="54"/>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row>
    <row r="241" spans="1:59" s="34" customFormat="1">
      <c r="A241" s="54"/>
      <c r="H241" s="54"/>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row>
    <row r="242" spans="1:59" s="34" customFormat="1">
      <c r="A242" s="54"/>
      <c r="H242" s="54"/>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row>
  </sheetData>
  <sheetProtection password="CA23" sheet="1" objects="1" scenarios="1"/>
  <mergeCells count="19">
    <mergeCell ref="C50:I50"/>
    <mergeCell ref="A7:K7"/>
    <mergeCell ref="A8:K8"/>
    <mergeCell ref="C9:I9"/>
    <mergeCell ref="J9:K10"/>
    <mergeCell ref="C10:H10"/>
    <mergeCell ref="A42:B42"/>
    <mergeCell ref="A43:B43"/>
    <mergeCell ref="A44:B44"/>
    <mergeCell ref="A45:B45"/>
    <mergeCell ref="A46:B46"/>
    <mergeCell ref="A50:B50"/>
    <mergeCell ref="A56:I56"/>
    <mergeCell ref="A51:B51"/>
    <mergeCell ref="C51:I51"/>
    <mergeCell ref="A52:B52"/>
    <mergeCell ref="C52:I52"/>
    <mergeCell ref="A53:B53"/>
    <mergeCell ref="C53:I53"/>
  </mergeCells>
  <pageMargins left="0.7" right="0.7" top="0.61" bottom="0.75" header="0.3" footer="0.3"/>
  <pageSetup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Total Request</vt:lpstr>
      <vt:lpstr>AsianFood</vt:lpstr>
      <vt:lpstr>AsianFood!Print_Area</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2013-02-13T20:09:03Z</dcterms:modified>
</cp:coreProperties>
</file>