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autoCompressPictures="0" defaultThemeVersion="124226"/>
  <bookViews>
    <workbookView xWindow="2220" yWindow="1320" windowWidth="3600" windowHeight="5610" tabRatio="873"/>
  </bookViews>
  <sheets>
    <sheet name="Metadata_PercentCover" sheetId="49" r:id="rId1"/>
    <sheet name="PercentCover_Data" sheetId="40" r:id="rId2"/>
    <sheet name="Sites(Do NOT Edit)" sheetId="50" r:id="rId3"/>
  </sheets>
  <definedNames>
    <definedName name="_xlnm._FilterDatabase" localSheetId="2" hidden="1">'Sites(Do NOT Edit)'!$A$2:$N$638</definedName>
    <definedName name="ABSTRACT" localSheetId="0">Metadata_PercentCover!$A$6</definedName>
    <definedName name="ABSTRACT" localSheetId="2">Metadata_PercentCover!$A$6</definedName>
    <definedName name="Address_line_2" localSheetId="0">Metadata_PercentCover!$A$22</definedName>
    <definedName name="Address_line_2" localSheetId="2">Metadata_PercentCover!$A$22</definedName>
    <definedName name="Address_line_3" localSheetId="0">Metadata_PercentCover!$A$23</definedName>
    <definedName name="Address_line_3" localSheetId="2">Metadata_PercentCover!$A$23</definedName>
    <definedName name="Availability_Status" localSheetId="0">Metadata_PercentCover!$A$37</definedName>
    <definedName name="Availability_Status" localSheetId="2">Metadata_PercentCover!$A$37</definedName>
    <definedName name="Beginning_Date" localSheetId="0">Metadata_PercentCover!$A$33</definedName>
    <definedName name="Beginning_Date" localSheetId="2">Metadata_PercentCover!$A$33</definedName>
    <definedName name="City" localSheetId="0">Metadata_PercentCover!$A$24</definedName>
    <definedName name="City" localSheetId="2">Metadata_PercentCover!$A$24</definedName>
    <definedName name="Code_Information" localSheetId="0">Metadata_PercentCover!$F$125</definedName>
    <definedName name="Code_Information" localSheetId="2">Metadata_PercentCover!$F$125</definedName>
    <definedName name="Country" localSheetId="0">Metadata_PercentCover!$A$27</definedName>
    <definedName name="Country" localSheetId="2">Metadata_PercentCover!$A$27</definedName>
    <definedName name="DATA_FILE_INFORMATION" localSheetId="0">Metadata_PercentCover!$A$30</definedName>
    <definedName name="DATA_FILE_INFORMATION" localSheetId="2">Metadata_PercentCover!$A$30</definedName>
    <definedName name="Data_File_Name" localSheetId="0">Metadata_PercentCover!$A$32</definedName>
    <definedName name="Data_File_Name" localSheetId="2">Metadata_PercentCover!$A$32</definedName>
    <definedName name="Data_File_URL" localSheetId="0">Metadata_PercentCover!$A$31</definedName>
    <definedName name="Data_File_URL" localSheetId="2">Metadata_PercentCover!$A$31</definedName>
    <definedName name="Data_Type" localSheetId="0">Metadata_PercentCover!$C$125</definedName>
    <definedName name="Data_Type" localSheetId="2">Metadata_PercentCover!$C$125</definedName>
    <definedName name="DATASET_ID" localSheetId="0">Metadata_PercentCover!$A$14</definedName>
    <definedName name="DATASET_ID" localSheetId="2">Metadata_PercentCover!$A$14</definedName>
    <definedName name="DATASET_TITLE" localSheetId="0">Metadata_PercentCover!$A$5</definedName>
    <definedName name="DATASET_TITLE" localSheetId="2">Metadata_PercentCover!$A$5</definedName>
    <definedName name="DateTime_Format" localSheetId="0">Metadata_PercentCover!$E$125</definedName>
    <definedName name="DateTime_Format" localSheetId="2">Metadata_PercentCover!$E$125</definedName>
    <definedName name="Distribution_URL_for_file" localSheetId="0">Metadata_PercentCover!$A$4</definedName>
    <definedName name="Distribution_URL_for_file" localSheetId="2">Metadata_PercentCover!$A$4</definedName>
    <definedName name="East_Bounding_Coordinate" localSheetId="0">Metadata_PercentCover!$A$50</definedName>
    <definedName name="East_Bounding_Coordinate" localSheetId="2">Metadata_PercentCover!$A$50</definedName>
    <definedName name="Elevation" localSheetId="0">Metadata_PercentCover!$A$56</definedName>
    <definedName name="Elevation" localSheetId="2">Metadata_PercentCover!$A$56</definedName>
    <definedName name="Email" localSheetId="0">Metadata_PercentCover!$A$18</definedName>
    <definedName name="Email" localSheetId="2">Metadata_PercentCover!$A$18</definedName>
    <definedName name="End_Date" localSheetId="0">Metadata_PercentCover!$A$34</definedName>
    <definedName name="End_Date" localSheetId="2">Metadata_PercentCover!$A$34</definedName>
    <definedName name="First_Name" localSheetId="0">Metadata_PercentCover!$A$19</definedName>
    <definedName name="First_Name" localSheetId="2">Metadata_PercentCover!$A$19</definedName>
    <definedName name="Geographic_Description" localSheetId="0">Metadata_PercentCover!$A$47</definedName>
    <definedName name="Geographic_Description" localSheetId="2">Metadata_PercentCover!$A$47</definedName>
    <definedName name="INVESTIGATOR_INFORMATION" localSheetId="0">Metadata_PercentCover!$A$16</definedName>
    <definedName name="INVESTIGATOR_INFORMATION" localSheetId="2">Metadata_PercentCover!$A$16</definedName>
    <definedName name="KEYWORD_INFORMATION" localSheetId="0">Metadata_PercentCover!$A$62</definedName>
    <definedName name="KEYWORD_INFORMATION" localSheetId="2">Metadata_PercentCover!$A$62</definedName>
    <definedName name="KEYWORDS" localSheetId="0">Metadata_PercentCover!$A$63</definedName>
    <definedName name="KEYWORDS" localSheetId="2">Metadata_PercentCover!$A$63</definedName>
    <definedName name="Last_Name" localSheetId="0">Metadata_PercentCover!$A$20</definedName>
    <definedName name="Last_Name" localSheetId="2">Metadata_PercentCover!$A$20</definedName>
    <definedName name="Latitude" localSheetId="0">Metadata_PercentCover!$A$54</definedName>
    <definedName name="Latitude" localSheetId="2">Metadata_PercentCover!$A$54</definedName>
    <definedName name="Link_to_Google_Map">Metadata_PercentCover!$A$57</definedName>
    <definedName name="Location_Bounding_Box" localSheetId="0">Metadata_PercentCover!$A$48</definedName>
    <definedName name="Location_Bounding_Box" localSheetId="2">Metadata_PercentCover!$A$48</definedName>
    <definedName name="Location_Name" localSheetId="0">Metadata_PercentCover!$A$46</definedName>
    <definedName name="Location_Name" localSheetId="2">Metadata_PercentCover!$A$46</definedName>
    <definedName name="Log_of_Changes" localSheetId="0">Metadata_PercentCover!$A$40</definedName>
    <definedName name="Log_of_Changes" localSheetId="2">Metadata_PercentCover!$A$40</definedName>
    <definedName name="Longitude" localSheetId="0">Metadata_PercentCover!$A$55</definedName>
    <definedName name="Longitude" localSheetId="2">Metadata_PercentCover!$A$55</definedName>
    <definedName name="LTER_Sites_number">'Sites(Do NOT Edit)'!$A$2:$A$638</definedName>
    <definedName name="Maintenance_Description" localSheetId="0">Metadata_PercentCover!$A$39</definedName>
    <definedName name="Maintenance_Description" localSheetId="2">Metadata_PercentCover!$A$39</definedName>
    <definedName name="Metacat_Package_ID" localSheetId="0">Metadata_PercentCover!$A$2</definedName>
    <definedName name="Metacat_Package_ID" localSheetId="2">Metadata_PercentCover!$A$2</definedName>
    <definedName name="METHODS" localSheetId="0">Metadata_PercentCover!$A$66</definedName>
    <definedName name="METHODS" localSheetId="2">Metadata_PercentCover!$A$66</definedName>
    <definedName name="Missing_Value_Code" localSheetId="0">Metadata_PercentCover!$G$125</definedName>
    <definedName name="Missing_Value_Code" localSheetId="2">Metadata_PercentCover!$G$125</definedName>
    <definedName name="North_Bounding_Coordinate" localSheetId="0">Metadata_PercentCover!$A$51</definedName>
    <definedName name="North_Bounding_Coordinate" localSheetId="2">Metadata_PercentCover!$A$51</definedName>
    <definedName name="Number_of_Data_Records" localSheetId="0">Metadata_PercentCover!$A$35</definedName>
    <definedName name="Number_of_Data_Records" localSheetId="2">Metadata_PercentCover!$A$35</definedName>
    <definedName name="OR" localSheetId="0">Metadata_PercentCover!$A$116</definedName>
    <definedName name="OR" localSheetId="2">Metadata_PercentCover!$A$116</definedName>
    <definedName name="OR_if_single_point_location" localSheetId="0">Metadata_PercentCover!$A$53</definedName>
    <definedName name="OR_if_single_point_location" localSheetId="2">Metadata_PercentCover!$A$53</definedName>
    <definedName name="Organisms_studied" localSheetId="0">Metadata_PercentCover!$A$60</definedName>
    <definedName name="Organisms_studied" localSheetId="2">Metadata_PercentCover!$A$60</definedName>
    <definedName name="Organization" localSheetId="0">Metadata_PercentCover!$A$21</definedName>
    <definedName name="Organization" localSheetId="2">Metadata_PercentCover!$A$21</definedName>
    <definedName name="Other_Files_to_Reference" localSheetId="0">Metadata_PercentCover!$A$36</definedName>
    <definedName name="Other_Files_to_Reference" localSheetId="2">Metadata_PercentCover!$A$36</definedName>
    <definedName name="Protocol_Document" localSheetId="0">Metadata_PercentCover!$A$117</definedName>
    <definedName name="Protocol_Document" localSheetId="2">Metadata_PercentCover!$A$117</definedName>
    <definedName name="Protocol_Title" localSheetId="0">Metadata_PercentCover!$A$114</definedName>
    <definedName name="Protocol_Title" localSheetId="2">Metadata_PercentCover!$A$114</definedName>
    <definedName name="Quality_Control_Information" localSheetId="0">Metadata_PercentCover!$A$38</definedName>
    <definedName name="Quality_Control_Information" localSheetId="2">Metadata_PercentCover!$A$38</definedName>
    <definedName name="RESEARCH_LOCATION" localSheetId="0">Metadata_PercentCover!$A$45</definedName>
    <definedName name="RESEARCH_LOCATION" localSheetId="2">Metadata_PercentCover!$A$45</definedName>
    <definedName name="Role" localSheetId="0">Metadata_PercentCover!$A$17</definedName>
    <definedName name="Role" localSheetId="2">Metadata_PercentCover!$A$17</definedName>
    <definedName name="Sampling_and_or_Lab_Protocols" localSheetId="0">Metadata_PercentCover!$A$113</definedName>
    <definedName name="Sampling_and_or_Lab_Protocols" localSheetId="2">Metadata_PercentCover!$A$113</definedName>
    <definedName name="Site_name">'Sites(Do NOT Edit)'!$B$3:$B$638</definedName>
    <definedName name="Site_name_list">'Sites(Do NOT Edit)'!$B$2:$B$638</definedName>
    <definedName name="Sites">'Sites(Do NOT Edit)'!$A$3:$M$638</definedName>
    <definedName name="South_Bounding_Coordinate" localSheetId="0">Metadata_PercentCover!$A$52</definedName>
    <definedName name="South_Bounding_Coordinate" localSheetId="2">Metadata_PercentCover!$A$52</definedName>
    <definedName name="State" localSheetId="0">Metadata_PercentCover!$A$25</definedName>
    <definedName name="State" localSheetId="2">Metadata_PercentCover!$A$25</definedName>
    <definedName name="TAXONOMIC_COVERAGE" localSheetId="0">Metadata_PercentCover!$A$59</definedName>
    <definedName name="TAXONOMIC_COVERAGE" localSheetId="2">Metadata_PercentCover!$A$59</definedName>
    <definedName name="Units" localSheetId="0">Metadata_PercentCover!$D$125</definedName>
    <definedName name="Units" localSheetId="2">Metadata_PercentCover!$D$125</definedName>
    <definedName name="URL_of_online_Protocol" localSheetId="0">Metadata_PercentCover!$A$115</definedName>
    <definedName name="URL_of_online_Protocol" localSheetId="2">Metadata_PercentCover!$A$115</definedName>
    <definedName name="Variable_Description" localSheetId="0">Metadata_PercentCover!$B$125</definedName>
    <definedName name="Variable_Description" localSheetId="2">Metadata_PercentCover!$B$125</definedName>
    <definedName name="VARIABLE_DESCRIPTIONS" localSheetId="0">Metadata_PercentCover!$A$124</definedName>
    <definedName name="VARIABLE_DESCRIPTIONS" localSheetId="2">Metadata_PercentCover!$A$124</definedName>
    <definedName name="Variable_Name" localSheetId="0">Metadata_PercentCover!$A$125</definedName>
    <definedName name="Variable_Name" localSheetId="2">Metadata_PercentCover!$A$125</definedName>
    <definedName name="West_Bounding_Coordinate" localSheetId="0">Metadata_PercentCover!$A$49</definedName>
    <definedName name="West_Bounding_Coordinate" localSheetId="2">Metadata_PercentCover!$A$49</definedName>
    <definedName name="Year_Released_to_Public" localSheetId="0">Metadata_PercentCover!$A$3</definedName>
    <definedName name="Year_Released_to_Public" localSheetId="2">Metadata_PercentCover!$A$3</definedName>
    <definedName name="Zip_Code" localSheetId="0">Metadata_PercentCover!$A$26</definedName>
    <definedName name="Zip_Code" localSheetId="2">Metadata_PercentCover!$A$26</definedName>
  </definedNames>
  <calcPr calcId="145621"/>
  <extLst>
    <ext xmlns:mx="http://schemas.microsoft.com/office/mac/excel/2008/main" uri="http://schemas.microsoft.com/office/mac/excel/2008/main">
      <mx:ArchID Flags="2"/>
    </ext>
  </extLst>
</workbook>
</file>

<file path=xl/calcChain.xml><?xml version="1.0" encoding="utf-8"?>
<calcChain xmlns="http://schemas.openxmlformats.org/spreadsheetml/2006/main">
  <c r="M638" i="50" l="1"/>
  <c r="M637" i="50"/>
  <c r="M636" i="50"/>
  <c r="M635" i="50"/>
  <c r="M634" i="50"/>
  <c r="M633" i="50"/>
  <c r="M632" i="50"/>
  <c r="M631" i="50"/>
  <c r="M630" i="50"/>
  <c r="M629" i="50"/>
  <c r="M628" i="50"/>
  <c r="M627" i="50"/>
  <c r="M626" i="50"/>
  <c r="M625" i="50"/>
  <c r="M624" i="50"/>
  <c r="M623" i="50"/>
  <c r="M622" i="50"/>
  <c r="M621" i="50"/>
  <c r="M620" i="50"/>
  <c r="M619" i="50"/>
  <c r="M618" i="50"/>
  <c r="M617" i="50"/>
  <c r="M616" i="50"/>
  <c r="M615" i="50"/>
  <c r="M614" i="50"/>
  <c r="M613" i="50"/>
  <c r="M612" i="50"/>
  <c r="M611" i="50"/>
  <c r="M610" i="50"/>
  <c r="M609" i="50"/>
  <c r="M608" i="50"/>
  <c r="M607" i="50"/>
  <c r="M606" i="50"/>
  <c r="M605" i="50"/>
  <c r="M604" i="50"/>
  <c r="M603" i="50"/>
  <c r="M602" i="50"/>
  <c r="M601" i="50"/>
  <c r="M600" i="50"/>
  <c r="M599" i="50"/>
  <c r="M598" i="50"/>
  <c r="M597" i="50"/>
  <c r="M596" i="50"/>
  <c r="M595" i="50"/>
  <c r="M594" i="50"/>
  <c r="M593" i="50"/>
  <c r="M592" i="50"/>
  <c r="M591" i="50"/>
  <c r="M590" i="50"/>
  <c r="M589" i="50"/>
  <c r="M588" i="50"/>
  <c r="M587" i="50"/>
  <c r="M586" i="50"/>
  <c r="M585" i="50"/>
  <c r="M584" i="50"/>
  <c r="M583" i="50"/>
  <c r="M582" i="50"/>
  <c r="M581" i="50"/>
  <c r="M580" i="50"/>
  <c r="M579" i="50"/>
  <c r="M578" i="50"/>
  <c r="M577" i="50"/>
  <c r="M576" i="50"/>
  <c r="M575" i="50"/>
  <c r="M574" i="50"/>
  <c r="M573" i="50"/>
  <c r="M572" i="50"/>
  <c r="M571" i="50"/>
  <c r="M570" i="50"/>
  <c r="M569" i="50"/>
  <c r="M568" i="50"/>
  <c r="M567" i="50"/>
  <c r="M566" i="50"/>
  <c r="M565" i="50"/>
  <c r="M564" i="50"/>
  <c r="M563" i="50"/>
  <c r="M562" i="50"/>
  <c r="M561" i="50"/>
  <c r="M560" i="50"/>
  <c r="M559" i="50"/>
  <c r="M558" i="50"/>
  <c r="M557" i="50"/>
  <c r="M556" i="50"/>
  <c r="M555" i="50"/>
  <c r="M554" i="50"/>
  <c r="M553" i="50"/>
  <c r="M552" i="50"/>
  <c r="M551" i="50"/>
  <c r="M550" i="50"/>
  <c r="M549" i="50"/>
  <c r="M548" i="50"/>
  <c r="M547" i="50"/>
  <c r="M546" i="50"/>
  <c r="M545" i="50"/>
  <c r="M544" i="50"/>
  <c r="M543" i="50"/>
  <c r="M542" i="50"/>
  <c r="M541" i="50"/>
  <c r="M540" i="50"/>
  <c r="M539" i="50"/>
  <c r="M538" i="50"/>
  <c r="M537" i="50"/>
  <c r="M536" i="50"/>
  <c r="M535" i="50"/>
  <c r="M534" i="50"/>
  <c r="M533" i="50"/>
  <c r="M532" i="50"/>
  <c r="M531" i="50"/>
  <c r="M530" i="50"/>
  <c r="M529" i="50"/>
  <c r="M528" i="50"/>
  <c r="M527" i="50"/>
  <c r="M526" i="50"/>
  <c r="M525" i="50"/>
  <c r="M524" i="50"/>
  <c r="M523" i="50"/>
  <c r="M522" i="50"/>
  <c r="M521" i="50"/>
  <c r="M520" i="50"/>
  <c r="M519" i="50"/>
  <c r="M518" i="50"/>
  <c r="M517" i="50"/>
  <c r="M516" i="50"/>
  <c r="M515" i="50"/>
  <c r="M514" i="50"/>
  <c r="M513" i="50"/>
  <c r="M512" i="50"/>
  <c r="M511" i="50"/>
  <c r="M510" i="50"/>
  <c r="M509" i="50"/>
  <c r="M508" i="50"/>
  <c r="M507" i="50"/>
  <c r="M506" i="50"/>
  <c r="M505" i="50"/>
  <c r="M504" i="50"/>
  <c r="M503" i="50"/>
  <c r="M502" i="50"/>
  <c r="M501" i="50"/>
  <c r="M500" i="50"/>
  <c r="M499" i="50"/>
  <c r="M498" i="50"/>
  <c r="M497" i="50"/>
  <c r="M496" i="50"/>
  <c r="M495" i="50"/>
  <c r="M494" i="50"/>
  <c r="M493" i="50"/>
  <c r="M492" i="50"/>
  <c r="M491" i="50"/>
  <c r="M490" i="50"/>
  <c r="M489" i="50"/>
  <c r="M488" i="50"/>
  <c r="M487" i="50"/>
  <c r="M486" i="50"/>
  <c r="M485" i="50"/>
  <c r="M484" i="50"/>
  <c r="M483" i="50"/>
  <c r="M482" i="50"/>
  <c r="M481" i="50"/>
  <c r="M480" i="50"/>
  <c r="M479" i="50"/>
  <c r="M478" i="50"/>
  <c r="M477" i="50"/>
  <c r="M476" i="50"/>
  <c r="M475" i="50"/>
  <c r="M474" i="50"/>
  <c r="M473" i="50"/>
  <c r="M472" i="50"/>
  <c r="M471" i="50"/>
  <c r="M470" i="50"/>
  <c r="M469" i="50"/>
  <c r="M468" i="50"/>
  <c r="M467" i="50"/>
  <c r="M466" i="50"/>
  <c r="M465" i="50"/>
  <c r="M464" i="50"/>
  <c r="M463" i="50"/>
  <c r="M462" i="50"/>
  <c r="M461" i="50"/>
  <c r="M460" i="50"/>
  <c r="M459" i="50"/>
  <c r="M458" i="50"/>
  <c r="M457" i="50"/>
  <c r="M456" i="50"/>
  <c r="M455" i="50"/>
  <c r="M454" i="50"/>
  <c r="M453" i="50"/>
  <c r="M452" i="50"/>
  <c r="M451" i="50"/>
  <c r="M450" i="50"/>
  <c r="M449" i="50"/>
  <c r="M448" i="50"/>
  <c r="M447" i="50"/>
  <c r="M446" i="50"/>
  <c r="M445" i="50"/>
  <c r="M444" i="50"/>
  <c r="M443" i="50"/>
  <c r="M442" i="50"/>
  <c r="M441" i="50"/>
  <c r="M440" i="50"/>
  <c r="M439" i="50"/>
  <c r="M438" i="50"/>
  <c r="M437" i="50"/>
  <c r="M436" i="50"/>
  <c r="M435" i="50"/>
  <c r="N434" i="50"/>
  <c r="M434" i="50"/>
  <c r="N433" i="50"/>
  <c r="M433" i="50"/>
  <c r="N432" i="50"/>
  <c r="M432" i="50"/>
  <c r="N431" i="50"/>
  <c r="M431" i="50"/>
  <c r="N430" i="50"/>
  <c r="M430" i="50"/>
  <c r="N429" i="50"/>
  <c r="M429" i="50"/>
  <c r="N428" i="50"/>
  <c r="M428" i="50"/>
  <c r="N427" i="50"/>
  <c r="M427" i="50"/>
  <c r="N426" i="50"/>
  <c r="M426" i="50"/>
  <c r="N425" i="50"/>
  <c r="M425" i="50"/>
  <c r="N424" i="50"/>
  <c r="M424" i="50"/>
  <c r="N423" i="50"/>
  <c r="M423" i="50"/>
  <c r="N422" i="50"/>
  <c r="M422" i="50"/>
  <c r="N421" i="50"/>
  <c r="M421" i="50"/>
  <c r="N420" i="50"/>
  <c r="M420" i="50"/>
  <c r="N419" i="50"/>
  <c r="M419" i="50"/>
  <c r="N418" i="50"/>
  <c r="M418" i="50"/>
  <c r="N417" i="50"/>
  <c r="M417" i="50"/>
  <c r="N416" i="50"/>
  <c r="M416" i="50"/>
  <c r="N415" i="50"/>
  <c r="M415" i="50"/>
  <c r="N414" i="50"/>
  <c r="M414" i="50"/>
  <c r="N413" i="50"/>
  <c r="M413" i="50"/>
  <c r="N412" i="50"/>
  <c r="M412" i="50"/>
  <c r="N411" i="50"/>
  <c r="M411" i="50"/>
  <c r="N410" i="50"/>
  <c r="M410" i="50"/>
  <c r="N409" i="50"/>
  <c r="M409" i="50"/>
  <c r="N408" i="50"/>
  <c r="M408" i="50"/>
  <c r="N407" i="50"/>
  <c r="M407" i="50"/>
  <c r="N406" i="50"/>
  <c r="M406" i="50"/>
  <c r="N405" i="50"/>
  <c r="M405" i="50"/>
  <c r="N404" i="50"/>
  <c r="M404" i="50"/>
  <c r="N403" i="50"/>
  <c r="M403" i="50"/>
  <c r="N402" i="50"/>
  <c r="M402" i="50"/>
  <c r="N401" i="50"/>
  <c r="M401" i="50"/>
  <c r="N400" i="50"/>
  <c r="M400" i="50"/>
  <c r="N399" i="50"/>
  <c r="M399" i="50"/>
  <c r="N398" i="50"/>
  <c r="M398" i="50"/>
  <c r="N397" i="50"/>
  <c r="M397" i="50"/>
  <c r="N396" i="50"/>
  <c r="M396" i="50"/>
  <c r="N395" i="50"/>
  <c r="M395" i="50"/>
  <c r="N394" i="50"/>
  <c r="M394" i="50"/>
  <c r="N393" i="50"/>
  <c r="M393" i="50"/>
  <c r="N392" i="50"/>
  <c r="M392" i="50"/>
  <c r="N391" i="50"/>
  <c r="M391" i="50"/>
  <c r="N390" i="50"/>
  <c r="M390" i="50"/>
  <c r="N389" i="50"/>
  <c r="M389" i="50"/>
  <c r="N388" i="50"/>
  <c r="M388" i="50"/>
  <c r="N387" i="50"/>
  <c r="M387" i="50"/>
  <c r="N386" i="50"/>
  <c r="M386" i="50"/>
  <c r="N385" i="50"/>
  <c r="M385" i="50"/>
  <c r="N384" i="50"/>
  <c r="M384" i="50"/>
  <c r="N383" i="50"/>
  <c r="M383" i="50"/>
  <c r="N382" i="50"/>
  <c r="M382" i="50"/>
  <c r="N381" i="50"/>
  <c r="M381" i="50"/>
  <c r="N380" i="50"/>
  <c r="M380" i="50"/>
  <c r="N379" i="50"/>
  <c r="M379" i="50"/>
  <c r="N378" i="50"/>
  <c r="M378" i="50"/>
  <c r="N377" i="50"/>
  <c r="M377" i="50"/>
  <c r="N376" i="50"/>
  <c r="M376" i="50"/>
  <c r="N375" i="50"/>
  <c r="M375" i="50"/>
  <c r="N374" i="50"/>
  <c r="M374" i="50"/>
  <c r="N373" i="50"/>
  <c r="M373" i="50"/>
  <c r="N372" i="50"/>
  <c r="M372" i="50"/>
  <c r="N371" i="50"/>
  <c r="M371" i="50"/>
  <c r="N370" i="50"/>
  <c r="M370" i="50"/>
  <c r="N369" i="50"/>
  <c r="M369" i="50"/>
  <c r="N368" i="50"/>
  <c r="M368" i="50"/>
  <c r="N367" i="50"/>
  <c r="M367" i="50"/>
  <c r="N366" i="50"/>
  <c r="M366" i="50"/>
  <c r="N365" i="50"/>
  <c r="M365" i="50"/>
  <c r="N364" i="50"/>
  <c r="M364" i="50"/>
  <c r="N363" i="50"/>
  <c r="M363" i="50"/>
  <c r="N362" i="50"/>
  <c r="M362" i="50"/>
  <c r="N361" i="50"/>
  <c r="M361" i="50"/>
  <c r="N360" i="50"/>
  <c r="M360" i="50"/>
  <c r="N359" i="50"/>
  <c r="M359" i="50"/>
  <c r="N358" i="50"/>
  <c r="M358" i="50"/>
  <c r="N357" i="50"/>
  <c r="M357" i="50"/>
  <c r="N356" i="50"/>
  <c r="M356" i="50"/>
  <c r="M355" i="50"/>
  <c r="M354" i="50"/>
  <c r="M353" i="50"/>
  <c r="M352" i="50"/>
  <c r="M351" i="50"/>
  <c r="M350" i="50"/>
  <c r="M349" i="50"/>
  <c r="M348" i="50"/>
  <c r="M347" i="50"/>
  <c r="M346" i="50"/>
  <c r="M345" i="50"/>
  <c r="M344" i="50"/>
  <c r="M343" i="50"/>
  <c r="M342" i="50"/>
  <c r="M341" i="50"/>
  <c r="M340" i="50"/>
  <c r="M339" i="50"/>
  <c r="M338" i="50"/>
  <c r="M337" i="50"/>
  <c r="M336" i="50"/>
  <c r="M335" i="50"/>
  <c r="M334" i="50"/>
  <c r="M333" i="50"/>
  <c r="M332" i="50"/>
  <c r="M331" i="50"/>
  <c r="M330" i="50"/>
  <c r="M329" i="50"/>
  <c r="M328" i="50"/>
  <c r="M327" i="50"/>
  <c r="M326" i="50"/>
  <c r="M325" i="50"/>
  <c r="M324" i="50"/>
  <c r="M323" i="50"/>
  <c r="M322" i="50"/>
  <c r="M321" i="50"/>
  <c r="M320" i="50"/>
  <c r="M319" i="50"/>
  <c r="M318" i="50"/>
  <c r="M317" i="50"/>
  <c r="M316" i="50"/>
  <c r="M315" i="50"/>
  <c r="M314" i="50"/>
  <c r="M313" i="50"/>
  <c r="M312" i="50"/>
  <c r="M311" i="50"/>
  <c r="M310" i="50"/>
  <c r="M309" i="50"/>
  <c r="M308" i="50"/>
  <c r="M307" i="50"/>
  <c r="M306" i="50"/>
  <c r="M305" i="50"/>
  <c r="M304" i="50"/>
  <c r="M303" i="50"/>
  <c r="M302" i="50"/>
  <c r="M301" i="50"/>
  <c r="M300" i="50"/>
  <c r="M299" i="50"/>
  <c r="M298" i="50"/>
  <c r="M297" i="50"/>
  <c r="M296" i="50"/>
  <c r="M295" i="50"/>
  <c r="M294" i="50"/>
  <c r="M293" i="50"/>
  <c r="M292" i="50"/>
  <c r="M291" i="50"/>
  <c r="M290" i="50"/>
  <c r="M289" i="50"/>
  <c r="M288" i="50"/>
  <c r="M287" i="50"/>
  <c r="M286" i="50"/>
  <c r="M285" i="50"/>
  <c r="M284" i="50"/>
  <c r="M283" i="50"/>
  <c r="M282" i="50"/>
  <c r="M281" i="50"/>
  <c r="M280" i="50"/>
  <c r="M279" i="50"/>
  <c r="M278" i="50"/>
  <c r="M277" i="50"/>
  <c r="M276" i="50"/>
  <c r="M275" i="50"/>
  <c r="M274" i="50"/>
  <c r="M273" i="50"/>
  <c r="M272" i="50"/>
  <c r="M271" i="50"/>
  <c r="M270" i="50"/>
  <c r="M269" i="50"/>
  <c r="M268" i="50"/>
  <c r="M267" i="50"/>
  <c r="M266" i="50"/>
  <c r="M265" i="50"/>
  <c r="M264" i="50"/>
  <c r="M263" i="50"/>
  <c r="M262" i="50"/>
  <c r="M261" i="50"/>
  <c r="M260" i="50"/>
  <c r="M259" i="50"/>
  <c r="M258" i="50"/>
  <c r="M257" i="50"/>
  <c r="M256" i="50"/>
  <c r="M255" i="50"/>
  <c r="M254" i="50"/>
  <c r="M253" i="50"/>
  <c r="M252" i="50"/>
  <c r="M251" i="50"/>
  <c r="M250" i="50"/>
  <c r="M249" i="50"/>
  <c r="M248" i="50"/>
  <c r="M247" i="50"/>
  <c r="M246" i="50"/>
  <c r="M245" i="50"/>
  <c r="M244" i="50"/>
  <c r="M243" i="50"/>
  <c r="M242" i="50"/>
  <c r="M241" i="50"/>
  <c r="M240" i="50"/>
  <c r="M239" i="50"/>
  <c r="M238" i="50"/>
  <c r="M237" i="50"/>
  <c r="M236" i="50"/>
  <c r="M235" i="50"/>
  <c r="M234" i="50"/>
  <c r="M233" i="50"/>
  <c r="M232" i="50"/>
  <c r="M231" i="50"/>
  <c r="M230" i="50"/>
  <c r="M229" i="50"/>
  <c r="M228" i="50"/>
  <c r="M227" i="50"/>
  <c r="M226" i="50"/>
  <c r="M225" i="50"/>
  <c r="M224" i="50"/>
  <c r="M223" i="50"/>
  <c r="M222" i="50"/>
  <c r="M221" i="50"/>
  <c r="M220" i="50"/>
  <c r="M219" i="50"/>
  <c r="M218" i="50"/>
  <c r="M217" i="50"/>
  <c r="M216" i="50"/>
  <c r="M215" i="50"/>
  <c r="M214" i="50"/>
  <c r="M213" i="50"/>
  <c r="M212" i="50"/>
  <c r="M211" i="50"/>
  <c r="M210" i="50"/>
  <c r="M209" i="50"/>
  <c r="M208" i="50"/>
  <c r="M207" i="50"/>
  <c r="M206" i="50"/>
  <c r="M205" i="50"/>
  <c r="M204" i="50"/>
  <c r="M203" i="50"/>
  <c r="M202" i="50"/>
  <c r="M201" i="50"/>
  <c r="M200" i="50"/>
  <c r="N199" i="50"/>
  <c r="M199" i="50"/>
  <c r="N198" i="50"/>
  <c r="M198" i="50"/>
  <c r="N197" i="50"/>
  <c r="M197" i="50"/>
  <c r="N196" i="50"/>
  <c r="M196" i="50"/>
  <c r="N195" i="50"/>
  <c r="M195" i="50"/>
  <c r="N194" i="50"/>
  <c r="M194" i="50"/>
  <c r="N193" i="50"/>
  <c r="M193" i="50"/>
  <c r="N192" i="50"/>
  <c r="M192" i="50"/>
  <c r="N191" i="50"/>
  <c r="M191" i="50"/>
  <c r="N190" i="50"/>
  <c r="M190" i="50"/>
  <c r="N189" i="50"/>
  <c r="M189" i="50"/>
  <c r="N188" i="50"/>
  <c r="M188" i="50"/>
  <c r="N187" i="50"/>
  <c r="M187" i="50"/>
  <c r="N186" i="50"/>
  <c r="M186" i="50"/>
  <c r="N185" i="50"/>
  <c r="M185" i="50"/>
  <c r="N184" i="50"/>
  <c r="M184" i="50"/>
  <c r="N183" i="50"/>
  <c r="M183" i="50"/>
  <c r="N182" i="50"/>
  <c r="M182" i="50"/>
  <c r="N181" i="50"/>
  <c r="M181" i="50"/>
  <c r="N180" i="50"/>
  <c r="M180" i="50"/>
  <c r="N179" i="50"/>
  <c r="M179" i="50"/>
  <c r="N178" i="50"/>
  <c r="M178" i="50"/>
  <c r="N177" i="50"/>
  <c r="M177" i="50"/>
  <c r="N176" i="50"/>
  <c r="M176" i="50"/>
  <c r="N175" i="50"/>
  <c r="M175" i="50"/>
  <c r="N174" i="50"/>
  <c r="M174" i="50"/>
  <c r="N173" i="50"/>
  <c r="M173" i="50"/>
  <c r="N172" i="50"/>
  <c r="M172" i="50"/>
  <c r="N171" i="50"/>
  <c r="M171" i="50"/>
  <c r="N170" i="50"/>
  <c r="M170" i="50"/>
  <c r="N169" i="50"/>
  <c r="M169" i="50"/>
  <c r="N168" i="50"/>
  <c r="M168" i="50"/>
  <c r="N167" i="50"/>
  <c r="M167" i="50"/>
  <c r="M166" i="50"/>
  <c r="M165" i="50"/>
  <c r="M164" i="50"/>
  <c r="M163" i="50"/>
  <c r="M162" i="50"/>
  <c r="M161" i="50"/>
  <c r="M160" i="50"/>
  <c r="M159" i="50"/>
  <c r="M158" i="50"/>
  <c r="M157" i="50"/>
  <c r="M156" i="50"/>
  <c r="M155" i="50"/>
  <c r="M154" i="50"/>
  <c r="M153" i="50"/>
  <c r="M152" i="50"/>
  <c r="M151" i="50"/>
  <c r="M150" i="50"/>
  <c r="M149" i="50"/>
  <c r="M148" i="50"/>
  <c r="M147" i="50"/>
  <c r="M146" i="50"/>
  <c r="M145" i="50"/>
  <c r="M144" i="50"/>
  <c r="M143" i="50"/>
  <c r="M142" i="50"/>
  <c r="M141" i="50"/>
  <c r="M140" i="50"/>
  <c r="M139" i="50"/>
  <c r="M138" i="50"/>
  <c r="M137" i="50"/>
  <c r="M136" i="50"/>
  <c r="M135" i="50"/>
  <c r="M134" i="50"/>
  <c r="M133" i="50"/>
  <c r="M132" i="50"/>
  <c r="M131" i="50"/>
  <c r="M130" i="50"/>
  <c r="M129" i="50"/>
  <c r="M128" i="50"/>
  <c r="M127" i="50"/>
  <c r="M126" i="50"/>
  <c r="M125" i="50"/>
  <c r="M124" i="50"/>
  <c r="M123" i="50"/>
  <c r="M122" i="50"/>
  <c r="M121" i="50"/>
  <c r="M120" i="50"/>
  <c r="M119" i="50"/>
  <c r="M118" i="50"/>
  <c r="M117" i="50"/>
  <c r="M116" i="50"/>
  <c r="M115" i="50"/>
  <c r="M114" i="50"/>
  <c r="M113" i="50"/>
  <c r="M112" i="50"/>
  <c r="M111" i="50"/>
  <c r="M110" i="50"/>
  <c r="M109" i="50"/>
  <c r="M108" i="50"/>
  <c r="M107" i="50"/>
  <c r="M106" i="50"/>
  <c r="M105" i="50"/>
  <c r="M104" i="50"/>
  <c r="M103" i="50"/>
  <c r="M102" i="50"/>
  <c r="M101" i="50"/>
  <c r="M100" i="50"/>
  <c r="M99" i="50"/>
  <c r="M98" i="50"/>
  <c r="M97" i="50"/>
  <c r="M96" i="50"/>
  <c r="M95" i="50"/>
  <c r="M94" i="50"/>
  <c r="M93" i="50"/>
  <c r="M92" i="50"/>
  <c r="M91" i="50"/>
  <c r="M90" i="50"/>
  <c r="M89" i="50"/>
  <c r="M88" i="50"/>
  <c r="M87" i="50"/>
  <c r="M86" i="50"/>
  <c r="M85" i="50"/>
  <c r="M84" i="50"/>
  <c r="M83" i="50"/>
  <c r="M82" i="50"/>
  <c r="M81" i="50"/>
  <c r="M80" i="50"/>
  <c r="M79" i="50"/>
  <c r="M78" i="50"/>
  <c r="M77" i="50"/>
  <c r="M76" i="50"/>
  <c r="M75" i="50"/>
  <c r="M74" i="50"/>
  <c r="M73" i="50"/>
  <c r="M72" i="50"/>
  <c r="M71" i="50"/>
  <c r="M70" i="50"/>
  <c r="M69" i="50"/>
  <c r="M68" i="50"/>
  <c r="M67" i="50"/>
  <c r="M66" i="50"/>
  <c r="M65" i="50"/>
  <c r="M64" i="50"/>
  <c r="M63" i="50"/>
  <c r="M62" i="50"/>
  <c r="M61" i="50"/>
  <c r="M60" i="50"/>
  <c r="M59" i="50"/>
  <c r="M58" i="50"/>
  <c r="M57" i="50"/>
  <c r="M56" i="50"/>
  <c r="M55" i="50"/>
  <c r="M54" i="50"/>
  <c r="M53" i="50"/>
  <c r="M52" i="50"/>
  <c r="M51" i="50"/>
  <c r="M50" i="50"/>
  <c r="M49" i="50"/>
  <c r="M48" i="50"/>
  <c r="M47" i="50"/>
  <c r="M46" i="50"/>
  <c r="M45" i="50"/>
  <c r="M44" i="50"/>
  <c r="M43" i="50"/>
  <c r="M42" i="50"/>
  <c r="M41" i="50"/>
  <c r="M40" i="50"/>
  <c r="M39" i="50"/>
  <c r="M38" i="50"/>
  <c r="M37" i="50"/>
  <c r="M36" i="50"/>
  <c r="M35" i="50"/>
  <c r="M34" i="50"/>
  <c r="M33" i="50"/>
  <c r="M32" i="50"/>
  <c r="M31" i="50"/>
  <c r="M30" i="50"/>
  <c r="M29" i="50"/>
  <c r="M28" i="50"/>
  <c r="M27" i="50"/>
  <c r="M26" i="50"/>
  <c r="M25" i="50"/>
  <c r="M24" i="50"/>
  <c r="M23" i="50"/>
  <c r="M22" i="50"/>
  <c r="M21" i="50"/>
  <c r="M20" i="50"/>
  <c r="M19" i="50"/>
  <c r="M18" i="50"/>
  <c r="M17" i="50"/>
  <c r="M16" i="50"/>
  <c r="M15" i="50"/>
  <c r="M14" i="50"/>
  <c r="M13" i="50"/>
  <c r="M12" i="50"/>
  <c r="M11" i="50"/>
  <c r="M10" i="50"/>
  <c r="M9" i="50"/>
  <c r="M8" i="50"/>
  <c r="M7" i="50"/>
  <c r="M6" i="50"/>
  <c r="M5" i="50"/>
  <c r="M4" i="50"/>
  <c r="M3" i="50"/>
  <c r="D47" i="49"/>
  <c r="E47" i="49"/>
  <c r="F47" i="49"/>
  <c r="G47" i="49"/>
  <c r="H47" i="49"/>
  <c r="I47" i="49"/>
  <c r="D54" i="49"/>
  <c r="D57" i="49" s="1"/>
  <c r="E54" i="49"/>
  <c r="F54" i="49"/>
  <c r="F57" i="49" s="1"/>
  <c r="G54" i="49"/>
  <c r="G57" i="49" s="1"/>
  <c r="H54" i="49"/>
  <c r="H57" i="49" s="1"/>
  <c r="I54" i="49"/>
  <c r="I57" i="49" s="1"/>
  <c r="D55" i="49"/>
  <c r="E55" i="49"/>
  <c r="F55" i="49"/>
  <c r="G55" i="49"/>
  <c r="H55" i="49"/>
  <c r="I55" i="49"/>
  <c r="D56" i="49"/>
  <c r="E56" i="49"/>
  <c r="F56" i="49"/>
  <c r="G56" i="49"/>
  <c r="H56" i="49"/>
  <c r="I56" i="49"/>
  <c r="B57" i="49"/>
  <c r="C57" i="49"/>
  <c r="E57" i="49"/>
  <c r="K92" i="40"/>
  <c r="K85" i="40"/>
  <c r="K80" i="40"/>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5"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6"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6" authorId="1">
      <text>
        <r>
          <rPr>
            <b/>
            <sz val="9"/>
            <color indexed="81"/>
            <rFont val="Tahoma"/>
            <family val="2"/>
          </rPr>
          <t xml:space="preserve">The name of the sampling location or site number (from the official ARC LTER site list) see the "ARC LTER sites" worksheet Or enter a new site here.
</t>
        </r>
      </text>
    </comment>
    <comment ref="A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4"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7" authorId="1">
      <text>
        <r>
          <rPr>
            <b/>
            <sz val="9"/>
            <color indexed="81"/>
            <rFont val="Tahoma"/>
            <family val="2"/>
          </rPr>
          <t>This link is generated by a formula using the lat long.  It's a way oc checking the values entered.</t>
        </r>
      </text>
    </comment>
    <comment ref="A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6"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14"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15" authorId="0">
      <text>
        <r>
          <rPr>
            <b/>
            <sz val="8"/>
            <color indexed="81"/>
            <rFont val="Tahoma"/>
            <family val="2"/>
          </rPr>
          <t>List the URL to an online protocol document.</t>
        </r>
      </text>
    </comment>
    <comment ref="A117" authorId="0">
      <text>
        <r>
          <rPr>
            <b/>
            <sz val="8"/>
            <color indexed="81"/>
            <rFont val="Tahoma"/>
            <family val="2"/>
          </rPr>
          <t>Describe the protocol used. Be as complete as possible.  Include any references and deviations used from references.</t>
        </r>
      </text>
    </comment>
    <comment ref="A124" authorId="3">
      <text>
        <r>
          <rPr>
            <b/>
            <sz val="8"/>
            <color indexed="81"/>
            <rFont val="Tahoma"/>
            <family val="2"/>
          </rPr>
          <t>This section describes the variables in the data set. Please be as complete as necessary.</t>
        </r>
      </text>
    </comment>
    <comment ref="A125"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5" authorId="3">
      <text>
        <r>
          <rPr>
            <b/>
            <sz val="8"/>
            <color indexed="81"/>
            <rFont val="Tahoma"/>
            <family val="2"/>
          </rPr>
          <t>Variable Description is an explanation of what the Variable represents. 
Include details about the units, e.g. microgram of NH4-N per gram of oven dried soil.</t>
        </r>
      </text>
    </comment>
    <comment ref="C125"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5"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5"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25"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5"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126"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6" authorId="3">
      <text>
        <r>
          <rPr>
            <b/>
            <sz val="8"/>
            <color indexed="81"/>
            <rFont val="Tahoma"/>
            <family val="2"/>
          </rPr>
          <t>Variable Description is an explanation of what the Variable represents. 
Include details about the units, e.g. microgram of NH4-N per gram of oven dried soil.</t>
        </r>
      </text>
    </comment>
    <comment ref="C126"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6"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6"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26"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6"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<sst xmlns="http://schemas.openxmlformats.org/spreadsheetml/2006/main" count="7071" uniqueCount="1716">
  <si>
    <t>PF002</t>
  </si>
  <si>
    <t>Upland</t>
  </si>
  <si>
    <t>Fert</t>
  </si>
  <si>
    <t>SAL-P</t>
  </si>
  <si>
    <t>CH003</t>
  </si>
  <si>
    <t>CH004</t>
  </si>
  <si>
    <t>CH005</t>
  </si>
  <si>
    <t>CH006</t>
  </si>
  <si>
    <t>CH007</t>
  </si>
  <si>
    <t>CH008</t>
  </si>
  <si>
    <t>CH009</t>
  </si>
  <si>
    <t>CH010</t>
  </si>
  <si>
    <t>CH011</t>
  </si>
  <si>
    <t>CH012</t>
  </si>
  <si>
    <t>CH013</t>
  </si>
  <si>
    <t>CH014</t>
  </si>
  <si>
    <t>CH015</t>
  </si>
  <si>
    <t>PF003</t>
  </si>
  <si>
    <t>PF004</t>
  </si>
  <si>
    <t>PF005</t>
  </si>
  <si>
    <t>PF006</t>
  </si>
  <si>
    <t>PF007</t>
  </si>
  <si>
    <t>PF008</t>
  </si>
  <si>
    <t>PF009</t>
  </si>
  <si>
    <t>PF010</t>
  </si>
  <si>
    <t>PF011</t>
  </si>
  <si>
    <t>PF012</t>
  </si>
  <si>
    <t>PF013</t>
  </si>
  <si>
    <t>PF014</t>
  </si>
  <si>
    <t>PF015</t>
  </si>
  <si>
    <t>PF016</t>
  </si>
  <si>
    <t>PF017</t>
  </si>
  <si>
    <t>PF018</t>
  </si>
  <si>
    <t>PF019</t>
  </si>
  <si>
    <t>PF020</t>
  </si>
  <si>
    <t>Toolik</t>
  </si>
  <si>
    <t>Outlet</t>
  </si>
  <si>
    <t>CH002</t>
  </si>
  <si>
    <t>None</t>
  </si>
  <si>
    <t>DD-MMM-YY</t>
  </si>
  <si>
    <t>BET</t>
  </si>
  <si>
    <t>outlet</t>
  </si>
  <si>
    <t>upland</t>
  </si>
  <si>
    <t>1m x 1m</t>
  </si>
  <si>
    <t>D</t>
  </si>
  <si>
    <t>DOM VEG</t>
  </si>
  <si>
    <t>BET NAN</t>
  </si>
  <si>
    <t>SAL PUL</t>
  </si>
  <si>
    <t>VAC ULI</t>
  </si>
  <si>
    <t>FORB</t>
  </si>
  <si>
    <t>F</t>
  </si>
  <si>
    <t>MOSS</t>
  </si>
  <si>
    <t>B</t>
  </si>
  <si>
    <t>VAC VIT</t>
  </si>
  <si>
    <t>E</t>
  </si>
  <si>
    <t>GRAMMINOID</t>
  </si>
  <si>
    <t>GRM</t>
  </si>
  <si>
    <t>LED PAL</t>
  </si>
  <si>
    <t>G</t>
  </si>
  <si>
    <t>SAL GLA</t>
  </si>
  <si>
    <t>PED SPP</t>
  </si>
  <si>
    <t>SAL RET</t>
  </si>
  <si>
    <t>POT SPP</t>
  </si>
  <si>
    <t xml:space="preserve">SAL PUL </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</si>
  <si>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</si>
  <si>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</si>
  <si>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</si>
  <si>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</si>
  <si>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</si>
  <si>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</si>
  <si>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</si>
  <si>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</si>
  <si>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</si>
  <si>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</si>
  <si>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</si>
  <si>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</si>
  <si>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</si>
  <si>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</si>
  <si>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</si>
  <si>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</si>
  <si>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</si>
  <si>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Email</t>
  </si>
  <si>
    <t xml:space="preserve">First Name  </t>
  </si>
  <si>
    <t xml:space="preserve">Last Name  </t>
  </si>
  <si>
    <t>Organization</t>
  </si>
  <si>
    <t>Address line 2</t>
  </si>
  <si>
    <t>Address line 3</t>
  </si>
  <si>
    <t xml:space="preserve"> City  </t>
  </si>
  <si>
    <t xml:space="preserve">State  </t>
  </si>
  <si>
    <t xml:space="preserve">Zip Code  </t>
  </si>
  <si>
    <t>Country</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</si>
  <si>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</si>
  <si>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</si>
  <si>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</si>
  <si>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</si>
  <si>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</si>
  <si>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</si>
  <si>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</si>
  <si>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</si>
  <si>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</si>
  <si>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</si>
  <si>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</si>
  <si>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</si>
  <si>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</si>
  <si>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</si>
  <si>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</si>
  <si>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</si>
  <si>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</si>
  <si>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</si>
  <si>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</si>
  <si>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</si>
  <si>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</si>
  <si>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</si>
  <si>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</si>
  <si>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</si>
  <si>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</si>
  <si>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</si>
  <si>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</si>
  <si>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</si>
  <si>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</si>
  <si>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</si>
  <si>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</si>
  <si>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</si>
  <si>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</si>
  <si>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</si>
  <si>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</si>
  <si>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</si>
  <si>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</si>
  <si>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</si>
  <si>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</si>
  <si>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</si>
  <si>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</si>
  <si>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</si>
  <si>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</si>
  <si>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</si>
  <si>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</si>
  <si>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</si>
  <si>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Owner </t>
  </si>
  <si>
    <t>datetime</t>
  </si>
  <si>
    <t>text</t>
  </si>
  <si>
    <t>ampere</t>
  </si>
  <si>
    <t xml:space="preserve">Associated Researcher </t>
  </si>
  <si>
    <t>interval</t>
  </si>
  <si>
    <t>number</t>
  </si>
  <si>
    <t>amperePerMeter</t>
  </si>
  <si>
    <t xml:space="preserve">Data Manager </t>
  </si>
  <si>
    <t>nominal</t>
  </si>
  <si>
    <t>amperePerMeterSquared</t>
  </si>
  <si>
    <t xml:space="preserve">Field Crew </t>
  </si>
  <si>
    <t>ordinal</t>
  </si>
  <si>
    <t>angstrom</t>
  </si>
  <si>
    <t xml:space="preserve">Lab Crew </t>
  </si>
  <si>
    <t>ratio</t>
  </si>
  <si>
    <t>atmosphere</t>
  </si>
  <si>
    <t>bar</t>
  </si>
  <si>
    <t>becquerel</t>
  </si>
  <si>
    <t>becquerelPerGram</t>
  </si>
  <si>
    <t>becquerelPerMilligram</t>
  </si>
  <si>
    <t>becquerelPerMilliliter</t>
  </si>
  <si>
    <t>calorie</t>
  </si>
  <si>
    <t>candela</t>
  </si>
  <si>
    <t>candelaPerMeterSquared</t>
  </si>
  <si>
    <t>celsius</t>
  </si>
  <si>
    <t>centigram</t>
  </si>
  <si>
    <t>centimeter</t>
  </si>
  <si>
    <t>centimeterCubedPerCentimeterCubed</t>
  </si>
  <si>
    <t>centimeterPerSecond</t>
  </si>
  <si>
    <t>centimeterPerYear</t>
  </si>
  <si>
    <t>centimeterSquared</t>
  </si>
  <si>
    <t>centimeterSquaredPerFourHundredthMeterSquared</t>
  </si>
  <si>
    <t>centimeterSquaredPerGram</t>
  </si>
  <si>
    <t>centimolePerKilogram</t>
  </si>
  <si>
    <t>centisecond</t>
  </si>
  <si>
    <t>coulomb</t>
  </si>
  <si>
    <t>decibar</t>
  </si>
  <si>
    <t>decigram</t>
  </si>
  <si>
    <t>decimeter</t>
  </si>
  <si>
    <t>decisecond</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</si>
  <si>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</si>
  <si>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</si>
  <si>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</si>
  <si>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</si>
  <si>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</si>
  <si>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</si>
  <si>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</si>
  <si>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</si>
  <si>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</si>
  <si>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</si>
  <si>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</si>
  <si>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</si>
  <si>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</si>
  <si>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</si>
  <si>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</si>
  <si>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</si>
  <si>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</si>
  <si>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</si>
  <si>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</si>
  <si>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</si>
  <si>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</si>
  <si>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</si>
  <si>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</si>
  <si>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</si>
  <si>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</si>
  <si>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</si>
  <si>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</si>
  <si>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</si>
  <si>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</si>
  <si>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</si>
  <si>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</si>
  <si>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</si>
  <si>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</si>
  <si>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</si>
  <si>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</si>
  <si>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</si>
  <si>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</si>
  <si>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</si>
  <si>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</si>
  <si>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</si>
  <si>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</si>
  <si>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</si>
  <si>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</si>
  <si>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</si>
  <si>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</si>
  <si>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</si>
  <si>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</si>
  <si>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</si>
  <si>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</si>
  <si>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</si>
  <si>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</si>
  <si>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</si>
  <si>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</si>
  <si>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</si>
  <si>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</si>
  <si>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</si>
  <si>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</si>
  <si>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</si>
  <si>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</si>
  <si>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</si>
  <si>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</si>
  <si>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</si>
  <si>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</si>
  <si>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</si>
  <si>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</si>
  <si>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</si>
  <si>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</si>
  <si>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</si>
  <si>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</si>
  <si>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</si>
  <si>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</si>
  <si>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</si>
  <si>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</si>
  <si>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</si>
  <si>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</si>
  <si>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</si>
  <si>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</si>
  <si>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</si>
  <si>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</si>
  <si>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</si>
  <si>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</si>
  <si>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</si>
  <si>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</si>
  <si>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</si>
  <si>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</si>
  <si>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</si>
  <si>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</si>
  <si>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</si>
  <si>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</si>
  <si>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</si>
  <si>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</si>
  <si>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</si>
  <si>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</si>
  <si>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</si>
  <si>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</si>
  <si>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</si>
  <si>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</si>
  <si>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</si>
  <si>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</si>
  <si>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</si>
  <si>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</si>
  <si>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</si>
  <si>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</si>
  <si>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</si>
  <si>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</si>
  <si>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</si>
  <si>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</si>
  <si>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</si>
  <si>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</si>
  <si>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</si>
  <si>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</si>
  <si>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</si>
  <si>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</si>
  <si>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</si>
  <si>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</si>
  <si>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</si>
  <si>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</si>
  <si>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</si>
  <si>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</si>
  <si>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</si>
  <si>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</si>
  <si>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</si>
  <si>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</si>
  <si>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</si>
  <si>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</si>
  <si>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</si>
  <si>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</si>
  <si>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</si>
  <si>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</si>
  <si>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</si>
  <si>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</si>
  <si>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</si>
  <si>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</si>
  <si>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</si>
  <si>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</si>
  <si>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</si>
  <si>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</si>
  <si>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</si>
  <si>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</si>
  <si>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</si>
  <si>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</si>
  <si>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</si>
  <si>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</si>
  <si>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</si>
  <si>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</si>
  <si>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</si>
  <si>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</si>
  <si>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</si>
  <si>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</si>
  <si>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</si>
  <si>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</si>
  <si>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</si>
  <si>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</si>
  <si>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</si>
  <si>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</si>
  <si>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</si>
  <si>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</si>
  <si>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</si>
  <si>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</si>
  <si>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percent</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</si>
  <si>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</si>
  <si>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</si>
  <si>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</si>
  <si>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</si>
  <si>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</si>
  <si>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</si>
  <si>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</si>
  <si>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</si>
  <si>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</si>
  <si>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</si>
  <si>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</si>
  <si>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</si>
  <si>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</si>
  <si>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</si>
  <si>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</si>
  <si>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gshaver@mbl.edu</t>
  </si>
  <si>
    <t>Gaius</t>
  </si>
  <si>
    <t>Shaver</t>
  </si>
  <si>
    <t>Ecosystems Center at the Marine Biological Laboratory</t>
  </si>
  <si>
    <t>7 MBL Street</t>
  </si>
  <si>
    <t>Woods Hole</t>
  </si>
  <si>
    <t>MA</t>
  </si>
  <si>
    <t>02543</t>
  </si>
  <si>
    <t>United States</t>
  </si>
  <si>
    <t>erastetter@mbl.edu</t>
  </si>
  <si>
    <t>Edward</t>
  </si>
  <si>
    <t>Rastetter</t>
  </si>
  <si>
    <t>mat.williams@ed.ac.uk</t>
  </si>
  <si>
    <t>Mathew</t>
  </si>
  <si>
    <t>Williams</t>
  </si>
  <si>
    <t>University of Edinburgh</t>
  </si>
  <si>
    <t>School of Geosciences</t>
  </si>
  <si>
    <t>Darwin Building</t>
  </si>
  <si>
    <t>Edinburgh</t>
  </si>
  <si>
    <t>EH9 EJU</t>
  </si>
  <si>
    <t>United Kingdom</t>
  </si>
  <si>
    <t>jlaundre@mbl.edu</t>
  </si>
  <si>
    <t>James</t>
  </si>
  <si>
    <t>Laundre</t>
  </si>
  <si>
    <t>lvanderpol@mbl.edu</t>
  </si>
  <si>
    <t>Laura</t>
  </si>
  <si>
    <t>van der Pol</t>
  </si>
  <si>
    <t>Outlet site; co-located in Block 2 of the Shrub LTER sites; IVO 68° 38'008.1" N, 149° 35' 017.1"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</si>
  <si>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Betula nana; Salix pulchra; Salix glauca</t>
  </si>
  <si>
    <t>photosynthesis; shrub canopy; species percent cover; flux measurement; point frame</t>
  </si>
  <si>
    <t xml:space="preserve">YEAR </t>
  </si>
  <si>
    <t xml:space="preserve"> year of measurement </t>
  </si>
  <si>
    <t xml:space="preserve">DATE </t>
  </si>
  <si>
    <t xml:space="preserve"> date of measurement </t>
  </si>
  <si>
    <t xml:space="preserve">SITE </t>
  </si>
  <si>
    <t xml:space="preserve">GROUP  </t>
  </si>
  <si>
    <t>Measurement location in relation to Toolik Lake LTER Shrub plots; In vicinity of Block1 = Upland, IVO Block 2 = Outlet</t>
  </si>
  <si>
    <t xml:space="preserve">PLOT </t>
  </si>
  <si>
    <t xml:space="preserve"> Individual plot identifier </t>
  </si>
  <si>
    <t xml:space="preserve">TREAT </t>
  </si>
  <si>
    <t xml:space="preserve">PHASE </t>
  </si>
  <si>
    <t xml:space="preserve">PLOT SIZE </t>
  </si>
  <si>
    <t xml:space="preserve"> 1m x 1m chamber or point frame size </t>
  </si>
  <si>
    <t xml:space="preserve">SPECIES CODE </t>
  </si>
  <si>
    <t xml:space="preserve">FUNCT GROUP </t>
  </si>
  <si>
    <t xml:space="preserve"> functional group classification </t>
  </si>
  <si>
    <t xml:space="preserve"> Dominant canopy vegetation</t>
  </si>
  <si>
    <t xml:space="preserve">Total vascular plant cover percent cover </t>
  </si>
  <si>
    <t xml:space="preserve">Total plant cover  </t>
  </si>
  <si>
    <t>YYYY</t>
  </si>
  <si>
    <t xml:space="preserve">species abbreviation </t>
  </si>
  <si>
    <t xml:space="preserve"> Measurement series (round of measurement within each year)  #not used in this data collection</t>
  </si>
  <si>
    <t xml:space="preserve"> none or fertilized (FERT - Fertilized with 10g N + 5g P per square meter. N is in form of NH4NO3 annually) </t>
  </si>
  <si>
    <t>2012_GS_ITEX_PercentCover</t>
  </si>
  <si>
    <t>Percent species cover from 14 flux canopy and 19 point frame 1m x 1m plots sampled near the shrub LTER sites at Toolik Field Station, Alaska, summer 2012.</t>
  </si>
  <si>
    <t>This was a season-long project, though it followed similar methods to ITEX projects performed starting in 2003 that are likely to be replicated in the future for reasearch at the Toolik Field Station, AK.</t>
  </si>
  <si>
    <t xml:space="preserve">SPP PERCENT COVER </t>
  </si>
  <si>
    <t>percent cover of specific species</t>
  </si>
  <si>
    <t>percent vascular plant cover (sum ofall SPP except moss) for the plot</t>
  </si>
  <si>
    <t>total plant percent cover (including moss)  for the plot</t>
  </si>
  <si>
    <t>747 m</t>
  </si>
  <si>
    <t>730 m</t>
  </si>
  <si>
    <t>Location Name</t>
  </si>
  <si>
    <t>LTER Shrub Block 1</t>
  </si>
  <si>
    <t>LTER Shrub Block 2</t>
  </si>
  <si>
    <t xml:space="preserve"> 2012_GS_ITEX_BF3_DiffuseLightData; 012_GS_ITEX_CH_SoilData; 2012_GS_ITEX_CHFluxData; 2012_GS_ITEX_LC_ParameterSummary; 2012_GS_ITEX_MaxCanopyHeight; 2012_GS_ITEX_PercentCover; 2012_GS_ITEX_CHN_Data; 2012_GS_ITEX_PF_LAISummary; 2012_GS_ITEX_RawPinDrop_Data; 2012_GS_ITEX_ShootACiData; 2012_GS_ITEX_ShootHarvestData; 2012_GS_ITEX_ShrubCanopy_DailyLogger; 2012_GS_ITEX_InstantLogger; 2012_GS_ITEX_SunScan_LAI; 2012_GS_ITEX_SunScan_PAR; 2012_GS_PFandCH_GPS; 2012_GS_ITEX_PF_ShootLightCurve; 2003-2004gsfluxleafN; 2003-2009gscurveparameters; 2003-2009gsflux; 2003-2009gsGPSandveg; 2003-2009gsharvestLAI-N; 2003-2009gsspecieslist; 2004-2009gscoverft; 2004-2009gscoversp; </t>
  </si>
  <si>
    <t>http://ecosystems.mbl.edu/ARC/meta_template.php?FileName=./terrest/tracegas/xlsfiles/2012_GS_ITEX_PercentCover.html</t>
  </si>
  <si>
    <t>http://metacat.lternet.edu/das/dataAccessServlet?docid=knb-lter-arc.10148&amp;amp;urlTail=terrest/tracegas/data/2012_GS_ITEX_PercentCover.csv</t>
  </si>
  <si>
    <t>Version 2: Missing values changed to #N/A. CH 28Jan2013</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</si>
  <si>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</si>
  <si>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</si>
  <si>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</si>
  <si>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</si>
  <si>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</si>
  <si>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</si>
  <si>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</si>
  <si>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</si>
  <si>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</si>
  <si>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</si>
  <si>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</si>
  <si>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</si>
  <si>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</si>
  <si>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</si>
  <si>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</si>
  <si>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</si>
  <si>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</si>
  <si>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 xml:space="preserve"> </t>
  </si>
  <si>
    <t>Link to Google Map</t>
  </si>
  <si>
    <t>Upland site; co-located in Block 1 of the Shrub LTER sites; IVO 68° 38'18.8" N, 149° 34' 07.2"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</si>
  <si>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</si>
  <si>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</si>
  <si>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</si>
  <si>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</si>
  <si>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</si>
  <si>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</si>
  <si>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</si>
  <si>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</si>
  <si>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</si>
  <si>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</si>
  <si>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</si>
  <si>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</si>
  <si>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</si>
  <si>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</si>
  <si>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</si>
  <si>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</si>
  <si>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</si>
  <si>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</si>
  <si>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</si>
  <si>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</si>
  <si>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</si>
  <si>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</si>
  <si>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</si>
  <si>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</si>
  <si>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</si>
  <si>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</si>
  <si>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</si>
  <si>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</si>
  <si>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</si>
  <si>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</si>
  <si>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</si>
  <si>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</si>
  <si>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</si>
  <si>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</si>
  <si>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</si>
  <si>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</si>
  <si>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</si>
  <si>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</si>
  <si>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</si>
  <si>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</si>
  <si>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</si>
  <si>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</si>
  <si>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</si>
  <si>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</si>
  <si>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</si>
  <si>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</si>
  <si>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</si>
  <si>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</si>
  <si>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</si>
  <si>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</si>
  <si>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</si>
  <si>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</si>
  <si>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</si>
  <si>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</si>
  <si>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</si>
  <si>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</si>
  <si>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</si>
  <si>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</si>
  <si>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</si>
  <si>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</si>
  <si>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</si>
  <si>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</si>
  <si>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</si>
  <si>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</si>
  <si>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</si>
  <si>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</si>
  <si>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</si>
  <si>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</si>
  <si>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</si>
  <si>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</si>
  <si>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</si>
  <si>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</si>
  <si>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</si>
  <si>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</si>
  <si>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</si>
  <si>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</si>
  <si>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</si>
  <si>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</si>
  <si>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</si>
  <si>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</si>
  <si>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</si>
  <si>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</si>
  <si>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</si>
  <si>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</si>
  <si>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</si>
  <si>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</si>
  <si>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</si>
  <si>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</si>
  <si>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</si>
  <si>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</si>
  <si>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</si>
  <si>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</si>
  <si>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</si>
  <si>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</si>
  <si>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</si>
  <si>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</si>
  <si>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</si>
  <si>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</si>
  <si>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</si>
  <si>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</si>
  <si>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</si>
  <si>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</si>
  <si>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</si>
  <si>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</si>
  <si>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</si>
  <si>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</si>
  <si>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</si>
  <si>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</si>
  <si>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</si>
  <si>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</si>
  <si>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</si>
  <si>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</si>
  <si>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</si>
  <si>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</si>
  <si>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</si>
  <si>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</si>
  <si>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</si>
  <si>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</si>
  <si>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</si>
  <si>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</si>
  <si>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</si>
  <si>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</si>
  <si>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</si>
  <si>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</si>
  <si>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</si>
  <si>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</si>
  <si>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</si>
  <si>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</si>
  <si>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</si>
  <si>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</si>
  <si>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</si>
  <si>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</si>
  <si>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</si>
  <si>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</si>
  <si>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</si>
  <si>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</si>
  <si>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</si>
  <si>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</si>
  <si>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</si>
  <si>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</si>
  <si>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</si>
  <si>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</si>
  <si>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</si>
  <si>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</si>
  <si>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</si>
  <si>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</si>
  <si>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</si>
  <si>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</si>
  <si>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</si>
  <si>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</si>
  <si>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</si>
  <si>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</si>
  <si>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</si>
  <si>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</si>
  <si>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</si>
  <si>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</si>
  <si>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</si>
  <si>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</si>
  <si>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</si>
  <si>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</si>
  <si>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</si>
  <si>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</si>
  <si>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</si>
  <si>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</si>
  <si>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</si>
  <si>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</si>
  <si>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</si>
  <si>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</si>
  <si>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</si>
  <si>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</si>
  <si>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</si>
  <si>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</si>
  <si>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</si>
  <si>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</si>
  <si>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</si>
  <si>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</si>
  <si>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</si>
  <si>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</si>
  <si>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</si>
  <si>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</si>
  <si>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</si>
  <si>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</si>
  <si>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</si>
  <si>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</si>
  <si>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</si>
  <si>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</si>
  <si>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</si>
  <si>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</si>
  <si>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</si>
  <si>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</si>
  <si>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</si>
  <si>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</si>
  <si>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</si>
  <si>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</si>
  <si>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</si>
  <si>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</si>
  <si>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</si>
  <si>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</si>
  <si>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</si>
  <si>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</si>
  <si>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</si>
  <si>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</si>
  <si>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</si>
  <si>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</si>
  <si>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</si>
  <si>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</si>
  <si>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</si>
  <si>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</si>
  <si>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</si>
  <si>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</si>
  <si>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</si>
  <si>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</si>
  <si>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</si>
  <si>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</si>
  <si>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</si>
  <si>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</si>
  <si>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</si>
  <si>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</si>
  <si>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</si>
  <si>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</si>
  <si>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</si>
  <si>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</si>
  <si>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</si>
  <si>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</si>
  <si>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</si>
  <si>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</si>
  <si>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</si>
  <si>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</si>
  <si>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</si>
  <si>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</si>
  <si>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</si>
  <si>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</si>
  <si>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</si>
  <si>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</si>
  <si>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</si>
  <si>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</si>
  <si>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</si>
  <si>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</si>
  <si>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</si>
  <si>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</si>
  <si>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</si>
  <si>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</si>
  <si>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</si>
  <si>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</si>
  <si>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</si>
  <si>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</si>
  <si>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</si>
  <si>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</si>
  <si>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</si>
  <si>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</si>
  <si>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</si>
  <si>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</si>
  <si>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</si>
  <si>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</si>
  <si>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</si>
  <si>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</si>
  <si>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</si>
  <si>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</si>
  <si>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</si>
  <si>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</si>
  <si>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</si>
  <si>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</si>
  <si>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</si>
  <si>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</si>
  <si>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</si>
  <si>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</si>
  <si>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</si>
  <si>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</si>
  <si>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</si>
  <si>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</si>
  <si>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</si>
  <si>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</si>
  <si>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</si>
  <si>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</si>
  <si>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</si>
  <si>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</si>
  <si>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</si>
  <si>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</si>
  <si>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</si>
  <si>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</si>
  <si>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</si>
  <si>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</si>
  <si>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</si>
  <si>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</si>
  <si>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</si>
  <si>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</si>
  <si>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</si>
  <si>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</si>
  <si>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</si>
  <si>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</si>
  <si>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</si>
  <si>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</si>
  <si>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</si>
  <si>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</si>
  <si>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</si>
  <si>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</si>
  <si>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</si>
  <si>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</si>
  <si>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</si>
  <si>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</si>
  <si>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</si>
  <si>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</si>
  <si>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</si>
  <si>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</si>
  <si>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</si>
  <si>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</si>
  <si>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</si>
  <si>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</si>
  <si>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</si>
  <si>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</si>
  <si>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</si>
  <si>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</si>
  <si>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</si>
  <si>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</si>
  <si>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</si>
  <si>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</si>
  <si>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</si>
  <si>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</si>
  <si>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</si>
  <si>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</si>
  <si>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</si>
  <si>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</si>
  <si>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</si>
  <si>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</si>
  <si>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</si>
  <si>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</si>
  <si>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</si>
  <si>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</si>
  <si>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</si>
  <si>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</si>
  <si>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</si>
  <si>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</si>
  <si>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</si>
  <si>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</si>
  <si>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</si>
  <si>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</si>
  <si>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</si>
  <si>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</si>
  <si>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</si>
  <si>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</si>
  <si>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</si>
  <si>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</si>
  <si>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</si>
  <si>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</si>
  <si>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</si>
  <si>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</si>
  <si>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</si>
  <si>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</si>
  <si>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</si>
  <si>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</si>
  <si>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</si>
  <si>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</si>
  <si>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</si>
  <si>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</si>
  <si>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</si>
  <si>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</si>
  <si>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</si>
  <si>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</si>
  <si>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</si>
  <si>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</si>
  <si>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</si>
  <si>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</si>
  <si>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</si>
  <si>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</si>
  <si>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</si>
  <si>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</si>
  <si>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</si>
  <si>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</si>
  <si>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</si>
  <si>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</si>
  <si>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</si>
  <si>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</si>
  <si>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</si>
  <si>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</si>
  <si>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</si>
  <si>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</si>
  <si>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</si>
  <si>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</si>
  <si>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</si>
  <si>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</si>
  <si>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</si>
  <si>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</si>
  <si>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</si>
  <si>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</si>
  <si>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</si>
  <si>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</si>
  <si>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</si>
  <si>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</si>
  <si>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</si>
  <si>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</si>
  <si>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</si>
  <si>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</si>
  <si>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</si>
  <si>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</si>
  <si>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</si>
  <si>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</si>
  <si>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</si>
  <si>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</si>
  <si>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</si>
  <si>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</si>
  <si>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</si>
  <si>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</si>
  <si>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</si>
  <si>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</si>
  <si>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</si>
  <si>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</si>
  <si>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</si>
  <si>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</si>
  <si>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</si>
  <si>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</si>
  <si>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</si>
  <si>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</si>
  <si>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</si>
  <si>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</si>
  <si>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</si>
  <si>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</si>
  <si>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</si>
  <si>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</si>
  <si>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</si>
  <si>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</si>
  <si>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</si>
  <si>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</si>
  <si>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</si>
  <si>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</si>
  <si>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</si>
  <si>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</si>
  <si>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</si>
  <si>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</si>
  <si>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</si>
  <si>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</si>
  <si>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</si>
  <si>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</si>
  <si>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</si>
  <si>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</si>
  <si>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</si>
  <si>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</si>
  <si>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</si>
  <si>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</si>
  <si>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</si>
  <si>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</si>
  <si>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</si>
  <si>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</si>
  <si>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</si>
  <si>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</si>
  <si>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</si>
  <si>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</si>
  <si>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</si>
  <si>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</si>
  <si>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</si>
  <si>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</si>
  <si>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</si>
  <si>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</si>
  <si>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</si>
  <si>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</si>
  <si>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</si>
  <si>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</si>
  <si>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</si>
  <si>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</si>
  <si>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</si>
  <si>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</si>
  <si>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</si>
  <si>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</si>
  <si>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</si>
  <si>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</si>
  <si>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</si>
  <si>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</si>
  <si>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</si>
  <si>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</si>
  <si>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</si>
  <si>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</si>
  <si>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</si>
  <si>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</si>
  <si>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</si>
  <si>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</si>
  <si>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</si>
  <si>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</si>
  <si>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</si>
  <si>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</si>
  <si>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</si>
  <si>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</si>
  <si>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</si>
  <si>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</si>
  <si>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</si>
  <si>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</si>
  <si>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</si>
  <si>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</si>
  <si>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</si>
  <si>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</si>
  <si>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</si>
  <si>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</si>
  <si>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</si>
  <si>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</si>
  <si>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</si>
  <si>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</si>
  <si>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</si>
  <si>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</si>
  <si>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</si>
  <si>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</si>
  <si>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</si>
  <si>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</si>
  <si>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</si>
  <si>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</si>
  <si>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</si>
  <si>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</si>
  <si>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</si>
  <si>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</si>
  <si>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</si>
  <si>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</si>
  <si>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</si>
  <si>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</si>
  <si>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</si>
  <si>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</si>
  <si>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</si>
  <si>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</si>
  <si>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</si>
  <si>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</si>
  <si>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</si>
  <si>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</si>
  <si>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</si>
  <si>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</si>
  <si>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</si>
  <si>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</si>
  <si>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</si>
  <si>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</si>
  <si>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</si>
  <si>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</si>
  <si>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</si>
  <si>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</si>
  <si>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</si>
  <si>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</si>
  <si>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</si>
  <si>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</si>
  <si>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</si>
  <si>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</si>
  <si>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</si>
  <si>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</si>
  <si>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</si>
  <si>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</si>
  <si>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</si>
  <si>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</si>
  <si>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</si>
  <si>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</si>
  <si>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</si>
  <si>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</si>
  <si>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</si>
  <si>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</si>
  <si>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</si>
  <si>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</si>
  <si>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</si>
  <si>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</si>
  <si>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</si>
  <si>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</si>
  <si>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</si>
  <si>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</si>
  <si>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</si>
  <si>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</si>
  <si>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</si>
  <si>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</si>
  <si>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</si>
  <si>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</si>
  <si>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</si>
  <si>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</si>
  <si>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</si>
  <si>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</si>
  <si>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</si>
  <si>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</si>
  <si>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</si>
  <si>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</si>
  <si>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</si>
  <si>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</si>
  <si>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</si>
  <si>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</si>
  <si>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</si>
  <si>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</si>
  <si>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</si>
  <si>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</si>
  <si>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</si>
  <si>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</si>
  <si>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</si>
  <si>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</si>
  <si>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</si>
  <si>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</si>
  <si>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</si>
  <si>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</si>
  <si>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</si>
  <si>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</si>
  <si>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</si>
  <si>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</si>
  <si>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</si>
  <si>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</si>
  <si>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</si>
  <si>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</si>
  <si>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</si>
  <si>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</si>
  <si>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</si>
  <si>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</si>
  <si>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</si>
  <si>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</si>
  <si>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</si>
  <si>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</si>
  <si>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</si>
  <si>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</si>
  <si>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</si>
  <si>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</si>
  <si>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</si>
  <si>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</si>
  <si>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</si>
  <si>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</si>
  <si>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</si>
  <si>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</si>
  <si>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</si>
  <si>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</si>
  <si>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</si>
  <si>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</si>
  <si>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</si>
  <si>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</si>
  <si>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</si>
  <si>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</si>
  <si>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</si>
  <si>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</si>
  <si>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</si>
  <si>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</si>
  <si>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</si>
  <si>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</si>
  <si>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</si>
  <si>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</si>
  <si>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</si>
  <si>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</si>
  <si>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</si>
  <si>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</si>
  <si>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</si>
  <si>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</si>
  <si>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</si>
  <si>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</si>
  <si>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</si>
  <si>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</si>
  <si>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</si>
  <si>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</si>
  <si>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</si>
  <si>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</si>
  <si>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</si>
  <si>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</si>
  <si>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</si>
  <si>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</si>
  <si>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</si>
  <si>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</si>
  <si>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</si>
  <si>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</si>
  <si>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</si>
  <si>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</si>
  <si>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</si>
  <si>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</si>
  <si>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</si>
  <si>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</si>
  <si>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</si>
  <si>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</si>
  <si>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</si>
  <si>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</si>
  <si>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</si>
  <si>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</si>
  <si>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</si>
  <si>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</si>
  <si>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</si>
  <si>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</si>
  <si>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</si>
  <si>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</si>
  <si>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</si>
  <si>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</si>
  <si>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</si>
  <si>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</si>
  <si>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</si>
  <si>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</si>
  <si>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</si>
  <si>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</si>
  <si>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</si>
  <si>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</si>
  <si>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</si>
  <si>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</si>
  <si>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</si>
  <si>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</si>
  <si>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</si>
  <si>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</si>
  <si>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</si>
  <si>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</si>
  <si>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</si>
  <si>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</si>
  <si>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</si>
  <si>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</si>
  <si>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</si>
  <si>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</si>
  <si>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</si>
  <si>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</si>
  <si>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</si>
  <si>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</si>
  <si>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</si>
  <si>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</si>
  <si>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</si>
  <si>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</si>
  <si>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</si>
  <si>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</si>
  <si>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</si>
  <si>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</si>
  <si>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</si>
  <si>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</si>
  <si>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</si>
  <si>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</si>
  <si>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</si>
  <si>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</si>
  <si>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</si>
  <si>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</si>
  <si>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</si>
  <si>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</si>
  <si>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</si>
  <si>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</si>
  <si>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</si>
  <si>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</si>
  <si>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</si>
  <si>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</si>
  <si>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</si>
  <si>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</si>
  <si>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</si>
  <si>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</si>
  <si>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</si>
  <si>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</si>
  <si>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</si>
  <si>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</si>
  <si>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</si>
  <si>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</si>
  <si>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</si>
  <si>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</si>
  <si>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</si>
  <si>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</si>
  <si>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</si>
  <si>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</si>
  <si>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</si>
  <si>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</si>
  <si>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</si>
  <si>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</si>
  <si>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</si>
  <si>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</si>
  <si>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</si>
  <si>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</si>
  <si>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</si>
  <si>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</si>
  <si>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</si>
  <si>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</si>
  <si>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</si>
  <si>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</si>
  <si>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</si>
  <si>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</si>
  <si>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</si>
  <si>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</si>
  <si>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</si>
  <si>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</si>
  <si>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</si>
  <si>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</si>
  <si>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</si>
  <si>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</si>
  <si>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</si>
  <si>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</si>
  <si>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</si>
  <si>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</si>
  <si>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</si>
  <si>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</si>
  <si>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</si>
  <si>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</si>
  <si>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</si>
  <si>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</si>
  <si>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</si>
  <si>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</si>
  <si>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</si>
  <si>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</si>
  <si>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</si>
  <si>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</si>
  <si>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</si>
  <si>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</si>
  <si>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</si>
  <si>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</si>
  <si>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</si>
  <si>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</si>
  <si>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</si>
  <si>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</si>
  <si>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</si>
  <si>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</si>
  <si>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</si>
  <si>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</si>
  <si>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</si>
  <si>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</si>
  <si>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</si>
  <si>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</si>
  <si>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</si>
  <si>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</si>
  <si>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</si>
  <si>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</si>
  <si>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</si>
  <si>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</si>
  <si>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</si>
  <si>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</si>
  <si>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</si>
  <si>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</si>
  <si>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</si>
  <si>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</si>
  <si>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</si>
  <si>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</si>
  <si>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</si>
  <si>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</si>
  <si>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</si>
  <si>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</si>
  <si>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</si>
  <si>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</si>
  <si>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</si>
  <si>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</si>
  <si>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</si>
  <si>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</si>
  <si>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</si>
  <si>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</si>
  <si>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</si>
  <si>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</si>
  <si>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</si>
  <si>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</si>
  <si>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</si>
  <si>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</si>
  <si>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</si>
  <si>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</si>
  <si>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</si>
  <si>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</si>
  <si>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</si>
  <si>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</si>
  <si>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</si>
  <si>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</si>
  <si>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</si>
  <si>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</si>
  <si>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</si>
  <si>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</si>
  <si>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</si>
  <si>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</si>
  <si>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</si>
  <si>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</si>
  <si>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</si>
  <si>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</si>
  <si>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</si>
  <si>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</si>
  <si>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</si>
  <si>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</si>
  <si>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</si>
  <si>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</si>
  <si>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</si>
  <si>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</si>
  <si>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</si>
  <si>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</si>
  <si>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</si>
  <si>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</si>
  <si>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</si>
  <si>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</si>
  <si>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</si>
  <si>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</si>
  <si>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</si>
  <si>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</si>
  <si>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</si>
  <si>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</si>
  <si>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</si>
  <si>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</si>
  <si>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</si>
  <si>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</si>
  <si>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</si>
  <si>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</si>
  <si>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</si>
  <si>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</si>
  <si>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</si>
  <si>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</si>
  <si>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</si>
  <si>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</si>
  <si>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</si>
  <si>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</si>
  <si>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</si>
  <si>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</si>
  <si>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</si>
  <si>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</si>
  <si>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</si>
  <si>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</si>
  <si>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</si>
  <si>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</si>
  <si>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</si>
  <si>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</si>
  <si>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</si>
  <si>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</si>
  <si>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</si>
  <si>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</si>
  <si>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</si>
  <si>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</si>
  <si>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</si>
  <si>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</si>
  <si>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</si>
  <si>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</si>
  <si>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</si>
  <si>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</si>
  <si>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</si>
  <si>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</si>
  <si>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</si>
  <si>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</si>
  <si>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</si>
  <si>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</si>
  <si>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</si>
  <si>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</si>
  <si>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</si>
  <si>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</si>
  <si>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</si>
  <si>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</si>
  <si>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</si>
  <si>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</si>
  <si>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</si>
  <si>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</si>
  <si>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</si>
  <si>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</si>
  <si>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</si>
  <si>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</si>
  <si>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</si>
  <si>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</si>
  <si>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</si>
  <si>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</si>
  <si>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</si>
  <si>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</si>
  <si>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</si>
  <si>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</si>
  <si>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</si>
  <si>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</si>
  <si>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</si>
  <si>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</si>
  <si>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</si>
  <si>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</si>
  <si>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</si>
  <si>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</si>
  <si>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</si>
  <si>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</si>
  <si>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</si>
  <si>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</si>
  <si>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</si>
  <si>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</si>
  <si>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</si>
  <si>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</si>
  <si>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</si>
  <si>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</si>
  <si>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</si>
  <si>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</si>
  <si>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</si>
  <si>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</si>
  <si>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</si>
  <si>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</si>
  <si>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</si>
  <si>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</si>
  <si>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</si>
  <si>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</si>
  <si>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</si>
  <si>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</si>
  <si>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</si>
  <si>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</si>
  <si>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</si>
  <si>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</si>
  <si>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</si>
  <si>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</si>
  <si>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</si>
  <si>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</si>
  <si>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</si>
  <si>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</si>
  <si>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</si>
  <si>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</si>
  <si>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</si>
  <si>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</si>
  <si>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</si>
  <si>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</si>
  <si>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</si>
  <si>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</si>
  <si>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</si>
  <si>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</si>
  <si>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</si>
  <si>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</si>
  <si>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</si>
  <si>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</si>
  <si>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</si>
  <si>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</si>
  <si>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</si>
  <si>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</si>
  <si>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</si>
  <si>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</si>
  <si>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</si>
  <si>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</si>
  <si>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</si>
  <si>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</si>
  <si>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</si>
  <si>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</si>
  <si>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</si>
  <si>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</si>
  <si>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</si>
  <si>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</si>
  <si>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</si>
  <si>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</si>
  <si>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</si>
  <si>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</si>
  <si>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</si>
  <si>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</si>
  <si>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</si>
  <si>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</si>
  <si>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</si>
  <si>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</si>
  <si>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</si>
  <si>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</si>
  <si>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</si>
  <si>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</si>
  <si>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</si>
  <si>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</si>
  <si>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</si>
  <si>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</si>
  <si>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</si>
  <si>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</si>
  <si>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</si>
  <si>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</si>
  <si>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</si>
  <si>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</si>
  <si>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</si>
  <si>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</si>
  <si>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</si>
  <si>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</si>
  <si>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</si>
  <si>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</si>
  <si>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</si>
  <si>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</si>
  <si>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</si>
  <si>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</si>
  <si>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</si>
  <si>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</si>
  <si>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</si>
  <si>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</si>
  <si>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</si>
  <si>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</si>
  <si>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</si>
  <si>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</si>
  <si>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</si>
  <si>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</si>
  <si>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</si>
  <si>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</si>
  <si>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</si>
  <si>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</si>
  <si>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</si>
  <si>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</si>
  <si>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</si>
  <si>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</si>
  <si>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</si>
  <si>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</si>
  <si>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</si>
  <si>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</si>
  <si>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</si>
  <si>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</si>
  <si>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</si>
  <si>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</si>
  <si>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</si>
  <si>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</si>
  <si>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</si>
  <si>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</si>
  <si>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</si>
  <si>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</si>
  <si>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</si>
  <si>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</si>
  <si>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</si>
  <si>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</si>
  <si>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</si>
  <si>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</si>
  <si>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</si>
  <si>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</si>
  <si>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</si>
  <si>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</si>
  <si>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</si>
  <si>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</si>
  <si>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</si>
  <si>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</si>
  <si>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</si>
  <si>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</si>
  <si>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</si>
  <si>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</si>
  <si>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</si>
  <si>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</si>
  <si>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</si>
  <si>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</si>
  <si>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</si>
  <si>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</si>
  <si>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</si>
  <si>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</si>
  <si>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</si>
  <si>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</si>
  <si>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</si>
  <si>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</si>
  <si>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</si>
  <si>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</si>
  <si>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</si>
  <si>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</si>
  <si>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</si>
  <si>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</si>
  <si>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</si>
  <si>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</si>
  <si>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</si>
  <si>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</si>
  <si>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</si>
  <si>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</si>
  <si>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</si>
  <si>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</si>
  <si>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</si>
  <si>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</si>
  <si>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</si>
  <si>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</si>
  <si>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</si>
  <si>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</si>
  <si>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</si>
  <si>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</si>
  <si>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</si>
  <si>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</si>
  <si>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</si>
  <si>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</si>
  <si>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</si>
  <si>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</si>
  <si>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</si>
  <si>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</si>
  <si>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</si>
  <si>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</si>
  <si>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</si>
  <si>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</si>
  <si>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</si>
  <si>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</si>
  <si>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</si>
  <si>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</si>
  <si>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</si>
  <si>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</si>
  <si>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</si>
  <si>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</si>
  <si>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</si>
  <si>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</si>
  <si>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</si>
  <si>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</si>
  <si>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</si>
  <si>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</si>
  <si>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</si>
  <si>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</si>
  <si>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</si>
  <si>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</si>
  <si>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</si>
  <si>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</si>
  <si>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</si>
  <si>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</si>
  <si>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</si>
  <si>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</si>
  <si>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</si>
  <si>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</si>
  <si>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</si>
  <si>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</si>
  <si>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</si>
  <si>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</si>
  <si>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</si>
  <si>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</si>
  <si>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</si>
  <si>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</si>
  <si>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</si>
  <si>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</si>
  <si>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</si>
  <si>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</si>
  <si>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</si>
  <si>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</si>
  <si>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</si>
  <si>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</si>
  <si>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</si>
  <si>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</si>
  <si>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</si>
  <si>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</si>
  <si>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</si>
  <si>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</si>
  <si>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</si>
  <si>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</si>
  <si>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</si>
  <si>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</si>
  <si>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</si>
  <si>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</si>
  <si>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</si>
  <si>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</si>
  <si>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</si>
  <si>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</si>
  <si>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</si>
  <si>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</si>
  <si>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</si>
  <si>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</si>
  <si>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</si>
  <si>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</si>
  <si>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</si>
  <si>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</si>
  <si>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</si>
  <si>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</si>
  <si>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</si>
  <si>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</si>
  <si>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</si>
  <si>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</si>
  <si>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</si>
  <si>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</si>
  <si>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</si>
  <si>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</si>
  <si>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</si>
  <si>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</si>
  <si>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</si>
  <si>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</si>
  <si>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</si>
  <si>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</si>
  <si>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</si>
  <si>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</si>
  <si>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</si>
  <si>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</si>
  <si>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</si>
  <si>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</si>
  <si>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</si>
  <si>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</si>
  <si>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</si>
  <si>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</si>
  <si>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</si>
  <si>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</si>
  <si>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</si>
  <si>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</si>
  <si>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</si>
  <si>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</si>
  <si>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</si>
  <si>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</si>
  <si>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</si>
  <si>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</si>
  <si>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</si>
  <si>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</si>
  <si>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</si>
  <si>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</si>
  <si>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</si>
  <si>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</si>
  <si>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</si>
  <si>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</si>
  <si>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</si>
  <si>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</si>
  <si>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</si>
  <si>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</si>
  <si>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</si>
  <si>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</si>
  <si>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</si>
  <si>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</si>
  <si>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</si>
  <si>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</si>
  <si>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</si>
  <si>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</si>
  <si>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</si>
  <si>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</si>
  <si>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</si>
  <si>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</si>
  <si>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</si>
  <si>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</si>
  <si>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</si>
  <si>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</si>
  <si>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</si>
  <si>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</si>
  <si>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</si>
  <si>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</si>
  <si>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</si>
  <si>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</si>
  <si>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</si>
  <si>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</si>
  <si>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</si>
  <si>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</si>
  <si>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</si>
  <si>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</si>
  <si>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</si>
  <si>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</si>
  <si>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</si>
  <si>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#N/A=Missing or Not Measured</t>
  </si>
  <si>
    <t xml:space="preserve">Version 3: Updated metadata to newer version (with sites sheet). CH April 2013. </t>
  </si>
  <si>
    <t>2012_GS_ITEX_PercentCover.04</t>
  </si>
  <si>
    <t>Version 4: Corrected eml excel file name wrong extension. JimL 16May13</t>
  </si>
  <si>
    <t>knb-lter-arc.10148.4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</si>
</sst>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
    <numFmt numFmtId="165" formatCode="dd\-mmm\-yyyy"/>
    <numFmt numFmtId="166" formatCode="0.00000"/>
  </numFmts>
  <fonts count="51" x14ac:knownFonts="1">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Calibri"/>
      <family val="2"/>
    </font>
    <font>
      <sz val="11"/>
      <color indexed="8"/>
      <name val="Calibri"/>
      <family val="2"/>
    </font>
    <font>
      <i/>
      <sz val="11"/>
      <color indexed="8"/>
      <name val="Calibri"/>
      <family val="2"/>
    </font>
    <font>
      <sz val="11"/>
      <color indexed="8"/>
      <name val="Calibri"/>
      <family val="2"/>
      <scheme val="minor"/>
    </font>
    <font>
      <sz val="11"/>
      <name val="Calibri"/>
      <family val="2"/>
      <scheme val="minor"/>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0"/>
      <color indexed="10"/>
      <name val="Arial"/>
      <family val="2"/>
    </font>
    <font>
      <b/>
      <sz val="9"/>
      <color indexed="81"/>
      <name val="Tahoma"/>
      <family val="2"/>
    </font>
    <font>
      <b/>
      <sz val="8"/>
      <color indexed="39"/>
      <name val="Tahoma"/>
      <family val="2"/>
    </font>
    <font>
      <b/>
      <sz val="8"/>
      <color indexed="12"/>
      <name val="Arial"/>
      <family val="2"/>
    </font>
    <font>
      <b/>
      <sz val="8"/>
      <color indexed="10"/>
      <name val="Arial"/>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66FF99"/>
        <bgColor indexed="64"/>
      </patternFill>
    </fill>
    <fill>
      <patternFill patternType="solid">
        <fgColor rgb="FFCCFFFF"/>
        <bgColor indexed="31"/>
      </patternFill>
    </fill>
    <fill>
      <patternFill patternType="solid">
        <fgColor indexed="41"/>
        <bgColor indexed="64"/>
      </patternFill>
    </fill>
    <fill>
      <patternFill patternType="solid">
        <fgColor indexed="22"/>
        <bgColor indexed="64"/>
      </patternFill>
    </fill>
    <fill>
      <patternFill patternType="solid">
        <fgColor rgb="FFCCFFFF"/>
        <bgColor indexed="64"/>
      </patternFill>
    </fill>
    <fill>
      <patternFill patternType="solid">
        <fgColor rgb="FF00FFFF"/>
        <bgColor indexed="64"/>
      </patternFill>
    </fill>
  </fills>
  <borders count="20">
    <border>
      <left/>
      <right/>
      <top/>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1">
    <xf numFmtId="0" fontId="0" fillId="0" borderId="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5" applyNumberFormat="0" applyAlignment="0" applyProtection="0"/>
    <xf numFmtId="0" fontId="15" fillId="6" borderId="6" applyNumberFormat="0" applyAlignment="0" applyProtection="0"/>
    <xf numFmtId="0" fontId="16" fillId="6" borderId="5" applyNumberFormat="0" applyAlignment="0" applyProtection="0"/>
    <xf numFmtId="0" fontId="17" fillId="0" borderId="7" applyNumberFormat="0" applyFill="0" applyAlignment="0" applyProtection="0"/>
    <xf numFmtId="0" fontId="18" fillId="7"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2" fillId="32" borderId="0" applyNumberFormat="0" applyBorder="0" applyAlignment="0" applyProtection="0"/>
    <xf numFmtId="0" fontId="5" fillId="0" borderId="0"/>
    <xf numFmtId="0" fontId="5" fillId="8" borderId="9" applyNumberFormat="0" applyFont="0" applyAlignment="0" applyProtection="0"/>
    <xf numFmtId="0" fontId="23" fillId="0" borderId="0"/>
    <xf numFmtId="0" fontId="23" fillId="0" borderId="0"/>
    <xf numFmtId="0" fontId="25" fillId="0" borderId="0"/>
    <xf numFmtId="0" fontId="4" fillId="0" borderId="0"/>
    <xf numFmtId="0" fontId="3" fillId="0" borderId="0"/>
    <xf numFmtId="0" fontId="2" fillId="0" borderId="0"/>
    <xf numFmtId="0" fontId="1" fillId="0" borderId="0"/>
    <xf numFmtId="0" fontId="33" fillId="0" borderId="0" applyNumberFormat="0" applyFill="0" applyBorder="0" applyAlignment="0" applyProtection="0">
      <alignment vertical="top"/>
      <protection locked="0"/>
    </xf>
  </cellStyleXfs>
  <cellXfs count="127">
    <xf numFmtId="0" fontId="0" fillId="0" borderId="0" xfId="0"/>
    <xf numFmtId="0" fontId="0" fillId="0" borderId="0" xfId="0" applyFill="1" applyBorder="1"/>
    <xf numFmtId="0" fontId="0" fillId="0" borderId="0" xfId="0" applyFont="1" applyFill="1" applyBorder="1"/>
    <xf numFmtId="0" fontId="0" fillId="0" borderId="0" xfId="0" applyFont="1" applyFill="1" applyBorder="1" applyAlignment="1"/>
    <xf numFmtId="0" fontId="24" fillId="0" borderId="0" xfId="0" applyFont="1" applyFill="1" applyBorder="1"/>
    <xf numFmtId="0" fontId="0" fillId="0" borderId="0" xfId="0" applyFill="1" applyBorder="1" applyAlignment="1"/>
    <xf numFmtId="0" fontId="27" fillId="0" borderId="0" xfId="45" applyFont="1" applyFill="1" applyBorder="1"/>
    <xf numFmtId="0" fontId="28" fillId="0" borderId="0" xfId="45" applyFont="1" applyFill="1" applyBorder="1" applyAlignment="1">
      <alignment horizontal="left"/>
    </xf>
    <xf numFmtId="1" fontId="27" fillId="0" borderId="0" xfId="45" applyNumberFormat="1" applyFont="1" applyFill="1" applyBorder="1"/>
    <xf numFmtId="164" fontId="27" fillId="0" borderId="0" xfId="45" applyNumberFormat="1" applyFont="1" applyFill="1" applyBorder="1"/>
    <xf numFmtId="0" fontId="27" fillId="0" borderId="0" xfId="45" applyFont="1" applyFill="1" applyBorder="1" applyAlignment="1">
      <alignment horizontal="right"/>
    </xf>
    <xf numFmtId="0" fontId="28" fillId="0" borderId="0" xfId="45" applyFont="1" applyFill="1" applyBorder="1" applyAlignment="1">
      <alignment horizontal="right"/>
    </xf>
    <xf numFmtId="1" fontId="28" fillId="0" borderId="0" xfId="45" applyNumberFormat="1" applyFont="1" applyFill="1" applyBorder="1" applyAlignment="1">
      <alignment horizontal="right"/>
    </xf>
    <xf numFmtId="0" fontId="0" fillId="0" borderId="0" xfId="0" applyFill="1"/>
    <xf numFmtId="0" fontId="29" fillId="0" borderId="0" xfId="43" applyFont="1" applyAlignment="1" applyProtection="1">
      <alignment vertical="top"/>
    </xf>
    <xf numFmtId="0" fontId="23" fillId="0" borderId="0" xfId="43" applyFont="1" applyAlignment="1" applyProtection="1">
      <alignment horizontal="left" wrapText="1"/>
      <protection locked="0"/>
    </xf>
    <xf numFmtId="0" fontId="30" fillId="0" borderId="0" xfId="43" applyFont="1" applyProtection="1">
      <protection locked="0"/>
    </xf>
    <xf numFmtId="0" fontId="31" fillId="0" borderId="0" xfId="43" applyFont="1" applyProtection="1">
      <protection locked="0"/>
    </xf>
    <xf numFmtId="0" fontId="23" fillId="0" borderId="0" xfId="43" applyFont="1"/>
    <xf numFmtId="0" fontId="32" fillId="0" borderId="12" xfId="43" applyFont="1" applyFill="1" applyBorder="1" applyAlignment="1" applyProtection="1"/>
    <xf numFmtId="0" fontId="32" fillId="0" borderId="12" xfId="43" applyFont="1" applyFill="1" applyBorder="1" applyAlignment="1" applyProtection="1">
      <alignment horizontal="left"/>
    </xf>
    <xf numFmtId="0" fontId="23" fillId="0" borderId="0" xfId="43" applyFont="1" applyProtection="1">
      <protection locked="0"/>
    </xf>
    <xf numFmtId="0" fontId="32" fillId="0" borderId="13" xfId="43" applyFont="1" applyBorder="1" applyAlignment="1" applyProtection="1"/>
    <xf numFmtId="0" fontId="31" fillId="34" borderId="12" xfId="43" applyFont="1" applyFill="1" applyBorder="1" applyAlignment="1" applyProtection="1">
      <alignment vertical="top"/>
    </xf>
    <xf numFmtId="0" fontId="23" fillId="0" borderId="0" xfId="43" applyFont="1" applyFill="1" applyBorder="1"/>
    <xf numFmtId="0" fontId="23" fillId="0" borderId="0" xfId="43" applyFont="1" applyAlignment="1" applyProtection="1">
      <alignment vertical="top"/>
    </xf>
    <xf numFmtId="0" fontId="23" fillId="0" borderId="0" xfId="43" applyFont="1" applyAlignment="1" applyProtection="1">
      <protection locked="0"/>
    </xf>
    <xf numFmtId="0" fontId="23" fillId="0" borderId="0" xfId="43" applyNumberFormat="1" applyFont="1" applyAlignment="1" applyProtection="1">
      <alignment horizontal="left"/>
      <protection locked="0"/>
    </xf>
    <xf numFmtId="0" fontId="34" fillId="0" borderId="0" xfId="43" applyFont="1" applyAlignment="1" applyProtection="1">
      <protection locked="0"/>
    </xf>
    <xf numFmtId="0" fontId="23" fillId="35" borderId="12" xfId="43" applyFont="1" applyFill="1" applyBorder="1" applyAlignment="1" applyProtection="1">
      <alignment horizontal="left" wrapText="1"/>
      <protection locked="0"/>
    </xf>
    <xf numFmtId="0" fontId="23" fillId="0" borderId="0" xfId="43" applyFont="1" applyAlignment="1" applyProtection="1">
      <alignment vertical="top" wrapText="1"/>
    </xf>
    <xf numFmtId="0" fontId="35" fillId="34" borderId="12" xfId="43" applyFont="1" applyFill="1" applyBorder="1" applyAlignment="1" applyProtection="1">
      <alignment vertical="top" wrapText="1"/>
    </xf>
    <xf numFmtId="0" fontId="31" fillId="34" borderId="12" xfId="43" applyFont="1" applyFill="1" applyBorder="1" applyAlignment="1" applyProtection="1">
      <alignment horizontal="left" wrapText="1"/>
    </xf>
    <xf numFmtId="49" fontId="31" fillId="33" borderId="0" xfId="43" applyNumberFormat="1" applyFont="1" applyFill="1" applyBorder="1" applyAlignment="1" applyProtection="1">
      <alignment horizontal="right" vertical="top"/>
    </xf>
    <xf numFmtId="49" fontId="23" fillId="36" borderId="12" xfId="43" applyNumberFormat="1" applyFont="1" applyFill="1" applyBorder="1" applyAlignment="1" applyProtection="1">
      <alignment horizontal="left" wrapText="1"/>
      <protection locked="0"/>
    </xf>
    <xf numFmtId="49" fontId="23" fillId="0" borderId="0" xfId="43" applyNumberFormat="1" applyFont="1"/>
    <xf numFmtId="0" fontId="23" fillId="0" borderId="0" xfId="43" applyFont="1" applyFill="1" applyBorder="1" applyAlignment="1" applyProtection="1">
      <alignment horizontal="right" vertical="top"/>
    </xf>
    <xf numFmtId="0" fontId="23" fillId="0" borderId="0" xfId="43" applyFont="1" applyFill="1" applyAlignment="1" applyProtection="1">
      <alignment horizontal="left" wrapText="1"/>
      <protection locked="0"/>
    </xf>
    <xf numFmtId="0" fontId="23" fillId="0" borderId="0" xfId="43" applyFont="1" applyFill="1" applyProtection="1">
      <protection locked="0"/>
    </xf>
    <xf numFmtId="0" fontId="23" fillId="0" borderId="0" xfId="43" applyFont="1" applyFill="1" applyAlignment="1" applyProtection="1">
      <alignment horizontal="right" vertical="top" wrapText="1"/>
    </xf>
    <xf numFmtId="0" fontId="31" fillId="34" borderId="12" xfId="43" applyNumberFormat="1" applyFont="1" applyFill="1" applyBorder="1" applyAlignment="1" applyProtection="1">
      <alignment vertical="top" wrapText="1"/>
    </xf>
    <xf numFmtId="0" fontId="23" fillId="0" borderId="0" xfId="43" applyFont="1" applyBorder="1" applyAlignment="1" applyProtection="1">
      <alignment horizontal="left" wrapText="1"/>
      <protection locked="0"/>
    </xf>
    <xf numFmtId="0" fontId="32" fillId="0" borderId="12" xfId="43" applyFont="1" applyFill="1" applyBorder="1" applyAlignment="1" applyProtection="1">
      <alignment horizontal="right"/>
    </xf>
    <xf numFmtId="0" fontId="32" fillId="0" borderId="13" xfId="43" applyFont="1" applyBorder="1" applyAlignment="1"/>
    <xf numFmtId="0" fontId="31" fillId="37" borderId="0" xfId="43" applyNumberFormat="1" applyFont="1" applyFill="1" applyAlignment="1" applyProtection="1">
      <alignment horizontal="right" vertical="top" wrapText="1"/>
    </xf>
    <xf numFmtId="0" fontId="31" fillId="37" borderId="0" xfId="43" applyFont="1" applyFill="1" applyAlignment="1" applyProtection="1">
      <alignment horizontal="right" vertical="top" wrapText="1"/>
    </xf>
    <xf numFmtId="0" fontId="31" fillId="37" borderId="0" xfId="43" applyFont="1" applyFill="1" applyAlignment="1" applyProtection="1">
      <alignment horizontal="right" vertical="top"/>
    </xf>
    <xf numFmtId="0" fontId="31" fillId="37" borderId="0" xfId="43" applyFont="1" applyFill="1" applyBorder="1" applyAlignment="1" applyProtection="1">
      <alignment horizontal="right" vertical="top"/>
    </xf>
    <xf numFmtId="0" fontId="31" fillId="34" borderId="14" xfId="43" applyFont="1" applyFill="1" applyBorder="1" applyAlignment="1" applyProtection="1">
      <alignment horizontal="left" vertical="top"/>
    </xf>
    <xf numFmtId="0" fontId="31" fillId="37" borderId="0" xfId="43" applyFont="1" applyFill="1" applyBorder="1" applyAlignment="1" applyProtection="1">
      <alignment horizontal="left" vertical="top"/>
    </xf>
    <xf numFmtId="0" fontId="31" fillId="34" borderId="12" xfId="43" applyFont="1" applyFill="1" applyBorder="1" applyAlignment="1" applyProtection="1">
      <alignment horizontal="left" vertical="top"/>
    </xf>
    <xf numFmtId="0" fontId="23" fillId="0" borderId="12" xfId="43" applyFont="1" applyBorder="1" applyAlignment="1" applyProtection="1">
      <alignment horizontal="left" wrapText="1"/>
      <protection locked="0"/>
    </xf>
    <xf numFmtId="0" fontId="31" fillId="0" borderId="0" xfId="43" applyFont="1" applyFill="1" applyBorder="1" applyAlignment="1" applyProtection="1">
      <alignment horizontal="right" vertical="top"/>
    </xf>
    <xf numFmtId="0" fontId="23" fillId="0" borderId="0" xfId="43" applyFont="1" applyFill="1" applyBorder="1" applyAlignment="1" applyProtection="1">
      <alignment horizontal="left" wrapText="1"/>
      <protection locked="0"/>
    </xf>
    <xf numFmtId="0" fontId="31" fillId="34" borderId="12" xfId="43" applyFont="1" applyFill="1" applyBorder="1" applyAlignment="1" applyProtection="1">
      <alignment wrapText="1"/>
    </xf>
    <xf numFmtId="0" fontId="31" fillId="37" borderId="0" xfId="43" applyFont="1" applyFill="1" applyBorder="1" applyAlignment="1" applyProtection="1">
      <alignment horizontal="right" wrapText="1"/>
    </xf>
    <xf numFmtId="0" fontId="31" fillId="37" borderId="1" xfId="43" applyFont="1" applyFill="1" applyBorder="1" applyAlignment="1" applyProtection="1">
      <alignment horizontal="right" wrapText="1"/>
    </xf>
    <xf numFmtId="0" fontId="31" fillId="34" borderId="12" xfId="43" applyFont="1" applyFill="1" applyBorder="1" applyAlignment="1" applyProtection="1">
      <alignment vertical="top" wrapText="1"/>
    </xf>
    <xf numFmtId="0" fontId="34" fillId="0" borderId="0" xfId="43" applyFont="1"/>
    <xf numFmtId="0" fontId="23" fillId="0" borderId="0" xfId="43" applyFont="1" applyAlignment="1" applyProtection="1"/>
    <xf numFmtId="0" fontId="23" fillId="0" borderId="0" xfId="43" applyNumberFormat="1" applyFont="1" applyAlignment="1" applyProtection="1">
      <protection locked="0"/>
    </xf>
    <xf numFmtId="0" fontId="23" fillId="0" borderId="0" xfId="43" applyFont="1" applyFill="1" applyAlignment="1" applyProtection="1">
      <alignment vertical="center"/>
      <protection locked="0"/>
    </xf>
    <xf numFmtId="0" fontId="23" fillId="0" borderId="0" xfId="43" applyFont="1" applyAlignment="1" applyProtection="1">
      <alignment vertical="center"/>
      <protection locked="0"/>
    </xf>
    <xf numFmtId="0" fontId="23" fillId="0" borderId="0" xfId="43" applyFont="1" applyAlignment="1" applyProtection="1">
      <alignment horizontal="left"/>
      <protection locked="0"/>
    </xf>
    <xf numFmtId="0" fontId="31" fillId="34" borderId="16" xfId="43" applyFont="1" applyFill="1" applyBorder="1" applyAlignment="1" applyProtection="1">
      <alignment horizontal="left"/>
    </xf>
    <xf numFmtId="0" fontId="23" fillId="34" borderId="17" xfId="43" applyNumberFormat="1" applyFont="1" applyFill="1" applyBorder="1" applyAlignment="1" applyProtection="1">
      <alignment horizontal="left"/>
    </xf>
    <xf numFmtId="0" fontId="31" fillId="34" borderId="18" xfId="43" applyFont="1" applyFill="1" applyBorder="1" applyAlignment="1" applyProtection="1">
      <alignment horizontal="right" wrapText="1"/>
    </xf>
    <xf numFmtId="0" fontId="23" fillId="36" borderId="13" xfId="43" applyFont="1" applyFill="1" applyBorder="1" applyAlignment="1" applyProtection="1">
      <protection locked="0"/>
    </xf>
    <xf numFmtId="0" fontId="31" fillId="34" borderId="1" xfId="43" applyFont="1" applyFill="1" applyBorder="1" applyAlignment="1" applyProtection="1">
      <alignment horizontal="right"/>
    </xf>
    <xf numFmtId="0" fontId="23" fillId="36" borderId="19" xfId="43" applyFont="1" applyFill="1" applyBorder="1" applyAlignment="1" applyProtection="1">
      <protection locked="0"/>
    </xf>
    <xf numFmtId="0" fontId="31" fillId="0" borderId="0" xfId="43" applyFont="1" applyAlignment="1" applyProtection="1">
      <alignment horizontal="center" vertical="top"/>
    </xf>
    <xf numFmtId="0" fontId="31" fillId="34" borderId="12" xfId="43" applyFont="1" applyFill="1" applyBorder="1" applyAlignment="1" applyProtection="1">
      <alignment horizontal="right" vertical="top"/>
    </xf>
    <xf numFmtId="0" fontId="37" fillId="0" borderId="0" xfId="43" applyFont="1"/>
    <xf numFmtId="0" fontId="31" fillId="37" borderId="12" xfId="43" applyFont="1" applyFill="1" applyBorder="1" applyAlignment="1" applyProtection="1">
      <alignment vertical="center" wrapText="1"/>
    </xf>
    <xf numFmtId="0" fontId="31" fillId="37" borderId="12" xfId="43" applyFont="1" applyFill="1" applyBorder="1" applyAlignment="1" applyProtection="1">
      <alignment horizontal="left" vertical="center" wrapText="1"/>
    </xf>
    <xf numFmtId="0" fontId="31" fillId="0" borderId="0" xfId="43" applyFont="1" applyFill="1" applyBorder="1" applyAlignment="1" applyProtection="1">
      <alignment vertical="center" wrapText="1"/>
    </xf>
    <xf numFmtId="0" fontId="38" fillId="0" borderId="0" xfId="43" applyFont="1"/>
    <xf numFmtId="0" fontId="23" fillId="0" borderId="0" xfId="43" applyFont="1" applyAlignment="1" applyProtection="1">
      <alignment vertical="top" wrapText="1"/>
      <protection locked="0"/>
    </xf>
    <xf numFmtId="0" fontId="23" fillId="0" borderId="0" xfId="43" applyFont="1" applyAlignment="1" applyProtection="1">
      <alignment wrapText="1"/>
      <protection locked="0"/>
    </xf>
    <xf numFmtId="0" fontId="23" fillId="0" borderId="0" xfId="43" applyFont="1" applyAlignment="1">
      <alignment vertical="center" wrapText="1"/>
    </xf>
    <xf numFmtId="0" fontId="23" fillId="0" borderId="0" xfId="43" applyFont="1" applyAlignment="1">
      <alignment vertical="top"/>
    </xf>
    <xf numFmtId="0" fontId="6" fillId="0" borderId="0" xfId="0" applyFont="1" applyFill="1" applyAlignment="1">
      <alignment horizontal="center"/>
    </xf>
    <xf numFmtId="0" fontId="24" fillId="0" borderId="0" xfId="0" applyFont="1" applyFill="1" applyBorder="1" applyAlignment="1" applyProtection="1">
      <alignment horizontal="center"/>
      <protection locked="0"/>
    </xf>
    <xf numFmtId="0" fontId="0" fillId="0" borderId="0" xfId="0" applyFill="1" applyAlignment="1">
      <alignment horizontal="right"/>
    </xf>
    <xf numFmtId="164" fontId="6" fillId="0" borderId="0" xfId="0" applyNumberFormat="1" applyFont="1" applyFill="1" applyAlignment="1">
      <alignment horizontal="center"/>
    </xf>
    <xf numFmtId="0" fontId="24" fillId="0" borderId="0" xfId="0" applyFont="1" applyFill="1" applyBorder="1" applyAlignment="1">
      <alignment horizontal="center" wrapText="1"/>
    </xf>
    <xf numFmtId="0" fontId="6" fillId="0" borderId="0" xfId="0" applyFont="1" applyFill="1" applyAlignment="1">
      <alignment horizontal="center" wrapText="1"/>
    </xf>
    <xf numFmtId="164" fontId="0" fillId="0" borderId="0" xfId="0" applyNumberFormat="1" applyFill="1" applyBorder="1" applyAlignment="1"/>
    <xf numFmtId="0" fontId="0" fillId="0" borderId="0" xfId="0" applyNumberFormat="1" applyFill="1" applyBorder="1" applyAlignment="1"/>
    <xf numFmtId="0" fontId="0" fillId="0" borderId="0" xfId="0" applyNumberFormat="1" applyFill="1" applyBorder="1" applyAlignment="1">
      <alignment horizontal="right"/>
    </xf>
    <xf numFmtId="0" fontId="26" fillId="0" borderId="0" xfId="0" applyFont="1" applyFill="1"/>
    <xf numFmtId="0" fontId="0" fillId="0" borderId="0" xfId="0" applyFill="1" applyBorder="1" applyAlignment="1">
      <alignment horizontal="right"/>
    </xf>
    <xf numFmtId="164" fontId="0" fillId="0" borderId="0" xfId="0" applyNumberFormat="1" applyFont="1" applyFill="1" applyBorder="1" applyAlignment="1"/>
    <xf numFmtId="0" fontId="0" fillId="0" borderId="0" xfId="0" applyNumberFormat="1" applyFont="1" applyFill="1" applyBorder="1" applyAlignment="1"/>
    <xf numFmtId="0" fontId="0" fillId="0" borderId="0" xfId="0" applyNumberFormat="1" applyFont="1" applyFill="1" applyBorder="1" applyAlignment="1">
      <alignment horizontal="right"/>
    </xf>
    <xf numFmtId="164" fontId="1" fillId="0" borderId="0" xfId="0" applyNumberFormat="1" applyFont="1" applyFill="1" applyBorder="1"/>
    <xf numFmtId="1" fontId="27" fillId="0" borderId="0" xfId="45" applyNumberFormat="1" applyFont="1" applyFill="1" applyBorder="1" applyAlignment="1">
      <alignment horizontal="right"/>
    </xf>
    <xf numFmtId="0" fontId="1" fillId="0" borderId="0" xfId="0" applyFont="1" applyFill="1" applyBorder="1"/>
    <xf numFmtId="0" fontId="1" fillId="0" borderId="0" xfId="0" applyFont="1" applyFill="1" applyBorder="1" applyAlignment="1">
      <alignment horizontal="right"/>
    </xf>
    <xf numFmtId="164" fontId="0" fillId="0" borderId="0" xfId="0" applyNumberFormat="1" applyFill="1"/>
    <xf numFmtId="0" fontId="33" fillId="0" borderId="1" xfId="50" applyFill="1" applyBorder="1" applyAlignment="1" applyProtection="1">
      <alignment horizontal="left"/>
    </xf>
    <xf numFmtId="0" fontId="31" fillId="0" borderId="0" xfId="43" applyFont="1" applyFill="1" applyBorder="1" applyAlignment="1" applyProtection="1">
      <alignment horizontal="left" wrapText="1"/>
      <protection locked="0"/>
    </xf>
    <xf numFmtId="0" fontId="23" fillId="0" borderId="0" xfId="43" applyFont="1" applyFill="1" applyBorder="1" applyAlignment="1"/>
    <xf numFmtId="0" fontId="46" fillId="0" borderId="0" xfId="43" applyFont="1"/>
    <xf numFmtId="0" fontId="31" fillId="37" borderId="0" xfId="43" applyFont="1" applyFill="1" applyBorder="1" applyAlignment="1" applyProtection="1">
      <alignment horizontal="right" vertical="top" wrapText="1"/>
    </xf>
    <xf numFmtId="0" fontId="23" fillId="39" borderId="12" xfId="43" applyFont="1" applyFill="1" applyBorder="1" applyAlignment="1" applyProtection="1">
      <alignment horizontal="center" wrapText="1"/>
      <protection locked="0"/>
    </xf>
    <xf numFmtId="0" fontId="23" fillId="0" borderId="0" xfId="43" applyFont="1" applyAlignment="1" applyProtection="1">
      <alignment horizontal="right" vertical="top"/>
    </xf>
    <xf numFmtId="0" fontId="23" fillId="0" borderId="0" xfId="43"/>
    <xf numFmtId="0" fontId="49" fillId="0" borderId="0" xfId="43" applyFont="1" applyAlignment="1">
      <alignment horizontal="center" wrapText="1"/>
    </xf>
    <xf numFmtId="0" fontId="49" fillId="0" borderId="0" xfId="43" applyFont="1" applyAlignment="1">
      <alignment wrapText="1"/>
    </xf>
    <xf numFmtId="166" fontId="49" fillId="0" borderId="0" xfId="43" applyNumberFormat="1" applyFont="1" applyAlignment="1">
      <alignment wrapText="1"/>
    </xf>
    <xf numFmtId="1" fontId="49" fillId="0" borderId="0" xfId="43" applyNumberFormat="1" applyFont="1" applyAlignment="1">
      <alignment wrapText="1"/>
    </xf>
    <xf numFmtId="0" fontId="50" fillId="0" borderId="0" xfId="43" applyFont="1" applyAlignment="1">
      <alignment horizontal="center" wrapText="1"/>
    </xf>
    <xf numFmtId="0" fontId="33" fillId="0" borderId="0" xfId="50" applyAlignment="1" applyProtection="1"/>
    <xf numFmtId="0" fontId="23" fillId="0" borderId="0" xfId="43" applyAlignment="1"/>
    <xf numFmtId="1" fontId="23" fillId="0" borderId="0" xfId="43" applyNumberFormat="1"/>
    <xf numFmtId="0" fontId="23" fillId="35" borderId="12" xfId="43" applyFont="1" applyFill="1" applyBorder="1" applyAlignment="1" applyProtection="1">
      <alignment horizontal="left" vertical="top" wrapText="1"/>
      <protection locked="0"/>
    </xf>
    <xf numFmtId="0" fontId="23" fillId="35" borderId="11" xfId="43" applyFont="1" applyFill="1" applyBorder="1" applyAlignment="1" applyProtection="1">
      <alignment horizontal="left" wrapText="1"/>
      <protection locked="0"/>
    </xf>
    <xf numFmtId="0" fontId="23" fillId="35" borderId="15" xfId="43" applyFont="1" applyFill="1" applyBorder="1" applyAlignment="1" applyProtection="1">
      <alignment horizontal="left" wrapText="1"/>
      <protection locked="0"/>
    </xf>
    <xf numFmtId="0" fontId="33" fillId="35" borderId="12" xfId="50" applyFill="1" applyBorder="1" applyAlignment="1" applyProtection="1">
      <alignment horizontal="left" vertical="top" wrapText="1"/>
    </xf>
    <xf numFmtId="165" fontId="23" fillId="35" borderId="12" xfId="43" applyNumberFormat="1" applyFont="1" applyFill="1" applyBorder="1" applyAlignment="1" applyProtection="1">
      <alignment horizontal="left" wrapText="1"/>
      <protection locked="0"/>
    </xf>
    <xf numFmtId="0" fontId="23" fillId="35" borderId="1" xfId="43" applyFont="1" applyFill="1" applyBorder="1" applyAlignment="1" applyProtection="1">
      <alignment horizontal="left"/>
      <protection locked="0"/>
    </xf>
    <xf numFmtId="0" fontId="23" fillId="35" borderId="18" xfId="43" applyFont="1" applyFill="1" applyBorder="1" applyAlignment="1" applyProtection="1">
      <alignment horizontal="left"/>
      <protection locked="0"/>
    </xf>
    <xf numFmtId="0" fontId="23" fillId="35" borderId="1" xfId="43" applyFont="1" applyFill="1" applyBorder="1" applyAlignment="1" applyProtection="1">
      <alignment horizontal="left" wrapText="1"/>
      <protection locked="0"/>
    </xf>
    <xf numFmtId="0" fontId="23" fillId="38" borderId="13" xfId="43" applyFont="1" applyFill="1" applyBorder="1" applyAlignment="1"/>
    <xf numFmtId="0" fontId="31" fillId="0" borderId="0" xfId="43" applyFont="1" applyFill="1" applyBorder="1" applyAlignment="1" applyProtection="1">
      <alignment horizontal="left" wrapText="1"/>
      <protection locked="0"/>
    </xf>
    <xf numFmtId="0" fontId="23" fillId="0" borderId="0" xfId="43" applyFont="1" applyFill="1" applyBorder="1" applyAlignment="1"/>
  </cellXfs>
  <cellStyles count="51">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0" builtinId="8"/>
    <cellStyle name="Input" xfId="9" builtinId="20" customBuiltin="1"/>
    <cellStyle name="Linked Cell" xfId="12" builtinId="24" customBuiltin="1"/>
    <cellStyle name="Neutral" xfId="8" builtinId="28" customBuiltin="1"/>
    <cellStyle name="Normal" xfId="0" builtinId="0"/>
    <cellStyle name="Normal 2" xfId="43"/>
    <cellStyle name="Normal 2 2" xfId="44"/>
    <cellStyle name="Normal 3" xfId="41"/>
    <cellStyle name="Normal 4" xfId="45"/>
    <cellStyle name="Normal 5" xfId="46"/>
    <cellStyle name="Normal 5 2" xfId="49"/>
    <cellStyle name="Normal 6" xfId="47"/>
    <cellStyle name="Normal 7" xfId="48"/>
    <cellStyle name="Note 2" xfId="42"/>
    <cellStyle name="Output" xfId="10" builtinId="21" customBuiltin="1"/>
    <cellStyle name="Title" xfId="1" builtinId="15" customBuiltin="1"/>
    <cellStyle name="Total" xfId="16" builtinId="25" customBuiltin="1"/>
    <cellStyle name="Warning Text" xfId="14"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66FF"/>
      <color rgb="FFFF2D2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Total and individual subsample species percent cover data for all plots where flux  or point frame measurements were made in 2012 IVO the LTER Shrub vegetation plots at Toolik Field Station.  All plots sampled were dominated either by B. nana or S. pulchra canopies. Cover estimates were  made for the five most dominate functional groups using a 1m x 1m grid with 20cm2 blocks with each square representing four percent of the total area.  Percentages represent absolute cover so do not sum to 100%.
 </a:t>
          </a:r>
        </a:p>
      </xdr:txBody>
    </xdr:sp>
    <xdr:clientData fLocksWithSheet="0"/>
  </xdr:twoCellAnchor>
  <xdr:twoCellAnchor>
    <xdr:from>
      <xdr:col>1</xdr:col>
      <xdr:colOff>30480</xdr:colOff>
      <xdr:row>65</xdr:row>
      <xdr:rowOff>17145</xdr:rowOff>
    </xdr:from>
    <xdr:to>
      <xdr:col>6</xdr:col>
      <xdr:colOff>817247</xdr:colOff>
      <xdr:row>110</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PERCENT COVER METHOD
Total and individual subsample species percent cover data for all plots where flux  or point frame measurements were made in 2012 IVO the LTER Shrub vegetation plots at Toolik Field Station.  All plots sampled were dominated either by B. nana or S. pulchra canopies.  Locations were preferentially chosen to represent tall shrub canopies (height &gt; 70 cm) and to avoid the edge of vegetation stands or locations where the canopy appeared unhealthy, trampled, or patchy.
We split the 1m x 1m plots into 25 sub plots using a grid,  then estimated  percent cover of the five most common functional groups/species in each of the sub plots individually  and then summed  the percentage from each plot (representing 4% total cover)  to obtain the total cover by functional group/species.  For each measurement, at least two field technicians performed the estimates by species; the value recorded was the average of the two (or more) estimates.  The total vascular plant cover for the entire plot is the sum of all species cover percentages; the total plant cover is the vascular plant cover plus moss cover.  Percentages represent absolute cover, and thus they do not sum to 100%
Each spp is assigned a 6 letter code; the first 3 letters of genus and species name.  SPP indicates the species is not known.
Where many graminoids were growing together it was often impossible to judge the individual percentages, so only the total for the growth form is given; the main species present are listed in the notes column.  
The species or functional groups identified in the 1m x 1m point frame and chamber flux plots are are coded to match those collected by ITEX harvest plots from 2003 - 2009 as defined here:  
SPECIES  | CODE | FUNCTIONAL GROUP  | COMMENTS 
Betula nana | BET NAN | D  |
Forb  | FORB | F  |
Grass or sedge - unidentified  | GRAMMINOID  | GRM | 
Ledum palustre | LED PAL | E |
Moss - unidentified |MOSS  |B |
Pedicularis species | PED SPP | F |
Potentilla species | POT SPP | F |
Salix glauca | SAL GLA | D  |
Salix pulchra | SAL PUL  |D  |
Salix reticulata | SAL RET | D  |net veined willow 
Vaccinium vitis-ideae  |VAC  VIT  |E  |
Vaccinium uliginosum | VAC ULI | D | bog blueberry  
Growth forms (functional groups) are abbreviated as follows:
D = deciduous shrub
E = evergreen shrub
F = forb
GRM  = graminoid or sedge
B = bryophyte (mosses and liverworts)
#N/A refers to a value that was not recorded. 
 </a:t>
          </a:r>
        </a:p>
      </xdr:txBody>
    </xdr:sp>
    <xdr:clientData fLocksWithSheet="0"/>
  </xdr:twoCellAnchor>
  <xdr:twoCellAnchor>
    <xdr:from>
      <xdr:col>1</xdr:col>
      <xdr:colOff>19050</xdr:colOff>
      <xdr:row>115</xdr:row>
      <xdr:rowOff>152400</xdr:rowOff>
    </xdr:from>
    <xdr:to>
      <xdr:col>3</xdr:col>
      <xdr:colOff>2076450</xdr:colOff>
      <xdr:row>122</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66</xdr:row>
      <xdr:rowOff>121920</xdr:rowOff>
    </xdr:from>
    <xdr:to>
      <xdr:col>0</xdr:col>
      <xdr:colOff>1727751</xdr:colOff>
      <xdr:row>80</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48&amp;amp;urlTail=terrest/tracegas/data/2012_GS_ITEX_PercentCover.csv" TargetMode="External"/><Relationship Id="rId1" Type="http://schemas.openxmlformats.org/officeDocument/2006/relationships/hyperlink" Target="http://ecosystems.mbl.edu/ARC/meta_template.php?FileName=./terrest/tracegas/xlsfiles/2012_GS_ITEX_PercentCover.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349"/>
  <sheetViews>
    <sheetView tabSelected="1" zoomScale="96" zoomScaleNormal="96" workbookViewId="0">
      <selection activeCell="B4" sqref="B4"/>
    </sheetView>
  </sheetViews>
  <sheetFormatPr defaultColWidth="8.85546875" defaultRowHeight="12.75" x14ac:dyDescent="0.2"/>
  <cols>
    <col min="1" max="1" width="26.140625" style="80" customWidth="1"/>
    <col min="2" max="2" width="46" style="15" bestFit="1" customWidth="1"/>
    <col min="3" max="4" width="30.7109375" style="21" customWidth="1"/>
    <col min="5" max="9" width="30.7109375" style="18" customWidth="1"/>
    <col min="10" max="16384" width="8.85546875" style="18"/>
  </cols>
  <sheetData>
    <row r="1" spans="1:9" ht="18" x14ac:dyDescent="0.25">
      <c r="A1" s="14" t="s">
        <v>64</v>
      </c>
      <c r="C1" s="16"/>
      <c r="D1" s="17"/>
    </row>
    <row r="2" spans="1:9" hidden="1" x14ac:dyDescent="0.2">
      <c r="A2" s="19" t="s">
        <v>65</v>
      </c>
      <c r="B2" s="20" t="s">
        <v>1715</v>
      </c>
    </row>
    <row r="3" spans="1:9" hidden="1" x14ac:dyDescent="0.2">
      <c r="A3" s="19" t="s">
        <v>66</v>
      </c>
      <c r="B3" s="20">
        <v>2013</v>
      </c>
    </row>
    <row r="4" spans="1:9" hidden="1" x14ac:dyDescent="0.2">
      <c r="A4" s="19" t="s">
        <v>67</v>
      </c>
      <c r="B4" s="100" t="s">
        <v>419</v>
      </c>
      <c r="C4" s="22"/>
    </row>
    <row r="5" spans="1:9" ht="22.5" customHeight="1" x14ac:dyDescent="0.2">
      <c r="A5" s="23" t="s">
        <v>68</v>
      </c>
      <c r="B5" s="123" t="s">
        <v>407</v>
      </c>
      <c r="C5" s="124"/>
      <c r="D5" s="18"/>
    </row>
    <row r="6" spans="1:9" ht="12.75" customHeight="1" x14ac:dyDescent="0.2">
      <c r="A6" s="23" t="s">
        <v>69</v>
      </c>
      <c r="B6" s="18"/>
      <c r="C6" s="18"/>
      <c r="D6" s="18"/>
      <c r="E6" s="24"/>
      <c r="F6" s="24"/>
    </row>
    <row r="7" spans="1:9" s="26" customFormat="1" x14ac:dyDescent="0.2">
      <c r="A7" s="25"/>
      <c r="B7" s="125"/>
      <c r="C7" s="126"/>
      <c r="D7" s="126"/>
    </row>
    <row r="8" spans="1:9" s="26" customFormat="1" x14ac:dyDescent="0.2">
      <c r="A8" s="25"/>
      <c r="B8" s="101"/>
      <c r="C8" s="102"/>
      <c r="D8" s="102"/>
    </row>
    <row r="9" spans="1:9" s="26" customFormat="1" x14ac:dyDescent="0.2">
      <c r="A9" s="25"/>
      <c r="B9" s="27"/>
    </row>
    <row r="10" spans="1:9" s="26" customFormat="1" x14ac:dyDescent="0.2">
      <c r="A10" s="25"/>
      <c r="B10" s="27"/>
    </row>
    <row r="11" spans="1:9" s="26" customFormat="1" x14ac:dyDescent="0.2">
      <c r="A11" s="25"/>
      <c r="B11" s="27"/>
    </row>
    <row r="12" spans="1:9" s="26" customFormat="1" ht="15" x14ac:dyDescent="0.2">
      <c r="A12" s="25"/>
      <c r="B12" s="28"/>
    </row>
    <row r="13" spans="1:9" s="26" customFormat="1" ht="15" x14ac:dyDescent="0.2">
      <c r="A13" s="25"/>
      <c r="B13" s="28"/>
    </row>
    <row r="14" spans="1:9" x14ac:dyDescent="0.2">
      <c r="A14" s="23" t="s">
        <v>70</v>
      </c>
      <c r="B14" s="29" t="s">
        <v>1713</v>
      </c>
    </row>
    <row r="15" spans="1:9" x14ac:dyDescent="0.2">
      <c r="A15" s="30"/>
    </row>
    <row r="16" spans="1:9" x14ac:dyDescent="0.2">
      <c r="A16" s="31" t="s">
        <v>71</v>
      </c>
      <c r="B16" s="32" t="s">
        <v>72</v>
      </c>
      <c r="C16" s="32" t="s">
        <v>73</v>
      </c>
      <c r="D16" s="32" t="s">
        <v>74</v>
      </c>
      <c r="E16" s="32" t="s">
        <v>75</v>
      </c>
      <c r="F16" s="32" t="s">
        <v>76</v>
      </c>
      <c r="G16" s="32" t="s">
        <v>77</v>
      </c>
      <c r="H16" s="32" t="s">
        <v>78</v>
      </c>
      <c r="I16" s="32" t="s">
        <v>79</v>
      </c>
    </row>
    <row r="17" spans="1:9" x14ac:dyDescent="0.2">
      <c r="A17" s="33" t="s">
        <v>80</v>
      </c>
      <c r="B17" s="34" t="s">
        <v>137</v>
      </c>
      <c r="C17" s="34" t="s">
        <v>141</v>
      </c>
      <c r="D17" s="34" t="s">
        <v>141</v>
      </c>
      <c r="E17" s="34" t="s">
        <v>145</v>
      </c>
      <c r="F17" s="34" t="s">
        <v>148</v>
      </c>
      <c r="G17" s="34"/>
      <c r="H17" s="34"/>
      <c r="I17" s="34"/>
    </row>
    <row r="18" spans="1:9" s="35" customFormat="1" x14ac:dyDescent="0.2">
      <c r="A18" s="33" t="s">
        <v>81</v>
      </c>
      <c r="B18" s="34" t="s">
        <v>353</v>
      </c>
      <c r="C18" s="34" t="s">
        <v>362</v>
      </c>
      <c r="D18" s="34" t="s">
        <v>365</v>
      </c>
      <c r="E18" s="34" t="s">
        <v>374</v>
      </c>
      <c r="F18" s="34" t="s">
        <v>377</v>
      </c>
      <c r="G18" s="34"/>
      <c r="H18" s="34"/>
      <c r="I18" s="34"/>
    </row>
    <row r="19" spans="1:9" s="35" customFormat="1" x14ac:dyDescent="0.2">
      <c r="A19" s="33" t="s">
        <v>82</v>
      </c>
      <c r="B19" s="34" t="s">
        <v>354</v>
      </c>
      <c r="C19" s="34" t="s">
        <v>363</v>
      </c>
      <c r="D19" s="34" t="s">
        <v>366</v>
      </c>
      <c r="E19" s="34" t="s">
        <v>375</v>
      </c>
      <c r="F19" s="34" t="s">
        <v>378</v>
      </c>
      <c r="G19" s="34"/>
      <c r="H19" s="34"/>
      <c r="I19" s="34"/>
    </row>
    <row r="20" spans="1:9" s="35" customFormat="1" x14ac:dyDescent="0.2">
      <c r="A20" s="33" t="s">
        <v>83</v>
      </c>
      <c r="B20" s="34" t="s">
        <v>355</v>
      </c>
      <c r="C20" s="34" t="s">
        <v>364</v>
      </c>
      <c r="D20" s="34" t="s">
        <v>367</v>
      </c>
      <c r="E20" s="34" t="s">
        <v>376</v>
      </c>
      <c r="F20" s="34" t="s">
        <v>379</v>
      </c>
      <c r="G20" s="34"/>
      <c r="H20" s="34"/>
      <c r="I20" s="34"/>
    </row>
    <row r="21" spans="1:9" s="35" customFormat="1" ht="25.5" x14ac:dyDescent="0.2">
      <c r="A21" s="33" t="s">
        <v>84</v>
      </c>
      <c r="B21" s="34" t="s">
        <v>356</v>
      </c>
      <c r="C21" s="34" t="s">
        <v>356</v>
      </c>
      <c r="D21" s="34" t="s">
        <v>368</v>
      </c>
      <c r="E21" s="34" t="s">
        <v>356</v>
      </c>
      <c r="F21" s="34" t="s">
        <v>356</v>
      </c>
      <c r="G21" s="34"/>
      <c r="H21" s="34"/>
      <c r="I21" s="34"/>
    </row>
    <row r="22" spans="1:9" s="35" customFormat="1" x14ac:dyDescent="0.2">
      <c r="A22" s="33" t="s">
        <v>85</v>
      </c>
      <c r="B22" s="34" t="s">
        <v>357</v>
      </c>
      <c r="C22" s="34" t="s">
        <v>357</v>
      </c>
      <c r="D22" s="34" t="s">
        <v>369</v>
      </c>
      <c r="E22" s="34" t="s">
        <v>357</v>
      </c>
      <c r="F22" s="34" t="s">
        <v>357</v>
      </c>
      <c r="G22" s="34"/>
      <c r="H22" s="34"/>
      <c r="I22" s="34"/>
    </row>
    <row r="23" spans="1:9" s="35" customFormat="1" x14ac:dyDescent="0.2">
      <c r="A23" s="33" t="s">
        <v>86</v>
      </c>
      <c r="B23" s="34"/>
      <c r="C23" s="34"/>
      <c r="D23" s="34" t="s">
        <v>370</v>
      </c>
      <c r="E23" s="34"/>
      <c r="F23" s="34"/>
      <c r="G23" s="34"/>
      <c r="H23" s="34"/>
      <c r="I23" s="34"/>
    </row>
    <row r="24" spans="1:9" s="35" customFormat="1" x14ac:dyDescent="0.2">
      <c r="A24" s="33" t="s">
        <v>87</v>
      </c>
      <c r="B24" s="34" t="s">
        <v>358</v>
      </c>
      <c r="C24" s="34" t="s">
        <v>358</v>
      </c>
      <c r="D24" s="34" t="s">
        <v>371</v>
      </c>
      <c r="E24" s="34" t="s">
        <v>358</v>
      </c>
      <c r="F24" s="34" t="s">
        <v>358</v>
      </c>
      <c r="G24" s="34"/>
      <c r="H24" s="34"/>
      <c r="I24" s="34"/>
    </row>
    <row r="25" spans="1:9" s="35" customFormat="1" x14ac:dyDescent="0.2">
      <c r="A25" s="33" t="s">
        <v>88</v>
      </c>
      <c r="B25" s="34" t="s">
        <v>359</v>
      </c>
      <c r="C25" s="34" t="s">
        <v>359</v>
      </c>
      <c r="D25" s="34"/>
      <c r="E25" s="34" t="s">
        <v>359</v>
      </c>
      <c r="F25" s="34" t="s">
        <v>359</v>
      </c>
      <c r="G25" s="34"/>
      <c r="H25" s="34"/>
      <c r="I25" s="34"/>
    </row>
    <row r="26" spans="1:9" s="35" customFormat="1" x14ac:dyDescent="0.2">
      <c r="A26" s="33" t="s">
        <v>89</v>
      </c>
      <c r="B26" s="34" t="s">
        <v>360</v>
      </c>
      <c r="C26" s="34" t="s">
        <v>360</v>
      </c>
      <c r="D26" s="34" t="s">
        <v>372</v>
      </c>
      <c r="E26" s="34" t="s">
        <v>360</v>
      </c>
      <c r="F26" s="34" t="s">
        <v>360</v>
      </c>
      <c r="G26" s="34"/>
      <c r="H26" s="34"/>
      <c r="I26" s="34"/>
    </row>
    <row r="27" spans="1:9" s="35" customFormat="1" x14ac:dyDescent="0.2">
      <c r="A27" s="33" t="s">
        <v>90</v>
      </c>
      <c r="B27" s="34" t="s">
        <v>361</v>
      </c>
      <c r="C27" s="34" t="s">
        <v>361</v>
      </c>
      <c r="D27" s="34" t="s">
        <v>373</v>
      </c>
      <c r="E27" s="34" t="s">
        <v>361</v>
      </c>
      <c r="F27" s="34" t="s">
        <v>361</v>
      </c>
      <c r="G27" s="34"/>
      <c r="H27" s="34"/>
      <c r="I27" s="34"/>
    </row>
    <row r="28" spans="1:9" x14ac:dyDescent="0.2">
      <c r="A28" s="36"/>
      <c r="B28" s="37"/>
      <c r="C28" s="38"/>
    </row>
    <row r="29" spans="1:9" x14ac:dyDescent="0.2">
      <c r="A29" s="39"/>
    </row>
    <row r="30" spans="1:9" x14ac:dyDescent="0.2">
      <c r="A30" s="40" t="s">
        <v>91</v>
      </c>
      <c r="B30" s="41"/>
    </row>
    <row r="31" spans="1:9" hidden="1" x14ac:dyDescent="0.2">
      <c r="A31" s="42" t="s">
        <v>92</v>
      </c>
      <c r="B31" s="100" t="s">
        <v>420</v>
      </c>
      <c r="C31" s="43"/>
    </row>
    <row r="32" spans="1:9" x14ac:dyDescent="0.2">
      <c r="A32" s="44" t="s">
        <v>93</v>
      </c>
      <c r="B32" s="29" t="s">
        <v>406</v>
      </c>
    </row>
    <row r="33" spans="1:17" x14ac:dyDescent="0.2">
      <c r="A33" s="45" t="s">
        <v>94</v>
      </c>
      <c r="B33" s="120">
        <v>41083</v>
      </c>
    </row>
    <row r="34" spans="1:17" x14ac:dyDescent="0.2">
      <c r="A34" s="45" t="s">
        <v>95</v>
      </c>
      <c r="B34" s="120">
        <v>41128</v>
      </c>
    </row>
    <row r="35" spans="1:17" x14ac:dyDescent="0.2">
      <c r="A35" s="46" t="s">
        <v>96</v>
      </c>
      <c r="B35" s="29">
        <v>163</v>
      </c>
    </row>
    <row r="36" spans="1:17" ht="267.75" x14ac:dyDescent="0.2">
      <c r="A36" s="46" t="s">
        <v>97</v>
      </c>
      <c r="B36" s="29" t="s">
        <v>418</v>
      </c>
    </row>
    <row r="37" spans="1:17" x14ac:dyDescent="0.2">
      <c r="A37" s="46" t="s">
        <v>98</v>
      </c>
      <c r="B37" s="29">
        <v>1</v>
      </c>
    </row>
    <row r="38" spans="1:17" x14ac:dyDescent="0.2">
      <c r="A38" s="47" t="s">
        <v>99</v>
      </c>
      <c r="B38" s="29"/>
    </row>
    <row r="39" spans="1:17" ht="51" x14ac:dyDescent="0.2">
      <c r="A39" s="47" t="s">
        <v>100</v>
      </c>
      <c r="B39" s="29" t="s">
        <v>408</v>
      </c>
    </row>
    <row r="40" spans="1:17" ht="25.5" x14ac:dyDescent="0.2">
      <c r="A40" s="46" t="s">
        <v>101</v>
      </c>
      <c r="B40" s="29" t="s">
        <v>421</v>
      </c>
    </row>
    <row r="41" spans="1:17" ht="25.5" x14ac:dyDescent="0.2">
      <c r="A41" s="46"/>
      <c r="B41" s="29" t="s">
        <v>1712</v>
      </c>
    </row>
    <row r="42" spans="1:17" ht="25.5" x14ac:dyDescent="0.2">
      <c r="A42" s="46"/>
      <c r="B42" s="29" t="s">
        <v>1714</v>
      </c>
    </row>
    <row r="43" spans="1:17" x14ac:dyDescent="0.2">
      <c r="A43" s="46"/>
      <c r="B43" s="29"/>
    </row>
    <row r="44" spans="1:17" x14ac:dyDescent="0.2">
      <c r="A44" s="106"/>
      <c r="I44" s="18" t="s">
        <v>102</v>
      </c>
    </row>
    <row r="45" spans="1:17" x14ac:dyDescent="0.2">
      <c r="A45" s="40" t="s">
        <v>103</v>
      </c>
    </row>
    <row r="46" spans="1:17" x14ac:dyDescent="0.2">
      <c r="A46" s="47" t="s">
        <v>415</v>
      </c>
      <c r="B46" s="105" t="s">
        <v>416</v>
      </c>
      <c r="C46" s="105" t="s">
        <v>417</v>
      </c>
      <c r="D46" s="105" t="s">
        <v>442</v>
      </c>
      <c r="E46" s="105" t="s">
        <v>442</v>
      </c>
      <c r="F46" s="105" t="s">
        <v>442</v>
      </c>
      <c r="G46" s="105" t="s">
        <v>442</v>
      </c>
      <c r="H46" s="105" t="s">
        <v>442</v>
      </c>
      <c r="I46" s="105" t="s">
        <v>442</v>
      </c>
      <c r="J46" s="21"/>
      <c r="K46" s="21"/>
      <c r="L46" s="21"/>
      <c r="M46" s="21"/>
      <c r="N46" s="21"/>
      <c r="O46" s="21"/>
      <c r="P46" s="21"/>
      <c r="Q46" s="21"/>
    </row>
    <row r="47" spans="1:17" ht="165.75" x14ac:dyDescent="0.2">
      <c r="A47" s="104" t="s">
        <v>104</v>
      </c>
      <c r="B47" s="116" t="s">
        <v>441</v>
      </c>
      <c r="C47" s="116" t="s">
        <v>380</v>
      </c>
      <c r="D47" s="116" t="str">
        <f t="shared" ref="D47:I47" si="0">IF(ISNA(INDEX(Sites,MATCH(D46,Site_name,0),3)),"Enter Description", INDEX(Sites,MATCH(D46,Site_name,0),3))</f>
        <v>Enter Description</v>
      </c>
      <c r="E47" s="116" t="str">
        <f t="shared" si="0"/>
        <v>Enter Description</v>
      </c>
      <c r="F47" s="116" t="str">
        <f t="shared" si="0"/>
        <v>Enter Description</v>
      </c>
      <c r="G47" s="116" t="str">
        <f t="shared" si="0"/>
        <v>Enter Description</v>
      </c>
      <c r="H47" s="116" t="str">
        <f t="shared" si="0"/>
        <v>Enter Description</v>
      </c>
      <c r="I47" s="116" t="str">
        <f t="shared" si="0"/>
        <v>Enter Description</v>
      </c>
      <c r="J47" s="21"/>
      <c r="K47" s="21"/>
      <c r="L47" s="21"/>
      <c r="M47" s="21"/>
      <c r="N47" s="21"/>
      <c r="O47" s="21"/>
    </row>
    <row r="48" spans="1:17" x14ac:dyDescent="0.2">
      <c r="A48" s="48" t="s">
        <v>105</v>
      </c>
      <c r="C48" s="15"/>
      <c r="D48" s="15"/>
      <c r="E48" s="15"/>
      <c r="F48" s="15"/>
      <c r="G48" s="15"/>
      <c r="H48" s="15"/>
      <c r="I48" s="15"/>
    </row>
    <row r="49" spans="1:19" x14ac:dyDescent="0.2">
      <c r="A49" s="49" t="s">
        <v>106</v>
      </c>
      <c r="B49" s="29"/>
      <c r="C49" s="29"/>
      <c r="D49" s="29"/>
      <c r="E49" s="29"/>
      <c r="F49" s="29"/>
      <c r="G49" s="29"/>
      <c r="H49" s="29"/>
      <c r="I49" s="29"/>
      <c r="J49" s="21"/>
      <c r="K49" s="21"/>
      <c r="L49" s="21"/>
      <c r="M49" s="21"/>
      <c r="N49" s="21"/>
      <c r="O49" s="21"/>
      <c r="P49" s="21"/>
      <c r="Q49" s="21"/>
      <c r="R49" s="21"/>
      <c r="S49" s="21"/>
    </row>
    <row r="50" spans="1:19" x14ac:dyDescent="0.2">
      <c r="A50" s="49" t="s">
        <v>107</v>
      </c>
      <c r="B50" s="117"/>
      <c r="C50" s="117"/>
      <c r="D50" s="117"/>
      <c r="E50" s="117"/>
      <c r="F50" s="117"/>
      <c r="G50" s="117"/>
      <c r="H50" s="117"/>
      <c r="I50" s="117"/>
      <c r="J50" s="21"/>
      <c r="K50" s="21"/>
      <c r="L50" s="21"/>
      <c r="M50" s="21"/>
      <c r="N50" s="21"/>
      <c r="O50" s="21"/>
      <c r="P50" s="21"/>
      <c r="Q50" s="21"/>
      <c r="R50" s="21"/>
      <c r="S50" s="21"/>
    </row>
    <row r="51" spans="1:19" x14ac:dyDescent="0.2">
      <c r="A51" s="49" t="s">
        <v>108</v>
      </c>
      <c r="B51" s="29"/>
      <c r="C51" s="29"/>
      <c r="D51" s="29"/>
      <c r="E51" s="29"/>
      <c r="F51" s="29"/>
      <c r="G51" s="29"/>
      <c r="H51" s="29"/>
      <c r="I51" s="29"/>
      <c r="J51" s="21"/>
      <c r="K51" s="21"/>
      <c r="L51" s="21"/>
      <c r="M51" s="21"/>
      <c r="N51" s="21"/>
      <c r="O51" s="21"/>
      <c r="P51" s="21"/>
      <c r="Q51" s="21"/>
      <c r="R51" s="21"/>
      <c r="S51" s="21"/>
    </row>
    <row r="52" spans="1:19" x14ac:dyDescent="0.2">
      <c r="A52" s="49" t="s">
        <v>109</v>
      </c>
      <c r="B52" s="118"/>
      <c r="C52" s="118"/>
      <c r="D52" s="118"/>
      <c r="E52" s="118"/>
      <c r="F52" s="118"/>
      <c r="G52" s="118"/>
      <c r="H52" s="118"/>
      <c r="I52" s="118"/>
      <c r="J52" s="21"/>
      <c r="K52" s="21"/>
      <c r="L52" s="21"/>
      <c r="M52" s="21"/>
      <c r="N52" s="21"/>
      <c r="O52" s="21"/>
      <c r="P52" s="21"/>
      <c r="Q52" s="21"/>
      <c r="R52" s="21"/>
      <c r="S52" s="21"/>
    </row>
    <row r="53" spans="1:19" x14ac:dyDescent="0.2">
      <c r="A53" s="50" t="s">
        <v>110</v>
      </c>
      <c r="B53" s="51"/>
      <c r="C53" s="51"/>
      <c r="D53" s="51"/>
      <c r="E53" s="51"/>
      <c r="F53" s="51"/>
      <c r="G53" s="51"/>
      <c r="H53" s="51"/>
      <c r="I53" s="51"/>
    </row>
    <row r="54" spans="1:19" x14ac:dyDescent="0.2">
      <c r="A54" s="47" t="s">
        <v>111</v>
      </c>
      <c r="B54" s="116">
        <v>68.638555555555499</v>
      </c>
      <c r="C54" s="116">
        <v>68.635583333333301</v>
      </c>
      <c r="D54" s="116" t="str">
        <f t="shared" ref="D54:I54" si="1">IF(ISNA(INDEX(Sites,MATCH(D46,Site_name,0),4)),"In Decimal Degrees", INDEX(Sites,MATCH(D46,Site_name,0),4))</f>
        <v>In Decimal Degrees</v>
      </c>
      <c r="E54" s="116" t="str">
        <f t="shared" si="1"/>
        <v>In Decimal Degrees</v>
      </c>
      <c r="F54" s="116" t="str">
        <f t="shared" si="1"/>
        <v>In Decimal Degrees</v>
      </c>
      <c r="G54" s="116" t="str">
        <f t="shared" si="1"/>
        <v>In Decimal Degrees</v>
      </c>
      <c r="H54" s="116" t="str">
        <f t="shared" si="1"/>
        <v>In Decimal Degrees</v>
      </c>
      <c r="I54" s="116" t="str">
        <f t="shared" si="1"/>
        <v>In Decimal Degrees</v>
      </c>
      <c r="J54" s="21"/>
      <c r="K54" s="21"/>
      <c r="L54" s="21"/>
      <c r="M54" s="21"/>
      <c r="N54" s="21"/>
      <c r="O54" s="21"/>
      <c r="P54" s="21"/>
      <c r="Q54" s="21"/>
    </row>
    <row r="55" spans="1:19" x14ac:dyDescent="0.2">
      <c r="A55" s="47" t="s">
        <v>112</v>
      </c>
      <c r="B55" s="116">
        <v>-149.56866666666599</v>
      </c>
      <c r="C55" s="116">
        <v>-149.588083333333</v>
      </c>
      <c r="D55" s="116" t="str">
        <f t="shared" ref="D55:I55" si="2">IF(ISNA(INDEX(Sites,MATCH(D46,Site_name,0),5)),"In Decimal Degrees", INDEX(Sites,MATCH(D46,Site_name,0),5))</f>
        <v>In Decimal Degrees</v>
      </c>
      <c r="E55" s="116" t="str">
        <f t="shared" si="2"/>
        <v>In Decimal Degrees</v>
      </c>
      <c r="F55" s="116" t="str">
        <f t="shared" si="2"/>
        <v>In Decimal Degrees</v>
      </c>
      <c r="G55" s="116" t="str">
        <f t="shared" si="2"/>
        <v>In Decimal Degrees</v>
      </c>
      <c r="H55" s="116" t="str">
        <f t="shared" si="2"/>
        <v>In Decimal Degrees</v>
      </c>
      <c r="I55" s="116" t="str">
        <f t="shared" si="2"/>
        <v>In Decimal Degrees</v>
      </c>
      <c r="J55" s="21"/>
      <c r="K55" s="21"/>
      <c r="L55" s="21"/>
      <c r="M55" s="21"/>
      <c r="N55" s="21"/>
      <c r="O55" s="21"/>
      <c r="P55" s="21"/>
      <c r="Q55" s="21"/>
    </row>
    <row r="56" spans="1:19" x14ac:dyDescent="0.2">
      <c r="A56" s="47" t="s">
        <v>113</v>
      </c>
      <c r="B56" s="116" t="s">
        <v>413</v>
      </c>
      <c r="C56" s="116" t="s">
        <v>414</v>
      </c>
      <c r="D56" s="116" t="str">
        <f t="shared" ref="D56:I56" si="3">IF(ISNA(INDEX(Sites,MATCH(D46,Site_name,0),6)),"In Meters", INDEX(Sites,MATCH(D46,Site_name,0),6))</f>
        <v>In Meters</v>
      </c>
      <c r="E56" s="116" t="str">
        <f t="shared" si="3"/>
        <v>In Meters</v>
      </c>
      <c r="F56" s="116" t="str">
        <f t="shared" si="3"/>
        <v>In Meters</v>
      </c>
      <c r="G56" s="116" t="str">
        <f t="shared" si="3"/>
        <v>In Meters</v>
      </c>
      <c r="H56" s="116" t="str">
        <f t="shared" si="3"/>
        <v>In Meters</v>
      </c>
      <c r="I56" s="116" t="str">
        <f t="shared" si="3"/>
        <v>In Meters</v>
      </c>
      <c r="J56" s="21"/>
      <c r="K56" s="21"/>
      <c r="L56" s="21"/>
      <c r="M56" s="21"/>
      <c r="N56" s="21"/>
      <c r="O56" s="21"/>
      <c r="P56" s="21"/>
      <c r="Q56" s="21"/>
    </row>
    <row r="57" spans="1:19" x14ac:dyDescent="0.2">
      <c r="A57" s="47" t="s">
        <v>440</v>
      </c>
      <c r="B57" s="119" t="str">
        <f t="shared" ref="B57:I57" si="4">IF(ISNUMBER(B$54),HYPERLINK("http://maps.google.com/maps?q="&amp;B54&amp;","&amp;B55,"View on Google Map"),"")</f>
        <v>View on Google Map</v>
      </c>
      <c r="C57" s="119" t="str">
        <f t="shared" si="4"/>
        <v>View on Google Map</v>
      </c>
      <c r="D57" s="119" t="str">
        <f t="shared" si="4"/>
        <v/>
      </c>
      <c r="E57" s="119" t="str">
        <f t="shared" si="4"/>
        <v/>
      </c>
      <c r="F57" s="119" t="str">
        <f t="shared" si="4"/>
        <v/>
      </c>
      <c r="G57" s="119" t="str">
        <f t="shared" si="4"/>
        <v/>
      </c>
      <c r="H57" s="119" t="str">
        <f t="shared" si="4"/>
        <v/>
      </c>
      <c r="I57" s="119" t="str">
        <f t="shared" si="4"/>
        <v/>
      </c>
    </row>
    <row r="58" spans="1:19" x14ac:dyDescent="0.2">
      <c r="A58" s="52"/>
      <c r="B58" s="53"/>
      <c r="C58" s="53"/>
      <c r="D58" s="53"/>
    </row>
    <row r="59" spans="1:19" x14ac:dyDescent="0.2">
      <c r="A59" s="54" t="s">
        <v>114</v>
      </c>
      <c r="B59" s="53"/>
      <c r="C59" s="38"/>
    </row>
    <row r="60" spans="1:19" x14ac:dyDescent="0.2">
      <c r="A60" s="55" t="s">
        <v>115</v>
      </c>
      <c r="B60" s="29" t="s">
        <v>381</v>
      </c>
      <c r="C60" s="21" t="s">
        <v>116</v>
      </c>
    </row>
    <row r="61" spans="1:19" x14ac:dyDescent="0.2">
      <c r="A61" s="36"/>
    </row>
    <row r="62" spans="1:19" x14ac:dyDescent="0.2">
      <c r="A62" s="54" t="s">
        <v>117</v>
      </c>
    </row>
    <row r="63" spans="1:19" ht="25.5" x14ac:dyDescent="0.2">
      <c r="A63" s="56" t="s">
        <v>118</v>
      </c>
      <c r="B63" s="29" t="s">
        <v>382</v>
      </c>
    </row>
    <row r="64" spans="1:19" x14ac:dyDescent="0.2">
      <c r="A64" s="52"/>
      <c r="B64" s="53"/>
    </row>
    <row r="65" spans="1:2" s="26" customFormat="1" ht="15" x14ac:dyDescent="0.2">
      <c r="A65" s="25"/>
      <c r="B65" s="28"/>
    </row>
    <row r="66" spans="1:2" ht="15" x14ac:dyDescent="0.2">
      <c r="A66" s="57" t="s">
        <v>119</v>
      </c>
      <c r="B66" s="58"/>
    </row>
    <row r="67" spans="1:2" s="26" customFormat="1" x14ac:dyDescent="0.2">
      <c r="A67" s="59"/>
    </row>
    <row r="68" spans="1:2" s="26" customFormat="1" x14ac:dyDescent="0.2">
      <c r="A68" s="25"/>
      <c r="B68" s="60"/>
    </row>
    <row r="69" spans="1:2" s="26" customFormat="1" x14ac:dyDescent="0.2">
      <c r="A69" s="25"/>
    </row>
    <row r="70" spans="1:2" s="26" customFormat="1" x14ac:dyDescent="0.2">
      <c r="A70" s="25"/>
    </row>
    <row r="71" spans="1:2" s="26" customFormat="1" x14ac:dyDescent="0.2">
      <c r="A71" s="25"/>
    </row>
    <row r="72" spans="1:2" s="26" customFormat="1" x14ac:dyDescent="0.2">
      <c r="A72" s="25"/>
    </row>
    <row r="73" spans="1:2" s="26" customFormat="1" x14ac:dyDescent="0.2">
      <c r="A73" s="25"/>
    </row>
    <row r="74" spans="1:2" s="26" customFormat="1" x14ac:dyDescent="0.2">
      <c r="A74" s="25"/>
    </row>
    <row r="75" spans="1:2" s="26" customFormat="1" x14ac:dyDescent="0.2">
      <c r="A75" s="25"/>
    </row>
    <row r="76" spans="1:2" s="26" customFormat="1" x14ac:dyDescent="0.2">
      <c r="A76" s="25"/>
    </row>
    <row r="77" spans="1:2" s="26" customFormat="1" x14ac:dyDescent="0.2">
      <c r="A77" s="25"/>
    </row>
    <row r="78" spans="1:2" s="26" customFormat="1" x14ac:dyDescent="0.2">
      <c r="A78" s="25"/>
    </row>
    <row r="79" spans="1:2" s="26" customFormat="1" x14ac:dyDescent="0.2">
      <c r="A79" s="25"/>
    </row>
    <row r="80" spans="1:2" s="26" customFormat="1" x14ac:dyDescent="0.2">
      <c r="A80" s="25"/>
    </row>
    <row r="81" spans="1:10" s="26" customFormat="1" x14ac:dyDescent="0.2">
      <c r="A81" s="25"/>
    </row>
    <row r="82" spans="1:10" s="26" customFormat="1" x14ac:dyDescent="0.2">
      <c r="A82" s="25"/>
    </row>
    <row r="83" spans="1:10" s="26" customFormat="1" x14ac:dyDescent="0.2">
      <c r="A83" s="25"/>
    </row>
    <row r="84" spans="1:10" s="26" customFormat="1" x14ac:dyDescent="0.2">
      <c r="A84" s="25"/>
    </row>
    <row r="85" spans="1:10" s="26" customFormat="1" x14ac:dyDescent="0.2">
      <c r="A85" s="25"/>
    </row>
    <row r="86" spans="1:10" s="26" customFormat="1" x14ac:dyDescent="0.2">
      <c r="A86" s="25"/>
    </row>
    <row r="87" spans="1:10" s="26" customFormat="1" x14ac:dyDescent="0.2">
      <c r="A87" s="25"/>
    </row>
    <row r="88" spans="1:10" s="26" customFormat="1" x14ac:dyDescent="0.2">
      <c r="A88" s="25"/>
    </row>
    <row r="89" spans="1:10" s="26" customFormat="1" x14ac:dyDescent="0.2">
      <c r="A89" s="25"/>
    </row>
    <row r="90" spans="1:10" s="26" customFormat="1" x14ac:dyDescent="0.2">
      <c r="A90" s="25"/>
    </row>
    <row r="91" spans="1:10" s="26" customFormat="1" x14ac:dyDescent="0.2">
      <c r="A91" s="25"/>
      <c r="B91" s="27"/>
    </row>
    <row r="92" spans="1:10" s="26" customFormat="1" x14ac:dyDescent="0.2">
      <c r="A92" s="25"/>
      <c r="B92" s="27"/>
    </row>
    <row r="93" spans="1:10" s="26" customFormat="1" x14ac:dyDescent="0.2">
      <c r="A93" s="25"/>
      <c r="B93" s="27"/>
    </row>
    <row r="94" spans="1:10" s="62" customFormat="1" x14ac:dyDescent="0.2">
      <c r="A94" s="25"/>
      <c r="B94" s="27"/>
      <c r="C94" s="26"/>
      <c r="D94" s="26"/>
      <c r="E94" s="26"/>
      <c r="F94" s="26"/>
      <c r="G94" s="26"/>
      <c r="H94" s="26"/>
      <c r="I94" s="26"/>
      <c r="J94" s="61"/>
    </row>
    <row r="95" spans="1:10" s="26" customFormat="1" x14ac:dyDescent="0.2">
      <c r="A95" s="25"/>
      <c r="B95" s="27"/>
    </row>
    <row r="96" spans="1:10" s="26" customFormat="1" x14ac:dyDescent="0.2">
      <c r="A96" s="25"/>
      <c r="B96" s="27"/>
    </row>
    <row r="97" spans="1:2" s="26" customFormat="1" x14ac:dyDescent="0.2">
      <c r="A97" s="25"/>
      <c r="B97" s="27"/>
    </row>
    <row r="98" spans="1:2" s="26" customFormat="1" x14ac:dyDescent="0.2">
      <c r="A98" s="25"/>
      <c r="B98" s="27"/>
    </row>
    <row r="99" spans="1:2" s="26" customFormat="1" x14ac:dyDescent="0.2">
      <c r="A99" s="25"/>
      <c r="B99" s="27"/>
    </row>
    <row r="100" spans="1:2" s="26" customFormat="1" x14ac:dyDescent="0.2">
      <c r="A100" s="25"/>
      <c r="B100" s="27"/>
    </row>
    <row r="101" spans="1:2" s="26" customFormat="1" x14ac:dyDescent="0.2">
      <c r="A101" s="25"/>
      <c r="B101" s="27"/>
    </row>
    <row r="102" spans="1:2" s="26" customFormat="1" x14ac:dyDescent="0.2">
      <c r="A102" s="25"/>
      <c r="B102" s="27"/>
    </row>
    <row r="103" spans="1:2" s="26" customFormat="1" x14ac:dyDescent="0.2">
      <c r="A103" s="25"/>
      <c r="B103" s="27"/>
    </row>
    <row r="104" spans="1:2" s="26" customFormat="1" x14ac:dyDescent="0.2">
      <c r="A104" s="25"/>
      <c r="B104" s="27"/>
    </row>
    <row r="105" spans="1:2" s="26" customFormat="1" x14ac:dyDescent="0.2">
      <c r="A105" s="25"/>
      <c r="B105" s="27"/>
    </row>
    <row r="106" spans="1:2" s="26" customFormat="1" x14ac:dyDescent="0.2">
      <c r="A106" s="25"/>
      <c r="B106" s="27"/>
    </row>
    <row r="107" spans="1:2" s="26" customFormat="1" x14ac:dyDescent="0.2">
      <c r="A107" s="25"/>
      <c r="B107" s="27"/>
    </row>
    <row r="108" spans="1:2" s="26" customFormat="1" x14ac:dyDescent="0.2">
      <c r="A108" s="25"/>
      <c r="B108" s="27"/>
    </row>
    <row r="109" spans="1:2" s="26" customFormat="1" x14ac:dyDescent="0.2">
      <c r="A109" s="25"/>
      <c r="B109" s="27"/>
    </row>
    <row r="110" spans="1:2" s="26" customFormat="1" x14ac:dyDescent="0.2">
      <c r="A110" s="25"/>
      <c r="B110" s="27"/>
    </row>
    <row r="111" spans="1:2" s="26" customFormat="1" x14ac:dyDescent="0.2">
      <c r="A111" s="25"/>
      <c r="B111" s="63"/>
    </row>
    <row r="112" spans="1:2" s="26" customFormat="1" ht="13.5" thickBot="1" x14ac:dyDescent="0.25">
      <c r="A112" s="25"/>
      <c r="B112" s="27"/>
    </row>
    <row r="113" spans="1:14" s="26" customFormat="1" ht="13.5" thickBot="1" x14ac:dyDescent="0.25">
      <c r="A113" s="64" t="s">
        <v>120</v>
      </c>
      <c r="B113" s="65"/>
    </row>
    <row r="114" spans="1:14" s="26" customFormat="1" x14ac:dyDescent="0.2">
      <c r="A114" s="66" t="s">
        <v>121</v>
      </c>
      <c r="B114" s="121"/>
      <c r="C114" s="67"/>
    </row>
    <row r="115" spans="1:14" s="26" customFormat="1" x14ac:dyDescent="0.2">
      <c r="A115" s="68" t="s">
        <v>122</v>
      </c>
      <c r="B115" s="122"/>
      <c r="C115" s="69"/>
    </row>
    <row r="116" spans="1:14" s="26" customFormat="1" x14ac:dyDescent="0.2">
      <c r="A116" s="70" t="s">
        <v>123</v>
      </c>
      <c r="B116" s="15"/>
    </row>
    <row r="117" spans="1:14" s="26" customFormat="1" x14ac:dyDescent="0.2">
      <c r="A117" s="71" t="s">
        <v>124</v>
      </c>
      <c r="B117" s="15"/>
    </row>
    <row r="118" spans="1:14" s="26" customFormat="1" x14ac:dyDescent="0.2">
      <c r="A118" s="70"/>
      <c r="B118" s="15"/>
    </row>
    <row r="119" spans="1:14" s="26" customFormat="1" x14ac:dyDescent="0.2">
      <c r="A119" s="70"/>
      <c r="B119" s="15"/>
    </row>
    <row r="120" spans="1:14" s="26" customFormat="1" x14ac:dyDescent="0.2">
      <c r="A120" s="70"/>
      <c r="B120" s="15"/>
    </row>
    <row r="121" spans="1:14" x14ac:dyDescent="0.2">
      <c r="A121" s="25"/>
      <c r="C121" s="52"/>
      <c r="D121" s="53"/>
    </row>
    <row r="122" spans="1:14" x14ac:dyDescent="0.2">
      <c r="A122" s="25"/>
      <c r="C122" s="52"/>
      <c r="D122" s="53"/>
    </row>
    <row r="123" spans="1:14" x14ac:dyDescent="0.2">
      <c r="A123" s="25"/>
      <c r="C123" s="52"/>
      <c r="D123" s="53"/>
    </row>
    <row r="124" spans="1:14" x14ac:dyDescent="0.2">
      <c r="A124" s="57" t="s">
        <v>125</v>
      </c>
      <c r="K124" s="72" t="s">
        <v>126</v>
      </c>
    </row>
    <row r="125" spans="1:14" ht="28.15" customHeight="1" x14ac:dyDescent="0.2">
      <c r="A125" s="73" t="s">
        <v>127</v>
      </c>
      <c r="B125" s="73" t="s">
        <v>128</v>
      </c>
      <c r="C125" s="73" t="s">
        <v>129</v>
      </c>
      <c r="D125" s="74" t="s">
        <v>130</v>
      </c>
      <c r="E125" s="73" t="s">
        <v>131</v>
      </c>
      <c r="F125" s="73" t="s">
        <v>132</v>
      </c>
      <c r="G125" s="73" t="s">
        <v>133</v>
      </c>
      <c r="H125" s="75"/>
      <c r="I125" s="75"/>
      <c r="K125" s="76" t="s">
        <v>80</v>
      </c>
      <c r="L125" s="76" t="s">
        <v>134</v>
      </c>
      <c r="M125" s="76" t="s">
        <v>135</v>
      </c>
      <c r="N125" s="76" t="s">
        <v>136</v>
      </c>
    </row>
    <row r="126" spans="1:14" x14ac:dyDescent="0.2">
      <c r="A126" s="77" t="s">
        <v>383</v>
      </c>
      <c r="B126" s="78" t="s">
        <v>384</v>
      </c>
      <c r="C126" s="78" t="s">
        <v>138</v>
      </c>
      <c r="D126" s="78"/>
      <c r="E126" s="78" t="s">
        <v>402</v>
      </c>
      <c r="F126" s="78"/>
      <c r="G126" s="78"/>
      <c r="H126" s="78"/>
      <c r="I126" s="78"/>
      <c r="L126" s="18" t="s">
        <v>439</v>
      </c>
      <c r="M126" s="103"/>
    </row>
    <row r="127" spans="1:14" x14ac:dyDescent="0.2">
      <c r="A127" s="77" t="s">
        <v>385</v>
      </c>
      <c r="B127" s="78" t="s">
        <v>386</v>
      </c>
      <c r="C127" s="78" t="s">
        <v>138</v>
      </c>
      <c r="D127" s="78"/>
      <c r="E127" s="78" t="s">
        <v>39</v>
      </c>
      <c r="F127" s="78"/>
      <c r="G127" s="78"/>
      <c r="H127" s="78"/>
      <c r="I127" s="78"/>
      <c r="K127" s="18" t="s">
        <v>137</v>
      </c>
      <c r="L127" s="18" t="s">
        <v>138</v>
      </c>
      <c r="M127" s="18" t="s">
        <v>139</v>
      </c>
      <c r="N127" s="18" t="s">
        <v>140</v>
      </c>
    </row>
    <row r="128" spans="1:14" x14ac:dyDescent="0.2">
      <c r="A128" s="77" t="s">
        <v>387</v>
      </c>
      <c r="B128" s="78" t="s">
        <v>35</v>
      </c>
      <c r="C128" s="78" t="s">
        <v>139</v>
      </c>
      <c r="D128" s="78"/>
      <c r="E128" s="78"/>
      <c r="F128" s="78"/>
      <c r="G128" s="78"/>
      <c r="H128" s="78"/>
      <c r="I128" s="78"/>
      <c r="K128" s="18" t="s">
        <v>141</v>
      </c>
      <c r="L128" s="18" t="s">
        <v>142</v>
      </c>
      <c r="M128" s="18" t="s">
        <v>143</v>
      </c>
      <c r="N128" s="18" t="s">
        <v>144</v>
      </c>
    </row>
    <row r="129" spans="1:14" ht="38.25" x14ac:dyDescent="0.2">
      <c r="A129" s="77" t="s">
        <v>388</v>
      </c>
      <c r="B129" s="78" t="s">
        <v>389</v>
      </c>
      <c r="C129" s="78" t="s">
        <v>139</v>
      </c>
      <c r="D129" s="78"/>
      <c r="E129" s="78"/>
      <c r="F129" s="78"/>
      <c r="G129" s="78"/>
      <c r="H129" s="78"/>
      <c r="I129" s="78"/>
      <c r="K129" s="18" t="s">
        <v>145</v>
      </c>
      <c r="L129" s="18" t="s">
        <v>146</v>
      </c>
      <c r="M129" s="18" t="s">
        <v>138</v>
      </c>
      <c r="N129" s="18" t="s">
        <v>147</v>
      </c>
    </row>
    <row r="130" spans="1:14" x14ac:dyDescent="0.2">
      <c r="A130" s="77" t="s">
        <v>390</v>
      </c>
      <c r="B130" s="78" t="s">
        <v>391</v>
      </c>
      <c r="C130" s="78" t="s">
        <v>139</v>
      </c>
      <c r="D130" s="78"/>
      <c r="E130" s="78"/>
      <c r="F130" s="78"/>
      <c r="G130" s="78"/>
      <c r="H130" s="78"/>
      <c r="I130" s="78"/>
      <c r="K130" s="18" t="s">
        <v>148</v>
      </c>
      <c r="L130" s="18" t="s">
        <v>149</v>
      </c>
      <c r="N130" s="18" t="s">
        <v>150</v>
      </c>
    </row>
    <row r="131" spans="1:14" ht="38.25" x14ac:dyDescent="0.2">
      <c r="A131" s="77" t="s">
        <v>392</v>
      </c>
      <c r="B131" s="78" t="s">
        <v>405</v>
      </c>
      <c r="C131" s="78" t="s">
        <v>139</v>
      </c>
      <c r="D131" s="78"/>
      <c r="E131" s="78"/>
      <c r="F131" s="78"/>
      <c r="G131" s="78"/>
      <c r="H131" s="78"/>
      <c r="I131" s="78"/>
      <c r="K131" s="18" t="s">
        <v>151</v>
      </c>
      <c r="L131" s="18" t="s">
        <v>152</v>
      </c>
      <c r="N131" s="18" t="s">
        <v>153</v>
      </c>
    </row>
    <row r="132" spans="1:14" ht="25.5" x14ac:dyDescent="0.2">
      <c r="A132" s="77" t="s">
        <v>393</v>
      </c>
      <c r="B132" s="78" t="s">
        <v>404</v>
      </c>
      <c r="C132" s="78" t="s">
        <v>143</v>
      </c>
      <c r="D132" s="78" t="s">
        <v>143</v>
      </c>
      <c r="E132" s="78"/>
      <c r="F132" s="78"/>
      <c r="G132" s="78"/>
      <c r="H132" s="78"/>
      <c r="I132" s="78"/>
      <c r="N132" s="18" t="s">
        <v>154</v>
      </c>
    </row>
    <row r="133" spans="1:14" x14ac:dyDescent="0.2">
      <c r="A133" s="77" t="s">
        <v>394</v>
      </c>
      <c r="B133" s="78" t="s">
        <v>395</v>
      </c>
      <c r="C133" s="78" t="s">
        <v>139</v>
      </c>
      <c r="D133" s="78"/>
      <c r="E133" s="78"/>
      <c r="F133" s="78"/>
      <c r="G133" s="78"/>
      <c r="H133" s="78"/>
      <c r="I133" s="78"/>
      <c r="N133" s="18" t="s">
        <v>155</v>
      </c>
    </row>
    <row r="134" spans="1:14" x14ac:dyDescent="0.2">
      <c r="A134" s="77" t="s">
        <v>396</v>
      </c>
      <c r="B134" s="78" t="s">
        <v>403</v>
      </c>
      <c r="C134" s="78" t="s">
        <v>139</v>
      </c>
      <c r="D134" s="78"/>
      <c r="E134" s="78"/>
      <c r="F134" s="78"/>
      <c r="G134" s="78" t="s">
        <v>1711</v>
      </c>
      <c r="H134" s="78"/>
      <c r="I134" s="78"/>
      <c r="N134" s="18" t="s">
        <v>156</v>
      </c>
    </row>
    <row r="135" spans="1:14" x14ac:dyDescent="0.2">
      <c r="A135" s="77" t="s">
        <v>397</v>
      </c>
      <c r="B135" s="78" t="s">
        <v>398</v>
      </c>
      <c r="C135" s="78" t="s">
        <v>139</v>
      </c>
      <c r="D135" s="78"/>
      <c r="E135" s="78"/>
      <c r="F135" s="78"/>
      <c r="G135" s="78" t="s">
        <v>1711</v>
      </c>
      <c r="H135" s="78"/>
      <c r="I135" s="78"/>
      <c r="N135" s="18" t="s">
        <v>157</v>
      </c>
    </row>
    <row r="136" spans="1:14" x14ac:dyDescent="0.2">
      <c r="A136" s="77" t="s">
        <v>409</v>
      </c>
      <c r="B136" s="78" t="s">
        <v>410</v>
      </c>
      <c r="C136" s="78" t="s">
        <v>143</v>
      </c>
      <c r="D136" s="78" t="s">
        <v>337</v>
      </c>
      <c r="E136" s="78"/>
      <c r="F136" s="78"/>
      <c r="G136" s="78" t="s">
        <v>1711</v>
      </c>
      <c r="H136" s="78"/>
      <c r="I136" s="78"/>
      <c r="N136" s="18" t="s">
        <v>158</v>
      </c>
    </row>
    <row r="137" spans="1:14" x14ac:dyDescent="0.2">
      <c r="A137" s="77" t="s">
        <v>45</v>
      </c>
      <c r="B137" s="78" t="s">
        <v>399</v>
      </c>
      <c r="C137" s="78" t="s">
        <v>139</v>
      </c>
      <c r="D137" s="78"/>
      <c r="E137" s="78"/>
      <c r="F137" s="78"/>
      <c r="G137" s="78" t="s">
        <v>1711</v>
      </c>
      <c r="H137" s="78"/>
      <c r="I137" s="78"/>
      <c r="N137" s="18" t="s">
        <v>159</v>
      </c>
    </row>
    <row r="138" spans="1:14" ht="25.5" x14ac:dyDescent="0.2">
      <c r="A138" s="77" t="s">
        <v>400</v>
      </c>
      <c r="B138" s="78" t="s">
        <v>411</v>
      </c>
      <c r="C138" s="78" t="s">
        <v>143</v>
      </c>
      <c r="D138" s="78" t="s">
        <v>337</v>
      </c>
      <c r="E138" s="78"/>
      <c r="F138" s="78"/>
      <c r="G138" s="78" t="s">
        <v>1711</v>
      </c>
      <c r="H138" s="78"/>
      <c r="I138" s="78"/>
      <c r="N138" s="18" t="s">
        <v>160</v>
      </c>
    </row>
    <row r="139" spans="1:14" x14ac:dyDescent="0.2">
      <c r="A139" s="77" t="s">
        <v>401</v>
      </c>
      <c r="B139" s="78" t="s">
        <v>412</v>
      </c>
      <c r="C139" s="78" t="s">
        <v>143</v>
      </c>
      <c r="D139" s="78" t="s">
        <v>337</v>
      </c>
      <c r="E139" s="78"/>
      <c r="F139" s="78"/>
      <c r="G139" s="78" t="s">
        <v>1711</v>
      </c>
      <c r="H139" s="78"/>
      <c r="I139" s="78"/>
      <c r="N139" s="18" t="s">
        <v>161</v>
      </c>
    </row>
    <row r="140" spans="1:14" x14ac:dyDescent="0.2">
      <c r="A140" s="77"/>
      <c r="B140" s="78"/>
      <c r="C140" s="78"/>
      <c r="D140" s="78"/>
      <c r="E140" s="78"/>
      <c r="F140" s="78"/>
      <c r="G140" s="78"/>
      <c r="H140" s="78"/>
      <c r="I140" s="78"/>
      <c r="N140" s="18" t="s">
        <v>162</v>
      </c>
    </row>
    <row r="141" spans="1:14" x14ac:dyDescent="0.2">
      <c r="A141" s="77"/>
      <c r="B141" s="78"/>
      <c r="C141" s="78"/>
      <c r="D141" s="78"/>
      <c r="E141" s="78"/>
      <c r="F141" s="78"/>
      <c r="G141" s="78"/>
      <c r="H141" s="78"/>
      <c r="I141" s="78"/>
      <c r="N141" s="18" t="s">
        <v>163</v>
      </c>
    </row>
    <row r="142" spans="1:14" x14ac:dyDescent="0.2">
      <c r="A142" s="77"/>
      <c r="B142" s="78"/>
      <c r="C142" s="78"/>
      <c r="D142" s="78"/>
      <c r="E142" s="78"/>
      <c r="F142" s="78"/>
      <c r="G142" s="78"/>
      <c r="H142" s="78"/>
      <c r="I142" s="78"/>
      <c r="N142" s="18" t="s">
        <v>164</v>
      </c>
    </row>
    <row r="143" spans="1:14" x14ac:dyDescent="0.2">
      <c r="A143" s="77"/>
      <c r="B143" s="78"/>
      <c r="C143" s="78"/>
      <c r="D143" s="78"/>
      <c r="E143" s="78"/>
      <c r="F143" s="78"/>
      <c r="G143" s="78"/>
      <c r="H143" s="78"/>
      <c r="I143" s="78"/>
      <c r="N143" s="18" t="s">
        <v>165</v>
      </c>
    </row>
    <row r="144" spans="1:14" x14ac:dyDescent="0.2">
      <c r="A144" s="77"/>
      <c r="B144" s="78"/>
      <c r="C144" s="78"/>
      <c r="D144" s="78"/>
      <c r="E144" s="78"/>
      <c r="F144" s="78"/>
      <c r="G144" s="78"/>
      <c r="H144" s="78"/>
      <c r="I144" s="78"/>
      <c r="N144" s="18" t="s">
        <v>166</v>
      </c>
    </row>
    <row r="145" spans="1:14" x14ac:dyDescent="0.2">
      <c r="A145" s="77"/>
      <c r="B145" s="78"/>
      <c r="C145" s="78"/>
      <c r="D145" s="78"/>
      <c r="E145" s="78"/>
      <c r="F145" s="78"/>
      <c r="G145" s="78"/>
      <c r="H145" s="78"/>
      <c r="I145" s="78"/>
      <c r="N145" s="18" t="s">
        <v>167</v>
      </c>
    </row>
    <row r="146" spans="1:14" x14ac:dyDescent="0.2">
      <c r="A146" s="77"/>
      <c r="B146" s="78"/>
      <c r="C146" s="78"/>
      <c r="D146" s="78"/>
      <c r="E146" s="78"/>
      <c r="F146" s="78"/>
      <c r="G146" s="78"/>
      <c r="H146" s="78"/>
      <c r="I146" s="78"/>
      <c r="N146" s="18" t="s">
        <v>168</v>
      </c>
    </row>
    <row r="147" spans="1:14" x14ac:dyDescent="0.2">
      <c r="A147" s="77"/>
      <c r="B147" s="78"/>
      <c r="C147" s="78"/>
      <c r="D147" s="78"/>
      <c r="E147" s="78"/>
      <c r="F147" s="78"/>
      <c r="G147" s="78"/>
      <c r="H147" s="78"/>
      <c r="I147" s="78"/>
      <c r="N147" s="18" t="s">
        <v>169</v>
      </c>
    </row>
    <row r="148" spans="1:14" x14ac:dyDescent="0.2">
      <c r="A148" s="77"/>
      <c r="B148" s="78"/>
      <c r="C148" s="78"/>
      <c r="D148" s="78"/>
      <c r="E148" s="78"/>
      <c r="F148" s="78"/>
      <c r="G148" s="78"/>
      <c r="H148" s="78"/>
      <c r="I148" s="78"/>
      <c r="N148" s="18" t="s">
        <v>170</v>
      </c>
    </row>
    <row r="149" spans="1:14" x14ac:dyDescent="0.2">
      <c r="A149" s="77"/>
      <c r="B149" s="78"/>
      <c r="C149" s="78"/>
      <c r="D149" s="78"/>
      <c r="E149" s="78"/>
      <c r="F149" s="78"/>
      <c r="G149" s="78"/>
      <c r="H149" s="78"/>
      <c r="I149" s="78"/>
      <c r="N149" s="18" t="s">
        <v>171</v>
      </c>
    </row>
    <row r="150" spans="1:14" x14ac:dyDescent="0.2">
      <c r="A150" s="77"/>
      <c r="B150" s="78"/>
      <c r="C150" s="78"/>
      <c r="D150" s="78"/>
      <c r="E150" s="78"/>
      <c r="F150" s="78"/>
      <c r="G150" s="78"/>
      <c r="H150" s="78"/>
      <c r="I150" s="78"/>
      <c r="N150" s="18" t="s">
        <v>172</v>
      </c>
    </row>
    <row r="151" spans="1:14" x14ac:dyDescent="0.2">
      <c r="A151" s="77"/>
      <c r="B151" s="78"/>
      <c r="C151" s="78"/>
      <c r="D151" s="78"/>
      <c r="E151" s="78"/>
      <c r="F151" s="78"/>
      <c r="G151" s="78"/>
      <c r="H151" s="78"/>
      <c r="I151" s="78"/>
      <c r="N151" s="18" t="s">
        <v>173</v>
      </c>
    </row>
    <row r="152" spans="1:14" x14ac:dyDescent="0.2">
      <c r="A152" s="77"/>
      <c r="B152" s="78"/>
      <c r="C152" s="78"/>
      <c r="D152" s="78"/>
      <c r="E152" s="78"/>
      <c r="F152" s="78"/>
      <c r="G152" s="78"/>
      <c r="H152" s="78"/>
      <c r="I152" s="78"/>
      <c r="N152" s="18" t="s">
        <v>174</v>
      </c>
    </row>
    <row r="153" spans="1:14" x14ac:dyDescent="0.2">
      <c r="A153" s="77"/>
      <c r="B153" s="78"/>
      <c r="C153" s="78"/>
      <c r="D153" s="78"/>
      <c r="E153" s="78"/>
      <c r="F153" s="78"/>
      <c r="G153" s="78"/>
      <c r="H153" s="78"/>
      <c r="I153" s="78"/>
      <c r="N153" s="18" t="s">
        <v>175</v>
      </c>
    </row>
    <row r="154" spans="1:14" x14ac:dyDescent="0.2">
      <c r="A154" s="77"/>
      <c r="B154" s="78"/>
      <c r="C154" s="78"/>
      <c r="D154" s="78"/>
      <c r="E154" s="78"/>
      <c r="F154" s="78"/>
      <c r="G154" s="78"/>
      <c r="H154" s="78"/>
      <c r="I154" s="78"/>
      <c r="N154" s="18" t="s">
        <v>176</v>
      </c>
    </row>
    <row r="155" spans="1:14" x14ac:dyDescent="0.2">
      <c r="A155" s="77"/>
      <c r="B155" s="78"/>
      <c r="C155" s="78"/>
      <c r="D155" s="78"/>
      <c r="E155" s="78"/>
      <c r="F155" s="78"/>
      <c r="G155" s="78"/>
      <c r="H155" s="78"/>
      <c r="I155" s="78"/>
      <c r="N155" s="18" t="s">
        <v>177</v>
      </c>
    </row>
    <row r="156" spans="1:14" x14ac:dyDescent="0.2">
      <c r="A156" s="77"/>
      <c r="B156" s="78"/>
      <c r="C156" s="78"/>
      <c r="D156" s="78"/>
      <c r="E156" s="78"/>
      <c r="F156" s="78"/>
      <c r="G156" s="78"/>
      <c r="H156" s="78"/>
      <c r="I156" s="78"/>
      <c r="N156" s="18" t="s">
        <v>178</v>
      </c>
    </row>
    <row r="157" spans="1:14" x14ac:dyDescent="0.2">
      <c r="A157" s="77"/>
      <c r="B157" s="78"/>
      <c r="C157" s="78"/>
      <c r="D157" s="78"/>
      <c r="E157" s="78"/>
      <c r="F157" s="78"/>
      <c r="G157" s="78"/>
      <c r="H157" s="78"/>
      <c r="I157" s="78"/>
      <c r="N157" s="18" t="s">
        <v>179</v>
      </c>
    </row>
    <row r="158" spans="1:14" x14ac:dyDescent="0.2">
      <c r="A158" s="77"/>
      <c r="B158" s="78"/>
      <c r="C158" s="78"/>
      <c r="D158" s="78"/>
      <c r="E158" s="78"/>
      <c r="F158" s="78"/>
      <c r="G158" s="78"/>
      <c r="H158" s="78"/>
      <c r="I158" s="78"/>
      <c r="N158" s="18" t="s">
        <v>180</v>
      </c>
    </row>
    <row r="159" spans="1:14" x14ac:dyDescent="0.2">
      <c r="A159" s="77"/>
      <c r="B159" s="78"/>
      <c r="C159" s="78"/>
      <c r="D159" s="78"/>
      <c r="E159" s="78"/>
      <c r="F159" s="78"/>
      <c r="G159" s="78"/>
      <c r="H159" s="78"/>
      <c r="I159" s="78"/>
      <c r="N159" s="18" t="s">
        <v>181</v>
      </c>
    </row>
    <row r="160" spans="1:14" x14ac:dyDescent="0.2">
      <c r="A160" s="77"/>
      <c r="B160" s="78"/>
      <c r="C160" s="78"/>
      <c r="D160" s="78"/>
      <c r="E160" s="78"/>
      <c r="F160" s="78"/>
      <c r="G160" s="78"/>
      <c r="H160" s="78"/>
      <c r="I160" s="78"/>
      <c r="N160" s="18" t="s">
        <v>438</v>
      </c>
    </row>
    <row r="161" spans="1:14" x14ac:dyDescent="0.2">
      <c r="A161" s="77"/>
      <c r="B161" s="78"/>
      <c r="C161" s="78"/>
      <c r="D161" s="78"/>
      <c r="E161" s="78"/>
      <c r="F161" s="78"/>
      <c r="G161" s="78"/>
      <c r="H161" s="78"/>
      <c r="I161" s="78"/>
      <c r="N161" s="18" t="s">
        <v>182</v>
      </c>
    </row>
    <row r="162" spans="1:14" x14ac:dyDescent="0.2">
      <c r="A162" s="77"/>
      <c r="B162" s="78"/>
      <c r="C162" s="78"/>
      <c r="D162" s="78"/>
      <c r="E162" s="78"/>
      <c r="F162" s="78"/>
      <c r="G162" s="78"/>
      <c r="H162" s="78"/>
      <c r="I162" s="78"/>
      <c r="N162" s="18" t="s">
        <v>183</v>
      </c>
    </row>
    <row r="163" spans="1:14" x14ac:dyDescent="0.2">
      <c r="A163" s="77"/>
      <c r="B163" s="78"/>
      <c r="C163" s="78"/>
      <c r="D163" s="78"/>
      <c r="E163" s="78"/>
      <c r="F163" s="78"/>
      <c r="G163" s="78"/>
      <c r="H163" s="78"/>
      <c r="I163" s="78"/>
      <c r="N163" s="18" t="s">
        <v>184</v>
      </c>
    </row>
    <row r="164" spans="1:14" x14ac:dyDescent="0.2">
      <c r="A164" s="77"/>
      <c r="B164" s="78"/>
      <c r="C164" s="78"/>
      <c r="D164" s="78"/>
      <c r="E164" s="78"/>
      <c r="F164" s="78"/>
      <c r="G164" s="78"/>
      <c r="H164" s="78"/>
      <c r="I164" s="78"/>
      <c r="N164" s="18" t="s">
        <v>185</v>
      </c>
    </row>
    <row r="165" spans="1:14" x14ac:dyDescent="0.2">
      <c r="A165" s="77"/>
      <c r="B165" s="78"/>
      <c r="C165" s="78"/>
      <c r="D165" s="78"/>
      <c r="E165" s="78"/>
      <c r="F165" s="78"/>
      <c r="G165" s="78"/>
      <c r="H165" s="78"/>
      <c r="I165" s="78"/>
      <c r="N165" s="18" t="s">
        <v>186</v>
      </c>
    </row>
    <row r="166" spans="1:14" x14ac:dyDescent="0.2">
      <c r="A166" s="77"/>
      <c r="B166" s="78"/>
      <c r="C166" s="78"/>
      <c r="D166" s="78"/>
      <c r="E166" s="78"/>
      <c r="F166" s="78"/>
      <c r="G166" s="78"/>
      <c r="H166" s="78"/>
      <c r="I166" s="78"/>
      <c r="N166" s="18" t="s">
        <v>187</v>
      </c>
    </row>
    <row r="167" spans="1:14" x14ac:dyDescent="0.2">
      <c r="A167" s="77"/>
      <c r="B167" s="78"/>
      <c r="C167" s="78"/>
      <c r="D167" s="78"/>
      <c r="E167" s="78"/>
      <c r="F167" s="78"/>
      <c r="G167" s="78"/>
      <c r="H167" s="78"/>
      <c r="I167" s="78"/>
      <c r="N167" s="18" t="s">
        <v>188</v>
      </c>
    </row>
    <row r="168" spans="1:14" x14ac:dyDescent="0.2">
      <c r="A168" s="77"/>
      <c r="B168" s="78"/>
      <c r="C168" s="78"/>
      <c r="D168" s="78"/>
      <c r="E168" s="78"/>
      <c r="F168" s="78"/>
      <c r="G168" s="78"/>
      <c r="H168" s="78"/>
      <c r="I168" s="78"/>
      <c r="N168" s="18" t="s">
        <v>189</v>
      </c>
    </row>
    <row r="169" spans="1:14" x14ac:dyDescent="0.2">
      <c r="A169" s="77"/>
      <c r="B169" s="78"/>
      <c r="C169" s="78"/>
      <c r="D169" s="78"/>
      <c r="E169" s="78"/>
      <c r="F169" s="78"/>
      <c r="G169" s="78"/>
      <c r="H169" s="78"/>
      <c r="I169" s="78"/>
      <c r="N169" s="18" t="s">
        <v>190</v>
      </c>
    </row>
    <row r="170" spans="1:14" x14ac:dyDescent="0.2">
      <c r="A170" s="77"/>
      <c r="B170" s="78"/>
      <c r="C170" s="78"/>
      <c r="D170" s="78"/>
      <c r="E170" s="78"/>
      <c r="F170" s="78"/>
      <c r="G170" s="78"/>
      <c r="H170" s="78"/>
      <c r="I170" s="78"/>
      <c r="N170" s="18" t="s">
        <v>191</v>
      </c>
    </row>
    <row r="171" spans="1:14" x14ac:dyDescent="0.2">
      <c r="A171" s="77"/>
      <c r="B171" s="78"/>
      <c r="C171" s="78"/>
      <c r="D171" s="78"/>
      <c r="E171" s="78"/>
      <c r="F171" s="78"/>
      <c r="G171" s="78"/>
      <c r="H171" s="78"/>
      <c r="I171" s="78"/>
      <c r="N171" s="18" t="s">
        <v>192</v>
      </c>
    </row>
    <row r="172" spans="1:14" x14ac:dyDescent="0.2">
      <c r="A172" s="77"/>
      <c r="B172" s="78"/>
      <c r="C172" s="78"/>
      <c r="D172" s="78"/>
      <c r="E172" s="78"/>
      <c r="F172" s="78"/>
      <c r="G172" s="78"/>
      <c r="H172" s="78"/>
      <c r="I172" s="78"/>
      <c r="N172" s="18" t="s">
        <v>193</v>
      </c>
    </row>
    <row r="173" spans="1:14" x14ac:dyDescent="0.2">
      <c r="A173" s="77"/>
      <c r="B173" s="78"/>
      <c r="C173" s="78"/>
      <c r="D173" s="78"/>
      <c r="E173" s="78"/>
      <c r="F173" s="78"/>
      <c r="G173" s="78"/>
      <c r="H173" s="78"/>
      <c r="I173" s="78"/>
      <c r="N173" s="18" t="s">
        <v>194</v>
      </c>
    </row>
    <row r="174" spans="1:14" x14ac:dyDescent="0.2">
      <c r="A174" s="77"/>
      <c r="B174" s="78"/>
      <c r="C174" s="78"/>
      <c r="D174" s="78"/>
      <c r="E174" s="78"/>
      <c r="F174" s="78"/>
      <c r="G174" s="78"/>
      <c r="H174" s="78"/>
      <c r="I174" s="78"/>
      <c r="N174" s="18" t="s">
        <v>195</v>
      </c>
    </row>
    <row r="175" spans="1:14" x14ac:dyDescent="0.2">
      <c r="A175" s="77"/>
      <c r="B175" s="78"/>
      <c r="C175" s="78"/>
      <c r="D175" s="78"/>
      <c r="E175" s="78"/>
      <c r="F175" s="78"/>
      <c r="G175" s="78"/>
      <c r="H175" s="78"/>
      <c r="I175" s="78"/>
      <c r="N175" s="18" t="s">
        <v>196</v>
      </c>
    </row>
    <row r="176" spans="1:14" x14ac:dyDescent="0.2">
      <c r="A176" s="77"/>
      <c r="B176" s="78"/>
      <c r="C176" s="78"/>
      <c r="D176" s="78"/>
      <c r="E176" s="78"/>
      <c r="F176" s="78"/>
      <c r="G176" s="78"/>
      <c r="H176" s="78"/>
      <c r="I176" s="78"/>
      <c r="N176" s="18" t="s">
        <v>197</v>
      </c>
    </row>
    <row r="177" spans="1:14" x14ac:dyDescent="0.2">
      <c r="A177" s="77"/>
      <c r="B177" s="78"/>
      <c r="C177" s="78"/>
      <c r="D177" s="78"/>
      <c r="E177" s="78"/>
      <c r="F177" s="78"/>
      <c r="G177" s="78"/>
      <c r="H177" s="78"/>
      <c r="I177" s="78"/>
      <c r="N177" s="18" t="s">
        <v>198</v>
      </c>
    </row>
    <row r="178" spans="1:14" x14ac:dyDescent="0.2">
      <c r="A178" s="77"/>
      <c r="B178" s="78"/>
      <c r="C178" s="78"/>
      <c r="D178" s="78"/>
      <c r="E178" s="78"/>
      <c r="F178" s="78"/>
      <c r="G178" s="78"/>
      <c r="H178" s="78"/>
      <c r="I178" s="78"/>
      <c r="N178" s="18" t="s">
        <v>199</v>
      </c>
    </row>
    <row r="179" spans="1:14" x14ac:dyDescent="0.2">
      <c r="A179" s="77"/>
      <c r="B179" s="78"/>
      <c r="C179" s="78"/>
      <c r="D179" s="78"/>
      <c r="E179" s="78"/>
      <c r="F179" s="78"/>
      <c r="G179" s="78"/>
      <c r="H179" s="78"/>
      <c r="I179" s="78"/>
      <c r="N179" s="18" t="s">
        <v>200</v>
      </c>
    </row>
    <row r="180" spans="1:14" x14ac:dyDescent="0.2">
      <c r="A180" s="77"/>
      <c r="B180" s="78"/>
      <c r="C180" s="78"/>
      <c r="D180" s="78"/>
      <c r="E180" s="78"/>
      <c r="F180" s="78"/>
      <c r="G180" s="78"/>
      <c r="H180" s="78"/>
      <c r="I180" s="78"/>
      <c r="N180" s="18" t="s">
        <v>201</v>
      </c>
    </row>
    <row r="181" spans="1:14" x14ac:dyDescent="0.2">
      <c r="A181" s="77"/>
      <c r="B181" s="78"/>
      <c r="C181" s="78"/>
      <c r="D181" s="78"/>
      <c r="E181" s="78"/>
      <c r="F181" s="78"/>
      <c r="G181" s="78"/>
      <c r="H181" s="78"/>
      <c r="I181" s="78"/>
      <c r="N181" s="18" t="s">
        <v>202</v>
      </c>
    </row>
    <row r="182" spans="1:14" x14ac:dyDescent="0.2">
      <c r="A182" s="77"/>
      <c r="B182" s="78"/>
      <c r="C182" s="78"/>
      <c r="D182" s="78"/>
      <c r="E182" s="78"/>
      <c r="F182" s="78"/>
      <c r="G182" s="78"/>
      <c r="H182" s="78"/>
      <c r="I182" s="78"/>
      <c r="N182" s="18" t="s">
        <v>203</v>
      </c>
    </row>
    <row r="183" spans="1:14" x14ac:dyDescent="0.2">
      <c r="A183" s="77"/>
      <c r="B183" s="78"/>
      <c r="C183" s="78"/>
      <c r="D183" s="78"/>
      <c r="E183" s="78"/>
      <c r="F183" s="78"/>
      <c r="G183" s="78"/>
      <c r="H183" s="78"/>
      <c r="I183" s="78"/>
      <c r="N183" s="18" t="s">
        <v>204</v>
      </c>
    </row>
    <row r="184" spans="1:14" x14ac:dyDescent="0.2">
      <c r="A184" s="77"/>
      <c r="B184" s="78"/>
      <c r="C184" s="78"/>
      <c r="D184" s="78"/>
      <c r="E184" s="78"/>
      <c r="F184" s="78"/>
      <c r="G184" s="78"/>
      <c r="H184" s="78"/>
      <c r="I184" s="78"/>
      <c r="N184" s="18" t="s">
        <v>205</v>
      </c>
    </row>
    <row r="185" spans="1:14" x14ac:dyDescent="0.2">
      <c r="A185" s="77"/>
      <c r="B185" s="78"/>
      <c r="C185" s="78"/>
      <c r="D185" s="78"/>
      <c r="E185" s="78"/>
      <c r="F185" s="78"/>
      <c r="G185" s="78"/>
      <c r="H185" s="78"/>
      <c r="I185" s="78"/>
      <c r="N185" s="18" t="s">
        <v>206</v>
      </c>
    </row>
    <row r="186" spans="1:14" x14ac:dyDescent="0.2">
      <c r="A186" s="77"/>
      <c r="B186" s="78"/>
      <c r="C186" s="78"/>
      <c r="D186" s="78"/>
      <c r="E186" s="78"/>
      <c r="F186" s="78"/>
      <c r="G186" s="78"/>
      <c r="H186" s="78"/>
      <c r="I186" s="78"/>
      <c r="N186" s="18" t="s">
        <v>207</v>
      </c>
    </row>
    <row r="187" spans="1:14" x14ac:dyDescent="0.2">
      <c r="A187" s="77"/>
      <c r="B187" s="78"/>
      <c r="C187" s="78"/>
      <c r="D187" s="78"/>
      <c r="E187" s="78"/>
      <c r="F187" s="78"/>
      <c r="G187" s="78"/>
      <c r="H187" s="78"/>
      <c r="I187" s="78"/>
      <c r="N187" s="18" t="s">
        <v>208</v>
      </c>
    </row>
    <row r="188" spans="1:14" x14ac:dyDescent="0.2">
      <c r="A188" s="77"/>
      <c r="B188" s="78"/>
      <c r="C188" s="78"/>
      <c r="D188" s="78"/>
      <c r="E188" s="78"/>
      <c r="F188" s="78"/>
      <c r="G188" s="78"/>
      <c r="H188" s="78"/>
      <c r="I188" s="78"/>
      <c r="N188" s="18" t="s">
        <v>209</v>
      </c>
    </row>
    <row r="189" spans="1:14" x14ac:dyDescent="0.2">
      <c r="A189" s="77"/>
      <c r="B189" s="78"/>
      <c r="C189" s="78"/>
      <c r="D189" s="78"/>
      <c r="E189" s="78"/>
      <c r="F189" s="78"/>
      <c r="G189" s="78"/>
      <c r="H189" s="78"/>
      <c r="I189" s="78"/>
      <c r="N189" s="18" t="s">
        <v>210</v>
      </c>
    </row>
    <row r="190" spans="1:14" x14ac:dyDescent="0.2">
      <c r="A190" s="77"/>
      <c r="B190" s="78"/>
      <c r="C190" s="78"/>
      <c r="D190" s="78"/>
      <c r="E190" s="78"/>
      <c r="F190" s="78"/>
      <c r="G190" s="78"/>
      <c r="H190" s="78"/>
      <c r="I190" s="78"/>
      <c r="N190" s="18" t="s">
        <v>211</v>
      </c>
    </row>
    <row r="191" spans="1:14" x14ac:dyDescent="0.2">
      <c r="A191" s="77"/>
      <c r="B191" s="78"/>
      <c r="C191" s="78"/>
      <c r="D191" s="78"/>
      <c r="E191" s="78"/>
      <c r="F191" s="78"/>
      <c r="G191" s="78"/>
      <c r="H191" s="78"/>
      <c r="I191" s="78"/>
      <c r="N191" s="18" t="s">
        <v>212</v>
      </c>
    </row>
    <row r="192" spans="1:14" x14ac:dyDescent="0.2">
      <c r="A192" s="77"/>
      <c r="B192" s="78"/>
      <c r="C192" s="78"/>
      <c r="D192" s="78"/>
      <c r="E192" s="78"/>
      <c r="F192" s="78"/>
      <c r="G192" s="78"/>
      <c r="H192" s="78"/>
      <c r="I192" s="78"/>
      <c r="N192" s="18" t="s">
        <v>213</v>
      </c>
    </row>
    <row r="193" spans="1:14" x14ac:dyDescent="0.2">
      <c r="A193" s="77"/>
      <c r="B193" s="78"/>
      <c r="C193" s="78"/>
      <c r="D193" s="78"/>
      <c r="E193" s="78"/>
      <c r="F193" s="78"/>
      <c r="G193" s="78"/>
      <c r="H193" s="78"/>
      <c r="I193" s="78"/>
      <c r="N193" s="18" t="s">
        <v>214</v>
      </c>
    </row>
    <row r="194" spans="1:14" x14ac:dyDescent="0.2">
      <c r="A194" s="77"/>
      <c r="B194" s="78"/>
      <c r="C194" s="78"/>
      <c r="D194" s="78"/>
      <c r="E194" s="78"/>
      <c r="F194" s="78"/>
      <c r="G194" s="78"/>
      <c r="H194" s="78"/>
      <c r="I194" s="78"/>
      <c r="N194" s="18" t="s">
        <v>215</v>
      </c>
    </row>
    <row r="195" spans="1:14" x14ac:dyDescent="0.2">
      <c r="A195" s="77"/>
      <c r="B195" s="78"/>
      <c r="C195" s="78"/>
      <c r="D195" s="78"/>
      <c r="E195" s="78"/>
      <c r="F195" s="78"/>
      <c r="G195" s="78"/>
      <c r="H195" s="78"/>
      <c r="I195" s="78"/>
      <c r="N195" s="18" t="s">
        <v>216</v>
      </c>
    </row>
    <row r="196" spans="1:14" x14ac:dyDescent="0.2">
      <c r="A196" s="77"/>
      <c r="B196" s="78"/>
      <c r="C196" s="78"/>
      <c r="D196" s="78"/>
      <c r="E196" s="78"/>
      <c r="F196" s="78"/>
      <c r="G196" s="78"/>
      <c r="H196" s="78"/>
      <c r="I196" s="78"/>
      <c r="N196" s="18" t="s">
        <v>217</v>
      </c>
    </row>
    <row r="197" spans="1:14" x14ac:dyDescent="0.2">
      <c r="A197" s="77"/>
      <c r="B197" s="78"/>
      <c r="C197" s="78"/>
      <c r="D197" s="78"/>
      <c r="E197" s="78"/>
      <c r="F197" s="78"/>
      <c r="G197" s="78"/>
      <c r="H197" s="78"/>
      <c r="I197" s="78"/>
      <c r="N197" s="18" t="s">
        <v>437</v>
      </c>
    </row>
    <row r="198" spans="1:14" x14ac:dyDescent="0.2">
      <c r="A198" s="77"/>
      <c r="B198" s="78"/>
      <c r="C198" s="78"/>
      <c r="D198" s="78"/>
      <c r="E198" s="78"/>
      <c r="F198" s="78"/>
      <c r="G198" s="78"/>
      <c r="H198" s="78"/>
      <c r="I198" s="78"/>
      <c r="N198" s="18" t="s">
        <v>218</v>
      </c>
    </row>
    <row r="199" spans="1:14" x14ac:dyDescent="0.2">
      <c r="A199" s="77"/>
      <c r="B199" s="78"/>
      <c r="C199" s="78"/>
      <c r="D199" s="78"/>
      <c r="E199" s="78"/>
      <c r="F199" s="78"/>
      <c r="G199" s="78"/>
      <c r="H199" s="78"/>
      <c r="I199" s="78"/>
      <c r="N199" s="18" t="s">
        <v>219</v>
      </c>
    </row>
    <row r="200" spans="1:14" x14ac:dyDescent="0.2">
      <c r="A200" s="77"/>
      <c r="B200" s="78"/>
      <c r="C200" s="78"/>
      <c r="D200" s="78"/>
      <c r="E200" s="78"/>
      <c r="F200" s="78"/>
      <c r="G200" s="78"/>
      <c r="H200" s="78"/>
      <c r="I200" s="78"/>
      <c r="N200" s="18" t="s">
        <v>220</v>
      </c>
    </row>
    <row r="201" spans="1:14" x14ac:dyDescent="0.2">
      <c r="A201" s="77"/>
      <c r="B201" s="78"/>
      <c r="C201" s="78"/>
      <c r="D201" s="78"/>
      <c r="E201" s="78"/>
      <c r="F201" s="78"/>
      <c r="G201" s="78"/>
      <c r="H201" s="78"/>
      <c r="I201" s="78"/>
      <c r="N201" s="18" t="s">
        <v>221</v>
      </c>
    </row>
    <row r="202" spans="1:14" x14ac:dyDescent="0.2">
      <c r="A202" s="77"/>
      <c r="B202" s="78"/>
      <c r="C202" s="78"/>
      <c r="D202" s="78"/>
      <c r="E202" s="78"/>
      <c r="F202" s="78"/>
      <c r="G202" s="78"/>
      <c r="H202" s="78"/>
      <c r="I202" s="78"/>
      <c r="N202" s="18" t="s">
        <v>222</v>
      </c>
    </row>
    <row r="203" spans="1:14" x14ac:dyDescent="0.2">
      <c r="A203" s="77"/>
      <c r="B203" s="78"/>
      <c r="C203" s="78"/>
      <c r="D203" s="78"/>
      <c r="E203" s="78"/>
      <c r="F203" s="78"/>
      <c r="G203" s="78"/>
      <c r="H203" s="78"/>
      <c r="I203" s="78"/>
      <c r="N203" s="18" t="s">
        <v>223</v>
      </c>
    </row>
    <row r="204" spans="1:14" x14ac:dyDescent="0.2">
      <c r="A204" s="77"/>
      <c r="B204" s="78"/>
      <c r="C204" s="78"/>
      <c r="D204" s="78"/>
      <c r="E204" s="78"/>
      <c r="F204" s="78"/>
      <c r="G204" s="78"/>
      <c r="H204" s="78"/>
      <c r="I204" s="78"/>
      <c r="N204" s="18" t="s">
        <v>224</v>
      </c>
    </row>
    <row r="205" spans="1:14" x14ac:dyDescent="0.2">
      <c r="A205" s="77"/>
      <c r="B205" s="78"/>
      <c r="C205" s="78"/>
      <c r="D205" s="78"/>
      <c r="E205" s="78"/>
      <c r="F205" s="78"/>
      <c r="G205" s="78"/>
      <c r="H205" s="78"/>
      <c r="I205" s="78"/>
      <c r="N205" s="18" t="s">
        <v>225</v>
      </c>
    </row>
    <row r="206" spans="1:14" x14ac:dyDescent="0.2">
      <c r="A206" s="77"/>
      <c r="B206" s="78"/>
      <c r="C206" s="78"/>
      <c r="D206" s="78"/>
      <c r="E206" s="78"/>
      <c r="F206" s="78"/>
      <c r="G206" s="78"/>
      <c r="H206" s="78"/>
      <c r="I206" s="78"/>
      <c r="N206" s="18" t="s">
        <v>226</v>
      </c>
    </row>
    <row r="207" spans="1:14" x14ac:dyDescent="0.2">
      <c r="A207" s="77"/>
      <c r="B207" s="78"/>
      <c r="C207" s="78"/>
      <c r="D207" s="78"/>
      <c r="E207" s="78"/>
      <c r="F207" s="78"/>
      <c r="G207" s="78"/>
      <c r="H207" s="78"/>
      <c r="I207" s="78"/>
      <c r="L207" s="79"/>
      <c r="M207" s="79"/>
      <c r="N207" s="18" t="s">
        <v>227</v>
      </c>
    </row>
    <row r="208" spans="1:14" x14ac:dyDescent="0.2">
      <c r="A208" s="77"/>
      <c r="B208" s="78"/>
      <c r="C208" s="78"/>
      <c r="D208" s="78"/>
      <c r="E208" s="78"/>
      <c r="F208" s="78"/>
      <c r="G208" s="78"/>
      <c r="H208" s="78"/>
      <c r="I208" s="78"/>
      <c r="N208" s="18" t="s">
        <v>228</v>
      </c>
    </row>
    <row r="209" spans="1:14" x14ac:dyDescent="0.2">
      <c r="A209" s="77"/>
      <c r="B209" s="78"/>
      <c r="C209" s="78"/>
      <c r="D209" s="78"/>
      <c r="E209" s="78"/>
      <c r="F209" s="78"/>
      <c r="G209" s="78"/>
      <c r="H209" s="78"/>
      <c r="I209" s="78"/>
      <c r="N209" s="18" t="s">
        <v>229</v>
      </c>
    </row>
    <row r="210" spans="1:14" x14ac:dyDescent="0.2">
      <c r="A210" s="77"/>
      <c r="B210" s="78"/>
      <c r="C210" s="78"/>
      <c r="D210" s="78"/>
      <c r="E210" s="78"/>
      <c r="F210" s="78"/>
      <c r="G210" s="78"/>
      <c r="H210" s="78"/>
      <c r="I210" s="78"/>
      <c r="N210" s="18" t="s">
        <v>230</v>
      </c>
    </row>
    <row r="211" spans="1:14" x14ac:dyDescent="0.2">
      <c r="A211" s="77"/>
      <c r="B211" s="78"/>
      <c r="C211" s="78"/>
      <c r="D211" s="78"/>
      <c r="E211" s="78"/>
      <c r="F211" s="78"/>
      <c r="G211" s="78"/>
      <c r="H211" s="78"/>
      <c r="I211" s="78"/>
      <c r="N211" s="18" t="s">
        <v>231</v>
      </c>
    </row>
    <row r="212" spans="1:14" x14ac:dyDescent="0.2">
      <c r="A212" s="77"/>
      <c r="B212" s="78"/>
      <c r="C212" s="78"/>
      <c r="D212" s="78"/>
      <c r="E212" s="78"/>
      <c r="F212" s="78"/>
      <c r="G212" s="78"/>
      <c r="H212" s="78"/>
      <c r="I212" s="78"/>
      <c r="N212" s="18" t="s">
        <v>232</v>
      </c>
    </row>
    <row r="213" spans="1:14" x14ac:dyDescent="0.2">
      <c r="A213" s="77"/>
      <c r="B213" s="78"/>
      <c r="C213" s="78"/>
      <c r="D213" s="78"/>
      <c r="E213" s="78"/>
      <c r="F213" s="78"/>
      <c r="G213" s="78"/>
      <c r="H213" s="78"/>
      <c r="I213" s="78"/>
      <c r="N213" s="18" t="s">
        <v>233</v>
      </c>
    </row>
    <row r="214" spans="1:14" x14ac:dyDescent="0.2">
      <c r="A214" s="77"/>
      <c r="B214" s="78"/>
      <c r="C214" s="78"/>
      <c r="D214" s="78"/>
      <c r="E214" s="78"/>
      <c r="F214" s="78"/>
      <c r="G214" s="78"/>
      <c r="H214" s="78"/>
      <c r="I214" s="78"/>
      <c r="N214" s="18" t="s">
        <v>234</v>
      </c>
    </row>
    <row r="215" spans="1:14" x14ac:dyDescent="0.2">
      <c r="A215" s="77"/>
      <c r="B215" s="78"/>
      <c r="C215" s="78"/>
      <c r="D215" s="78"/>
      <c r="E215" s="78"/>
      <c r="F215" s="78"/>
      <c r="G215" s="78"/>
      <c r="H215" s="78"/>
      <c r="I215" s="78"/>
      <c r="N215" s="18" t="s">
        <v>235</v>
      </c>
    </row>
    <row r="216" spans="1:14" x14ac:dyDescent="0.2">
      <c r="A216" s="77"/>
      <c r="B216" s="78"/>
      <c r="C216" s="78"/>
      <c r="D216" s="78"/>
      <c r="E216" s="78"/>
      <c r="F216" s="78"/>
      <c r="G216" s="78"/>
      <c r="H216" s="78"/>
      <c r="I216" s="78"/>
      <c r="N216" s="18" t="s">
        <v>436</v>
      </c>
    </row>
    <row r="217" spans="1:14" x14ac:dyDescent="0.2">
      <c r="A217" s="77"/>
      <c r="B217" s="78"/>
      <c r="C217" s="78"/>
      <c r="D217" s="78"/>
      <c r="E217" s="78"/>
      <c r="F217" s="78"/>
      <c r="G217" s="78"/>
      <c r="H217" s="78"/>
      <c r="I217" s="78"/>
      <c r="N217" s="18" t="s">
        <v>236</v>
      </c>
    </row>
    <row r="218" spans="1:14" x14ac:dyDescent="0.2">
      <c r="A218" s="77"/>
      <c r="B218" s="78"/>
      <c r="C218" s="78"/>
      <c r="D218" s="78"/>
      <c r="E218" s="78"/>
      <c r="F218" s="78"/>
      <c r="G218" s="78"/>
      <c r="H218" s="78"/>
      <c r="I218" s="78"/>
      <c r="N218" s="18" t="s">
        <v>237</v>
      </c>
    </row>
    <row r="219" spans="1:14" x14ac:dyDescent="0.2">
      <c r="A219" s="77"/>
      <c r="B219" s="78"/>
      <c r="C219" s="78"/>
      <c r="D219" s="78"/>
      <c r="E219" s="78"/>
      <c r="F219" s="78"/>
      <c r="G219" s="78"/>
      <c r="H219" s="78"/>
      <c r="I219" s="78"/>
      <c r="N219" s="18" t="s">
        <v>238</v>
      </c>
    </row>
    <row r="220" spans="1:14" x14ac:dyDescent="0.2">
      <c r="A220" s="77"/>
      <c r="B220" s="78"/>
      <c r="C220" s="78"/>
      <c r="D220" s="78"/>
      <c r="E220" s="78"/>
      <c r="F220" s="78"/>
      <c r="G220" s="78"/>
      <c r="H220" s="78"/>
      <c r="I220" s="78"/>
      <c r="N220" s="18" t="s">
        <v>239</v>
      </c>
    </row>
    <row r="221" spans="1:14" x14ac:dyDescent="0.2">
      <c r="A221" s="77"/>
      <c r="B221" s="78"/>
      <c r="C221" s="78"/>
      <c r="D221" s="78"/>
      <c r="E221" s="78"/>
      <c r="F221" s="78"/>
      <c r="G221" s="78"/>
      <c r="H221" s="78"/>
      <c r="I221" s="78"/>
      <c r="N221" s="18" t="s">
        <v>240</v>
      </c>
    </row>
    <row r="222" spans="1:14" x14ac:dyDescent="0.2">
      <c r="A222" s="77"/>
      <c r="B222" s="78"/>
      <c r="C222" s="78"/>
      <c r="D222" s="78"/>
      <c r="E222" s="78"/>
      <c r="F222" s="78"/>
      <c r="G222" s="78"/>
      <c r="H222" s="78"/>
      <c r="I222" s="78"/>
      <c r="N222" s="18" t="s">
        <v>241</v>
      </c>
    </row>
    <row r="223" spans="1:14" x14ac:dyDescent="0.2">
      <c r="A223" s="77"/>
      <c r="B223" s="78"/>
      <c r="C223" s="78"/>
      <c r="D223" s="78"/>
      <c r="E223" s="78"/>
      <c r="F223" s="78"/>
      <c r="G223" s="78"/>
      <c r="H223" s="78"/>
      <c r="I223" s="78"/>
      <c r="N223" s="18" t="s">
        <v>242</v>
      </c>
    </row>
    <row r="224" spans="1:14" x14ac:dyDescent="0.2">
      <c r="A224" s="77"/>
      <c r="B224" s="78"/>
      <c r="C224" s="78"/>
      <c r="D224" s="78"/>
      <c r="E224" s="78"/>
      <c r="F224" s="78"/>
      <c r="G224" s="78"/>
      <c r="H224" s="78"/>
      <c r="I224" s="78"/>
      <c r="N224" s="18" t="s">
        <v>435</v>
      </c>
    </row>
    <row r="225" spans="1:14" x14ac:dyDescent="0.2">
      <c r="A225" s="77"/>
      <c r="B225" s="78"/>
      <c r="C225" s="78"/>
      <c r="D225" s="78"/>
      <c r="E225" s="78"/>
      <c r="F225" s="78"/>
      <c r="G225" s="78"/>
      <c r="H225" s="78"/>
      <c r="I225" s="78"/>
      <c r="N225" s="18" t="s">
        <v>243</v>
      </c>
    </row>
    <row r="226" spans="1:14" x14ac:dyDescent="0.2">
      <c r="A226" s="77"/>
      <c r="B226" s="78"/>
      <c r="C226" s="78"/>
      <c r="D226" s="78"/>
      <c r="E226" s="78"/>
      <c r="F226" s="78"/>
      <c r="G226" s="78"/>
      <c r="H226" s="78"/>
      <c r="I226" s="78"/>
      <c r="N226" s="18" t="s">
        <v>244</v>
      </c>
    </row>
    <row r="227" spans="1:14" x14ac:dyDescent="0.2">
      <c r="A227" s="77"/>
      <c r="B227" s="78"/>
      <c r="C227" s="78"/>
      <c r="D227" s="78"/>
      <c r="E227" s="78"/>
      <c r="F227" s="78"/>
      <c r="G227" s="78"/>
      <c r="H227" s="78"/>
      <c r="I227" s="78"/>
      <c r="N227" s="18" t="s">
        <v>245</v>
      </c>
    </row>
    <row r="228" spans="1:14" x14ac:dyDescent="0.2">
      <c r="A228" s="77"/>
      <c r="B228" s="78"/>
      <c r="C228" s="78"/>
      <c r="D228" s="78"/>
      <c r="E228" s="78"/>
      <c r="F228" s="78"/>
      <c r="G228" s="78"/>
      <c r="H228" s="78"/>
      <c r="I228" s="78"/>
      <c r="N228" s="18" t="s">
        <v>434</v>
      </c>
    </row>
    <row r="229" spans="1:14" x14ac:dyDescent="0.2">
      <c r="A229" s="77"/>
      <c r="B229" s="78"/>
      <c r="C229" s="78"/>
      <c r="D229" s="78"/>
      <c r="E229" s="78"/>
      <c r="F229" s="78"/>
      <c r="G229" s="78"/>
      <c r="H229" s="78"/>
      <c r="I229" s="78"/>
      <c r="N229" s="18" t="s">
        <v>246</v>
      </c>
    </row>
    <row r="230" spans="1:14" x14ac:dyDescent="0.2">
      <c r="A230" s="77"/>
      <c r="B230" s="78"/>
      <c r="C230" s="78"/>
      <c r="D230" s="78"/>
      <c r="E230" s="78"/>
      <c r="F230" s="78"/>
      <c r="G230" s="78"/>
      <c r="H230" s="78"/>
      <c r="I230" s="78"/>
      <c r="N230" s="18" t="s">
        <v>247</v>
      </c>
    </row>
    <row r="231" spans="1:14" x14ac:dyDescent="0.2">
      <c r="A231" s="77"/>
      <c r="B231" s="78"/>
      <c r="C231" s="78"/>
      <c r="D231" s="78"/>
      <c r="E231" s="78"/>
      <c r="F231" s="78"/>
      <c r="G231" s="78"/>
      <c r="H231" s="78"/>
      <c r="I231" s="78"/>
      <c r="N231" s="18" t="s">
        <v>248</v>
      </c>
    </row>
    <row r="232" spans="1:14" x14ac:dyDescent="0.2">
      <c r="A232" s="77"/>
      <c r="B232" s="78"/>
      <c r="C232" s="78"/>
      <c r="D232" s="78"/>
      <c r="E232" s="78"/>
      <c r="F232" s="78"/>
      <c r="G232" s="78"/>
      <c r="H232" s="78"/>
      <c r="I232" s="78"/>
      <c r="N232" s="18" t="s">
        <v>249</v>
      </c>
    </row>
    <row r="233" spans="1:14" x14ac:dyDescent="0.2">
      <c r="A233" s="77"/>
      <c r="B233" s="78"/>
      <c r="C233" s="78"/>
      <c r="D233" s="78"/>
      <c r="E233" s="78"/>
      <c r="F233" s="78"/>
      <c r="G233" s="78"/>
      <c r="H233" s="78"/>
      <c r="I233" s="78"/>
      <c r="N233" s="18" t="s">
        <v>250</v>
      </c>
    </row>
    <row r="234" spans="1:14" x14ac:dyDescent="0.2">
      <c r="A234" s="77"/>
      <c r="B234" s="78"/>
      <c r="C234" s="78"/>
      <c r="D234" s="78"/>
      <c r="E234" s="78"/>
      <c r="F234" s="78"/>
      <c r="G234" s="78"/>
      <c r="H234" s="78"/>
      <c r="I234" s="78"/>
      <c r="N234" s="18" t="s">
        <v>251</v>
      </c>
    </row>
    <row r="235" spans="1:14" x14ac:dyDescent="0.2">
      <c r="A235" s="77"/>
      <c r="B235" s="78"/>
      <c r="C235" s="78"/>
      <c r="D235" s="78"/>
      <c r="E235" s="78"/>
      <c r="F235" s="78"/>
      <c r="G235" s="78"/>
      <c r="H235" s="78"/>
      <c r="I235" s="78"/>
      <c r="N235" s="18" t="s">
        <v>252</v>
      </c>
    </row>
    <row r="236" spans="1:14" x14ac:dyDescent="0.2">
      <c r="A236" s="77"/>
      <c r="B236" s="78"/>
      <c r="C236" s="78"/>
      <c r="D236" s="78"/>
      <c r="E236" s="78"/>
      <c r="F236" s="78"/>
      <c r="G236" s="78"/>
      <c r="H236" s="78"/>
      <c r="I236" s="78"/>
      <c r="N236" s="18" t="s">
        <v>253</v>
      </c>
    </row>
    <row r="237" spans="1:14" x14ac:dyDescent="0.2">
      <c r="A237" s="77"/>
      <c r="B237" s="78"/>
      <c r="C237" s="78"/>
      <c r="D237" s="78"/>
      <c r="E237" s="78"/>
      <c r="F237" s="78"/>
      <c r="G237" s="78"/>
      <c r="H237" s="78"/>
      <c r="I237" s="78"/>
      <c r="N237" s="18" t="s">
        <v>254</v>
      </c>
    </row>
    <row r="238" spans="1:14" x14ac:dyDescent="0.2">
      <c r="A238" s="77"/>
      <c r="B238" s="78"/>
      <c r="C238" s="78"/>
      <c r="D238" s="78"/>
      <c r="E238" s="78"/>
      <c r="F238" s="78"/>
      <c r="G238" s="78"/>
      <c r="H238" s="78"/>
      <c r="I238" s="78"/>
      <c r="N238" s="18" t="s">
        <v>255</v>
      </c>
    </row>
    <row r="239" spans="1:14" x14ac:dyDescent="0.2">
      <c r="A239" s="77"/>
      <c r="B239" s="78"/>
      <c r="C239" s="78"/>
      <c r="D239" s="78"/>
      <c r="E239" s="78"/>
      <c r="F239" s="78"/>
      <c r="G239" s="78"/>
      <c r="H239" s="78"/>
      <c r="I239" s="78"/>
      <c r="N239" s="18" t="s">
        <v>256</v>
      </c>
    </row>
    <row r="240" spans="1:14" x14ac:dyDescent="0.2">
      <c r="A240" s="77"/>
      <c r="B240" s="78"/>
      <c r="C240" s="78"/>
      <c r="D240" s="78"/>
      <c r="E240" s="78"/>
      <c r="F240" s="78"/>
      <c r="G240" s="78"/>
      <c r="H240" s="78"/>
      <c r="I240" s="78"/>
      <c r="N240" s="18" t="s">
        <v>257</v>
      </c>
    </row>
    <row r="241" spans="1:14" x14ac:dyDescent="0.2">
      <c r="A241" s="77"/>
      <c r="B241" s="78"/>
      <c r="C241" s="78"/>
      <c r="D241" s="78"/>
      <c r="E241" s="78"/>
      <c r="F241" s="78"/>
      <c r="G241" s="78"/>
      <c r="H241" s="78"/>
      <c r="I241" s="78"/>
      <c r="N241" s="18" t="s">
        <v>258</v>
      </c>
    </row>
    <row r="242" spans="1:14" x14ac:dyDescent="0.2">
      <c r="A242" s="77"/>
      <c r="B242" s="78"/>
      <c r="C242" s="78"/>
      <c r="D242" s="78"/>
      <c r="E242" s="78"/>
      <c r="F242" s="78"/>
      <c r="G242" s="78"/>
      <c r="H242" s="78"/>
      <c r="I242" s="78"/>
      <c r="N242" s="18" t="s">
        <v>259</v>
      </c>
    </row>
    <row r="243" spans="1:14" x14ac:dyDescent="0.2">
      <c r="A243" s="77"/>
      <c r="B243" s="78"/>
      <c r="C243" s="78"/>
      <c r="D243" s="78"/>
      <c r="E243" s="78"/>
      <c r="F243" s="78"/>
      <c r="G243" s="78"/>
      <c r="H243" s="78"/>
      <c r="I243" s="78"/>
      <c r="N243" s="18" t="s">
        <v>260</v>
      </c>
    </row>
    <row r="244" spans="1:14" x14ac:dyDescent="0.2">
      <c r="A244" s="77"/>
      <c r="B244" s="78"/>
      <c r="C244" s="78"/>
      <c r="D244" s="78"/>
      <c r="E244" s="78"/>
      <c r="F244" s="78"/>
      <c r="G244" s="78"/>
      <c r="H244" s="78"/>
      <c r="I244" s="78"/>
      <c r="N244" s="18" t="s">
        <v>261</v>
      </c>
    </row>
    <row r="245" spans="1:14" x14ac:dyDescent="0.2">
      <c r="A245" s="77"/>
      <c r="B245" s="78"/>
      <c r="C245" s="78"/>
      <c r="D245" s="78"/>
      <c r="E245" s="78"/>
      <c r="F245" s="78"/>
      <c r="G245" s="78"/>
      <c r="H245" s="78"/>
      <c r="I245" s="78"/>
      <c r="N245" s="18" t="s">
        <v>262</v>
      </c>
    </row>
    <row r="246" spans="1:14" x14ac:dyDescent="0.2">
      <c r="A246" s="77"/>
      <c r="B246" s="78"/>
      <c r="C246" s="78"/>
      <c r="D246" s="78"/>
      <c r="E246" s="78"/>
      <c r="F246" s="78"/>
      <c r="G246" s="78"/>
      <c r="H246" s="78"/>
      <c r="I246" s="78"/>
      <c r="N246" s="18" t="s">
        <v>263</v>
      </c>
    </row>
    <row r="247" spans="1:14" x14ac:dyDescent="0.2">
      <c r="A247" s="77"/>
      <c r="B247" s="78"/>
      <c r="C247" s="78"/>
      <c r="D247" s="78"/>
      <c r="E247" s="78"/>
      <c r="F247" s="78"/>
      <c r="G247" s="78"/>
      <c r="H247" s="78"/>
      <c r="I247" s="78"/>
      <c r="N247" s="18" t="s">
        <v>264</v>
      </c>
    </row>
    <row r="248" spans="1:14" x14ac:dyDescent="0.2">
      <c r="A248" s="77"/>
      <c r="B248" s="78"/>
      <c r="C248" s="78"/>
      <c r="D248" s="78"/>
      <c r="E248" s="78"/>
      <c r="F248" s="78"/>
      <c r="G248" s="78"/>
      <c r="H248" s="78"/>
      <c r="I248" s="78"/>
      <c r="N248" s="18" t="s">
        <v>265</v>
      </c>
    </row>
    <row r="249" spans="1:14" x14ac:dyDescent="0.2">
      <c r="A249" s="77"/>
      <c r="B249" s="78"/>
      <c r="C249" s="78"/>
      <c r="D249" s="78"/>
      <c r="E249" s="78"/>
      <c r="F249" s="78"/>
      <c r="G249" s="78"/>
      <c r="H249" s="78"/>
      <c r="I249" s="78"/>
      <c r="N249" s="18" t="s">
        <v>265</v>
      </c>
    </row>
    <row r="250" spans="1:14" x14ac:dyDescent="0.2">
      <c r="A250" s="77"/>
      <c r="B250" s="78"/>
      <c r="C250" s="78"/>
      <c r="D250" s="78"/>
      <c r="E250" s="78"/>
      <c r="F250" s="78"/>
      <c r="G250" s="78"/>
      <c r="H250" s="78"/>
      <c r="I250" s="78"/>
      <c r="N250" s="18" t="s">
        <v>266</v>
      </c>
    </row>
    <row r="251" spans="1:14" x14ac:dyDescent="0.2">
      <c r="A251" s="77"/>
      <c r="B251" s="78"/>
      <c r="C251" s="78"/>
      <c r="D251" s="78"/>
      <c r="E251" s="78"/>
      <c r="F251" s="78"/>
      <c r="G251" s="78"/>
      <c r="H251" s="78"/>
      <c r="I251" s="78"/>
      <c r="N251" s="18" t="s">
        <v>267</v>
      </c>
    </row>
    <row r="252" spans="1:14" x14ac:dyDescent="0.2">
      <c r="A252" s="77"/>
      <c r="B252" s="78"/>
      <c r="C252" s="78"/>
      <c r="D252" s="78"/>
      <c r="E252" s="78"/>
      <c r="F252" s="78"/>
      <c r="G252" s="78"/>
      <c r="H252" s="78"/>
      <c r="I252" s="78"/>
      <c r="N252" s="18" t="s">
        <v>268</v>
      </c>
    </row>
    <row r="253" spans="1:14" x14ac:dyDescent="0.2">
      <c r="A253" s="77"/>
      <c r="B253" s="78"/>
      <c r="C253" s="78"/>
      <c r="D253" s="78"/>
      <c r="E253" s="78"/>
      <c r="F253" s="78"/>
      <c r="G253" s="78"/>
      <c r="H253" s="78"/>
      <c r="I253" s="78"/>
      <c r="N253" s="18" t="s">
        <v>269</v>
      </c>
    </row>
    <row r="254" spans="1:14" x14ac:dyDescent="0.2">
      <c r="A254" s="77"/>
      <c r="B254" s="78"/>
      <c r="C254" s="78"/>
      <c r="D254" s="78"/>
      <c r="E254" s="78"/>
      <c r="F254" s="78"/>
      <c r="G254" s="78"/>
      <c r="H254" s="78"/>
      <c r="I254" s="78"/>
      <c r="N254" s="18" t="s">
        <v>270</v>
      </c>
    </row>
    <row r="255" spans="1:14" x14ac:dyDescent="0.2">
      <c r="A255" s="77"/>
      <c r="B255" s="78"/>
      <c r="C255" s="78"/>
      <c r="D255" s="78"/>
      <c r="E255" s="78"/>
      <c r="F255" s="78"/>
      <c r="G255" s="78"/>
      <c r="H255" s="78"/>
      <c r="I255" s="78"/>
      <c r="N255" s="18" t="s">
        <v>271</v>
      </c>
    </row>
    <row r="256" spans="1:14" x14ac:dyDescent="0.2">
      <c r="A256" s="77"/>
      <c r="B256" s="78"/>
      <c r="C256" s="78"/>
      <c r="D256" s="78"/>
      <c r="E256" s="78"/>
      <c r="F256" s="78"/>
      <c r="G256" s="78"/>
      <c r="H256" s="78"/>
      <c r="I256" s="78"/>
      <c r="N256" s="18" t="s">
        <v>272</v>
      </c>
    </row>
    <row r="257" spans="1:14" x14ac:dyDescent="0.2">
      <c r="A257" s="77"/>
      <c r="B257" s="78"/>
      <c r="C257" s="78"/>
      <c r="D257" s="78"/>
      <c r="E257" s="78"/>
      <c r="F257" s="78"/>
      <c r="G257" s="78"/>
      <c r="H257" s="78"/>
      <c r="I257" s="78"/>
      <c r="N257" s="18" t="s">
        <v>433</v>
      </c>
    </row>
    <row r="258" spans="1:14" x14ac:dyDescent="0.2">
      <c r="A258" s="77"/>
      <c r="B258" s="78"/>
      <c r="C258" s="78"/>
      <c r="D258" s="78"/>
      <c r="E258" s="78"/>
      <c r="F258" s="78"/>
      <c r="G258" s="78"/>
      <c r="H258" s="78"/>
      <c r="I258" s="78"/>
      <c r="N258" s="18" t="s">
        <v>273</v>
      </c>
    </row>
    <row r="259" spans="1:14" x14ac:dyDescent="0.2">
      <c r="A259" s="77"/>
      <c r="B259" s="78"/>
      <c r="C259" s="78"/>
      <c r="D259" s="78"/>
      <c r="E259" s="78"/>
      <c r="F259" s="78"/>
      <c r="G259" s="78"/>
      <c r="H259" s="78"/>
      <c r="I259" s="78"/>
      <c r="N259" s="18" t="s">
        <v>274</v>
      </c>
    </row>
    <row r="260" spans="1:14" x14ac:dyDescent="0.2">
      <c r="A260" s="77"/>
      <c r="B260" s="78"/>
      <c r="C260" s="78"/>
      <c r="D260" s="78"/>
      <c r="E260" s="78"/>
      <c r="F260" s="78"/>
      <c r="G260" s="78"/>
      <c r="H260" s="78"/>
      <c r="I260" s="78"/>
      <c r="N260" s="18" t="s">
        <v>275</v>
      </c>
    </row>
    <row r="261" spans="1:14" x14ac:dyDescent="0.2">
      <c r="A261" s="77"/>
      <c r="B261" s="78"/>
      <c r="C261" s="78"/>
      <c r="D261" s="78"/>
      <c r="E261" s="78"/>
      <c r="F261" s="78"/>
      <c r="G261" s="78"/>
      <c r="H261" s="78"/>
      <c r="I261" s="78"/>
      <c r="N261" s="18" t="s">
        <v>277</v>
      </c>
    </row>
    <row r="262" spans="1:14" x14ac:dyDescent="0.2">
      <c r="A262" s="77"/>
      <c r="B262" s="78"/>
      <c r="C262" s="78"/>
      <c r="D262" s="78"/>
      <c r="E262" s="78"/>
      <c r="F262" s="78"/>
      <c r="G262" s="78"/>
      <c r="H262" s="78"/>
      <c r="I262" s="78"/>
      <c r="N262" s="18" t="s">
        <v>276</v>
      </c>
    </row>
    <row r="263" spans="1:14" x14ac:dyDescent="0.2">
      <c r="A263" s="77"/>
      <c r="B263" s="78"/>
      <c r="C263" s="78"/>
      <c r="D263" s="78"/>
      <c r="E263" s="78"/>
      <c r="F263" s="78"/>
      <c r="G263" s="78"/>
      <c r="H263" s="78"/>
      <c r="I263" s="78"/>
      <c r="N263" s="18" t="s">
        <v>278</v>
      </c>
    </row>
    <row r="264" spans="1:14" x14ac:dyDescent="0.2">
      <c r="A264" s="77"/>
      <c r="B264" s="78"/>
      <c r="C264" s="78"/>
      <c r="D264" s="78"/>
      <c r="E264" s="78"/>
      <c r="F264" s="78"/>
      <c r="G264" s="78"/>
      <c r="H264" s="78"/>
      <c r="I264" s="78"/>
      <c r="N264" s="18" t="s">
        <v>279</v>
      </c>
    </row>
    <row r="265" spans="1:14" x14ac:dyDescent="0.2">
      <c r="A265" s="77"/>
      <c r="B265" s="78"/>
      <c r="C265" s="78"/>
      <c r="D265" s="78"/>
      <c r="E265" s="78"/>
      <c r="F265" s="78"/>
      <c r="G265" s="78"/>
      <c r="H265" s="78"/>
      <c r="I265" s="78"/>
      <c r="N265" s="18" t="s">
        <v>280</v>
      </c>
    </row>
    <row r="266" spans="1:14" x14ac:dyDescent="0.2">
      <c r="A266" s="77"/>
      <c r="B266" s="78"/>
      <c r="C266" s="78"/>
      <c r="D266" s="78"/>
      <c r="E266" s="78"/>
      <c r="F266" s="78"/>
      <c r="G266" s="78"/>
      <c r="H266" s="78"/>
      <c r="I266" s="78"/>
      <c r="N266" s="18" t="s">
        <v>281</v>
      </c>
    </row>
    <row r="267" spans="1:14" x14ac:dyDescent="0.2">
      <c r="A267" s="77"/>
      <c r="B267" s="78"/>
      <c r="C267" s="78"/>
      <c r="D267" s="78"/>
      <c r="E267" s="78"/>
      <c r="F267" s="78"/>
      <c r="G267" s="78"/>
      <c r="H267" s="78"/>
      <c r="I267" s="78"/>
      <c r="N267" s="18" t="s">
        <v>282</v>
      </c>
    </row>
    <row r="268" spans="1:14" x14ac:dyDescent="0.2">
      <c r="A268" s="77"/>
      <c r="B268" s="78"/>
      <c r="C268" s="78"/>
      <c r="D268" s="78"/>
      <c r="E268" s="78"/>
      <c r="F268" s="78"/>
      <c r="G268" s="78"/>
      <c r="H268" s="78"/>
      <c r="I268" s="78"/>
      <c r="N268" s="18" t="s">
        <v>283</v>
      </c>
    </row>
    <row r="269" spans="1:14" x14ac:dyDescent="0.2">
      <c r="A269" s="77"/>
      <c r="B269" s="78"/>
      <c r="C269" s="78"/>
      <c r="D269" s="78"/>
      <c r="E269" s="78"/>
      <c r="F269" s="78"/>
      <c r="G269" s="78"/>
      <c r="H269" s="78"/>
      <c r="I269" s="78"/>
      <c r="N269" s="18" t="s">
        <v>284</v>
      </c>
    </row>
    <row r="270" spans="1:14" x14ac:dyDescent="0.2">
      <c r="A270" s="77"/>
      <c r="B270" s="78"/>
      <c r="C270" s="78"/>
      <c r="D270" s="78"/>
      <c r="E270" s="78"/>
      <c r="F270" s="78"/>
      <c r="G270" s="78"/>
      <c r="H270" s="78"/>
      <c r="I270" s="78"/>
      <c r="N270" s="18" t="s">
        <v>285</v>
      </c>
    </row>
    <row r="271" spans="1:14" x14ac:dyDescent="0.2">
      <c r="A271" s="77"/>
      <c r="B271" s="78"/>
      <c r="C271" s="78"/>
      <c r="D271" s="78"/>
      <c r="E271" s="78"/>
      <c r="F271" s="78"/>
      <c r="G271" s="78"/>
      <c r="H271" s="78"/>
      <c r="I271" s="78"/>
      <c r="N271" s="18" t="s">
        <v>286</v>
      </c>
    </row>
    <row r="272" spans="1:14" x14ac:dyDescent="0.2">
      <c r="A272" s="77"/>
      <c r="B272" s="78"/>
      <c r="C272" s="78"/>
      <c r="D272" s="78"/>
      <c r="E272" s="78"/>
      <c r="F272" s="78"/>
      <c r="G272" s="78"/>
      <c r="H272" s="78"/>
      <c r="I272" s="78"/>
      <c r="N272" s="18" t="s">
        <v>287</v>
      </c>
    </row>
    <row r="273" spans="1:14" x14ac:dyDescent="0.2">
      <c r="A273" s="77"/>
      <c r="B273" s="78"/>
      <c r="C273" s="78"/>
      <c r="D273" s="78"/>
      <c r="E273" s="78"/>
      <c r="F273" s="78"/>
      <c r="G273" s="78"/>
      <c r="H273" s="78"/>
      <c r="I273" s="78"/>
      <c r="N273" s="18" t="s">
        <v>288</v>
      </c>
    </row>
    <row r="274" spans="1:14" x14ac:dyDescent="0.2">
      <c r="A274" s="77"/>
      <c r="B274" s="78"/>
      <c r="C274" s="78"/>
      <c r="D274" s="78"/>
      <c r="E274" s="78"/>
      <c r="F274" s="78"/>
      <c r="G274" s="78"/>
      <c r="H274" s="78"/>
      <c r="I274" s="78"/>
      <c r="N274" s="18" t="s">
        <v>289</v>
      </c>
    </row>
    <row r="275" spans="1:14" x14ac:dyDescent="0.2">
      <c r="A275" s="77"/>
      <c r="B275" s="78"/>
      <c r="C275" s="78"/>
      <c r="D275" s="78"/>
      <c r="E275" s="78"/>
      <c r="F275" s="78"/>
      <c r="G275" s="78"/>
      <c r="H275" s="78"/>
      <c r="I275" s="78"/>
      <c r="N275" s="18" t="s">
        <v>290</v>
      </c>
    </row>
    <row r="276" spans="1:14" x14ac:dyDescent="0.2">
      <c r="A276" s="77"/>
      <c r="B276" s="78"/>
      <c r="C276" s="78"/>
      <c r="D276" s="78"/>
      <c r="E276" s="78"/>
      <c r="F276" s="78"/>
      <c r="G276" s="78"/>
      <c r="H276" s="78"/>
      <c r="I276" s="78"/>
      <c r="N276" s="18" t="s">
        <v>291</v>
      </c>
    </row>
    <row r="277" spans="1:14" x14ac:dyDescent="0.2">
      <c r="A277" s="77"/>
      <c r="B277" s="78"/>
      <c r="C277" s="78"/>
      <c r="D277" s="78"/>
      <c r="E277" s="78"/>
      <c r="F277" s="78"/>
      <c r="G277" s="78"/>
      <c r="H277" s="78"/>
      <c r="I277" s="78"/>
      <c r="N277" s="18" t="s">
        <v>292</v>
      </c>
    </row>
    <row r="278" spans="1:14" x14ac:dyDescent="0.2">
      <c r="A278" s="77"/>
      <c r="B278" s="78"/>
      <c r="C278" s="78"/>
      <c r="D278" s="78"/>
      <c r="E278" s="78"/>
      <c r="F278" s="78"/>
      <c r="G278" s="78"/>
      <c r="H278" s="78"/>
      <c r="I278" s="78"/>
      <c r="N278" s="18" t="s">
        <v>293</v>
      </c>
    </row>
    <row r="279" spans="1:14" x14ac:dyDescent="0.2">
      <c r="A279" s="77"/>
      <c r="B279" s="78"/>
      <c r="C279" s="78"/>
      <c r="D279" s="78"/>
      <c r="E279" s="78"/>
      <c r="F279" s="78"/>
      <c r="G279" s="78"/>
      <c r="H279" s="78"/>
      <c r="I279" s="78"/>
      <c r="N279" s="18" t="s">
        <v>294</v>
      </c>
    </row>
    <row r="280" spans="1:14" x14ac:dyDescent="0.2">
      <c r="A280" s="77"/>
      <c r="B280" s="78"/>
      <c r="C280" s="78"/>
      <c r="D280" s="78"/>
      <c r="E280" s="78"/>
      <c r="F280" s="78"/>
      <c r="G280" s="78"/>
      <c r="H280" s="78"/>
      <c r="I280" s="78"/>
      <c r="N280" s="18" t="s">
        <v>295</v>
      </c>
    </row>
    <row r="281" spans="1:14" x14ac:dyDescent="0.2">
      <c r="A281" s="77"/>
      <c r="B281" s="78"/>
      <c r="C281" s="78"/>
      <c r="D281" s="78"/>
      <c r="E281" s="78"/>
      <c r="F281" s="78"/>
      <c r="G281" s="78"/>
      <c r="H281" s="78"/>
      <c r="I281" s="78"/>
      <c r="N281" s="18" t="s">
        <v>296</v>
      </c>
    </row>
    <row r="282" spans="1:14" x14ac:dyDescent="0.2">
      <c r="A282" s="77"/>
      <c r="B282" s="78"/>
      <c r="C282" s="78"/>
      <c r="D282" s="78"/>
      <c r="E282" s="78"/>
      <c r="F282" s="78"/>
      <c r="G282" s="78"/>
      <c r="H282" s="78"/>
      <c r="I282" s="78"/>
      <c r="N282" s="18" t="s">
        <v>297</v>
      </c>
    </row>
    <row r="283" spans="1:14" x14ac:dyDescent="0.2">
      <c r="A283" s="77"/>
      <c r="B283" s="78"/>
      <c r="C283" s="78"/>
      <c r="D283" s="78"/>
      <c r="E283" s="78"/>
      <c r="F283" s="78"/>
      <c r="G283" s="78"/>
      <c r="H283" s="78"/>
      <c r="I283" s="78"/>
      <c r="N283" s="18" t="s">
        <v>298</v>
      </c>
    </row>
    <row r="284" spans="1:14" x14ac:dyDescent="0.2">
      <c r="A284" s="77"/>
      <c r="B284" s="78"/>
      <c r="C284" s="78"/>
      <c r="D284" s="78"/>
      <c r="E284" s="78"/>
      <c r="F284" s="78"/>
      <c r="G284" s="78"/>
      <c r="H284" s="78"/>
      <c r="I284" s="78"/>
      <c r="N284" s="18" t="s">
        <v>299</v>
      </c>
    </row>
    <row r="285" spans="1:14" x14ac:dyDescent="0.2">
      <c r="A285" s="77"/>
      <c r="B285" s="78"/>
      <c r="C285" s="78"/>
      <c r="D285" s="78"/>
      <c r="E285" s="78"/>
      <c r="F285" s="78"/>
      <c r="G285" s="78"/>
      <c r="H285" s="78"/>
      <c r="I285" s="78"/>
      <c r="N285" s="18" t="s">
        <v>300</v>
      </c>
    </row>
    <row r="286" spans="1:14" x14ac:dyDescent="0.2">
      <c r="A286" s="77"/>
      <c r="B286" s="78"/>
      <c r="C286" s="78"/>
      <c r="D286" s="78"/>
      <c r="E286" s="78"/>
      <c r="F286" s="78"/>
      <c r="G286" s="78"/>
      <c r="H286" s="78"/>
      <c r="I286" s="78"/>
      <c r="N286" s="18" t="s">
        <v>301</v>
      </c>
    </row>
    <row r="287" spans="1:14" x14ac:dyDescent="0.2">
      <c r="A287" s="77"/>
      <c r="B287" s="78"/>
      <c r="C287" s="78"/>
      <c r="D287" s="78"/>
      <c r="E287" s="78"/>
      <c r="F287" s="78"/>
      <c r="G287" s="78"/>
      <c r="H287" s="78"/>
      <c r="I287" s="78"/>
      <c r="N287" s="18" t="s">
        <v>302</v>
      </c>
    </row>
    <row r="288" spans="1:14" x14ac:dyDescent="0.2">
      <c r="A288" s="77"/>
      <c r="B288" s="78"/>
      <c r="C288" s="78"/>
      <c r="D288" s="78"/>
      <c r="E288" s="78"/>
      <c r="F288" s="78"/>
      <c r="G288" s="78"/>
      <c r="H288" s="78"/>
      <c r="I288" s="78"/>
      <c r="N288" s="18" t="s">
        <v>432</v>
      </c>
    </row>
    <row r="289" spans="1:14" x14ac:dyDescent="0.2">
      <c r="A289" s="77"/>
      <c r="B289" s="78"/>
      <c r="C289" s="78"/>
      <c r="D289" s="78"/>
      <c r="E289" s="78"/>
      <c r="F289" s="78"/>
      <c r="G289" s="78"/>
      <c r="H289" s="78"/>
      <c r="I289" s="78"/>
      <c r="N289" s="18" t="s">
        <v>303</v>
      </c>
    </row>
    <row r="290" spans="1:14" x14ac:dyDescent="0.2">
      <c r="A290" s="77"/>
      <c r="B290" s="78"/>
      <c r="C290" s="78"/>
      <c r="D290" s="78"/>
      <c r="E290" s="78"/>
      <c r="F290" s="78"/>
      <c r="G290" s="78"/>
      <c r="H290" s="78"/>
      <c r="I290" s="78"/>
      <c r="N290" s="18" t="s">
        <v>431</v>
      </c>
    </row>
    <row r="291" spans="1:14" x14ac:dyDescent="0.2">
      <c r="A291" s="77"/>
      <c r="B291" s="78"/>
      <c r="C291" s="78"/>
      <c r="D291" s="78"/>
      <c r="E291" s="78"/>
      <c r="F291" s="78"/>
      <c r="G291" s="78"/>
      <c r="H291" s="78"/>
      <c r="I291" s="78"/>
      <c r="N291" s="18" t="s">
        <v>304</v>
      </c>
    </row>
    <row r="292" spans="1:14" x14ac:dyDescent="0.2">
      <c r="A292" s="77"/>
      <c r="B292" s="78"/>
      <c r="C292" s="78"/>
      <c r="D292" s="78"/>
      <c r="E292" s="78"/>
      <c r="F292" s="78"/>
      <c r="G292" s="78"/>
      <c r="H292" s="78"/>
      <c r="I292" s="78"/>
      <c r="N292" s="18" t="s">
        <v>305</v>
      </c>
    </row>
    <row r="293" spans="1:14" x14ac:dyDescent="0.2">
      <c r="A293" s="77"/>
      <c r="B293" s="78"/>
      <c r="C293" s="78"/>
      <c r="D293" s="78"/>
      <c r="E293" s="78"/>
      <c r="F293" s="78"/>
      <c r="G293" s="78"/>
      <c r="H293" s="78"/>
      <c r="I293" s="78"/>
      <c r="N293" s="18" t="s">
        <v>306</v>
      </c>
    </row>
    <row r="294" spans="1:14" x14ac:dyDescent="0.2">
      <c r="A294" s="77"/>
      <c r="B294" s="78"/>
      <c r="C294" s="78"/>
      <c r="D294" s="78"/>
      <c r="E294" s="78"/>
      <c r="F294" s="78"/>
      <c r="G294" s="78"/>
      <c r="H294" s="78"/>
      <c r="I294" s="78"/>
      <c r="N294" s="18" t="s">
        <v>307</v>
      </c>
    </row>
    <row r="295" spans="1:14" x14ac:dyDescent="0.2">
      <c r="A295" s="77"/>
      <c r="B295" s="78"/>
      <c r="C295" s="78"/>
      <c r="D295" s="78"/>
      <c r="E295" s="78"/>
      <c r="F295" s="78"/>
      <c r="G295" s="78"/>
      <c r="H295" s="78"/>
      <c r="I295" s="78"/>
      <c r="N295" s="18" t="s">
        <v>308</v>
      </c>
    </row>
    <row r="296" spans="1:14" x14ac:dyDescent="0.2">
      <c r="A296" s="77"/>
      <c r="B296" s="78"/>
      <c r="C296" s="78"/>
      <c r="D296" s="78"/>
      <c r="E296" s="78"/>
      <c r="F296" s="78"/>
      <c r="G296" s="78"/>
      <c r="H296" s="78"/>
      <c r="I296" s="78"/>
      <c r="N296" s="18" t="s">
        <v>309</v>
      </c>
    </row>
    <row r="297" spans="1:14" x14ac:dyDescent="0.2">
      <c r="A297" s="77"/>
      <c r="B297" s="78"/>
      <c r="C297" s="78"/>
      <c r="D297" s="78"/>
      <c r="E297" s="78"/>
      <c r="F297" s="78"/>
      <c r="G297" s="78"/>
      <c r="H297" s="78"/>
      <c r="I297" s="78"/>
      <c r="N297" s="18" t="s">
        <v>310</v>
      </c>
    </row>
    <row r="298" spans="1:14" x14ac:dyDescent="0.2">
      <c r="A298" s="77"/>
      <c r="B298" s="78"/>
      <c r="C298" s="78"/>
      <c r="D298" s="78"/>
      <c r="E298" s="78"/>
      <c r="F298" s="78"/>
      <c r="G298" s="78"/>
      <c r="H298" s="78"/>
      <c r="I298" s="78"/>
      <c r="N298" s="18" t="s">
        <v>311</v>
      </c>
    </row>
    <row r="299" spans="1:14" x14ac:dyDescent="0.2">
      <c r="A299" s="77"/>
      <c r="B299" s="78"/>
      <c r="C299" s="78"/>
      <c r="D299" s="78"/>
      <c r="E299" s="78"/>
      <c r="F299" s="78"/>
      <c r="G299" s="78"/>
      <c r="H299" s="78"/>
      <c r="I299" s="78"/>
      <c r="N299" s="18" t="s">
        <v>312</v>
      </c>
    </row>
    <row r="300" spans="1:14" x14ac:dyDescent="0.2">
      <c r="A300" s="77"/>
      <c r="B300" s="78"/>
      <c r="C300" s="78"/>
      <c r="D300" s="78"/>
      <c r="E300" s="78"/>
      <c r="F300" s="78"/>
      <c r="G300" s="78"/>
      <c r="H300" s="78"/>
      <c r="I300" s="78"/>
      <c r="N300" s="18" t="s">
        <v>313</v>
      </c>
    </row>
    <row r="301" spans="1:14" x14ac:dyDescent="0.2">
      <c r="A301" s="77"/>
      <c r="B301" s="78"/>
      <c r="C301" s="78"/>
      <c r="D301" s="78"/>
      <c r="E301" s="78"/>
      <c r="F301" s="78"/>
      <c r="G301" s="78"/>
      <c r="H301" s="78"/>
      <c r="I301" s="78"/>
      <c r="N301" s="18" t="s">
        <v>314</v>
      </c>
    </row>
    <row r="302" spans="1:14" x14ac:dyDescent="0.2">
      <c r="A302" s="77"/>
      <c r="B302" s="78"/>
      <c r="C302" s="78"/>
      <c r="D302" s="78"/>
      <c r="E302" s="78"/>
      <c r="F302" s="78"/>
      <c r="G302" s="78"/>
      <c r="H302" s="78"/>
      <c r="I302" s="78"/>
      <c r="N302" s="18" t="s">
        <v>315</v>
      </c>
    </row>
    <row r="303" spans="1:14" x14ac:dyDescent="0.2">
      <c r="A303" s="77"/>
      <c r="B303" s="78"/>
      <c r="C303" s="78"/>
      <c r="D303" s="78"/>
      <c r="E303" s="78"/>
      <c r="F303" s="78"/>
      <c r="G303" s="78"/>
      <c r="H303" s="78"/>
      <c r="I303" s="78"/>
      <c r="N303" s="18" t="s">
        <v>316</v>
      </c>
    </row>
    <row r="304" spans="1:14" x14ac:dyDescent="0.2">
      <c r="A304" s="77"/>
      <c r="B304" s="78"/>
      <c r="C304" s="78"/>
      <c r="D304" s="78"/>
      <c r="E304" s="78"/>
      <c r="F304" s="78"/>
      <c r="G304" s="78"/>
      <c r="H304" s="78"/>
      <c r="I304" s="78"/>
      <c r="N304" s="18" t="s">
        <v>317</v>
      </c>
    </row>
    <row r="305" spans="1:14" x14ac:dyDescent="0.2">
      <c r="A305" s="77"/>
      <c r="B305" s="78"/>
      <c r="C305" s="78"/>
      <c r="D305" s="78"/>
      <c r="E305" s="78"/>
      <c r="F305" s="78"/>
      <c r="G305" s="78"/>
      <c r="H305" s="78"/>
      <c r="I305" s="78"/>
      <c r="N305" s="18" t="s">
        <v>318</v>
      </c>
    </row>
    <row r="306" spans="1:14" x14ac:dyDescent="0.2">
      <c r="A306" s="77"/>
      <c r="B306" s="78"/>
      <c r="C306" s="78"/>
      <c r="D306" s="78"/>
      <c r="E306" s="78"/>
      <c r="F306" s="78"/>
      <c r="G306" s="78"/>
      <c r="H306" s="78"/>
      <c r="I306" s="78"/>
      <c r="N306" s="18" t="s">
        <v>319</v>
      </c>
    </row>
    <row r="307" spans="1:14" x14ac:dyDescent="0.2">
      <c r="A307" s="77"/>
      <c r="B307" s="78"/>
      <c r="C307" s="78"/>
      <c r="D307" s="78"/>
      <c r="E307" s="78"/>
      <c r="F307" s="78"/>
      <c r="G307" s="78"/>
      <c r="H307" s="78"/>
      <c r="I307" s="78"/>
      <c r="N307" s="18" t="s">
        <v>320</v>
      </c>
    </row>
    <row r="308" spans="1:14" x14ac:dyDescent="0.2">
      <c r="A308" s="77"/>
      <c r="B308" s="78"/>
      <c r="C308" s="78"/>
      <c r="D308" s="78"/>
      <c r="E308" s="78"/>
      <c r="F308" s="78"/>
      <c r="G308" s="78"/>
      <c r="H308" s="78"/>
      <c r="I308" s="78"/>
      <c r="N308" s="18" t="s">
        <v>321</v>
      </c>
    </row>
    <row r="309" spans="1:14" x14ac:dyDescent="0.2">
      <c r="A309" s="77"/>
      <c r="B309" s="78"/>
      <c r="C309" s="78"/>
      <c r="D309" s="78"/>
      <c r="E309" s="78"/>
      <c r="F309" s="78"/>
      <c r="G309" s="78"/>
      <c r="N309" s="18" t="s">
        <v>322</v>
      </c>
    </row>
    <row r="310" spans="1:14" x14ac:dyDescent="0.2">
      <c r="A310" s="77"/>
      <c r="B310" s="78"/>
      <c r="C310" s="78"/>
      <c r="D310" s="78"/>
      <c r="E310" s="78"/>
      <c r="F310" s="78"/>
      <c r="G310" s="78"/>
      <c r="N310" s="18" t="s">
        <v>323</v>
      </c>
    </row>
    <row r="311" spans="1:14" x14ac:dyDescent="0.2">
      <c r="A311" s="77"/>
      <c r="B311" s="78"/>
      <c r="C311" s="78"/>
      <c r="D311" s="78"/>
      <c r="E311" s="78"/>
      <c r="F311" s="78"/>
      <c r="G311" s="78"/>
      <c r="N311" s="18" t="s">
        <v>324</v>
      </c>
    </row>
    <row r="312" spans="1:14" x14ac:dyDescent="0.2">
      <c r="A312" s="77"/>
      <c r="B312" s="78"/>
      <c r="C312" s="78"/>
      <c r="D312" s="78"/>
      <c r="E312" s="78"/>
      <c r="F312" s="78"/>
      <c r="G312" s="78"/>
      <c r="N312" s="18" t="s">
        <v>430</v>
      </c>
    </row>
    <row r="313" spans="1:14" x14ac:dyDescent="0.2">
      <c r="A313" s="77"/>
      <c r="B313" s="78"/>
      <c r="C313" s="78"/>
      <c r="D313" s="78"/>
      <c r="E313" s="78"/>
      <c r="F313" s="78"/>
      <c r="G313" s="78"/>
      <c r="N313" s="18" t="s">
        <v>429</v>
      </c>
    </row>
    <row r="314" spans="1:14" x14ac:dyDescent="0.2">
      <c r="A314" s="77"/>
      <c r="B314" s="78"/>
      <c r="C314" s="78"/>
      <c r="D314" s="78"/>
      <c r="E314" s="78"/>
      <c r="F314" s="78"/>
      <c r="G314" s="78"/>
      <c r="N314" s="18" t="s">
        <v>428</v>
      </c>
    </row>
    <row r="315" spans="1:14" x14ac:dyDescent="0.2">
      <c r="A315" s="77"/>
      <c r="B315" s="78"/>
      <c r="C315" s="78"/>
      <c r="D315" s="78"/>
      <c r="E315" s="78"/>
      <c r="F315" s="78"/>
      <c r="G315" s="78"/>
      <c r="N315" s="18" t="s">
        <v>427</v>
      </c>
    </row>
    <row r="316" spans="1:14" x14ac:dyDescent="0.2">
      <c r="A316" s="77"/>
      <c r="B316" s="78"/>
      <c r="C316" s="78"/>
      <c r="D316" s="78"/>
      <c r="E316" s="78"/>
      <c r="F316" s="78"/>
      <c r="G316" s="78"/>
      <c r="N316" s="18" t="s">
        <v>426</v>
      </c>
    </row>
    <row r="317" spans="1:14" x14ac:dyDescent="0.2">
      <c r="A317" s="77"/>
      <c r="B317" s="78"/>
      <c r="C317" s="78"/>
      <c r="D317" s="78"/>
      <c r="E317" s="78"/>
      <c r="F317" s="78"/>
      <c r="G317" s="78"/>
      <c r="N317" s="18" t="s">
        <v>425</v>
      </c>
    </row>
    <row r="318" spans="1:14" x14ac:dyDescent="0.2">
      <c r="A318" s="77"/>
      <c r="B318" s="78"/>
      <c r="C318" s="78"/>
      <c r="D318" s="78"/>
      <c r="E318" s="78"/>
      <c r="F318" s="78"/>
      <c r="G318" s="78"/>
      <c r="N318" s="18" t="s">
        <v>143</v>
      </c>
    </row>
    <row r="319" spans="1:14" x14ac:dyDescent="0.2">
      <c r="A319" s="77"/>
      <c r="B319" s="78"/>
      <c r="C319" s="78"/>
      <c r="D319" s="78"/>
      <c r="E319" s="78"/>
      <c r="F319" s="78"/>
      <c r="G319" s="78"/>
      <c r="N319" s="18" t="s">
        <v>325</v>
      </c>
    </row>
    <row r="320" spans="1:14" x14ac:dyDescent="0.2">
      <c r="A320" s="77"/>
      <c r="B320" s="78"/>
      <c r="C320" s="78"/>
      <c r="D320" s="78"/>
      <c r="E320" s="78"/>
      <c r="F320" s="78"/>
      <c r="G320" s="78"/>
      <c r="N320" s="18" t="s">
        <v>326</v>
      </c>
    </row>
    <row r="321" spans="1:14" x14ac:dyDescent="0.2">
      <c r="A321" s="77"/>
      <c r="B321" s="78"/>
      <c r="C321" s="78"/>
      <c r="D321" s="78"/>
      <c r="E321" s="78"/>
      <c r="F321" s="78"/>
      <c r="G321" s="78"/>
      <c r="N321" s="18" t="s">
        <v>327</v>
      </c>
    </row>
    <row r="322" spans="1:14" x14ac:dyDescent="0.2">
      <c r="A322" s="77"/>
      <c r="B322" s="78"/>
      <c r="C322" s="78"/>
      <c r="D322" s="78"/>
      <c r="E322" s="78"/>
      <c r="F322" s="78"/>
      <c r="G322" s="78"/>
      <c r="N322" s="18" t="s">
        <v>328</v>
      </c>
    </row>
    <row r="323" spans="1:14" x14ac:dyDescent="0.2">
      <c r="A323" s="77"/>
      <c r="B323" s="78"/>
      <c r="C323" s="78"/>
      <c r="D323" s="78"/>
      <c r="E323" s="78"/>
      <c r="F323" s="78"/>
      <c r="G323" s="78"/>
      <c r="N323" s="18" t="s">
        <v>329</v>
      </c>
    </row>
    <row r="324" spans="1:14" x14ac:dyDescent="0.2">
      <c r="A324" s="77"/>
      <c r="B324" s="78"/>
      <c r="C324" s="78"/>
      <c r="D324" s="78"/>
      <c r="E324" s="78"/>
      <c r="F324" s="78"/>
      <c r="G324" s="78"/>
      <c r="N324" s="18" t="s">
        <v>330</v>
      </c>
    </row>
    <row r="325" spans="1:14" x14ac:dyDescent="0.2">
      <c r="A325" s="77"/>
      <c r="B325" s="78"/>
      <c r="C325" s="78"/>
      <c r="D325" s="78"/>
      <c r="E325" s="78"/>
      <c r="F325" s="78"/>
      <c r="G325" s="78"/>
      <c r="N325" s="18" t="s">
        <v>331</v>
      </c>
    </row>
    <row r="326" spans="1:14" x14ac:dyDescent="0.2">
      <c r="A326" s="77"/>
      <c r="B326" s="78"/>
      <c r="C326" s="78"/>
      <c r="D326" s="78"/>
      <c r="E326" s="78"/>
      <c r="F326" s="78"/>
      <c r="G326" s="78"/>
      <c r="N326" s="18" t="s">
        <v>332</v>
      </c>
    </row>
    <row r="327" spans="1:14" x14ac:dyDescent="0.2">
      <c r="A327" s="77"/>
      <c r="B327" s="78"/>
      <c r="C327" s="78"/>
      <c r="D327" s="78"/>
      <c r="E327" s="78"/>
      <c r="F327" s="78"/>
      <c r="G327" s="78"/>
      <c r="N327" s="18" t="s">
        <v>333</v>
      </c>
    </row>
    <row r="328" spans="1:14" x14ac:dyDescent="0.2">
      <c r="A328" s="77"/>
      <c r="B328" s="78"/>
      <c r="C328" s="78"/>
      <c r="D328" s="78"/>
      <c r="E328" s="78"/>
      <c r="F328" s="78"/>
      <c r="G328" s="78"/>
      <c r="N328" s="18" t="s">
        <v>334</v>
      </c>
    </row>
    <row r="329" spans="1:14" x14ac:dyDescent="0.2">
      <c r="A329" s="77"/>
      <c r="B329" s="78"/>
      <c r="C329" s="78"/>
      <c r="D329" s="78"/>
      <c r="E329" s="78"/>
      <c r="F329" s="78"/>
      <c r="G329" s="78"/>
      <c r="N329" s="18" t="s">
        <v>335</v>
      </c>
    </row>
    <row r="330" spans="1:14" x14ac:dyDescent="0.2">
      <c r="A330" s="77"/>
      <c r="B330" s="78"/>
      <c r="C330" s="78"/>
      <c r="D330" s="78"/>
      <c r="E330" s="78"/>
      <c r="F330" s="78"/>
      <c r="G330" s="78"/>
      <c r="N330" s="18" t="s">
        <v>336</v>
      </c>
    </row>
    <row r="331" spans="1:14" x14ac:dyDescent="0.2">
      <c r="A331" s="77"/>
      <c r="B331" s="78"/>
      <c r="C331" s="78"/>
      <c r="D331" s="78"/>
      <c r="E331" s="78"/>
      <c r="F331" s="78"/>
      <c r="G331" s="78"/>
      <c r="N331" s="18" t="s">
        <v>337</v>
      </c>
    </row>
    <row r="332" spans="1:14" x14ac:dyDescent="0.2">
      <c r="A332" s="77"/>
      <c r="B332" s="78"/>
      <c r="C332" s="78"/>
      <c r="D332" s="78"/>
      <c r="E332" s="78"/>
      <c r="F332" s="78"/>
      <c r="G332" s="78"/>
      <c r="N332" s="18" t="s">
        <v>338</v>
      </c>
    </row>
    <row r="333" spans="1:14" x14ac:dyDescent="0.2">
      <c r="A333" s="77"/>
      <c r="B333" s="78"/>
      <c r="C333" s="78"/>
      <c r="D333" s="78"/>
      <c r="E333" s="78"/>
      <c r="F333" s="78"/>
      <c r="G333" s="78"/>
      <c r="N333" s="18" t="s">
        <v>339</v>
      </c>
    </row>
    <row r="334" spans="1:14" x14ac:dyDescent="0.2">
      <c r="A334" s="77"/>
      <c r="B334" s="78"/>
      <c r="C334" s="78"/>
      <c r="D334" s="78"/>
      <c r="E334" s="78"/>
      <c r="F334" s="78"/>
      <c r="G334" s="78"/>
      <c r="N334" s="18" t="s">
        <v>424</v>
      </c>
    </row>
    <row r="335" spans="1:14" x14ac:dyDescent="0.2">
      <c r="A335" s="77"/>
      <c r="B335" s="78"/>
      <c r="C335" s="78"/>
      <c r="D335" s="78"/>
      <c r="E335" s="78"/>
      <c r="F335" s="78"/>
      <c r="G335" s="78"/>
      <c r="N335" s="18" t="s">
        <v>340</v>
      </c>
    </row>
    <row r="336" spans="1:14" x14ac:dyDescent="0.2">
      <c r="A336" s="77"/>
      <c r="B336" s="78"/>
      <c r="C336" s="78"/>
      <c r="D336" s="78"/>
      <c r="E336" s="78"/>
      <c r="F336" s="78"/>
      <c r="G336" s="78"/>
      <c r="N336" s="18" t="s">
        <v>341</v>
      </c>
    </row>
    <row r="337" spans="1:14" x14ac:dyDescent="0.2">
      <c r="A337" s="77"/>
      <c r="B337" s="78"/>
      <c r="C337" s="78"/>
      <c r="D337" s="78"/>
      <c r="E337" s="78"/>
      <c r="F337" s="78"/>
      <c r="G337" s="78"/>
      <c r="N337" s="18" t="s">
        <v>423</v>
      </c>
    </row>
    <row r="338" spans="1:14" x14ac:dyDescent="0.2">
      <c r="C338" s="78"/>
      <c r="N338" s="18" t="s">
        <v>342</v>
      </c>
    </row>
    <row r="339" spans="1:14" x14ac:dyDescent="0.2">
      <c r="N339" s="18" t="s">
        <v>343</v>
      </c>
    </row>
    <row r="340" spans="1:14" x14ac:dyDescent="0.2">
      <c r="N340" s="18" t="s">
        <v>422</v>
      </c>
    </row>
    <row r="341" spans="1:14" x14ac:dyDescent="0.2">
      <c r="N341" s="18" t="s">
        <v>344</v>
      </c>
    </row>
    <row r="342" spans="1:14" x14ac:dyDescent="0.2">
      <c r="N342" s="18" t="s">
        <v>345</v>
      </c>
    </row>
    <row r="343" spans="1:14" x14ac:dyDescent="0.2">
      <c r="N343" s="18" t="s">
        <v>346</v>
      </c>
    </row>
    <row r="344" spans="1:14" x14ac:dyDescent="0.2">
      <c r="N344" s="18" t="s">
        <v>347</v>
      </c>
    </row>
    <row r="345" spans="1:14" x14ac:dyDescent="0.2">
      <c r="N345" s="18" t="s">
        <v>348</v>
      </c>
    </row>
    <row r="346" spans="1:14" x14ac:dyDescent="0.2">
      <c r="N346" s="18" t="s">
        <v>349</v>
      </c>
    </row>
    <row r="347" spans="1:14" x14ac:dyDescent="0.2">
      <c r="N347" s="18" t="s">
        <v>350</v>
      </c>
    </row>
    <row r="348" spans="1:14" x14ac:dyDescent="0.2">
      <c r="N348" s="18" t="s">
        <v>351</v>
      </c>
    </row>
    <row r="349" spans="1:14" x14ac:dyDescent="0.2">
      <c r="N349" s="18" t="s">
        <v>352</v>
      </c>
    </row>
  </sheetData>
  <sheetProtection sheet="1" objects="1" scenarios="1"/>
  <mergeCells count="2">
    <mergeCell ref="B5:C5"/>
    <mergeCell ref="B7:D7"/>
  </mergeCells>
  <conditionalFormatting sqref="B126:B337">
    <cfRule type="expression" dxfId="10" priority="10" stopIfTrue="1">
      <formula>A126&lt;&gt;""</formula>
    </cfRule>
  </conditionalFormatting>
  <conditionalFormatting sqref="C126:C338">
    <cfRule type="expression" dxfId="9" priority="9" stopIfTrue="1">
      <formula>A126&lt;&gt;""</formula>
    </cfRule>
  </conditionalFormatting>
  <conditionalFormatting sqref="D126:D337">
    <cfRule type="expression" dxfId="8" priority="7" stopIfTrue="1">
      <formula>OR(C126="date",C126="text")</formula>
    </cfRule>
    <cfRule type="expression" dxfId="7" priority="8" stopIfTrue="1">
      <formula>OR(C126="number")</formula>
    </cfRule>
  </conditionalFormatting>
  <conditionalFormatting sqref="E126:E337">
    <cfRule type="expression" dxfId="6" priority="5" stopIfTrue="1">
      <formula>OR(C126="number",C126="text")</formula>
    </cfRule>
    <cfRule type="expression" dxfId="5" priority="6" stopIfTrue="1">
      <formula>OR(C126="datetime")</formula>
    </cfRule>
  </conditionalFormatting>
  <conditionalFormatting sqref="F126:G337">
    <cfRule type="expression" dxfId="4" priority="3" stopIfTrue="1">
      <formula>OR($C126="number", $C126="text")</formula>
    </cfRule>
    <cfRule type="expression" dxfId="3" priority="4" stopIfTrue="1">
      <formula>OR($C126="date")</formula>
    </cfRule>
  </conditionalFormatting>
  <conditionalFormatting sqref="B47:I47">
    <cfRule type="expression" dxfId="2" priority="2" stopIfTrue="1">
      <formula>NOT(ISBLANK($B$49:$B$56))</formula>
    </cfRule>
  </conditionalFormatting>
  <conditionalFormatting sqref="B54:AO57">
    <cfRule type="expression" dxfId="1" priority="1" stopIfTrue="1">
      <formula>NOT(ISBLANK($B$49:$B$56))</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26:D337 WVL983166:WVL983377 WLP983166:WLP983377 WBT983166:WBT983377 VRX983166:VRX983377 VIB983166:VIB983377 UYF983166:UYF983377 UOJ983166:UOJ983377 UEN983166:UEN983377 TUR983166:TUR983377 TKV983166:TKV983377 TAZ983166:TAZ983377 SRD983166:SRD983377 SHH983166:SHH983377 RXL983166:RXL983377 RNP983166:RNP983377 RDT983166:RDT983377 QTX983166:QTX983377 QKB983166:QKB983377 QAF983166:QAF983377 PQJ983166:PQJ983377 PGN983166:PGN983377 OWR983166:OWR983377 OMV983166:OMV983377 OCZ983166:OCZ983377 NTD983166:NTD983377 NJH983166:NJH983377 MZL983166:MZL983377 MPP983166:MPP983377 MFT983166:MFT983377 LVX983166:LVX983377 LMB983166:LMB983377 LCF983166:LCF983377 KSJ983166:KSJ983377 KIN983166:KIN983377 JYR983166:JYR983377 JOV983166:JOV983377 JEZ983166:JEZ983377 IVD983166:IVD983377 ILH983166:ILH983377 IBL983166:IBL983377 HRP983166:HRP983377 HHT983166:HHT983377 GXX983166:GXX983377 GOB983166:GOB983377 GEF983166:GEF983377 FUJ983166:FUJ983377 FKN983166:FKN983377 FAR983166:FAR983377 EQV983166:EQV983377 EGZ983166:EGZ983377 DXD983166:DXD983377 DNH983166:DNH983377 DDL983166:DDL983377 CTP983166:CTP983377 CJT983166:CJT983377 BZX983166:BZX983377 BQB983166:BQB983377 BGF983166:BGF983377 AWJ983166:AWJ983377 AMN983166:AMN983377 ACR983166:ACR983377 SV983166:SV983377 IZ983166:IZ983377 D983166:D983377 WVL917630:WVL917841 WLP917630:WLP917841 WBT917630:WBT917841 VRX917630:VRX917841 VIB917630:VIB917841 UYF917630:UYF917841 UOJ917630:UOJ917841 UEN917630:UEN917841 TUR917630:TUR917841 TKV917630:TKV917841 TAZ917630:TAZ917841 SRD917630:SRD917841 SHH917630:SHH917841 RXL917630:RXL917841 RNP917630:RNP917841 RDT917630:RDT917841 QTX917630:QTX917841 QKB917630:QKB917841 QAF917630:QAF917841 PQJ917630:PQJ917841 PGN917630:PGN917841 OWR917630:OWR917841 OMV917630:OMV917841 OCZ917630:OCZ917841 NTD917630:NTD917841 NJH917630:NJH917841 MZL917630:MZL917841 MPP917630:MPP917841 MFT917630:MFT917841 LVX917630:LVX917841 LMB917630:LMB917841 LCF917630:LCF917841 KSJ917630:KSJ917841 KIN917630:KIN917841 JYR917630:JYR917841 JOV917630:JOV917841 JEZ917630:JEZ917841 IVD917630:IVD917841 ILH917630:ILH917841 IBL917630:IBL917841 HRP917630:HRP917841 HHT917630:HHT917841 GXX917630:GXX917841 GOB917630:GOB917841 GEF917630:GEF917841 FUJ917630:FUJ917841 FKN917630:FKN917841 FAR917630:FAR917841 EQV917630:EQV917841 EGZ917630:EGZ917841 DXD917630:DXD917841 DNH917630:DNH917841 DDL917630:DDL917841 CTP917630:CTP917841 CJT917630:CJT917841 BZX917630:BZX917841 BQB917630:BQB917841 BGF917630:BGF917841 AWJ917630:AWJ917841 AMN917630:AMN917841 ACR917630:ACR917841 SV917630:SV917841 IZ917630:IZ917841 D917630:D917841 WVL852094:WVL852305 WLP852094:WLP852305 WBT852094:WBT852305 VRX852094:VRX852305 VIB852094:VIB852305 UYF852094:UYF852305 UOJ852094:UOJ852305 UEN852094:UEN852305 TUR852094:TUR852305 TKV852094:TKV852305 TAZ852094:TAZ852305 SRD852094:SRD852305 SHH852094:SHH852305 RXL852094:RXL852305 RNP852094:RNP852305 RDT852094:RDT852305 QTX852094:QTX852305 QKB852094:QKB852305 QAF852094:QAF852305 PQJ852094:PQJ852305 PGN852094:PGN852305 OWR852094:OWR852305 OMV852094:OMV852305 OCZ852094:OCZ852305 NTD852094:NTD852305 NJH852094:NJH852305 MZL852094:MZL852305 MPP852094:MPP852305 MFT852094:MFT852305 LVX852094:LVX852305 LMB852094:LMB852305 LCF852094:LCF852305 KSJ852094:KSJ852305 KIN852094:KIN852305 JYR852094:JYR852305 JOV852094:JOV852305 JEZ852094:JEZ852305 IVD852094:IVD852305 ILH852094:ILH852305 IBL852094:IBL852305 HRP852094:HRP852305 HHT852094:HHT852305 GXX852094:GXX852305 GOB852094:GOB852305 GEF852094:GEF852305 FUJ852094:FUJ852305 FKN852094:FKN852305 FAR852094:FAR852305 EQV852094:EQV852305 EGZ852094:EGZ852305 DXD852094:DXD852305 DNH852094:DNH852305 DDL852094:DDL852305 CTP852094:CTP852305 CJT852094:CJT852305 BZX852094:BZX852305 BQB852094:BQB852305 BGF852094:BGF852305 AWJ852094:AWJ852305 AMN852094:AMN852305 ACR852094:ACR852305 SV852094:SV852305 IZ852094:IZ852305 D852094:D852305 WVL786558:WVL786769 WLP786558:WLP786769 WBT786558:WBT786769 VRX786558:VRX786769 VIB786558:VIB786769 UYF786558:UYF786769 UOJ786558:UOJ786769 UEN786558:UEN786769 TUR786558:TUR786769 TKV786558:TKV786769 TAZ786558:TAZ786769 SRD786558:SRD786769 SHH786558:SHH786769 RXL786558:RXL786769 RNP786558:RNP786769 RDT786558:RDT786769 QTX786558:QTX786769 QKB786558:QKB786769 QAF786558:QAF786769 PQJ786558:PQJ786769 PGN786558:PGN786769 OWR786558:OWR786769 OMV786558:OMV786769 OCZ786558:OCZ786769 NTD786558:NTD786769 NJH786558:NJH786769 MZL786558:MZL786769 MPP786558:MPP786769 MFT786558:MFT786769 LVX786558:LVX786769 LMB786558:LMB786769 LCF786558:LCF786769 KSJ786558:KSJ786769 KIN786558:KIN786769 JYR786558:JYR786769 JOV786558:JOV786769 JEZ786558:JEZ786769 IVD786558:IVD786769 ILH786558:ILH786769 IBL786558:IBL786769 HRP786558:HRP786769 HHT786558:HHT786769 GXX786558:GXX786769 GOB786558:GOB786769 GEF786558:GEF786769 FUJ786558:FUJ786769 FKN786558:FKN786769 FAR786558:FAR786769 EQV786558:EQV786769 EGZ786558:EGZ786769 DXD786558:DXD786769 DNH786558:DNH786769 DDL786558:DDL786769 CTP786558:CTP786769 CJT786558:CJT786769 BZX786558:BZX786769 BQB786558:BQB786769 BGF786558:BGF786769 AWJ786558:AWJ786769 AMN786558:AMN786769 ACR786558:ACR786769 SV786558:SV786769 IZ786558:IZ786769 D786558:D786769 WVL721022:WVL721233 WLP721022:WLP721233 WBT721022:WBT721233 VRX721022:VRX721233 VIB721022:VIB721233 UYF721022:UYF721233 UOJ721022:UOJ721233 UEN721022:UEN721233 TUR721022:TUR721233 TKV721022:TKV721233 TAZ721022:TAZ721233 SRD721022:SRD721233 SHH721022:SHH721233 RXL721022:RXL721233 RNP721022:RNP721233 RDT721022:RDT721233 QTX721022:QTX721233 QKB721022:QKB721233 QAF721022:QAF721233 PQJ721022:PQJ721233 PGN721022:PGN721233 OWR721022:OWR721233 OMV721022:OMV721233 OCZ721022:OCZ721233 NTD721022:NTD721233 NJH721022:NJH721233 MZL721022:MZL721233 MPP721022:MPP721233 MFT721022:MFT721233 LVX721022:LVX721233 LMB721022:LMB721233 LCF721022:LCF721233 KSJ721022:KSJ721233 KIN721022:KIN721233 JYR721022:JYR721233 JOV721022:JOV721233 JEZ721022:JEZ721233 IVD721022:IVD721233 ILH721022:ILH721233 IBL721022:IBL721233 HRP721022:HRP721233 HHT721022:HHT721233 GXX721022:GXX721233 GOB721022:GOB721233 GEF721022:GEF721233 FUJ721022:FUJ721233 FKN721022:FKN721233 FAR721022:FAR721233 EQV721022:EQV721233 EGZ721022:EGZ721233 DXD721022:DXD721233 DNH721022:DNH721233 DDL721022:DDL721233 CTP721022:CTP721233 CJT721022:CJT721233 BZX721022:BZX721233 BQB721022:BQB721233 BGF721022:BGF721233 AWJ721022:AWJ721233 AMN721022:AMN721233 ACR721022:ACR721233 SV721022:SV721233 IZ721022:IZ721233 D721022:D721233 WVL655486:WVL655697 WLP655486:WLP655697 WBT655486:WBT655697 VRX655486:VRX655697 VIB655486:VIB655697 UYF655486:UYF655697 UOJ655486:UOJ655697 UEN655486:UEN655697 TUR655486:TUR655697 TKV655486:TKV655697 TAZ655486:TAZ655697 SRD655486:SRD655697 SHH655486:SHH655697 RXL655486:RXL655697 RNP655486:RNP655697 RDT655486:RDT655697 QTX655486:QTX655697 QKB655486:QKB655697 QAF655486:QAF655697 PQJ655486:PQJ655697 PGN655486:PGN655697 OWR655486:OWR655697 OMV655486:OMV655697 OCZ655486:OCZ655697 NTD655486:NTD655697 NJH655486:NJH655697 MZL655486:MZL655697 MPP655486:MPP655697 MFT655486:MFT655697 LVX655486:LVX655697 LMB655486:LMB655697 LCF655486:LCF655697 KSJ655486:KSJ655697 KIN655486:KIN655697 JYR655486:JYR655697 JOV655486:JOV655697 JEZ655486:JEZ655697 IVD655486:IVD655697 ILH655486:ILH655697 IBL655486:IBL655697 HRP655486:HRP655697 HHT655486:HHT655697 GXX655486:GXX655697 GOB655486:GOB655697 GEF655486:GEF655697 FUJ655486:FUJ655697 FKN655486:FKN655697 FAR655486:FAR655697 EQV655486:EQV655697 EGZ655486:EGZ655697 DXD655486:DXD655697 DNH655486:DNH655697 DDL655486:DDL655697 CTP655486:CTP655697 CJT655486:CJT655697 BZX655486:BZX655697 BQB655486:BQB655697 BGF655486:BGF655697 AWJ655486:AWJ655697 AMN655486:AMN655697 ACR655486:ACR655697 SV655486:SV655697 IZ655486:IZ655697 D655486:D655697 WVL589950:WVL590161 WLP589950:WLP590161 WBT589950:WBT590161 VRX589950:VRX590161 VIB589950:VIB590161 UYF589950:UYF590161 UOJ589950:UOJ590161 UEN589950:UEN590161 TUR589950:TUR590161 TKV589950:TKV590161 TAZ589950:TAZ590161 SRD589950:SRD590161 SHH589950:SHH590161 RXL589950:RXL590161 RNP589950:RNP590161 RDT589950:RDT590161 QTX589950:QTX590161 QKB589950:QKB590161 QAF589950:QAF590161 PQJ589950:PQJ590161 PGN589950:PGN590161 OWR589950:OWR590161 OMV589950:OMV590161 OCZ589950:OCZ590161 NTD589950:NTD590161 NJH589950:NJH590161 MZL589950:MZL590161 MPP589950:MPP590161 MFT589950:MFT590161 LVX589950:LVX590161 LMB589950:LMB590161 LCF589950:LCF590161 KSJ589950:KSJ590161 KIN589950:KIN590161 JYR589950:JYR590161 JOV589950:JOV590161 JEZ589950:JEZ590161 IVD589950:IVD590161 ILH589950:ILH590161 IBL589950:IBL590161 HRP589950:HRP590161 HHT589950:HHT590161 GXX589950:GXX590161 GOB589950:GOB590161 GEF589950:GEF590161 FUJ589950:FUJ590161 FKN589950:FKN590161 FAR589950:FAR590161 EQV589950:EQV590161 EGZ589950:EGZ590161 DXD589950:DXD590161 DNH589950:DNH590161 DDL589950:DDL590161 CTP589950:CTP590161 CJT589950:CJT590161 BZX589950:BZX590161 BQB589950:BQB590161 BGF589950:BGF590161 AWJ589950:AWJ590161 AMN589950:AMN590161 ACR589950:ACR590161 SV589950:SV590161 IZ589950:IZ590161 D589950:D590161 WVL524414:WVL524625 WLP524414:WLP524625 WBT524414:WBT524625 VRX524414:VRX524625 VIB524414:VIB524625 UYF524414:UYF524625 UOJ524414:UOJ524625 UEN524414:UEN524625 TUR524414:TUR524625 TKV524414:TKV524625 TAZ524414:TAZ524625 SRD524414:SRD524625 SHH524414:SHH524625 RXL524414:RXL524625 RNP524414:RNP524625 RDT524414:RDT524625 QTX524414:QTX524625 QKB524414:QKB524625 QAF524414:QAF524625 PQJ524414:PQJ524625 PGN524414:PGN524625 OWR524414:OWR524625 OMV524414:OMV524625 OCZ524414:OCZ524625 NTD524414:NTD524625 NJH524414:NJH524625 MZL524414:MZL524625 MPP524414:MPP524625 MFT524414:MFT524625 LVX524414:LVX524625 LMB524414:LMB524625 LCF524414:LCF524625 KSJ524414:KSJ524625 KIN524414:KIN524625 JYR524414:JYR524625 JOV524414:JOV524625 JEZ524414:JEZ524625 IVD524414:IVD524625 ILH524414:ILH524625 IBL524414:IBL524625 HRP524414:HRP524625 HHT524414:HHT524625 GXX524414:GXX524625 GOB524414:GOB524625 GEF524414:GEF524625 FUJ524414:FUJ524625 FKN524414:FKN524625 FAR524414:FAR524625 EQV524414:EQV524625 EGZ524414:EGZ524625 DXD524414:DXD524625 DNH524414:DNH524625 DDL524414:DDL524625 CTP524414:CTP524625 CJT524414:CJT524625 BZX524414:BZX524625 BQB524414:BQB524625 BGF524414:BGF524625 AWJ524414:AWJ524625 AMN524414:AMN524625 ACR524414:ACR524625 SV524414:SV524625 IZ524414:IZ524625 D524414:D524625 WVL458878:WVL459089 WLP458878:WLP459089 WBT458878:WBT459089 VRX458878:VRX459089 VIB458878:VIB459089 UYF458878:UYF459089 UOJ458878:UOJ459089 UEN458878:UEN459089 TUR458878:TUR459089 TKV458878:TKV459089 TAZ458878:TAZ459089 SRD458878:SRD459089 SHH458878:SHH459089 RXL458878:RXL459089 RNP458878:RNP459089 RDT458878:RDT459089 QTX458878:QTX459089 QKB458878:QKB459089 QAF458878:QAF459089 PQJ458878:PQJ459089 PGN458878:PGN459089 OWR458878:OWR459089 OMV458878:OMV459089 OCZ458878:OCZ459089 NTD458878:NTD459089 NJH458878:NJH459089 MZL458878:MZL459089 MPP458878:MPP459089 MFT458878:MFT459089 LVX458878:LVX459089 LMB458878:LMB459089 LCF458878:LCF459089 KSJ458878:KSJ459089 KIN458878:KIN459089 JYR458878:JYR459089 JOV458878:JOV459089 JEZ458878:JEZ459089 IVD458878:IVD459089 ILH458878:ILH459089 IBL458878:IBL459089 HRP458878:HRP459089 HHT458878:HHT459089 GXX458878:GXX459089 GOB458878:GOB459089 GEF458878:GEF459089 FUJ458878:FUJ459089 FKN458878:FKN459089 FAR458878:FAR459089 EQV458878:EQV459089 EGZ458878:EGZ459089 DXD458878:DXD459089 DNH458878:DNH459089 DDL458878:DDL459089 CTP458878:CTP459089 CJT458878:CJT459089 BZX458878:BZX459089 BQB458878:BQB459089 BGF458878:BGF459089 AWJ458878:AWJ459089 AMN458878:AMN459089 ACR458878:ACR459089 SV458878:SV459089 IZ458878:IZ459089 D458878:D459089 WVL393342:WVL393553 WLP393342:WLP393553 WBT393342:WBT393553 VRX393342:VRX393553 VIB393342:VIB393553 UYF393342:UYF393553 UOJ393342:UOJ393553 UEN393342:UEN393553 TUR393342:TUR393553 TKV393342:TKV393553 TAZ393342:TAZ393553 SRD393342:SRD393553 SHH393342:SHH393553 RXL393342:RXL393553 RNP393342:RNP393553 RDT393342:RDT393553 QTX393342:QTX393553 QKB393342:QKB393553 QAF393342:QAF393553 PQJ393342:PQJ393553 PGN393342:PGN393553 OWR393342:OWR393553 OMV393342:OMV393553 OCZ393342:OCZ393553 NTD393342:NTD393553 NJH393342:NJH393553 MZL393342:MZL393553 MPP393342:MPP393553 MFT393342:MFT393553 LVX393342:LVX393553 LMB393342:LMB393553 LCF393342:LCF393553 KSJ393342:KSJ393553 KIN393342:KIN393553 JYR393342:JYR393553 JOV393342:JOV393553 JEZ393342:JEZ393553 IVD393342:IVD393553 ILH393342:ILH393553 IBL393342:IBL393553 HRP393342:HRP393553 HHT393342:HHT393553 GXX393342:GXX393553 GOB393342:GOB393553 GEF393342:GEF393553 FUJ393342:FUJ393553 FKN393342:FKN393553 FAR393342:FAR393553 EQV393342:EQV393553 EGZ393342:EGZ393553 DXD393342:DXD393553 DNH393342:DNH393553 DDL393342:DDL393553 CTP393342:CTP393553 CJT393342:CJT393553 BZX393342:BZX393553 BQB393342:BQB393553 BGF393342:BGF393553 AWJ393342:AWJ393553 AMN393342:AMN393553 ACR393342:ACR393553 SV393342:SV393553 IZ393342:IZ393553 D393342:D393553 WVL327806:WVL328017 WLP327806:WLP328017 WBT327806:WBT328017 VRX327806:VRX328017 VIB327806:VIB328017 UYF327806:UYF328017 UOJ327806:UOJ328017 UEN327806:UEN328017 TUR327806:TUR328017 TKV327806:TKV328017 TAZ327806:TAZ328017 SRD327806:SRD328017 SHH327806:SHH328017 RXL327806:RXL328017 RNP327806:RNP328017 RDT327806:RDT328017 QTX327806:QTX328017 QKB327806:QKB328017 QAF327806:QAF328017 PQJ327806:PQJ328017 PGN327806:PGN328017 OWR327806:OWR328017 OMV327806:OMV328017 OCZ327806:OCZ328017 NTD327806:NTD328017 NJH327806:NJH328017 MZL327806:MZL328017 MPP327806:MPP328017 MFT327806:MFT328017 LVX327806:LVX328017 LMB327806:LMB328017 LCF327806:LCF328017 KSJ327806:KSJ328017 KIN327806:KIN328017 JYR327806:JYR328017 JOV327806:JOV328017 JEZ327806:JEZ328017 IVD327806:IVD328017 ILH327806:ILH328017 IBL327806:IBL328017 HRP327806:HRP328017 HHT327806:HHT328017 GXX327806:GXX328017 GOB327806:GOB328017 GEF327806:GEF328017 FUJ327806:FUJ328017 FKN327806:FKN328017 FAR327806:FAR328017 EQV327806:EQV328017 EGZ327806:EGZ328017 DXD327806:DXD328017 DNH327806:DNH328017 DDL327806:DDL328017 CTP327806:CTP328017 CJT327806:CJT328017 BZX327806:BZX328017 BQB327806:BQB328017 BGF327806:BGF328017 AWJ327806:AWJ328017 AMN327806:AMN328017 ACR327806:ACR328017 SV327806:SV328017 IZ327806:IZ328017 D327806:D328017 WVL262270:WVL262481 WLP262270:WLP262481 WBT262270:WBT262481 VRX262270:VRX262481 VIB262270:VIB262481 UYF262270:UYF262481 UOJ262270:UOJ262481 UEN262270:UEN262481 TUR262270:TUR262481 TKV262270:TKV262481 TAZ262270:TAZ262481 SRD262270:SRD262481 SHH262270:SHH262481 RXL262270:RXL262481 RNP262270:RNP262481 RDT262270:RDT262481 QTX262270:QTX262481 QKB262270:QKB262481 QAF262270:QAF262481 PQJ262270:PQJ262481 PGN262270:PGN262481 OWR262270:OWR262481 OMV262270:OMV262481 OCZ262270:OCZ262481 NTD262270:NTD262481 NJH262270:NJH262481 MZL262270:MZL262481 MPP262270:MPP262481 MFT262270:MFT262481 LVX262270:LVX262481 LMB262270:LMB262481 LCF262270:LCF262481 KSJ262270:KSJ262481 KIN262270:KIN262481 JYR262270:JYR262481 JOV262270:JOV262481 JEZ262270:JEZ262481 IVD262270:IVD262481 ILH262270:ILH262481 IBL262270:IBL262481 HRP262270:HRP262481 HHT262270:HHT262481 GXX262270:GXX262481 GOB262270:GOB262481 GEF262270:GEF262481 FUJ262270:FUJ262481 FKN262270:FKN262481 FAR262270:FAR262481 EQV262270:EQV262481 EGZ262270:EGZ262481 DXD262270:DXD262481 DNH262270:DNH262481 DDL262270:DDL262481 CTP262270:CTP262481 CJT262270:CJT262481 BZX262270:BZX262481 BQB262270:BQB262481 BGF262270:BGF262481 AWJ262270:AWJ262481 AMN262270:AMN262481 ACR262270:ACR262481 SV262270:SV262481 IZ262270:IZ262481 D262270:D262481 WVL196734:WVL196945 WLP196734:WLP196945 WBT196734:WBT196945 VRX196734:VRX196945 VIB196734:VIB196945 UYF196734:UYF196945 UOJ196734:UOJ196945 UEN196734:UEN196945 TUR196734:TUR196945 TKV196734:TKV196945 TAZ196734:TAZ196945 SRD196734:SRD196945 SHH196734:SHH196945 RXL196734:RXL196945 RNP196734:RNP196945 RDT196734:RDT196945 QTX196734:QTX196945 QKB196734:QKB196945 QAF196734:QAF196945 PQJ196734:PQJ196945 PGN196734:PGN196945 OWR196734:OWR196945 OMV196734:OMV196945 OCZ196734:OCZ196945 NTD196734:NTD196945 NJH196734:NJH196945 MZL196734:MZL196945 MPP196734:MPP196945 MFT196734:MFT196945 LVX196734:LVX196945 LMB196734:LMB196945 LCF196734:LCF196945 KSJ196734:KSJ196945 KIN196734:KIN196945 JYR196734:JYR196945 JOV196734:JOV196945 JEZ196734:JEZ196945 IVD196734:IVD196945 ILH196734:ILH196945 IBL196734:IBL196945 HRP196734:HRP196945 HHT196734:HHT196945 GXX196734:GXX196945 GOB196734:GOB196945 GEF196734:GEF196945 FUJ196734:FUJ196945 FKN196734:FKN196945 FAR196734:FAR196945 EQV196734:EQV196945 EGZ196734:EGZ196945 DXD196734:DXD196945 DNH196734:DNH196945 DDL196734:DDL196945 CTP196734:CTP196945 CJT196734:CJT196945 BZX196734:BZX196945 BQB196734:BQB196945 BGF196734:BGF196945 AWJ196734:AWJ196945 AMN196734:AMN196945 ACR196734:ACR196945 SV196734:SV196945 IZ196734:IZ196945 D196734:D196945 WVL131198:WVL131409 WLP131198:WLP131409 WBT131198:WBT131409 VRX131198:VRX131409 VIB131198:VIB131409 UYF131198:UYF131409 UOJ131198:UOJ131409 UEN131198:UEN131409 TUR131198:TUR131409 TKV131198:TKV131409 TAZ131198:TAZ131409 SRD131198:SRD131409 SHH131198:SHH131409 RXL131198:RXL131409 RNP131198:RNP131409 RDT131198:RDT131409 QTX131198:QTX131409 QKB131198:QKB131409 QAF131198:QAF131409 PQJ131198:PQJ131409 PGN131198:PGN131409 OWR131198:OWR131409 OMV131198:OMV131409 OCZ131198:OCZ131409 NTD131198:NTD131409 NJH131198:NJH131409 MZL131198:MZL131409 MPP131198:MPP131409 MFT131198:MFT131409 LVX131198:LVX131409 LMB131198:LMB131409 LCF131198:LCF131409 KSJ131198:KSJ131409 KIN131198:KIN131409 JYR131198:JYR131409 JOV131198:JOV131409 JEZ131198:JEZ131409 IVD131198:IVD131409 ILH131198:ILH131409 IBL131198:IBL131409 HRP131198:HRP131409 HHT131198:HHT131409 GXX131198:GXX131409 GOB131198:GOB131409 GEF131198:GEF131409 FUJ131198:FUJ131409 FKN131198:FKN131409 FAR131198:FAR131409 EQV131198:EQV131409 EGZ131198:EGZ131409 DXD131198:DXD131409 DNH131198:DNH131409 DDL131198:DDL131409 CTP131198:CTP131409 CJT131198:CJT131409 BZX131198:BZX131409 BQB131198:BQB131409 BGF131198:BGF131409 AWJ131198:AWJ131409 AMN131198:AMN131409 ACR131198:ACR131409 SV131198:SV131409 IZ131198:IZ131409 D131198:D131409 WVL65662:WVL65873 WLP65662:WLP65873 WBT65662:WBT65873 VRX65662:VRX65873 VIB65662:VIB65873 UYF65662:UYF65873 UOJ65662:UOJ65873 UEN65662:UEN65873 TUR65662:TUR65873 TKV65662:TKV65873 TAZ65662:TAZ65873 SRD65662:SRD65873 SHH65662:SHH65873 RXL65662:RXL65873 RNP65662:RNP65873 RDT65662:RDT65873 QTX65662:QTX65873 QKB65662:QKB65873 QAF65662:QAF65873 PQJ65662:PQJ65873 PGN65662:PGN65873 OWR65662:OWR65873 OMV65662:OMV65873 OCZ65662:OCZ65873 NTD65662:NTD65873 NJH65662:NJH65873 MZL65662:MZL65873 MPP65662:MPP65873 MFT65662:MFT65873 LVX65662:LVX65873 LMB65662:LMB65873 LCF65662:LCF65873 KSJ65662:KSJ65873 KIN65662:KIN65873 JYR65662:JYR65873 JOV65662:JOV65873 JEZ65662:JEZ65873 IVD65662:IVD65873 ILH65662:ILH65873 IBL65662:IBL65873 HRP65662:HRP65873 HHT65662:HHT65873 GXX65662:GXX65873 GOB65662:GOB65873 GEF65662:GEF65873 FUJ65662:FUJ65873 FKN65662:FKN65873 FAR65662:FAR65873 EQV65662:EQV65873 EGZ65662:EGZ65873 DXD65662:DXD65873 DNH65662:DNH65873 DDL65662:DDL65873 CTP65662:CTP65873 CJT65662:CJT65873 BZX65662:BZX65873 BQB65662:BQB65873 BGF65662:BGF65873 AWJ65662:AWJ65873 AMN65662:AMN65873 ACR65662:ACR65873 SV65662:SV65873 IZ65662:IZ65873 D65662:D65873 WVL126:WVL337 WLP126:WLP337 WBT126:WBT337 VRX126:VRX337 VIB126:VIB337 UYF126:UYF337 UOJ126:UOJ337 UEN126:UEN337 TUR126:TUR337 TKV126:TKV337 TAZ126:TAZ337 SRD126:SRD337 SHH126:SHH337 RXL126:RXL337 RNP126:RNP337 RDT126:RDT337 QTX126:QTX337 QKB126:QKB337 QAF126:QAF337 PQJ126:PQJ337 PGN126:PGN337 OWR126:OWR337 OMV126:OMV337 OCZ126:OCZ337 NTD126:NTD337 NJH126:NJH337 MZL126:MZL337 MPP126:MPP337 MFT126:MFT337 LVX126:LVX337 LMB126:LMB337 LCF126:LCF337 KSJ126:KSJ337 KIN126:KIN337 JYR126:JYR337 JOV126:JOV337 JEZ126:JEZ337 IVD126:IVD337 ILH126:ILH337 IBL126:IBL337 HRP126:HRP337 HHT126:HHT337 GXX126:GXX337 GOB126:GOB337 GEF126:GEF337 FUJ126:FUJ337 FKN126:FKN337 FAR126:FAR337 EQV126:EQV337 EGZ126:EGZ337 DXD126:DXD337 DNH126:DNH337 DDL126:DDL337 CTP126:CTP337 CJT126:CJT337 BZX126:BZX337 BQB126:BQB337 BGF126:BGF337 AWJ126:AWJ337 AMN126:AMN337 ACR126:ACR337 SV126:SV337 IZ126:IZ337">
      <formula1>$N$126:$N$349</formula1>
    </dataValidation>
    <dataValidation type="list" errorStyle="information" allowBlank="1" showInputMessage="1" showErrorMessage="1" errorTitle="New Site" error="If a site is not in the list enter a new Name" prompt="Select a site name or enter a new one" sqref="WVJ983090:WVQ983090 IX46:JE46 ST46:TA46 ACP46:ACW46 AML46:AMS46 AWH46:AWO46 BGD46:BGK46 BPZ46:BQG46 BZV46:CAC46 CJR46:CJY46 CTN46:CTU46 DDJ46:DDQ46 DNF46:DNM46 DXB46:DXI46 EGX46:EHE46 EQT46:ERA46 FAP46:FAW46 FKL46:FKS46 FUH46:FUO46 GED46:GEK46 GNZ46:GOG46 GXV46:GYC46 HHR46:HHY46 HRN46:HRU46 IBJ46:IBQ46 ILF46:ILM46 IVB46:IVI46 JEX46:JFE46 JOT46:JPA46 JYP46:JYW46 KIL46:KIS46 KSH46:KSO46 LCD46:LCK46 LLZ46:LMG46 LVV46:LWC46 MFR46:MFY46 MPN46:MPU46 MZJ46:MZQ46 NJF46:NJM46 NTB46:NTI46 OCX46:ODE46 OMT46:ONA46 OWP46:OWW46 PGL46:PGS46 PQH46:PQO46 QAD46:QAK46 QJZ46:QKG46 QTV46:QUC46 RDR46:RDY46 RNN46:RNU46 RXJ46:RXQ46 SHF46:SHM46 SRB46:SRI46 TAX46:TBE46 TKT46:TLA46 TUP46:TUW46 UEL46:UES46 UOH46:UOO46 UYD46:UYK46 VHZ46:VIG46 VRV46:VSC46 WBR46:WBY46 WLN46:WLU46 WVJ46:WVQ46 B65586:I65586 IX65586:JE65586 ST65586:TA65586 ACP65586:ACW65586 AML65586:AMS65586 AWH65586:AWO65586 BGD65586:BGK65586 BPZ65586:BQG65586 BZV65586:CAC65586 CJR65586:CJY65586 CTN65586:CTU65586 DDJ65586:DDQ65586 DNF65586:DNM65586 DXB65586:DXI65586 EGX65586:EHE65586 EQT65586:ERA65586 FAP65586:FAW65586 FKL65586:FKS65586 FUH65586:FUO65586 GED65586:GEK65586 GNZ65586:GOG65586 GXV65586:GYC65586 HHR65586:HHY65586 HRN65586:HRU65586 IBJ65586:IBQ65586 ILF65586:ILM65586 IVB65586:IVI65586 JEX65586:JFE65586 JOT65586:JPA65586 JYP65586:JYW65586 KIL65586:KIS65586 KSH65586:KSO65586 LCD65586:LCK65586 LLZ65586:LMG65586 LVV65586:LWC65586 MFR65586:MFY65586 MPN65586:MPU65586 MZJ65586:MZQ65586 NJF65586:NJM65586 NTB65586:NTI65586 OCX65586:ODE65586 OMT65586:ONA65586 OWP65586:OWW65586 PGL65586:PGS65586 PQH65586:PQO65586 QAD65586:QAK65586 QJZ65586:QKG65586 QTV65586:QUC65586 RDR65586:RDY65586 RNN65586:RNU65586 RXJ65586:RXQ65586 SHF65586:SHM65586 SRB65586:SRI65586 TAX65586:TBE65586 TKT65586:TLA65586 TUP65586:TUW65586 UEL65586:UES65586 UOH65586:UOO65586 UYD65586:UYK65586 VHZ65586:VIG65586 VRV65586:VSC65586 WBR65586:WBY65586 WLN65586:WLU65586 WVJ65586:WVQ65586 B131122:I131122 IX131122:JE131122 ST131122:TA131122 ACP131122:ACW131122 AML131122:AMS131122 AWH131122:AWO131122 BGD131122:BGK131122 BPZ131122:BQG131122 BZV131122:CAC131122 CJR131122:CJY131122 CTN131122:CTU131122 DDJ131122:DDQ131122 DNF131122:DNM131122 DXB131122:DXI131122 EGX131122:EHE131122 EQT131122:ERA131122 FAP131122:FAW131122 FKL131122:FKS131122 FUH131122:FUO131122 GED131122:GEK131122 GNZ131122:GOG131122 GXV131122:GYC131122 HHR131122:HHY131122 HRN131122:HRU131122 IBJ131122:IBQ131122 ILF131122:ILM131122 IVB131122:IVI131122 JEX131122:JFE131122 JOT131122:JPA131122 JYP131122:JYW131122 KIL131122:KIS131122 KSH131122:KSO131122 LCD131122:LCK131122 LLZ131122:LMG131122 LVV131122:LWC131122 MFR131122:MFY131122 MPN131122:MPU131122 MZJ131122:MZQ131122 NJF131122:NJM131122 NTB131122:NTI131122 OCX131122:ODE131122 OMT131122:ONA131122 OWP131122:OWW131122 PGL131122:PGS131122 PQH131122:PQO131122 QAD131122:QAK131122 QJZ131122:QKG131122 QTV131122:QUC131122 RDR131122:RDY131122 RNN131122:RNU131122 RXJ131122:RXQ131122 SHF131122:SHM131122 SRB131122:SRI131122 TAX131122:TBE131122 TKT131122:TLA131122 TUP131122:TUW131122 UEL131122:UES131122 UOH131122:UOO131122 UYD131122:UYK131122 VHZ131122:VIG131122 VRV131122:VSC131122 WBR131122:WBY131122 WLN131122:WLU131122 WVJ131122:WVQ131122 B196658:I196658 IX196658:JE196658 ST196658:TA196658 ACP196658:ACW196658 AML196658:AMS196658 AWH196658:AWO196658 BGD196658:BGK196658 BPZ196658:BQG196658 BZV196658:CAC196658 CJR196658:CJY196658 CTN196658:CTU196658 DDJ196658:DDQ196658 DNF196658:DNM196658 DXB196658:DXI196658 EGX196658:EHE196658 EQT196658:ERA196658 FAP196658:FAW196658 FKL196658:FKS196658 FUH196658:FUO196658 GED196658:GEK196658 GNZ196658:GOG196658 GXV196658:GYC196658 HHR196658:HHY196658 HRN196658:HRU196658 IBJ196658:IBQ196658 ILF196658:ILM196658 IVB196658:IVI196658 JEX196658:JFE196658 JOT196658:JPA196658 JYP196658:JYW196658 KIL196658:KIS196658 KSH196658:KSO196658 LCD196658:LCK196658 LLZ196658:LMG196658 LVV196658:LWC196658 MFR196658:MFY196658 MPN196658:MPU196658 MZJ196658:MZQ196658 NJF196658:NJM196658 NTB196658:NTI196658 OCX196658:ODE196658 OMT196658:ONA196658 OWP196658:OWW196658 PGL196658:PGS196658 PQH196658:PQO196658 QAD196658:QAK196658 QJZ196658:QKG196658 QTV196658:QUC196658 RDR196658:RDY196658 RNN196658:RNU196658 RXJ196658:RXQ196658 SHF196658:SHM196658 SRB196658:SRI196658 TAX196658:TBE196658 TKT196658:TLA196658 TUP196658:TUW196658 UEL196658:UES196658 UOH196658:UOO196658 UYD196658:UYK196658 VHZ196658:VIG196658 VRV196658:VSC196658 WBR196658:WBY196658 WLN196658:WLU196658 WVJ196658:WVQ196658 B262194:I262194 IX262194:JE262194 ST262194:TA262194 ACP262194:ACW262194 AML262194:AMS262194 AWH262194:AWO262194 BGD262194:BGK262194 BPZ262194:BQG262194 BZV262194:CAC262194 CJR262194:CJY262194 CTN262194:CTU262194 DDJ262194:DDQ262194 DNF262194:DNM262194 DXB262194:DXI262194 EGX262194:EHE262194 EQT262194:ERA262194 FAP262194:FAW262194 FKL262194:FKS262194 FUH262194:FUO262194 GED262194:GEK262194 GNZ262194:GOG262194 GXV262194:GYC262194 HHR262194:HHY262194 HRN262194:HRU262194 IBJ262194:IBQ262194 ILF262194:ILM262194 IVB262194:IVI262194 JEX262194:JFE262194 JOT262194:JPA262194 JYP262194:JYW262194 KIL262194:KIS262194 KSH262194:KSO262194 LCD262194:LCK262194 LLZ262194:LMG262194 LVV262194:LWC262194 MFR262194:MFY262194 MPN262194:MPU262194 MZJ262194:MZQ262194 NJF262194:NJM262194 NTB262194:NTI262194 OCX262194:ODE262194 OMT262194:ONA262194 OWP262194:OWW262194 PGL262194:PGS262194 PQH262194:PQO262194 QAD262194:QAK262194 QJZ262194:QKG262194 QTV262194:QUC262194 RDR262194:RDY262194 RNN262194:RNU262194 RXJ262194:RXQ262194 SHF262194:SHM262194 SRB262194:SRI262194 TAX262194:TBE262194 TKT262194:TLA262194 TUP262194:TUW262194 UEL262194:UES262194 UOH262194:UOO262194 UYD262194:UYK262194 VHZ262194:VIG262194 VRV262194:VSC262194 WBR262194:WBY262194 WLN262194:WLU262194 WVJ262194:WVQ262194 B327730:I327730 IX327730:JE327730 ST327730:TA327730 ACP327730:ACW327730 AML327730:AMS327730 AWH327730:AWO327730 BGD327730:BGK327730 BPZ327730:BQG327730 BZV327730:CAC327730 CJR327730:CJY327730 CTN327730:CTU327730 DDJ327730:DDQ327730 DNF327730:DNM327730 DXB327730:DXI327730 EGX327730:EHE327730 EQT327730:ERA327730 FAP327730:FAW327730 FKL327730:FKS327730 FUH327730:FUO327730 GED327730:GEK327730 GNZ327730:GOG327730 GXV327730:GYC327730 HHR327730:HHY327730 HRN327730:HRU327730 IBJ327730:IBQ327730 ILF327730:ILM327730 IVB327730:IVI327730 JEX327730:JFE327730 JOT327730:JPA327730 JYP327730:JYW327730 KIL327730:KIS327730 KSH327730:KSO327730 LCD327730:LCK327730 LLZ327730:LMG327730 LVV327730:LWC327730 MFR327730:MFY327730 MPN327730:MPU327730 MZJ327730:MZQ327730 NJF327730:NJM327730 NTB327730:NTI327730 OCX327730:ODE327730 OMT327730:ONA327730 OWP327730:OWW327730 PGL327730:PGS327730 PQH327730:PQO327730 QAD327730:QAK327730 QJZ327730:QKG327730 QTV327730:QUC327730 RDR327730:RDY327730 RNN327730:RNU327730 RXJ327730:RXQ327730 SHF327730:SHM327730 SRB327730:SRI327730 TAX327730:TBE327730 TKT327730:TLA327730 TUP327730:TUW327730 UEL327730:UES327730 UOH327730:UOO327730 UYD327730:UYK327730 VHZ327730:VIG327730 VRV327730:VSC327730 WBR327730:WBY327730 WLN327730:WLU327730 WVJ327730:WVQ327730 B393266:I393266 IX393266:JE393266 ST393266:TA393266 ACP393266:ACW393266 AML393266:AMS393266 AWH393266:AWO393266 BGD393266:BGK393266 BPZ393266:BQG393266 BZV393266:CAC393266 CJR393266:CJY393266 CTN393266:CTU393266 DDJ393266:DDQ393266 DNF393266:DNM393266 DXB393266:DXI393266 EGX393266:EHE393266 EQT393266:ERA393266 FAP393266:FAW393266 FKL393266:FKS393266 FUH393266:FUO393266 GED393266:GEK393266 GNZ393266:GOG393266 GXV393266:GYC393266 HHR393266:HHY393266 HRN393266:HRU393266 IBJ393266:IBQ393266 ILF393266:ILM393266 IVB393266:IVI393266 JEX393266:JFE393266 JOT393266:JPA393266 JYP393266:JYW393266 KIL393266:KIS393266 KSH393266:KSO393266 LCD393266:LCK393266 LLZ393266:LMG393266 LVV393266:LWC393266 MFR393266:MFY393266 MPN393266:MPU393266 MZJ393266:MZQ393266 NJF393266:NJM393266 NTB393266:NTI393266 OCX393266:ODE393266 OMT393266:ONA393266 OWP393266:OWW393266 PGL393266:PGS393266 PQH393266:PQO393266 QAD393266:QAK393266 QJZ393266:QKG393266 QTV393266:QUC393266 RDR393266:RDY393266 RNN393266:RNU393266 RXJ393266:RXQ393266 SHF393266:SHM393266 SRB393266:SRI393266 TAX393266:TBE393266 TKT393266:TLA393266 TUP393266:TUW393266 UEL393266:UES393266 UOH393266:UOO393266 UYD393266:UYK393266 VHZ393266:VIG393266 VRV393266:VSC393266 WBR393266:WBY393266 WLN393266:WLU393266 WVJ393266:WVQ393266 B458802:I458802 IX458802:JE458802 ST458802:TA458802 ACP458802:ACW458802 AML458802:AMS458802 AWH458802:AWO458802 BGD458802:BGK458802 BPZ458802:BQG458802 BZV458802:CAC458802 CJR458802:CJY458802 CTN458802:CTU458802 DDJ458802:DDQ458802 DNF458802:DNM458802 DXB458802:DXI458802 EGX458802:EHE458802 EQT458802:ERA458802 FAP458802:FAW458802 FKL458802:FKS458802 FUH458802:FUO458802 GED458802:GEK458802 GNZ458802:GOG458802 GXV458802:GYC458802 HHR458802:HHY458802 HRN458802:HRU458802 IBJ458802:IBQ458802 ILF458802:ILM458802 IVB458802:IVI458802 JEX458802:JFE458802 JOT458802:JPA458802 JYP458802:JYW458802 KIL458802:KIS458802 KSH458802:KSO458802 LCD458802:LCK458802 LLZ458802:LMG458802 LVV458802:LWC458802 MFR458802:MFY458802 MPN458802:MPU458802 MZJ458802:MZQ458802 NJF458802:NJM458802 NTB458802:NTI458802 OCX458802:ODE458802 OMT458802:ONA458802 OWP458802:OWW458802 PGL458802:PGS458802 PQH458802:PQO458802 QAD458802:QAK458802 QJZ458802:QKG458802 QTV458802:QUC458802 RDR458802:RDY458802 RNN458802:RNU458802 RXJ458802:RXQ458802 SHF458802:SHM458802 SRB458802:SRI458802 TAX458802:TBE458802 TKT458802:TLA458802 TUP458802:TUW458802 UEL458802:UES458802 UOH458802:UOO458802 UYD458802:UYK458802 VHZ458802:VIG458802 VRV458802:VSC458802 WBR458802:WBY458802 WLN458802:WLU458802 WVJ458802:WVQ458802 B524338:I524338 IX524338:JE524338 ST524338:TA524338 ACP524338:ACW524338 AML524338:AMS524338 AWH524338:AWO524338 BGD524338:BGK524338 BPZ524338:BQG524338 BZV524338:CAC524338 CJR524338:CJY524338 CTN524338:CTU524338 DDJ524338:DDQ524338 DNF524338:DNM524338 DXB524338:DXI524338 EGX524338:EHE524338 EQT524338:ERA524338 FAP524338:FAW524338 FKL524338:FKS524338 FUH524338:FUO524338 GED524338:GEK524338 GNZ524338:GOG524338 GXV524338:GYC524338 HHR524338:HHY524338 HRN524338:HRU524338 IBJ524338:IBQ524338 ILF524338:ILM524338 IVB524338:IVI524338 JEX524338:JFE524338 JOT524338:JPA524338 JYP524338:JYW524338 KIL524338:KIS524338 KSH524338:KSO524338 LCD524338:LCK524338 LLZ524338:LMG524338 LVV524338:LWC524338 MFR524338:MFY524338 MPN524338:MPU524338 MZJ524338:MZQ524338 NJF524338:NJM524338 NTB524338:NTI524338 OCX524338:ODE524338 OMT524338:ONA524338 OWP524338:OWW524338 PGL524338:PGS524338 PQH524338:PQO524338 QAD524338:QAK524338 QJZ524338:QKG524338 QTV524338:QUC524338 RDR524338:RDY524338 RNN524338:RNU524338 RXJ524338:RXQ524338 SHF524338:SHM524338 SRB524338:SRI524338 TAX524338:TBE524338 TKT524338:TLA524338 TUP524338:TUW524338 UEL524338:UES524338 UOH524338:UOO524338 UYD524338:UYK524338 VHZ524338:VIG524338 VRV524338:VSC524338 WBR524338:WBY524338 WLN524338:WLU524338 WVJ524338:WVQ524338 B589874:I589874 IX589874:JE589874 ST589874:TA589874 ACP589874:ACW589874 AML589874:AMS589874 AWH589874:AWO589874 BGD589874:BGK589874 BPZ589874:BQG589874 BZV589874:CAC589874 CJR589874:CJY589874 CTN589874:CTU589874 DDJ589874:DDQ589874 DNF589874:DNM589874 DXB589874:DXI589874 EGX589874:EHE589874 EQT589874:ERA589874 FAP589874:FAW589874 FKL589874:FKS589874 FUH589874:FUO589874 GED589874:GEK589874 GNZ589874:GOG589874 GXV589874:GYC589874 HHR589874:HHY589874 HRN589874:HRU589874 IBJ589874:IBQ589874 ILF589874:ILM589874 IVB589874:IVI589874 JEX589874:JFE589874 JOT589874:JPA589874 JYP589874:JYW589874 KIL589874:KIS589874 KSH589874:KSO589874 LCD589874:LCK589874 LLZ589874:LMG589874 LVV589874:LWC589874 MFR589874:MFY589874 MPN589874:MPU589874 MZJ589874:MZQ589874 NJF589874:NJM589874 NTB589874:NTI589874 OCX589874:ODE589874 OMT589874:ONA589874 OWP589874:OWW589874 PGL589874:PGS589874 PQH589874:PQO589874 QAD589874:QAK589874 QJZ589874:QKG589874 QTV589874:QUC589874 RDR589874:RDY589874 RNN589874:RNU589874 RXJ589874:RXQ589874 SHF589874:SHM589874 SRB589874:SRI589874 TAX589874:TBE589874 TKT589874:TLA589874 TUP589874:TUW589874 UEL589874:UES589874 UOH589874:UOO589874 UYD589874:UYK589874 VHZ589874:VIG589874 VRV589874:VSC589874 WBR589874:WBY589874 WLN589874:WLU589874 WVJ589874:WVQ589874 B655410:I655410 IX655410:JE655410 ST655410:TA655410 ACP655410:ACW655410 AML655410:AMS655410 AWH655410:AWO655410 BGD655410:BGK655410 BPZ655410:BQG655410 BZV655410:CAC655410 CJR655410:CJY655410 CTN655410:CTU655410 DDJ655410:DDQ655410 DNF655410:DNM655410 DXB655410:DXI655410 EGX655410:EHE655410 EQT655410:ERA655410 FAP655410:FAW655410 FKL655410:FKS655410 FUH655410:FUO655410 GED655410:GEK655410 GNZ655410:GOG655410 GXV655410:GYC655410 HHR655410:HHY655410 HRN655410:HRU655410 IBJ655410:IBQ655410 ILF655410:ILM655410 IVB655410:IVI655410 JEX655410:JFE655410 JOT655410:JPA655410 JYP655410:JYW655410 KIL655410:KIS655410 KSH655410:KSO655410 LCD655410:LCK655410 LLZ655410:LMG655410 LVV655410:LWC655410 MFR655410:MFY655410 MPN655410:MPU655410 MZJ655410:MZQ655410 NJF655410:NJM655410 NTB655410:NTI655410 OCX655410:ODE655410 OMT655410:ONA655410 OWP655410:OWW655410 PGL655410:PGS655410 PQH655410:PQO655410 QAD655410:QAK655410 QJZ655410:QKG655410 QTV655410:QUC655410 RDR655410:RDY655410 RNN655410:RNU655410 RXJ655410:RXQ655410 SHF655410:SHM655410 SRB655410:SRI655410 TAX655410:TBE655410 TKT655410:TLA655410 TUP655410:TUW655410 UEL655410:UES655410 UOH655410:UOO655410 UYD655410:UYK655410 VHZ655410:VIG655410 VRV655410:VSC655410 WBR655410:WBY655410 WLN655410:WLU655410 WVJ655410:WVQ655410 B720946:I720946 IX720946:JE720946 ST720946:TA720946 ACP720946:ACW720946 AML720946:AMS720946 AWH720946:AWO720946 BGD720946:BGK720946 BPZ720946:BQG720946 BZV720946:CAC720946 CJR720946:CJY720946 CTN720946:CTU720946 DDJ720946:DDQ720946 DNF720946:DNM720946 DXB720946:DXI720946 EGX720946:EHE720946 EQT720946:ERA720946 FAP720946:FAW720946 FKL720946:FKS720946 FUH720946:FUO720946 GED720946:GEK720946 GNZ720946:GOG720946 GXV720946:GYC720946 HHR720946:HHY720946 HRN720946:HRU720946 IBJ720946:IBQ720946 ILF720946:ILM720946 IVB720946:IVI720946 JEX720946:JFE720946 JOT720946:JPA720946 JYP720946:JYW720946 KIL720946:KIS720946 KSH720946:KSO720946 LCD720946:LCK720946 LLZ720946:LMG720946 LVV720946:LWC720946 MFR720946:MFY720946 MPN720946:MPU720946 MZJ720946:MZQ720946 NJF720946:NJM720946 NTB720946:NTI720946 OCX720946:ODE720946 OMT720946:ONA720946 OWP720946:OWW720946 PGL720946:PGS720946 PQH720946:PQO720946 QAD720946:QAK720946 QJZ720946:QKG720946 QTV720946:QUC720946 RDR720946:RDY720946 RNN720946:RNU720946 RXJ720946:RXQ720946 SHF720946:SHM720946 SRB720946:SRI720946 TAX720946:TBE720946 TKT720946:TLA720946 TUP720946:TUW720946 UEL720946:UES720946 UOH720946:UOO720946 UYD720946:UYK720946 VHZ720946:VIG720946 VRV720946:VSC720946 WBR720946:WBY720946 WLN720946:WLU720946 WVJ720946:WVQ720946 B786482:I786482 IX786482:JE786482 ST786482:TA786482 ACP786482:ACW786482 AML786482:AMS786482 AWH786482:AWO786482 BGD786482:BGK786482 BPZ786482:BQG786482 BZV786482:CAC786482 CJR786482:CJY786482 CTN786482:CTU786482 DDJ786482:DDQ786482 DNF786482:DNM786482 DXB786482:DXI786482 EGX786482:EHE786482 EQT786482:ERA786482 FAP786482:FAW786482 FKL786482:FKS786482 FUH786482:FUO786482 GED786482:GEK786482 GNZ786482:GOG786482 GXV786482:GYC786482 HHR786482:HHY786482 HRN786482:HRU786482 IBJ786482:IBQ786482 ILF786482:ILM786482 IVB786482:IVI786482 JEX786482:JFE786482 JOT786482:JPA786482 JYP786482:JYW786482 KIL786482:KIS786482 KSH786482:KSO786482 LCD786482:LCK786482 LLZ786482:LMG786482 LVV786482:LWC786482 MFR786482:MFY786482 MPN786482:MPU786482 MZJ786482:MZQ786482 NJF786482:NJM786482 NTB786482:NTI786482 OCX786482:ODE786482 OMT786482:ONA786482 OWP786482:OWW786482 PGL786482:PGS786482 PQH786482:PQO786482 QAD786482:QAK786482 QJZ786482:QKG786482 QTV786482:QUC786482 RDR786482:RDY786482 RNN786482:RNU786482 RXJ786482:RXQ786482 SHF786482:SHM786482 SRB786482:SRI786482 TAX786482:TBE786482 TKT786482:TLA786482 TUP786482:TUW786482 UEL786482:UES786482 UOH786482:UOO786482 UYD786482:UYK786482 VHZ786482:VIG786482 VRV786482:VSC786482 WBR786482:WBY786482 WLN786482:WLU786482 WVJ786482:WVQ786482 B852018:I852018 IX852018:JE852018 ST852018:TA852018 ACP852018:ACW852018 AML852018:AMS852018 AWH852018:AWO852018 BGD852018:BGK852018 BPZ852018:BQG852018 BZV852018:CAC852018 CJR852018:CJY852018 CTN852018:CTU852018 DDJ852018:DDQ852018 DNF852018:DNM852018 DXB852018:DXI852018 EGX852018:EHE852018 EQT852018:ERA852018 FAP852018:FAW852018 FKL852018:FKS852018 FUH852018:FUO852018 GED852018:GEK852018 GNZ852018:GOG852018 GXV852018:GYC852018 HHR852018:HHY852018 HRN852018:HRU852018 IBJ852018:IBQ852018 ILF852018:ILM852018 IVB852018:IVI852018 JEX852018:JFE852018 JOT852018:JPA852018 JYP852018:JYW852018 KIL852018:KIS852018 KSH852018:KSO852018 LCD852018:LCK852018 LLZ852018:LMG852018 LVV852018:LWC852018 MFR852018:MFY852018 MPN852018:MPU852018 MZJ852018:MZQ852018 NJF852018:NJM852018 NTB852018:NTI852018 OCX852018:ODE852018 OMT852018:ONA852018 OWP852018:OWW852018 PGL852018:PGS852018 PQH852018:PQO852018 QAD852018:QAK852018 QJZ852018:QKG852018 QTV852018:QUC852018 RDR852018:RDY852018 RNN852018:RNU852018 RXJ852018:RXQ852018 SHF852018:SHM852018 SRB852018:SRI852018 TAX852018:TBE852018 TKT852018:TLA852018 TUP852018:TUW852018 UEL852018:UES852018 UOH852018:UOO852018 UYD852018:UYK852018 VHZ852018:VIG852018 VRV852018:VSC852018 WBR852018:WBY852018 WLN852018:WLU852018 WVJ852018:WVQ852018 B917554:I917554 IX917554:JE917554 ST917554:TA917554 ACP917554:ACW917554 AML917554:AMS917554 AWH917554:AWO917554 BGD917554:BGK917554 BPZ917554:BQG917554 BZV917554:CAC917554 CJR917554:CJY917554 CTN917554:CTU917554 DDJ917554:DDQ917554 DNF917554:DNM917554 DXB917554:DXI917554 EGX917554:EHE917554 EQT917554:ERA917554 FAP917554:FAW917554 FKL917554:FKS917554 FUH917554:FUO917554 GED917554:GEK917554 GNZ917554:GOG917554 GXV917554:GYC917554 HHR917554:HHY917554 HRN917554:HRU917554 IBJ917554:IBQ917554 ILF917554:ILM917554 IVB917554:IVI917554 JEX917554:JFE917554 JOT917554:JPA917554 JYP917554:JYW917554 KIL917554:KIS917554 KSH917554:KSO917554 LCD917554:LCK917554 LLZ917554:LMG917554 LVV917554:LWC917554 MFR917554:MFY917554 MPN917554:MPU917554 MZJ917554:MZQ917554 NJF917554:NJM917554 NTB917554:NTI917554 OCX917554:ODE917554 OMT917554:ONA917554 OWP917554:OWW917554 PGL917554:PGS917554 PQH917554:PQO917554 QAD917554:QAK917554 QJZ917554:QKG917554 QTV917554:QUC917554 RDR917554:RDY917554 RNN917554:RNU917554 RXJ917554:RXQ917554 SHF917554:SHM917554 SRB917554:SRI917554 TAX917554:TBE917554 TKT917554:TLA917554 TUP917554:TUW917554 UEL917554:UES917554 UOH917554:UOO917554 UYD917554:UYK917554 VHZ917554:VIG917554 VRV917554:VSC917554 WBR917554:WBY917554 WLN917554:WLU917554 WVJ917554:WVQ917554 B983090:I983090 IX983090:JE983090 ST983090:TA983090 ACP983090:ACW983090 AML983090:AMS983090 AWH983090:AWO983090 BGD983090:BGK983090 BPZ983090:BQG983090 BZV983090:CAC983090 CJR983090:CJY983090 CTN983090:CTU983090 DDJ983090:DDQ983090 DNF983090:DNM983090 DXB983090:DXI983090 EGX983090:EHE983090 EQT983090:ERA983090 FAP983090:FAW983090 FKL983090:FKS983090 FUH983090:FUO983090 GED983090:GEK983090 GNZ983090:GOG983090 GXV983090:GYC983090 HHR983090:HHY983090 HRN983090:HRU983090 IBJ983090:IBQ983090 ILF983090:ILM983090 IVB983090:IVI983090 JEX983090:JFE983090 JOT983090:JPA983090 JYP983090:JYW983090 KIL983090:KIS983090 KSH983090:KSO983090 LCD983090:LCK983090 LLZ983090:LMG983090 LVV983090:LWC983090 MFR983090:MFY983090 MPN983090:MPU983090 MZJ983090:MZQ983090 NJF983090:NJM983090 NTB983090:NTI983090 OCX983090:ODE983090 OMT983090:ONA983090 OWP983090:OWW983090 PGL983090:PGS983090 PQH983090:PQO983090 QAD983090:QAK983090 QJZ983090:QKG983090 QTV983090:QUC983090 RDR983090:RDY983090 RNN983090:RNU983090 RXJ983090:RXQ983090 SHF983090:SHM983090 SRB983090:SRI983090 TAX983090:TBE983090 TKT983090:TLA983090 TUP983090:TUW983090 UEL983090:UES983090 UOH983090:UOO983090 UYD983090:UYK983090 VHZ983090:VIG983090 VRV983090:VSC983090 WBR983090:WBY983090 WLN983090:WLU983090 B46:I46">
      <formula1>Site_name_list</formula1>
    </dataValidation>
    <dataValidation type="custom" allowBlank="1" showInputMessage="1" showErrorMessage="1"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558:I65558 IX65558:JE65558 ST65558:TA65558 ACP65558:ACW65558 AML65558:AMS65558 AWH65558:AWO65558 BGD65558:BGK65558 BPZ65558:BQG65558 BZV65558:CAC65558 CJR65558:CJY65558 CTN65558:CTU65558 DDJ65558:DDQ65558 DNF65558:DNM65558 DXB65558:DXI65558 EGX65558:EHE65558 EQT65558:ERA65558 FAP65558:FAW65558 FKL65558:FKS65558 FUH65558:FUO65558 GED65558:GEK65558 GNZ65558:GOG65558 GXV65558:GYC65558 HHR65558:HHY65558 HRN65558:HRU65558 IBJ65558:IBQ65558 ILF65558:ILM65558 IVB65558:IVI65558 JEX65558:JFE65558 JOT65558:JPA65558 JYP65558:JYW65558 KIL65558:KIS65558 KSH65558:KSO65558 LCD65558:LCK65558 LLZ65558:LMG65558 LVV65558:LWC65558 MFR65558:MFY65558 MPN65558:MPU65558 MZJ65558:MZQ65558 NJF65558:NJM65558 NTB65558:NTI65558 OCX65558:ODE65558 OMT65558:ONA65558 OWP65558:OWW65558 PGL65558:PGS65558 PQH65558:PQO65558 QAD65558:QAK65558 QJZ65558:QKG65558 QTV65558:QUC65558 RDR65558:RDY65558 RNN65558:RNU65558 RXJ65558:RXQ65558 SHF65558:SHM65558 SRB65558:SRI65558 TAX65558:TBE65558 TKT65558:TLA65558 TUP65558:TUW65558 UEL65558:UES65558 UOH65558:UOO65558 UYD65558:UYK65558 VHZ65558:VIG65558 VRV65558:VSC65558 WBR65558:WBY65558 WLN65558:WLU65558 WVJ65558:WVQ65558 B131094:I131094 IX131094:JE131094 ST131094:TA131094 ACP131094:ACW131094 AML131094:AMS131094 AWH131094:AWO131094 BGD131094:BGK131094 BPZ131094:BQG131094 BZV131094:CAC131094 CJR131094:CJY131094 CTN131094:CTU131094 DDJ131094:DDQ131094 DNF131094:DNM131094 DXB131094:DXI131094 EGX131094:EHE131094 EQT131094:ERA131094 FAP131094:FAW131094 FKL131094:FKS131094 FUH131094:FUO131094 GED131094:GEK131094 GNZ131094:GOG131094 GXV131094:GYC131094 HHR131094:HHY131094 HRN131094:HRU131094 IBJ131094:IBQ131094 ILF131094:ILM131094 IVB131094:IVI131094 JEX131094:JFE131094 JOT131094:JPA131094 JYP131094:JYW131094 KIL131094:KIS131094 KSH131094:KSO131094 LCD131094:LCK131094 LLZ131094:LMG131094 LVV131094:LWC131094 MFR131094:MFY131094 MPN131094:MPU131094 MZJ131094:MZQ131094 NJF131094:NJM131094 NTB131094:NTI131094 OCX131094:ODE131094 OMT131094:ONA131094 OWP131094:OWW131094 PGL131094:PGS131094 PQH131094:PQO131094 QAD131094:QAK131094 QJZ131094:QKG131094 QTV131094:QUC131094 RDR131094:RDY131094 RNN131094:RNU131094 RXJ131094:RXQ131094 SHF131094:SHM131094 SRB131094:SRI131094 TAX131094:TBE131094 TKT131094:TLA131094 TUP131094:TUW131094 UEL131094:UES131094 UOH131094:UOO131094 UYD131094:UYK131094 VHZ131094:VIG131094 VRV131094:VSC131094 WBR131094:WBY131094 WLN131094:WLU131094 WVJ131094:WVQ131094 B196630:I196630 IX196630:JE196630 ST196630:TA196630 ACP196630:ACW196630 AML196630:AMS196630 AWH196630:AWO196630 BGD196630:BGK196630 BPZ196630:BQG196630 BZV196630:CAC196630 CJR196630:CJY196630 CTN196630:CTU196630 DDJ196630:DDQ196630 DNF196630:DNM196630 DXB196630:DXI196630 EGX196630:EHE196630 EQT196630:ERA196630 FAP196630:FAW196630 FKL196630:FKS196630 FUH196630:FUO196630 GED196630:GEK196630 GNZ196630:GOG196630 GXV196630:GYC196630 HHR196630:HHY196630 HRN196630:HRU196630 IBJ196630:IBQ196630 ILF196630:ILM196630 IVB196630:IVI196630 JEX196630:JFE196630 JOT196630:JPA196630 JYP196630:JYW196630 KIL196630:KIS196630 KSH196630:KSO196630 LCD196630:LCK196630 LLZ196630:LMG196630 LVV196630:LWC196630 MFR196630:MFY196630 MPN196630:MPU196630 MZJ196630:MZQ196630 NJF196630:NJM196630 NTB196630:NTI196630 OCX196630:ODE196630 OMT196630:ONA196630 OWP196630:OWW196630 PGL196630:PGS196630 PQH196630:PQO196630 QAD196630:QAK196630 QJZ196630:QKG196630 QTV196630:QUC196630 RDR196630:RDY196630 RNN196630:RNU196630 RXJ196630:RXQ196630 SHF196630:SHM196630 SRB196630:SRI196630 TAX196630:TBE196630 TKT196630:TLA196630 TUP196630:TUW196630 UEL196630:UES196630 UOH196630:UOO196630 UYD196630:UYK196630 VHZ196630:VIG196630 VRV196630:VSC196630 WBR196630:WBY196630 WLN196630:WLU196630 WVJ196630:WVQ196630 B262166:I262166 IX262166:JE262166 ST262166:TA262166 ACP262166:ACW262166 AML262166:AMS262166 AWH262166:AWO262166 BGD262166:BGK262166 BPZ262166:BQG262166 BZV262166:CAC262166 CJR262166:CJY262166 CTN262166:CTU262166 DDJ262166:DDQ262166 DNF262166:DNM262166 DXB262166:DXI262166 EGX262166:EHE262166 EQT262166:ERA262166 FAP262166:FAW262166 FKL262166:FKS262166 FUH262166:FUO262166 GED262166:GEK262166 GNZ262166:GOG262166 GXV262166:GYC262166 HHR262166:HHY262166 HRN262166:HRU262166 IBJ262166:IBQ262166 ILF262166:ILM262166 IVB262166:IVI262166 JEX262166:JFE262166 JOT262166:JPA262166 JYP262166:JYW262166 KIL262166:KIS262166 KSH262166:KSO262166 LCD262166:LCK262166 LLZ262166:LMG262166 LVV262166:LWC262166 MFR262166:MFY262166 MPN262166:MPU262166 MZJ262166:MZQ262166 NJF262166:NJM262166 NTB262166:NTI262166 OCX262166:ODE262166 OMT262166:ONA262166 OWP262166:OWW262166 PGL262166:PGS262166 PQH262166:PQO262166 QAD262166:QAK262166 QJZ262166:QKG262166 QTV262166:QUC262166 RDR262166:RDY262166 RNN262166:RNU262166 RXJ262166:RXQ262166 SHF262166:SHM262166 SRB262166:SRI262166 TAX262166:TBE262166 TKT262166:TLA262166 TUP262166:TUW262166 UEL262166:UES262166 UOH262166:UOO262166 UYD262166:UYK262166 VHZ262166:VIG262166 VRV262166:VSC262166 WBR262166:WBY262166 WLN262166:WLU262166 WVJ262166:WVQ262166 B327702:I327702 IX327702:JE327702 ST327702:TA327702 ACP327702:ACW327702 AML327702:AMS327702 AWH327702:AWO327702 BGD327702:BGK327702 BPZ327702:BQG327702 BZV327702:CAC327702 CJR327702:CJY327702 CTN327702:CTU327702 DDJ327702:DDQ327702 DNF327702:DNM327702 DXB327702:DXI327702 EGX327702:EHE327702 EQT327702:ERA327702 FAP327702:FAW327702 FKL327702:FKS327702 FUH327702:FUO327702 GED327702:GEK327702 GNZ327702:GOG327702 GXV327702:GYC327702 HHR327702:HHY327702 HRN327702:HRU327702 IBJ327702:IBQ327702 ILF327702:ILM327702 IVB327702:IVI327702 JEX327702:JFE327702 JOT327702:JPA327702 JYP327702:JYW327702 KIL327702:KIS327702 KSH327702:KSO327702 LCD327702:LCK327702 LLZ327702:LMG327702 LVV327702:LWC327702 MFR327702:MFY327702 MPN327702:MPU327702 MZJ327702:MZQ327702 NJF327702:NJM327702 NTB327702:NTI327702 OCX327702:ODE327702 OMT327702:ONA327702 OWP327702:OWW327702 PGL327702:PGS327702 PQH327702:PQO327702 QAD327702:QAK327702 QJZ327702:QKG327702 QTV327702:QUC327702 RDR327702:RDY327702 RNN327702:RNU327702 RXJ327702:RXQ327702 SHF327702:SHM327702 SRB327702:SRI327702 TAX327702:TBE327702 TKT327702:TLA327702 TUP327702:TUW327702 UEL327702:UES327702 UOH327702:UOO327702 UYD327702:UYK327702 VHZ327702:VIG327702 VRV327702:VSC327702 WBR327702:WBY327702 WLN327702:WLU327702 WVJ327702:WVQ327702 B393238:I393238 IX393238:JE393238 ST393238:TA393238 ACP393238:ACW393238 AML393238:AMS393238 AWH393238:AWO393238 BGD393238:BGK393238 BPZ393238:BQG393238 BZV393238:CAC393238 CJR393238:CJY393238 CTN393238:CTU393238 DDJ393238:DDQ393238 DNF393238:DNM393238 DXB393238:DXI393238 EGX393238:EHE393238 EQT393238:ERA393238 FAP393238:FAW393238 FKL393238:FKS393238 FUH393238:FUO393238 GED393238:GEK393238 GNZ393238:GOG393238 GXV393238:GYC393238 HHR393238:HHY393238 HRN393238:HRU393238 IBJ393238:IBQ393238 ILF393238:ILM393238 IVB393238:IVI393238 JEX393238:JFE393238 JOT393238:JPA393238 JYP393238:JYW393238 KIL393238:KIS393238 KSH393238:KSO393238 LCD393238:LCK393238 LLZ393238:LMG393238 LVV393238:LWC393238 MFR393238:MFY393238 MPN393238:MPU393238 MZJ393238:MZQ393238 NJF393238:NJM393238 NTB393238:NTI393238 OCX393238:ODE393238 OMT393238:ONA393238 OWP393238:OWW393238 PGL393238:PGS393238 PQH393238:PQO393238 QAD393238:QAK393238 QJZ393238:QKG393238 QTV393238:QUC393238 RDR393238:RDY393238 RNN393238:RNU393238 RXJ393238:RXQ393238 SHF393238:SHM393238 SRB393238:SRI393238 TAX393238:TBE393238 TKT393238:TLA393238 TUP393238:TUW393238 UEL393238:UES393238 UOH393238:UOO393238 UYD393238:UYK393238 VHZ393238:VIG393238 VRV393238:VSC393238 WBR393238:WBY393238 WLN393238:WLU393238 WVJ393238:WVQ393238 B458774:I458774 IX458774:JE458774 ST458774:TA458774 ACP458774:ACW458774 AML458774:AMS458774 AWH458774:AWO458774 BGD458774:BGK458774 BPZ458774:BQG458774 BZV458774:CAC458774 CJR458774:CJY458774 CTN458774:CTU458774 DDJ458774:DDQ458774 DNF458774:DNM458774 DXB458774:DXI458774 EGX458774:EHE458774 EQT458774:ERA458774 FAP458774:FAW458774 FKL458774:FKS458774 FUH458774:FUO458774 GED458774:GEK458774 GNZ458774:GOG458774 GXV458774:GYC458774 HHR458774:HHY458774 HRN458774:HRU458774 IBJ458774:IBQ458774 ILF458774:ILM458774 IVB458774:IVI458774 JEX458774:JFE458774 JOT458774:JPA458774 JYP458774:JYW458774 KIL458774:KIS458774 KSH458774:KSO458774 LCD458774:LCK458774 LLZ458774:LMG458774 LVV458774:LWC458774 MFR458774:MFY458774 MPN458774:MPU458774 MZJ458774:MZQ458774 NJF458774:NJM458774 NTB458774:NTI458774 OCX458774:ODE458774 OMT458774:ONA458774 OWP458774:OWW458774 PGL458774:PGS458774 PQH458774:PQO458774 QAD458774:QAK458774 QJZ458774:QKG458774 QTV458774:QUC458774 RDR458774:RDY458774 RNN458774:RNU458774 RXJ458774:RXQ458774 SHF458774:SHM458774 SRB458774:SRI458774 TAX458774:TBE458774 TKT458774:TLA458774 TUP458774:TUW458774 UEL458774:UES458774 UOH458774:UOO458774 UYD458774:UYK458774 VHZ458774:VIG458774 VRV458774:VSC458774 WBR458774:WBY458774 WLN458774:WLU458774 WVJ458774:WVQ458774 B524310:I524310 IX524310:JE524310 ST524310:TA524310 ACP524310:ACW524310 AML524310:AMS524310 AWH524310:AWO524310 BGD524310:BGK524310 BPZ524310:BQG524310 BZV524310:CAC524310 CJR524310:CJY524310 CTN524310:CTU524310 DDJ524310:DDQ524310 DNF524310:DNM524310 DXB524310:DXI524310 EGX524310:EHE524310 EQT524310:ERA524310 FAP524310:FAW524310 FKL524310:FKS524310 FUH524310:FUO524310 GED524310:GEK524310 GNZ524310:GOG524310 GXV524310:GYC524310 HHR524310:HHY524310 HRN524310:HRU524310 IBJ524310:IBQ524310 ILF524310:ILM524310 IVB524310:IVI524310 JEX524310:JFE524310 JOT524310:JPA524310 JYP524310:JYW524310 KIL524310:KIS524310 KSH524310:KSO524310 LCD524310:LCK524310 LLZ524310:LMG524310 LVV524310:LWC524310 MFR524310:MFY524310 MPN524310:MPU524310 MZJ524310:MZQ524310 NJF524310:NJM524310 NTB524310:NTI524310 OCX524310:ODE524310 OMT524310:ONA524310 OWP524310:OWW524310 PGL524310:PGS524310 PQH524310:PQO524310 QAD524310:QAK524310 QJZ524310:QKG524310 QTV524310:QUC524310 RDR524310:RDY524310 RNN524310:RNU524310 RXJ524310:RXQ524310 SHF524310:SHM524310 SRB524310:SRI524310 TAX524310:TBE524310 TKT524310:TLA524310 TUP524310:TUW524310 UEL524310:UES524310 UOH524310:UOO524310 UYD524310:UYK524310 VHZ524310:VIG524310 VRV524310:VSC524310 WBR524310:WBY524310 WLN524310:WLU524310 WVJ524310:WVQ524310 B589846:I589846 IX589846:JE589846 ST589846:TA589846 ACP589846:ACW589846 AML589846:AMS589846 AWH589846:AWO589846 BGD589846:BGK589846 BPZ589846:BQG589846 BZV589846:CAC589846 CJR589846:CJY589846 CTN589846:CTU589846 DDJ589846:DDQ589846 DNF589846:DNM589846 DXB589846:DXI589846 EGX589846:EHE589846 EQT589846:ERA589846 FAP589846:FAW589846 FKL589846:FKS589846 FUH589846:FUO589846 GED589846:GEK589846 GNZ589846:GOG589846 GXV589846:GYC589846 HHR589846:HHY589846 HRN589846:HRU589846 IBJ589846:IBQ589846 ILF589846:ILM589846 IVB589846:IVI589846 JEX589846:JFE589846 JOT589846:JPA589846 JYP589846:JYW589846 KIL589846:KIS589846 KSH589846:KSO589846 LCD589846:LCK589846 LLZ589846:LMG589846 LVV589846:LWC589846 MFR589846:MFY589846 MPN589846:MPU589846 MZJ589846:MZQ589846 NJF589846:NJM589846 NTB589846:NTI589846 OCX589846:ODE589846 OMT589846:ONA589846 OWP589846:OWW589846 PGL589846:PGS589846 PQH589846:PQO589846 QAD589846:QAK589846 QJZ589846:QKG589846 QTV589846:QUC589846 RDR589846:RDY589846 RNN589846:RNU589846 RXJ589846:RXQ589846 SHF589846:SHM589846 SRB589846:SRI589846 TAX589846:TBE589846 TKT589846:TLA589846 TUP589846:TUW589846 UEL589846:UES589846 UOH589846:UOO589846 UYD589846:UYK589846 VHZ589846:VIG589846 VRV589846:VSC589846 WBR589846:WBY589846 WLN589846:WLU589846 WVJ589846:WVQ589846 B655382:I655382 IX655382:JE655382 ST655382:TA655382 ACP655382:ACW655382 AML655382:AMS655382 AWH655382:AWO655382 BGD655382:BGK655382 BPZ655382:BQG655382 BZV655382:CAC655382 CJR655382:CJY655382 CTN655382:CTU655382 DDJ655382:DDQ655382 DNF655382:DNM655382 DXB655382:DXI655382 EGX655382:EHE655382 EQT655382:ERA655382 FAP655382:FAW655382 FKL655382:FKS655382 FUH655382:FUO655382 GED655382:GEK655382 GNZ655382:GOG655382 GXV655382:GYC655382 HHR655382:HHY655382 HRN655382:HRU655382 IBJ655382:IBQ655382 ILF655382:ILM655382 IVB655382:IVI655382 JEX655382:JFE655382 JOT655382:JPA655382 JYP655382:JYW655382 KIL655382:KIS655382 KSH655382:KSO655382 LCD655382:LCK655382 LLZ655382:LMG655382 LVV655382:LWC655382 MFR655382:MFY655382 MPN655382:MPU655382 MZJ655382:MZQ655382 NJF655382:NJM655382 NTB655382:NTI655382 OCX655382:ODE655382 OMT655382:ONA655382 OWP655382:OWW655382 PGL655382:PGS655382 PQH655382:PQO655382 QAD655382:QAK655382 QJZ655382:QKG655382 QTV655382:QUC655382 RDR655382:RDY655382 RNN655382:RNU655382 RXJ655382:RXQ655382 SHF655382:SHM655382 SRB655382:SRI655382 TAX655382:TBE655382 TKT655382:TLA655382 TUP655382:TUW655382 UEL655382:UES655382 UOH655382:UOO655382 UYD655382:UYK655382 VHZ655382:VIG655382 VRV655382:VSC655382 WBR655382:WBY655382 WLN655382:WLU655382 WVJ655382:WVQ655382 B720918:I720918 IX720918:JE720918 ST720918:TA720918 ACP720918:ACW720918 AML720918:AMS720918 AWH720918:AWO720918 BGD720918:BGK720918 BPZ720918:BQG720918 BZV720918:CAC720918 CJR720918:CJY720918 CTN720918:CTU720918 DDJ720918:DDQ720918 DNF720918:DNM720918 DXB720918:DXI720918 EGX720918:EHE720918 EQT720918:ERA720918 FAP720918:FAW720918 FKL720918:FKS720918 FUH720918:FUO720918 GED720918:GEK720918 GNZ720918:GOG720918 GXV720918:GYC720918 HHR720918:HHY720918 HRN720918:HRU720918 IBJ720918:IBQ720918 ILF720918:ILM720918 IVB720918:IVI720918 JEX720918:JFE720918 JOT720918:JPA720918 JYP720918:JYW720918 KIL720918:KIS720918 KSH720918:KSO720918 LCD720918:LCK720918 LLZ720918:LMG720918 LVV720918:LWC720918 MFR720918:MFY720918 MPN720918:MPU720918 MZJ720918:MZQ720918 NJF720918:NJM720918 NTB720918:NTI720918 OCX720918:ODE720918 OMT720918:ONA720918 OWP720918:OWW720918 PGL720918:PGS720918 PQH720918:PQO720918 QAD720918:QAK720918 QJZ720918:QKG720918 QTV720918:QUC720918 RDR720918:RDY720918 RNN720918:RNU720918 RXJ720918:RXQ720918 SHF720918:SHM720918 SRB720918:SRI720918 TAX720918:TBE720918 TKT720918:TLA720918 TUP720918:TUW720918 UEL720918:UES720918 UOH720918:UOO720918 UYD720918:UYK720918 VHZ720918:VIG720918 VRV720918:VSC720918 WBR720918:WBY720918 WLN720918:WLU720918 WVJ720918:WVQ720918 B786454:I786454 IX786454:JE786454 ST786454:TA786454 ACP786454:ACW786454 AML786454:AMS786454 AWH786454:AWO786454 BGD786454:BGK786454 BPZ786454:BQG786454 BZV786454:CAC786454 CJR786454:CJY786454 CTN786454:CTU786454 DDJ786454:DDQ786454 DNF786454:DNM786454 DXB786454:DXI786454 EGX786454:EHE786454 EQT786454:ERA786454 FAP786454:FAW786454 FKL786454:FKS786454 FUH786454:FUO786454 GED786454:GEK786454 GNZ786454:GOG786454 GXV786454:GYC786454 HHR786454:HHY786454 HRN786454:HRU786454 IBJ786454:IBQ786454 ILF786454:ILM786454 IVB786454:IVI786454 JEX786454:JFE786454 JOT786454:JPA786454 JYP786454:JYW786454 KIL786454:KIS786454 KSH786454:KSO786454 LCD786454:LCK786454 LLZ786454:LMG786454 LVV786454:LWC786454 MFR786454:MFY786454 MPN786454:MPU786454 MZJ786454:MZQ786454 NJF786454:NJM786454 NTB786454:NTI786454 OCX786454:ODE786454 OMT786454:ONA786454 OWP786454:OWW786454 PGL786454:PGS786454 PQH786454:PQO786454 QAD786454:QAK786454 QJZ786454:QKG786454 QTV786454:QUC786454 RDR786454:RDY786454 RNN786454:RNU786454 RXJ786454:RXQ786454 SHF786454:SHM786454 SRB786454:SRI786454 TAX786454:TBE786454 TKT786454:TLA786454 TUP786454:TUW786454 UEL786454:UES786454 UOH786454:UOO786454 UYD786454:UYK786454 VHZ786454:VIG786454 VRV786454:VSC786454 WBR786454:WBY786454 WLN786454:WLU786454 WVJ786454:WVQ786454 B851990:I851990 IX851990:JE851990 ST851990:TA851990 ACP851990:ACW851990 AML851990:AMS851990 AWH851990:AWO851990 BGD851990:BGK851990 BPZ851990:BQG851990 BZV851990:CAC851990 CJR851990:CJY851990 CTN851990:CTU851990 DDJ851990:DDQ851990 DNF851990:DNM851990 DXB851990:DXI851990 EGX851990:EHE851990 EQT851990:ERA851990 FAP851990:FAW851990 FKL851990:FKS851990 FUH851990:FUO851990 GED851990:GEK851990 GNZ851990:GOG851990 GXV851990:GYC851990 HHR851990:HHY851990 HRN851990:HRU851990 IBJ851990:IBQ851990 ILF851990:ILM851990 IVB851990:IVI851990 JEX851990:JFE851990 JOT851990:JPA851990 JYP851990:JYW851990 KIL851990:KIS851990 KSH851990:KSO851990 LCD851990:LCK851990 LLZ851990:LMG851990 LVV851990:LWC851990 MFR851990:MFY851990 MPN851990:MPU851990 MZJ851990:MZQ851990 NJF851990:NJM851990 NTB851990:NTI851990 OCX851990:ODE851990 OMT851990:ONA851990 OWP851990:OWW851990 PGL851990:PGS851990 PQH851990:PQO851990 QAD851990:QAK851990 QJZ851990:QKG851990 QTV851990:QUC851990 RDR851990:RDY851990 RNN851990:RNU851990 RXJ851990:RXQ851990 SHF851990:SHM851990 SRB851990:SRI851990 TAX851990:TBE851990 TKT851990:TLA851990 TUP851990:TUW851990 UEL851990:UES851990 UOH851990:UOO851990 UYD851990:UYK851990 VHZ851990:VIG851990 VRV851990:VSC851990 WBR851990:WBY851990 WLN851990:WLU851990 WVJ851990:WVQ851990 B917526:I917526 IX917526:JE917526 ST917526:TA917526 ACP917526:ACW917526 AML917526:AMS917526 AWH917526:AWO917526 BGD917526:BGK917526 BPZ917526:BQG917526 BZV917526:CAC917526 CJR917526:CJY917526 CTN917526:CTU917526 DDJ917526:DDQ917526 DNF917526:DNM917526 DXB917526:DXI917526 EGX917526:EHE917526 EQT917526:ERA917526 FAP917526:FAW917526 FKL917526:FKS917526 FUH917526:FUO917526 GED917526:GEK917526 GNZ917526:GOG917526 GXV917526:GYC917526 HHR917526:HHY917526 HRN917526:HRU917526 IBJ917526:IBQ917526 ILF917526:ILM917526 IVB917526:IVI917526 JEX917526:JFE917526 JOT917526:JPA917526 JYP917526:JYW917526 KIL917526:KIS917526 KSH917526:KSO917526 LCD917526:LCK917526 LLZ917526:LMG917526 LVV917526:LWC917526 MFR917526:MFY917526 MPN917526:MPU917526 MZJ917526:MZQ917526 NJF917526:NJM917526 NTB917526:NTI917526 OCX917526:ODE917526 OMT917526:ONA917526 OWP917526:OWW917526 PGL917526:PGS917526 PQH917526:PQO917526 QAD917526:QAK917526 QJZ917526:QKG917526 QTV917526:QUC917526 RDR917526:RDY917526 RNN917526:RNU917526 RXJ917526:RXQ917526 SHF917526:SHM917526 SRB917526:SRI917526 TAX917526:TBE917526 TKT917526:TLA917526 TUP917526:TUW917526 UEL917526:UES917526 UOH917526:UOO917526 UYD917526:UYK917526 VHZ917526:VIG917526 VRV917526:VSC917526 WBR917526:WBY917526 WLN917526:WLU917526 WVJ917526:WVQ917526 B983062:I983062 IX983062:JE983062 ST983062:TA983062 ACP983062:ACW983062 AML983062:AMS983062 AWH983062:AWO983062 BGD983062:BGK983062 BPZ983062:BQG983062 BZV983062:CAC983062 CJR983062:CJY983062 CTN983062:CTU983062 DDJ983062:DDQ983062 DNF983062:DNM983062 DXB983062:DXI983062 EGX983062:EHE983062 EQT983062:ERA983062 FAP983062:FAW983062 FKL983062:FKS983062 FUH983062:FUO983062 GED983062:GEK983062 GNZ983062:GOG983062 GXV983062:GYC983062 HHR983062:HHY983062 HRN983062:HRU983062 IBJ983062:IBQ983062 ILF983062:ILM983062 IVB983062:IVI983062 JEX983062:JFE983062 JOT983062:JPA983062 JYP983062:JYW983062 KIL983062:KIS983062 KSH983062:KSO983062 LCD983062:LCK983062 LLZ983062:LMG983062 LVV983062:LWC983062 MFR983062:MFY983062 MPN983062:MPU983062 MZJ983062:MZQ983062 NJF983062:NJM983062 NTB983062:NTI983062 OCX983062:ODE983062 OMT983062:ONA983062 OWP983062:OWW983062 PGL983062:PGS983062 PQH983062:PQO983062 QAD983062:QAK983062 QJZ983062:QKG983062 QTV983062:QUC983062 RDR983062:RDY983062 RNN983062:RNU983062 RXJ983062:RXQ983062 SHF983062:SHM983062 SRB983062:SRI983062 TAX983062:TBE983062 TKT983062:TLA983062 TUP983062:TUW983062 UEL983062:UES983062 UOH983062:UOO983062 UYD983062:UYK983062 VHZ983062:VIG983062 VRV983062:VSC983062 WBR983062:WBY983062 WLN983062:WLU983062 WVJ983062:WVQ983062">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WVJ983061:WVQ983061 WLN983061:WLU983061 WBR983061:WBY983061 VRV983061:VSC983061 VHZ983061:VIG983061 UYD983061:UYK983061 UOH983061:UOO983061 UEL983061:UES983061 TUP983061:TUW983061 TKT983061:TLA983061 TAX983061:TBE983061 SRB983061:SRI983061 SHF983061:SHM983061 RXJ983061:RXQ983061 RNN983061:RNU983061 RDR983061:RDY983061 QTV983061:QUC983061 QJZ983061:QKG983061 QAD983061:QAK983061 PQH983061:PQO983061 PGL983061:PGS983061 OWP983061:OWW983061 OMT983061:ONA983061 OCX983061:ODE983061 NTB983061:NTI983061 NJF983061:NJM983061 MZJ983061:MZQ983061 MPN983061:MPU983061 MFR983061:MFY983061 LVV983061:LWC983061 LLZ983061:LMG983061 LCD983061:LCK983061 KSH983061:KSO983061 KIL983061:KIS983061 JYP983061:JYW983061 JOT983061:JPA983061 JEX983061:JFE983061 IVB983061:IVI983061 ILF983061:ILM983061 IBJ983061:IBQ983061 HRN983061:HRU983061 HHR983061:HHY983061 GXV983061:GYC983061 GNZ983061:GOG983061 GED983061:GEK983061 FUH983061:FUO983061 FKL983061:FKS983061 FAP983061:FAW983061 EQT983061:ERA983061 EGX983061:EHE983061 DXB983061:DXI983061 DNF983061:DNM983061 DDJ983061:DDQ983061 CTN983061:CTU983061 CJR983061:CJY983061 BZV983061:CAC983061 BPZ983061:BQG983061 BGD983061:BGK983061 AWH983061:AWO983061 AML983061:AMS983061 ACP983061:ACW983061 ST983061:TA983061 IX983061:JE983061 B983061:I983061 WVJ917525:WVQ917525 WLN917525:WLU917525 WBR917525:WBY917525 VRV917525:VSC917525 VHZ917525:VIG917525 UYD917525:UYK917525 UOH917525:UOO917525 UEL917525:UES917525 TUP917525:TUW917525 TKT917525:TLA917525 TAX917525:TBE917525 SRB917525:SRI917525 SHF917525:SHM917525 RXJ917525:RXQ917525 RNN917525:RNU917525 RDR917525:RDY917525 QTV917525:QUC917525 QJZ917525:QKG917525 QAD917525:QAK917525 PQH917525:PQO917525 PGL917525:PGS917525 OWP917525:OWW917525 OMT917525:ONA917525 OCX917525:ODE917525 NTB917525:NTI917525 NJF917525:NJM917525 MZJ917525:MZQ917525 MPN917525:MPU917525 MFR917525:MFY917525 LVV917525:LWC917525 LLZ917525:LMG917525 LCD917525:LCK917525 KSH917525:KSO917525 KIL917525:KIS917525 JYP917525:JYW917525 JOT917525:JPA917525 JEX917525:JFE917525 IVB917525:IVI917525 ILF917525:ILM917525 IBJ917525:IBQ917525 HRN917525:HRU917525 HHR917525:HHY917525 GXV917525:GYC917525 GNZ917525:GOG917525 GED917525:GEK917525 FUH917525:FUO917525 FKL917525:FKS917525 FAP917525:FAW917525 EQT917525:ERA917525 EGX917525:EHE917525 DXB917525:DXI917525 DNF917525:DNM917525 DDJ917525:DDQ917525 CTN917525:CTU917525 CJR917525:CJY917525 BZV917525:CAC917525 BPZ917525:BQG917525 BGD917525:BGK917525 AWH917525:AWO917525 AML917525:AMS917525 ACP917525:ACW917525 ST917525:TA917525 IX917525:JE917525 B917525:I917525 WVJ851989:WVQ851989 WLN851989:WLU851989 WBR851989:WBY851989 VRV851989:VSC851989 VHZ851989:VIG851989 UYD851989:UYK851989 UOH851989:UOO851989 UEL851989:UES851989 TUP851989:TUW851989 TKT851989:TLA851989 TAX851989:TBE851989 SRB851989:SRI851989 SHF851989:SHM851989 RXJ851989:RXQ851989 RNN851989:RNU851989 RDR851989:RDY851989 QTV851989:QUC851989 QJZ851989:QKG851989 QAD851989:QAK851989 PQH851989:PQO851989 PGL851989:PGS851989 OWP851989:OWW851989 OMT851989:ONA851989 OCX851989:ODE851989 NTB851989:NTI851989 NJF851989:NJM851989 MZJ851989:MZQ851989 MPN851989:MPU851989 MFR851989:MFY851989 LVV851989:LWC851989 LLZ851989:LMG851989 LCD851989:LCK851989 KSH851989:KSO851989 KIL851989:KIS851989 JYP851989:JYW851989 JOT851989:JPA851989 JEX851989:JFE851989 IVB851989:IVI851989 ILF851989:ILM851989 IBJ851989:IBQ851989 HRN851989:HRU851989 HHR851989:HHY851989 GXV851989:GYC851989 GNZ851989:GOG851989 GED851989:GEK851989 FUH851989:FUO851989 FKL851989:FKS851989 FAP851989:FAW851989 EQT851989:ERA851989 EGX851989:EHE851989 DXB851989:DXI851989 DNF851989:DNM851989 DDJ851989:DDQ851989 CTN851989:CTU851989 CJR851989:CJY851989 BZV851989:CAC851989 BPZ851989:BQG851989 BGD851989:BGK851989 AWH851989:AWO851989 AML851989:AMS851989 ACP851989:ACW851989 ST851989:TA851989 IX851989:JE851989 B851989:I851989 WVJ786453:WVQ786453 WLN786453:WLU786453 WBR786453:WBY786453 VRV786453:VSC786453 VHZ786453:VIG786453 UYD786453:UYK786453 UOH786453:UOO786453 UEL786453:UES786453 TUP786453:TUW786453 TKT786453:TLA786453 TAX786453:TBE786453 SRB786453:SRI786453 SHF786453:SHM786453 RXJ786453:RXQ786453 RNN786453:RNU786453 RDR786453:RDY786453 QTV786453:QUC786453 QJZ786453:QKG786453 QAD786453:QAK786453 PQH786453:PQO786453 PGL786453:PGS786453 OWP786453:OWW786453 OMT786453:ONA786453 OCX786453:ODE786453 NTB786453:NTI786453 NJF786453:NJM786453 MZJ786453:MZQ786453 MPN786453:MPU786453 MFR786453:MFY786453 LVV786453:LWC786453 LLZ786453:LMG786453 LCD786453:LCK786453 KSH786453:KSO786453 KIL786453:KIS786453 JYP786453:JYW786453 JOT786453:JPA786453 JEX786453:JFE786453 IVB786453:IVI786453 ILF786453:ILM786453 IBJ786453:IBQ786453 HRN786453:HRU786453 HHR786453:HHY786453 GXV786453:GYC786453 GNZ786453:GOG786453 GED786453:GEK786453 FUH786453:FUO786453 FKL786453:FKS786453 FAP786453:FAW786453 EQT786453:ERA786453 EGX786453:EHE786453 DXB786453:DXI786453 DNF786453:DNM786453 DDJ786453:DDQ786453 CTN786453:CTU786453 CJR786453:CJY786453 BZV786453:CAC786453 BPZ786453:BQG786453 BGD786453:BGK786453 AWH786453:AWO786453 AML786453:AMS786453 ACP786453:ACW786453 ST786453:TA786453 IX786453:JE786453 B786453:I786453 WVJ720917:WVQ720917 WLN720917:WLU720917 WBR720917:WBY720917 VRV720917:VSC720917 VHZ720917:VIG720917 UYD720917:UYK720917 UOH720917:UOO720917 UEL720917:UES720917 TUP720917:TUW720917 TKT720917:TLA720917 TAX720917:TBE720917 SRB720917:SRI720917 SHF720917:SHM720917 RXJ720917:RXQ720917 RNN720917:RNU720917 RDR720917:RDY720917 QTV720917:QUC720917 QJZ720917:QKG720917 QAD720917:QAK720917 PQH720917:PQO720917 PGL720917:PGS720917 OWP720917:OWW720917 OMT720917:ONA720917 OCX720917:ODE720917 NTB720917:NTI720917 NJF720917:NJM720917 MZJ720917:MZQ720917 MPN720917:MPU720917 MFR720917:MFY720917 LVV720917:LWC720917 LLZ720917:LMG720917 LCD720917:LCK720917 KSH720917:KSO720917 KIL720917:KIS720917 JYP720917:JYW720917 JOT720917:JPA720917 JEX720917:JFE720917 IVB720917:IVI720917 ILF720917:ILM720917 IBJ720917:IBQ720917 HRN720917:HRU720917 HHR720917:HHY720917 GXV720917:GYC720917 GNZ720917:GOG720917 GED720917:GEK720917 FUH720917:FUO720917 FKL720917:FKS720917 FAP720917:FAW720917 EQT720917:ERA720917 EGX720917:EHE720917 DXB720917:DXI720917 DNF720917:DNM720917 DDJ720917:DDQ720917 CTN720917:CTU720917 CJR720917:CJY720917 BZV720917:CAC720917 BPZ720917:BQG720917 BGD720917:BGK720917 AWH720917:AWO720917 AML720917:AMS720917 ACP720917:ACW720917 ST720917:TA720917 IX720917:JE720917 B720917:I720917 WVJ655381:WVQ655381 WLN655381:WLU655381 WBR655381:WBY655381 VRV655381:VSC655381 VHZ655381:VIG655381 UYD655381:UYK655381 UOH655381:UOO655381 UEL655381:UES655381 TUP655381:TUW655381 TKT655381:TLA655381 TAX655381:TBE655381 SRB655381:SRI655381 SHF655381:SHM655381 RXJ655381:RXQ655381 RNN655381:RNU655381 RDR655381:RDY655381 QTV655381:QUC655381 QJZ655381:QKG655381 QAD655381:QAK655381 PQH655381:PQO655381 PGL655381:PGS655381 OWP655381:OWW655381 OMT655381:ONA655381 OCX655381:ODE655381 NTB655381:NTI655381 NJF655381:NJM655381 MZJ655381:MZQ655381 MPN655381:MPU655381 MFR655381:MFY655381 LVV655381:LWC655381 LLZ655381:LMG655381 LCD655381:LCK655381 KSH655381:KSO655381 KIL655381:KIS655381 JYP655381:JYW655381 JOT655381:JPA655381 JEX655381:JFE655381 IVB655381:IVI655381 ILF655381:ILM655381 IBJ655381:IBQ655381 HRN655381:HRU655381 HHR655381:HHY655381 GXV655381:GYC655381 GNZ655381:GOG655381 GED655381:GEK655381 FUH655381:FUO655381 FKL655381:FKS655381 FAP655381:FAW655381 EQT655381:ERA655381 EGX655381:EHE655381 DXB655381:DXI655381 DNF655381:DNM655381 DDJ655381:DDQ655381 CTN655381:CTU655381 CJR655381:CJY655381 BZV655381:CAC655381 BPZ655381:BQG655381 BGD655381:BGK655381 AWH655381:AWO655381 AML655381:AMS655381 ACP655381:ACW655381 ST655381:TA655381 IX655381:JE655381 B655381:I655381 WVJ589845:WVQ589845 WLN589845:WLU589845 WBR589845:WBY589845 VRV589845:VSC589845 VHZ589845:VIG589845 UYD589845:UYK589845 UOH589845:UOO589845 UEL589845:UES589845 TUP589845:TUW589845 TKT589845:TLA589845 TAX589845:TBE589845 SRB589845:SRI589845 SHF589845:SHM589845 RXJ589845:RXQ589845 RNN589845:RNU589845 RDR589845:RDY589845 QTV589845:QUC589845 QJZ589845:QKG589845 QAD589845:QAK589845 PQH589845:PQO589845 PGL589845:PGS589845 OWP589845:OWW589845 OMT589845:ONA589845 OCX589845:ODE589845 NTB589845:NTI589845 NJF589845:NJM589845 MZJ589845:MZQ589845 MPN589845:MPU589845 MFR589845:MFY589845 LVV589845:LWC589845 LLZ589845:LMG589845 LCD589845:LCK589845 KSH589845:KSO589845 KIL589845:KIS589845 JYP589845:JYW589845 JOT589845:JPA589845 JEX589845:JFE589845 IVB589845:IVI589845 ILF589845:ILM589845 IBJ589845:IBQ589845 HRN589845:HRU589845 HHR589845:HHY589845 GXV589845:GYC589845 GNZ589845:GOG589845 GED589845:GEK589845 FUH589845:FUO589845 FKL589845:FKS589845 FAP589845:FAW589845 EQT589845:ERA589845 EGX589845:EHE589845 DXB589845:DXI589845 DNF589845:DNM589845 DDJ589845:DDQ589845 CTN589845:CTU589845 CJR589845:CJY589845 BZV589845:CAC589845 BPZ589845:BQG589845 BGD589845:BGK589845 AWH589845:AWO589845 AML589845:AMS589845 ACP589845:ACW589845 ST589845:TA589845 IX589845:JE589845 B589845:I589845 WVJ524309:WVQ524309 WLN524309:WLU524309 WBR524309:WBY524309 VRV524309:VSC524309 VHZ524309:VIG524309 UYD524309:UYK524309 UOH524309:UOO524309 UEL524309:UES524309 TUP524309:TUW524309 TKT524309:TLA524309 TAX524309:TBE524309 SRB524309:SRI524309 SHF524309:SHM524309 RXJ524309:RXQ524309 RNN524309:RNU524309 RDR524309:RDY524309 QTV524309:QUC524309 QJZ524309:QKG524309 QAD524309:QAK524309 PQH524309:PQO524309 PGL524309:PGS524309 OWP524309:OWW524309 OMT524309:ONA524309 OCX524309:ODE524309 NTB524309:NTI524309 NJF524309:NJM524309 MZJ524309:MZQ524309 MPN524309:MPU524309 MFR524309:MFY524309 LVV524309:LWC524309 LLZ524309:LMG524309 LCD524309:LCK524309 KSH524309:KSO524309 KIL524309:KIS524309 JYP524309:JYW524309 JOT524309:JPA524309 JEX524309:JFE524309 IVB524309:IVI524309 ILF524309:ILM524309 IBJ524309:IBQ524309 HRN524309:HRU524309 HHR524309:HHY524309 GXV524309:GYC524309 GNZ524309:GOG524309 GED524309:GEK524309 FUH524309:FUO524309 FKL524309:FKS524309 FAP524309:FAW524309 EQT524309:ERA524309 EGX524309:EHE524309 DXB524309:DXI524309 DNF524309:DNM524309 DDJ524309:DDQ524309 CTN524309:CTU524309 CJR524309:CJY524309 BZV524309:CAC524309 BPZ524309:BQG524309 BGD524309:BGK524309 AWH524309:AWO524309 AML524309:AMS524309 ACP524309:ACW524309 ST524309:TA524309 IX524309:JE524309 B524309:I524309 WVJ458773:WVQ458773 WLN458773:WLU458773 WBR458773:WBY458773 VRV458773:VSC458773 VHZ458773:VIG458773 UYD458773:UYK458773 UOH458773:UOO458773 UEL458773:UES458773 TUP458773:TUW458773 TKT458773:TLA458773 TAX458773:TBE458773 SRB458773:SRI458773 SHF458773:SHM458773 RXJ458773:RXQ458773 RNN458773:RNU458773 RDR458773:RDY458773 QTV458773:QUC458773 QJZ458773:QKG458773 QAD458773:QAK458773 PQH458773:PQO458773 PGL458773:PGS458773 OWP458773:OWW458773 OMT458773:ONA458773 OCX458773:ODE458773 NTB458773:NTI458773 NJF458773:NJM458773 MZJ458773:MZQ458773 MPN458773:MPU458773 MFR458773:MFY458773 LVV458773:LWC458773 LLZ458773:LMG458773 LCD458773:LCK458773 KSH458773:KSO458773 KIL458773:KIS458773 JYP458773:JYW458773 JOT458773:JPA458773 JEX458773:JFE458773 IVB458773:IVI458773 ILF458773:ILM458773 IBJ458773:IBQ458773 HRN458773:HRU458773 HHR458773:HHY458773 GXV458773:GYC458773 GNZ458773:GOG458773 GED458773:GEK458773 FUH458773:FUO458773 FKL458773:FKS458773 FAP458773:FAW458773 EQT458773:ERA458773 EGX458773:EHE458773 DXB458773:DXI458773 DNF458773:DNM458773 DDJ458773:DDQ458773 CTN458773:CTU458773 CJR458773:CJY458773 BZV458773:CAC458773 BPZ458773:BQG458773 BGD458773:BGK458773 AWH458773:AWO458773 AML458773:AMS458773 ACP458773:ACW458773 ST458773:TA458773 IX458773:JE458773 B458773:I458773 WVJ393237:WVQ393237 WLN393237:WLU393237 WBR393237:WBY393237 VRV393237:VSC393237 VHZ393237:VIG393237 UYD393237:UYK393237 UOH393237:UOO393237 UEL393237:UES393237 TUP393237:TUW393237 TKT393237:TLA393237 TAX393237:TBE393237 SRB393237:SRI393237 SHF393237:SHM393237 RXJ393237:RXQ393237 RNN393237:RNU393237 RDR393237:RDY393237 QTV393237:QUC393237 QJZ393237:QKG393237 QAD393237:QAK393237 PQH393237:PQO393237 PGL393237:PGS393237 OWP393237:OWW393237 OMT393237:ONA393237 OCX393237:ODE393237 NTB393237:NTI393237 NJF393237:NJM393237 MZJ393237:MZQ393237 MPN393237:MPU393237 MFR393237:MFY393237 LVV393237:LWC393237 LLZ393237:LMG393237 LCD393237:LCK393237 KSH393237:KSO393237 KIL393237:KIS393237 JYP393237:JYW393237 JOT393237:JPA393237 JEX393237:JFE393237 IVB393237:IVI393237 ILF393237:ILM393237 IBJ393237:IBQ393237 HRN393237:HRU393237 HHR393237:HHY393237 GXV393237:GYC393237 GNZ393237:GOG393237 GED393237:GEK393237 FUH393237:FUO393237 FKL393237:FKS393237 FAP393237:FAW393237 EQT393237:ERA393237 EGX393237:EHE393237 DXB393237:DXI393237 DNF393237:DNM393237 DDJ393237:DDQ393237 CTN393237:CTU393237 CJR393237:CJY393237 BZV393237:CAC393237 BPZ393237:BQG393237 BGD393237:BGK393237 AWH393237:AWO393237 AML393237:AMS393237 ACP393237:ACW393237 ST393237:TA393237 IX393237:JE393237 B393237:I393237 WVJ327701:WVQ327701 WLN327701:WLU327701 WBR327701:WBY327701 VRV327701:VSC327701 VHZ327701:VIG327701 UYD327701:UYK327701 UOH327701:UOO327701 UEL327701:UES327701 TUP327701:TUW327701 TKT327701:TLA327701 TAX327701:TBE327701 SRB327701:SRI327701 SHF327701:SHM327701 RXJ327701:RXQ327701 RNN327701:RNU327701 RDR327701:RDY327701 QTV327701:QUC327701 QJZ327701:QKG327701 QAD327701:QAK327701 PQH327701:PQO327701 PGL327701:PGS327701 OWP327701:OWW327701 OMT327701:ONA327701 OCX327701:ODE327701 NTB327701:NTI327701 NJF327701:NJM327701 MZJ327701:MZQ327701 MPN327701:MPU327701 MFR327701:MFY327701 LVV327701:LWC327701 LLZ327701:LMG327701 LCD327701:LCK327701 KSH327701:KSO327701 KIL327701:KIS327701 JYP327701:JYW327701 JOT327701:JPA327701 JEX327701:JFE327701 IVB327701:IVI327701 ILF327701:ILM327701 IBJ327701:IBQ327701 HRN327701:HRU327701 HHR327701:HHY327701 GXV327701:GYC327701 GNZ327701:GOG327701 GED327701:GEK327701 FUH327701:FUO327701 FKL327701:FKS327701 FAP327701:FAW327701 EQT327701:ERA327701 EGX327701:EHE327701 DXB327701:DXI327701 DNF327701:DNM327701 DDJ327701:DDQ327701 CTN327701:CTU327701 CJR327701:CJY327701 BZV327701:CAC327701 BPZ327701:BQG327701 BGD327701:BGK327701 AWH327701:AWO327701 AML327701:AMS327701 ACP327701:ACW327701 ST327701:TA327701 IX327701:JE327701 B327701:I327701 WVJ262165:WVQ262165 WLN262165:WLU262165 WBR262165:WBY262165 VRV262165:VSC262165 VHZ262165:VIG262165 UYD262165:UYK262165 UOH262165:UOO262165 UEL262165:UES262165 TUP262165:TUW262165 TKT262165:TLA262165 TAX262165:TBE262165 SRB262165:SRI262165 SHF262165:SHM262165 RXJ262165:RXQ262165 RNN262165:RNU262165 RDR262165:RDY262165 QTV262165:QUC262165 QJZ262165:QKG262165 QAD262165:QAK262165 PQH262165:PQO262165 PGL262165:PGS262165 OWP262165:OWW262165 OMT262165:ONA262165 OCX262165:ODE262165 NTB262165:NTI262165 NJF262165:NJM262165 MZJ262165:MZQ262165 MPN262165:MPU262165 MFR262165:MFY262165 LVV262165:LWC262165 LLZ262165:LMG262165 LCD262165:LCK262165 KSH262165:KSO262165 KIL262165:KIS262165 JYP262165:JYW262165 JOT262165:JPA262165 JEX262165:JFE262165 IVB262165:IVI262165 ILF262165:ILM262165 IBJ262165:IBQ262165 HRN262165:HRU262165 HHR262165:HHY262165 GXV262165:GYC262165 GNZ262165:GOG262165 GED262165:GEK262165 FUH262165:FUO262165 FKL262165:FKS262165 FAP262165:FAW262165 EQT262165:ERA262165 EGX262165:EHE262165 DXB262165:DXI262165 DNF262165:DNM262165 DDJ262165:DDQ262165 CTN262165:CTU262165 CJR262165:CJY262165 BZV262165:CAC262165 BPZ262165:BQG262165 BGD262165:BGK262165 AWH262165:AWO262165 AML262165:AMS262165 ACP262165:ACW262165 ST262165:TA262165 IX262165:JE262165 B262165:I262165 WVJ196629:WVQ196629 WLN196629:WLU196629 WBR196629:WBY196629 VRV196629:VSC196629 VHZ196629:VIG196629 UYD196629:UYK196629 UOH196629:UOO196629 UEL196629:UES196629 TUP196629:TUW196629 TKT196629:TLA196629 TAX196629:TBE196629 SRB196629:SRI196629 SHF196629:SHM196629 RXJ196629:RXQ196629 RNN196629:RNU196629 RDR196629:RDY196629 QTV196629:QUC196629 QJZ196629:QKG196629 QAD196629:QAK196629 PQH196629:PQO196629 PGL196629:PGS196629 OWP196629:OWW196629 OMT196629:ONA196629 OCX196629:ODE196629 NTB196629:NTI196629 NJF196629:NJM196629 MZJ196629:MZQ196629 MPN196629:MPU196629 MFR196629:MFY196629 LVV196629:LWC196629 LLZ196629:LMG196629 LCD196629:LCK196629 KSH196629:KSO196629 KIL196629:KIS196629 JYP196629:JYW196629 JOT196629:JPA196629 JEX196629:JFE196629 IVB196629:IVI196629 ILF196629:ILM196629 IBJ196629:IBQ196629 HRN196629:HRU196629 HHR196629:HHY196629 GXV196629:GYC196629 GNZ196629:GOG196629 GED196629:GEK196629 FUH196629:FUO196629 FKL196629:FKS196629 FAP196629:FAW196629 EQT196629:ERA196629 EGX196629:EHE196629 DXB196629:DXI196629 DNF196629:DNM196629 DDJ196629:DDQ196629 CTN196629:CTU196629 CJR196629:CJY196629 BZV196629:CAC196629 BPZ196629:BQG196629 BGD196629:BGK196629 AWH196629:AWO196629 AML196629:AMS196629 ACP196629:ACW196629 ST196629:TA196629 IX196629:JE196629 B196629:I196629 WVJ131093:WVQ131093 WLN131093:WLU131093 WBR131093:WBY131093 VRV131093:VSC131093 VHZ131093:VIG131093 UYD131093:UYK131093 UOH131093:UOO131093 UEL131093:UES131093 TUP131093:TUW131093 TKT131093:TLA131093 TAX131093:TBE131093 SRB131093:SRI131093 SHF131093:SHM131093 RXJ131093:RXQ131093 RNN131093:RNU131093 RDR131093:RDY131093 QTV131093:QUC131093 QJZ131093:QKG131093 QAD131093:QAK131093 PQH131093:PQO131093 PGL131093:PGS131093 OWP131093:OWW131093 OMT131093:ONA131093 OCX131093:ODE131093 NTB131093:NTI131093 NJF131093:NJM131093 MZJ131093:MZQ131093 MPN131093:MPU131093 MFR131093:MFY131093 LVV131093:LWC131093 LLZ131093:LMG131093 LCD131093:LCK131093 KSH131093:KSO131093 KIL131093:KIS131093 JYP131093:JYW131093 JOT131093:JPA131093 JEX131093:JFE131093 IVB131093:IVI131093 ILF131093:ILM131093 IBJ131093:IBQ131093 HRN131093:HRU131093 HHR131093:HHY131093 GXV131093:GYC131093 GNZ131093:GOG131093 GED131093:GEK131093 FUH131093:FUO131093 FKL131093:FKS131093 FAP131093:FAW131093 EQT131093:ERA131093 EGX131093:EHE131093 DXB131093:DXI131093 DNF131093:DNM131093 DDJ131093:DDQ131093 CTN131093:CTU131093 CJR131093:CJY131093 BZV131093:CAC131093 BPZ131093:BQG131093 BGD131093:BGK131093 AWH131093:AWO131093 AML131093:AMS131093 ACP131093:ACW131093 ST131093:TA131093 IX131093:JE131093 B131093:I131093 WVJ65557:WVQ65557 WLN65557:WLU65557 WBR65557:WBY65557 VRV65557:VSC65557 VHZ65557:VIG65557 UYD65557:UYK65557 UOH65557:UOO65557 UEL65557:UES65557 TUP65557:TUW65557 TKT65557:TLA65557 TAX65557:TBE65557 SRB65557:SRI65557 SHF65557:SHM65557 RXJ65557:RXQ65557 RNN65557:RNU65557 RDR65557:RDY65557 QTV65557:QUC65557 QJZ65557:QKG65557 QAD65557:QAK65557 PQH65557:PQO65557 PGL65557:PGS65557 OWP65557:OWW65557 OMT65557:ONA65557 OCX65557:ODE65557 NTB65557:NTI65557 NJF65557:NJM65557 MZJ65557:MZQ65557 MPN65557:MPU65557 MFR65557:MFY65557 LVV65557:LWC65557 LLZ65557:LMG65557 LCD65557:LCK65557 KSH65557:KSO65557 KIL65557:KIS65557 JYP65557:JYW65557 JOT65557:JPA65557 JEX65557:JFE65557 IVB65557:IVI65557 ILF65557:ILM65557 IBJ65557:IBQ65557 HRN65557:HRU65557 HHR65557:HHY65557 GXV65557:GYC65557 GNZ65557:GOG65557 GED65557:GEK65557 FUH65557:FUO65557 FKL65557:FKS65557 FAP65557:FAW65557 EQT65557:ERA65557 EGX65557:EHE65557 DXB65557:DXI65557 DNF65557:DNM65557 DDJ65557:DDQ65557 CTN65557:CTU65557 CJR65557:CJY65557 BZV65557:CAC65557 BPZ65557:BQG65557 BGD65557:BGK65557 AWH65557:AWO65557 AML65557:AMS65557 ACP65557:ACW65557 ST65557:TA65557 IX65557:JE65557 B65557:I65557 WVJ17:WVQ17 WLN17:WLU17 WBR17:WBY17 VRV17:VSC17 VHZ17:VIG17 UYD17:UYK17 UOH17:UOO17 UEL17:UES17 TUP17:TUW17 TKT17:TLA17 TAX17:TBE17 SRB17:SRI17 SHF17:SHM17 RXJ17:RXQ17 RNN17:RNU17 RDR17:RDY17 QTV17:QUC17 QJZ17:QKG17 QAD17:QAK17 PQH17:PQO17 PGL17:PGS17 OWP17:OWW17 OMT17:ONA17 OCX17:ODE17 NTB17:NTI17 NJF17:NJM17 MZJ17:MZQ17 MPN17:MPU17 MFR17:MFY17 LVV17:LWC17 LLZ17:LMG17 LCD17:LCK17 KSH17:KSO17 KIL17:KIS17 JYP17:JYW17 JOT17:JPA17 JEX17:JFE17 IVB17:IVI17 ILF17:ILM17 IBJ17:IBQ17 HRN17:HRU17 HHR17:HHY17 GXV17:GYC17 GNZ17:GOG17 GED17:GEK17 FUH17:FUO17 FKL17:FKS17 FAP17:FAW17 EQT17:ERA17 EGX17:EHE17 DXB17:DXI17 DNF17:DNM17 DDJ17:DDQ17 CTN17:CTU17 CJR17:CJY17 BZV17:CAC17 BPZ17:BQG17 BGD17:BGK17 AWH17:AWO17 AML17:AMS17 ACP17:ACW17 ST17:TA17 IX17:JE17">
      <formula1>$K$126:$K$131</formula1>
    </dataValidation>
    <dataValidation type="list" allowBlank="1" showInputMessage="1" showErrorMessage="1" error="Please Select fromt he drop-down list." promptTitle="Data Type" prompt="Please select DateTime, Number or Text from the drop-down list." sqref="C126:C338 WVK983166:WVK983378 WLO983166:WLO983378 WBS983166:WBS983378 VRW983166:VRW983378 VIA983166:VIA983378 UYE983166:UYE983378 UOI983166:UOI983378 UEM983166:UEM983378 TUQ983166:TUQ983378 TKU983166:TKU983378 TAY983166:TAY983378 SRC983166:SRC983378 SHG983166:SHG983378 RXK983166:RXK983378 RNO983166:RNO983378 RDS983166:RDS983378 QTW983166:QTW983378 QKA983166:QKA983378 QAE983166:QAE983378 PQI983166:PQI983378 PGM983166:PGM983378 OWQ983166:OWQ983378 OMU983166:OMU983378 OCY983166:OCY983378 NTC983166:NTC983378 NJG983166:NJG983378 MZK983166:MZK983378 MPO983166:MPO983378 MFS983166:MFS983378 LVW983166:LVW983378 LMA983166:LMA983378 LCE983166:LCE983378 KSI983166:KSI983378 KIM983166:KIM983378 JYQ983166:JYQ983378 JOU983166:JOU983378 JEY983166:JEY983378 IVC983166:IVC983378 ILG983166:ILG983378 IBK983166:IBK983378 HRO983166:HRO983378 HHS983166:HHS983378 GXW983166:GXW983378 GOA983166:GOA983378 GEE983166:GEE983378 FUI983166:FUI983378 FKM983166:FKM983378 FAQ983166:FAQ983378 EQU983166:EQU983378 EGY983166:EGY983378 DXC983166:DXC983378 DNG983166:DNG983378 DDK983166:DDK983378 CTO983166:CTO983378 CJS983166:CJS983378 BZW983166:BZW983378 BQA983166:BQA983378 BGE983166:BGE983378 AWI983166:AWI983378 AMM983166:AMM983378 ACQ983166:ACQ983378 SU983166:SU983378 IY983166:IY983378 C983166:C983378 WVK917630:WVK917842 WLO917630:WLO917842 WBS917630:WBS917842 VRW917630:VRW917842 VIA917630:VIA917842 UYE917630:UYE917842 UOI917630:UOI917842 UEM917630:UEM917842 TUQ917630:TUQ917842 TKU917630:TKU917842 TAY917630:TAY917842 SRC917630:SRC917842 SHG917630:SHG917842 RXK917630:RXK917842 RNO917630:RNO917842 RDS917630:RDS917842 QTW917630:QTW917842 QKA917630:QKA917842 QAE917630:QAE917842 PQI917630:PQI917842 PGM917630:PGM917842 OWQ917630:OWQ917842 OMU917630:OMU917842 OCY917630:OCY917842 NTC917630:NTC917842 NJG917630:NJG917842 MZK917630:MZK917842 MPO917630:MPO917842 MFS917630:MFS917842 LVW917630:LVW917842 LMA917630:LMA917842 LCE917630:LCE917842 KSI917630:KSI917842 KIM917630:KIM917842 JYQ917630:JYQ917842 JOU917630:JOU917842 JEY917630:JEY917842 IVC917630:IVC917842 ILG917630:ILG917842 IBK917630:IBK917842 HRO917630:HRO917842 HHS917630:HHS917842 GXW917630:GXW917842 GOA917630:GOA917842 GEE917630:GEE917842 FUI917630:FUI917842 FKM917630:FKM917842 FAQ917630:FAQ917842 EQU917630:EQU917842 EGY917630:EGY917842 DXC917630:DXC917842 DNG917630:DNG917842 DDK917630:DDK917842 CTO917630:CTO917842 CJS917630:CJS917842 BZW917630:BZW917842 BQA917630:BQA917842 BGE917630:BGE917842 AWI917630:AWI917842 AMM917630:AMM917842 ACQ917630:ACQ917842 SU917630:SU917842 IY917630:IY917842 C917630:C917842 WVK852094:WVK852306 WLO852094:WLO852306 WBS852094:WBS852306 VRW852094:VRW852306 VIA852094:VIA852306 UYE852094:UYE852306 UOI852094:UOI852306 UEM852094:UEM852306 TUQ852094:TUQ852306 TKU852094:TKU852306 TAY852094:TAY852306 SRC852094:SRC852306 SHG852094:SHG852306 RXK852094:RXK852306 RNO852094:RNO852306 RDS852094:RDS852306 QTW852094:QTW852306 QKA852094:QKA852306 QAE852094:QAE852306 PQI852094:PQI852306 PGM852094:PGM852306 OWQ852094:OWQ852306 OMU852094:OMU852306 OCY852094:OCY852306 NTC852094:NTC852306 NJG852094:NJG852306 MZK852094:MZK852306 MPO852094:MPO852306 MFS852094:MFS852306 LVW852094:LVW852306 LMA852094:LMA852306 LCE852094:LCE852306 KSI852094:KSI852306 KIM852094:KIM852306 JYQ852094:JYQ852306 JOU852094:JOU852306 JEY852094:JEY852306 IVC852094:IVC852306 ILG852094:ILG852306 IBK852094:IBK852306 HRO852094:HRO852306 HHS852094:HHS852306 GXW852094:GXW852306 GOA852094:GOA852306 GEE852094:GEE852306 FUI852094:FUI852306 FKM852094:FKM852306 FAQ852094:FAQ852306 EQU852094:EQU852306 EGY852094:EGY852306 DXC852094:DXC852306 DNG852094:DNG852306 DDK852094:DDK852306 CTO852094:CTO852306 CJS852094:CJS852306 BZW852094:BZW852306 BQA852094:BQA852306 BGE852094:BGE852306 AWI852094:AWI852306 AMM852094:AMM852306 ACQ852094:ACQ852306 SU852094:SU852306 IY852094:IY852306 C852094:C852306 WVK786558:WVK786770 WLO786558:WLO786770 WBS786558:WBS786770 VRW786558:VRW786770 VIA786558:VIA786770 UYE786558:UYE786770 UOI786558:UOI786770 UEM786558:UEM786770 TUQ786558:TUQ786770 TKU786558:TKU786770 TAY786558:TAY786770 SRC786558:SRC786770 SHG786558:SHG786770 RXK786558:RXK786770 RNO786558:RNO786770 RDS786558:RDS786770 QTW786558:QTW786770 QKA786558:QKA786770 QAE786558:QAE786770 PQI786558:PQI786770 PGM786558:PGM786770 OWQ786558:OWQ786770 OMU786558:OMU786770 OCY786558:OCY786770 NTC786558:NTC786770 NJG786558:NJG786770 MZK786558:MZK786770 MPO786558:MPO786770 MFS786558:MFS786770 LVW786558:LVW786770 LMA786558:LMA786770 LCE786558:LCE786770 KSI786558:KSI786770 KIM786558:KIM786770 JYQ786558:JYQ786770 JOU786558:JOU786770 JEY786558:JEY786770 IVC786558:IVC786770 ILG786558:ILG786770 IBK786558:IBK786770 HRO786558:HRO786770 HHS786558:HHS786770 GXW786558:GXW786770 GOA786558:GOA786770 GEE786558:GEE786770 FUI786558:FUI786770 FKM786558:FKM786770 FAQ786558:FAQ786770 EQU786558:EQU786770 EGY786558:EGY786770 DXC786558:DXC786770 DNG786558:DNG786770 DDK786558:DDK786770 CTO786558:CTO786770 CJS786558:CJS786770 BZW786558:BZW786770 BQA786558:BQA786770 BGE786558:BGE786770 AWI786558:AWI786770 AMM786558:AMM786770 ACQ786558:ACQ786770 SU786558:SU786770 IY786558:IY786770 C786558:C786770 WVK721022:WVK721234 WLO721022:WLO721234 WBS721022:WBS721234 VRW721022:VRW721234 VIA721022:VIA721234 UYE721022:UYE721234 UOI721022:UOI721234 UEM721022:UEM721234 TUQ721022:TUQ721234 TKU721022:TKU721234 TAY721022:TAY721234 SRC721022:SRC721234 SHG721022:SHG721234 RXK721022:RXK721234 RNO721022:RNO721234 RDS721022:RDS721234 QTW721022:QTW721234 QKA721022:QKA721234 QAE721022:QAE721234 PQI721022:PQI721234 PGM721022:PGM721234 OWQ721022:OWQ721234 OMU721022:OMU721234 OCY721022:OCY721234 NTC721022:NTC721234 NJG721022:NJG721234 MZK721022:MZK721234 MPO721022:MPO721234 MFS721022:MFS721234 LVW721022:LVW721234 LMA721022:LMA721234 LCE721022:LCE721234 KSI721022:KSI721234 KIM721022:KIM721234 JYQ721022:JYQ721234 JOU721022:JOU721234 JEY721022:JEY721234 IVC721022:IVC721234 ILG721022:ILG721234 IBK721022:IBK721234 HRO721022:HRO721234 HHS721022:HHS721234 GXW721022:GXW721234 GOA721022:GOA721234 GEE721022:GEE721234 FUI721022:FUI721234 FKM721022:FKM721234 FAQ721022:FAQ721234 EQU721022:EQU721234 EGY721022:EGY721234 DXC721022:DXC721234 DNG721022:DNG721234 DDK721022:DDK721234 CTO721022:CTO721234 CJS721022:CJS721234 BZW721022:BZW721234 BQA721022:BQA721234 BGE721022:BGE721234 AWI721022:AWI721234 AMM721022:AMM721234 ACQ721022:ACQ721234 SU721022:SU721234 IY721022:IY721234 C721022:C721234 WVK655486:WVK655698 WLO655486:WLO655698 WBS655486:WBS655698 VRW655486:VRW655698 VIA655486:VIA655698 UYE655486:UYE655698 UOI655486:UOI655698 UEM655486:UEM655698 TUQ655486:TUQ655698 TKU655486:TKU655698 TAY655486:TAY655698 SRC655486:SRC655698 SHG655486:SHG655698 RXK655486:RXK655698 RNO655486:RNO655698 RDS655486:RDS655698 QTW655486:QTW655698 QKA655486:QKA655698 QAE655486:QAE655698 PQI655486:PQI655698 PGM655486:PGM655698 OWQ655486:OWQ655698 OMU655486:OMU655698 OCY655486:OCY655698 NTC655486:NTC655698 NJG655486:NJG655698 MZK655486:MZK655698 MPO655486:MPO655698 MFS655486:MFS655698 LVW655486:LVW655698 LMA655486:LMA655698 LCE655486:LCE655698 KSI655486:KSI655698 KIM655486:KIM655698 JYQ655486:JYQ655698 JOU655486:JOU655698 JEY655486:JEY655698 IVC655486:IVC655698 ILG655486:ILG655698 IBK655486:IBK655698 HRO655486:HRO655698 HHS655486:HHS655698 GXW655486:GXW655698 GOA655486:GOA655698 GEE655486:GEE655698 FUI655486:FUI655698 FKM655486:FKM655698 FAQ655486:FAQ655698 EQU655486:EQU655698 EGY655486:EGY655698 DXC655486:DXC655698 DNG655486:DNG655698 DDK655486:DDK655698 CTO655486:CTO655698 CJS655486:CJS655698 BZW655486:BZW655698 BQA655486:BQA655698 BGE655486:BGE655698 AWI655486:AWI655698 AMM655486:AMM655698 ACQ655486:ACQ655698 SU655486:SU655698 IY655486:IY655698 C655486:C655698 WVK589950:WVK590162 WLO589950:WLO590162 WBS589950:WBS590162 VRW589950:VRW590162 VIA589950:VIA590162 UYE589950:UYE590162 UOI589950:UOI590162 UEM589950:UEM590162 TUQ589950:TUQ590162 TKU589950:TKU590162 TAY589950:TAY590162 SRC589950:SRC590162 SHG589950:SHG590162 RXK589950:RXK590162 RNO589950:RNO590162 RDS589950:RDS590162 QTW589950:QTW590162 QKA589950:QKA590162 QAE589950:QAE590162 PQI589950:PQI590162 PGM589950:PGM590162 OWQ589950:OWQ590162 OMU589950:OMU590162 OCY589950:OCY590162 NTC589950:NTC590162 NJG589950:NJG590162 MZK589950:MZK590162 MPO589950:MPO590162 MFS589950:MFS590162 LVW589950:LVW590162 LMA589950:LMA590162 LCE589950:LCE590162 KSI589950:KSI590162 KIM589950:KIM590162 JYQ589950:JYQ590162 JOU589950:JOU590162 JEY589950:JEY590162 IVC589950:IVC590162 ILG589950:ILG590162 IBK589950:IBK590162 HRO589950:HRO590162 HHS589950:HHS590162 GXW589950:GXW590162 GOA589950:GOA590162 GEE589950:GEE590162 FUI589950:FUI590162 FKM589950:FKM590162 FAQ589950:FAQ590162 EQU589950:EQU590162 EGY589950:EGY590162 DXC589950:DXC590162 DNG589950:DNG590162 DDK589950:DDK590162 CTO589950:CTO590162 CJS589950:CJS590162 BZW589950:BZW590162 BQA589950:BQA590162 BGE589950:BGE590162 AWI589950:AWI590162 AMM589950:AMM590162 ACQ589950:ACQ590162 SU589950:SU590162 IY589950:IY590162 C589950:C590162 WVK524414:WVK524626 WLO524414:WLO524626 WBS524414:WBS524626 VRW524414:VRW524626 VIA524414:VIA524626 UYE524414:UYE524626 UOI524414:UOI524626 UEM524414:UEM524626 TUQ524414:TUQ524626 TKU524414:TKU524626 TAY524414:TAY524626 SRC524414:SRC524626 SHG524414:SHG524626 RXK524414:RXK524626 RNO524414:RNO524626 RDS524414:RDS524626 QTW524414:QTW524626 QKA524414:QKA524626 QAE524414:QAE524626 PQI524414:PQI524626 PGM524414:PGM524626 OWQ524414:OWQ524626 OMU524414:OMU524626 OCY524414:OCY524626 NTC524414:NTC524626 NJG524414:NJG524626 MZK524414:MZK524626 MPO524414:MPO524626 MFS524414:MFS524626 LVW524414:LVW524626 LMA524414:LMA524626 LCE524414:LCE524626 KSI524414:KSI524626 KIM524414:KIM524626 JYQ524414:JYQ524626 JOU524414:JOU524626 JEY524414:JEY524626 IVC524414:IVC524626 ILG524414:ILG524626 IBK524414:IBK524626 HRO524414:HRO524626 HHS524414:HHS524626 GXW524414:GXW524626 GOA524414:GOA524626 GEE524414:GEE524626 FUI524414:FUI524626 FKM524414:FKM524626 FAQ524414:FAQ524626 EQU524414:EQU524626 EGY524414:EGY524626 DXC524414:DXC524626 DNG524414:DNG524626 DDK524414:DDK524626 CTO524414:CTO524626 CJS524414:CJS524626 BZW524414:BZW524626 BQA524414:BQA524626 BGE524414:BGE524626 AWI524414:AWI524626 AMM524414:AMM524626 ACQ524414:ACQ524626 SU524414:SU524626 IY524414:IY524626 C524414:C524626 WVK458878:WVK459090 WLO458878:WLO459090 WBS458878:WBS459090 VRW458878:VRW459090 VIA458878:VIA459090 UYE458878:UYE459090 UOI458878:UOI459090 UEM458878:UEM459090 TUQ458878:TUQ459090 TKU458878:TKU459090 TAY458878:TAY459090 SRC458878:SRC459090 SHG458878:SHG459090 RXK458878:RXK459090 RNO458878:RNO459090 RDS458878:RDS459090 QTW458878:QTW459090 QKA458878:QKA459090 QAE458878:QAE459090 PQI458878:PQI459090 PGM458878:PGM459090 OWQ458878:OWQ459090 OMU458878:OMU459090 OCY458878:OCY459090 NTC458878:NTC459090 NJG458878:NJG459090 MZK458878:MZK459090 MPO458878:MPO459090 MFS458878:MFS459090 LVW458878:LVW459090 LMA458878:LMA459090 LCE458878:LCE459090 KSI458878:KSI459090 KIM458878:KIM459090 JYQ458878:JYQ459090 JOU458878:JOU459090 JEY458878:JEY459090 IVC458878:IVC459090 ILG458878:ILG459090 IBK458878:IBK459090 HRO458878:HRO459090 HHS458878:HHS459090 GXW458878:GXW459090 GOA458878:GOA459090 GEE458878:GEE459090 FUI458878:FUI459090 FKM458878:FKM459090 FAQ458878:FAQ459090 EQU458878:EQU459090 EGY458878:EGY459090 DXC458878:DXC459090 DNG458878:DNG459090 DDK458878:DDK459090 CTO458878:CTO459090 CJS458878:CJS459090 BZW458878:BZW459090 BQA458878:BQA459090 BGE458878:BGE459090 AWI458878:AWI459090 AMM458878:AMM459090 ACQ458878:ACQ459090 SU458878:SU459090 IY458878:IY459090 C458878:C459090 WVK393342:WVK393554 WLO393342:WLO393554 WBS393342:WBS393554 VRW393342:VRW393554 VIA393342:VIA393554 UYE393342:UYE393554 UOI393342:UOI393554 UEM393342:UEM393554 TUQ393342:TUQ393554 TKU393342:TKU393554 TAY393342:TAY393554 SRC393342:SRC393554 SHG393342:SHG393554 RXK393342:RXK393554 RNO393342:RNO393554 RDS393342:RDS393554 QTW393342:QTW393554 QKA393342:QKA393554 QAE393342:QAE393554 PQI393342:PQI393554 PGM393342:PGM393554 OWQ393342:OWQ393554 OMU393342:OMU393554 OCY393342:OCY393554 NTC393342:NTC393554 NJG393342:NJG393554 MZK393342:MZK393554 MPO393342:MPO393554 MFS393342:MFS393554 LVW393342:LVW393554 LMA393342:LMA393554 LCE393342:LCE393554 KSI393342:KSI393554 KIM393342:KIM393554 JYQ393342:JYQ393554 JOU393342:JOU393554 JEY393342:JEY393554 IVC393342:IVC393554 ILG393342:ILG393554 IBK393342:IBK393554 HRO393342:HRO393554 HHS393342:HHS393554 GXW393342:GXW393554 GOA393342:GOA393554 GEE393342:GEE393554 FUI393342:FUI393554 FKM393342:FKM393554 FAQ393342:FAQ393554 EQU393342:EQU393554 EGY393342:EGY393554 DXC393342:DXC393554 DNG393342:DNG393554 DDK393342:DDK393554 CTO393342:CTO393554 CJS393342:CJS393554 BZW393342:BZW393554 BQA393342:BQA393554 BGE393342:BGE393554 AWI393342:AWI393554 AMM393342:AMM393554 ACQ393342:ACQ393554 SU393342:SU393554 IY393342:IY393554 C393342:C393554 WVK327806:WVK328018 WLO327806:WLO328018 WBS327806:WBS328018 VRW327806:VRW328018 VIA327806:VIA328018 UYE327806:UYE328018 UOI327806:UOI328018 UEM327806:UEM328018 TUQ327806:TUQ328018 TKU327806:TKU328018 TAY327806:TAY328018 SRC327806:SRC328018 SHG327806:SHG328018 RXK327806:RXK328018 RNO327806:RNO328018 RDS327806:RDS328018 QTW327806:QTW328018 QKA327806:QKA328018 QAE327806:QAE328018 PQI327806:PQI328018 PGM327806:PGM328018 OWQ327806:OWQ328018 OMU327806:OMU328018 OCY327806:OCY328018 NTC327806:NTC328018 NJG327806:NJG328018 MZK327806:MZK328018 MPO327806:MPO328018 MFS327806:MFS328018 LVW327806:LVW328018 LMA327806:LMA328018 LCE327806:LCE328018 KSI327806:KSI328018 KIM327806:KIM328018 JYQ327806:JYQ328018 JOU327806:JOU328018 JEY327806:JEY328018 IVC327806:IVC328018 ILG327806:ILG328018 IBK327806:IBK328018 HRO327806:HRO328018 HHS327806:HHS328018 GXW327806:GXW328018 GOA327806:GOA328018 GEE327806:GEE328018 FUI327806:FUI328018 FKM327806:FKM328018 FAQ327806:FAQ328018 EQU327806:EQU328018 EGY327806:EGY328018 DXC327806:DXC328018 DNG327806:DNG328018 DDK327806:DDK328018 CTO327806:CTO328018 CJS327806:CJS328018 BZW327806:BZW328018 BQA327806:BQA328018 BGE327806:BGE328018 AWI327806:AWI328018 AMM327806:AMM328018 ACQ327806:ACQ328018 SU327806:SU328018 IY327806:IY328018 C327806:C328018 WVK262270:WVK262482 WLO262270:WLO262482 WBS262270:WBS262482 VRW262270:VRW262482 VIA262270:VIA262482 UYE262270:UYE262482 UOI262270:UOI262482 UEM262270:UEM262482 TUQ262270:TUQ262482 TKU262270:TKU262482 TAY262270:TAY262482 SRC262270:SRC262482 SHG262270:SHG262482 RXK262270:RXK262482 RNO262270:RNO262482 RDS262270:RDS262482 QTW262270:QTW262482 QKA262270:QKA262482 QAE262270:QAE262482 PQI262270:PQI262482 PGM262270:PGM262482 OWQ262270:OWQ262482 OMU262270:OMU262482 OCY262270:OCY262482 NTC262270:NTC262482 NJG262270:NJG262482 MZK262270:MZK262482 MPO262270:MPO262482 MFS262270:MFS262482 LVW262270:LVW262482 LMA262270:LMA262482 LCE262270:LCE262482 KSI262270:KSI262482 KIM262270:KIM262482 JYQ262270:JYQ262482 JOU262270:JOU262482 JEY262270:JEY262482 IVC262270:IVC262482 ILG262270:ILG262482 IBK262270:IBK262482 HRO262270:HRO262482 HHS262270:HHS262482 GXW262270:GXW262482 GOA262270:GOA262482 GEE262270:GEE262482 FUI262270:FUI262482 FKM262270:FKM262482 FAQ262270:FAQ262482 EQU262270:EQU262482 EGY262270:EGY262482 DXC262270:DXC262482 DNG262270:DNG262482 DDK262270:DDK262482 CTO262270:CTO262482 CJS262270:CJS262482 BZW262270:BZW262482 BQA262270:BQA262482 BGE262270:BGE262482 AWI262270:AWI262482 AMM262270:AMM262482 ACQ262270:ACQ262482 SU262270:SU262482 IY262270:IY262482 C262270:C262482 WVK196734:WVK196946 WLO196734:WLO196946 WBS196734:WBS196946 VRW196734:VRW196946 VIA196734:VIA196946 UYE196734:UYE196946 UOI196734:UOI196946 UEM196734:UEM196946 TUQ196734:TUQ196946 TKU196734:TKU196946 TAY196734:TAY196946 SRC196734:SRC196946 SHG196734:SHG196946 RXK196734:RXK196946 RNO196734:RNO196946 RDS196734:RDS196946 QTW196734:QTW196946 QKA196734:QKA196946 QAE196734:QAE196946 PQI196734:PQI196946 PGM196734:PGM196946 OWQ196734:OWQ196946 OMU196734:OMU196946 OCY196734:OCY196946 NTC196734:NTC196946 NJG196734:NJG196946 MZK196734:MZK196946 MPO196734:MPO196946 MFS196734:MFS196946 LVW196734:LVW196946 LMA196734:LMA196946 LCE196734:LCE196946 KSI196734:KSI196946 KIM196734:KIM196946 JYQ196734:JYQ196946 JOU196734:JOU196946 JEY196734:JEY196946 IVC196734:IVC196946 ILG196734:ILG196946 IBK196734:IBK196946 HRO196734:HRO196946 HHS196734:HHS196946 GXW196734:GXW196946 GOA196734:GOA196946 GEE196734:GEE196946 FUI196734:FUI196946 FKM196734:FKM196946 FAQ196734:FAQ196946 EQU196734:EQU196946 EGY196734:EGY196946 DXC196734:DXC196946 DNG196734:DNG196946 DDK196734:DDK196946 CTO196734:CTO196946 CJS196734:CJS196946 BZW196734:BZW196946 BQA196734:BQA196946 BGE196734:BGE196946 AWI196734:AWI196946 AMM196734:AMM196946 ACQ196734:ACQ196946 SU196734:SU196946 IY196734:IY196946 C196734:C196946 WVK131198:WVK131410 WLO131198:WLO131410 WBS131198:WBS131410 VRW131198:VRW131410 VIA131198:VIA131410 UYE131198:UYE131410 UOI131198:UOI131410 UEM131198:UEM131410 TUQ131198:TUQ131410 TKU131198:TKU131410 TAY131198:TAY131410 SRC131198:SRC131410 SHG131198:SHG131410 RXK131198:RXK131410 RNO131198:RNO131410 RDS131198:RDS131410 QTW131198:QTW131410 QKA131198:QKA131410 QAE131198:QAE131410 PQI131198:PQI131410 PGM131198:PGM131410 OWQ131198:OWQ131410 OMU131198:OMU131410 OCY131198:OCY131410 NTC131198:NTC131410 NJG131198:NJG131410 MZK131198:MZK131410 MPO131198:MPO131410 MFS131198:MFS131410 LVW131198:LVW131410 LMA131198:LMA131410 LCE131198:LCE131410 KSI131198:KSI131410 KIM131198:KIM131410 JYQ131198:JYQ131410 JOU131198:JOU131410 JEY131198:JEY131410 IVC131198:IVC131410 ILG131198:ILG131410 IBK131198:IBK131410 HRO131198:HRO131410 HHS131198:HHS131410 GXW131198:GXW131410 GOA131198:GOA131410 GEE131198:GEE131410 FUI131198:FUI131410 FKM131198:FKM131410 FAQ131198:FAQ131410 EQU131198:EQU131410 EGY131198:EGY131410 DXC131198:DXC131410 DNG131198:DNG131410 DDK131198:DDK131410 CTO131198:CTO131410 CJS131198:CJS131410 BZW131198:BZW131410 BQA131198:BQA131410 BGE131198:BGE131410 AWI131198:AWI131410 AMM131198:AMM131410 ACQ131198:ACQ131410 SU131198:SU131410 IY131198:IY131410 C131198:C131410 WVK65662:WVK65874 WLO65662:WLO65874 WBS65662:WBS65874 VRW65662:VRW65874 VIA65662:VIA65874 UYE65662:UYE65874 UOI65662:UOI65874 UEM65662:UEM65874 TUQ65662:TUQ65874 TKU65662:TKU65874 TAY65662:TAY65874 SRC65662:SRC65874 SHG65662:SHG65874 RXK65662:RXK65874 RNO65662:RNO65874 RDS65662:RDS65874 QTW65662:QTW65874 QKA65662:QKA65874 QAE65662:QAE65874 PQI65662:PQI65874 PGM65662:PGM65874 OWQ65662:OWQ65874 OMU65662:OMU65874 OCY65662:OCY65874 NTC65662:NTC65874 NJG65662:NJG65874 MZK65662:MZK65874 MPO65662:MPO65874 MFS65662:MFS65874 LVW65662:LVW65874 LMA65662:LMA65874 LCE65662:LCE65874 KSI65662:KSI65874 KIM65662:KIM65874 JYQ65662:JYQ65874 JOU65662:JOU65874 JEY65662:JEY65874 IVC65662:IVC65874 ILG65662:ILG65874 IBK65662:IBK65874 HRO65662:HRO65874 HHS65662:HHS65874 GXW65662:GXW65874 GOA65662:GOA65874 GEE65662:GEE65874 FUI65662:FUI65874 FKM65662:FKM65874 FAQ65662:FAQ65874 EQU65662:EQU65874 EGY65662:EGY65874 DXC65662:DXC65874 DNG65662:DNG65874 DDK65662:DDK65874 CTO65662:CTO65874 CJS65662:CJS65874 BZW65662:BZW65874 BQA65662:BQA65874 BGE65662:BGE65874 AWI65662:AWI65874 AMM65662:AMM65874 ACQ65662:ACQ65874 SU65662:SU65874 IY65662:IY65874 C65662:C65874 WVK126:WVK338 WLO126:WLO338 WBS126:WBS338 VRW126:VRW338 VIA126:VIA338 UYE126:UYE338 UOI126:UOI338 UEM126:UEM338 TUQ126:TUQ338 TKU126:TKU338 TAY126:TAY338 SRC126:SRC338 SHG126:SHG338 RXK126:RXK338 RNO126:RNO338 RDS126:RDS338 QTW126:QTW338 QKA126:QKA338 QAE126:QAE338 PQI126:PQI338 PGM126:PGM338 OWQ126:OWQ338 OMU126:OMU338 OCY126:OCY338 NTC126:NTC338 NJG126:NJG338 MZK126:MZK338 MPO126:MPO338 MFS126:MFS338 LVW126:LVW338 LMA126:LMA338 LCE126:LCE338 KSI126:KSI338 KIM126:KIM338 JYQ126:JYQ338 JOU126:JOU338 JEY126:JEY338 IVC126:IVC338 ILG126:ILG338 IBK126:IBK338 HRO126:HRO338 HHS126:HHS338 GXW126:GXW338 GOA126:GOA338 GEE126:GEE338 FUI126:FUI338 FKM126:FKM338 FAQ126:FAQ338 EQU126:EQU338 EGY126:EGY338 DXC126:DXC338 DNG126:DNG338 DDK126:DDK338 CTO126:CTO338 CJS126:CJS338 BZW126:BZW338 BQA126:BQA338 BGE126:BGE338 AWI126:AWI338 AMM126:AMM338 ACQ126:ACQ338 SU126:SU338 IY126:IY338">
      <formula1>$M$127:$M$129</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0"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164"/>
  <sheetViews>
    <sheetView zoomScale="70" zoomScaleNormal="70" zoomScalePageLayoutView="70" workbookViewId="0"/>
  </sheetViews>
  <sheetFormatPr defaultColWidth="8.85546875" defaultRowHeight="15" x14ac:dyDescent="0.25"/>
  <cols>
    <col min="1" max="1" width="8.85546875" style="13"/>
    <col min="2" max="2" width="12.140625" style="99" bestFit="1" customWidth="1"/>
    <col min="3" max="3" width="8.85546875" style="13"/>
    <col min="4" max="4" width="14" style="13" bestFit="1" customWidth="1"/>
    <col min="5" max="6" width="14" style="13" customWidth="1"/>
    <col min="7" max="7" width="13.5703125" style="13" customWidth="1"/>
    <col min="8" max="8" width="10.28515625" style="13" bestFit="1" customWidth="1"/>
    <col min="9" max="9" width="10.7109375" style="13" customWidth="1"/>
    <col min="10" max="10" width="15.85546875" style="13" bestFit="1" customWidth="1"/>
    <col min="11" max="11" width="17.7109375" style="83" bestFit="1" customWidth="1"/>
    <col min="12" max="12" width="14.7109375" style="13" customWidth="1"/>
    <col min="13" max="13" width="10.7109375" style="13" customWidth="1"/>
    <col min="14" max="14" width="14.42578125" style="13" bestFit="1" customWidth="1"/>
    <col min="15" max="15" width="15" style="13" bestFit="1" customWidth="1"/>
    <col min="16" max="16384" width="8.85546875" style="13"/>
  </cols>
  <sheetData>
    <row r="1" spans="1:14" s="81" customFormat="1" ht="90" x14ac:dyDescent="0.25">
      <c r="A1" s="4" t="s">
        <v>383</v>
      </c>
      <c r="B1" s="84" t="s">
        <v>385</v>
      </c>
      <c r="C1" s="81" t="s">
        <v>387</v>
      </c>
      <c r="D1" s="81" t="s">
        <v>388</v>
      </c>
      <c r="E1" s="4" t="s">
        <v>390</v>
      </c>
      <c r="F1" s="81" t="s">
        <v>392</v>
      </c>
      <c r="G1" s="82" t="s">
        <v>393</v>
      </c>
      <c r="H1" s="82" t="s">
        <v>394</v>
      </c>
      <c r="I1" s="85" t="s">
        <v>396</v>
      </c>
      <c r="J1" s="85" t="s">
        <v>397</v>
      </c>
      <c r="K1" s="85" t="s">
        <v>409</v>
      </c>
      <c r="L1" s="81" t="s">
        <v>45</v>
      </c>
      <c r="M1" s="86" t="s">
        <v>400</v>
      </c>
      <c r="N1" s="86" t="s">
        <v>401</v>
      </c>
    </row>
    <row r="2" spans="1:14" x14ac:dyDescent="0.25">
      <c r="A2" s="1">
        <v>2012</v>
      </c>
      <c r="B2" s="87">
        <v>41083</v>
      </c>
      <c r="C2" s="88" t="s">
        <v>35</v>
      </c>
      <c r="D2" s="88" t="s">
        <v>36</v>
      </c>
      <c r="E2" s="88" t="s">
        <v>37</v>
      </c>
      <c r="F2" s="88" t="s">
        <v>38</v>
      </c>
      <c r="G2" s="1"/>
      <c r="H2" s="88" t="s">
        <v>43</v>
      </c>
      <c r="I2" s="88" t="s">
        <v>46</v>
      </c>
      <c r="J2" s="88" t="s">
        <v>44</v>
      </c>
      <c r="K2" s="89">
        <v>47</v>
      </c>
      <c r="L2" s="88" t="s">
        <v>40</v>
      </c>
      <c r="M2" s="5">
        <v>100</v>
      </c>
      <c r="N2" s="5">
        <v>175</v>
      </c>
    </row>
    <row r="3" spans="1:14" x14ac:dyDescent="0.25">
      <c r="A3" s="1">
        <v>2012</v>
      </c>
      <c r="B3" s="87">
        <v>41083</v>
      </c>
      <c r="C3" s="88" t="s">
        <v>35</v>
      </c>
      <c r="D3" s="88" t="s">
        <v>36</v>
      </c>
      <c r="E3" s="88" t="s">
        <v>37</v>
      </c>
      <c r="F3" s="88" t="s">
        <v>38</v>
      </c>
      <c r="G3" s="1"/>
      <c r="H3" s="88" t="s">
        <v>43</v>
      </c>
      <c r="I3" s="88" t="s">
        <v>47</v>
      </c>
      <c r="J3" s="88" t="s">
        <v>44</v>
      </c>
      <c r="K3" s="89">
        <v>31</v>
      </c>
      <c r="L3" s="88" t="s">
        <v>40</v>
      </c>
      <c r="M3" s="5">
        <v>100</v>
      </c>
      <c r="N3" s="5">
        <v>175</v>
      </c>
    </row>
    <row r="4" spans="1:14" x14ac:dyDescent="0.25">
      <c r="A4" s="1">
        <v>2012</v>
      </c>
      <c r="B4" s="87">
        <v>41083</v>
      </c>
      <c r="C4" s="88" t="s">
        <v>35</v>
      </c>
      <c r="D4" s="88" t="s">
        <v>36</v>
      </c>
      <c r="E4" s="88" t="s">
        <v>37</v>
      </c>
      <c r="F4" s="88" t="s">
        <v>38</v>
      </c>
      <c r="G4" s="1"/>
      <c r="H4" s="88" t="s">
        <v>43</v>
      </c>
      <c r="I4" s="6" t="s">
        <v>48</v>
      </c>
      <c r="J4" s="88" t="s">
        <v>44</v>
      </c>
      <c r="K4" s="89">
        <v>15</v>
      </c>
      <c r="L4" s="88" t="s">
        <v>40</v>
      </c>
      <c r="M4" s="5">
        <v>100</v>
      </c>
      <c r="N4" s="5">
        <v>175</v>
      </c>
    </row>
    <row r="5" spans="1:14" x14ac:dyDescent="0.25">
      <c r="A5" s="1">
        <v>2012</v>
      </c>
      <c r="B5" s="87">
        <v>41083</v>
      </c>
      <c r="C5" s="88" t="s">
        <v>35</v>
      </c>
      <c r="D5" s="88" t="s">
        <v>36</v>
      </c>
      <c r="E5" s="88" t="s">
        <v>37</v>
      </c>
      <c r="F5" s="88" t="s">
        <v>38</v>
      </c>
      <c r="G5" s="1"/>
      <c r="H5" s="88" t="s">
        <v>43</v>
      </c>
      <c r="I5" s="88" t="s">
        <v>49</v>
      </c>
      <c r="J5" s="88" t="s">
        <v>50</v>
      </c>
      <c r="K5" s="89">
        <v>7</v>
      </c>
      <c r="L5" s="88" t="s">
        <v>40</v>
      </c>
      <c r="M5" s="5">
        <v>100</v>
      </c>
      <c r="N5" s="5">
        <v>175</v>
      </c>
    </row>
    <row r="6" spans="1:14" x14ac:dyDescent="0.25">
      <c r="A6" s="1">
        <v>2012</v>
      </c>
      <c r="B6" s="87">
        <v>41083</v>
      </c>
      <c r="C6" s="88" t="s">
        <v>35</v>
      </c>
      <c r="D6" s="88" t="s">
        <v>36</v>
      </c>
      <c r="E6" s="88" t="s">
        <v>37</v>
      </c>
      <c r="F6" s="88" t="s">
        <v>38</v>
      </c>
      <c r="G6" s="1"/>
      <c r="H6" s="88" t="s">
        <v>43</v>
      </c>
      <c r="I6" s="88" t="s">
        <v>51</v>
      </c>
      <c r="J6" s="88" t="s">
        <v>52</v>
      </c>
      <c r="K6" s="89">
        <v>75</v>
      </c>
      <c r="L6" s="88" t="s">
        <v>40</v>
      </c>
      <c r="M6" s="5">
        <v>100</v>
      </c>
      <c r="N6" s="5">
        <v>175</v>
      </c>
    </row>
    <row r="7" spans="1:14" x14ac:dyDescent="0.25">
      <c r="A7" s="1">
        <v>2012</v>
      </c>
      <c r="B7" s="87">
        <v>41093</v>
      </c>
      <c r="C7" s="5" t="s">
        <v>35</v>
      </c>
      <c r="D7" s="5" t="s">
        <v>1</v>
      </c>
      <c r="E7" s="5" t="s">
        <v>4</v>
      </c>
      <c r="F7" s="5" t="s">
        <v>38</v>
      </c>
      <c r="G7" s="1"/>
      <c r="H7" s="88" t="s">
        <v>43</v>
      </c>
      <c r="I7" s="88" t="s">
        <v>47</v>
      </c>
      <c r="J7" s="88" t="s">
        <v>44</v>
      </c>
      <c r="K7" s="89">
        <v>76</v>
      </c>
      <c r="L7" s="5" t="s">
        <v>3</v>
      </c>
      <c r="M7" s="5">
        <v>128</v>
      </c>
      <c r="N7" s="5">
        <v>208</v>
      </c>
    </row>
    <row r="8" spans="1:14" x14ac:dyDescent="0.25">
      <c r="A8" s="1">
        <v>2012</v>
      </c>
      <c r="B8" s="87">
        <v>41093</v>
      </c>
      <c r="C8" s="5" t="s">
        <v>35</v>
      </c>
      <c r="D8" s="5" t="s">
        <v>1</v>
      </c>
      <c r="E8" s="5" t="s">
        <v>4</v>
      </c>
      <c r="F8" s="5" t="s">
        <v>38</v>
      </c>
      <c r="G8" s="1"/>
      <c r="H8" s="88" t="s">
        <v>43</v>
      </c>
      <c r="I8" s="88" t="s">
        <v>46</v>
      </c>
      <c r="J8" s="88" t="s">
        <v>44</v>
      </c>
      <c r="K8" s="89">
        <v>27</v>
      </c>
      <c r="L8" s="5" t="s">
        <v>3</v>
      </c>
      <c r="M8" s="5">
        <v>128</v>
      </c>
      <c r="N8" s="5">
        <v>208</v>
      </c>
    </row>
    <row r="9" spans="1:14" x14ac:dyDescent="0.25">
      <c r="A9" s="1">
        <v>2012</v>
      </c>
      <c r="B9" s="87">
        <v>41093</v>
      </c>
      <c r="C9" s="5" t="s">
        <v>35</v>
      </c>
      <c r="D9" s="5" t="s">
        <v>1</v>
      </c>
      <c r="E9" s="5" t="s">
        <v>4</v>
      </c>
      <c r="F9" s="5" t="s">
        <v>38</v>
      </c>
      <c r="G9" s="1"/>
      <c r="H9" s="88" t="s">
        <v>43</v>
      </c>
      <c r="I9" s="88" t="s">
        <v>53</v>
      </c>
      <c r="J9" s="88" t="s">
        <v>54</v>
      </c>
      <c r="K9" s="89">
        <v>25</v>
      </c>
      <c r="L9" s="5" t="s">
        <v>3</v>
      </c>
      <c r="M9" s="5">
        <v>128</v>
      </c>
      <c r="N9" s="5">
        <v>208</v>
      </c>
    </row>
    <row r="10" spans="1:14" x14ac:dyDescent="0.25">
      <c r="A10" s="1">
        <v>2012</v>
      </c>
      <c r="B10" s="87">
        <v>41093</v>
      </c>
      <c r="C10" s="5" t="s">
        <v>35</v>
      </c>
      <c r="D10" s="5" t="s">
        <v>1</v>
      </c>
      <c r="E10" s="5" t="s">
        <v>4</v>
      </c>
      <c r="F10" s="5" t="s">
        <v>38</v>
      </c>
      <c r="G10" s="1"/>
      <c r="H10" s="88" t="s">
        <v>43</v>
      </c>
      <c r="I10" s="88" t="s">
        <v>51</v>
      </c>
      <c r="J10" s="88" t="s">
        <v>52</v>
      </c>
      <c r="K10" s="89">
        <v>80</v>
      </c>
      <c r="L10" s="5" t="s">
        <v>3</v>
      </c>
      <c r="M10" s="5">
        <v>128</v>
      </c>
      <c r="N10" s="5">
        <v>208</v>
      </c>
    </row>
    <row r="11" spans="1:14" x14ac:dyDescent="0.25">
      <c r="A11" s="1">
        <v>2012</v>
      </c>
      <c r="B11" s="87">
        <v>41093</v>
      </c>
      <c r="C11" s="5" t="s">
        <v>35</v>
      </c>
      <c r="D11" s="5" t="s">
        <v>1</v>
      </c>
      <c r="E11" s="5" t="s">
        <v>5</v>
      </c>
      <c r="F11" s="5" t="s">
        <v>38</v>
      </c>
      <c r="G11" s="1"/>
      <c r="H11" s="88" t="s">
        <v>43</v>
      </c>
      <c r="I11" s="88" t="s">
        <v>46</v>
      </c>
      <c r="J11" s="88" t="s">
        <v>44</v>
      </c>
      <c r="K11" s="89">
        <v>92</v>
      </c>
      <c r="L11" s="5" t="s">
        <v>40</v>
      </c>
      <c r="M11" s="5">
        <v>95</v>
      </c>
      <c r="N11" s="5">
        <v>195</v>
      </c>
    </row>
    <row r="12" spans="1:14" x14ac:dyDescent="0.25">
      <c r="A12" s="1">
        <v>2012</v>
      </c>
      <c r="B12" s="87">
        <v>41093</v>
      </c>
      <c r="C12" s="5" t="s">
        <v>35</v>
      </c>
      <c r="D12" s="5" t="s">
        <v>1</v>
      </c>
      <c r="E12" s="5" t="s">
        <v>5</v>
      </c>
      <c r="F12" s="5" t="s">
        <v>38</v>
      </c>
      <c r="G12" s="1"/>
      <c r="H12" s="88" t="s">
        <v>43</v>
      </c>
      <c r="I12" s="88" t="s">
        <v>53</v>
      </c>
      <c r="J12" s="88" t="s">
        <v>54</v>
      </c>
      <c r="K12" s="89">
        <v>3</v>
      </c>
      <c r="L12" s="5" t="s">
        <v>40</v>
      </c>
      <c r="M12" s="5">
        <v>95</v>
      </c>
      <c r="N12" s="5">
        <v>195</v>
      </c>
    </row>
    <row r="13" spans="1:14" x14ac:dyDescent="0.25">
      <c r="A13" s="1">
        <v>2012</v>
      </c>
      <c r="B13" s="87">
        <v>41093</v>
      </c>
      <c r="C13" s="5" t="s">
        <v>35</v>
      </c>
      <c r="D13" s="5" t="s">
        <v>1</v>
      </c>
      <c r="E13" s="5" t="s">
        <v>5</v>
      </c>
      <c r="F13" s="5" t="s">
        <v>38</v>
      </c>
      <c r="G13" s="1"/>
      <c r="H13" s="88" t="s">
        <v>43</v>
      </c>
      <c r="I13" s="88" t="s">
        <v>51</v>
      </c>
      <c r="J13" s="88" t="s">
        <v>52</v>
      </c>
      <c r="K13" s="89">
        <v>100</v>
      </c>
      <c r="L13" s="5" t="s">
        <v>40</v>
      </c>
      <c r="M13" s="5">
        <v>95</v>
      </c>
      <c r="N13" s="5">
        <v>195</v>
      </c>
    </row>
    <row r="14" spans="1:14" s="90" customFormat="1" x14ac:dyDescent="0.25">
      <c r="A14" s="1">
        <v>2012</v>
      </c>
      <c r="B14" s="87">
        <v>41095</v>
      </c>
      <c r="C14" s="5" t="s">
        <v>35</v>
      </c>
      <c r="D14" s="5" t="s">
        <v>1</v>
      </c>
      <c r="E14" s="5" t="s">
        <v>6</v>
      </c>
      <c r="F14" s="5" t="s">
        <v>38</v>
      </c>
      <c r="G14" s="1"/>
      <c r="H14" s="88" t="s">
        <v>43</v>
      </c>
      <c r="I14" s="88" t="s">
        <v>47</v>
      </c>
      <c r="J14" s="88" t="s">
        <v>44</v>
      </c>
      <c r="K14" s="89">
        <v>76</v>
      </c>
      <c r="L14" s="5" t="s">
        <v>3</v>
      </c>
      <c r="M14" s="5">
        <v>91</v>
      </c>
      <c r="N14" s="5">
        <v>141</v>
      </c>
    </row>
    <row r="15" spans="1:14" s="90" customFormat="1" x14ac:dyDescent="0.25">
      <c r="A15" s="1">
        <v>2012</v>
      </c>
      <c r="B15" s="87">
        <v>41095</v>
      </c>
      <c r="C15" s="5" t="s">
        <v>35</v>
      </c>
      <c r="D15" s="5" t="s">
        <v>1</v>
      </c>
      <c r="E15" s="5" t="s">
        <v>6</v>
      </c>
      <c r="F15" s="5" t="s">
        <v>38</v>
      </c>
      <c r="G15" s="1"/>
      <c r="H15" s="88" t="s">
        <v>43</v>
      </c>
      <c r="I15" s="88" t="s">
        <v>55</v>
      </c>
      <c r="J15" s="88" t="s">
        <v>56</v>
      </c>
      <c r="K15" s="89">
        <v>10</v>
      </c>
      <c r="L15" s="5" t="s">
        <v>3</v>
      </c>
      <c r="M15" s="5">
        <v>91</v>
      </c>
      <c r="N15" s="5">
        <v>141</v>
      </c>
    </row>
    <row r="16" spans="1:14" s="90" customFormat="1" x14ac:dyDescent="0.25">
      <c r="A16" s="1">
        <v>2012</v>
      </c>
      <c r="B16" s="87">
        <v>41095</v>
      </c>
      <c r="C16" s="5" t="s">
        <v>35</v>
      </c>
      <c r="D16" s="5" t="s">
        <v>1</v>
      </c>
      <c r="E16" s="5" t="s">
        <v>6</v>
      </c>
      <c r="F16" s="5" t="s">
        <v>38</v>
      </c>
      <c r="G16" s="1"/>
      <c r="H16" s="88" t="s">
        <v>43</v>
      </c>
      <c r="I16" s="88" t="s">
        <v>55</v>
      </c>
      <c r="J16" s="88" t="s">
        <v>56</v>
      </c>
      <c r="K16" s="89">
        <v>5</v>
      </c>
      <c r="L16" s="5" t="s">
        <v>3</v>
      </c>
      <c r="M16" s="5">
        <v>91</v>
      </c>
      <c r="N16" s="5">
        <v>141</v>
      </c>
    </row>
    <row r="17" spans="1:14" s="90" customFormat="1" x14ac:dyDescent="0.25">
      <c r="A17" s="1">
        <v>2012</v>
      </c>
      <c r="B17" s="87">
        <v>41095</v>
      </c>
      <c r="C17" s="5" t="s">
        <v>35</v>
      </c>
      <c r="D17" s="5" t="s">
        <v>1</v>
      </c>
      <c r="E17" s="5" t="s">
        <v>6</v>
      </c>
      <c r="F17" s="5" t="s">
        <v>38</v>
      </c>
      <c r="G17" s="1"/>
      <c r="H17" s="88" t="s">
        <v>43</v>
      </c>
      <c r="I17" s="88" t="s">
        <v>51</v>
      </c>
      <c r="J17" s="88" t="s">
        <v>52</v>
      </c>
      <c r="K17" s="89">
        <v>50</v>
      </c>
      <c r="L17" s="5" t="s">
        <v>3</v>
      </c>
      <c r="M17" s="5">
        <v>91</v>
      </c>
      <c r="N17" s="5">
        <v>141</v>
      </c>
    </row>
    <row r="18" spans="1:14" x14ac:dyDescent="0.25">
      <c r="A18" s="1">
        <v>2012</v>
      </c>
      <c r="B18" s="87">
        <v>41095</v>
      </c>
      <c r="C18" s="5" t="s">
        <v>35</v>
      </c>
      <c r="D18" s="5" t="s">
        <v>36</v>
      </c>
      <c r="E18" s="5" t="s">
        <v>7</v>
      </c>
      <c r="F18" s="5" t="s">
        <v>38</v>
      </c>
      <c r="G18" s="1"/>
      <c r="H18" s="88" t="s">
        <v>43</v>
      </c>
      <c r="I18" s="88" t="s">
        <v>46</v>
      </c>
      <c r="J18" s="88" t="s">
        <v>44</v>
      </c>
      <c r="K18" s="91">
        <v>82</v>
      </c>
      <c r="L18" s="5" t="s">
        <v>40</v>
      </c>
      <c r="M18" s="5">
        <v>115</v>
      </c>
      <c r="N18" s="5">
        <v>210</v>
      </c>
    </row>
    <row r="19" spans="1:14" x14ac:dyDescent="0.25">
      <c r="A19" s="1">
        <v>2012</v>
      </c>
      <c r="B19" s="87">
        <v>41095</v>
      </c>
      <c r="C19" s="5" t="s">
        <v>35</v>
      </c>
      <c r="D19" s="5" t="s">
        <v>36</v>
      </c>
      <c r="E19" s="5" t="s">
        <v>7</v>
      </c>
      <c r="F19" s="5" t="s">
        <v>38</v>
      </c>
      <c r="G19" s="1"/>
      <c r="H19" s="88" t="s">
        <v>43</v>
      </c>
      <c r="I19" s="88" t="s">
        <v>53</v>
      </c>
      <c r="J19" s="88" t="s">
        <v>54</v>
      </c>
      <c r="K19" s="91">
        <v>31</v>
      </c>
      <c r="L19" s="5" t="s">
        <v>40</v>
      </c>
      <c r="M19" s="5">
        <v>115</v>
      </c>
      <c r="N19" s="5">
        <v>210</v>
      </c>
    </row>
    <row r="20" spans="1:14" x14ac:dyDescent="0.25">
      <c r="A20" s="1">
        <v>2012</v>
      </c>
      <c r="B20" s="87">
        <v>41095</v>
      </c>
      <c r="C20" s="5" t="s">
        <v>35</v>
      </c>
      <c r="D20" s="5" t="s">
        <v>36</v>
      </c>
      <c r="E20" s="5" t="s">
        <v>7</v>
      </c>
      <c r="F20" s="5" t="s">
        <v>38</v>
      </c>
      <c r="G20" s="1"/>
      <c r="H20" s="88" t="s">
        <v>43</v>
      </c>
      <c r="I20" s="88" t="s">
        <v>57</v>
      </c>
      <c r="J20" s="88" t="s">
        <v>54</v>
      </c>
      <c r="K20" s="91">
        <v>2</v>
      </c>
      <c r="L20" s="5" t="s">
        <v>40</v>
      </c>
      <c r="M20" s="5">
        <v>115</v>
      </c>
      <c r="N20" s="5">
        <v>210</v>
      </c>
    </row>
    <row r="21" spans="1:14" x14ac:dyDescent="0.25">
      <c r="A21" s="1">
        <v>2012</v>
      </c>
      <c r="B21" s="87">
        <v>41095</v>
      </c>
      <c r="C21" s="5" t="s">
        <v>35</v>
      </c>
      <c r="D21" s="5" t="s">
        <v>36</v>
      </c>
      <c r="E21" s="5" t="s">
        <v>7</v>
      </c>
      <c r="F21" s="5" t="s">
        <v>38</v>
      </c>
      <c r="G21" s="1"/>
      <c r="H21" s="88" t="s">
        <v>43</v>
      </c>
      <c r="I21" s="88" t="s">
        <v>51</v>
      </c>
      <c r="J21" s="88" t="s">
        <v>52</v>
      </c>
      <c r="K21" s="91">
        <v>95</v>
      </c>
      <c r="L21" s="5" t="s">
        <v>40</v>
      </c>
      <c r="M21" s="5">
        <v>115</v>
      </c>
      <c r="N21" s="5">
        <v>210</v>
      </c>
    </row>
    <row r="22" spans="1:14" x14ac:dyDescent="0.25">
      <c r="A22" s="1">
        <v>2012</v>
      </c>
      <c r="B22" s="87">
        <v>41101</v>
      </c>
      <c r="C22" s="88" t="s">
        <v>35</v>
      </c>
      <c r="D22" s="88" t="s">
        <v>1</v>
      </c>
      <c r="E22" s="88" t="s">
        <v>8</v>
      </c>
      <c r="F22" s="88" t="s">
        <v>38</v>
      </c>
      <c r="G22" s="1"/>
      <c r="H22" s="88" t="s">
        <v>43</v>
      </c>
      <c r="I22" s="88" t="s">
        <v>46</v>
      </c>
      <c r="J22" s="88" t="s">
        <v>44</v>
      </c>
      <c r="K22" s="89">
        <v>84</v>
      </c>
      <c r="L22" s="88" t="s">
        <v>40</v>
      </c>
      <c r="M22" s="5">
        <v>113</v>
      </c>
      <c r="N22" s="5">
        <v>208</v>
      </c>
    </row>
    <row r="23" spans="1:14" x14ac:dyDescent="0.25">
      <c r="A23" s="1">
        <v>2012</v>
      </c>
      <c r="B23" s="87">
        <v>41101</v>
      </c>
      <c r="C23" s="88" t="s">
        <v>35</v>
      </c>
      <c r="D23" s="88" t="s">
        <v>1</v>
      </c>
      <c r="E23" s="88" t="s">
        <v>8</v>
      </c>
      <c r="F23" s="88" t="s">
        <v>38</v>
      </c>
      <c r="G23" s="1"/>
      <c r="H23" s="88" t="s">
        <v>43</v>
      </c>
      <c r="I23" s="88" t="s">
        <v>55</v>
      </c>
      <c r="J23" s="88" t="s">
        <v>56</v>
      </c>
      <c r="K23" s="89">
        <v>8</v>
      </c>
      <c r="L23" s="88" t="s">
        <v>40</v>
      </c>
      <c r="M23" s="5">
        <v>113</v>
      </c>
      <c r="N23" s="5">
        <v>208</v>
      </c>
    </row>
    <row r="24" spans="1:14" x14ac:dyDescent="0.25">
      <c r="A24" s="1">
        <v>2012</v>
      </c>
      <c r="B24" s="87">
        <v>41101</v>
      </c>
      <c r="C24" s="88" t="s">
        <v>35</v>
      </c>
      <c r="D24" s="88" t="s">
        <v>1</v>
      </c>
      <c r="E24" s="88" t="s">
        <v>8</v>
      </c>
      <c r="F24" s="88" t="s">
        <v>38</v>
      </c>
      <c r="G24" s="1"/>
      <c r="H24" s="88" t="s">
        <v>43</v>
      </c>
      <c r="I24" s="88" t="s">
        <v>53</v>
      </c>
      <c r="J24" s="88" t="s">
        <v>54</v>
      </c>
      <c r="K24" s="89">
        <v>6</v>
      </c>
      <c r="L24" s="88" t="s">
        <v>40</v>
      </c>
      <c r="M24" s="5">
        <v>113</v>
      </c>
      <c r="N24" s="5">
        <v>208</v>
      </c>
    </row>
    <row r="25" spans="1:14" x14ac:dyDescent="0.25">
      <c r="A25" s="1">
        <v>2012</v>
      </c>
      <c r="B25" s="87">
        <v>41101</v>
      </c>
      <c r="C25" s="88" t="s">
        <v>35</v>
      </c>
      <c r="D25" s="88" t="s">
        <v>1</v>
      </c>
      <c r="E25" s="88" t="s">
        <v>8</v>
      </c>
      <c r="F25" s="88" t="s">
        <v>38</v>
      </c>
      <c r="G25" s="1"/>
      <c r="H25" s="88" t="s">
        <v>43</v>
      </c>
      <c r="I25" s="6" t="s">
        <v>48</v>
      </c>
      <c r="J25" s="88" t="s">
        <v>44</v>
      </c>
      <c r="K25" s="89">
        <v>5</v>
      </c>
      <c r="L25" s="88" t="s">
        <v>40</v>
      </c>
      <c r="M25" s="5">
        <v>113</v>
      </c>
      <c r="N25" s="5">
        <v>208</v>
      </c>
    </row>
    <row r="26" spans="1:14" x14ac:dyDescent="0.25">
      <c r="A26" s="1">
        <v>2012</v>
      </c>
      <c r="B26" s="87">
        <v>41101</v>
      </c>
      <c r="C26" s="88" t="s">
        <v>35</v>
      </c>
      <c r="D26" s="88" t="s">
        <v>1</v>
      </c>
      <c r="E26" s="88" t="s">
        <v>8</v>
      </c>
      <c r="F26" s="88" t="s">
        <v>38</v>
      </c>
      <c r="G26" s="1"/>
      <c r="H26" s="88" t="s">
        <v>43</v>
      </c>
      <c r="I26" s="88" t="s">
        <v>49</v>
      </c>
      <c r="J26" s="88" t="s">
        <v>50</v>
      </c>
      <c r="K26" s="89">
        <v>10</v>
      </c>
      <c r="L26" s="88" t="s">
        <v>40</v>
      </c>
      <c r="M26" s="5">
        <v>113</v>
      </c>
      <c r="N26" s="5">
        <v>208</v>
      </c>
    </row>
    <row r="27" spans="1:14" x14ac:dyDescent="0.25">
      <c r="A27" s="1">
        <v>2012</v>
      </c>
      <c r="B27" s="87">
        <v>41101</v>
      </c>
      <c r="C27" s="88" t="s">
        <v>35</v>
      </c>
      <c r="D27" s="88" t="s">
        <v>1</v>
      </c>
      <c r="E27" s="88" t="s">
        <v>8</v>
      </c>
      <c r="F27" s="88" t="s">
        <v>38</v>
      </c>
      <c r="G27" s="1"/>
      <c r="H27" s="88" t="s">
        <v>43</v>
      </c>
      <c r="I27" s="88" t="s">
        <v>51</v>
      </c>
      <c r="J27" s="88" t="s">
        <v>52</v>
      </c>
      <c r="K27" s="89">
        <v>95</v>
      </c>
      <c r="L27" s="88" t="s">
        <v>40</v>
      </c>
      <c r="M27" s="5">
        <v>113</v>
      </c>
      <c r="N27" s="5">
        <v>208</v>
      </c>
    </row>
    <row r="28" spans="1:14" x14ac:dyDescent="0.25">
      <c r="A28" s="1">
        <v>2012</v>
      </c>
      <c r="B28" s="87">
        <v>41099</v>
      </c>
      <c r="C28" s="5" t="s">
        <v>35</v>
      </c>
      <c r="D28" s="5" t="s">
        <v>1</v>
      </c>
      <c r="E28" s="5" t="s">
        <v>9</v>
      </c>
      <c r="F28" s="5" t="s">
        <v>38</v>
      </c>
      <c r="G28" s="1"/>
      <c r="H28" s="88" t="s">
        <v>43</v>
      </c>
      <c r="I28" s="88" t="s">
        <v>47</v>
      </c>
      <c r="J28" s="88" t="s">
        <v>44</v>
      </c>
      <c r="K28" s="89">
        <v>92</v>
      </c>
      <c r="L28" s="5" t="s">
        <v>3</v>
      </c>
      <c r="M28" s="5">
        <v>136</v>
      </c>
      <c r="N28" s="5">
        <v>226</v>
      </c>
    </row>
    <row r="29" spans="1:14" x14ac:dyDescent="0.25">
      <c r="A29" s="1">
        <v>2012</v>
      </c>
      <c r="B29" s="87">
        <v>41099</v>
      </c>
      <c r="C29" s="5" t="s">
        <v>35</v>
      </c>
      <c r="D29" s="5" t="s">
        <v>1</v>
      </c>
      <c r="E29" s="5" t="s">
        <v>9</v>
      </c>
      <c r="F29" s="5" t="s">
        <v>38</v>
      </c>
      <c r="G29" s="1"/>
      <c r="H29" s="88" t="s">
        <v>43</v>
      </c>
      <c r="I29" s="88" t="s">
        <v>46</v>
      </c>
      <c r="J29" s="88" t="s">
        <v>44</v>
      </c>
      <c r="K29" s="89">
        <v>16</v>
      </c>
      <c r="L29" s="5" t="s">
        <v>3</v>
      </c>
      <c r="M29" s="5">
        <v>136</v>
      </c>
      <c r="N29" s="5">
        <v>226</v>
      </c>
    </row>
    <row r="30" spans="1:14" x14ac:dyDescent="0.25">
      <c r="A30" s="1">
        <v>2012</v>
      </c>
      <c r="B30" s="87">
        <v>41099</v>
      </c>
      <c r="C30" s="5" t="s">
        <v>35</v>
      </c>
      <c r="D30" s="5" t="s">
        <v>1</v>
      </c>
      <c r="E30" s="5" t="s">
        <v>9</v>
      </c>
      <c r="F30" s="5" t="s">
        <v>38</v>
      </c>
      <c r="G30" s="1"/>
      <c r="H30" s="88" t="s">
        <v>43</v>
      </c>
      <c r="I30" s="88" t="s">
        <v>55</v>
      </c>
      <c r="J30" s="88" t="s">
        <v>58</v>
      </c>
      <c r="K30" s="89">
        <v>14</v>
      </c>
      <c r="L30" s="5" t="s">
        <v>3</v>
      </c>
      <c r="M30" s="5">
        <v>136</v>
      </c>
      <c r="N30" s="5">
        <v>226</v>
      </c>
    </row>
    <row r="31" spans="1:14" x14ac:dyDescent="0.25">
      <c r="A31" s="1">
        <v>2012</v>
      </c>
      <c r="B31" s="87">
        <v>41099</v>
      </c>
      <c r="C31" s="5" t="s">
        <v>35</v>
      </c>
      <c r="D31" s="5" t="s">
        <v>1</v>
      </c>
      <c r="E31" s="5" t="s">
        <v>9</v>
      </c>
      <c r="F31" s="5" t="s">
        <v>38</v>
      </c>
      <c r="G31" s="1"/>
      <c r="H31" s="88" t="s">
        <v>43</v>
      </c>
      <c r="I31" s="88" t="s">
        <v>49</v>
      </c>
      <c r="J31" s="88" t="s">
        <v>50</v>
      </c>
      <c r="K31" s="89">
        <v>14</v>
      </c>
      <c r="L31" s="5" t="s">
        <v>3</v>
      </c>
      <c r="M31" s="5">
        <v>136</v>
      </c>
      <c r="N31" s="5">
        <v>226</v>
      </c>
    </row>
    <row r="32" spans="1:14" x14ac:dyDescent="0.25">
      <c r="A32" s="1">
        <v>2012</v>
      </c>
      <c r="B32" s="87">
        <v>41099</v>
      </c>
      <c r="C32" s="5" t="s">
        <v>35</v>
      </c>
      <c r="D32" s="5" t="s">
        <v>1</v>
      </c>
      <c r="E32" s="5" t="s">
        <v>9</v>
      </c>
      <c r="F32" s="5" t="s">
        <v>38</v>
      </c>
      <c r="G32" s="1"/>
      <c r="H32" s="88" t="s">
        <v>43</v>
      </c>
      <c r="I32" s="88" t="s">
        <v>51</v>
      </c>
      <c r="J32" s="88" t="s">
        <v>52</v>
      </c>
      <c r="K32" s="89">
        <v>90</v>
      </c>
      <c r="L32" s="5" t="s">
        <v>3</v>
      </c>
      <c r="M32" s="5">
        <v>136</v>
      </c>
      <c r="N32" s="5">
        <v>226</v>
      </c>
    </row>
    <row r="33" spans="1:14" x14ac:dyDescent="0.25">
      <c r="A33" s="1">
        <v>2012</v>
      </c>
      <c r="B33" s="87">
        <v>41101</v>
      </c>
      <c r="C33" s="5" t="s">
        <v>35</v>
      </c>
      <c r="D33" s="5" t="s">
        <v>1</v>
      </c>
      <c r="E33" s="5" t="s">
        <v>10</v>
      </c>
      <c r="F33" s="5" t="s">
        <v>38</v>
      </c>
      <c r="G33" s="1"/>
      <c r="H33" s="88" t="s">
        <v>43</v>
      </c>
      <c r="I33" s="88" t="s">
        <v>46</v>
      </c>
      <c r="J33" s="88" t="s">
        <v>44</v>
      </c>
      <c r="K33" s="89">
        <v>67</v>
      </c>
      <c r="L33" s="5" t="s">
        <v>40</v>
      </c>
      <c r="M33" s="5">
        <v>98</v>
      </c>
      <c r="N33" s="5">
        <v>198</v>
      </c>
    </row>
    <row r="34" spans="1:14" x14ac:dyDescent="0.25">
      <c r="A34" s="1">
        <v>2012</v>
      </c>
      <c r="B34" s="87">
        <v>41101</v>
      </c>
      <c r="C34" s="5" t="s">
        <v>35</v>
      </c>
      <c r="D34" s="5" t="s">
        <v>1</v>
      </c>
      <c r="E34" s="5" t="s">
        <v>10</v>
      </c>
      <c r="F34" s="5" t="s">
        <v>38</v>
      </c>
      <c r="G34" s="1"/>
      <c r="H34" s="88" t="s">
        <v>43</v>
      </c>
      <c r="I34" s="88" t="s">
        <v>57</v>
      </c>
      <c r="J34" s="5" t="s">
        <v>54</v>
      </c>
      <c r="K34" s="89">
        <v>14</v>
      </c>
      <c r="L34" s="5" t="s">
        <v>40</v>
      </c>
      <c r="M34" s="5">
        <v>98</v>
      </c>
      <c r="N34" s="5">
        <v>198</v>
      </c>
    </row>
    <row r="35" spans="1:14" x14ac:dyDescent="0.25">
      <c r="A35" s="1">
        <v>2012</v>
      </c>
      <c r="B35" s="87">
        <v>41101</v>
      </c>
      <c r="C35" s="5" t="s">
        <v>35</v>
      </c>
      <c r="D35" s="5" t="s">
        <v>1</v>
      </c>
      <c r="E35" s="5" t="s">
        <v>10</v>
      </c>
      <c r="F35" s="5" t="s">
        <v>38</v>
      </c>
      <c r="G35" s="1"/>
      <c r="H35" s="88" t="s">
        <v>43</v>
      </c>
      <c r="I35" s="88" t="s">
        <v>53</v>
      </c>
      <c r="J35" s="5" t="s">
        <v>54</v>
      </c>
      <c r="K35" s="89">
        <v>9</v>
      </c>
      <c r="L35" s="5" t="s">
        <v>40</v>
      </c>
      <c r="M35" s="5">
        <v>98</v>
      </c>
      <c r="N35" s="5">
        <v>198</v>
      </c>
    </row>
    <row r="36" spans="1:14" x14ac:dyDescent="0.25">
      <c r="A36" s="1">
        <v>2012</v>
      </c>
      <c r="B36" s="87">
        <v>41101</v>
      </c>
      <c r="C36" s="5" t="s">
        <v>35</v>
      </c>
      <c r="D36" s="5" t="s">
        <v>1</v>
      </c>
      <c r="E36" s="5" t="s">
        <v>10</v>
      </c>
      <c r="F36" s="5" t="s">
        <v>38</v>
      </c>
      <c r="G36" s="1"/>
      <c r="H36" s="88" t="s">
        <v>43</v>
      </c>
      <c r="I36" s="88" t="s">
        <v>55</v>
      </c>
      <c r="J36" s="5" t="s">
        <v>56</v>
      </c>
      <c r="K36" s="89">
        <v>8</v>
      </c>
      <c r="L36" s="5" t="s">
        <v>40</v>
      </c>
      <c r="M36" s="5">
        <v>98</v>
      </c>
      <c r="N36" s="5">
        <v>198</v>
      </c>
    </row>
    <row r="37" spans="1:14" x14ac:dyDescent="0.25">
      <c r="A37" s="1">
        <v>2012</v>
      </c>
      <c r="B37" s="87">
        <v>41101</v>
      </c>
      <c r="C37" s="5" t="s">
        <v>35</v>
      </c>
      <c r="D37" s="5" t="s">
        <v>1</v>
      </c>
      <c r="E37" s="5" t="s">
        <v>10</v>
      </c>
      <c r="F37" s="5" t="s">
        <v>38</v>
      </c>
      <c r="G37" s="1"/>
      <c r="H37" s="88" t="s">
        <v>43</v>
      </c>
      <c r="I37" s="88" t="s">
        <v>51</v>
      </c>
      <c r="J37" s="5" t="s">
        <v>52</v>
      </c>
      <c r="K37" s="89">
        <v>100</v>
      </c>
      <c r="L37" s="5" t="s">
        <v>40</v>
      </c>
      <c r="M37" s="5">
        <v>98</v>
      </c>
      <c r="N37" s="5">
        <v>198</v>
      </c>
    </row>
    <row r="38" spans="1:14" x14ac:dyDescent="0.25">
      <c r="A38" s="1">
        <v>2012</v>
      </c>
      <c r="B38" s="87">
        <v>41102</v>
      </c>
      <c r="C38" s="5" t="s">
        <v>35</v>
      </c>
      <c r="D38" s="5" t="s">
        <v>36</v>
      </c>
      <c r="E38" s="5" t="s">
        <v>11</v>
      </c>
      <c r="F38" s="5" t="s">
        <v>38</v>
      </c>
      <c r="G38" s="1"/>
      <c r="H38" s="88" t="s">
        <v>43</v>
      </c>
      <c r="I38" s="88" t="s">
        <v>47</v>
      </c>
      <c r="J38" s="88" t="s">
        <v>44</v>
      </c>
      <c r="K38" s="89">
        <v>10</v>
      </c>
      <c r="L38" s="5" t="s">
        <v>40</v>
      </c>
      <c r="M38" s="5">
        <v>118</v>
      </c>
      <c r="N38" s="5">
        <v>208</v>
      </c>
    </row>
    <row r="39" spans="1:14" x14ac:dyDescent="0.25">
      <c r="A39" s="1">
        <v>2012</v>
      </c>
      <c r="B39" s="87">
        <v>41102</v>
      </c>
      <c r="C39" s="5" t="s">
        <v>35</v>
      </c>
      <c r="D39" s="5" t="s">
        <v>36</v>
      </c>
      <c r="E39" s="5" t="s">
        <v>11</v>
      </c>
      <c r="F39" s="5" t="s">
        <v>38</v>
      </c>
      <c r="G39" s="1"/>
      <c r="H39" s="88" t="s">
        <v>43</v>
      </c>
      <c r="I39" s="88" t="s">
        <v>46</v>
      </c>
      <c r="J39" s="88" t="s">
        <v>44</v>
      </c>
      <c r="K39" s="89">
        <v>77</v>
      </c>
      <c r="L39" s="5" t="s">
        <v>40</v>
      </c>
      <c r="M39" s="5">
        <v>118</v>
      </c>
      <c r="N39" s="5">
        <v>208</v>
      </c>
    </row>
    <row r="40" spans="1:14" x14ac:dyDescent="0.25">
      <c r="A40" s="1">
        <v>2012</v>
      </c>
      <c r="B40" s="87">
        <v>41102</v>
      </c>
      <c r="C40" s="5" t="s">
        <v>35</v>
      </c>
      <c r="D40" s="5" t="s">
        <v>36</v>
      </c>
      <c r="E40" s="5" t="s">
        <v>11</v>
      </c>
      <c r="F40" s="5" t="s">
        <v>38</v>
      </c>
      <c r="G40" s="1"/>
      <c r="H40" s="88" t="s">
        <v>43</v>
      </c>
      <c r="I40" s="88" t="s">
        <v>55</v>
      </c>
      <c r="J40" s="88" t="s">
        <v>56</v>
      </c>
      <c r="K40" s="89">
        <v>25</v>
      </c>
      <c r="L40" s="5" t="s">
        <v>40</v>
      </c>
      <c r="M40" s="5">
        <v>118</v>
      </c>
      <c r="N40" s="5">
        <v>208</v>
      </c>
    </row>
    <row r="41" spans="1:14" x14ac:dyDescent="0.25">
      <c r="A41" s="1">
        <v>2012</v>
      </c>
      <c r="B41" s="87">
        <v>41102</v>
      </c>
      <c r="C41" s="5" t="s">
        <v>35</v>
      </c>
      <c r="D41" s="5" t="s">
        <v>36</v>
      </c>
      <c r="E41" s="5" t="s">
        <v>11</v>
      </c>
      <c r="F41" s="5" t="s">
        <v>38</v>
      </c>
      <c r="G41" s="1"/>
      <c r="H41" s="88" t="s">
        <v>43</v>
      </c>
      <c r="I41" s="88" t="s">
        <v>49</v>
      </c>
      <c r="J41" s="88" t="s">
        <v>50</v>
      </c>
      <c r="K41" s="89">
        <v>6</v>
      </c>
      <c r="L41" s="5" t="s">
        <v>40</v>
      </c>
      <c r="M41" s="5">
        <v>118</v>
      </c>
      <c r="N41" s="5">
        <v>208</v>
      </c>
    </row>
    <row r="42" spans="1:14" x14ac:dyDescent="0.25">
      <c r="A42" s="1">
        <v>2012</v>
      </c>
      <c r="B42" s="87">
        <v>41102</v>
      </c>
      <c r="C42" s="5" t="s">
        <v>35</v>
      </c>
      <c r="D42" s="5" t="s">
        <v>36</v>
      </c>
      <c r="E42" s="5" t="s">
        <v>11</v>
      </c>
      <c r="F42" s="5" t="s">
        <v>38</v>
      </c>
      <c r="G42" s="1"/>
      <c r="H42" s="88" t="s">
        <v>43</v>
      </c>
      <c r="I42" s="88" t="s">
        <v>51</v>
      </c>
      <c r="J42" s="88" t="s">
        <v>52</v>
      </c>
      <c r="K42" s="89">
        <v>90</v>
      </c>
      <c r="L42" s="5" t="s">
        <v>40</v>
      </c>
      <c r="M42" s="5">
        <v>118</v>
      </c>
      <c r="N42" s="5">
        <v>208</v>
      </c>
    </row>
    <row r="43" spans="1:14" x14ac:dyDescent="0.25">
      <c r="A43" s="1">
        <v>2012</v>
      </c>
      <c r="B43" s="92">
        <v>41102</v>
      </c>
      <c r="C43" s="3" t="s">
        <v>35</v>
      </c>
      <c r="D43" s="3" t="s">
        <v>41</v>
      </c>
      <c r="E43" s="3" t="s">
        <v>12</v>
      </c>
      <c r="F43" s="3" t="s">
        <v>38</v>
      </c>
      <c r="G43" s="2"/>
      <c r="H43" s="93" t="s">
        <v>43</v>
      </c>
      <c r="I43" s="3" t="s">
        <v>47</v>
      </c>
      <c r="J43" s="93" t="s">
        <v>44</v>
      </c>
      <c r="K43" s="94">
        <v>87</v>
      </c>
      <c r="L43" s="3" t="s">
        <v>3</v>
      </c>
      <c r="M43" s="3">
        <v>137</v>
      </c>
      <c r="N43" s="3">
        <v>197</v>
      </c>
    </row>
    <row r="44" spans="1:14" x14ac:dyDescent="0.25">
      <c r="A44" s="2">
        <v>2012</v>
      </c>
      <c r="B44" s="92">
        <v>41102</v>
      </c>
      <c r="C44" s="3" t="s">
        <v>35</v>
      </c>
      <c r="D44" s="3" t="s">
        <v>41</v>
      </c>
      <c r="E44" s="3" t="s">
        <v>12</v>
      </c>
      <c r="F44" s="3" t="s">
        <v>38</v>
      </c>
      <c r="G44" s="2"/>
      <c r="H44" s="93" t="s">
        <v>43</v>
      </c>
      <c r="I44" s="3" t="s">
        <v>46</v>
      </c>
      <c r="J44" s="5" t="s">
        <v>44</v>
      </c>
      <c r="K44" s="94">
        <v>38</v>
      </c>
      <c r="L44" s="3" t="s">
        <v>3</v>
      </c>
      <c r="M44" s="3">
        <v>137</v>
      </c>
      <c r="N44" s="3">
        <v>197</v>
      </c>
    </row>
    <row r="45" spans="1:14" x14ac:dyDescent="0.25">
      <c r="A45" s="2">
        <v>2012</v>
      </c>
      <c r="B45" s="92">
        <v>41102</v>
      </c>
      <c r="C45" s="3" t="s">
        <v>35</v>
      </c>
      <c r="D45" s="3" t="s">
        <v>41</v>
      </c>
      <c r="E45" s="3" t="s">
        <v>12</v>
      </c>
      <c r="F45" s="3" t="s">
        <v>38</v>
      </c>
      <c r="G45" s="2"/>
      <c r="H45" s="93" t="s">
        <v>43</v>
      </c>
      <c r="I45" s="3" t="s">
        <v>55</v>
      </c>
      <c r="J45" s="5" t="s">
        <v>56</v>
      </c>
      <c r="K45" s="94">
        <v>6</v>
      </c>
      <c r="L45" s="3" t="s">
        <v>3</v>
      </c>
      <c r="M45" s="3">
        <v>137</v>
      </c>
      <c r="N45" s="3">
        <v>197</v>
      </c>
    </row>
    <row r="46" spans="1:14" x14ac:dyDescent="0.25">
      <c r="A46" s="2">
        <v>2012</v>
      </c>
      <c r="B46" s="92">
        <v>41102</v>
      </c>
      <c r="C46" s="3" t="s">
        <v>35</v>
      </c>
      <c r="D46" s="3" t="s">
        <v>41</v>
      </c>
      <c r="E46" s="3" t="s">
        <v>12</v>
      </c>
      <c r="F46" s="3" t="s">
        <v>38</v>
      </c>
      <c r="G46" s="2"/>
      <c r="H46" s="93" t="s">
        <v>43</v>
      </c>
      <c r="I46" s="3" t="s">
        <v>49</v>
      </c>
      <c r="J46" s="5" t="s">
        <v>50</v>
      </c>
      <c r="K46" s="94">
        <v>6</v>
      </c>
      <c r="L46" s="3" t="s">
        <v>3</v>
      </c>
      <c r="M46" s="3">
        <v>137</v>
      </c>
      <c r="N46" s="3">
        <v>197</v>
      </c>
    </row>
    <row r="47" spans="1:14" x14ac:dyDescent="0.25">
      <c r="A47" s="2">
        <v>2012</v>
      </c>
      <c r="B47" s="92">
        <v>41102</v>
      </c>
      <c r="C47" s="3" t="s">
        <v>35</v>
      </c>
      <c r="D47" s="3" t="s">
        <v>41</v>
      </c>
      <c r="E47" s="3" t="s">
        <v>12</v>
      </c>
      <c r="F47" s="3" t="s">
        <v>38</v>
      </c>
      <c r="G47" s="2"/>
      <c r="H47" s="93" t="s">
        <v>43</v>
      </c>
      <c r="I47" s="3" t="s">
        <v>51</v>
      </c>
      <c r="J47" s="3" t="s">
        <v>52</v>
      </c>
      <c r="K47" s="94">
        <v>60</v>
      </c>
      <c r="L47" s="3" t="s">
        <v>3</v>
      </c>
      <c r="M47" s="3">
        <v>137</v>
      </c>
      <c r="N47" s="3">
        <v>197</v>
      </c>
    </row>
    <row r="48" spans="1:14" x14ac:dyDescent="0.25">
      <c r="A48" s="1">
        <v>2012</v>
      </c>
      <c r="B48" s="87">
        <v>41115</v>
      </c>
      <c r="C48" s="5" t="s">
        <v>35</v>
      </c>
      <c r="D48" s="5" t="s">
        <v>36</v>
      </c>
      <c r="E48" s="5" t="s">
        <v>13</v>
      </c>
      <c r="F48" s="5" t="s">
        <v>38</v>
      </c>
      <c r="G48" s="1"/>
      <c r="H48" s="88" t="s">
        <v>43</v>
      </c>
      <c r="I48" s="3" t="s">
        <v>46</v>
      </c>
      <c r="J48" s="3" t="s">
        <v>44</v>
      </c>
      <c r="K48" s="94">
        <v>80</v>
      </c>
      <c r="L48" s="5" t="s">
        <v>40</v>
      </c>
      <c r="M48" s="5">
        <v>104</v>
      </c>
      <c r="N48" s="5">
        <v>197</v>
      </c>
    </row>
    <row r="49" spans="1:14" x14ac:dyDescent="0.25">
      <c r="A49" s="1">
        <v>2012</v>
      </c>
      <c r="B49" s="87">
        <v>41115</v>
      </c>
      <c r="C49" s="5" t="s">
        <v>35</v>
      </c>
      <c r="D49" s="5" t="s">
        <v>36</v>
      </c>
      <c r="E49" s="5" t="s">
        <v>13</v>
      </c>
      <c r="F49" s="5" t="s">
        <v>38</v>
      </c>
      <c r="G49" s="1"/>
      <c r="H49" s="88" t="s">
        <v>43</v>
      </c>
      <c r="I49" s="3" t="s">
        <v>47</v>
      </c>
      <c r="J49" s="3" t="s">
        <v>44</v>
      </c>
      <c r="K49" s="94">
        <v>8</v>
      </c>
      <c r="L49" s="5" t="s">
        <v>40</v>
      </c>
      <c r="M49" s="5">
        <v>104</v>
      </c>
      <c r="N49" s="5">
        <v>197</v>
      </c>
    </row>
    <row r="50" spans="1:14" x14ac:dyDescent="0.25">
      <c r="A50" s="1">
        <v>2012</v>
      </c>
      <c r="B50" s="87">
        <v>41115</v>
      </c>
      <c r="C50" s="5" t="s">
        <v>35</v>
      </c>
      <c r="D50" s="5" t="s">
        <v>36</v>
      </c>
      <c r="E50" s="5" t="s">
        <v>13</v>
      </c>
      <c r="F50" s="5" t="s">
        <v>38</v>
      </c>
      <c r="G50" s="1"/>
      <c r="H50" s="88" t="s">
        <v>43</v>
      </c>
      <c r="I50" s="6" t="s">
        <v>48</v>
      </c>
      <c r="J50" s="3" t="s">
        <v>44</v>
      </c>
      <c r="K50" s="94">
        <v>11</v>
      </c>
      <c r="L50" s="5" t="s">
        <v>40</v>
      </c>
      <c r="M50" s="5">
        <v>104</v>
      </c>
      <c r="N50" s="5">
        <v>197</v>
      </c>
    </row>
    <row r="51" spans="1:14" x14ac:dyDescent="0.25">
      <c r="A51" s="1">
        <v>2012</v>
      </c>
      <c r="B51" s="87">
        <v>41115</v>
      </c>
      <c r="C51" s="5" t="s">
        <v>35</v>
      </c>
      <c r="D51" s="5" t="s">
        <v>36</v>
      </c>
      <c r="E51" s="5" t="s">
        <v>13</v>
      </c>
      <c r="F51" s="5" t="s">
        <v>38</v>
      </c>
      <c r="G51" s="1"/>
      <c r="H51" s="88" t="s">
        <v>43</v>
      </c>
      <c r="I51" s="3" t="s">
        <v>55</v>
      </c>
      <c r="J51" s="3" t="s">
        <v>56</v>
      </c>
      <c r="K51" s="94">
        <v>5</v>
      </c>
      <c r="L51" s="5" t="s">
        <v>40</v>
      </c>
      <c r="M51" s="5">
        <v>104</v>
      </c>
      <c r="N51" s="5">
        <v>197</v>
      </c>
    </row>
    <row r="52" spans="1:14" x14ac:dyDescent="0.25">
      <c r="A52" s="1">
        <v>2012</v>
      </c>
      <c r="B52" s="87">
        <v>41115</v>
      </c>
      <c r="C52" s="5" t="s">
        <v>35</v>
      </c>
      <c r="D52" s="5" t="s">
        <v>36</v>
      </c>
      <c r="E52" s="5" t="s">
        <v>13</v>
      </c>
      <c r="F52" s="5" t="s">
        <v>38</v>
      </c>
      <c r="G52" s="1"/>
      <c r="H52" s="88" t="s">
        <v>43</v>
      </c>
      <c r="I52" s="3" t="s">
        <v>51</v>
      </c>
      <c r="J52" s="3" t="s">
        <v>52</v>
      </c>
      <c r="K52" s="91">
        <v>93</v>
      </c>
      <c r="L52" s="5" t="s">
        <v>40</v>
      </c>
      <c r="M52" s="5">
        <v>104</v>
      </c>
      <c r="N52" s="5">
        <v>197</v>
      </c>
    </row>
    <row r="53" spans="1:14" x14ac:dyDescent="0.25">
      <c r="A53" s="1">
        <v>2012</v>
      </c>
      <c r="B53" s="87">
        <v>41116</v>
      </c>
      <c r="C53" s="5" t="s">
        <v>35</v>
      </c>
      <c r="D53" s="5" t="s">
        <v>36</v>
      </c>
      <c r="E53" s="5" t="s">
        <v>14</v>
      </c>
      <c r="F53" s="5" t="s">
        <v>38</v>
      </c>
      <c r="G53" s="1"/>
      <c r="H53" s="88" t="s">
        <v>43</v>
      </c>
      <c r="I53" s="3" t="s">
        <v>47</v>
      </c>
      <c r="J53" s="3" t="s">
        <v>44</v>
      </c>
      <c r="K53" s="91">
        <v>68</v>
      </c>
      <c r="L53" s="3" t="s">
        <v>3</v>
      </c>
      <c r="M53" s="5">
        <v>110</v>
      </c>
      <c r="N53" s="5">
        <v>190</v>
      </c>
    </row>
    <row r="54" spans="1:14" x14ac:dyDescent="0.25">
      <c r="A54" s="1">
        <v>2012</v>
      </c>
      <c r="B54" s="87">
        <v>41116</v>
      </c>
      <c r="C54" s="5" t="s">
        <v>35</v>
      </c>
      <c r="D54" s="5" t="s">
        <v>36</v>
      </c>
      <c r="E54" s="5" t="s">
        <v>14</v>
      </c>
      <c r="F54" s="5" t="s">
        <v>38</v>
      </c>
      <c r="G54" s="1"/>
      <c r="H54" s="88" t="s">
        <v>43</v>
      </c>
      <c r="I54" s="3" t="s">
        <v>46</v>
      </c>
      <c r="J54" s="3" t="s">
        <v>44</v>
      </c>
      <c r="K54" s="91">
        <v>28</v>
      </c>
      <c r="L54" s="3" t="s">
        <v>3</v>
      </c>
      <c r="M54" s="5">
        <v>110</v>
      </c>
      <c r="N54" s="5">
        <v>190</v>
      </c>
    </row>
    <row r="55" spans="1:14" x14ac:dyDescent="0.25">
      <c r="A55" s="1">
        <v>2012</v>
      </c>
      <c r="B55" s="87">
        <v>41116</v>
      </c>
      <c r="C55" s="5" t="s">
        <v>35</v>
      </c>
      <c r="D55" s="5" t="s">
        <v>36</v>
      </c>
      <c r="E55" s="5" t="s">
        <v>14</v>
      </c>
      <c r="F55" s="5" t="s">
        <v>38</v>
      </c>
      <c r="G55" s="1"/>
      <c r="H55" s="88" t="s">
        <v>43</v>
      </c>
      <c r="I55" s="6" t="s">
        <v>48</v>
      </c>
      <c r="J55" s="3" t="s">
        <v>44</v>
      </c>
      <c r="K55" s="91">
        <v>6</v>
      </c>
      <c r="L55" s="3" t="s">
        <v>3</v>
      </c>
      <c r="M55" s="5">
        <v>110</v>
      </c>
      <c r="N55" s="5">
        <v>190</v>
      </c>
    </row>
    <row r="56" spans="1:14" x14ac:dyDescent="0.25">
      <c r="A56" s="1">
        <v>2012</v>
      </c>
      <c r="B56" s="87">
        <v>41116</v>
      </c>
      <c r="C56" s="5" t="s">
        <v>35</v>
      </c>
      <c r="D56" s="5" t="s">
        <v>36</v>
      </c>
      <c r="E56" s="5" t="s">
        <v>14</v>
      </c>
      <c r="F56" s="5" t="s">
        <v>38</v>
      </c>
      <c r="G56" s="1"/>
      <c r="H56" s="88" t="s">
        <v>43</v>
      </c>
      <c r="I56" s="3" t="s">
        <v>55</v>
      </c>
      <c r="J56" s="3" t="s">
        <v>56</v>
      </c>
      <c r="K56" s="91">
        <v>8</v>
      </c>
      <c r="L56" s="3" t="s">
        <v>3</v>
      </c>
      <c r="M56" s="5">
        <v>110</v>
      </c>
      <c r="N56" s="5">
        <v>190</v>
      </c>
    </row>
    <row r="57" spans="1:14" x14ac:dyDescent="0.25">
      <c r="A57" s="1">
        <v>2012</v>
      </c>
      <c r="B57" s="87">
        <v>41116</v>
      </c>
      <c r="C57" s="5" t="s">
        <v>35</v>
      </c>
      <c r="D57" s="5" t="s">
        <v>36</v>
      </c>
      <c r="E57" s="5" t="s">
        <v>14</v>
      </c>
      <c r="F57" s="5" t="s">
        <v>38</v>
      </c>
      <c r="G57" s="1"/>
      <c r="H57" s="88" t="s">
        <v>43</v>
      </c>
      <c r="I57" s="3" t="s">
        <v>51</v>
      </c>
      <c r="J57" s="3" t="s">
        <v>52</v>
      </c>
      <c r="K57" s="91">
        <v>80</v>
      </c>
      <c r="L57" s="3" t="s">
        <v>3</v>
      </c>
      <c r="M57" s="5">
        <v>110</v>
      </c>
      <c r="N57" s="5">
        <v>190</v>
      </c>
    </row>
    <row r="58" spans="1:14" x14ac:dyDescent="0.25">
      <c r="A58" s="1">
        <v>2012</v>
      </c>
      <c r="B58" s="87">
        <v>41126</v>
      </c>
      <c r="C58" s="5" t="s">
        <v>35</v>
      </c>
      <c r="D58" s="5" t="s">
        <v>36</v>
      </c>
      <c r="E58" s="5" t="s">
        <v>15</v>
      </c>
      <c r="F58" s="5" t="s">
        <v>38</v>
      </c>
      <c r="G58" s="1"/>
      <c r="H58" s="88" t="s">
        <v>43</v>
      </c>
      <c r="I58" s="93" t="s">
        <v>46</v>
      </c>
      <c r="J58" s="93" t="s">
        <v>44</v>
      </c>
      <c r="K58" s="91">
        <v>73</v>
      </c>
      <c r="L58" s="88" t="s">
        <v>40</v>
      </c>
      <c r="M58" s="5">
        <v>101</v>
      </c>
      <c r="N58" s="5">
        <v>201</v>
      </c>
    </row>
    <row r="59" spans="1:14" x14ac:dyDescent="0.25">
      <c r="A59" s="1">
        <v>2012</v>
      </c>
      <c r="B59" s="87">
        <v>41126</v>
      </c>
      <c r="C59" s="5" t="s">
        <v>35</v>
      </c>
      <c r="D59" s="5" t="s">
        <v>36</v>
      </c>
      <c r="E59" s="5" t="s">
        <v>15</v>
      </c>
      <c r="F59" s="5" t="s">
        <v>38</v>
      </c>
      <c r="G59" s="1"/>
      <c r="H59" s="88" t="s">
        <v>43</v>
      </c>
      <c r="I59" s="93" t="s">
        <v>57</v>
      </c>
      <c r="J59" s="93" t="s">
        <v>54</v>
      </c>
      <c r="K59" s="91">
        <v>14</v>
      </c>
      <c r="L59" s="88" t="s">
        <v>40</v>
      </c>
      <c r="M59" s="5">
        <v>101</v>
      </c>
      <c r="N59" s="5">
        <v>201</v>
      </c>
    </row>
    <row r="60" spans="1:14" x14ac:dyDescent="0.25">
      <c r="A60" s="1">
        <v>2012</v>
      </c>
      <c r="B60" s="87">
        <v>41126</v>
      </c>
      <c r="C60" s="5" t="s">
        <v>35</v>
      </c>
      <c r="D60" s="5" t="s">
        <v>36</v>
      </c>
      <c r="E60" s="5" t="s">
        <v>15</v>
      </c>
      <c r="F60" s="5" t="s">
        <v>38</v>
      </c>
      <c r="G60" s="1"/>
      <c r="H60" s="88" t="s">
        <v>43</v>
      </c>
      <c r="I60" s="93" t="s">
        <v>53</v>
      </c>
      <c r="J60" s="93" t="s">
        <v>54</v>
      </c>
      <c r="K60" s="91">
        <v>9</v>
      </c>
      <c r="L60" s="88" t="s">
        <v>40</v>
      </c>
      <c r="M60" s="5">
        <v>101</v>
      </c>
      <c r="N60" s="5">
        <v>201</v>
      </c>
    </row>
    <row r="61" spans="1:14" x14ac:dyDescent="0.25">
      <c r="A61" s="1">
        <v>2012</v>
      </c>
      <c r="B61" s="87">
        <v>41126</v>
      </c>
      <c r="C61" s="5" t="s">
        <v>35</v>
      </c>
      <c r="D61" s="5" t="s">
        <v>36</v>
      </c>
      <c r="E61" s="5" t="s">
        <v>15</v>
      </c>
      <c r="F61" s="5" t="s">
        <v>38</v>
      </c>
      <c r="G61" s="1"/>
      <c r="H61" s="88" t="s">
        <v>43</v>
      </c>
      <c r="I61" s="93" t="s">
        <v>55</v>
      </c>
      <c r="J61" s="93" t="s">
        <v>56</v>
      </c>
      <c r="K61" s="91">
        <v>5</v>
      </c>
      <c r="L61" s="88" t="s">
        <v>40</v>
      </c>
      <c r="M61" s="5">
        <v>101</v>
      </c>
      <c r="N61" s="5">
        <v>201</v>
      </c>
    </row>
    <row r="62" spans="1:14" x14ac:dyDescent="0.25">
      <c r="A62" s="1">
        <v>2012</v>
      </c>
      <c r="B62" s="87">
        <v>41126</v>
      </c>
      <c r="C62" s="5" t="s">
        <v>35</v>
      </c>
      <c r="D62" s="5" t="s">
        <v>36</v>
      </c>
      <c r="E62" s="5" t="s">
        <v>15</v>
      </c>
      <c r="F62" s="5" t="s">
        <v>38</v>
      </c>
      <c r="G62" s="1"/>
      <c r="H62" s="88" t="s">
        <v>43</v>
      </c>
      <c r="I62" s="93" t="s">
        <v>51</v>
      </c>
      <c r="J62" s="93" t="s">
        <v>52</v>
      </c>
      <c r="K62" s="91">
        <v>100</v>
      </c>
      <c r="L62" s="88" t="s">
        <v>40</v>
      </c>
      <c r="M62" s="5">
        <v>101</v>
      </c>
      <c r="N62" s="5">
        <v>201</v>
      </c>
    </row>
    <row r="63" spans="1:14" x14ac:dyDescent="0.25">
      <c r="A63" s="1">
        <v>2012</v>
      </c>
      <c r="B63" s="87">
        <v>41126</v>
      </c>
      <c r="C63" s="88" t="s">
        <v>35</v>
      </c>
      <c r="D63" s="88" t="s">
        <v>36</v>
      </c>
      <c r="E63" s="88" t="s">
        <v>16</v>
      </c>
      <c r="F63" s="88" t="s">
        <v>2</v>
      </c>
      <c r="G63" s="1"/>
      <c r="H63" s="88" t="s">
        <v>43</v>
      </c>
      <c r="I63" s="93" t="s">
        <v>46</v>
      </c>
      <c r="J63" s="93" t="s">
        <v>44</v>
      </c>
      <c r="K63" s="89">
        <v>62</v>
      </c>
      <c r="L63" s="88" t="s">
        <v>40</v>
      </c>
      <c r="M63" s="5">
        <v>89</v>
      </c>
      <c r="N63" s="5">
        <v>89</v>
      </c>
    </row>
    <row r="64" spans="1:14" x14ac:dyDescent="0.25">
      <c r="A64" s="1">
        <v>2012</v>
      </c>
      <c r="B64" s="87">
        <v>41126</v>
      </c>
      <c r="C64" s="88" t="s">
        <v>35</v>
      </c>
      <c r="D64" s="88" t="s">
        <v>36</v>
      </c>
      <c r="E64" s="88" t="s">
        <v>16</v>
      </c>
      <c r="F64" s="88" t="s">
        <v>2</v>
      </c>
      <c r="G64" s="1"/>
      <c r="H64" s="88" t="s">
        <v>43</v>
      </c>
      <c r="I64" s="93" t="s">
        <v>47</v>
      </c>
      <c r="J64" s="93" t="s">
        <v>44</v>
      </c>
      <c r="K64" s="89">
        <v>9</v>
      </c>
      <c r="L64" s="88" t="s">
        <v>40</v>
      </c>
      <c r="M64" s="5">
        <v>89</v>
      </c>
      <c r="N64" s="5">
        <v>89</v>
      </c>
    </row>
    <row r="65" spans="1:14" x14ac:dyDescent="0.25">
      <c r="A65" s="1">
        <v>2012</v>
      </c>
      <c r="B65" s="87">
        <v>41126</v>
      </c>
      <c r="C65" s="88" t="s">
        <v>35</v>
      </c>
      <c r="D65" s="88" t="s">
        <v>36</v>
      </c>
      <c r="E65" s="88" t="s">
        <v>16</v>
      </c>
      <c r="F65" s="88" t="s">
        <v>2</v>
      </c>
      <c r="G65" s="1"/>
      <c r="H65" s="88" t="s">
        <v>43</v>
      </c>
      <c r="I65" s="93" t="s">
        <v>59</v>
      </c>
      <c r="J65" s="93" t="s">
        <v>44</v>
      </c>
      <c r="K65" s="89">
        <v>8</v>
      </c>
      <c r="L65" s="88" t="s">
        <v>40</v>
      </c>
      <c r="M65" s="5">
        <v>89</v>
      </c>
      <c r="N65" s="5">
        <v>89</v>
      </c>
    </row>
    <row r="66" spans="1:14" x14ac:dyDescent="0.25">
      <c r="A66" s="1">
        <v>2012</v>
      </c>
      <c r="B66" s="87">
        <v>41126</v>
      </c>
      <c r="C66" s="88" t="s">
        <v>35</v>
      </c>
      <c r="D66" s="88" t="s">
        <v>36</v>
      </c>
      <c r="E66" s="88" t="s">
        <v>16</v>
      </c>
      <c r="F66" s="88" t="s">
        <v>2</v>
      </c>
      <c r="G66" s="1"/>
      <c r="H66" s="88" t="s">
        <v>43</v>
      </c>
      <c r="I66" s="93" t="s">
        <v>60</v>
      </c>
      <c r="J66" s="93" t="s">
        <v>50</v>
      </c>
      <c r="K66" s="89">
        <v>7</v>
      </c>
      <c r="L66" s="88" t="s">
        <v>40</v>
      </c>
      <c r="M66" s="5">
        <v>89</v>
      </c>
      <c r="N66" s="5">
        <v>89</v>
      </c>
    </row>
    <row r="67" spans="1:14" x14ac:dyDescent="0.25">
      <c r="A67" s="1">
        <v>2012</v>
      </c>
      <c r="B67" s="95">
        <v>41087</v>
      </c>
      <c r="C67" s="6" t="s">
        <v>35</v>
      </c>
      <c r="D67" s="7" t="s">
        <v>36</v>
      </c>
      <c r="E67" s="7" t="s">
        <v>0</v>
      </c>
      <c r="F67" s="5" t="s">
        <v>38</v>
      </c>
      <c r="G67" s="1"/>
      <c r="H67" s="88" t="s">
        <v>43</v>
      </c>
      <c r="I67" s="7" t="s">
        <v>46</v>
      </c>
      <c r="J67" s="6" t="s">
        <v>44</v>
      </c>
      <c r="K67" s="11">
        <v>59</v>
      </c>
      <c r="L67" s="7" t="s">
        <v>40</v>
      </c>
      <c r="M67" s="1">
        <v>116</v>
      </c>
      <c r="N67" s="1">
        <v>171</v>
      </c>
    </row>
    <row r="68" spans="1:14" x14ac:dyDescent="0.25">
      <c r="A68" s="1">
        <v>2012</v>
      </c>
      <c r="B68" s="95">
        <v>41087</v>
      </c>
      <c r="C68" s="6" t="s">
        <v>35</v>
      </c>
      <c r="D68" s="7" t="s">
        <v>36</v>
      </c>
      <c r="E68" s="7" t="s">
        <v>0</v>
      </c>
      <c r="F68" s="5" t="s">
        <v>38</v>
      </c>
      <c r="G68" s="1"/>
      <c r="H68" s="88" t="s">
        <v>43</v>
      </c>
      <c r="I68" s="7" t="s">
        <v>59</v>
      </c>
      <c r="J68" s="6" t="s">
        <v>44</v>
      </c>
      <c r="K68" s="11">
        <v>9</v>
      </c>
      <c r="L68" s="7" t="s">
        <v>40</v>
      </c>
      <c r="M68" s="8">
        <v>116</v>
      </c>
      <c r="N68" s="8">
        <v>171</v>
      </c>
    </row>
    <row r="69" spans="1:14" x14ac:dyDescent="0.25">
      <c r="A69" s="1">
        <v>2012</v>
      </c>
      <c r="B69" s="95">
        <v>41087</v>
      </c>
      <c r="C69" s="6" t="s">
        <v>35</v>
      </c>
      <c r="D69" s="7" t="s">
        <v>36</v>
      </c>
      <c r="E69" s="7" t="s">
        <v>0</v>
      </c>
      <c r="F69" s="5" t="s">
        <v>38</v>
      </c>
      <c r="G69" s="1"/>
      <c r="H69" s="88" t="s">
        <v>43</v>
      </c>
      <c r="I69" s="7" t="s">
        <v>49</v>
      </c>
      <c r="J69" s="6" t="s">
        <v>50</v>
      </c>
      <c r="K69" s="11">
        <v>2</v>
      </c>
      <c r="L69" s="7" t="s">
        <v>40</v>
      </c>
      <c r="M69" s="8">
        <v>116</v>
      </c>
      <c r="N69" s="8">
        <v>171</v>
      </c>
    </row>
    <row r="70" spans="1:14" x14ac:dyDescent="0.25">
      <c r="A70" s="1">
        <v>2012</v>
      </c>
      <c r="B70" s="95">
        <v>41087</v>
      </c>
      <c r="C70" s="6" t="s">
        <v>35</v>
      </c>
      <c r="D70" s="7" t="s">
        <v>36</v>
      </c>
      <c r="E70" s="7" t="s">
        <v>0</v>
      </c>
      <c r="F70" s="5" t="s">
        <v>38</v>
      </c>
      <c r="G70" s="1"/>
      <c r="H70" s="88" t="s">
        <v>43</v>
      </c>
      <c r="I70" s="6" t="s">
        <v>48</v>
      </c>
      <c r="J70" s="6" t="s">
        <v>44</v>
      </c>
      <c r="K70" s="11">
        <v>42</v>
      </c>
      <c r="L70" s="7" t="s">
        <v>40</v>
      </c>
      <c r="M70" s="8">
        <v>116</v>
      </c>
      <c r="N70" s="8">
        <v>171</v>
      </c>
    </row>
    <row r="71" spans="1:14" x14ac:dyDescent="0.25">
      <c r="A71" s="1">
        <v>2012</v>
      </c>
      <c r="B71" s="95">
        <v>41087</v>
      </c>
      <c r="C71" s="6" t="s">
        <v>35</v>
      </c>
      <c r="D71" s="7" t="s">
        <v>36</v>
      </c>
      <c r="E71" s="7" t="s">
        <v>0</v>
      </c>
      <c r="F71" s="5" t="s">
        <v>38</v>
      </c>
      <c r="G71" s="1"/>
      <c r="H71" s="88" t="s">
        <v>43</v>
      </c>
      <c r="I71" s="7" t="s">
        <v>61</v>
      </c>
      <c r="J71" s="6" t="s">
        <v>44</v>
      </c>
      <c r="K71" s="11">
        <v>4</v>
      </c>
      <c r="L71" s="7" t="s">
        <v>40</v>
      </c>
      <c r="M71" s="8">
        <v>116</v>
      </c>
      <c r="N71" s="8">
        <v>171</v>
      </c>
    </row>
    <row r="72" spans="1:14" x14ac:dyDescent="0.25">
      <c r="A72" s="1">
        <v>2012</v>
      </c>
      <c r="B72" s="95">
        <v>41087</v>
      </c>
      <c r="C72" s="6" t="s">
        <v>35</v>
      </c>
      <c r="D72" s="7" t="s">
        <v>36</v>
      </c>
      <c r="E72" s="7" t="s">
        <v>0</v>
      </c>
      <c r="F72" s="5" t="s">
        <v>38</v>
      </c>
      <c r="G72" s="1"/>
      <c r="H72" s="88" t="s">
        <v>43</v>
      </c>
      <c r="I72" s="7" t="s">
        <v>51</v>
      </c>
      <c r="J72" s="6" t="s">
        <v>52</v>
      </c>
      <c r="K72" s="12">
        <v>55</v>
      </c>
      <c r="L72" s="7" t="s">
        <v>40</v>
      </c>
      <c r="M72" s="8">
        <v>116</v>
      </c>
      <c r="N72" s="8">
        <v>171</v>
      </c>
    </row>
    <row r="73" spans="1:14" x14ac:dyDescent="0.25">
      <c r="A73" s="1">
        <v>2012</v>
      </c>
      <c r="B73" s="9">
        <v>41086</v>
      </c>
      <c r="C73" s="6" t="s">
        <v>35</v>
      </c>
      <c r="D73" s="7" t="s">
        <v>36</v>
      </c>
      <c r="E73" s="6" t="s">
        <v>17</v>
      </c>
      <c r="F73" s="5" t="s">
        <v>38</v>
      </c>
      <c r="G73" s="1"/>
      <c r="H73" s="88" t="s">
        <v>43</v>
      </c>
      <c r="I73" s="7" t="s">
        <v>47</v>
      </c>
      <c r="J73" s="6" t="s">
        <v>44</v>
      </c>
      <c r="K73" s="10">
        <v>74</v>
      </c>
      <c r="L73" s="7" t="s">
        <v>3</v>
      </c>
      <c r="M73" s="1">
        <v>179</v>
      </c>
      <c r="N73" s="1">
        <v>224</v>
      </c>
    </row>
    <row r="74" spans="1:14" x14ac:dyDescent="0.25">
      <c r="A74" s="1">
        <v>2012</v>
      </c>
      <c r="B74" s="9">
        <v>41086</v>
      </c>
      <c r="C74" s="6" t="s">
        <v>35</v>
      </c>
      <c r="D74" s="7" t="s">
        <v>36</v>
      </c>
      <c r="E74" s="6" t="s">
        <v>17</v>
      </c>
      <c r="F74" s="5" t="s">
        <v>38</v>
      </c>
      <c r="G74" s="1"/>
      <c r="H74" s="88" t="s">
        <v>43</v>
      </c>
      <c r="I74" s="7" t="s">
        <v>46</v>
      </c>
      <c r="J74" s="6" t="s">
        <v>44</v>
      </c>
      <c r="K74" s="10">
        <v>77</v>
      </c>
      <c r="L74" s="7" t="s">
        <v>3</v>
      </c>
      <c r="M74" s="8">
        <v>179</v>
      </c>
      <c r="N74" s="8">
        <v>224</v>
      </c>
    </row>
    <row r="75" spans="1:14" x14ac:dyDescent="0.25">
      <c r="A75" s="1">
        <v>2012</v>
      </c>
      <c r="B75" s="9">
        <v>41086</v>
      </c>
      <c r="C75" s="6" t="s">
        <v>35</v>
      </c>
      <c r="D75" s="7" t="s">
        <v>36</v>
      </c>
      <c r="E75" s="6" t="s">
        <v>17</v>
      </c>
      <c r="F75" s="5" t="s">
        <v>38</v>
      </c>
      <c r="G75" s="1"/>
      <c r="H75" s="88" t="s">
        <v>43</v>
      </c>
      <c r="I75" s="7" t="s">
        <v>49</v>
      </c>
      <c r="J75" s="6" t="s">
        <v>50</v>
      </c>
      <c r="K75" s="10">
        <v>26</v>
      </c>
      <c r="L75" s="7" t="s">
        <v>3</v>
      </c>
      <c r="M75" s="8">
        <v>179</v>
      </c>
      <c r="N75" s="8">
        <v>224</v>
      </c>
    </row>
    <row r="76" spans="1:14" x14ac:dyDescent="0.25">
      <c r="A76" s="1">
        <v>2012</v>
      </c>
      <c r="B76" s="9">
        <v>41086</v>
      </c>
      <c r="C76" s="6" t="s">
        <v>35</v>
      </c>
      <c r="D76" s="7" t="s">
        <v>36</v>
      </c>
      <c r="E76" s="6" t="s">
        <v>17</v>
      </c>
      <c r="F76" s="5" t="s">
        <v>38</v>
      </c>
      <c r="G76" s="1"/>
      <c r="H76" s="88" t="s">
        <v>43</v>
      </c>
      <c r="I76" s="6" t="s">
        <v>48</v>
      </c>
      <c r="J76" s="6" t="s">
        <v>44</v>
      </c>
      <c r="K76" s="10">
        <v>2</v>
      </c>
      <c r="L76" s="7" t="s">
        <v>3</v>
      </c>
      <c r="M76" s="8">
        <v>179</v>
      </c>
      <c r="N76" s="8">
        <v>224</v>
      </c>
    </row>
    <row r="77" spans="1:14" x14ac:dyDescent="0.25">
      <c r="A77" s="1">
        <v>2012</v>
      </c>
      <c r="B77" s="9">
        <v>41086</v>
      </c>
      <c r="C77" s="6" t="s">
        <v>35</v>
      </c>
      <c r="D77" s="7" t="s">
        <v>36</v>
      </c>
      <c r="E77" s="6" t="s">
        <v>17</v>
      </c>
      <c r="F77" s="5" t="s">
        <v>38</v>
      </c>
      <c r="G77" s="1"/>
      <c r="H77" s="88" t="s">
        <v>43</v>
      </c>
      <c r="I77" s="7" t="s">
        <v>51</v>
      </c>
      <c r="J77" s="6" t="s">
        <v>52</v>
      </c>
      <c r="K77" s="96">
        <v>45</v>
      </c>
      <c r="L77" s="7" t="s">
        <v>3</v>
      </c>
      <c r="M77" s="8">
        <v>179</v>
      </c>
      <c r="N77" s="8">
        <v>224</v>
      </c>
    </row>
    <row r="78" spans="1:14" x14ac:dyDescent="0.25">
      <c r="A78" s="1">
        <v>2012</v>
      </c>
      <c r="B78" s="9">
        <v>41086</v>
      </c>
      <c r="C78" s="6" t="s">
        <v>35</v>
      </c>
      <c r="D78" s="7" t="s">
        <v>36</v>
      </c>
      <c r="E78" s="6" t="s">
        <v>18</v>
      </c>
      <c r="F78" s="5" t="s">
        <v>38</v>
      </c>
      <c r="G78" s="1"/>
      <c r="H78" s="88" t="s">
        <v>43</v>
      </c>
      <c r="I78" s="7" t="s">
        <v>46</v>
      </c>
      <c r="J78" s="6" t="s">
        <v>44</v>
      </c>
      <c r="K78" s="10">
        <v>83</v>
      </c>
      <c r="L78" s="7" t="s">
        <v>40</v>
      </c>
      <c r="M78" s="1">
        <v>107</v>
      </c>
      <c r="N78" s="1">
        <v>202</v>
      </c>
    </row>
    <row r="79" spans="1:14" x14ac:dyDescent="0.25">
      <c r="A79" s="1">
        <v>2012</v>
      </c>
      <c r="B79" s="9">
        <v>41086</v>
      </c>
      <c r="C79" s="6" t="s">
        <v>35</v>
      </c>
      <c r="D79" s="7" t="s">
        <v>36</v>
      </c>
      <c r="E79" s="6" t="s">
        <v>18</v>
      </c>
      <c r="F79" s="5" t="s">
        <v>38</v>
      </c>
      <c r="G79" s="1"/>
      <c r="H79" s="88" t="s">
        <v>43</v>
      </c>
      <c r="I79" s="6" t="s">
        <v>48</v>
      </c>
      <c r="J79" s="6" t="s">
        <v>44</v>
      </c>
      <c r="K79" s="10">
        <v>24</v>
      </c>
      <c r="L79" s="7" t="s">
        <v>40</v>
      </c>
      <c r="M79" s="8">
        <v>107</v>
      </c>
      <c r="N79" s="8">
        <v>202</v>
      </c>
    </row>
    <row r="80" spans="1:14" x14ac:dyDescent="0.25">
      <c r="A80" s="1">
        <v>2012</v>
      </c>
      <c r="B80" s="9">
        <v>41086</v>
      </c>
      <c r="C80" s="6" t="s">
        <v>35</v>
      </c>
      <c r="D80" s="7" t="s">
        <v>36</v>
      </c>
      <c r="E80" s="6" t="s">
        <v>18</v>
      </c>
      <c r="F80" s="5" t="s">
        <v>38</v>
      </c>
      <c r="G80" s="1"/>
      <c r="H80" s="88" t="s">
        <v>43</v>
      </c>
      <c r="I80" s="7" t="s">
        <v>51</v>
      </c>
      <c r="J80" s="6" t="s">
        <v>52</v>
      </c>
      <c r="K80" s="96">
        <f>N78-M78</f>
        <v>95</v>
      </c>
      <c r="L80" s="7" t="s">
        <v>40</v>
      </c>
      <c r="M80" s="8">
        <v>107</v>
      </c>
      <c r="N80" s="8">
        <v>202</v>
      </c>
    </row>
    <row r="81" spans="1:14" x14ac:dyDescent="0.25">
      <c r="A81" s="1">
        <v>2012</v>
      </c>
      <c r="B81" s="95">
        <v>41088</v>
      </c>
      <c r="C81" s="6" t="s">
        <v>35</v>
      </c>
      <c r="D81" s="7" t="s">
        <v>1</v>
      </c>
      <c r="E81" s="7" t="s">
        <v>19</v>
      </c>
      <c r="F81" s="5" t="s">
        <v>38</v>
      </c>
      <c r="G81" s="1"/>
      <c r="H81" s="88" t="s">
        <v>43</v>
      </c>
      <c r="I81" s="7" t="s">
        <v>46</v>
      </c>
      <c r="J81" s="6" t="s">
        <v>44</v>
      </c>
      <c r="K81" s="10">
        <v>96</v>
      </c>
      <c r="L81" s="7" t="s">
        <v>40</v>
      </c>
      <c r="M81" s="1">
        <v>141</v>
      </c>
      <c r="N81" s="1">
        <v>216</v>
      </c>
    </row>
    <row r="82" spans="1:14" x14ac:dyDescent="0.25">
      <c r="A82" s="1">
        <v>2012</v>
      </c>
      <c r="B82" s="95">
        <v>41088</v>
      </c>
      <c r="C82" s="6" t="s">
        <v>35</v>
      </c>
      <c r="D82" s="7" t="s">
        <v>1</v>
      </c>
      <c r="E82" s="7" t="s">
        <v>19</v>
      </c>
      <c r="F82" s="5" t="s">
        <v>38</v>
      </c>
      <c r="G82" s="1"/>
      <c r="H82" s="88" t="s">
        <v>43</v>
      </c>
      <c r="I82" s="7" t="s">
        <v>61</v>
      </c>
      <c r="J82" s="6" t="s">
        <v>44</v>
      </c>
      <c r="K82" s="10">
        <v>2</v>
      </c>
      <c r="L82" s="7" t="s">
        <v>40</v>
      </c>
      <c r="M82" s="8">
        <v>141</v>
      </c>
      <c r="N82" s="8">
        <v>216</v>
      </c>
    </row>
    <row r="83" spans="1:14" x14ac:dyDescent="0.25">
      <c r="A83" s="1">
        <v>2012</v>
      </c>
      <c r="B83" s="95">
        <v>41088</v>
      </c>
      <c r="C83" s="6" t="s">
        <v>35</v>
      </c>
      <c r="D83" s="7" t="s">
        <v>1</v>
      </c>
      <c r="E83" s="7" t="s">
        <v>19</v>
      </c>
      <c r="F83" s="5" t="s">
        <v>38</v>
      </c>
      <c r="G83" s="1"/>
      <c r="H83" s="88" t="s">
        <v>43</v>
      </c>
      <c r="I83" s="7" t="s">
        <v>57</v>
      </c>
      <c r="J83" s="6" t="s">
        <v>54</v>
      </c>
      <c r="K83" s="10">
        <v>27</v>
      </c>
      <c r="L83" s="7" t="s">
        <v>40</v>
      </c>
      <c r="M83" s="8">
        <v>141</v>
      </c>
      <c r="N83" s="8">
        <v>216</v>
      </c>
    </row>
    <row r="84" spans="1:14" x14ac:dyDescent="0.25">
      <c r="A84" s="1">
        <v>2012</v>
      </c>
      <c r="B84" s="95">
        <v>41088</v>
      </c>
      <c r="C84" s="6" t="s">
        <v>35</v>
      </c>
      <c r="D84" s="7" t="s">
        <v>1</v>
      </c>
      <c r="E84" s="7" t="s">
        <v>19</v>
      </c>
      <c r="F84" s="5" t="s">
        <v>38</v>
      </c>
      <c r="G84" s="1"/>
      <c r="H84" s="88" t="s">
        <v>43</v>
      </c>
      <c r="I84" s="7" t="s">
        <v>53</v>
      </c>
      <c r="J84" s="6" t="s">
        <v>54</v>
      </c>
      <c r="K84" s="10">
        <v>16</v>
      </c>
      <c r="L84" s="7" t="s">
        <v>40</v>
      </c>
      <c r="M84" s="8">
        <v>141</v>
      </c>
      <c r="N84" s="8">
        <v>216</v>
      </c>
    </row>
    <row r="85" spans="1:14" x14ac:dyDescent="0.25">
      <c r="A85" s="1">
        <v>2012</v>
      </c>
      <c r="B85" s="95">
        <v>41088</v>
      </c>
      <c r="C85" s="6" t="s">
        <v>35</v>
      </c>
      <c r="D85" s="7" t="s">
        <v>1</v>
      </c>
      <c r="E85" s="7" t="s">
        <v>19</v>
      </c>
      <c r="F85" s="5" t="s">
        <v>38</v>
      </c>
      <c r="G85" s="1"/>
      <c r="H85" s="88" t="s">
        <v>43</v>
      </c>
      <c r="I85" s="7" t="s">
        <v>51</v>
      </c>
      <c r="J85" s="6" t="s">
        <v>52</v>
      </c>
      <c r="K85" s="96">
        <f>N81-M81</f>
        <v>75</v>
      </c>
      <c r="L85" s="7" t="s">
        <v>40</v>
      </c>
      <c r="M85" s="8">
        <v>141</v>
      </c>
      <c r="N85" s="8">
        <v>216</v>
      </c>
    </row>
    <row r="86" spans="1:14" x14ac:dyDescent="0.25">
      <c r="A86" s="1">
        <v>2012</v>
      </c>
      <c r="B86" s="95">
        <v>41088</v>
      </c>
      <c r="C86" s="6" t="s">
        <v>35</v>
      </c>
      <c r="D86" s="7" t="s">
        <v>1</v>
      </c>
      <c r="E86" s="7" t="s">
        <v>20</v>
      </c>
      <c r="F86" s="5" t="s">
        <v>38</v>
      </c>
      <c r="G86" s="1"/>
      <c r="H86" s="88" t="s">
        <v>43</v>
      </c>
      <c r="I86" s="7" t="s">
        <v>46</v>
      </c>
      <c r="J86" s="6" t="s">
        <v>44</v>
      </c>
      <c r="K86" s="10">
        <v>28</v>
      </c>
      <c r="L86" s="7" t="s">
        <v>3</v>
      </c>
      <c r="M86" s="1">
        <v>143</v>
      </c>
      <c r="N86" s="1">
        <v>223</v>
      </c>
    </row>
    <row r="87" spans="1:14" x14ac:dyDescent="0.25">
      <c r="A87" s="1">
        <v>2012</v>
      </c>
      <c r="B87" s="95">
        <v>41088</v>
      </c>
      <c r="C87" s="6" t="s">
        <v>35</v>
      </c>
      <c r="D87" s="7" t="s">
        <v>1</v>
      </c>
      <c r="E87" s="7" t="s">
        <v>20</v>
      </c>
      <c r="F87" s="5" t="s">
        <v>38</v>
      </c>
      <c r="G87" s="1"/>
      <c r="H87" s="88" t="s">
        <v>43</v>
      </c>
      <c r="I87" s="7" t="s">
        <v>47</v>
      </c>
      <c r="J87" s="6" t="s">
        <v>44</v>
      </c>
      <c r="K87" s="10">
        <v>66</v>
      </c>
      <c r="L87" s="7" t="s">
        <v>3</v>
      </c>
      <c r="M87" s="1">
        <v>143</v>
      </c>
      <c r="N87" s="1">
        <v>223</v>
      </c>
    </row>
    <row r="88" spans="1:14" x14ac:dyDescent="0.25">
      <c r="A88" s="1">
        <v>2012</v>
      </c>
      <c r="B88" s="95">
        <v>41088</v>
      </c>
      <c r="C88" s="6" t="s">
        <v>35</v>
      </c>
      <c r="D88" s="7" t="s">
        <v>1</v>
      </c>
      <c r="E88" s="7" t="s">
        <v>20</v>
      </c>
      <c r="F88" s="5" t="s">
        <v>38</v>
      </c>
      <c r="G88" s="1"/>
      <c r="H88" s="88" t="s">
        <v>43</v>
      </c>
      <c r="I88" s="7" t="s">
        <v>57</v>
      </c>
      <c r="J88" s="6" t="s">
        <v>54</v>
      </c>
      <c r="K88" s="10">
        <v>32</v>
      </c>
      <c r="L88" s="7" t="s">
        <v>3</v>
      </c>
      <c r="M88" s="1">
        <v>143</v>
      </c>
      <c r="N88" s="1">
        <v>223</v>
      </c>
    </row>
    <row r="89" spans="1:14" x14ac:dyDescent="0.25">
      <c r="A89" s="1">
        <v>2012</v>
      </c>
      <c r="B89" s="95">
        <v>41088</v>
      </c>
      <c r="C89" s="6" t="s">
        <v>35</v>
      </c>
      <c r="D89" s="7" t="s">
        <v>1</v>
      </c>
      <c r="E89" s="7" t="s">
        <v>20</v>
      </c>
      <c r="F89" s="5" t="s">
        <v>38</v>
      </c>
      <c r="G89" s="1"/>
      <c r="H89" s="88" t="s">
        <v>43</v>
      </c>
      <c r="I89" s="7" t="s">
        <v>53</v>
      </c>
      <c r="J89" s="6" t="s">
        <v>54</v>
      </c>
      <c r="K89" s="10">
        <v>11</v>
      </c>
      <c r="L89" s="7" t="s">
        <v>3</v>
      </c>
      <c r="M89" s="1">
        <v>143</v>
      </c>
      <c r="N89" s="1">
        <v>223</v>
      </c>
    </row>
    <row r="90" spans="1:14" x14ac:dyDescent="0.25">
      <c r="A90" s="1">
        <v>2012</v>
      </c>
      <c r="B90" s="95">
        <v>41088</v>
      </c>
      <c r="C90" s="6" t="s">
        <v>35</v>
      </c>
      <c r="D90" s="7" t="s">
        <v>1</v>
      </c>
      <c r="E90" s="7" t="s">
        <v>20</v>
      </c>
      <c r="F90" s="5" t="s">
        <v>38</v>
      </c>
      <c r="G90" s="1"/>
      <c r="H90" s="88" t="s">
        <v>43</v>
      </c>
      <c r="I90" s="7" t="s">
        <v>55</v>
      </c>
      <c r="J90" s="6" t="s">
        <v>56</v>
      </c>
      <c r="K90" s="10">
        <v>4</v>
      </c>
      <c r="L90" s="7" t="s">
        <v>3</v>
      </c>
      <c r="M90" s="1">
        <v>143</v>
      </c>
      <c r="N90" s="1">
        <v>223</v>
      </c>
    </row>
    <row r="91" spans="1:14" x14ac:dyDescent="0.25">
      <c r="A91" s="1">
        <v>2012</v>
      </c>
      <c r="B91" s="95">
        <v>41088</v>
      </c>
      <c r="C91" s="6" t="s">
        <v>35</v>
      </c>
      <c r="D91" s="7" t="s">
        <v>1</v>
      </c>
      <c r="E91" s="7" t="s">
        <v>20</v>
      </c>
      <c r="F91" s="5" t="s">
        <v>38</v>
      </c>
      <c r="G91" s="1"/>
      <c r="H91" s="88" t="s">
        <v>43</v>
      </c>
      <c r="I91" s="6" t="s">
        <v>48</v>
      </c>
      <c r="J91" s="6" t="s">
        <v>44</v>
      </c>
      <c r="K91" s="10">
        <v>2</v>
      </c>
      <c r="L91" s="7" t="s">
        <v>3</v>
      </c>
      <c r="M91" s="1">
        <v>143</v>
      </c>
      <c r="N91" s="1">
        <v>223</v>
      </c>
    </row>
    <row r="92" spans="1:14" x14ac:dyDescent="0.25">
      <c r="A92" s="1">
        <v>2012</v>
      </c>
      <c r="B92" s="95">
        <v>41088</v>
      </c>
      <c r="C92" s="6" t="s">
        <v>35</v>
      </c>
      <c r="D92" s="7" t="s">
        <v>1</v>
      </c>
      <c r="E92" s="7" t="s">
        <v>20</v>
      </c>
      <c r="F92" s="5" t="s">
        <v>38</v>
      </c>
      <c r="G92" s="1"/>
      <c r="H92" s="88" t="s">
        <v>43</v>
      </c>
      <c r="I92" s="7" t="s">
        <v>51</v>
      </c>
      <c r="J92" s="6" t="s">
        <v>52</v>
      </c>
      <c r="K92" s="96">
        <f>N86-M86</f>
        <v>80</v>
      </c>
      <c r="L92" s="7" t="s">
        <v>3</v>
      </c>
      <c r="M92" s="1">
        <v>143</v>
      </c>
      <c r="N92" s="1">
        <v>223</v>
      </c>
    </row>
    <row r="93" spans="1:14" x14ac:dyDescent="0.25">
      <c r="A93" s="1">
        <v>2012</v>
      </c>
      <c r="B93" s="95">
        <v>41089</v>
      </c>
      <c r="C93" s="6" t="s">
        <v>35</v>
      </c>
      <c r="D93" s="7" t="s">
        <v>1</v>
      </c>
      <c r="E93" s="7" t="s">
        <v>21</v>
      </c>
      <c r="F93" s="5" t="s">
        <v>38</v>
      </c>
      <c r="G93" s="1"/>
      <c r="H93" s="88" t="s">
        <v>43</v>
      </c>
      <c r="I93" s="7" t="s">
        <v>46</v>
      </c>
      <c r="J93" s="7" t="s">
        <v>44</v>
      </c>
      <c r="K93" s="11">
        <v>54</v>
      </c>
      <c r="L93" s="7" t="s">
        <v>3</v>
      </c>
      <c r="M93" s="1">
        <v>159</v>
      </c>
      <c r="N93" s="1">
        <v>239</v>
      </c>
    </row>
    <row r="94" spans="1:14" x14ac:dyDescent="0.25">
      <c r="A94" s="1">
        <v>2012</v>
      </c>
      <c r="B94" s="95">
        <v>41089</v>
      </c>
      <c r="C94" s="6" t="s">
        <v>35</v>
      </c>
      <c r="D94" s="7" t="s">
        <v>1</v>
      </c>
      <c r="E94" s="7" t="s">
        <v>21</v>
      </c>
      <c r="F94" s="5" t="s">
        <v>38</v>
      </c>
      <c r="G94" s="1"/>
      <c r="H94" s="88" t="s">
        <v>43</v>
      </c>
      <c r="I94" s="7" t="s">
        <v>47</v>
      </c>
      <c r="J94" s="7" t="s">
        <v>44</v>
      </c>
      <c r="K94" s="11">
        <v>72</v>
      </c>
      <c r="L94" s="7" t="s">
        <v>3</v>
      </c>
      <c r="M94" s="8">
        <v>159</v>
      </c>
      <c r="N94" s="8">
        <v>239</v>
      </c>
    </row>
    <row r="95" spans="1:14" x14ac:dyDescent="0.25">
      <c r="A95" s="1">
        <v>2012</v>
      </c>
      <c r="B95" s="95">
        <v>41089</v>
      </c>
      <c r="C95" s="6" t="s">
        <v>35</v>
      </c>
      <c r="D95" s="7" t="s">
        <v>1</v>
      </c>
      <c r="E95" s="7" t="s">
        <v>21</v>
      </c>
      <c r="F95" s="5" t="s">
        <v>38</v>
      </c>
      <c r="G95" s="1"/>
      <c r="H95" s="88" t="s">
        <v>43</v>
      </c>
      <c r="I95" s="7" t="s">
        <v>53</v>
      </c>
      <c r="J95" s="7" t="s">
        <v>54</v>
      </c>
      <c r="K95" s="11">
        <v>33</v>
      </c>
      <c r="L95" s="7" t="s">
        <v>3</v>
      </c>
      <c r="M95" s="8">
        <v>159</v>
      </c>
      <c r="N95" s="8">
        <v>239</v>
      </c>
    </row>
    <row r="96" spans="1:14" x14ac:dyDescent="0.25">
      <c r="A96" s="1">
        <v>2012</v>
      </c>
      <c r="B96" s="95">
        <v>41089</v>
      </c>
      <c r="C96" s="6" t="s">
        <v>35</v>
      </c>
      <c r="D96" s="7" t="s">
        <v>1</v>
      </c>
      <c r="E96" s="7" t="s">
        <v>21</v>
      </c>
      <c r="F96" s="5" t="s">
        <v>38</v>
      </c>
      <c r="G96" s="1"/>
      <c r="H96" s="88" t="s">
        <v>43</v>
      </c>
      <c r="I96" s="7" t="s">
        <v>51</v>
      </c>
      <c r="J96" s="7" t="s">
        <v>52</v>
      </c>
      <c r="K96" s="12">
        <v>80</v>
      </c>
      <c r="L96" s="7" t="s">
        <v>3</v>
      </c>
      <c r="M96" s="8">
        <v>159</v>
      </c>
      <c r="N96" s="8">
        <v>239</v>
      </c>
    </row>
    <row r="97" spans="1:14" x14ac:dyDescent="0.25">
      <c r="A97" s="1">
        <v>2012</v>
      </c>
      <c r="B97" s="95">
        <v>41089</v>
      </c>
      <c r="C97" s="6" t="s">
        <v>35</v>
      </c>
      <c r="D97" s="7" t="s">
        <v>1</v>
      </c>
      <c r="E97" s="7" t="s">
        <v>22</v>
      </c>
      <c r="F97" s="5" t="s">
        <v>38</v>
      </c>
      <c r="G97" s="1"/>
      <c r="H97" s="88" t="s">
        <v>43</v>
      </c>
      <c r="I97" s="7" t="s">
        <v>46</v>
      </c>
      <c r="J97" s="97" t="s">
        <v>44</v>
      </c>
      <c r="K97" s="98">
        <v>75</v>
      </c>
      <c r="L97" s="7" t="s">
        <v>40</v>
      </c>
      <c r="M97" s="1">
        <v>171</v>
      </c>
      <c r="N97" s="1">
        <v>256</v>
      </c>
    </row>
    <row r="98" spans="1:14" x14ac:dyDescent="0.25">
      <c r="A98" s="1">
        <v>2012</v>
      </c>
      <c r="B98" s="95">
        <v>41089</v>
      </c>
      <c r="C98" s="6" t="s">
        <v>35</v>
      </c>
      <c r="D98" s="7" t="s">
        <v>1</v>
      </c>
      <c r="E98" s="7" t="s">
        <v>22</v>
      </c>
      <c r="F98" s="5" t="s">
        <v>38</v>
      </c>
      <c r="G98" s="1"/>
      <c r="H98" s="88" t="s">
        <v>43</v>
      </c>
      <c r="I98" s="7" t="s">
        <v>47</v>
      </c>
      <c r="J98" s="97" t="s">
        <v>44</v>
      </c>
      <c r="K98" s="98">
        <v>17</v>
      </c>
      <c r="L98" s="7" t="s">
        <v>40</v>
      </c>
      <c r="M98" s="8">
        <v>171</v>
      </c>
      <c r="N98" s="8">
        <v>256</v>
      </c>
    </row>
    <row r="99" spans="1:14" x14ac:dyDescent="0.25">
      <c r="A99" s="1">
        <v>2012</v>
      </c>
      <c r="B99" s="95">
        <v>41089</v>
      </c>
      <c r="C99" s="6" t="s">
        <v>35</v>
      </c>
      <c r="D99" s="7" t="s">
        <v>1</v>
      </c>
      <c r="E99" s="7" t="s">
        <v>22</v>
      </c>
      <c r="F99" s="5" t="s">
        <v>38</v>
      </c>
      <c r="G99" s="1"/>
      <c r="H99" s="88" t="s">
        <v>43</v>
      </c>
      <c r="I99" s="7" t="s">
        <v>49</v>
      </c>
      <c r="J99" s="97" t="s">
        <v>50</v>
      </c>
      <c r="K99" s="98">
        <v>16</v>
      </c>
      <c r="L99" s="7" t="s">
        <v>40</v>
      </c>
      <c r="M99" s="8">
        <v>171</v>
      </c>
      <c r="N99" s="8">
        <v>256</v>
      </c>
    </row>
    <row r="100" spans="1:14" x14ac:dyDescent="0.25">
      <c r="A100" s="1">
        <v>2012</v>
      </c>
      <c r="B100" s="95">
        <v>41089</v>
      </c>
      <c r="C100" s="6" t="s">
        <v>35</v>
      </c>
      <c r="D100" s="7" t="s">
        <v>1</v>
      </c>
      <c r="E100" s="7" t="s">
        <v>22</v>
      </c>
      <c r="F100" s="5" t="s">
        <v>38</v>
      </c>
      <c r="G100" s="1"/>
      <c r="H100" s="88" t="s">
        <v>43</v>
      </c>
      <c r="I100" s="6" t="s">
        <v>48</v>
      </c>
      <c r="J100" s="97" t="s">
        <v>44</v>
      </c>
      <c r="K100" s="98">
        <v>41</v>
      </c>
      <c r="L100" s="7" t="s">
        <v>40</v>
      </c>
      <c r="M100" s="8">
        <v>171</v>
      </c>
      <c r="N100" s="8">
        <v>256</v>
      </c>
    </row>
    <row r="101" spans="1:14" x14ac:dyDescent="0.25">
      <c r="A101" s="1">
        <v>2012</v>
      </c>
      <c r="B101" s="95">
        <v>41089</v>
      </c>
      <c r="C101" s="6" t="s">
        <v>35</v>
      </c>
      <c r="D101" s="7" t="s">
        <v>1</v>
      </c>
      <c r="E101" s="7" t="s">
        <v>22</v>
      </c>
      <c r="F101" s="5" t="s">
        <v>38</v>
      </c>
      <c r="G101" s="1"/>
      <c r="H101" s="88" t="s">
        <v>43</v>
      </c>
      <c r="I101" s="7" t="s">
        <v>55</v>
      </c>
      <c r="J101" s="97" t="s">
        <v>56</v>
      </c>
      <c r="K101" s="98">
        <v>22</v>
      </c>
      <c r="L101" s="7" t="s">
        <v>40</v>
      </c>
      <c r="M101" s="8">
        <v>171</v>
      </c>
      <c r="N101" s="8">
        <v>256</v>
      </c>
    </row>
    <row r="102" spans="1:14" x14ac:dyDescent="0.25">
      <c r="A102" s="1">
        <v>2012</v>
      </c>
      <c r="B102" s="95">
        <v>41089</v>
      </c>
      <c r="C102" s="6" t="s">
        <v>35</v>
      </c>
      <c r="D102" s="7" t="s">
        <v>1</v>
      </c>
      <c r="E102" s="7" t="s">
        <v>22</v>
      </c>
      <c r="F102" s="5" t="s">
        <v>38</v>
      </c>
      <c r="G102" s="1"/>
      <c r="H102" s="88" t="s">
        <v>43</v>
      </c>
      <c r="I102" s="7" t="s">
        <v>53</v>
      </c>
      <c r="J102" s="97" t="s">
        <v>54</v>
      </c>
      <c r="K102" s="98">
        <v>8</v>
      </c>
      <c r="L102" s="7" t="s">
        <v>40</v>
      </c>
      <c r="M102" s="8">
        <v>171</v>
      </c>
      <c r="N102" s="8">
        <v>256</v>
      </c>
    </row>
    <row r="103" spans="1:14" x14ac:dyDescent="0.25">
      <c r="A103" s="1">
        <v>2012</v>
      </c>
      <c r="B103" s="95">
        <v>41089</v>
      </c>
      <c r="C103" s="6" t="s">
        <v>35</v>
      </c>
      <c r="D103" s="7" t="s">
        <v>1</v>
      </c>
      <c r="E103" s="7" t="s">
        <v>22</v>
      </c>
      <c r="F103" s="5" t="s">
        <v>38</v>
      </c>
      <c r="G103" s="1"/>
      <c r="H103" s="88" t="s">
        <v>43</v>
      </c>
      <c r="I103" s="7" t="s">
        <v>51</v>
      </c>
      <c r="J103" s="97" t="s">
        <v>52</v>
      </c>
      <c r="K103" s="98">
        <v>85</v>
      </c>
      <c r="L103" s="7" t="s">
        <v>40</v>
      </c>
      <c r="M103" s="8">
        <v>171</v>
      </c>
      <c r="N103" s="8">
        <v>256</v>
      </c>
    </row>
    <row r="104" spans="1:14" x14ac:dyDescent="0.25">
      <c r="A104" s="1">
        <v>2012</v>
      </c>
      <c r="B104" s="9">
        <v>41097</v>
      </c>
      <c r="C104" s="6" t="s">
        <v>35</v>
      </c>
      <c r="D104" s="7" t="s">
        <v>36</v>
      </c>
      <c r="E104" s="6" t="s">
        <v>23</v>
      </c>
      <c r="F104" s="5" t="s">
        <v>38</v>
      </c>
      <c r="G104" s="1"/>
      <c r="H104" s="88" t="s">
        <v>43</v>
      </c>
      <c r="I104" s="7" t="s">
        <v>47</v>
      </c>
      <c r="J104" s="6" t="s">
        <v>44</v>
      </c>
      <c r="K104" s="10">
        <v>88</v>
      </c>
      <c r="L104" s="7" t="s">
        <v>3</v>
      </c>
      <c r="M104" s="1">
        <v>118</v>
      </c>
      <c r="N104" s="1">
        <v>178</v>
      </c>
    </row>
    <row r="105" spans="1:14" x14ac:dyDescent="0.25">
      <c r="A105" s="1">
        <v>2012</v>
      </c>
      <c r="B105" s="9">
        <v>41097</v>
      </c>
      <c r="C105" s="6" t="s">
        <v>35</v>
      </c>
      <c r="D105" s="7" t="s">
        <v>36</v>
      </c>
      <c r="E105" s="6" t="s">
        <v>23</v>
      </c>
      <c r="F105" s="5" t="s">
        <v>38</v>
      </c>
      <c r="G105" s="1"/>
      <c r="H105" s="88" t="s">
        <v>43</v>
      </c>
      <c r="I105" s="7" t="s">
        <v>55</v>
      </c>
      <c r="J105" s="6" t="s">
        <v>56</v>
      </c>
      <c r="K105" s="10">
        <v>15</v>
      </c>
      <c r="L105" s="7" t="s">
        <v>3</v>
      </c>
      <c r="M105" s="1">
        <v>118</v>
      </c>
      <c r="N105" s="1">
        <v>178</v>
      </c>
    </row>
    <row r="106" spans="1:14" x14ac:dyDescent="0.25">
      <c r="A106" s="1">
        <v>2012</v>
      </c>
      <c r="B106" s="9">
        <v>41097</v>
      </c>
      <c r="C106" s="6" t="s">
        <v>35</v>
      </c>
      <c r="D106" s="7" t="s">
        <v>36</v>
      </c>
      <c r="E106" s="6" t="s">
        <v>23</v>
      </c>
      <c r="F106" s="5" t="s">
        <v>38</v>
      </c>
      <c r="G106" s="1"/>
      <c r="H106" s="88" t="s">
        <v>43</v>
      </c>
      <c r="I106" s="7" t="s">
        <v>53</v>
      </c>
      <c r="J106" s="6" t="s">
        <v>54</v>
      </c>
      <c r="K106" s="10">
        <v>15</v>
      </c>
      <c r="L106" s="7" t="s">
        <v>3</v>
      </c>
      <c r="M106" s="1">
        <v>118</v>
      </c>
      <c r="N106" s="1">
        <v>178</v>
      </c>
    </row>
    <row r="107" spans="1:14" x14ac:dyDescent="0.25">
      <c r="A107" s="1">
        <v>2012</v>
      </c>
      <c r="B107" s="9">
        <v>41097</v>
      </c>
      <c r="C107" s="6" t="s">
        <v>35</v>
      </c>
      <c r="D107" s="7" t="s">
        <v>36</v>
      </c>
      <c r="E107" s="6" t="s">
        <v>23</v>
      </c>
      <c r="F107" s="5" t="s">
        <v>38</v>
      </c>
      <c r="G107" s="1"/>
      <c r="H107" s="88" t="s">
        <v>43</v>
      </c>
      <c r="I107" s="7" t="s">
        <v>51</v>
      </c>
      <c r="J107" s="6" t="s">
        <v>52</v>
      </c>
      <c r="K107" s="10">
        <v>60</v>
      </c>
      <c r="L107" s="7" t="s">
        <v>3</v>
      </c>
      <c r="M107" s="1">
        <v>118</v>
      </c>
      <c r="N107" s="1">
        <v>178</v>
      </c>
    </row>
    <row r="108" spans="1:14" x14ac:dyDescent="0.25">
      <c r="A108" s="1">
        <v>2012</v>
      </c>
      <c r="B108" s="9">
        <v>41097</v>
      </c>
      <c r="C108" s="6" t="s">
        <v>35</v>
      </c>
      <c r="D108" s="7" t="s">
        <v>36</v>
      </c>
      <c r="E108" s="6" t="s">
        <v>24</v>
      </c>
      <c r="F108" s="5" t="s">
        <v>38</v>
      </c>
      <c r="G108" s="1"/>
      <c r="H108" s="88" t="s">
        <v>43</v>
      </c>
      <c r="I108" s="7" t="s">
        <v>46</v>
      </c>
      <c r="J108" s="6" t="s">
        <v>44</v>
      </c>
      <c r="K108" s="10">
        <v>74</v>
      </c>
      <c r="L108" s="7" t="s">
        <v>40</v>
      </c>
      <c r="M108" s="1">
        <v>151</v>
      </c>
      <c r="N108" s="1">
        <v>241</v>
      </c>
    </row>
    <row r="109" spans="1:14" x14ac:dyDescent="0.25">
      <c r="A109" s="1">
        <v>2012</v>
      </c>
      <c r="B109" s="9">
        <v>41097</v>
      </c>
      <c r="C109" s="6" t="s">
        <v>35</v>
      </c>
      <c r="D109" s="7" t="s">
        <v>36</v>
      </c>
      <c r="E109" s="6" t="s">
        <v>24</v>
      </c>
      <c r="F109" s="5" t="s">
        <v>38</v>
      </c>
      <c r="G109" s="1"/>
      <c r="H109" s="88" t="s">
        <v>43</v>
      </c>
      <c r="I109" s="7" t="s">
        <v>47</v>
      </c>
      <c r="J109" s="6" t="s">
        <v>44</v>
      </c>
      <c r="K109" s="10">
        <v>9</v>
      </c>
      <c r="L109" s="7" t="s">
        <v>40</v>
      </c>
      <c r="M109" s="1">
        <v>151</v>
      </c>
      <c r="N109" s="1">
        <v>241</v>
      </c>
    </row>
    <row r="110" spans="1:14" x14ac:dyDescent="0.25">
      <c r="A110" s="1">
        <v>2012</v>
      </c>
      <c r="B110" s="9">
        <v>41097</v>
      </c>
      <c r="C110" s="6" t="s">
        <v>35</v>
      </c>
      <c r="D110" s="7" t="s">
        <v>36</v>
      </c>
      <c r="E110" s="6" t="s">
        <v>24</v>
      </c>
      <c r="F110" s="5" t="s">
        <v>38</v>
      </c>
      <c r="G110" s="1"/>
      <c r="H110" s="88" t="s">
        <v>43</v>
      </c>
      <c r="I110" s="7" t="s">
        <v>55</v>
      </c>
      <c r="J110" s="6" t="s">
        <v>56</v>
      </c>
      <c r="K110" s="10">
        <v>52</v>
      </c>
      <c r="L110" s="7" t="s">
        <v>40</v>
      </c>
      <c r="M110" s="1">
        <v>151</v>
      </c>
      <c r="N110" s="1">
        <v>241</v>
      </c>
    </row>
    <row r="111" spans="1:14" x14ac:dyDescent="0.25">
      <c r="A111" s="1">
        <v>2012</v>
      </c>
      <c r="B111" s="9">
        <v>41097</v>
      </c>
      <c r="C111" s="6" t="s">
        <v>35</v>
      </c>
      <c r="D111" s="7" t="s">
        <v>36</v>
      </c>
      <c r="E111" s="6" t="s">
        <v>24</v>
      </c>
      <c r="F111" s="5" t="s">
        <v>38</v>
      </c>
      <c r="G111" s="1"/>
      <c r="H111" s="88" t="s">
        <v>43</v>
      </c>
      <c r="I111" s="7" t="s">
        <v>53</v>
      </c>
      <c r="J111" s="6" t="s">
        <v>54</v>
      </c>
      <c r="K111" s="10">
        <v>8</v>
      </c>
      <c r="L111" s="7" t="s">
        <v>40</v>
      </c>
      <c r="M111" s="1">
        <v>151</v>
      </c>
      <c r="N111" s="1">
        <v>241</v>
      </c>
    </row>
    <row r="112" spans="1:14" x14ac:dyDescent="0.25">
      <c r="A112" s="1">
        <v>2012</v>
      </c>
      <c r="B112" s="9">
        <v>41097</v>
      </c>
      <c r="C112" s="6" t="s">
        <v>35</v>
      </c>
      <c r="D112" s="7" t="s">
        <v>36</v>
      </c>
      <c r="E112" s="6" t="s">
        <v>24</v>
      </c>
      <c r="F112" s="5" t="s">
        <v>38</v>
      </c>
      <c r="G112" s="1"/>
      <c r="H112" s="88" t="s">
        <v>43</v>
      </c>
      <c r="I112" s="7" t="s">
        <v>57</v>
      </c>
      <c r="J112" s="6" t="s">
        <v>54</v>
      </c>
      <c r="K112" s="10">
        <v>8</v>
      </c>
      <c r="L112" s="7" t="s">
        <v>40</v>
      </c>
      <c r="M112" s="1">
        <v>151</v>
      </c>
      <c r="N112" s="1">
        <v>241</v>
      </c>
    </row>
    <row r="113" spans="1:14" x14ac:dyDescent="0.25">
      <c r="A113" s="1">
        <v>2012</v>
      </c>
      <c r="B113" s="9">
        <v>41097</v>
      </c>
      <c r="C113" s="6" t="s">
        <v>35</v>
      </c>
      <c r="D113" s="7" t="s">
        <v>36</v>
      </c>
      <c r="E113" s="6" t="s">
        <v>24</v>
      </c>
      <c r="F113" s="5" t="s">
        <v>38</v>
      </c>
      <c r="G113" s="1"/>
      <c r="H113" s="88" t="s">
        <v>43</v>
      </c>
      <c r="I113" s="7" t="s">
        <v>51</v>
      </c>
      <c r="J113" s="6" t="s">
        <v>52</v>
      </c>
      <c r="K113" s="10">
        <v>90</v>
      </c>
      <c r="L113" s="7" t="s">
        <v>40</v>
      </c>
      <c r="M113" s="1">
        <v>151</v>
      </c>
      <c r="N113" s="1">
        <v>241</v>
      </c>
    </row>
    <row r="114" spans="1:14" x14ac:dyDescent="0.25">
      <c r="A114" s="1">
        <v>2012</v>
      </c>
      <c r="B114" s="9">
        <v>41103</v>
      </c>
      <c r="C114" s="6" t="s">
        <v>35</v>
      </c>
      <c r="D114" s="7" t="s">
        <v>36</v>
      </c>
      <c r="E114" s="6" t="s">
        <v>25</v>
      </c>
      <c r="F114" s="7" t="s">
        <v>38</v>
      </c>
      <c r="G114" s="1"/>
      <c r="H114" s="88" t="s">
        <v>43</v>
      </c>
      <c r="I114" s="7" t="s">
        <v>46</v>
      </c>
      <c r="J114" s="6" t="s">
        <v>44</v>
      </c>
      <c r="K114" s="10">
        <v>96</v>
      </c>
      <c r="L114" s="7" t="s">
        <v>40</v>
      </c>
      <c r="M114" s="1">
        <v>157</v>
      </c>
      <c r="N114" s="1">
        <v>212</v>
      </c>
    </row>
    <row r="115" spans="1:14" x14ac:dyDescent="0.25">
      <c r="A115" s="1">
        <v>2012</v>
      </c>
      <c r="B115" s="9">
        <v>41103</v>
      </c>
      <c r="C115" s="6" t="s">
        <v>35</v>
      </c>
      <c r="D115" s="7" t="s">
        <v>36</v>
      </c>
      <c r="E115" s="6" t="s">
        <v>25</v>
      </c>
      <c r="F115" s="7" t="s">
        <v>38</v>
      </c>
      <c r="G115" s="1"/>
      <c r="H115" s="88" t="s">
        <v>43</v>
      </c>
      <c r="I115" s="7" t="s">
        <v>60</v>
      </c>
      <c r="J115" s="6" t="s">
        <v>50</v>
      </c>
      <c r="K115" s="10">
        <v>2</v>
      </c>
      <c r="L115" s="7" t="s">
        <v>40</v>
      </c>
      <c r="M115" s="1">
        <v>157</v>
      </c>
      <c r="N115" s="1">
        <v>212</v>
      </c>
    </row>
    <row r="116" spans="1:14" x14ac:dyDescent="0.25">
      <c r="A116" s="1">
        <v>2012</v>
      </c>
      <c r="B116" s="9">
        <v>41103</v>
      </c>
      <c r="C116" s="6" t="s">
        <v>35</v>
      </c>
      <c r="D116" s="7" t="s">
        <v>36</v>
      </c>
      <c r="E116" s="6" t="s">
        <v>25</v>
      </c>
      <c r="F116" s="7" t="s">
        <v>38</v>
      </c>
      <c r="G116" s="1"/>
      <c r="H116" s="88" t="s">
        <v>43</v>
      </c>
      <c r="I116" s="6" t="s">
        <v>48</v>
      </c>
      <c r="J116" s="6" t="s">
        <v>44</v>
      </c>
      <c r="K116" s="10">
        <v>51</v>
      </c>
      <c r="L116" s="7" t="s">
        <v>40</v>
      </c>
      <c r="M116" s="1">
        <v>157</v>
      </c>
      <c r="N116" s="1">
        <v>212</v>
      </c>
    </row>
    <row r="117" spans="1:14" x14ac:dyDescent="0.25">
      <c r="A117" s="1">
        <v>2012</v>
      </c>
      <c r="B117" s="9">
        <v>41103</v>
      </c>
      <c r="C117" s="6" t="s">
        <v>35</v>
      </c>
      <c r="D117" s="7" t="s">
        <v>36</v>
      </c>
      <c r="E117" s="6" t="s">
        <v>25</v>
      </c>
      <c r="F117" s="7" t="s">
        <v>38</v>
      </c>
      <c r="G117" s="1"/>
      <c r="H117" s="88" t="s">
        <v>43</v>
      </c>
      <c r="I117" s="7" t="s">
        <v>53</v>
      </c>
      <c r="J117" s="6" t="s">
        <v>54</v>
      </c>
      <c r="K117" s="10">
        <v>1</v>
      </c>
      <c r="L117" s="7" t="s">
        <v>40</v>
      </c>
      <c r="M117" s="1">
        <v>157</v>
      </c>
      <c r="N117" s="1">
        <v>212</v>
      </c>
    </row>
    <row r="118" spans="1:14" x14ac:dyDescent="0.25">
      <c r="A118" s="1">
        <v>2012</v>
      </c>
      <c r="B118" s="9">
        <v>41103</v>
      </c>
      <c r="C118" s="6" t="s">
        <v>35</v>
      </c>
      <c r="D118" s="7" t="s">
        <v>36</v>
      </c>
      <c r="E118" s="6" t="s">
        <v>25</v>
      </c>
      <c r="F118" s="7" t="s">
        <v>38</v>
      </c>
      <c r="G118" s="1"/>
      <c r="H118" s="88" t="s">
        <v>43</v>
      </c>
      <c r="I118" s="7" t="s">
        <v>49</v>
      </c>
      <c r="J118" s="6" t="s">
        <v>50</v>
      </c>
      <c r="K118" s="10">
        <v>5</v>
      </c>
      <c r="L118" s="7" t="s">
        <v>40</v>
      </c>
      <c r="M118" s="1">
        <v>157</v>
      </c>
      <c r="N118" s="1">
        <v>212</v>
      </c>
    </row>
    <row r="119" spans="1:14" x14ac:dyDescent="0.25">
      <c r="A119" s="1">
        <v>2012</v>
      </c>
      <c r="B119" s="9">
        <v>41103</v>
      </c>
      <c r="C119" s="6" t="s">
        <v>35</v>
      </c>
      <c r="D119" s="7" t="s">
        <v>36</v>
      </c>
      <c r="E119" s="6" t="s">
        <v>25</v>
      </c>
      <c r="F119" s="7" t="s">
        <v>38</v>
      </c>
      <c r="G119" s="1"/>
      <c r="H119" s="88" t="s">
        <v>43</v>
      </c>
      <c r="I119" s="7" t="s">
        <v>55</v>
      </c>
      <c r="J119" s="6" t="s">
        <v>56</v>
      </c>
      <c r="K119" s="10">
        <v>2</v>
      </c>
      <c r="L119" s="7" t="s">
        <v>40</v>
      </c>
      <c r="M119" s="1">
        <v>157</v>
      </c>
      <c r="N119" s="1">
        <v>212</v>
      </c>
    </row>
    <row r="120" spans="1:14" x14ac:dyDescent="0.25">
      <c r="A120" s="1">
        <v>2012</v>
      </c>
      <c r="B120" s="9">
        <v>41103</v>
      </c>
      <c r="C120" s="6" t="s">
        <v>35</v>
      </c>
      <c r="D120" s="7" t="s">
        <v>36</v>
      </c>
      <c r="E120" s="6" t="s">
        <v>25</v>
      </c>
      <c r="F120" s="7" t="s">
        <v>38</v>
      </c>
      <c r="G120" s="1"/>
      <c r="H120" s="88" t="s">
        <v>43</v>
      </c>
      <c r="I120" s="7" t="s">
        <v>51</v>
      </c>
      <c r="J120" s="6" t="s">
        <v>52</v>
      </c>
      <c r="K120" s="10">
        <v>55</v>
      </c>
      <c r="L120" s="7" t="s">
        <v>40</v>
      </c>
      <c r="M120" s="1">
        <v>157</v>
      </c>
      <c r="N120" s="1">
        <v>212</v>
      </c>
    </row>
    <row r="121" spans="1:14" x14ac:dyDescent="0.25">
      <c r="A121" s="1">
        <v>2012</v>
      </c>
      <c r="B121" s="9">
        <v>41103</v>
      </c>
      <c r="C121" s="6" t="s">
        <v>35</v>
      </c>
      <c r="D121" s="6" t="s">
        <v>36</v>
      </c>
      <c r="E121" s="6" t="s">
        <v>26</v>
      </c>
      <c r="F121" s="6" t="s">
        <v>38</v>
      </c>
      <c r="G121" s="1"/>
      <c r="H121" s="88" t="s">
        <v>43</v>
      </c>
      <c r="I121" s="6" t="s">
        <v>47</v>
      </c>
      <c r="J121" s="6" t="s">
        <v>44</v>
      </c>
      <c r="K121" s="10">
        <v>15</v>
      </c>
      <c r="L121" s="6" t="s">
        <v>40</v>
      </c>
      <c r="M121" s="1">
        <v>132</v>
      </c>
      <c r="N121" s="1">
        <v>212</v>
      </c>
    </row>
    <row r="122" spans="1:14" x14ac:dyDescent="0.25">
      <c r="A122" s="1">
        <v>2012</v>
      </c>
      <c r="B122" s="9">
        <v>41103</v>
      </c>
      <c r="C122" s="6" t="s">
        <v>35</v>
      </c>
      <c r="D122" s="6" t="s">
        <v>36</v>
      </c>
      <c r="E122" s="6" t="s">
        <v>26</v>
      </c>
      <c r="F122" s="6" t="s">
        <v>38</v>
      </c>
      <c r="G122" s="1"/>
      <c r="H122" s="88" t="s">
        <v>43</v>
      </c>
      <c r="I122" s="6" t="s">
        <v>46</v>
      </c>
      <c r="J122" s="6" t="s">
        <v>44</v>
      </c>
      <c r="K122" s="10">
        <v>79</v>
      </c>
      <c r="L122" s="6" t="s">
        <v>40</v>
      </c>
      <c r="M122" s="1">
        <v>132</v>
      </c>
      <c r="N122" s="1">
        <v>212</v>
      </c>
    </row>
    <row r="123" spans="1:14" x14ac:dyDescent="0.25">
      <c r="A123" s="1">
        <v>2012</v>
      </c>
      <c r="B123" s="9">
        <v>41103</v>
      </c>
      <c r="C123" s="6" t="s">
        <v>35</v>
      </c>
      <c r="D123" s="6" t="s">
        <v>36</v>
      </c>
      <c r="E123" s="6" t="s">
        <v>26</v>
      </c>
      <c r="F123" s="6" t="s">
        <v>38</v>
      </c>
      <c r="G123" s="1"/>
      <c r="H123" s="88" t="s">
        <v>43</v>
      </c>
      <c r="I123" s="6" t="s">
        <v>49</v>
      </c>
      <c r="J123" s="6" t="s">
        <v>50</v>
      </c>
      <c r="K123" s="10">
        <v>24</v>
      </c>
      <c r="L123" s="6" t="s">
        <v>40</v>
      </c>
      <c r="M123" s="1">
        <v>132</v>
      </c>
      <c r="N123" s="1">
        <v>212</v>
      </c>
    </row>
    <row r="124" spans="1:14" x14ac:dyDescent="0.25">
      <c r="A124" s="1">
        <v>2012</v>
      </c>
      <c r="B124" s="9">
        <v>41103</v>
      </c>
      <c r="C124" s="6" t="s">
        <v>35</v>
      </c>
      <c r="D124" s="6" t="s">
        <v>36</v>
      </c>
      <c r="E124" s="6" t="s">
        <v>26</v>
      </c>
      <c r="F124" s="6" t="s">
        <v>38</v>
      </c>
      <c r="G124" s="1"/>
      <c r="H124" s="88" t="s">
        <v>43</v>
      </c>
      <c r="I124" s="6" t="s">
        <v>62</v>
      </c>
      <c r="J124" s="6" t="s">
        <v>50</v>
      </c>
      <c r="K124" s="10">
        <v>3</v>
      </c>
      <c r="L124" s="6" t="s">
        <v>40</v>
      </c>
      <c r="M124" s="1">
        <v>132</v>
      </c>
      <c r="N124" s="1">
        <v>212</v>
      </c>
    </row>
    <row r="125" spans="1:14" x14ac:dyDescent="0.25">
      <c r="A125" s="1">
        <v>2012</v>
      </c>
      <c r="B125" s="9">
        <v>41103</v>
      </c>
      <c r="C125" s="6" t="s">
        <v>35</v>
      </c>
      <c r="D125" s="6" t="s">
        <v>36</v>
      </c>
      <c r="E125" s="6" t="s">
        <v>26</v>
      </c>
      <c r="F125" s="6" t="s">
        <v>38</v>
      </c>
      <c r="G125" s="1"/>
      <c r="H125" s="88" t="s">
        <v>43</v>
      </c>
      <c r="I125" s="6" t="s">
        <v>55</v>
      </c>
      <c r="J125" s="6" t="s">
        <v>56</v>
      </c>
      <c r="K125" s="10">
        <v>8</v>
      </c>
      <c r="L125" s="6" t="s">
        <v>40</v>
      </c>
      <c r="M125" s="1">
        <v>132</v>
      </c>
      <c r="N125" s="1">
        <v>212</v>
      </c>
    </row>
    <row r="126" spans="1:14" x14ac:dyDescent="0.25">
      <c r="A126" s="1">
        <v>2012</v>
      </c>
      <c r="B126" s="9">
        <v>41103</v>
      </c>
      <c r="C126" s="6" t="s">
        <v>35</v>
      </c>
      <c r="D126" s="6" t="s">
        <v>36</v>
      </c>
      <c r="E126" s="6" t="s">
        <v>26</v>
      </c>
      <c r="F126" s="6" t="s">
        <v>38</v>
      </c>
      <c r="G126" s="1"/>
      <c r="H126" s="88" t="s">
        <v>43</v>
      </c>
      <c r="I126" s="6" t="s">
        <v>48</v>
      </c>
      <c r="J126" s="6" t="s">
        <v>44</v>
      </c>
      <c r="K126" s="10">
        <v>2</v>
      </c>
      <c r="L126" s="6" t="s">
        <v>40</v>
      </c>
      <c r="M126" s="1">
        <v>132</v>
      </c>
      <c r="N126" s="1">
        <v>212</v>
      </c>
    </row>
    <row r="127" spans="1:14" x14ac:dyDescent="0.25">
      <c r="A127" s="1">
        <v>2012</v>
      </c>
      <c r="B127" s="9">
        <v>41103</v>
      </c>
      <c r="C127" s="6" t="s">
        <v>35</v>
      </c>
      <c r="D127" s="6" t="s">
        <v>36</v>
      </c>
      <c r="E127" s="6" t="s">
        <v>26</v>
      </c>
      <c r="F127" s="6" t="s">
        <v>38</v>
      </c>
      <c r="G127" s="1"/>
      <c r="H127" s="88" t="s">
        <v>43</v>
      </c>
      <c r="I127" s="6" t="s">
        <v>51</v>
      </c>
      <c r="J127" s="6" t="s">
        <v>52</v>
      </c>
      <c r="K127" s="10">
        <v>80</v>
      </c>
      <c r="L127" s="6" t="s">
        <v>40</v>
      </c>
      <c r="M127" s="1">
        <v>132</v>
      </c>
      <c r="N127" s="1">
        <v>212</v>
      </c>
    </row>
    <row r="128" spans="1:14" x14ac:dyDescent="0.25">
      <c r="A128" s="1">
        <v>2012</v>
      </c>
      <c r="B128" s="9">
        <v>41107</v>
      </c>
      <c r="C128" s="6" t="s">
        <v>35</v>
      </c>
      <c r="D128" s="7" t="s">
        <v>36</v>
      </c>
      <c r="E128" s="6" t="s">
        <v>27</v>
      </c>
      <c r="F128" s="7" t="s">
        <v>38</v>
      </c>
      <c r="G128" s="1"/>
      <c r="H128" s="88" t="s">
        <v>43</v>
      </c>
      <c r="I128" s="7" t="s">
        <v>63</v>
      </c>
      <c r="J128" s="6" t="s">
        <v>44</v>
      </c>
      <c r="K128" s="10">
        <v>78</v>
      </c>
      <c r="L128" s="7" t="s">
        <v>3</v>
      </c>
      <c r="M128" s="1">
        <v>132</v>
      </c>
      <c r="N128" s="1">
        <v>176</v>
      </c>
    </row>
    <row r="129" spans="1:14" x14ac:dyDescent="0.25">
      <c r="A129" s="1">
        <v>2012</v>
      </c>
      <c r="B129" s="9">
        <v>41107</v>
      </c>
      <c r="C129" s="6" t="s">
        <v>35</v>
      </c>
      <c r="D129" s="7" t="s">
        <v>36</v>
      </c>
      <c r="E129" s="6" t="s">
        <v>27</v>
      </c>
      <c r="F129" s="7" t="s">
        <v>38</v>
      </c>
      <c r="G129" s="1"/>
      <c r="H129" s="88" t="s">
        <v>43</v>
      </c>
      <c r="I129" s="7" t="s">
        <v>48</v>
      </c>
      <c r="J129" s="6" t="s">
        <v>44</v>
      </c>
      <c r="K129" s="10">
        <v>36</v>
      </c>
      <c r="L129" s="7" t="s">
        <v>3</v>
      </c>
      <c r="M129" s="1">
        <v>132</v>
      </c>
      <c r="N129" s="1">
        <v>176</v>
      </c>
    </row>
    <row r="130" spans="1:14" x14ac:dyDescent="0.25">
      <c r="A130" s="1">
        <v>2012</v>
      </c>
      <c r="B130" s="9">
        <v>41107</v>
      </c>
      <c r="C130" s="6" t="s">
        <v>35</v>
      </c>
      <c r="D130" s="7" t="s">
        <v>36</v>
      </c>
      <c r="E130" s="6" t="s">
        <v>27</v>
      </c>
      <c r="F130" s="7" t="s">
        <v>38</v>
      </c>
      <c r="G130" s="1"/>
      <c r="H130" s="88" t="s">
        <v>43</v>
      </c>
      <c r="I130" s="7" t="s">
        <v>55</v>
      </c>
      <c r="J130" s="6" t="s">
        <v>56</v>
      </c>
      <c r="K130" s="10">
        <v>12</v>
      </c>
      <c r="L130" s="7" t="s">
        <v>3</v>
      </c>
      <c r="M130" s="1">
        <v>132</v>
      </c>
      <c r="N130" s="1">
        <v>176</v>
      </c>
    </row>
    <row r="131" spans="1:14" x14ac:dyDescent="0.25">
      <c r="A131" s="1">
        <v>2012</v>
      </c>
      <c r="B131" s="9">
        <v>41107</v>
      </c>
      <c r="C131" s="6" t="s">
        <v>35</v>
      </c>
      <c r="D131" s="7" t="s">
        <v>36</v>
      </c>
      <c r="E131" s="6" t="s">
        <v>27</v>
      </c>
      <c r="F131" s="7" t="s">
        <v>38</v>
      </c>
      <c r="G131" s="1"/>
      <c r="H131" s="88" t="s">
        <v>43</v>
      </c>
      <c r="I131" s="7" t="s">
        <v>53</v>
      </c>
      <c r="J131" s="6" t="s">
        <v>54</v>
      </c>
      <c r="K131" s="10">
        <v>6</v>
      </c>
      <c r="L131" s="7" t="s">
        <v>3</v>
      </c>
      <c r="M131" s="1">
        <v>132</v>
      </c>
      <c r="N131" s="1">
        <v>176</v>
      </c>
    </row>
    <row r="132" spans="1:14" x14ac:dyDescent="0.25">
      <c r="A132" s="1">
        <v>2012</v>
      </c>
      <c r="B132" s="9">
        <v>41107</v>
      </c>
      <c r="C132" s="6" t="s">
        <v>35</v>
      </c>
      <c r="D132" s="7" t="s">
        <v>36</v>
      </c>
      <c r="E132" s="6" t="s">
        <v>27</v>
      </c>
      <c r="F132" s="7" t="s">
        <v>38</v>
      </c>
      <c r="G132" s="1"/>
      <c r="H132" s="88" t="s">
        <v>43</v>
      </c>
      <c r="I132" s="7" t="s">
        <v>51</v>
      </c>
      <c r="J132" s="6" t="s">
        <v>52</v>
      </c>
      <c r="K132" s="10">
        <v>44</v>
      </c>
      <c r="L132" s="7" t="s">
        <v>3</v>
      </c>
      <c r="M132" s="1">
        <v>132</v>
      </c>
      <c r="N132" s="1">
        <v>176</v>
      </c>
    </row>
    <row r="133" spans="1:14" x14ac:dyDescent="0.25">
      <c r="A133" s="1">
        <v>2012</v>
      </c>
      <c r="B133" s="9">
        <v>41107</v>
      </c>
      <c r="C133" s="6" t="s">
        <v>35</v>
      </c>
      <c r="D133" s="6" t="s">
        <v>36</v>
      </c>
      <c r="E133" s="6" t="s">
        <v>28</v>
      </c>
      <c r="F133" s="6" t="s">
        <v>38</v>
      </c>
      <c r="G133" s="1"/>
      <c r="H133" s="88" t="s">
        <v>43</v>
      </c>
      <c r="I133" s="7" t="s">
        <v>47</v>
      </c>
      <c r="J133" s="6" t="s">
        <v>44</v>
      </c>
      <c r="K133" s="10">
        <v>82</v>
      </c>
      <c r="L133" s="7" t="s">
        <v>3</v>
      </c>
      <c r="M133" s="1">
        <v>173</v>
      </c>
      <c r="N133" s="1">
        <v>248</v>
      </c>
    </row>
    <row r="134" spans="1:14" x14ac:dyDescent="0.25">
      <c r="A134" s="1">
        <v>2012</v>
      </c>
      <c r="B134" s="9">
        <v>41107</v>
      </c>
      <c r="C134" s="6" t="s">
        <v>35</v>
      </c>
      <c r="D134" s="6" t="s">
        <v>36</v>
      </c>
      <c r="E134" s="6" t="s">
        <v>28</v>
      </c>
      <c r="F134" s="6" t="s">
        <v>38</v>
      </c>
      <c r="G134" s="1"/>
      <c r="H134" s="88" t="s">
        <v>43</v>
      </c>
      <c r="I134" s="7" t="s">
        <v>48</v>
      </c>
      <c r="J134" s="6" t="s">
        <v>44</v>
      </c>
      <c r="K134" s="10">
        <v>86</v>
      </c>
      <c r="L134" s="7" t="s">
        <v>3</v>
      </c>
      <c r="M134" s="1">
        <v>173</v>
      </c>
      <c r="N134" s="1">
        <v>248</v>
      </c>
    </row>
    <row r="135" spans="1:14" x14ac:dyDescent="0.25">
      <c r="A135" s="1">
        <v>2012</v>
      </c>
      <c r="B135" s="9">
        <v>41107</v>
      </c>
      <c r="C135" s="6" t="s">
        <v>35</v>
      </c>
      <c r="D135" s="6" t="s">
        <v>36</v>
      </c>
      <c r="E135" s="6" t="s">
        <v>28</v>
      </c>
      <c r="F135" s="6" t="s">
        <v>38</v>
      </c>
      <c r="G135" s="1"/>
      <c r="H135" s="88" t="s">
        <v>43</v>
      </c>
      <c r="I135" s="7" t="s">
        <v>53</v>
      </c>
      <c r="J135" s="6" t="s">
        <v>54</v>
      </c>
      <c r="K135" s="10">
        <v>2</v>
      </c>
      <c r="L135" s="7" t="s">
        <v>3</v>
      </c>
      <c r="M135" s="1">
        <v>173</v>
      </c>
      <c r="N135" s="1">
        <v>248</v>
      </c>
    </row>
    <row r="136" spans="1:14" x14ac:dyDescent="0.25">
      <c r="A136" s="1">
        <v>2012</v>
      </c>
      <c r="B136" s="9">
        <v>41107</v>
      </c>
      <c r="C136" s="6" t="s">
        <v>35</v>
      </c>
      <c r="D136" s="6" t="s">
        <v>36</v>
      </c>
      <c r="E136" s="6" t="s">
        <v>28</v>
      </c>
      <c r="F136" s="6" t="s">
        <v>38</v>
      </c>
      <c r="G136" s="1"/>
      <c r="H136" s="88" t="s">
        <v>43</v>
      </c>
      <c r="I136" s="7" t="s">
        <v>55</v>
      </c>
      <c r="J136" s="6" t="s">
        <v>56</v>
      </c>
      <c r="K136" s="10">
        <v>1</v>
      </c>
      <c r="L136" s="7" t="s">
        <v>3</v>
      </c>
      <c r="M136" s="1">
        <v>173</v>
      </c>
      <c r="N136" s="1">
        <v>248</v>
      </c>
    </row>
    <row r="137" spans="1:14" x14ac:dyDescent="0.25">
      <c r="A137" s="1">
        <v>2012</v>
      </c>
      <c r="B137" s="9">
        <v>41107</v>
      </c>
      <c r="C137" s="6" t="s">
        <v>35</v>
      </c>
      <c r="D137" s="6" t="s">
        <v>36</v>
      </c>
      <c r="E137" s="6" t="s">
        <v>28</v>
      </c>
      <c r="F137" s="6" t="s">
        <v>38</v>
      </c>
      <c r="G137" s="1"/>
      <c r="H137" s="88" t="s">
        <v>43</v>
      </c>
      <c r="I137" s="7" t="s">
        <v>57</v>
      </c>
      <c r="J137" s="6" t="s">
        <v>54</v>
      </c>
      <c r="K137" s="10">
        <v>2</v>
      </c>
      <c r="L137" s="7" t="s">
        <v>3</v>
      </c>
      <c r="M137" s="1">
        <v>173</v>
      </c>
      <c r="N137" s="1">
        <v>248</v>
      </c>
    </row>
    <row r="138" spans="1:14" x14ac:dyDescent="0.25">
      <c r="A138" s="1">
        <v>2012</v>
      </c>
      <c r="B138" s="9">
        <v>41107</v>
      </c>
      <c r="C138" s="6" t="s">
        <v>35</v>
      </c>
      <c r="D138" s="6" t="s">
        <v>36</v>
      </c>
      <c r="E138" s="6" t="s">
        <v>28</v>
      </c>
      <c r="F138" s="6" t="s">
        <v>38</v>
      </c>
      <c r="G138" s="1"/>
      <c r="H138" s="88" t="s">
        <v>43</v>
      </c>
      <c r="I138" s="7" t="s">
        <v>51</v>
      </c>
      <c r="J138" s="6" t="s">
        <v>52</v>
      </c>
      <c r="K138" s="10">
        <v>75</v>
      </c>
      <c r="L138" s="7" t="s">
        <v>3</v>
      </c>
      <c r="M138" s="1">
        <v>173</v>
      </c>
      <c r="N138" s="1">
        <v>248</v>
      </c>
    </row>
    <row r="139" spans="1:14" x14ac:dyDescent="0.25">
      <c r="A139" s="1">
        <v>2012</v>
      </c>
      <c r="B139" s="9">
        <v>41109</v>
      </c>
      <c r="C139" s="6" t="s">
        <v>35</v>
      </c>
      <c r="D139" s="97" t="s">
        <v>1</v>
      </c>
      <c r="E139" s="6" t="s">
        <v>29</v>
      </c>
      <c r="F139" s="6" t="s">
        <v>38</v>
      </c>
      <c r="G139" s="1"/>
      <c r="H139" s="88" t="s">
        <v>43</v>
      </c>
      <c r="I139" s="7" t="s">
        <v>47</v>
      </c>
      <c r="J139" s="6" t="s">
        <v>44</v>
      </c>
      <c r="K139" s="10">
        <v>85</v>
      </c>
      <c r="L139" s="7" t="s">
        <v>3</v>
      </c>
      <c r="M139" s="1">
        <v>133</v>
      </c>
      <c r="N139" s="1">
        <v>233</v>
      </c>
    </row>
    <row r="140" spans="1:14" x14ac:dyDescent="0.25">
      <c r="A140" s="1">
        <v>2012</v>
      </c>
      <c r="B140" s="9">
        <v>41109</v>
      </c>
      <c r="C140" s="6" t="s">
        <v>35</v>
      </c>
      <c r="D140" s="97" t="s">
        <v>1</v>
      </c>
      <c r="E140" s="6" t="s">
        <v>29</v>
      </c>
      <c r="F140" s="6" t="s">
        <v>38</v>
      </c>
      <c r="G140" s="1"/>
      <c r="H140" s="88" t="s">
        <v>43</v>
      </c>
      <c r="I140" s="7" t="s">
        <v>46</v>
      </c>
      <c r="J140" s="6" t="s">
        <v>44</v>
      </c>
      <c r="K140" s="10">
        <v>21</v>
      </c>
      <c r="L140" s="7" t="s">
        <v>3</v>
      </c>
      <c r="M140" s="1">
        <v>133</v>
      </c>
      <c r="N140" s="1">
        <v>233</v>
      </c>
    </row>
    <row r="141" spans="1:14" x14ac:dyDescent="0.25">
      <c r="A141" s="1">
        <v>2012</v>
      </c>
      <c r="B141" s="9">
        <v>41109</v>
      </c>
      <c r="C141" s="6" t="s">
        <v>35</v>
      </c>
      <c r="D141" s="97" t="s">
        <v>1</v>
      </c>
      <c r="E141" s="6" t="s">
        <v>29</v>
      </c>
      <c r="F141" s="6" t="s">
        <v>38</v>
      </c>
      <c r="G141" s="1"/>
      <c r="H141" s="88" t="s">
        <v>43</v>
      </c>
      <c r="I141" s="7" t="s">
        <v>55</v>
      </c>
      <c r="J141" s="6" t="s">
        <v>56</v>
      </c>
      <c r="K141" s="10">
        <v>12</v>
      </c>
      <c r="L141" s="7" t="s">
        <v>3</v>
      </c>
      <c r="M141" s="1">
        <v>133</v>
      </c>
      <c r="N141" s="1">
        <v>233</v>
      </c>
    </row>
    <row r="142" spans="1:14" x14ac:dyDescent="0.25">
      <c r="A142" s="1">
        <v>2012</v>
      </c>
      <c r="B142" s="9">
        <v>41109</v>
      </c>
      <c r="C142" s="6" t="s">
        <v>35</v>
      </c>
      <c r="D142" s="97" t="s">
        <v>1</v>
      </c>
      <c r="E142" s="6" t="s">
        <v>29</v>
      </c>
      <c r="F142" s="6" t="s">
        <v>38</v>
      </c>
      <c r="G142" s="1"/>
      <c r="H142" s="88" t="s">
        <v>43</v>
      </c>
      <c r="I142" s="7" t="s">
        <v>49</v>
      </c>
      <c r="J142" s="6" t="s">
        <v>50</v>
      </c>
      <c r="K142" s="10">
        <v>15</v>
      </c>
      <c r="L142" s="7" t="s">
        <v>3</v>
      </c>
      <c r="M142" s="1">
        <v>133</v>
      </c>
      <c r="N142" s="1">
        <v>233</v>
      </c>
    </row>
    <row r="143" spans="1:14" x14ac:dyDescent="0.25">
      <c r="A143" s="1">
        <v>2012</v>
      </c>
      <c r="B143" s="9">
        <v>41109</v>
      </c>
      <c r="C143" s="6" t="s">
        <v>35</v>
      </c>
      <c r="D143" s="97" t="s">
        <v>1</v>
      </c>
      <c r="E143" s="6" t="s">
        <v>29</v>
      </c>
      <c r="F143" s="6" t="s">
        <v>38</v>
      </c>
      <c r="G143" s="1"/>
      <c r="H143" s="88" t="s">
        <v>43</v>
      </c>
      <c r="I143" s="7" t="s">
        <v>51</v>
      </c>
      <c r="J143" s="6" t="s">
        <v>52</v>
      </c>
      <c r="K143" s="10">
        <v>100</v>
      </c>
      <c r="L143" s="7" t="s">
        <v>3</v>
      </c>
      <c r="M143" s="1">
        <v>133</v>
      </c>
      <c r="N143" s="1">
        <v>233</v>
      </c>
    </row>
    <row r="144" spans="1:14" x14ac:dyDescent="0.25">
      <c r="A144" s="1">
        <v>2012</v>
      </c>
      <c r="B144" s="9">
        <v>41109</v>
      </c>
      <c r="C144" s="6" t="s">
        <v>35</v>
      </c>
      <c r="D144" s="6" t="s">
        <v>1</v>
      </c>
      <c r="E144" s="6" t="s">
        <v>30</v>
      </c>
      <c r="F144" s="6" t="s">
        <v>38</v>
      </c>
      <c r="G144" s="1"/>
      <c r="H144" s="88" t="s">
        <v>43</v>
      </c>
      <c r="I144" s="7" t="s">
        <v>46</v>
      </c>
      <c r="J144" s="6" t="s">
        <v>44</v>
      </c>
      <c r="K144" s="10">
        <v>75</v>
      </c>
      <c r="L144" s="7" t="s">
        <v>40</v>
      </c>
      <c r="M144" s="1">
        <v>101</v>
      </c>
      <c r="N144" s="1">
        <v>171</v>
      </c>
    </row>
    <row r="145" spans="1:14" x14ac:dyDescent="0.25">
      <c r="A145" s="1">
        <v>2012</v>
      </c>
      <c r="B145" s="9">
        <v>41109</v>
      </c>
      <c r="C145" s="6" t="s">
        <v>35</v>
      </c>
      <c r="D145" s="6" t="s">
        <v>1</v>
      </c>
      <c r="E145" s="6" t="s">
        <v>30</v>
      </c>
      <c r="F145" s="6" t="s">
        <v>38</v>
      </c>
      <c r="G145" s="1"/>
      <c r="H145" s="88" t="s">
        <v>43</v>
      </c>
      <c r="I145" s="7" t="s">
        <v>47</v>
      </c>
      <c r="J145" s="6" t="s">
        <v>44</v>
      </c>
      <c r="K145" s="10">
        <v>18</v>
      </c>
      <c r="L145" s="7" t="s">
        <v>40</v>
      </c>
      <c r="M145" s="1">
        <v>101</v>
      </c>
      <c r="N145" s="1">
        <v>171</v>
      </c>
    </row>
    <row r="146" spans="1:14" x14ac:dyDescent="0.25">
      <c r="A146" s="1">
        <v>2012</v>
      </c>
      <c r="B146" s="9">
        <v>41109</v>
      </c>
      <c r="C146" s="6" t="s">
        <v>35</v>
      </c>
      <c r="D146" s="6" t="s">
        <v>1</v>
      </c>
      <c r="E146" s="6" t="s">
        <v>30</v>
      </c>
      <c r="F146" s="6" t="s">
        <v>38</v>
      </c>
      <c r="G146" s="1"/>
      <c r="H146" s="88" t="s">
        <v>43</v>
      </c>
      <c r="I146" s="7" t="s">
        <v>49</v>
      </c>
      <c r="J146" s="6" t="s">
        <v>50</v>
      </c>
      <c r="K146" s="10">
        <v>8</v>
      </c>
      <c r="L146" s="7" t="s">
        <v>40</v>
      </c>
      <c r="M146" s="1">
        <v>101</v>
      </c>
      <c r="N146" s="1">
        <v>171</v>
      </c>
    </row>
    <row r="147" spans="1:14" x14ac:dyDescent="0.25">
      <c r="A147" s="1">
        <v>2012</v>
      </c>
      <c r="B147" s="9">
        <v>41109</v>
      </c>
      <c r="C147" s="6" t="s">
        <v>35</v>
      </c>
      <c r="D147" s="6" t="s">
        <v>1</v>
      </c>
      <c r="E147" s="6" t="s">
        <v>30</v>
      </c>
      <c r="F147" s="6" t="s">
        <v>38</v>
      </c>
      <c r="G147" s="1"/>
      <c r="H147" s="88" t="s">
        <v>43</v>
      </c>
      <c r="I147" s="7" t="s">
        <v>51</v>
      </c>
      <c r="J147" s="6" t="s">
        <v>52</v>
      </c>
      <c r="K147" s="10">
        <v>70</v>
      </c>
      <c r="L147" s="7" t="s">
        <v>40</v>
      </c>
      <c r="M147" s="1">
        <v>101</v>
      </c>
      <c r="N147" s="1">
        <v>171</v>
      </c>
    </row>
    <row r="148" spans="1:14" x14ac:dyDescent="0.25">
      <c r="A148" s="1">
        <v>2012</v>
      </c>
      <c r="B148" s="9">
        <v>41117</v>
      </c>
      <c r="C148" s="6" t="s">
        <v>35</v>
      </c>
      <c r="D148" s="6" t="s">
        <v>42</v>
      </c>
      <c r="E148" s="6" t="s">
        <v>31</v>
      </c>
      <c r="F148" s="6" t="s">
        <v>38</v>
      </c>
      <c r="G148" s="1"/>
      <c r="H148" s="88" t="s">
        <v>43</v>
      </c>
      <c r="I148" s="6" t="s">
        <v>46</v>
      </c>
      <c r="J148" s="6" t="s">
        <v>44</v>
      </c>
      <c r="K148" s="10">
        <v>81</v>
      </c>
      <c r="L148" s="6" t="s">
        <v>40</v>
      </c>
      <c r="M148" s="1">
        <v>126</v>
      </c>
      <c r="N148" s="1">
        <v>216</v>
      </c>
    </row>
    <row r="149" spans="1:14" x14ac:dyDescent="0.25">
      <c r="A149" s="1">
        <v>2012</v>
      </c>
      <c r="B149" s="9">
        <v>41117</v>
      </c>
      <c r="C149" s="6" t="s">
        <v>35</v>
      </c>
      <c r="D149" s="6" t="s">
        <v>42</v>
      </c>
      <c r="E149" s="6" t="s">
        <v>31</v>
      </c>
      <c r="F149" s="6" t="s">
        <v>38</v>
      </c>
      <c r="G149" s="1"/>
      <c r="H149" s="88" t="s">
        <v>43</v>
      </c>
      <c r="I149" s="6" t="s">
        <v>47</v>
      </c>
      <c r="J149" s="6" t="s">
        <v>44</v>
      </c>
      <c r="K149" s="10">
        <v>16</v>
      </c>
      <c r="L149" s="6" t="s">
        <v>40</v>
      </c>
      <c r="M149" s="1">
        <v>126</v>
      </c>
      <c r="N149" s="1">
        <v>216</v>
      </c>
    </row>
    <row r="150" spans="1:14" x14ac:dyDescent="0.25">
      <c r="A150" s="1">
        <v>2012</v>
      </c>
      <c r="B150" s="9">
        <v>41117</v>
      </c>
      <c r="C150" s="6" t="s">
        <v>35</v>
      </c>
      <c r="D150" s="6" t="s">
        <v>42</v>
      </c>
      <c r="E150" s="6" t="s">
        <v>31</v>
      </c>
      <c r="F150" s="6" t="s">
        <v>38</v>
      </c>
      <c r="G150" s="1"/>
      <c r="H150" s="88" t="s">
        <v>43</v>
      </c>
      <c r="I150" s="6" t="s">
        <v>53</v>
      </c>
      <c r="J150" s="6" t="s">
        <v>54</v>
      </c>
      <c r="K150" s="10">
        <v>8</v>
      </c>
      <c r="L150" s="6" t="s">
        <v>40</v>
      </c>
      <c r="M150" s="1">
        <v>126</v>
      </c>
      <c r="N150" s="1">
        <v>216</v>
      </c>
    </row>
    <row r="151" spans="1:14" x14ac:dyDescent="0.25">
      <c r="A151" s="1">
        <v>2012</v>
      </c>
      <c r="B151" s="9">
        <v>41117</v>
      </c>
      <c r="C151" s="6" t="s">
        <v>35</v>
      </c>
      <c r="D151" s="6" t="s">
        <v>42</v>
      </c>
      <c r="E151" s="6" t="s">
        <v>31</v>
      </c>
      <c r="F151" s="6" t="s">
        <v>38</v>
      </c>
      <c r="G151" s="1"/>
      <c r="H151" s="88" t="s">
        <v>43</v>
      </c>
      <c r="I151" s="6" t="s">
        <v>49</v>
      </c>
      <c r="J151" s="6" t="s">
        <v>50</v>
      </c>
      <c r="K151" s="10">
        <v>20</v>
      </c>
      <c r="L151" s="6" t="s">
        <v>40</v>
      </c>
      <c r="M151" s="1">
        <v>126</v>
      </c>
      <c r="N151" s="1">
        <v>216</v>
      </c>
    </row>
    <row r="152" spans="1:14" x14ac:dyDescent="0.25">
      <c r="A152" s="1">
        <v>2012</v>
      </c>
      <c r="B152" s="9">
        <v>41117</v>
      </c>
      <c r="C152" s="6" t="s">
        <v>35</v>
      </c>
      <c r="D152" s="6" t="s">
        <v>42</v>
      </c>
      <c r="E152" s="6" t="s">
        <v>31</v>
      </c>
      <c r="F152" s="6" t="s">
        <v>38</v>
      </c>
      <c r="G152" s="1"/>
      <c r="H152" s="88" t="s">
        <v>43</v>
      </c>
      <c r="I152" s="6" t="s">
        <v>55</v>
      </c>
      <c r="J152" s="6" t="s">
        <v>56</v>
      </c>
      <c r="K152" s="10">
        <v>1</v>
      </c>
      <c r="L152" s="6" t="s">
        <v>40</v>
      </c>
      <c r="M152" s="1">
        <v>126</v>
      </c>
      <c r="N152" s="1">
        <v>216</v>
      </c>
    </row>
    <row r="153" spans="1:14" x14ac:dyDescent="0.25">
      <c r="A153" s="1">
        <v>2012</v>
      </c>
      <c r="B153" s="9">
        <v>41117</v>
      </c>
      <c r="C153" s="6" t="s">
        <v>35</v>
      </c>
      <c r="D153" s="6" t="s">
        <v>42</v>
      </c>
      <c r="E153" s="6" t="s">
        <v>31</v>
      </c>
      <c r="F153" s="6" t="s">
        <v>38</v>
      </c>
      <c r="G153" s="1"/>
      <c r="H153" s="88" t="s">
        <v>43</v>
      </c>
      <c r="I153" s="6" t="s">
        <v>51</v>
      </c>
      <c r="J153" s="6" t="s">
        <v>52</v>
      </c>
      <c r="K153" s="10">
        <v>90</v>
      </c>
      <c r="L153" s="6" t="s">
        <v>40</v>
      </c>
      <c r="M153" s="1">
        <v>126</v>
      </c>
      <c r="N153" s="1">
        <v>216</v>
      </c>
    </row>
    <row r="154" spans="1:14" x14ac:dyDescent="0.25">
      <c r="A154" s="1">
        <v>2012</v>
      </c>
      <c r="B154" s="9">
        <v>41124</v>
      </c>
      <c r="C154" s="6" t="s">
        <v>35</v>
      </c>
      <c r="D154" s="6" t="s">
        <v>1</v>
      </c>
      <c r="E154" s="6" t="s">
        <v>32</v>
      </c>
      <c r="F154" s="6" t="s">
        <v>2</v>
      </c>
      <c r="G154" s="1"/>
      <c r="H154" s="88" t="s">
        <v>43</v>
      </c>
      <c r="I154" s="7" t="e">
        <v>#N/A</v>
      </c>
      <c r="J154" s="7" t="e">
        <v>#N/A</v>
      </c>
      <c r="K154" s="7" t="e">
        <v>#N/A</v>
      </c>
      <c r="L154" s="7" t="s">
        <v>3</v>
      </c>
      <c r="M154" s="7" t="e">
        <v>#N/A</v>
      </c>
      <c r="N154" s="7" t="e">
        <v>#N/A</v>
      </c>
    </row>
    <row r="155" spans="1:14" x14ac:dyDescent="0.25">
      <c r="A155" s="1">
        <v>2012</v>
      </c>
      <c r="B155" s="9">
        <v>41124</v>
      </c>
      <c r="C155" s="6" t="s">
        <v>35</v>
      </c>
      <c r="D155" s="6" t="s">
        <v>1</v>
      </c>
      <c r="E155" s="6" t="s">
        <v>33</v>
      </c>
      <c r="F155" s="6" t="s">
        <v>38</v>
      </c>
      <c r="G155" s="1"/>
      <c r="H155" s="88" t="s">
        <v>43</v>
      </c>
      <c r="I155" s="7" t="s">
        <v>46</v>
      </c>
      <c r="J155" s="6" t="s">
        <v>44</v>
      </c>
      <c r="K155" s="10">
        <v>74</v>
      </c>
      <c r="L155" s="7" t="s">
        <v>40</v>
      </c>
      <c r="M155" s="1">
        <v>116</v>
      </c>
      <c r="N155" s="1">
        <v>214</v>
      </c>
    </row>
    <row r="156" spans="1:14" x14ac:dyDescent="0.25">
      <c r="A156" s="1">
        <v>2012</v>
      </c>
      <c r="B156" s="9">
        <v>41124</v>
      </c>
      <c r="C156" s="6" t="s">
        <v>35</v>
      </c>
      <c r="D156" s="6" t="s">
        <v>1</v>
      </c>
      <c r="E156" s="6" t="s">
        <v>33</v>
      </c>
      <c r="F156" s="6" t="s">
        <v>38</v>
      </c>
      <c r="G156" s="1"/>
      <c r="H156" s="88" t="s">
        <v>43</v>
      </c>
      <c r="I156" s="7" t="s">
        <v>47</v>
      </c>
      <c r="J156" s="6" t="s">
        <v>44</v>
      </c>
      <c r="K156" s="10">
        <v>5</v>
      </c>
      <c r="L156" s="7" t="s">
        <v>40</v>
      </c>
      <c r="M156" s="1">
        <v>116</v>
      </c>
      <c r="N156" s="1">
        <v>214</v>
      </c>
    </row>
    <row r="157" spans="1:14" x14ac:dyDescent="0.25">
      <c r="A157" s="1">
        <v>2012</v>
      </c>
      <c r="B157" s="9">
        <v>41124</v>
      </c>
      <c r="C157" s="6" t="s">
        <v>35</v>
      </c>
      <c r="D157" s="6" t="s">
        <v>1</v>
      </c>
      <c r="E157" s="6" t="s">
        <v>33</v>
      </c>
      <c r="F157" s="6" t="s">
        <v>38</v>
      </c>
      <c r="G157" s="1"/>
      <c r="H157" s="88" t="s">
        <v>43</v>
      </c>
      <c r="I157" s="7" t="s">
        <v>49</v>
      </c>
      <c r="J157" s="6" t="s">
        <v>50</v>
      </c>
      <c r="K157" s="10">
        <v>16</v>
      </c>
      <c r="L157" s="7" t="s">
        <v>40</v>
      </c>
      <c r="M157" s="1">
        <v>116</v>
      </c>
      <c r="N157" s="1">
        <v>214</v>
      </c>
    </row>
    <row r="158" spans="1:14" x14ac:dyDescent="0.25">
      <c r="A158" s="1">
        <v>2012</v>
      </c>
      <c r="B158" s="9">
        <v>41124</v>
      </c>
      <c r="C158" s="6" t="s">
        <v>35</v>
      </c>
      <c r="D158" s="6" t="s">
        <v>1</v>
      </c>
      <c r="E158" s="6" t="s">
        <v>33</v>
      </c>
      <c r="F158" s="6" t="s">
        <v>38</v>
      </c>
      <c r="G158" s="1"/>
      <c r="H158" s="88" t="s">
        <v>43</v>
      </c>
      <c r="I158" s="7" t="s">
        <v>48</v>
      </c>
      <c r="J158" s="6" t="s">
        <v>44</v>
      </c>
      <c r="K158" s="10">
        <v>6</v>
      </c>
      <c r="L158" s="7" t="s">
        <v>40</v>
      </c>
      <c r="M158" s="1">
        <v>116</v>
      </c>
      <c r="N158" s="1">
        <v>214</v>
      </c>
    </row>
    <row r="159" spans="1:14" x14ac:dyDescent="0.25">
      <c r="A159" s="1">
        <v>2012</v>
      </c>
      <c r="B159" s="9">
        <v>41124</v>
      </c>
      <c r="C159" s="6" t="s">
        <v>35</v>
      </c>
      <c r="D159" s="6" t="s">
        <v>1</v>
      </c>
      <c r="E159" s="6" t="s">
        <v>33</v>
      </c>
      <c r="F159" s="6" t="s">
        <v>38</v>
      </c>
      <c r="G159" s="1"/>
      <c r="H159" s="88" t="s">
        <v>43</v>
      </c>
      <c r="I159" s="7" t="s">
        <v>51</v>
      </c>
      <c r="J159" s="6" t="s">
        <v>52</v>
      </c>
      <c r="K159" s="10">
        <v>98</v>
      </c>
      <c r="L159" s="7" t="s">
        <v>40</v>
      </c>
      <c r="M159" s="1">
        <v>116</v>
      </c>
      <c r="N159" s="1">
        <v>214</v>
      </c>
    </row>
    <row r="160" spans="1:14" x14ac:dyDescent="0.25">
      <c r="A160" s="1">
        <v>2012</v>
      </c>
      <c r="B160" s="9">
        <v>41128</v>
      </c>
      <c r="C160" s="6" t="s">
        <v>35</v>
      </c>
      <c r="D160" s="6" t="s">
        <v>36</v>
      </c>
      <c r="E160" s="6" t="s">
        <v>34</v>
      </c>
      <c r="F160" s="6" t="s">
        <v>2</v>
      </c>
      <c r="G160" s="1"/>
      <c r="H160" s="88" t="s">
        <v>43</v>
      </c>
      <c r="I160" s="6" t="s">
        <v>46</v>
      </c>
      <c r="J160" s="6" t="s">
        <v>44</v>
      </c>
      <c r="K160" s="10">
        <v>64</v>
      </c>
      <c r="L160" s="6" t="s">
        <v>40</v>
      </c>
      <c r="M160" s="1">
        <v>113</v>
      </c>
      <c r="N160" s="1">
        <v>113</v>
      </c>
    </row>
    <row r="161" spans="1:14" x14ac:dyDescent="0.25">
      <c r="A161" s="1">
        <v>2012</v>
      </c>
      <c r="B161" s="9">
        <v>41128</v>
      </c>
      <c r="C161" s="6" t="s">
        <v>35</v>
      </c>
      <c r="D161" s="6" t="s">
        <v>36</v>
      </c>
      <c r="E161" s="6" t="s">
        <v>34</v>
      </c>
      <c r="F161" s="6" t="s">
        <v>2</v>
      </c>
      <c r="G161" s="1"/>
      <c r="H161" s="88" t="s">
        <v>43</v>
      </c>
      <c r="I161" s="7" t="s">
        <v>47</v>
      </c>
      <c r="J161" s="6" t="s">
        <v>44</v>
      </c>
      <c r="K161" s="10">
        <v>14</v>
      </c>
      <c r="L161" s="6" t="s">
        <v>40</v>
      </c>
      <c r="M161" s="1">
        <v>113</v>
      </c>
      <c r="N161" s="1">
        <v>113</v>
      </c>
    </row>
    <row r="162" spans="1:14" x14ac:dyDescent="0.25">
      <c r="A162" s="1">
        <v>2012</v>
      </c>
      <c r="B162" s="9">
        <v>41128</v>
      </c>
      <c r="C162" s="6" t="s">
        <v>35</v>
      </c>
      <c r="D162" s="6" t="s">
        <v>36</v>
      </c>
      <c r="E162" s="6" t="s">
        <v>34</v>
      </c>
      <c r="F162" s="6" t="s">
        <v>2</v>
      </c>
      <c r="G162" s="1"/>
      <c r="H162" s="88" t="s">
        <v>43</v>
      </c>
      <c r="I162" s="7" t="s">
        <v>59</v>
      </c>
      <c r="J162" s="6" t="s">
        <v>44</v>
      </c>
      <c r="K162" s="10">
        <v>8</v>
      </c>
      <c r="L162" s="6" t="s">
        <v>40</v>
      </c>
      <c r="M162" s="1">
        <v>113</v>
      </c>
      <c r="N162" s="1">
        <v>113</v>
      </c>
    </row>
    <row r="163" spans="1:14" x14ac:dyDescent="0.25">
      <c r="A163" s="1">
        <v>2012</v>
      </c>
      <c r="B163" s="9">
        <v>41128</v>
      </c>
      <c r="C163" s="6" t="s">
        <v>35</v>
      </c>
      <c r="D163" s="6" t="s">
        <v>36</v>
      </c>
      <c r="E163" s="6" t="s">
        <v>34</v>
      </c>
      <c r="F163" s="6" t="s">
        <v>2</v>
      </c>
      <c r="G163" s="1"/>
      <c r="H163" s="88" t="s">
        <v>43</v>
      </c>
      <c r="I163" s="7" t="s">
        <v>60</v>
      </c>
      <c r="J163" s="6" t="s">
        <v>50</v>
      </c>
      <c r="K163" s="10">
        <v>12</v>
      </c>
      <c r="L163" s="6" t="s">
        <v>40</v>
      </c>
      <c r="M163" s="1">
        <v>113</v>
      </c>
      <c r="N163" s="1">
        <v>113</v>
      </c>
    </row>
    <row r="164" spans="1:14" x14ac:dyDescent="0.25">
      <c r="A164" s="1">
        <v>2012</v>
      </c>
      <c r="B164" s="9">
        <v>41128</v>
      </c>
      <c r="C164" s="6" t="s">
        <v>35</v>
      </c>
      <c r="D164" s="6" t="s">
        <v>36</v>
      </c>
      <c r="E164" s="6" t="s">
        <v>34</v>
      </c>
      <c r="F164" s="6" t="s">
        <v>2</v>
      </c>
      <c r="G164" s="1"/>
      <c r="H164" s="88" t="s">
        <v>43</v>
      </c>
      <c r="I164" s="7" t="s">
        <v>55</v>
      </c>
      <c r="J164" s="6" t="s">
        <v>56</v>
      </c>
      <c r="K164" s="10">
        <v>15</v>
      </c>
      <c r="L164" s="6" t="s">
        <v>40</v>
      </c>
      <c r="M164" s="1">
        <v>113</v>
      </c>
      <c r="N164" s="1">
        <v>113</v>
      </c>
    </row>
  </sheetData>
  <dataValidations count="8">
    <dataValidation type="list" allowBlank="1" showInputMessage="1" showErrorMessage="1" sqref="L179:L1048576 M155:M178 M104:M153 M97 M93 M73 M67 M78 M81">
      <formula1>Measurement</formula1>
    </dataValidation>
    <dataValidation type="list" allowBlank="1" showInputMessage="1" showErrorMessage="1" sqref="I179:I1048576 N155:N178 N104:N153 N81 N93 N73 N67 N97 N78 E139:E143 E7:E47 E58:E62 E93:E96 E104:E120 E128:E132">
      <formula1>SampleID</formula1>
    </dataValidation>
    <dataValidation type="list" allowBlank="1" showInputMessage="1" showErrorMessage="1" sqref="L67:L120 L7:L47 L53:L62 L128:L147 L154:L159 G165:G1048576 I154:I159 I128:I147 I58:I62 I26:I47 I11:I24 I67:I69 I71:I75 I77:I78 I80:I90 I92:I99 I101:I115 I117:I120 J154:K154 M154:N154">
      <formula1>DomVeg</formula1>
    </dataValidation>
    <dataValidation type="list" allowBlank="1" showInputMessage="1" showErrorMessage="1" sqref="M63:M66">
      <formula1>Species</formula1>
    </dataValidation>
    <dataValidation type="list" allowBlank="1" showInputMessage="1" showErrorMessage="1" sqref="C139:C143">
      <formula1>jessica</formula1>
    </dataValidation>
    <dataValidation type="list" allowBlank="1" showInputMessage="1" showErrorMessage="1" sqref="F128:F132 F67:F120 F7:F47 F58:F62 H165:H1048576">
      <formula1>Treatment</formula1>
    </dataValidation>
    <dataValidation type="list" allowBlank="1" showInputMessage="1" showErrorMessage="1" sqref="D93:D96 D139:D143 D7:D47 D58:D62 D104:D120 D128:D132 D165:F1048576">
      <formula1>Group</formula1>
    </dataValidation>
    <dataValidation type="list" allowBlank="1" showInputMessage="1" showErrorMessage="1" sqref="C128:C132 C93:C96 C7:C47 C58:C62 C104:C120 C165:C1048576">
      <formula1>Site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N638"/>
  <sheetViews>
    <sheetView topLeftCell="A539" zoomScale="96" zoomScaleNormal="96" workbookViewId="0">
      <selection activeCell="B587" sqref="B587"/>
    </sheetView>
  </sheetViews>
  <sheetFormatPr defaultRowHeight="12.75" x14ac:dyDescent="0.2"/>
  <cols>
    <col min="1" max="1" width="9.140625" style="107"/>
    <col min="2" max="2" width="26.5703125" style="107" customWidth="1"/>
    <col min="3" max="3" width="51.85546875" style="107" customWidth="1"/>
    <col min="4" max="4" width="11.7109375" style="107" customWidth="1"/>
    <col min="5" max="5" width="13.85546875" style="107" customWidth="1"/>
    <col min="6" max="257" width="9.140625" style="107"/>
    <col min="258" max="258" width="26.5703125" style="107" customWidth="1"/>
    <col min="259" max="259" width="51.85546875" style="107" customWidth="1"/>
    <col min="260" max="260" width="11.7109375" style="107" customWidth="1"/>
    <col min="261" max="261" width="13.85546875" style="107" customWidth="1"/>
    <col min="262" max="513" width="9.140625" style="107"/>
    <col min="514" max="514" width="26.5703125" style="107" customWidth="1"/>
    <col min="515" max="515" width="51.85546875" style="107" customWidth="1"/>
    <col min="516" max="516" width="11.7109375" style="107" customWidth="1"/>
    <col min="517" max="517" width="13.85546875" style="107" customWidth="1"/>
    <col min="518" max="769" width="9.140625" style="107"/>
    <col min="770" max="770" width="26.5703125" style="107" customWidth="1"/>
    <col min="771" max="771" width="51.85546875" style="107" customWidth="1"/>
    <col min="772" max="772" width="11.7109375" style="107" customWidth="1"/>
    <col min="773" max="773" width="13.85546875" style="107" customWidth="1"/>
    <col min="774" max="1025" width="9.140625" style="107"/>
    <col min="1026" max="1026" width="26.5703125" style="107" customWidth="1"/>
    <col min="1027" max="1027" width="51.85546875" style="107" customWidth="1"/>
    <col min="1028" max="1028" width="11.7109375" style="107" customWidth="1"/>
    <col min="1029" max="1029" width="13.85546875" style="107" customWidth="1"/>
    <col min="1030" max="1281" width="9.140625" style="107"/>
    <col min="1282" max="1282" width="26.5703125" style="107" customWidth="1"/>
    <col min="1283" max="1283" width="51.85546875" style="107" customWidth="1"/>
    <col min="1284" max="1284" width="11.7109375" style="107" customWidth="1"/>
    <col min="1285" max="1285" width="13.85546875" style="107" customWidth="1"/>
    <col min="1286" max="1537" width="9.140625" style="107"/>
    <col min="1538" max="1538" width="26.5703125" style="107" customWidth="1"/>
    <col min="1539" max="1539" width="51.85546875" style="107" customWidth="1"/>
    <col min="1540" max="1540" width="11.7109375" style="107" customWidth="1"/>
    <col min="1541" max="1541" width="13.85546875" style="107" customWidth="1"/>
    <col min="1542" max="1793" width="9.140625" style="107"/>
    <col min="1794" max="1794" width="26.5703125" style="107" customWidth="1"/>
    <col min="1795" max="1795" width="51.85546875" style="107" customWidth="1"/>
    <col min="1796" max="1796" width="11.7109375" style="107" customWidth="1"/>
    <col min="1797" max="1797" width="13.85546875" style="107" customWidth="1"/>
    <col min="1798" max="2049" width="9.140625" style="107"/>
    <col min="2050" max="2050" width="26.5703125" style="107" customWidth="1"/>
    <col min="2051" max="2051" width="51.85546875" style="107" customWidth="1"/>
    <col min="2052" max="2052" width="11.7109375" style="107" customWidth="1"/>
    <col min="2053" max="2053" width="13.85546875" style="107" customWidth="1"/>
    <col min="2054" max="2305" width="9.140625" style="107"/>
    <col min="2306" max="2306" width="26.5703125" style="107" customWidth="1"/>
    <col min="2307" max="2307" width="51.85546875" style="107" customWidth="1"/>
    <col min="2308" max="2308" width="11.7109375" style="107" customWidth="1"/>
    <col min="2309" max="2309" width="13.85546875" style="107" customWidth="1"/>
    <col min="2310" max="2561" width="9.140625" style="107"/>
    <col min="2562" max="2562" width="26.5703125" style="107" customWidth="1"/>
    <col min="2563" max="2563" width="51.85546875" style="107" customWidth="1"/>
    <col min="2564" max="2564" width="11.7109375" style="107" customWidth="1"/>
    <col min="2565" max="2565" width="13.85546875" style="107" customWidth="1"/>
    <col min="2566" max="2817" width="9.140625" style="107"/>
    <col min="2818" max="2818" width="26.5703125" style="107" customWidth="1"/>
    <col min="2819" max="2819" width="51.85546875" style="107" customWidth="1"/>
    <col min="2820" max="2820" width="11.7109375" style="107" customWidth="1"/>
    <col min="2821" max="2821" width="13.85546875" style="107" customWidth="1"/>
    <col min="2822" max="3073" width="9.140625" style="107"/>
    <col min="3074" max="3074" width="26.5703125" style="107" customWidth="1"/>
    <col min="3075" max="3075" width="51.85546875" style="107" customWidth="1"/>
    <col min="3076" max="3076" width="11.7109375" style="107" customWidth="1"/>
    <col min="3077" max="3077" width="13.85546875" style="107" customWidth="1"/>
    <col min="3078" max="3329" width="9.140625" style="107"/>
    <col min="3330" max="3330" width="26.5703125" style="107" customWidth="1"/>
    <col min="3331" max="3331" width="51.85546875" style="107" customWidth="1"/>
    <col min="3332" max="3332" width="11.7109375" style="107" customWidth="1"/>
    <col min="3333" max="3333" width="13.85546875" style="107" customWidth="1"/>
    <col min="3334" max="3585" width="9.140625" style="107"/>
    <col min="3586" max="3586" width="26.5703125" style="107" customWidth="1"/>
    <col min="3587" max="3587" width="51.85546875" style="107" customWidth="1"/>
    <col min="3588" max="3588" width="11.7109375" style="107" customWidth="1"/>
    <col min="3589" max="3589" width="13.85546875" style="107" customWidth="1"/>
    <col min="3590" max="3841" width="9.140625" style="107"/>
    <col min="3842" max="3842" width="26.5703125" style="107" customWidth="1"/>
    <col min="3843" max="3843" width="51.85546875" style="107" customWidth="1"/>
    <col min="3844" max="3844" width="11.7109375" style="107" customWidth="1"/>
    <col min="3845" max="3845" width="13.85546875" style="107" customWidth="1"/>
    <col min="3846" max="4097" width="9.140625" style="107"/>
    <col min="4098" max="4098" width="26.5703125" style="107" customWidth="1"/>
    <col min="4099" max="4099" width="51.85546875" style="107" customWidth="1"/>
    <col min="4100" max="4100" width="11.7109375" style="107" customWidth="1"/>
    <col min="4101" max="4101" width="13.85546875" style="107" customWidth="1"/>
    <col min="4102" max="4353" width="9.140625" style="107"/>
    <col min="4354" max="4354" width="26.5703125" style="107" customWidth="1"/>
    <col min="4355" max="4355" width="51.85546875" style="107" customWidth="1"/>
    <col min="4356" max="4356" width="11.7109375" style="107" customWidth="1"/>
    <col min="4357" max="4357" width="13.85546875" style="107" customWidth="1"/>
    <col min="4358" max="4609" width="9.140625" style="107"/>
    <col min="4610" max="4610" width="26.5703125" style="107" customWidth="1"/>
    <col min="4611" max="4611" width="51.85546875" style="107" customWidth="1"/>
    <col min="4612" max="4612" width="11.7109375" style="107" customWidth="1"/>
    <col min="4613" max="4613" width="13.85546875" style="107" customWidth="1"/>
    <col min="4614" max="4865" width="9.140625" style="107"/>
    <col min="4866" max="4866" width="26.5703125" style="107" customWidth="1"/>
    <col min="4867" max="4867" width="51.85546875" style="107" customWidth="1"/>
    <col min="4868" max="4868" width="11.7109375" style="107" customWidth="1"/>
    <col min="4869" max="4869" width="13.85546875" style="107" customWidth="1"/>
    <col min="4870" max="5121" width="9.140625" style="107"/>
    <col min="5122" max="5122" width="26.5703125" style="107" customWidth="1"/>
    <col min="5123" max="5123" width="51.85546875" style="107" customWidth="1"/>
    <col min="5124" max="5124" width="11.7109375" style="107" customWidth="1"/>
    <col min="5125" max="5125" width="13.85546875" style="107" customWidth="1"/>
    <col min="5126" max="5377" width="9.140625" style="107"/>
    <col min="5378" max="5378" width="26.5703125" style="107" customWidth="1"/>
    <col min="5379" max="5379" width="51.85546875" style="107" customWidth="1"/>
    <col min="5380" max="5380" width="11.7109375" style="107" customWidth="1"/>
    <col min="5381" max="5381" width="13.85546875" style="107" customWidth="1"/>
    <col min="5382" max="5633" width="9.140625" style="107"/>
    <col min="5634" max="5634" width="26.5703125" style="107" customWidth="1"/>
    <col min="5635" max="5635" width="51.85546875" style="107" customWidth="1"/>
    <col min="5636" max="5636" width="11.7109375" style="107" customWidth="1"/>
    <col min="5637" max="5637" width="13.85546875" style="107" customWidth="1"/>
    <col min="5638" max="5889" width="9.140625" style="107"/>
    <col min="5890" max="5890" width="26.5703125" style="107" customWidth="1"/>
    <col min="5891" max="5891" width="51.85546875" style="107" customWidth="1"/>
    <col min="5892" max="5892" width="11.7109375" style="107" customWidth="1"/>
    <col min="5893" max="5893" width="13.85546875" style="107" customWidth="1"/>
    <col min="5894" max="6145" width="9.140625" style="107"/>
    <col min="6146" max="6146" width="26.5703125" style="107" customWidth="1"/>
    <col min="6147" max="6147" width="51.85546875" style="107" customWidth="1"/>
    <col min="6148" max="6148" width="11.7109375" style="107" customWidth="1"/>
    <col min="6149" max="6149" width="13.85546875" style="107" customWidth="1"/>
    <col min="6150" max="6401" width="9.140625" style="107"/>
    <col min="6402" max="6402" width="26.5703125" style="107" customWidth="1"/>
    <col min="6403" max="6403" width="51.85546875" style="107" customWidth="1"/>
    <col min="6404" max="6404" width="11.7109375" style="107" customWidth="1"/>
    <col min="6405" max="6405" width="13.85546875" style="107" customWidth="1"/>
    <col min="6406" max="6657" width="9.140625" style="107"/>
    <col min="6658" max="6658" width="26.5703125" style="107" customWidth="1"/>
    <col min="6659" max="6659" width="51.85546875" style="107" customWidth="1"/>
    <col min="6660" max="6660" width="11.7109375" style="107" customWidth="1"/>
    <col min="6661" max="6661" width="13.85546875" style="107" customWidth="1"/>
    <col min="6662" max="6913" width="9.140625" style="107"/>
    <col min="6914" max="6914" width="26.5703125" style="107" customWidth="1"/>
    <col min="6915" max="6915" width="51.85546875" style="107" customWidth="1"/>
    <col min="6916" max="6916" width="11.7109375" style="107" customWidth="1"/>
    <col min="6917" max="6917" width="13.85546875" style="107" customWidth="1"/>
    <col min="6918" max="7169" width="9.140625" style="107"/>
    <col min="7170" max="7170" width="26.5703125" style="107" customWidth="1"/>
    <col min="7171" max="7171" width="51.85546875" style="107" customWidth="1"/>
    <col min="7172" max="7172" width="11.7109375" style="107" customWidth="1"/>
    <col min="7173" max="7173" width="13.85546875" style="107" customWidth="1"/>
    <col min="7174" max="7425" width="9.140625" style="107"/>
    <col min="7426" max="7426" width="26.5703125" style="107" customWidth="1"/>
    <col min="7427" max="7427" width="51.85546875" style="107" customWidth="1"/>
    <col min="7428" max="7428" width="11.7109375" style="107" customWidth="1"/>
    <col min="7429" max="7429" width="13.85546875" style="107" customWidth="1"/>
    <col min="7430" max="7681" width="9.140625" style="107"/>
    <col min="7682" max="7682" width="26.5703125" style="107" customWidth="1"/>
    <col min="7683" max="7683" width="51.85546875" style="107" customWidth="1"/>
    <col min="7684" max="7684" width="11.7109375" style="107" customWidth="1"/>
    <col min="7685" max="7685" width="13.85546875" style="107" customWidth="1"/>
    <col min="7686" max="7937" width="9.140625" style="107"/>
    <col min="7938" max="7938" width="26.5703125" style="107" customWidth="1"/>
    <col min="7939" max="7939" width="51.85546875" style="107" customWidth="1"/>
    <col min="7940" max="7940" width="11.7109375" style="107" customWidth="1"/>
    <col min="7941" max="7941" width="13.85546875" style="107" customWidth="1"/>
    <col min="7942" max="8193" width="9.140625" style="107"/>
    <col min="8194" max="8194" width="26.5703125" style="107" customWidth="1"/>
    <col min="8195" max="8195" width="51.85546875" style="107" customWidth="1"/>
    <col min="8196" max="8196" width="11.7109375" style="107" customWidth="1"/>
    <col min="8197" max="8197" width="13.85546875" style="107" customWidth="1"/>
    <col min="8198" max="8449" width="9.140625" style="107"/>
    <col min="8450" max="8450" width="26.5703125" style="107" customWidth="1"/>
    <col min="8451" max="8451" width="51.85546875" style="107" customWidth="1"/>
    <col min="8452" max="8452" width="11.7109375" style="107" customWidth="1"/>
    <col min="8453" max="8453" width="13.85546875" style="107" customWidth="1"/>
    <col min="8454" max="8705" width="9.140625" style="107"/>
    <col min="8706" max="8706" width="26.5703125" style="107" customWidth="1"/>
    <col min="8707" max="8707" width="51.85546875" style="107" customWidth="1"/>
    <col min="8708" max="8708" width="11.7109375" style="107" customWidth="1"/>
    <col min="8709" max="8709" width="13.85546875" style="107" customWidth="1"/>
    <col min="8710" max="8961" width="9.140625" style="107"/>
    <col min="8962" max="8962" width="26.5703125" style="107" customWidth="1"/>
    <col min="8963" max="8963" width="51.85546875" style="107" customWidth="1"/>
    <col min="8964" max="8964" width="11.7109375" style="107" customWidth="1"/>
    <col min="8965" max="8965" width="13.85546875" style="107" customWidth="1"/>
    <col min="8966" max="9217" width="9.140625" style="107"/>
    <col min="9218" max="9218" width="26.5703125" style="107" customWidth="1"/>
    <col min="9219" max="9219" width="51.85546875" style="107" customWidth="1"/>
    <col min="9220" max="9220" width="11.7109375" style="107" customWidth="1"/>
    <col min="9221" max="9221" width="13.85546875" style="107" customWidth="1"/>
    <col min="9222" max="9473" width="9.140625" style="107"/>
    <col min="9474" max="9474" width="26.5703125" style="107" customWidth="1"/>
    <col min="9475" max="9475" width="51.85546875" style="107" customWidth="1"/>
    <col min="9476" max="9476" width="11.7109375" style="107" customWidth="1"/>
    <col min="9477" max="9477" width="13.85546875" style="107" customWidth="1"/>
    <col min="9478" max="9729" width="9.140625" style="107"/>
    <col min="9730" max="9730" width="26.5703125" style="107" customWidth="1"/>
    <col min="9731" max="9731" width="51.85546875" style="107" customWidth="1"/>
    <col min="9732" max="9732" width="11.7109375" style="107" customWidth="1"/>
    <col min="9733" max="9733" width="13.85546875" style="107" customWidth="1"/>
    <col min="9734" max="9985" width="9.140625" style="107"/>
    <col min="9986" max="9986" width="26.5703125" style="107" customWidth="1"/>
    <col min="9987" max="9987" width="51.85546875" style="107" customWidth="1"/>
    <col min="9988" max="9988" width="11.7109375" style="107" customWidth="1"/>
    <col min="9989" max="9989" width="13.85546875" style="107" customWidth="1"/>
    <col min="9990" max="10241" width="9.140625" style="107"/>
    <col min="10242" max="10242" width="26.5703125" style="107" customWidth="1"/>
    <col min="10243" max="10243" width="51.85546875" style="107" customWidth="1"/>
    <col min="10244" max="10244" width="11.7109375" style="107" customWidth="1"/>
    <col min="10245" max="10245" width="13.85546875" style="107" customWidth="1"/>
    <col min="10246" max="10497" width="9.140625" style="107"/>
    <col min="10498" max="10498" width="26.5703125" style="107" customWidth="1"/>
    <col min="10499" max="10499" width="51.85546875" style="107" customWidth="1"/>
    <col min="10500" max="10500" width="11.7109375" style="107" customWidth="1"/>
    <col min="10501" max="10501" width="13.85546875" style="107" customWidth="1"/>
    <col min="10502" max="10753" width="9.140625" style="107"/>
    <col min="10754" max="10754" width="26.5703125" style="107" customWidth="1"/>
    <col min="10755" max="10755" width="51.85546875" style="107" customWidth="1"/>
    <col min="10756" max="10756" width="11.7109375" style="107" customWidth="1"/>
    <col min="10757" max="10757" width="13.85546875" style="107" customWidth="1"/>
    <col min="10758" max="11009" width="9.140625" style="107"/>
    <col min="11010" max="11010" width="26.5703125" style="107" customWidth="1"/>
    <col min="11011" max="11011" width="51.85546875" style="107" customWidth="1"/>
    <col min="11012" max="11012" width="11.7109375" style="107" customWidth="1"/>
    <col min="11013" max="11013" width="13.85546875" style="107" customWidth="1"/>
    <col min="11014" max="11265" width="9.140625" style="107"/>
    <col min="11266" max="11266" width="26.5703125" style="107" customWidth="1"/>
    <col min="11267" max="11267" width="51.85546875" style="107" customWidth="1"/>
    <col min="11268" max="11268" width="11.7109375" style="107" customWidth="1"/>
    <col min="11269" max="11269" width="13.85546875" style="107" customWidth="1"/>
    <col min="11270" max="11521" width="9.140625" style="107"/>
    <col min="11522" max="11522" width="26.5703125" style="107" customWidth="1"/>
    <col min="11523" max="11523" width="51.85546875" style="107" customWidth="1"/>
    <col min="11524" max="11524" width="11.7109375" style="107" customWidth="1"/>
    <col min="11525" max="11525" width="13.85546875" style="107" customWidth="1"/>
    <col min="11526" max="11777" width="9.140625" style="107"/>
    <col min="11778" max="11778" width="26.5703125" style="107" customWidth="1"/>
    <col min="11779" max="11779" width="51.85546875" style="107" customWidth="1"/>
    <col min="11780" max="11780" width="11.7109375" style="107" customWidth="1"/>
    <col min="11781" max="11781" width="13.85546875" style="107" customWidth="1"/>
    <col min="11782" max="12033" width="9.140625" style="107"/>
    <col min="12034" max="12034" width="26.5703125" style="107" customWidth="1"/>
    <col min="12035" max="12035" width="51.85546875" style="107" customWidth="1"/>
    <col min="12036" max="12036" width="11.7109375" style="107" customWidth="1"/>
    <col min="12037" max="12037" width="13.85546875" style="107" customWidth="1"/>
    <col min="12038" max="12289" width="9.140625" style="107"/>
    <col min="12290" max="12290" width="26.5703125" style="107" customWidth="1"/>
    <col min="12291" max="12291" width="51.85546875" style="107" customWidth="1"/>
    <col min="12292" max="12292" width="11.7109375" style="107" customWidth="1"/>
    <col min="12293" max="12293" width="13.85546875" style="107" customWidth="1"/>
    <col min="12294" max="12545" width="9.140625" style="107"/>
    <col min="12546" max="12546" width="26.5703125" style="107" customWidth="1"/>
    <col min="12547" max="12547" width="51.85546875" style="107" customWidth="1"/>
    <col min="12548" max="12548" width="11.7109375" style="107" customWidth="1"/>
    <col min="12549" max="12549" width="13.85546875" style="107" customWidth="1"/>
    <col min="12550" max="12801" width="9.140625" style="107"/>
    <col min="12802" max="12802" width="26.5703125" style="107" customWidth="1"/>
    <col min="12803" max="12803" width="51.85546875" style="107" customWidth="1"/>
    <col min="12804" max="12804" width="11.7109375" style="107" customWidth="1"/>
    <col min="12805" max="12805" width="13.85546875" style="107" customWidth="1"/>
    <col min="12806" max="13057" width="9.140625" style="107"/>
    <col min="13058" max="13058" width="26.5703125" style="107" customWidth="1"/>
    <col min="13059" max="13059" width="51.85546875" style="107" customWidth="1"/>
    <col min="13060" max="13060" width="11.7109375" style="107" customWidth="1"/>
    <col min="13061" max="13061" width="13.85546875" style="107" customWidth="1"/>
    <col min="13062" max="13313" width="9.140625" style="107"/>
    <col min="13314" max="13314" width="26.5703125" style="107" customWidth="1"/>
    <col min="13315" max="13315" width="51.85546875" style="107" customWidth="1"/>
    <col min="13316" max="13316" width="11.7109375" style="107" customWidth="1"/>
    <col min="13317" max="13317" width="13.85546875" style="107" customWidth="1"/>
    <col min="13318" max="13569" width="9.140625" style="107"/>
    <col min="13570" max="13570" width="26.5703125" style="107" customWidth="1"/>
    <col min="13571" max="13571" width="51.85546875" style="107" customWidth="1"/>
    <col min="13572" max="13572" width="11.7109375" style="107" customWidth="1"/>
    <col min="13573" max="13573" width="13.85546875" style="107" customWidth="1"/>
    <col min="13574" max="13825" width="9.140625" style="107"/>
    <col min="13826" max="13826" width="26.5703125" style="107" customWidth="1"/>
    <col min="13827" max="13827" width="51.85546875" style="107" customWidth="1"/>
    <col min="13828" max="13828" width="11.7109375" style="107" customWidth="1"/>
    <col min="13829" max="13829" width="13.85546875" style="107" customWidth="1"/>
    <col min="13830" max="14081" width="9.140625" style="107"/>
    <col min="14082" max="14082" width="26.5703125" style="107" customWidth="1"/>
    <col min="14083" max="14083" width="51.85546875" style="107" customWidth="1"/>
    <col min="14084" max="14084" width="11.7109375" style="107" customWidth="1"/>
    <col min="14085" max="14085" width="13.85546875" style="107" customWidth="1"/>
    <col min="14086" max="14337" width="9.140625" style="107"/>
    <col min="14338" max="14338" width="26.5703125" style="107" customWidth="1"/>
    <col min="14339" max="14339" width="51.85546875" style="107" customWidth="1"/>
    <col min="14340" max="14340" width="11.7109375" style="107" customWidth="1"/>
    <col min="14341" max="14341" width="13.85546875" style="107" customWidth="1"/>
    <col min="14342" max="14593" width="9.140625" style="107"/>
    <col min="14594" max="14594" width="26.5703125" style="107" customWidth="1"/>
    <col min="14595" max="14595" width="51.85546875" style="107" customWidth="1"/>
    <col min="14596" max="14596" width="11.7109375" style="107" customWidth="1"/>
    <col min="14597" max="14597" width="13.85546875" style="107" customWidth="1"/>
    <col min="14598" max="14849" width="9.140625" style="107"/>
    <col min="14850" max="14850" width="26.5703125" style="107" customWidth="1"/>
    <col min="14851" max="14851" width="51.85546875" style="107" customWidth="1"/>
    <col min="14852" max="14852" width="11.7109375" style="107" customWidth="1"/>
    <col min="14853" max="14853" width="13.85546875" style="107" customWidth="1"/>
    <col min="14854" max="15105" width="9.140625" style="107"/>
    <col min="15106" max="15106" width="26.5703125" style="107" customWidth="1"/>
    <col min="15107" max="15107" width="51.85546875" style="107" customWidth="1"/>
    <col min="15108" max="15108" width="11.7109375" style="107" customWidth="1"/>
    <col min="15109" max="15109" width="13.85546875" style="107" customWidth="1"/>
    <col min="15110" max="15361" width="9.140625" style="107"/>
    <col min="15362" max="15362" width="26.5703125" style="107" customWidth="1"/>
    <col min="15363" max="15363" width="51.85546875" style="107" customWidth="1"/>
    <col min="15364" max="15364" width="11.7109375" style="107" customWidth="1"/>
    <col min="15365" max="15365" width="13.85546875" style="107" customWidth="1"/>
    <col min="15366" max="15617" width="9.140625" style="107"/>
    <col min="15618" max="15618" width="26.5703125" style="107" customWidth="1"/>
    <col min="15619" max="15619" width="51.85546875" style="107" customWidth="1"/>
    <col min="15620" max="15620" width="11.7109375" style="107" customWidth="1"/>
    <col min="15621" max="15621" width="13.85546875" style="107" customWidth="1"/>
    <col min="15622" max="15873" width="9.140625" style="107"/>
    <col min="15874" max="15874" width="26.5703125" style="107" customWidth="1"/>
    <col min="15875" max="15875" width="51.85546875" style="107" customWidth="1"/>
    <col min="15876" max="15876" width="11.7109375" style="107" customWidth="1"/>
    <col min="15877" max="15877" width="13.85546875" style="107" customWidth="1"/>
    <col min="15878" max="16129" width="9.140625" style="107"/>
    <col min="16130" max="16130" width="26.5703125" style="107" customWidth="1"/>
    <col min="16131" max="16131" width="51.85546875" style="107" customWidth="1"/>
    <col min="16132" max="16132" width="11.7109375" style="107" customWidth="1"/>
    <col min="16133" max="16133" width="13.85546875" style="107" customWidth="1"/>
    <col min="16134" max="16384" width="9.140625" style="107"/>
  </cols>
  <sheetData>
    <row r="1" spans="1:14" x14ac:dyDescent="0.2">
      <c r="B1" s="18"/>
    </row>
    <row r="2" spans="1:14" ht="45" x14ac:dyDescent="0.2">
      <c r="A2" s="108" t="s">
        <v>443</v>
      </c>
      <c r="B2" s="109" t="s">
        <v>442</v>
      </c>
      <c r="C2" s="109" t="s">
        <v>444</v>
      </c>
      <c r="D2" s="110" t="s">
        <v>445</v>
      </c>
      <c r="E2" s="110" t="s">
        <v>446</v>
      </c>
      <c r="F2" s="111" t="s">
        <v>447</v>
      </c>
      <c r="G2" s="109" t="s">
        <v>448</v>
      </c>
      <c r="H2" s="109" t="s">
        <v>449</v>
      </c>
      <c r="I2" s="109" t="s">
        <v>450</v>
      </c>
      <c r="J2" s="109" t="s">
        <v>451</v>
      </c>
      <c r="K2" s="112" t="s">
        <v>452</v>
      </c>
      <c r="L2" s="109" t="s">
        <v>453</v>
      </c>
      <c r="M2" s="109" t="s">
        <v>454</v>
      </c>
      <c r="N2" s="109" t="s">
        <v>455</v>
      </c>
    </row>
    <row r="3" spans="1:14" x14ac:dyDescent="0.2">
      <c r="A3" s="107">
        <v>1169</v>
      </c>
      <c r="B3" s="18" t="s">
        <v>456</v>
      </c>
      <c r="C3" s="18" t="s">
        <v>457</v>
      </c>
      <c r="D3" s="107">
        <v>68.99666666666667</v>
      </c>
      <c r="E3" s="107">
        <v>-150.28100000000001</v>
      </c>
      <c r="F3" s="107" t="s">
        <v>458</v>
      </c>
      <c r="G3" s="107" t="s">
        <v>459</v>
      </c>
      <c r="H3" s="107" t="s">
        <v>458</v>
      </c>
      <c r="I3" s="107" t="s">
        <v>458</v>
      </c>
      <c r="J3" s="107" t="s">
        <v>460</v>
      </c>
      <c r="K3" s="107" t="s">
        <v>458</v>
      </c>
      <c r="L3" s="107" t="s">
        <v>458</v>
      </c>
      <c r="M3" s="113" t="str">
        <f t="shared" ref="M3:M66" si="0">HYPERLINK("http://maps.google.com/maps?q="&amp;D3&amp;","&amp;E3,"View on Google Map")</f>
        <v>View on Google Map</v>
      </c>
    </row>
    <row r="4" spans="1:14" x14ac:dyDescent="0.2">
      <c r="A4" s="107">
        <v>1170</v>
      </c>
      <c r="B4" s="18" t="s">
        <v>461</v>
      </c>
      <c r="C4" s="18" t="s">
        <v>462</v>
      </c>
      <c r="D4" s="107">
        <v>68.952222222222218</v>
      </c>
      <c r="E4" s="107">
        <v>-150.21249999999998</v>
      </c>
      <c r="F4" s="107" t="s">
        <v>458</v>
      </c>
      <c r="G4" s="107" t="s">
        <v>459</v>
      </c>
      <c r="H4" s="107" t="s">
        <v>458</v>
      </c>
      <c r="I4" s="107" t="s">
        <v>458</v>
      </c>
      <c r="J4" s="107" t="s">
        <v>460</v>
      </c>
      <c r="K4" s="107" t="s">
        <v>458</v>
      </c>
      <c r="L4" s="107" t="s">
        <v>458</v>
      </c>
      <c r="M4" s="113" t="str">
        <f t="shared" si="0"/>
        <v>View on Google Map</v>
      </c>
    </row>
    <row r="5" spans="1:14" x14ac:dyDescent="0.2">
      <c r="A5" s="107">
        <v>1171</v>
      </c>
      <c r="B5" s="18" t="s">
        <v>463</v>
      </c>
      <c r="C5" s="18" t="s">
        <v>464</v>
      </c>
      <c r="D5" s="107">
        <v>68.934444444444452</v>
      </c>
      <c r="E5" s="107">
        <v>-150.2727777777778</v>
      </c>
      <c r="F5" s="107" t="s">
        <v>458</v>
      </c>
      <c r="G5" s="107" t="s">
        <v>459</v>
      </c>
      <c r="H5" s="107" t="s">
        <v>458</v>
      </c>
      <c r="I5" s="107" t="s">
        <v>458</v>
      </c>
      <c r="J5" s="107" t="s">
        <v>465</v>
      </c>
      <c r="K5" s="107" t="s">
        <v>458</v>
      </c>
      <c r="L5" s="107" t="s">
        <v>466</v>
      </c>
      <c r="M5" s="113" t="str">
        <f t="shared" si="0"/>
        <v>View on Google Map</v>
      </c>
    </row>
    <row r="6" spans="1:14" x14ac:dyDescent="0.2">
      <c r="A6" s="107">
        <v>518</v>
      </c>
      <c r="B6" s="107" t="s">
        <v>467</v>
      </c>
      <c r="C6" s="107" t="s">
        <v>468</v>
      </c>
      <c r="D6" s="107">
        <v>68.900986000000003</v>
      </c>
      <c r="E6" s="107">
        <v>-151.308469</v>
      </c>
      <c r="F6" s="107">
        <v>350</v>
      </c>
      <c r="G6" s="107" t="s">
        <v>469</v>
      </c>
      <c r="H6" s="107" t="s">
        <v>458</v>
      </c>
      <c r="I6" s="107" t="s">
        <v>458</v>
      </c>
      <c r="J6" s="107" t="s">
        <v>470</v>
      </c>
      <c r="K6" s="107" t="s">
        <v>458</v>
      </c>
      <c r="L6" s="107" t="s">
        <v>471</v>
      </c>
      <c r="M6" s="113" t="str">
        <f t="shared" si="0"/>
        <v>View on Google Map</v>
      </c>
    </row>
    <row r="7" spans="1:14" x14ac:dyDescent="0.2">
      <c r="A7" s="107">
        <v>478</v>
      </c>
      <c r="B7" s="107" t="s">
        <v>472</v>
      </c>
      <c r="C7" s="107" t="s">
        <v>458</v>
      </c>
      <c r="D7" s="107">
        <v>68.510069999999999</v>
      </c>
      <c r="E7" s="107">
        <v>-149.62691000000001</v>
      </c>
      <c r="F7" s="107">
        <v>996</v>
      </c>
      <c r="G7" s="107" t="s">
        <v>469</v>
      </c>
      <c r="H7" s="107" t="s">
        <v>458</v>
      </c>
      <c r="I7" s="107" t="s">
        <v>458</v>
      </c>
      <c r="J7" s="107" t="s">
        <v>470</v>
      </c>
      <c r="K7" s="107" t="s">
        <v>458</v>
      </c>
      <c r="L7" s="107" t="s">
        <v>458</v>
      </c>
      <c r="M7" s="113" t="str">
        <f t="shared" si="0"/>
        <v>View on Google Map</v>
      </c>
    </row>
    <row r="8" spans="1:14" x14ac:dyDescent="0.2">
      <c r="A8" s="107">
        <v>479</v>
      </c>
      <c r="B8" s="107" t="s">
        <v>473</v>
      </c>
      <c r="C8" s="107" t="s">
        <v>458</v>
      </c>
      <c r="D8" s="107">
        <v>68.505080000000007</v>
      </c>
      <c r="E8" s="107">
        <v>-149.62766999999999</v>
      </c>
      <c r="F8" s="107">
        <v>986</v>
      </c>
      <c r="G8" s="107" t="s">
        <v>469</v>
      </c>
      <c r="H8" s="107" t="s">
        <v>458</v>
      </c>
      <c r="I8" s="107" t="s">
        <v>458</v>
      </c>
      <c r="J8" s="107" t="s">
        <v>470</v>
      </c>
      <c r="K8" s="107" t="s">
        <v>458</v>
      </c>
      <c r="L8" s="107" t="s">
        <v>458</v>
      </c>
      <c r="M8" s="113" t="str">
        <f t="shared" si="0"/>
        <v>View on Google Map</v>
      </c>
    </row>
    <row r="9" spans="1:14" x14ac:dyDescent="0.2">
      <c r="A9" s="107">
        <v>480</v>
      </c>
      <c r="B9" s="107" t="s">
        <v>474</v>
      </c>
      <c r="C9" s="107" t="s">
        <v>458</v>
      </c>
      <c r="D9" s="107">
        <v>68.502449999999996</v>
      </c>
      <c r="E9" s="107">
        <v>-149.63137</v>
      </c>
      <c r="F9" s="107">
        <v>982</v>
      </c>
      <c r="G9" s="107" t="s">
        <v>469</v>
      </c>
      <c r="H9" s="107" t="s">
        <v>458</v>
      </c>
      <c r="I9" s="107" t="s">
        <v>458</v>
      </c>
      <c r="J9" s="107" t="s">
        <v>470</v>
      </c>
      <c r="K9" s="107" t="s">
        <v>458</v>
      </c>
      <c r="L9" s="107" t="s">
        <v>458</v>
      </c>
      <c r="M9" s="113" t="str">
        <f t="shared" si="0"/>
        <v>View on Google Map</v>
      </c>
    </row>
    <row r="10" spans="1:14" x14ac:dyDescent="0.2">
      <c r="B10" s="107" t="s">
        <v>475</v>
      </c>
      <c r="C10" s="107" t="s">
        <v>476</v>
      </c>
      <c r="D10" s="107">
        <v>69.375833333333333</v>
      </c>
      <c r="E10" s="107">
        <v>-150.68138888888899</v>
      </c>
      <c r="G10" s="107" t="s">
        <v>477</v>
      </c>
      <c r="J10" s="107" t="s">
        <v>465</v>
      </c>
      <c r="L10" s="107" t="s">
        <v>466</v>
      </c>
      <c r="M10" s="113" t="str">
        <f t="shared" si="0"/>
        <v>View on Google Map</v>
      </c>
    </row>
    <row r="11" spans="1:14" x14ac:dyDescent="0.2">
      <c r="B11" s="107" t="s">
        <v>478</v>
      </c>
      <c r="C11" s="107" t="s">
        <v>476</v>
      </c>
      <c r="D11" s="107">
        <v>69.322777777777773</v>
      </c>
      <c r="E11" s="107">
        <v>-150.95055555555601</v>
      </c>
      <c r="G11" s="107" t="s">
        <v>477</v>
      </c>
      <c r="J11" s="107" t="s">
        <v>465</v>
      </c>
      <c r="L11" s="107" t="s">
        <v>466</v>
      </c>
      <c r="M11" s="113" t="str">
        <f t="shared" si="0"/>
        <v>View on Google Map</v>
      </c>
    </row>
    <row r="12" spans="1:14" x14ac:dyDescent="0.2">
      <c r="B12" s="107" t="s">
        <v>479</v>
      </c>
      <c r="C12" s="107" t="s">
        <v>476</v>
      </c>
      <c r="D12" s="107">
        <v>69.328055555555565</v>
      </c>
      <c r="E12" s="107">
        <v>-150.238055555556</v>
      </c>
      <c r="G12" s="107" t="s">
        <v>477</v>
      </c>
      <c r="J12" s="107" t="s">
        <v>465</v>
      </c>
      <c r="L12" s="107" t="s">
        <v>466</v>
      </c>
      <c r="M12" s="113" t="str">
        <f t="shared" si="0"/>
        <v>View on Google Map</v>
      </c>
    </row>
    <row r="13" spans="1:14" x14ac:dyDescent="0.2">
      <c r="B13" s="107" t="s">
        <v>480</v>
      </c>
      <c r="C13" s="107" t="s">
        <v>476</v>
      </c>
      <c r="D13" s="107">
        <v>69.30361111111111</v>
      </c>
      <c r="E13" s="107">
        <v>-149.56083333333299</v>
      </c>
      <c r="G13" s="107" t="s">
        <v>477</v>
      </c>
      <c r="J13" s="107" t="s">
        <v>465</v>
      </c>
      <c r="L13" s="107" t="s">
        <v>466</v>
      </c>
      <c r="M13" s="113" t="str">
        <f t="shared" si="0"/>
        <v>View on Google Map</v>
      </c>
    </row>
    <row r="14" spans="1:14" x14ac:dyDescent="0.2">
      <c r="A14" s="107">
        <v>7</v>
      </c>
      <c r="B14" s="107" t="s">
        <v>481</v>
      </c>
      <c r="C14" s="107" t="s">
        <v>482</v>
      </c>
      <c r="D14" s="107">
        <v>68.95</v>
      </c>
      <c r="E14" s="107">
        <v>-148.86666666666667</v>
      </c>
      <c r="F14" s="107">
        <v>360</v>
      </c>
      <c r="G14" s="107" t="s">
        <v>483</v>
      </c>
      <c r="H14" s="107" t="s">
        <v>458</v>
      </c>
      <c r="I14" s="107" t="s">
        <v>458</v>
      </c>
      <c r="J14" s="107" t="s">
        <v>484</v>
      </c>
      <c r="K14" s="107" t="s">
        <v>458</v>
      </c>
      <c r="L14" s="107" t="s">
        <v>485</v>
      </c>
      <c r="M14" s="113" t="str">
        <f t="shared" si="0"/>
        <v>View on Google Map</v>
      </c>
    </row>
    <row r="15" spans="1:14" x14ac:dyDescent="0.2">
      <c r="A15" s="107">
        <v>517</v>
      </c>
      <c r="B15" s="107" t="s">
        <v>486</v>
      </c>
      <c r="C15" s="107" t="s">
        <v>468</v>
      </c>
      <c r="D15" s="107">
        <v>68.467832999999999</v>
      </c>
      <c r="E15" s="107">
        <v>-151.47916699999999</v>
      </c>
      <c r="F15" s="107">
        <v>732</v>
      </c>
      <c r="G15" s="107" t="s">
        <v>469</v>
      </c>
      <c r="H15" s="107" t="s">
        <v>458</v>
      </c>
      <c r="I15" s="107" t="s">
        <v>458</v>
      </c>
      <c r="J15" s="107" t="s">
        <v>470</v>
      </c>
      <c r="K15" s="107" t="s">
        <v>458</v>
      </c>
      <c r="L15" s="107" t="s">
        <v>471</v>
      </c>
      <c r="M15" s="113" t="str">
        <f t="shared" si="0"/>
        <v>View on Google Map</v>
      </c>
    </row>
    <row r="16" spans="1:14" x14ac:dyDescent="0.2">
      <c r="A16" s="107">
        <v>516</v>
      </c>
      <c r="B16" s="107" t="s">
        <v>487</v>
      </c>
      <c r="C16" s="107" t="s">
        <v>468</v>
      </c>
      <c r="D16" s="107">
        <v>68.467500000000001</v>
      </c>
      <c r="E16" s="107">
        <v>-151.49433300000001</v>
      </c>
      <c r="F16" s="107">
        <v>769</v>
      </c>
      <c r="G16" s="107" t="s">
        <v>469</v>
      </c>
      <c r="H16" s="107" t="s">
        <v>458</v>
      </c>
      <c r="I16" s="107" t="s">
        <v>458</v>
      </c>
      <c r="J16" s="107" t="s">
        <v>470</v>
      </c>
      <c r="K16" s="107" t="s">
        <v>458</v>
      </c>
      <c r="L16" s="107" t="s">
        <v>471</v>
      </c>
      <c r="M16" s="113" t="str">
        <f t="shared" si="0"/>
        <v>View on Google Map</v>
      </c>
    </row>
    <row r="17" spans="1:13" x14ac:dyDescent="0.2">
      <c r="A17" s="107">
        <v>515</v>
      </c>
      <c r="B17" s="107" t="s">
        <v>488</v>
      </c>
      <c r="C17" s="107" t="s">
        <v>468</v>
      </c>
      <c r="D17" s="107">
        <v>68.463999999999999</v>
      </c>
      <c r="E17" s="107">
        <v>-151.51516699999999</v>
      </c>
      <c r="F17" s="107">
        <v>809</v>
      </c>
      <c r="G17" s="107" t="s">
        <v>469</v>
      </c>
      <c r="H17" s="107" t="s">
        <v>458</v>
      </c>
      <c r="I17" s="107" t="s">
        <v>458</v>
      </c>
      <c r="J17" s="107" t="s">
        <v>470</v>
      </c>
      <c r="K17" s="107" t="s">
        <v>458</v>
      </c>
      <c r="L17" s="107" t="s">
        <v>471</v>
      </c>
      <c r="M17" s="113" t="str">
        <f t="shared" si="0"/>
        <v>View on Google Map</v>
      </c>
    </row>
    <row r="18" spans="1:13" x14ac:dyDescent="0.2">
      <c r="A18" s="107">
        <v>1177</v>
      </c>
      <c r="B18" s="107" t="s">
        <v>489</v>
      </c>
      <c r="C18" s="107" t="s">
        <v>490</v>
      </c>
      <c r="D18" s="107">
        <v>68.99539</v>
      </c>
      <c r="E18" s="107">
        <v>-150.28278</v>
      </c>
      <c r="F18" s="107" t="s">
        <v>458</v>
      </c>
      <c r="G18" s="107" t="s">
        <v>459</v>
      </c>
      <c r="H18" s="107" t="s">
        <v>458</v>
      </c>
      <c r="I18" s="107" t="s">
        <v>458</v>
      </c>
      <c r="J18" s="107" t="s">
        <v>465</v>
      </c>
      <c r="K18" s="107" t="s">
        <v>458</v>
      </c>
      <c r="L18" s="107" t="s">
        <v>466</v>
      </c>
      <c r="M18" s="113" t="str">
        <f t="shared" si="0"/>
        <v>View on Google Map</v>
      </c>
    </row>
    <row r="19" spans="1:13" x14ac:dyDescent="0.2">
      <c r="A19" s="107">
        <v>1178</v>
      </c>
      <c r="B19" s="107" t="s">
        <v>491</v>
      </c>
      <c r="C19" s="107" t="s">
        <v>490</v>
      </c>
      <c r="D19" s="107">
        <v>68.996089999999995</v>
      </c>
      <c r="E19" s="107">
        <v>-150.29223999999999</v>
      </c>
      <c r="F19" s="107" t="s">
        <v>458</v>
      </c>
      <c r="G19" s="107" t="s">
        <v>459</v>
      </c>
      <c r="H19" s="107" t="s">
        <v>458</v>
      </c>
      <c r="I19" s="107" t="s">
        <v>458</v>
      </c>
      <c r="J19" s="107" t="s">
        <v>465</v>
      </c>
      <c r="K19" s="107" t="s">
        <v>458</v>
      </c>
      <c r="L19" s="107" t="s">
        <v>466</v>
      </c>
      <c r="M19" s="113" t="str">
        <f t="shared" si="0"/>
        <v>View on Google Map</v>
      </c>
    </row>
    <row r="20" spans="1:13" x14ac:dyDescent="0.2">
      <c r="A20" s="107">
        <v>1179</v>
      </c>
      <c r="B20" s="107" t="s">
        <v>492</v>
      </c>
      <c r="C20" s="107" t="s">
        <v>493</v>
      </c>
      <c r="D20" s="107">
        <v>68.953829999999996</v>
      </c>
      <c r="E20" s="107">
        <v>-150.20697000000001</v>
      </c>
      <c r="F20" s="107" t="s">
        <v>458</v>
      </c>
      <c r="G20" s="107" t="s">
        <v>459</v>
      </c>
      <c r="H20" s="107" t="s">
        <v>458</v>
      </c>
      <c r="I20" s="107" t="s">
        <v>458</v>
      </c>
      <c r="J20" s="107" t="s">
        <v>465</v>
      </c>
      <c r="K20" s="107" t="s">
        <v>458</v>
      </c>
      <c r="L20" s="107" t="s">
        <v>466</v>
      </c>
      <c r="M20" s="113" t="str">
        <f t="shared" si="0"/>
        <v>View on Google Map</v>
      </c>
    </row>
    <row r="21" spans="1:13" x14ac:dyDescent="0.2">
      <c r="A21" s="107">
        <v>1180</v>
      </c>
      <c r="B21" s="18" t="s">
        <v>494</v>
      </c>
      <c r="C21" s="107" t="s">
        <v>493</v>
      </c>
      <c r="D21" s="107">
        <v>68.951099999999997</v>
      </c>
      <c r="E21" s="107">
        <v>-150.20966000000001</v>
      </c>
      <c r="F21" s="107" t="s">
        <v>458</v>
      </c>
      <c r="G21" s="107" t="s">
        <v>459</v>
      </c>
      <c r="H21" s="107" t="s">
        <v>458</v>
      </c>
      <c r="I21" s="107" t="s">
        <v>458</v>
      </c>
      <c r="J21" s="107" t="s">
        <v>465</v>
      </c>
      <c r="K21" s="107" t="s">
        <v>458</v>
      </c>
      <c r="L21" s="107" t="s">
        <v>466</v>
      </c>
      <c r="M21" s="113" t="str">
        <f t="shared" si="0"/>
        <v>View on Google Map</v>
      </c>
    </row>
    <row r="22" spans="1:13" x14ac:dyDescent="0.2">
      <c r="A22" s="107">
        <v>1181</v>
      </c>
      <c r="B22" s="18" t="s">
        <v>495</v>
      </c>
      <c r="C22" s="107" t="s">
        <v>493</v>
      </c>
      <c r="D22" s="107">
        <v>68.950720000000004</v>
      </c>
      <c r="E22" s="107">
        <v>-150.19745</v>
      </c>
      <c r="F22" s="107" t="s">
        <v>458</v>
      </c>
      <c r="G22" s="107" t="s">
        <v>459</v>
      </c>
      <c r="H22" s="107" t="s">
        <v>458</v>
      </c>
      <c r="I22" s="107" t="s">
        <v>458</v>
      </c>
      <c r="J22" s="107" t="s">
        <v>465</v>
      </c>
      <c r="K22" s="107" t="s">
        <v>458</v>
      </c>
      <c r="L22" s="107" t="s">
        <v>466</v>
      </c>
      <c r="M22" s="113" t="str">
        <f t="shared" si="0"/>
        <v>View on Google Map</v>
      </c>
    </row>
    <row r="23" spans="1:13" x14ac:dyDescent="0.2">
      <c r="A23" s="107">
        <v>1182</v>
      </c>
      <c r="B23" s="18" t="s">
        <v>496</v>
      </c>
      <c r="C23" s="107" t="s">
        <v>493</v>
      </c>
      <c r="D23" s="107">
        <v>68.950149999999994</v>
      </c>
      <c r="E23" s="107">
        <v>-150.19701000000001</v>
      </c>
      <c r="F23" s="107" t="s">
        <v>458</v>
      </c>
      <c r="G23" s="107" t="s">
        <v>459</v>
      </c>
      <c r="H23" s="107" t="s">
        <v>458</v>
      </c>
      <c r="I23" s="107" t="s">
        <v>458</v>
      </c>
      <c r="J23" s="107" t="s">
        <v>465</v>
      </c>
      <c r="K23" s="107" t="s">
        <v>458</v>
      </c>
      <c r="L23" s="107" t="s">
        <v>466</v>
      </c>
      <c r="M23" s="113" t="str">
        <f t="shared" si="0"/>
        <v>View on Google Map</v>
      </c>
    </row>
    <row r="24" spans="1:13" x14ac:dyDescent="0.2">
      <c r="A24" s="107">
        <v>1183</v>
      </c>
      <c r="B24" s="18" t="s">
        <v>497</v>
      </c>
      <c r="C24" s="107" t="s">
        <v>493</v>
      </c>
      <c r="D24" s="107">
        <v>68.949629999999999</v>
      </c>
      <c r="E24" s="107">
        <v>-150.19672</v>
      </c>
      <c r="F24" s="107" t="s">
        <v>458</v>
      </c>
      <c r="G24" s="107" t="s">
        <v>459</v>
      </c>
      <c r="H24" s="107" t="s">
        <v>458</v>
      </c>
      <c r="I24" s="107" t="s">
        <v>458</v>
      </c>
      <c r="J24" s="107" t="s">
        <v>465</v>
      </c>
      <c r="K24" s="107" t="s">
        <v>458</v>
      </c>
      <c r="L24" s="107" t="s">
        <v>466</v>
      </c>
      <c r="M24" s="113" t="str">
        <f t="shared" si="0"/>
        <v>View on Google Map</v>
      </c>
    </row>
    <row r="25" spans="1:13" x14ac:dyDescent="0.2">
      <c r="A25" s="107">
        <v>1184</v>
      </c>
      <c r="B25" s="18" t="s">
        <v>498</v>
      </c>
      <c r="C25" s="107" t="s">
        <v>493</v>
      </c>
      <c r="D25" s="107">
        <v>68.952349999999996</v>
      </c>
      <c r="E25" s="107">
        <v>-150.20769999999999</v>
      </c>
      <c r="F25" s="107" t="s">
        <v>458</v>
      </c>
      <c r="G25" s="107" t="s">
        <v>459</v>
      </c>
      <c r="H25" s="107" t="s">
        <v>458</v>
      </c>
      <c r="I25" s="107" t="s">
        <v>458</v>
      </c>
      <c r="J25" s="107" t="s">
        <v>465</v>
      </c>
      <c r="K25" s="107" t="s">
        <v>458</v>
      </c>
      <c r="L25" s="107" t="s">
        <v>466</v>
      </c>
      <c r="M25" s="113" t="str">
        <f t="shared" si="0"/>
        <v>View on Google Map</v>
      </c>
    </row>
    <row r="26" spans="1:13" x14ac:dyDescent="0.2">
      <c r="A26" s="107">
        <v>1185</v>
      </c>
      <c r="B26" s="18" t="s">
        <v>499</v>
      </c>
      <c r="C26" s="107" t="s">
        <v>493</v>
      </c>
      <c r="D26" s="107">
        <v>68.933340000000001</v>
      </c>
      <c r="E26" s="107">
        <v>-150.27288999999999</v>
      </c>
      <c r="F26" s="107" t="s">
        <v>458</v>
      </c>
      <c r="G26" s="107" t="s">
        <v>459</v>
      </c>
      <c r="H26" s="107" t="s">
        <v>458</v>
      </c>
      <c r="I26" s="107" t="s">
        <v>458</v>
      </c>
      <c r="J26" s="107" t="s">
        <v>465</v>
      </c>
      <c r="K26" s="107" t="s">
        <v>458</v>
      </c>
      <c r="L26" s="107" t="s">
        <v>466</v>
      </c>
      <c r="M26" s="113" t="str">
        <f t="shared" si="0"/>
        <v>View on Google Map</v>
      </c>
    </row>
    <row r="27" spans="1:13" x14ac:dyDescent="0.2">
      <c r="A27" s="107">
        <v>1186</v>
      </c>
      <c r="B27" s="107" t="s">
        <v>500</v>
      </c>
      <c r="C27" s="107" t="s">
        <v>493</v>
      </c>
      <c r="D27" s="107">
        <v>68.935190000000006</v>
      </c>
      <c r="E27" s="107">
        <v>-150.26884000000001</v>
      </c>
      <c r="F27" s="107" t="s">
        <v>458</v>
      </c>
      <c r="G27" s="107" t="s">
        <v>459</v>
      </c>
      <c r="H27" s="107" t="s">
        <v>458</v>
      </c>
      <c r="I27" s="107" t="s">
        <v>458</v>
      </c>
      <c r="J27" s="107" t="s">
        <v>465</v>
      </c>
      <c r="K27" s="107" t="s">
        <v>458</v>
      </c>
      <c r="L27" s="107" t="s">
        <v>466</v>
      </c>
      <c r="M27" s="113" t="str">
        <f t="shared" si="0"/>
        <v>View on Google Map</v>
      </c>
    </row>
    <row r="28" spans="1:13" x14ac:dyDescent="0.2">
      <c r="A28" s="107">
        <v>1187</v>
      </c>
      <c r="B28" s="18" t="s">
        <v>501</v>
      </c>
      <c r="C28" s="107" t="s">
        <v>493</v>
      </c>
      <c r="D28" s="107">
        <v>68.997339999999994</v>
      </c>
      <c r="E28" s="107">
        <v>-150.30745999999999</v>
      </c>
      <c r="F28" s="107" t="s">
        <v>458</v>
      </c>
      <c r="G28" s="107" t="s">
        <v>459</v>
      </c>
      <c r="H28" s="107" t="s">
        <v>458</v>
      </c>
      <c r="I28" s="107" t="s">
        <v>458</v>
      </c>
      <c r="J28" s="107" t="s">
        <v>465</v>
      </c>
      <c r="K28" s="107" t="s">
        <v>458</v>
      </c>
      <c r="L28" s="107" t="s">
        <v>466</v>
      </c>
      <c r="M28" s="113" t="str">
        <f t="shared" si="0"/>
        <v>View on Google Map</v>
      </c>
    </row>
    <row r="29" spans="1:13" x14ac:dyDescent="0.2">
      <c r="A29" s="107">
        <v>1188</v>
      </c>
      <c r="B29" s="18" t="s">
        <v>502</v>
      </c>
      <c r="C29" s="107" t="s">
        <v>493</v>
      </c>
      <c r="D29" s="107">
        <v>68.950779999999995</v>
      </c>
      <c r="E29" s="107">
        <v>-150.19788</v>
      </c>
      <c r="F29" s="107" t="s">
        <v>458</v>
      </c>
      <c r="G29" s="107" t="s">
        <v>459</v>
      </c>
      <c r="H29" s="107" t="s">
        <v>458</v>
      </c>
      <c r="I29" s="107" t="s">
        <v>458</v>
      </c>
      <c r="J29" s="107" t="s">
        <v>465</v>
      </c>
      <c r="K29" s="107" t="s">
        <v>458</v>
      </c>
      <c r="L29" s="107" t="s">
        <v>466</v>
      </c>
      <c r="M29" s="113" t="str">
        <f t="shared" si="0"/>
        <v>View on Google Map</v>
      </c>
    </row>
    <row r="30" spans="1:13" x14ac:dyDescent="0.2">
      <c r="A30" s="107">
        <v>1189</v>
      </c>
      <c r="B30" s="18" t="s">
        <v>503</v>
      </c>
      <c r="C30" s="107" t="s">
        <v>493</v>
      </c>
      <c r="D30" s="107">
        <v>68.954440000000005</v>
      </c>
      <c r="E30" s="107">
        <v>-150.20644999999999</v>
      </c>
      <c r="F30" s="107" t="s">
        <v>458</v>
      </c>
      <c r="G30" s="107" t="s">
        <v>459</v>
      </c>
      <c r="H30" s="107" t="s">
        <v>458</v>
      </c>
      <c r="I30" s="107" t="s">
        <v>458</v>
      </c>
      <c r="J30" s="107" t="s">
        <v>465</v>
      </c>
      <c r="K30" s="107" t="s">
        <v>458</v>
      </c>
      <c r="L30" s="107" t="s">
        <v>466</v>
      </c>
      <c r="M30" s="113" t="str">
        <f t="shared" si="0"/>
        <v>View on Google Map</v>
      </c>
    </row>
    <row r="31" spans="1:13" x14ac:dyDescent="0.2">
      <c r="A31" s="107">
        <v>1190</v>
      </c>
      <c r="B31" s="18" t="s">
        <v>504</v>
      </c>
      <c r="C31" s="107" t="s">
        <v>493</v>
      </c>
      <c r="D31" s="107">
        <v>69.116330000000005</v>
      </c>
      <c r="E31" s="107">
        <v>-150.79077000000001</v>
      </c>
      <c r="F31" s="107" t="s">
        <v>458</v>
      </c>
      <c r="G31" s="107" t="s">
        <v>459</v>
      </c>
      <c r="H31" s="107" t="s">
        <v>458</v>
      </c>
      <c r="I31" s="107" t="s">
        <v>458</v>
      </c>
      <c r="J31" s="107" t="s">
        <v>465</v>
      </c>
      <c r="K31" s="107" t="s">
        <v>458</v>
      </c>
      <c r="L31" s="107" t="s">
        <v>466</v>
      </c>
      <c r="M31" s="113" t="str">
        <f t="shared" si="0"/>
        <v>View on Google Map</v>
      </c>
    </row>
    <row r="32" spans="1:13" x14ac:dyDescent="0.2">
      <c r="A32" s="107">
        <v>1191</v>
      </c>
      <c r="B32" s="18" t="s">
        <v>505</v>
      </c>
      <c r="C32" s="107" t="s">
        <v>493</v>
      </c>
      <c r="D32" s="107">
        <v>69.116150000000005</v>
      </c>
      <c r="E32" s="107">
        <v>-150.79553999999999</v>
      </c>
      <c r="F32" s="107" t="s">
        <v>458</v>
      </c>
      <c r="G32" s="107" t="s">
        <v>459</v>
      </c>
      <c r="H32" s="107" t="s">
        <v>458</v>
      </c>
      <c r="I32" s="107" t="s">
        <v>458</v>
      </c>
      <c r="J32" s="107" t="s">
        <v>465</v>
      </c>
      <c r="K32" s="107" t="s">
        <v>458</v>
      </c>
      <c r="L32" s="107" t="s">
        <v>466</v>
      </c>
      <c r="M32" s="113" t="str">
        <f t="shared" si="0"/>
        <v>View on Google Map</v>
      </c>
    </row>
    <row r="33" spans="1:14" x14ac:dyDescent="0.2">
      <c r="A33" s="107">
        <v>3</v>
      </c>
      <c r="B33" s="107" t="s">
        <v>506</v>
      </c>
      <c r="C33" s="107" t="s">
        <v>507</v>
      </c>
      <c r="D33" s="107">
        <v>68.266666666666666</v>
      </c>
      <c r="E33" s="107">
        <v>-149.44999999999999</v>
      </c>
      <c r="F33" s="107">
        <v>914</v>
      </c>
      <c r="G33" s="107" t="s">
        <v>483</v>
      </c>
      <c r="H33" s="107" t="s">
        <v>458</v>
      </c>
      <c r="I33" s="107" t="s">
        <v>458</v>
      </c>
      <c r="J33" s="107" t="s">
        <v>484</v>
      </c>
      <c r="K33" s="107" t="s">
        <v>458</v>
      </c>
      <c r="L33" s="107" t="s">
        <v>485</v>
      </c>
      <c r="M33" s="113" t="str">
        <f t="shared" si="0"/>
        <v>View on Google Map</v>
      </c>
    </row>
    <row r="34" spans="1:14" x14ac:dyDescent="0.2">
      <c r="A34" s="107">
        <v>2</v>
      </c>
      <c r="B34" s="107" t="s">
        <v>508</v>
      </c>
      <c r="C34" s="107" t="s">
        <v>509</v>
      </c>
      <c r="D34" s="107">
        <v>68.266666666666666</v>
      </c>
      <c r="E34" s="107">
        <v>-149.46666666666667</v>
      </c>
      <c r="F34" s="107">
        <v>914</v>
      </c>
      <c r="G34" s="107" t="s">
        <v>483</v>
      </c>
      <c r="H34" s="107" t="s">
        <v>458</v>
      </c>
      <c r="I34" s="107" t="s">
        <v>458</v>
      </c>
      <c r="J34" s="107" t="s">
        <v>484</v>
      </c>
      <c r="K34" s="107" t="s">
        <v>458</v>
      </c>
      <c r="L34" s="107" t="s">
        <v>485</v>
      </c>
      <c r="M34" s="113" t="str">
        <f t="shared" si="0"/>
        <v>View on Google Map</v>
      </c>
    </row>
    <row r="35" spans="1:14" x14ac:dyDescent="0.2">
      <c r="A35" s="107">
        <v>25</v>
      </c>
      <c r="B35" s="107" t="s">
        <v>510</v>
      </c>
      <c r="C35" s="107" t="s">
        <v>458</v>
      </c>
      <c r="D35" s="107" t="s">
        <v>458</v>
      </c>
      <c r="E35" s="107" t="s">
        <v>458</v>
      </c>
      <c r="F35" s="107">
        <v>1097</v>
      </c>
      <c r="G35" s="107" t="s">
        <v>483</v>
      </c>
      <c r="H35" s="107" t="s">
        <v>511</v>
      </c>
      <c r="I35" s="107" t="s">
        <v>458</v>
      </c>
      <c r="J35" s="107" t="s">
        <v>484</v>
      </c>
      <c r="K35" s="107" t="s">
        <v>458</v>
      </c>
      <c r="L35" s="107" t="s">
        <v>458</v>
      </c>
      <c r="M35" s="113" t="str">
        <f t="shared" si="0"/>
        <v>View on Google Map</v>
      </c>
    </row>
    <row r="36" spans="1:14" x14ac:dyDescent="0.2">
      <c r="A36" s="107">
        <v>26</v>
      </c>
      <c r="B36" s="107" t="s">
        <v>512</v>
      </c>
      <c r="C36" s="107" t="s">
        <v>458</v>
      </c>
      <c r="D36" s="107" t="s">
        <v>458</v>
      </c>
      <c r="E36" s="107" t="s">
        <v>458</v>
      </c>
      <c r="F36" s="107">
        <v>1280</v>
      </c>
      <c r="G36" s="107" t="s">
        <v>483</v>
      </c>
      <c r="H36" s="107" t="s">
        <v>513</v>
      </c>
      <c r="I36" s="107" t="s">
        <v>458</v>
      </c>
      <c r="J36" s="107" t="s">
        <v>484</v>
      </c>
      <c r="K36" s="107" t="s">
        <v>458</v>
      </c>
      <c r="L36" s="107" t="s">
        <v>458</v>
      </c>
      <c r="M36" s="113" t="str">
        <f t="shared" si="0"/>
        <v>View on Google Map</v>
      </c>
    </row>
    <row r="37" spans="1:14" x14ac:dyDescent="0.2">
      <c r="A37" s="107">
        <v>27</v>
      </c>
      <c r="B37" s="107" t="s">
        <v>514</v>
      </c>
      <c r="C37" s="107" t="s">
        <v>458</v>
      </c>
      <c r="D37" s="107" t="s">
        <v>458</v>
      </c>
      <c r="E37" s="107" t="s">
        <v>458</v>
      </c>
      <c r="F37" s="107">
        <v>1555</v>
      </c>
      <c r="G37" s="107" t="s">
        <v>483</v>
      </c>
      <c r="H37" s="107" t="s">
        <v>515</v>
      </c>
      <c r="I37" s="107" t="s">
        <v>458</v>
      </c>
      <c r="J37" s="107" t="s">
        <v>484</v>
      </c>
      <c r="K37" s="107" t="s">
        <v>458</v>
      </c>
      <c r="L37" s="107" t="s">
        <v>458</v>
      </c>
      <c r="M37" s="113" t="str">
        <f t="shared" si="0"/>
        <v>View on Google Map</v>
      </c>
    </row>
    <row r="38" spans="1:14" ht="12.75" customHeight="1" x14ac:dyDescent="0.2">
      <c r="A38" s="107">
        <v>138</v>
      </c>
      <c r="B38" s="107" t="s">
        <v>516</v>
      </c>
      <c r="C38" s="107" t="s">
        <v>458</v>
      </c>
      <c r="D38" s="107">
        <v>70.283333333333331</v>
      </c>
      <c r="E38" s="107">
        <v>-148.30000000000001</v>
      </c>
      <c r="F38" s="107">
        <v>6</v>
      </c>
      <c r="G38" s="107" t="s">
        <v>469</v>
      </c>
      <c r="H38" s="107" t="s">
        <v>517</v>
      </c>
      <c r="I38" s="107" t="s">
        <v>458</v>
      </c>
      <c r="J38" s="107" t="s">
        <v>484</v>
      </c>
      <c r="K38" s="107" t="s">
        <v>458</v>
      </c>
      <c r="L38" s="107" t="s">
        <v>485</v>
      </c>
      <c r="M38" s="113" t="str">
        <f t="shared" si="0"/>
        <v>View on Google Map</v>
      </c>
    </row>
    <row r="39" spans="1:14" ht="12.75" customHeight="1" x14ac:dyDescent="0.2">
      <c r="A39" s="107">
        <v>31</v>
      </c>
      <c r="B39" s="107" t="s">
        <v>518</v>
      </c>
      <c r="C39" s="107" t="s">
        <v>458</v>
      </c>
      <c r="D39" s="107">
        <v>68.957566666999995</v>
      </c>
      <c r="E39" s="107">
        <v>-150.236266667</v>
      </c>
      <c r="F39" s="107">
        <v>386.18</v>
      </c>
      <c r="G39" s="107" t="s">
        <v>483</v>
      </c>
      <c r="H39" s="107" t="s">
        <v>458</v>
      </c>
      <c r="I39" s="107" t="s">
        <v>458</v>
      </c>
      <c r="J39" s="107" t="s">
        <v>519</v>
      </c>
      <c r="K39" s="107" t="s">
        <v>458</v>
      </c>
      <c r="L39" s="107" t="s">
        <v>466</v>
      </c>
      <c r="M39" s="113" t="str">
        <f t="shared" si="0"/>
        <v>View on Google Map</v>
      </c>
    </row>
    <row r="40" spans="1:14" ht="12.75" customHeight="1" x14ac:dyDescent="0.2">
      <c r="A40" s="107">
        <v>131</v>
      </c>
      <c r="B40" s="107" t="s">
        <v>520</v>
      </c>
      <c r="C40" s="107" t="s">
        <v>458</v>
      </c>
      <c r="D40" s="107">
        <v>70.333333333333329</v>
      </c>
      <c r="E40" s="107">
        <v>-148.93333333333334</v>
      </c>
      <c r="F40" s="107">
        <v>3</v>
      </c>
      <c r="G40" s="107" t="s">
        <v>469</v>
      </c>
      <c r="H40" s="107" t="s">
        <v>521</v>
      </c>
      <c r="I40" s="107" t="s">
        <v>458</v>
      </c>
      <c r="J40" s="107" t="s">
        <v>484</v>
      </c>
      <c r="K40" s="107" t="s">
        <v>458</v>
      </c>
      <c r="L40" s="107" t="s">
        <v>485</v>
      </c>
      <c r="M40" s="113" t="str">
        <f t="shared" si="0"/>
        <v>View on Google Map</v>
      </c>
    </row>
    <row r="41" spans="1:14" s="114" customFormat="1" ht="12.75" customHeight="1" x14ac:dyDescent="0.2">
      <c r="A41" s="107">
        <v>132</v>
      </c>
      <c r="B41" s="107" t="s">
        <v>522</v>
      </c>
      <c r="C41" s="107" t="s">
        <v>458</v>
      </c>
      <c r="D41" s="107">
        <v>70.333333333333329</v>
      </c>
      <c r="E41" s="107">
        <v>-148.93333333333334</v>
      </c>
      <c r="F41" s="107">
        <v>3</v>
      </c>
      <c r="G41" s="107" t="s">
        <v>469</v>
      </c>
      <c r="H41" s="107" t="s">
        <v>523</v>
      </c>
      <c r="I41" s="107" t="s">
        <v>458</v>
      </c>
      <c r="J41" s="107" t="s">
        <v>484</v>
      </c>
      <c r="K41" s="107" t="s">
        <v>458</v>
      </c>
      <c r="L41" s="107" t="s">
        <v>485</v>
      </c>
      <c r="M41" s="113" t="str">
        <f t="shared" si="0"/>
        <v>View on Google Map</v>
      </c>
      <c r="N41" s="107"/>
    </row>
    <row r="42" spans="1:14" ht="12.75" customHeight="1" x14ac:dyDescent="0.2">
      <c r="A42" s="107">
        <v>141</v>
      </c>
      <c r="B42" s="107" t="s">
        <v>524</v>
      </c>
      <c r="C42" s="107" t="s">
        <v>525</v>
      </c>
      <c r="D42" s="107">
        <v>68.63333333333334</v>
      </c>
      <c r="E42" s="107">
        <v>-149.6</v>
      </c>
      <c r="F42" s="107">
        <v>720</v>
      </c>
      <c r="G42" s="107" t="s">
        <v>469</v>
      </c>
      <c r="H42" s="107" t="s">
        <v>526</v>
      </c>
      <c r="I42" s="107" t="s">
        <v>527</v>
      </c>
      <c r="J42" s="107" t="s">
        <v>484</v>
      </c>
      <c r="K42" s="107" t="s">
        <v>458</v>
      </c>
      <c r="L42" s="107" t="s">
        <v>485</v>
      </c>
      <c r="M42" s="113" t="str">
        <f t="shared" si="0"/>
        <v>View on Google Map</v>
      </c>
    </row>
    <row r="43" spans="1:14" ht="12.75" customHeight="1" x14ac:dyDescent="0.2">
      <c r="A43" s="107">
        <v>160</v>
      </c>
      <c r="B43" s="107" t="s">
        <v>528</v>
      </c>
      <c r="C43" s="107" t="s">
        <v>458</v>
      </c>
      <c r="D43" s="107">
        <v>68.599999999999994</v>
      </c>
      <c r="E43" s="107">
        <v>-149.18333333333334</v>
      </c>
      <c r="F43" s="107">
        <v>864</v>
      </c>
      <c r="G43" s="107" t="s">
        <v>469</v>
      </c>
      <c r="H43" s="107" t="s">
        <v>529</v>
      </c>
      <c r="I43" s="107" t="s">
        <v>530</v>
      </c>
      <c r="J43" s="107" t="s">
        <v>484</v>
      </c>
      <c r="K43" s="107">
        <v>246</v>
      </c>
      <c r="L43" s="107" t="s">
        <v>485</v>
      </c>
      <c r="M43" s="113" t="str">
        <f t="shared" si="0"/>
        <v>View on Google Map</v>
      </c>
    </row>
    <row r="44" spans="1:14" ht="12.75" customHeight="1" x14ac:dyDescent="0.2">
      <c r="A44" s="107">
        <v>481</v>
      </c>
      <c r="B44" s="107" t="s">
        <v>531</v>
      </c>
      <c r="C44" s="107" t="s">
        <v>458</v>
      </c>
      <c r="D44" s="107">
        <v>68.976716667000005</v>
      </c>
      <c r="E44" s="107">
        <v>-150.20383333300001</v>
      </c>
      <c r="F44" s="107">
        <v>362</v>
      </c>
      <c r="G44" s="107" t="s">
        <v>469</v>
      </c>
      <c r="H44" s="107" t="s">
        <v>458</v>
      </c>
      <c r="I44" s="107" t="s">
        <v>458</v>
      </c>
      <c r="J44" s="107" t="s">
        <v>519</v>
      </c>
      <c r="K44" s="107" t="s">
        <v>458</v>
      </c>
      <c r="L44" s="107" t="s">
        <v>466</v>
      </c>
      <c r="M44" s="113" t="str">
        <f t="shared" si="0"/>
        <v>View on Google Map</v>
      </c>
    </row>
    <row r="45" spans="1:14" x14ac:dyDescent="0.2">
      <c r="A45" s="107">
        <v>21</v>
      </c>
      <c r="B45" s="107" t="s">
        <v>532</v>
      </c>
      <c r="C45" s="107" t="s">
        <v>458</v>
      </c>
      <c r="D45" s="107" t="s">
        <v>458</v>
      </c>
      <c r="E45" s="107" t="s">
        <v>458</v>
      </c>
      <c r="F45" s="107" t="s">
        <v>458</v>
      </c>
      <c r="G45" s="107" t="s">
        <v>483</v>
      </c>
      <c r="H45" s="107" t="s">
        <v>458</v>
      </c>
      <c r="I45" s="107" t="s">
        <v>458</v>
      </c>
      <c r="J45" s="107" t="s">
        <v>484</v>
      </c>
      <c r="K45" s="107" t="s">
        <v>458</v>
      </c>
      <c r="L45" s="107" t="s">
        <v>458</v>
      </c>
      <c r="M45" s="113" t="str">
        <f t="shared" si="0"/>
        <v>View on Google Map</v>
      </c>
      <c r="N45" s="114"/>
    </row>
    <row r="46" spans="1:14" x14ac:dyDescent="0.2">
      <c r="A46" s="107">
        <v>470</v>
      </c>
      <c r="B46" s="107" t="s">
        <v>533</v>
      </c>
      <c r="C46" s="107" t="s">
        <v>458</v>
      </c>
      <c r="D46" s="107">
        <v>68.829459999999997</v>
      </c>
      <c r="E46" s="107">
        <v>-149.77891</v>
      </c>
      <c r="F46" s="107">
        <v>634</v>
      </c>
      <c r="G46" s="107" t="s">
        <v>469</v>
      </c>
      <c r="H46" s="107" t="s">
        <v>458</v>
      </c>
      <c r="I46" s="107" t="s">
        <v>458</v>
      </c>
      <c r="J46" s="107" t="s">
        <v>470</v>
      </c>
      <c r="K46" s="107" t="s">
        <v>458</v>
      </c>
      <c r="L46" s="107" t="s">
        <v>458</v>
      </c>
      <c r="M46" s="113" t="str">
        <f t="shared" si="0"/>
        <v>View on Google Map</v>
      </c>
    </row>
    <row r="47" spans="1:14" x14ac:dyDescent="0.2">
      <c r="A47" s="107">
        <v>471</v>
      </c>
      <c r="B47" s="107" t="s">
        <v>534</v>
      </c>
      <c r="C47" s="107" t="s">
        <v>458</v>
      </c>
      <c r="D47" s="107">
        <v>68.832939999999994</v>
      </c>
      <c r="E47" s="107">
        <v>-149.76775000000001</v>
      </c>
      <c r="F47" s="107">
        <v>624</v>
      </c>
      <c r="G47" s="107" t="s">
        <v>469</v>
      </c>
      <c r="H47" s="107" t="s">
        <v>458</v>
      </c>
      <c r="I47" s="107" t="s">
        <v>458</v>
      </c>
      <c r="J47" s="107" t="s">
        <v>470</v>
      </c>
      <c r="K47" s="107" t="s">
        <v>458</v>
      </c>
      <c r="L47" s="107" t="s">
        <v>458</v>
      </c>
      <c r="M47" s="113" t="str">
        <f t="shared" si="0"/>
        <v>View on Google Map</v>
      </c>
    </row>
    <row r="48" spans="1:14" x14ac:dyDescent="0.2">
      <c r="A48" s="107">
        <v>472</v>
      </c>
      <c r="B48" s="107" t="s">
        <v>535</v>
      </c>
      <c r="C48" s="107" t="s">
        <v>458</v>
      </c>
      <c r="D48" s="107">
        <v>68.828059999999994</v>
      </c>
      <c r="E48" s="107">
        <v>-149.76449</v>
      </c>
      <c r="F48" s="107">
        <v>624</v>
      </c>
      <c r="G48" s="107" t="s">
        <v>469</v>
      </c>
      <c r="H48" s="107" t="s">
        <v>458</v>
      </c>
      <c r="I48" s="107" t="s">
        <v>458</v>
      </c>
      <c r="J48" s="107" t="s">
        <v>470</v>
      </c>
      <c r="K48" s="107" t="s">
        <v>458</v>
      </c>
      <c r="L48" s="107" t="s">
        <v>458</v>
      </c>
      <c r="M48" s="113" t="str">
        <f t="shared" si="0"/>
        <v>View on Google Map</v>
      </c>
    </row>
    <row r="49" spans="1:13" x14ac:dyDescent="0.2">
      <c r="A49" s="107">
        <v>473</v>
      </c>
      <c r="B49" s="107" t="s">
        <v>536</v>
      </c>
      <c r="C49" s="107" t="s">
        <v>458</v>
      </c>
      <c r="D49" s="107">
        <v>68.826400000000007</v>
      </c>
      <c r="E49" s="107">
        <v>-149.7585</v>
      </c>
      <c r="F49" s="107">
        <v>592</v>
      </c>
      <c r="G49" s="107" t="s">
        <v>469</v>
      </c>
      <c r="H49" s="107" t="s">
        <v>458</v>
      </c>
      <c r="I49" s="107" t="s">
        <v>458</v>
      </c>
      <c r="J49" s="107" t="s">
        <v>470</v>
      </c>
      <c r="K49" s="107" t="s">
        <v>458</v>
      </c>
      <c r="L49" s="107" t="s">
        <v>458</v>
      </c>
      <c r="M49" s="113" t="str">
        <f t="shared" si="0"/>
        <v>View on Google Map</v>
      </c>
    </row>
    <row r="50" spans="1:13" x14ac:dyDescent="0.2">
      <c r="A50" s="107">
        <v>474</v>
      </c>
      <c r="B50" s="107" t="s">
        <v>537</v>
      </c>
      <c r="C50" s="107" t="s">
        <v>458</v>
      </c>
      <c r="D50" s="107">
        <v>68.827349999999996</v>
      </c>
      <c r="E50" s="107">
        <v>-149.74993000000001</v>
      </c>
      <c r="F50" s="107">
        <v>592</v>
      </c>
      <c r="G50" s="107" t="s">
        <v>469</v>
      </c>
      <c r="H50" s="107" t="s">
        <v>458</v>
      </c>
      <c r="I50" s="107" t="s">
        <v>458</v>
      </c>
      <c r="J50" s="107" t="s">
        <v>470</v>
      </c>
      <c r="K50" s="107" t="s">
        <v>458</v>
      </c>
      <c r="L50" s="107" t="s">
        <v>458</v>
      </c>
      <c r="M50" s="113" t="str">
        <f t="shared" si="0"/>
        <v>View on Google Map</v>
      </c>
    </row>
    <row r="51" spans="1:13" x14ac:dyDescent="0.2">
      <c r="A51" s="107">
        <v>475</v>
      </c>
      <c r="B51" s="107" t="s">
        <v>538</v>
      </c>
      <c r="C51" s="107" t="s">
        <v>458</v>
      </c>
      <c r="D51" s="107">
        <v>68.831180000000003</v>
      </c>
      <c r="E51" s="107">
        <v>-149.74606</v>
      </c>
      <c r="F51" s="107">
        <v>593</v>
      </c>
      <c r="G51" s="107" t="s">
        <v>469</v>
      </c>
      <c r="H51" s="107" t="s">
        <v>539</v>
      </c>
      <c r="I51" s="107" t="s">
        <v>458</v>
      </c>
      <c r="J51" s="107" t="s">
        <v>470</v>
      </c>
      <c r="K51" s="107" t="s">
        <v>458</v>
      </c>
      <c r="L51" s="107" t="s">
        <v>458</v>
      </c>
      <c r="M51" s="113" t="str">
        <f t="shared" si="0"/>
        <v>View on Google Map</v>
      </c>
    </row>
    <row r="52" spans="1:13" x14ac:dyDescent="0.2">
      <c r="A52" s="107">
        <v>476</v>
      </c>
      <c r="B52" s="107" t="s">
        <v>540</v>
      </c>
      <c r="C52" s="107" t="s">
        <v>458</v>
      </c>
      <c r="D52" s="107">
        <v>68.825339999999997</v>
      </c>
      <c r="E52" s="107">
        <v>-149.76837</v>
      </c>
      <c r="F52" s="107">
        <v>621</v>
      </c>
      <c r="G52" s="107" t="s">
        <v>469</v>
      </c>
      <c r="H52" s="107" t="s">
        <v>458</v>
      </c>
      <c r="I52" s="107" t="s">
        <v>458</v>
      </c>
      <c r="J52" s="107" t="s">
        <v>470</v>
      </c>
      <c r="K52" s="107" t="s">
        <v>458</v>
      </c>
      <c r="L52" s="107" t="s">
        <v>458</v>
      </c>
      <c r="M52" s="113" t="str">
        <f t="shared" si="0"/>
        <v>View on Google Map</v>
      </c>
    </row>
    <row r="53" spans="1:13" x14ac:dyDescent="0.2">
      <c r="A53" s="107">
        <v>477</v>
      </c>
      <c r="B53" s="107" t="s">
        <v>541</v>
      </c>
      <c r="C53" s="107" t="s">
        <v>458</v>
      </c>
      <c r="D53" s="107">
        <v>68.821740000000005</v>
      </c>
      <c r="E53" s="107">
        <v>-149.76378</v>
      </c>
      <c r="F53" s="107">
        <v>605</v>
      </c>
      <c r="G53" s="107" t="s">
        <v>469</v>
      </c>
      <c r="H53" s="107" t="s">
        <v>458</v>
      </c>
      <c r="I53" s="107" t="s">
        <v>458</v>
      </c>
      <c r="J53" s="107" t="s">
        <v>470</v>
      </c>
      <c r="K53" s="107" t="s">
        <v>458</v>
      </c>
      <c r="L53" s="107" t="s">
        <v>458</v>
      </c>
      <c r="M53" s="113" t="str">
        <f t="shared" si="0"/>
        <v>View on Google Map</v>
      </c>
    </row>
    <row r="54" spans="1:13" x14ac:dyDescent="0.2">
      <c r="A54" s="107">
        <v>1174</v>
      </c>
      <c r="B54" s="107" t="s">
        <v>542</v>
      </c>
      <c r="C54" s="107" t="s">
        <v>458</v>
      </c>
      <c r="D54" s="107">
        <v>68.933938330000004</v>
      </c>
      <c r="E54" s="107">
        <v>-150.27111830000001</v>
      </c>
      <c r="F54" s="107" t="s">
        <v>458</v>
      </c>
      <c r="G54" s="107" t="s">
        <v>459</v>
      </c>
      <c r="H54" s="107" t="s">
        <v>458</v>
      </c>
      <c r="I54" s="107" t="s">
        <v>458</v>
      </c>
      <c r="J54" s="107" t="s">
        <v>465</v>
      </c>
      <c r="K54" s="107" t="s">
        <v>458</v>
      </c>
      <c r="L54" s="107" t="s">
        <v>466</v>
      </c>
      <c r="M54" s="113" t="str">
        <f t="shared" si="0"/>
        <v>View on Google Map</v>
      </c>
    </row>
    <row r="55" spans="1:13" x14ac:dyDescent="0.2">
      <c r="A55" s="107">
        <v>242</v>
      </c>
      <c r="B55" s="107" t="s">
        <v>543</v>
      </c>
      <c r="C55" s="107" t="s">
        <v>458</v>
      </c>
      <c r="D55" s="107" t="s">
        <v>458</v>
      </c>
      <c r="E55" s="107" t="s">
        <v>458</v>
      </c>
      <c r="F55" s="107">
        <v>390.2439024390244</v>
      </c>
      <c r="G55" s="107" t="s">
        <v>469</v>
      </c>
      <c r="H55" s="107" t="s">
        <v>458</v>
      </c>
      <c r="I55" s="107" t="s">
        <v>458</v>
      </c>
      <c r="J55" s="107" t="s">
        <v>484</v>
      </c>
      <c r="K55" s="107" t="s">
        <v>458</v>
      </c>
      <c r="L55" s="107" t="s">
        <v>544</v>
      </c>
      <c r="M55" s="113" t="str">
        <f t="shared" si="0"/>
        <v>View on Google Map</v>
      </c>
    </row>
    <row r="56" spans="1:13" x14ac:dyDescent="0.2">
      <c r="A56" s="107">
        <v>192</v>
      </c>
      <c r="B56" s="107" t="s">
        <v>545</v>
      </c>
      <c r="C56" s="107" t="s">
        <v>458</v>
      </c>
      <c r="D56" s="107">
        <v>69.233333333333334</v>
      </c>
      <c r="E56" s="107">
        <v>-148.94999999999999</v>
      </c>
      <c r="F56" s="107">
        <v>325</v>
      </c>
      <c r="G56" s="107" t="s">
        <v>469</v>
      </c>
      <c r="H56" s="107" t="s">
        <v>546</v>
      </c>
      <c r="I56" s="107" t="s">
        <v>458</v>
      </c>
      <c r="J56" s="107" t="s">
        <v>484</v>
      </c>
      <c r="K56" s="107" t="s">
        <v>458</v>
      </c>
      <c r="L56" s="107" t="s">
        <v>547</v>
      </c>
      <c r="M56" s="113" t="str">
        <f t="shared" si="0"/>
        <v>View on Google Map</v>
      </c>
    </row>
    <row r="57" spans="1:13" x14ac:dyDescent="0.2">
      <c r="A57" s="107">
        <v>277</v>
      </c>
      <c r="B57" s="107" t="s">
        <v>545</v>
      </c>
      <c r="C57" s="107" t="s">
        <v>458</v>
      </c>
      <c r="D57" s="107">
        <v>70.374600000000001</v>
      </c>
      <c r="E57" s="107">
        <v>-149.06383333333332</v>
      </c>
      <c r="F57" s="107">
        <v>6</v>
      </c>
      <c r="G57" s="107" t="s">
        <v>469</v>
      </c>
      <c r="H57" s="107" t="s">
        <v>548</v>
      </c>
      <c r="I57" s="107" t="s">
        <v>458</v>
      </c>
      <c r="J57" s="107" t="s">
        <v>484</v>
      </c>
      <c r="K57" s="107" t="s">
        <v>458</v>
      </c>
      <c r="L57" s="107" t="s">
        <v>549</v>
      </c>
      <c r="M57" s="113" t="str">
        <f t="shared" si="0"/>
        <v>View on Google Map</v>
      </c>
    </row>
    <row r="58" spans="1:13" x14ac:dyDescent="0.2">
      <c r="A58" s="107">
        <v>193</v>
      </c>
      <c r="B58" s="107" t="s">
        <v>550</v>
      </c>
      <c r="C58" s="107" t="s">
        <v>458</v>
      </c>
      <c r="D58" s="107">
        <v>69.283333333333331</v>
      </c>
      <c r="E58" s="107">
        <v>-148.9</v>
      </c>
      <c r="F58" s="107">
        <v>346</v>
      </c>
      <c r="G58" s="107" t="s">
        <v>469</v>
      </c>
      <c r="H58" s="107" t="s">
        <v>551</v>
      </c>
      <c r="I58" s="107" t="s">
        <v>458</v>
      </c>
      <c r="J58" s="107" t="s">
        <v>484</v>
      </c>
      <c r="K58" s="107" t="s">
        <v>458</v>
      </c>
      <c r="L58" s="107" t="s">
        <v>547</v>
      </c>
      <c r="M58" s="113" t="str">
        <f t="shared" si="0"/>
        <v>View on Google Map</v>
      </c>
    </row>
    <row r="59" spans="1:13" x14ac:dyDescent="0.2">
      <c r="A59" s="107">
        <v>278</v>
      </c>
      <c r="B59" s="107" t="s">
        <v>550</v>
      </c>
      <c r="C59" s="107" t="s">
        <v>458</v>
      </c>
      <c r="D59" s="107">
        <v>70.374600000000001</v>
      </c>
      <c r="E59" s="107">
        <v>-149.06383333333332</v>
      </c>
      <c r="F59" s="107">
        <v>6</v>
      </c>
      <c r="G59" s="107" t="s">
        <v>469</v>
      </c>
      <c r="H59" s="107" t="s">
        <v>552</v>
      </c>
      <c r="I59" s="107" t="s">
        <v>458</v>
      </c>
      <c r="J59" s="107" t="s">
        <v>484</v>
      </c>
      <c r="K59" s="107" t="s">
        <v>458</v>
      </c>
      <c r="L59" s="107" t="s">
        <v>549</v>
      </c>
      <c r="M59" s="113" t="str">
        <f t="shared" si="0"/>
        <v>View on Google Map</v>
      </c>
    </row>
    <row r="60" spans="1:13" x14ac:dyDescent="0.2">
      <c r="A60" s="107">
        <v>194</v>
      </c>
      <c r="B60" s="107" t="s">
        <v>553</v>
      </c>
      <c r="C60" s="107" t="s">
        <v>458</v>
      </c>
      <c r="D60" s="107">
        <v>69.716666666666669</v>
      </c>
      <c r="E60" s="107">
        <v>-149.44999999999999</v>
      </c>
      <c r="F60" s="107">
        <v>91</v>
      </c>
      <c r="G60" s="107" t="s">
        <v>469</v>
      </c>
      <c r="H60" s="107" t="s">
        <v>554</v>
      </c>
      <c r="I60" s="107" t="s">
        <v>458</v>
      </c>
      <c r="J60" s="107" t="s">
        <v>484</v>
      </c>
      <c r="K60" s="107" t="s">
        <v>458</v>
      </c>
      <c r="L60" s="107" t="s">
        <v>547</v>
      </c>
      <c r="M60" s="113" t="str">
        <f t="shared" si="0"/>
        <v>View on Google Map</v>
      </c>
    </row>
    <row r="61" spans="1:13" x14ac:dyDescent="0.2">
      <c r="A61" s="107">
        <v>279</v>
      </c>
      <c r="B61" s="107" t="s">
        <v>553</v>
      </c>
      <c r="C61" s="107" t="s">
        <v>458</v>
      </c>
      <c r="D61" s="107">
        <v>70.367750000000001</v>
      </c>
      <c r="E61" s="107">
        <v>-148.8357</v>
      </c>
      <c r="F61" s="107">
        <v>6</v>
      </c>
      <c r="G61" s="107" t="s">
        <v>469</v>
      </c>
      <c r="H61" s="107" t="s">
        <v>555</v>
      </c>
      <c r="I61" s="107" t="s">
        <v>458</v>
      </c>
      <c r="J61" s="107" t="s">
        <v>484</v>
      </c>
      <c r="K61" s="107" t="s">
        <v>458</v>
      </c>
      <c r="L61" s="107" t="s">
        <v>549</v>
      </c>
      <c r="M61" s="113" t="str">
        <f t="shared" si="0"/>
        <v>View on Google Map</v>
      </c>
    </row>
    <row r="62" spans="1:13" x14ac:dyDescent="0.2">
      <c r="A62" s="107">
        <v>195</v>
      </c>
      <c r="B62" s="107" t="s">
        <v>556</v>
      </c>
      <c r="C62" s="107" t="s">
        <v>458</v>
      </c>
      <c r="D62" s="107">
        <v>69.716666666666669</v>
      </c>
      <c r="E62" s="107">
        <v>-149.44999999999999</v>
      </c>
      <c r="F62" s="107">
        <v>91</v>
      </c>
      <c r="G62" s="107" t="s">
        <v>469</v>
      </c>
      <c r="H62" s="107" t="s">
        <v>557</v>
      </c>
      <c r="I62" s="107" t="s">
        <v>458</v>
      </c>
      <c r="J62" s="107" t="s">
        <v>484</v>
      </c>
      <c r="K62" s="107" t="s">
        <v>458</v>
      </c>
      <c r="L62" s="107" t="s">
        <v>547</v>
      </c>
      <c r="M62" s="113" t="str">
        <f t="shared" si="0"/>
        <v>View on Google Map</v>
      </c>
    </row>
    <row r="63" spans="1:13" x14ac:dyDescent="0.2">
      <c r="A63" s="107">
        <v>280</v>
      </c>
      <c r="B63" s="107" t="s">
        <v>556</v>
      </c>
      <c r="C63" s="107" t="s">
        <v>458</v>
      </c>
      <c r="D63" s="107">
        <v>70.367750000000001</v>
      </c>
      <c r="E63" s="107">
        <v>-148.8357</v>
      </c>
      <c r="F63" s="107">
        <v>6</v>
      </c>
      <c r="G63" s="107" t="s">
        <v>469</v>
      </c>
      <c r="H63" s="107" t="s">
        <v>558</v>
      </c>
      <c r="I63" s="107" t="s">
        <v>458</v>
      </c>
      <c r="J63" s="107" t="s">
        <v>484</v>
      </c>
      <c r="K63" s="107" t="s">
        <v>458</v>
      </c>
      <c r="L63" s="107" t="s">
        <v>549</v>
      </c>
      <c r="M63" s="113" t="str">
        <f t="shared" si="0"/>
        <v>View on Google Map</v>
      </c>
    </row>
    <row r="64" spans="1:13" x14ac:dyDescent="0.2">
      <c r="A64" s="107">
        <v>196</v>
      </c>
      <c r="B64" s="107" t="s">
        <v>559</v>
      </c>
      <c r="C64" s="107" t="s">
        <v>458</v>
      </c>
      <c r="D64" s="107">
        <v>69.833333333333329</v>
      </c>
      <c r="E64" s="107">
        <v>-149.75</v>
      </c>
      <c r="F64" s="107">
        <v>80</v>
      </c>
      <c r="G64" s="107" t="s">
        <v>469</v>
      </c>
      <c r="H64" s="107" t="s">
        <v>560</v>
      </c>
      <c r="I64" s="107" t="s">
        <v>458</v>
      </c>
      <c r="J64" s="107" t="s">
        <v>484</v>
      </c>
      <c r="K64" s="107" t="s">
        <v>458</v>
      </c>
      <c r="L64" s="107" t="s">
        <v>547</v>
      </c>
      <c r="M64" s="113" t="str">
        <f t="shared" si="0"/>
        <v>View on Google Map</v>
      </c>
    </row>
    <row r="65" spans="1:13" x14ac:dyDescent="0.2">
      <c r="A65" s="107">
        <v>281</v>
      </c>
      <c r="B65" s="107" t="s">
        <v>559</v>
      </c>
      <c r="C65" s="107" t="s">
        <v>458</v>
      </c>
      <c r="D65" s="107">
        <v>70.26821666666666</v>
      </c>
      <c r="E65" s="107">
        <v>-149.20859999999999</v>
      </c>
      <c r="F65" s="107">
        <v>15</v>
      </c>
      <c r="G65" s="107" t="s">
        <v>469</v>
      </c>
      <c r="H65" s="107" t="s">
        <v>561</v>
      </c>
      <c r="I65" s="107" t="s">
        <v>458</v>
      </c>
      <c r="J65" s="107" t="s">
        <v>484</v>
      </c>
      <c r="K65" s="107" t="s">
        <v>458</v>
      </c>
      <c r="L65" s="107" t="s">
        <v>549</v>
      </c>
      <c r="M65" s="113" t="str">
        <f t="shared" si="0"/>
        <v>View on Google Map</v>
      </c>
    </row>
    <row r="66" spans="1:13" x14ac:dyDescent="0.2">
      <c r="A66" s="107">
        <v>197</v>
      </c>
      <c r="B66" s="107" t="s">
        <v>562</v>
      </c>
      <c r="C66" s="107" t="s">
        <v>458</v>
      </c>
      <c r="D66" s="107">
        <v>70.283333333333331</v>
      </c>
      <c r="E66" s="107">
        <v>-150.19999999999999</v>
      </c>
      <c r="F66" s="107">
        <v>12</v>
      </c>
      <c r="G66" s="107" t="s">
        <v>469</v>
      </c>
      <c r="H66" s="107" t="s">
        <v>563</v>
      </c>
      <c r="I66" s="107" t="s">
        <v>458</v>
      </c>
      <c r="J66" s="107" t="s">
        <v>484</v>
      </c>
      <c r="K66" s="107" t="s">
        <v>458</v>
      </c>
      <c r="L66" s="107" t="s">
        <v>547</v>
      </c>
      <c r="M66" s="113" t="str">
        <f t="shared" si="0"/>
        <v>View on Google Map</v>
      </c>
    </row>
    <row r="67" spans="1:13" x14ac:dyDescent="0.2">
      <c r="A67" s="107">
        <v>282</v>
      </c>
      <c r="B67" s="107" t="s">
        <v>562</v>
      </c>
      <c r="C67" s="107" t="s">
        <v>458</v>
      </c>
      <c r="D67" s="107">
        <v>70.26821666666666</v>
      </c>
      <c r="E67" s="107">
        <v>-149.20859999999999</v>
      </c>
      <c r="F67" s="107">
        <v>15</v>
      </c>
      <c r="G67" s="107" t="s">
        <v>469</v>
      </c>
      <c r="H67" s="107" t="s">
        <v>564</v>
      </c>
      <c r="I67" s="107" t="s">
        <v>458</v>
      </c>
      <c r="J67" s="107" t="s">
        <v>484</v>
      </c>
      <c r="K67" s="107" t="s">
        <v>458</v>
      </c>
      <c r="L67" s="107" t="s">
        <v>549</v>
      </c>
      <c r="M67" s="113" t="str">
        <f t="shared" ref="M67:M130" si="1">HYPERLINK("http://maps.google.com/maps?q="&amp;D67&amp;","&amp;E67,"View on Google Map")</f>
        <v>View on Google Map</v>
      </c>
    </row>
    <row r="68" spans="1:13" x14ac:dyDescent="0.2">
      <c r="A68" s="107">
        <v>198</v>
      </c>
      <c r="B68" s="107" t="s">
        <v>565</v>
      </c>
      <c r="C68" s="107" t="s">
        <v>458</v>
      </c>
      <c r="D68" s="107">
        <v>70.283333333333331</v>
      </c>
      <c r="E68" s="107">
        <v>-150.19999999999999</v>
      </c>
      <c r="F68" s="107">
        <v>12</v>
      </c>
      <c r="G68" s="107" t="s">
        <v>469</v>
      </c>
      <c r="H68" s="107" t="s">
        <v>566</v>
      </c>
      <c r="I68" s="107" t="s">
        <v>458</v>
      </c>
      <c r="J68" s="107" t="s">
        <v>484</v>
      </c>
      <c r="K68" s="107" t="s">
        <v>458</v>
      </c>
      <c r="L68" s="107" t="s">
        <v>547</v>
      </c>
      <c r="M68" s="113" t="str">
        <f t="shared" si="1"/>
        <v>View on Google Map</v>
      </c>
    </row>
    <row r="69" spans="1:13" x14ac:dyDescent="0.2">
      <c r="A69" s="107">
        <v>283</v>
      </c>
      <c r="B69" s="107" t="s">
        <v>565</v>
      </c>
      <c r="C69" s="107" t="s">
        <v>458</v>
      </c>
      <c r="D69" s="107">
        <v>70.184266666666673</v>
      </c>
      <c r="E69" s="107">
        <v>-149.15443333333334</v>
      </c>
      <c r="F69" s="107">
        <v>15</v>
      </c>
      <c r="G69" s="107" t="s">
        <v>469</v>
      </c>
      <c r="H69" s="107" t="s">
        <v>567</v>
      </c>
      <c r="I69" s="107" t="s">
        <v>458</v>
      </c>
      <c r="J69" s="107" t="s">
        <v>484</v>
      </c>
      <c r="K69" s="107" t="s">
        <v>458</v>
      </c>
      <c r="L69" s="107" t="s">
        <v>549</v>
      </c>
      <c r="M69" s="113" t="str">
        <f t="shared" si="1"/>
        <v>View on Google Map</v>
      </c>
    </row>
    <row r="70" spans="1:13" x14ac:dyDescent="0.2">
      <c r="A70" s="107">
        <v>199</v>
      </c>
      <c r="B70" s="107" t="s">
        <v>568</v>
      </c>
      <c r="C70" s="107" t="s">
        <v>458</v>
      </c>
      <c r="D70" s="107">
        <v>70.416666666666671</v>
      </c>
      <c r="E70" s="107">
        <v>-150.19999999999999</v>
      </c>
      <c r="F70" s="107">
        <v>4</v>
      </c>
      <c r="G70" s="107" t="s">
        <v>469</v>
      </c>
      <c r="H70" s="107" t="s">
        <v>569</v>
      </c>
      <c r="I70" s="107" t="s">
        <v>458</v>
      </c>
      <c r="J70" s="107" t="s">
        <v>484</v>
      </c>
      <c r="K70" s="107" t="s">
        <v>458</v>
      </c>
      <c r="L70" s="107" t="s">
        <v>547</v>
      </c>
      <c r="M70" s="113" t="str">
        <f t="shared" si="1"/>
        <v>View on Google Map</v>
      </c>
    </row>
    <row r="71" spans="1:13" x14ac:dyDescent="0.2">
      <c r="A71" s="107">
        <v>284</v>
      </c>
      <c r="B71" s="107" t="s">
        <v>568</v>
      </c>
      <c r="C71" s="107" t="s">
        <v>458</v>
      </c>
      <c r="D71" s="107">
        <v>70.184266666666673</v>
      </c>
      <c r="E71" s="107">
        <v>-149.15443333333334</v>
      </c>
      <c r="F71" s="107">
        <v>15</v>
      </c>
      <c r="G71" s="107" t="s">
        <v>469</v>
      </c>
      <c r="H71" s="107" t="s">
        <v>570</v>
      </c>
      <c r="I71" s="107" t="s">
        <v>458</v>
      </c>
      <c r="J71" s="107" t="s">
        <v>484</v>
      </c>
      <c r="K71" s="107" t="s">
        <v>458</v>
      </c>
      <c r="L71" s="107" t="s">
        <v>549</v>
      </c>
      <c r="M71" s="113" t="str">
        <f t="shared" si="1"/>
        <v>View on Google Map</v>
      </c>
    </row>
    <row r="72" spans="1:13" x14ac:dyDescent="0.2">
      <c r="A72" s="107">
        <v>200</v>
      </c>
      <c r="B72" s="107" t="s">
        <v>571</v>
      </c>
      <c r="C72" s="107" t="s">
        <v>458</v>
      </c>
      <c r="D72" s="107">
        <v>70.283333333333331</v>
      </c>
      <c r="E72" s="107">
        <v>-149.81666666666666</v>
      </c>
      <c r="F72" s="107">
        <v>28.963414634146343</v>
      </c>
      <c r="G72" s="107" t="s">
        <v>469</v>
      </c>
      <c r="H72" s="107" t="s">
        <v>572</v>
      </c>
      <c r="I72" s="107" t="s">
        <v>458</v>
      </c>
      <c r="J72" s="107" t="s">
        <v>484</v>
      </c>
      <c r="K72" s="107" t="s">
        <v>458</v>
      </c>
      <c r="L72" s="107" t="s">
        <v>547</v>
      </c>
      <c r="M72" s="113" t="str">
        <f t="shared" si="1"/>
        <v>View on Google Map</v>
      </c>
    </row>
    <row r="73" spans="1:13" x14ac:dyDescent="0.2">
      <c r="A73" s="107">
        <v>285</v>
      </c>
      <c r="B73" s="107" t="s">
        <v>571</v>
      </c>
      <c r="C73" s="107" t="s">
        <v>458</v>
      </c>
      <c r="D73" s="107">
        <v>70.126099999999994</v>
      </c>
      <c r="E73" s="107">
        <v>-149.33773333333335</v>
      </c>
      <c r="F73" s="107">
        <v>30</v>
      </c>
      <c r="G73" s="107" t="s">
        <v>469</v>
      </c>
      <c r="H73" s="107" t="s">
        <v>573</v>
      </c>
      <c r="I73" s="107" t="s">
        <v>458</v>
      </c>
      <c r="J73" s="107" t="s">
        <v>484</v>
      </c>
      <c r="K73" s="107" t="s">
        <v>458</v>
      </c>
      <c r="L73" s="107" t="s">
        <v>549</v>
      </c>
      <c r="M73" s="113" t="str">
        <f t="shared" si="1"/>
        <v>View on Google Map</v>
      </c>
    </row>
    <row r="74" spans="1:13" x14ac:dyDescent="0.2">
      <c r="A74" s="107">
        <v>201</v>
      </c>
      <c r="B74" s="107" t="s">
        <v>574</v>
      </c>
      <c r="C74" s="107" t="s">
        <v>458</v>
      </c>
      <c r="D74" s="107">
        <v>70.283333333333331</v>
      </c>
      <c r="E74" s="107">
        <v>-149.81666666666666</v>
      </c>
      <c r="F74" s="107">
        <v>28.963414634146343</v>
      </c>
      <c r="G74" s="107" t="s">
        <v>469</v>
      </c>
      <c r="H74" s="107" t="s">
        <v>575</v>
      </c>
      <c r="I74" s="107" t="s">
        <v>458</v>
      </c>
      <c r="J74" s="107" t="s">
        <v>484</v>
      </c>
      <c r="K74" s="107" t="s">
        <v>458</v>
      </c>
      <c r="L74" s="107" t="s">
        <v>547</v>
      </c>
      <c r="M74" s="113" t="str">
        <f t="shared" si="1"/>
        <v>View on Google Map</v>
      </c>
    </row>
    <row r="75" spans="1:13" x14ac:dyDescent="0.2">
      <c r="A75" s="107">
        <v>286</v>
      </c>
      <c r="B75" s="107" t="s">
        <v>574</v>
      </c>
      <c r="C75" s="107" t="s">
        <v>458</v>
      </c>
      <c r="D75" s="107">
        <v>70.126099999999994</v>
      </c>
      <c r="E75" s="107">
        <v>-149.33773333333335</v>
      </c>
      <c r="F75" s="107">
        <v>30</v>
      </c>
      <c r="G75" s="107" t="s">
        <v>469</v>
      </c>
      <c r="H75" s="107" t="s">
        <v>576</v>
      </c>
      <c r="I75" s="107" t="s">
        <v>458</v>
      </c>
      <c r="J75" s="107" t="s">
        <v>484</v>
      </c>
      <c r="K75" s="107" t="s">
        <v>458</v>
      </c>
      <c r="L75" s="107" t="s">
        <v>549</v>
      </c>
      <c r="M75" s="113" t="str">
        <f t="shared" si="1"/>
        <v>View on Google Map</v>
      </c>
    </row>
    <row r="76" spans="1:13" x14ac:dyDescent="0.2">
      <c r="A76" s="107">
        <v>202</v>
      </c>
      <c r="B76" s="107" t="s">
        <v>577</v>
      </c>
      <c r="C76" s="107" t="s">
        <v>458</v>
      </c>
      <c r="D76" s="107">
        <v>70.45</v>
      </c>
      <c r="E76" s="107">
        <v>-149.16666666666666</v>
      </c>
      <c r="F76" s="107">
        <v>4.8780487804878048</v>
      </c>
      <c r="G76" s="107" t="s">
        <v>469</v>
      </c>
      <c r="H76" s="107" t="s">
        <v>578</v>
      </c>
      <c r="I76" s="107" t="s">
        <v>458</v>
      </c>
      <c r="J76" s="107" t="s">
        <v>484</v>
      </c>
      <c r="K76" s="107" t="s">
        <v>458</v>
      </c>
      <c r="L76" s="107" t="s">
        <v>547</v>
      </c>
      <c r="M76" s="113" t="str">
        <f t="shared" si="1"/>
        <v>View on Google Map</v>
      </c>
    </row>
    <row r="77" spans="1:13" x14ac:dyDescent="0.2">
      <c r="A77" s="107">
        <v>287</v>
      </c>
      <c r="B77" s="107" t="s">
        <v>577</v>
      </c>
      <c r="C77" s="107" t="s">
        <v>458</v>
      </c>
      <c r="D77" s="107">
        <v>69.9221</v>
      </c>
      <c r="E77" s="107">
        <v>-149.34523333333334</v>
      </c>
      <c r="F77" s="107">
        <v>61</v>
      </c>
      <c r="G77" s="107" t="s">
        <v>469</v>
      </c>
      <c r="H77" s="107" t="s">
        <v>579</v>
      </c>
      <c r="I77" s="107" t="s">
        <v>458</v>
      </c>
      <c r="J77" s="107" t="s">
        <v>484</v>
      </c>
      <c r="K77" s="107" t="s">
        <v>458</v>
      </c>
      <c r="L77" s="107" t="s">
        <v>549</v>
      </c>
      <c r="M77" s="113" t="str">
        <f t="shared" si="1"/>
        <v>View on Google Map</v>
      </c>
    </row>
    <row r="78" spans="1:13" x14ac:dyDescent="0.2">
      <c r="A78" s="107">
        <v>203</v>
      </c>
      <c r="B78" s="107" t="s">
        <v>580</v>
      </c>
      <c r="C78" s="107" t="s">
        <v>458</v>
      </c>
      <c r="D78" s="107">
        <v>70.233333333333334</v>
      </c>
      <c r="E78" s="107">
        <v>-148.88333333333333</v>
      </c>
      <c r="F78" s="107">
        <v>17.682926829268293</v>
      </c>
      <c r="G78" s="107" t="s">
        <v>469</v>
      </c>
      <c r="H78" s="107" t="s">
        <v>581</v>
      </c>
      <c r="I78" s="107" t="s">
        <v>458</v>
      </c>
      <c r="J78" s="107" t="s">
        <v>484</v>
      </c>
      <c r="K78" s="107" t="s">
        <v>458</v>
      </c>
      <c r="L78" s="107" t="s">
        <v>547</v>
      </c>
      <c r="M78" s="113" t="str">
        <f t="shared" si="1"/>
        <v>View on Google Map</v>
      </c>
    </row>
    <row r="79" spans="1:13" x14ac:dyDescent="0.2">
      <c r="A79" s="107">
        <v>288</v>
      </c>
      <c r="B79" s="107" t="s">
        <v>580</v>
      </c>
      <c r="C79" s="107" t="s">
        <v>458</v>
      </c>
      <c r="D79" s="107">
        <v>69.9221</v>
      </c>
      <c r="E79" s="107">
        <v>-149.34523333333334</v>
      </c>
      <c r="F79" s="107">
        <v>61</v>
      </c>
      <c r="G79" s="107" t="s">
        <v>469</v>
      </c>
      <c r="H79" s="107" t="s">
        <v>582</v>
      </c>
      <c r="I79" s="107" t="s">
        <v>458</v>
      </c>
      <c r="J79" s="107" t="s">
        <v>484</v>
      </c>
      <c r="K79" s="107" t="s">
        <v>458</v>
      </c>
      <c r="L79" s="107" t="s">
        <v>549</v>
      </c>
      <c r="M79" s="113" t="str">
        <f t="shared" si="1"/>
        <v>View on Google Map</v>
      </c>
    </row>
    <row r="80" spans="1:13" x14ac:dyDescent="0.2">
      <c r="A80" s="107">
        <v>204</v>
      </c>
      <c r="B80" s="107" t="s">
        <v>583</v>
      </c>
      <c r="C80" s="107" t="s">
        <v>458</v>
      </c>
      <c r="D80" s="107">
        <v>70.233333333333334</v>
      </c>
      <c r="E80" s="107">
        <v>-148.88333333333333</v>
      </c>
      <c r="F80" s="107">
        <v>17.682926829268293</v>
      </c>
      <c r="G80" s="107" t="s">
        <v>469</v>
      </c>
      <c r="H80" s="107" t="s">
        <v>584</v>
      </c>
      <c r="I80" s="107" t="s">
        <v>458</v>
      </c>
      <c r="J80" s="107" t="s">
        <v>484</v>
      </c>
      <c r="K80" s="107" t="s">
        <v>458</v>
      </c>
      <c r="L80" s="107" t="s">
        <v>547</v>
      </c>
      <c r="M80" s="113" t="str">
        <f t="shared" si="1"/>
        <v>View on Google Map</v>
      </c>
    </row>
    <row r="81" spans="1:13" x14ac:dyDescent="0.2">
      <c r="A81" s="107">
        <v>289</v>
      </c>
      <c r="B81" s="107" t="s">
        <v>583</v>
      </c>
      <c r="C81" s="107" t="s">
        <v>458</v>
      </c>
      <c r="D81" s="107">
        <v>69.986533333333327</v>
      </c>
      <c r="E81" s="107">
        <v>-150.08543333333333</v>
      </c>
      <c r="F81" s="107">
        <v>125</v>
      </c>
      <c r="G81" s="107" t="s">
        <v>469</v>
      </c>
      <c r="H81" s="107" t="s">
        <v>585</v>
      </c>
      <c r="I81" s="107" t="s">
        <v>458</v>
      </c>
      <c r="J81" s="107" t="s">
        <v>484</v>
      </c>
      <c r="K81" s="107" t="s">
        <v>458</v>
      </c>
      <c r="L81" s="107" t="s">
        <v>549</v>
      </c>
      <c r="M81" s="113" t="str">
        <f t="shared" si="1"/>
        <v>View on Google Map</v>
      </c>
    </row>
    <row r="82" spans="1:13" x14ac:dyDescent="0.2">
      <c r="A82" s="107">
        <v>205</v>
      </c>
      <c r="B82" s="107" t="s">
        <v>586</v>
      </c>
      <c r="C82" s="107" t="s">
        <v>458</v>
      </c>
      <c r="D82" s="107">
        <v>70.13333333333334</v>
      </c>
      <c r="E82" s="107">
        <v>-148.6</v>
      </c>
      <c r="F82" s="107">
        <v>24.390243902439025</v>
      </c>
      <c r="G82" s="107" t="s">
        <v>469</v>
      </c>
      <c r="H82" s="107" t="s">
        <v>587</v>
      </c>
      <c r="I82" s="107" t="s">
        <v>458</v>
      </c>
      <c r="J82" s="107" t="s">
        <v>484</v>
      </c>
      <c r="K82" s="107" t="s">
        <v>458</v>
      </c>
      <c r="L82" s="107" t="s">
        <v>547</v>
      </c>
      <c r="M82" s="113" t="str">
        <f t="shared" si="1"/>
        <v>View on Google Map</v>
      </c>
    </row>
    <row r="83" spans="1:13" x14ac:dyDescent="0.2">
      <c r="A83" s="107">
        <v>290</v>
      </c>
      <c r="B83" s="107" t="s">
        <v>586</v>
      </c>
      <c r="C83" s="107" t="s">
        <v>458</v>
      </c>
      <c r="D83" s="107">
        <v>69.986533333333327</v>
      </c>
      <c r="E83" s="107">
        <v>-150.08543333333333</v>
      </c>
      <c r="F83" s="107">
        <v>125</v>
      </c>
      <c r="G83" s="107" t="s">
        <v>469</v>
      </c>
      <c r="H83" s="107" t="s">
        <v>588</v>
      </c>
      <c r="I83" s="107" t="s">
        <v>458</v>
      </c>
      <c r="J83" s="107" t="s">
        <v>484</v>
      </c>
      <c r="K83" s="107" t="s">
        <v>458</v>
      </c>
      <c r="L83" s="107" t="s">
        <v>549</v>
      </c>
      <c r="M83" s="113" t="str">
        <f t="shared" si="1"/>
        <v>View on Google Map</v>
      </c>
    </row>
    <row r="84" spans="1:13" x14ac:dyDescent="0.2">
      <c r="A84" s="107">
        <v>291</v>
      </c>
      <c r="B84" s="107" t="s">
        <v>589</v>
      </c>
      <c r="C84" s="107" t="s">
        <v>458</v>
      </c>
      <c r="D84" s="107">
        <v>69.639166666666668</v>
      </c>
      <c r="E84" s="107">
        <v>-149.73946666666666</v>
      </c>
      <c r="F84" s="107">
        <v>91</v>
      </c>
      <c r="G84" s="107" t="s">
        <v>469</v>
      </c>
      <c r="H84" s="107" t="s">
        <v>590</v>
      </c>
      <c r="I84" s="107" t="s">
        <v>458</v>
      </c>
      <c r="J84" s="107" t="s">
        <v>484</v>
      </c>
      <c r="K84" s="107" t="s">
        <v>458</v>
      </c>
      <c r="L84" s="107" t="s">
        <v>549</v>
      </c>
      <c r="M84" s="113" t="str">
        <f t="shared" si="1"/>
        <v>View on Google Map</v>
      </c>
    </row>
    <row r="85" spans="1:13" x14ac:dyDescent="0.2">
      <c r="A85" s="107">
        <v>206</v>
      </c>
      <c r="B85" s="107" t="s">
        <v>591</v>
      </c>
      <c r="C85" s="107" t="s">
        <v>458</v>
      </c>
      <c r="D85" s="107">
        <v>70.11666666666666</v>
      </c>
      <c r="E85" s="107">
        <v>-146.16666666666666</v>
      </c>
      <c r="F85" s="107">
        <v>3.0487804878048781</v>
      </c>
      <c r="G85" s="107" t="s">
        <v>469</v>
      </c>
      <c r="H85" s="107" t="s">
        <v>592</v>
      </c>
      <c r="I85" s="107" t="s">
        <v>458</v>
      </c>
      <c r="J85" s="107" t="s">
        <v>484</v>
      </c>
      <c r="K85" s="107" t="s">
        <v>458</v>
      </c>
      <c r="L85" s="107" t="s">
        <v>547</v>
      </c>
      <c r="M85" s="113" t="str">
        <f t="shared" si="1"/>
        <v>View on Google Map</v>
      </c>
    </row>
    <row r="86" spans="1:13" x14ac:dyDescent="0.2">
      <c r="A86" s="107">
        <v>292</v>
      </c>
      <c r="B86" s="107" t="s">
        <v>591</v>
      </c>
      <c r="C86" s="107" t="s">
        <v>458</v>
      </c>
      <c r="D86" s="107">
        <v>69.639166666666668</v>
      </c>
      <c r="E86" s="107">
        <v>-149.73946666666666</v>
      </c>
      <c r="F86" s="107">
        <v>91</v>
      </c>
      <c r="G86" s="107" t="s">
        <v>469</v>
      </c>
      <c r="H86" s="107" t="s">
        <v>593</v>
      </c>
      <c r="I86" s="107" t="s">
        <v>458</v>
      </c>
      <c r="J86" s="107" t="s">
        <v>484</v>
      </c>
      <c r="K86" s="107" t="s">
        <v>458</v>
      </c>
      <c r="L86" s="107" t="s">
        <v>549</v>
      </c>
      <c r="M86" s="113" t="str">
        <f t="shared" si="1"/>
        <v>View on Google Map</v>
      </c>
    </row>
    <row r="87" spans="1:13" x14ac:dyDescent="0.2">
      <c r="A87" s="107">
        <v>207</v>
      </c>
      <c r="B87" s="107" t="s">
        <v>594</v>
      </c>
      <c r="C87" s="107" t="s">
        <v>458</v>
      </c>
      <c r="D87" s="107">
        <v>70.099999999999994</v>
      </c>
      <c r="E87" s="107">
        <v>-146.26666666666668</v>
      </c>
      <c r="F87" s="107">
        <v>9.1463414634146343</v>
      </c>
      <c r="G87" s="107" t="s">
        <v>469</v>
      </c>
      <c r="H87" s="107" t="s">
        <v>595</v>
      </c>
      <c r="I87" s="107" t="s">
        <v>458</v>
      </c>
      <c r="J87" s="107" t="s">
        <v>484</v>
      </c>
      <c r="K87" s="107" t="s">
        <v>458</v>
      </c>
      <c r="L87" s="107" t="s">
        <v>547</v>
      </c>
      <c r="M87" s="113" t="str">
        <f t="shared" si="1"/>
        <v>View on Google Map</v>
      </c>
    </row>
    <row r="88" spans="1:13" x14ac:dyDescent="0.2">
      <c r="A88" s="107">
        <v>293</v>
      </c>
      <c r="B88" s="107" t="s">
        <v>594</v>
      </c>
      <c r="C88" s="107" t="s">
        <v>458</v>
      </c>
      <c r="D88" s="107">
        <v>68.820783333333338</v>
      </c>
      <c r="E88" s="107">
        <v>-149.7646</v>
      </c>
      <c r="F88" s="107">
        <v>579</v>
      </c>
      <c r="G88" s="107" t="s">
        <v>469</v>
      </c>
      <c r="H88" s="107" t="s">
        <v>596</v>
      </c>
      <c r="I88" s="107" t="s">
        <v>458</v>
      </c>
      <c r="J88" s="107" t="s">
        <v>484</v>
      </c>
      <c r="K88" s="107" t="s">
        <v>458</v>
      </c>
      <c r="L88" s="107" t="s">
        <v>549</v>
      </c>
      <c r="M88" s="113" t="str">
        <f t="shared" si="1"/>
        <v>View on Google Map</v>
      </c>
    </row>
    <row r="89" spans="1:13" x14ac:dyDescent="0.2">
      <c r="A89" s="107">
        <v>208</v>
      </c>
      <c r="B89" s="107" t="s">
        <v>597</v>
      </c>
      <c r="C89" s="107" t="s">
        <v>458</v>
      </c>
      <c r="D89" s="107">
        <v>70.05</v>
      </c>
      <c r="E89" s="107">
        <v>-146.98333333333332</v>
      </c>
      <c r="F89" s="107">
        <v>24.390243902439025</v>
      </c>
      <c r="G89" s="107" t="s">
        <v>469</v>
      </c>
      <c r="H89" s="107" t="s">
        <v>598</v>
      </c>
      <c r="I89" s="107" t="s">
        <v>458</v>
      </c>
      <c r="J89" s="107" t="s">
        <v>484</v>
      </c>
      <c r="K89" s="107" t="s">
        <v>458</v>
      </c>
      <c r="L89" s="107" t="s">
        <v>547</v>
      </c>
      <c r="M89" s="113" t="str">
        <f t="shared" si="1"/>
        <v>View on Google Map</v>
      </c>
    </row>
    <row r="90" spans="1:13" x14ac:dyDescent="0.2">
      <c r="A90" s="107">
        <v>294</v>
      </c>
      <c r="B90" s="107" t="s">
        <v>597</v>
      </c>
      <c r="C90" s="107" t="s">
        <v>458</v>
      </c>
      <c r="D90" s="107">
        <v>68.820616666666666</v>
      </c>
      <c r="E90" s="107">
        <v>-149.74383333333333</v>
      </c>
      <c r="F90" s="107">
        <v>579</v>
      </c>
      <c r="G90" s="107" t="s">
        <v>469</v>
      </c>
      <c r="H90" s="107" t="s">
        <v>599</v>
      </c>
      <c r="I90" s="107" t="s">
        <v>458</v>
      </c>
      <c r="J90" s="107" t="s">
        <v>484</v>
      </c>
      <c r="K90" s="107" t="s">
        <v>458</v>
      </c>
      <c r="L90" s="107" t="s">
        <v>549</v>
      </c>
      <c r="M90" s="113" t="str">
        <f t="shared" si="1"/>
        <v>View on Google Map</v>
      </c>
    </row>
    <row r="91" spans="1:13" x14ac:dyDescent="0.2">
      <c r="A91" s="107">
        <v>209</v>
      </c>
      <c r="B91" s="107" t="s">
        <v>600</v>
      </c>
      <c r="C91" s="107" t="s">
        <v>458</v>
      </c>
      <c r="D91" s="107">
        <v>70.05</v>
      </c>
      <c r="E91" s="107">
        <v>-146.98333333333332</v>
      </c>
      <c r="F91" s="107">
        <v>24.390243902439025</v>
      </c>
      <c r="G91" s="107" t="s">
        <v>469</v>
      </c>
      <c r="H91" s="107" t="s">
        <v>601</v>
      </c>
      <c r="I91" s="107" t="s">
        <v>458</v>
      </c>
      <c r="J91" s="107" t="s">
        <v>484</v>
      </c>
      <c r="K91" s="107" t="s">
        <v>458</v>
      </c>
      <c r="L91" s="107" t="s">
        <v>547</v>
      </c>
      <c r="M91" s="113" t="str">
        <f t="shared" si="1"/>
        <v>View on Google Map</v>
      </c>
    </row>
    <row r="92" spans="1:13" x14ac:dyDescent="0.2">
      <c r="A92" s="107">
        <v>295</v>
      </c>
      <c r="B92" s="107" t="s">
        <v>600</v>
      </c>
      <c r="C92" s="107" t="s">
        <v>458</v>
      </c>
      <c r="D92" s="107">
        <v>68.821529999999996</v>
      </c>
      <c r="E92" s="107">
        <v>-149.05867000000001</v>
      </c>
      <c r="F92" s="107">
        <v>518</v>
      </c>
      <c r="G92" s="107" t="s">
        <v>469</v>
      </c>
      <c r="H92" s="107" t="s">
        <v>602</v>
      </c>
      <c r="I92" s="107" t="s">
        <v>458</v>
      </c>
      <c r="J92" s="107" t="s">
        <v>484</v>
      </c>
      <c r="K92" s="107" t="s">
        <v>458</v>
      </c>
      <c r="L92" s="107" t="s">
        <v>549</v>
      </c>
      <c r="M92" s="113" t="str">
        <f t="shared" si="1"/>
        <v>View on Google Map</v>
      </c>
    </row>
    <row r="93" spans="1:13" x14ac:dyDescent="0.2">
      <c r="A93" s="107">
        <v>210</v>
      </c>
      <c r="B93" s="107" t="s">
        <v>603</v>
      </c>
      <c r="C93" s="107" t="s">
        <v>458</v>
      </c>
      <c r="D93" s="107">
        <v>70.150000000000006</v>
      </c>
      <c r="E93" s="107">
        <v>-147.36666666666667</v>
      </c>
      <c r="F93" s="107">
        <v>6.7073170731707323</v>
      </c>
      <c r="G93" s="107" t="s">
        <v>469</v>
      </c>
      <c r="H93" s="107" t="s">
        <v>604</v>
      </c>
      <c r="I93" s="107" t="s">
        <v>458</v>
      </c>
      <c r="J93" s="107" t="s">
        <v>484</v>
      </c>
      <c r="K93" s="107" t="s">
        <v>458</v>
      </c>
      <c r="L93" s="107" t="s">
        <v>547</v>
      </c>
      <c r="M93" s="113" t="str">
        <f t="shared" si="1"/>
        <v>View on Google Map</v>
      </c>
    </row>
    <row r="94" spans="1:13" x14ac:dyDescent="0.2">
      <c r="A94" s="107">
        <v>296</v>
      </c>
      <c r="B94" s="107" t="s">
        <v>603</v>
      </c>
      <c r="C94" s="107" t="s">
        <v>458</v>
      </c>
      <c r="D94" s="107">
        <v>68.817116666666664</v>
      </c>
      <c r="E94" s="107">
        <v>-149.05956666666665</v>
      </c>
      <c r="F94" s="107">
        <v>518</v>
      </c>
      <c r="G94" s="107" t="s">
        <v>469</v>
      </c>
      <c r="H94" s="107" t="s">
        <v>605</v>
      </c>
      <c r="I94" s="107" t="s">
        <v>458</v>
      </c>
      <c r="J94" s="107" t="s">
        <v>484</v>
      </c>
      <c r="K94" s="107" t="s">
        <v>458</v>
      </c>
      <c r="L94" s="107" t="s">
        <v>549</v>
      </c>
      <c r="M94" s="113" t="str">
        <f t="shared" si="1"/>
        <v>View on Google Map</v>
      </c>
    </row>
    <row r="95" spans="1:13" x14ac:dyDescent="0.2">
      <c r="A95" s="107">
        <v>211</v>
      </c>
      <c r="B95" s="107" t="s">
        <v>606</v>
      </c>
      <c r="C95" s="107" t="s">
        <v>458</v>
      </c>
      <c r="D95" s="107">
        <v>70.150000000000006</v>
      </c>
      <c r="E95" s="107">
        <v>-147.36666666666667</v>
      </c>
      <c r="F95" s="107">
        <v>6.7073170731707323</v>
      </c>
      <c r="G95" s="107" t="s">
        <v>469</v>
      </c>
      <c r="H95" s="107" t="s">
        <v>607</v>
      </c>
      <c r="I95" s="107" t="s">
        <v>458</v>
      </c>
      <c r="J95" s="107" t="s">
        <v>484</v>
      </c>
      <c r="K95" s="107" t="s">
        <v>458</v>
      </c>
      <c r="L95" s="107" t="s">
        <v>547</v>
      </c>
      <c r="M95" s="113" t="str">
        <f t="shared" si="1"/>
        <v>View on Google Map</v>
      </c>
    </row>
    <row r="96" spans="1:13" x14ac:dyDescent="0.2">
      <c r="A96" s="107">
        <v>297</v>
      </c>
      <c r="B96" s="107" t="s">
        <v>606</v>
      </c>
      <c r="C96" s="107" t="s">
        <v>458</v>
      </c>
      <c r="D96" s="107">
        <v>69.356183333333334</v>
      </c>
      <c r="E96" s="107">
        <v>-150.21899999999999</v>
      </c>
      <c r="F96" s="107">
        <v>168</v>
      </c>
      <c r="G96" s="107" t="s">
        <v>469</v>
      </c>
      <c r="H96" s="107" t="s">
        <v>608</v>
      </c>
      <c r="I96" s="107" t="s">
        <v>458</v>
      </c>
      <c r="J96" s="107" t="s">
        <v>484</v>
      </c>
      <c r="K96" s="107" t="s">
        <v>458</v>
      </c>
      <c r="L96" s="107" t="s">
        <v>549</v>
      </c>
      <c r="M96" s="113" t="str">
        <f t="shared" si="1"/>
        <v>View on Google Map</v>
      </c>
    </row>
    <row r="97" spans="1:13" x14ac:dyDescent="0.2">
      <c r="A97" s="107">
        <v>212</v>
      </c>
      <c r="B97" s="107" t="s">
        <v>609</v>
      </c>
      <c r="C97" s="107" t="s">
        <v>458</v>
      </c>
      <c r="D97" s="107">
        <v>70.033333333333331</v>
      </c>
      <c r="E97" s="107">
        <v>-147.65</v>
      </c>
      <c r="F97" s="107">
        <v>28.04878048780488</v>
      </c>
      <c r="G97" s="107" t="s">
        <v>469</v>
      </c>
      <c r="H97" s="107" t="s">
        <v>610</v>
      </c>
      <c r="I97" s="107" t="s">
        <v>458</v>
      </c>
      <c r="J97" s="107" t="s">
        <v>484</v>
      </c>
      <c r="K97" s="107" t="s">
        <v>458</v>
      </c>
      <c r="L97" s="107" t="s">
        <v>547</v>
      </c>
      <c r="M97" s="113" t="str">
        <f t="shared" si="1"/>
        <v>View on Google Map</v>
      </c>
    </row>
    <row r="98" spans="1:13" x14ac:dyDescent="0.2">
      <c r="A98" s="107">
        <v>298</v>
      </c>
      <c r="B98" s="107" t="s">
        <v>609</v>
      </c>
      <c r="C98" s="107" t="s">
        <v>458</v>
      </c>
      <c r="D98" s="107">
        <v>69.356183333333334</v>
      </c>
      <c r="E98" s="107">
        <v>-150.21899999999999</v>
      </c>
      <c r="F98" s="107">
        <v>168</v>
      </c>
      <c r="G98" s="107" t="s">
        <v>469</v>
      </c>
      <c r="H98" s="107" t="s">
        <v>611</v>
      </c>
      <c r="I98" s="107" t="s">
        <v>458</v>
      </c>
      <c r="J98" s="107" t="s">
        <v>484</v>
      </c>
      <c r="K98" s="107" t="s">
        <v>458</v>
      </c>
      <c r="L98" s="107" t="s">
        <v>549</v>
      </c>
      <c r="M98" s="113" t="str">
        <f t="shared" si="1"/>
        <v>View on Google Map</v>
      </c>
    </row>
    <row r="99" spans="1:13" x14ac:dyDescent="0.2">
      <c r="A99" s="107">
        <v>213</v>
      </c>
      <c r="B99" s="107" t="s">
        <v>612</v>
      </c>
      <c r="C99" s="107" t="s">
        <v>458</v>
      </c>
      <c r="D99" s="107">
        <v>70.033333333333331</v>
      </c>
      <c r="E99" s="107">
        <v>-147.65</v>
      </c>
      <c r="F99" s="107">
        <v>28.04878048780488</v>
      </c>
      <c r="G99" s="107" t="s">
        <v>469</v>
      </c>
      <c r="H99" s="107" t="s">
        <v>613</v>
      </c>
      <c r="I99" s="107" t="s">
        <v>458</v>
      </c>
      <c r="J99" s="107" t="s">
        <v>484</v>
      </c>
      <c r="K99" s="107" t="s">
        <v>458</v>
      </c>
      <c r="L99" s="107" t="s">
        <v>547</v>
      </c>
      <c r="M99" s="113" t="str">
        <f t="shared" si="1"/>
        <v>View on Google Map</v>
      </c>
    </row>
    <row r="100" spans="1:13" x14ac:dyDescent="0.2">
      <c r="A100" s="107">
        <v>299</v>
      </c>
      <c r="B100" s="107" t="s">
        <v>612</v>
      </c>
      <c r="C100" s="107" t="s">
        <v>458</v>
      </c>
      <c r="D100" s="107">
        <v>69.5458</v>
      </c>
      <c r="E100" s="107">
        <v>-150.37883333333335</v>
      </c>
      <c r="F100" s="107">
        <v>107</v>
      </c>
      <c r="G100" s="107" t="s">
        <v>469</v>
      </c>
      <c r="H100" s="107" t="s">
        <v>614</v>
      </c>
      <c r="I100" s="107" t="s">
        <v>458</v>
      </c>
      <c r="J100" s="107" t="s">
        <v>484</v>
      </c>
      <c r="K100" s="107" t="s">
        <v>458</v>
      </c>
      <c r="L100" s="107" t="s">
        <v>549</v>
      </c>
      <c r="M100" s="113" t="str">
        <f t="shared" si="1"/>
        <v>View on Google Map</v>
      </c>
    </row>
    <row r="101" spans="1:13" x14ac:dyDescent="0.2">
      <c r="A101" s="107">
        <v>214</v>
      </c>
      <c r="B101" s="107" t="s">
        <v>615</v>
      </c>
      <c r="C101" s="107" t="s">
        <v>458</v>
      </c>
      <c r="D101" s="107">
        <v>69.833333333333329</v>
      </c>
      <c r="E101" s="107">
        <v>-147.93333333333334</v>
      </c>
      <c r="F101" s="107">
        <v>92.987804878048792</v>
      </c>
      <c r="G101" s="107" t="s">
        <v>469</v>
      </c>
      <c r="H101" s="107" t="s">
        <v>616</v>
      </c>
      <c r="I101" s="107" t="s">
        <v>458</v>
      </c>
      <c r="J101" s="107" t="s">
        <v>484</v>
      </c>
      <c r="K101" s="107" t="s">
        <v>458</v>
      </c>
      <c r="L101" s="107" t="s">
        <v>547</v>
      </c>
      <c r="M101" s="113" t="str">
        <f t="shared" si="1"/>
        <v>View on Google Map</v>
      </c>
    </row>
    <row r="102" spans="1:13" x14ac:dyDescent="0.2">
      <c r="A102" s="107">
        <v>300</v>
      </c>
      <c r="B102" s="107" t="s">
        <v>615</v>
      </c>
      <c r="C102" s="107" t="s">
        <v>458</v>
      </c>
      <c r="D102" s="107">
        <v>69.5458</v>
      </c>
      <c r="E102" s="107">
        <v>-150.37883333333335</v>
      </c>
      <c r="F102" s="107">
        <v>107</v>
      </c>
      <c r="G102" s="107" t="s">
        <v>469</v>
      </c>
      <c r="H102" s="107" t="s">
        <v>617</v>
      </c>
      <c r="I102" s="107" t="s">
        <v>458</v>
      </c>
      <c r="J102" s="107" t="s">
        <v>484</v>
      </c>
      <c r="K102" s="107" t="s">
        <v>458</v>
      </c>
      <c r="L102" s="107" t="s">
        <v>549</v>
      </c>
      <c r="M102" s="113" t="str">
        <f t="shared" si="1"/>
        <v>View on Google Map</v>
      </c>
    </row>
    <row r="103" spans="1:13" x14ac:dyDescent="0.2">
      <c r="A103" s="107">
        <v>215</v>
      </c>
      <c r="B103" s="107" t="s">
        <v>618</v>
      </c>
      <c r="C103" s="107" t="s">
        <v>458</v>
      </c>
      <c r="D103" s="107">
        <v>69.833333333333329</v>
      </c>
      <c r="E103" s="107">
        <v>-147.93333333333334</v>
      </c>
      <c r="F103" s="107">
        <v>92.987804878048792</v>
      </c>
      <c r="G103" s="107" t="s">
        <v>469</v>
      </c>
      <c r="H103" s="107" t="s">
        <v>619</v>
      </c>
      <c r="I103" s="107" t="s">
        <v>458</v>
      </c>
      <c r="J103" s="107" t="s">
        <v>484</v>
      </c>
      <c r="K103" s="107" t="s">
        <v>458</v>
      </c>
      <c r="L103" s="107" t="s">
        <v>547</v>
      </c>
      <c r="M103" s="113" t="str">
        <f t="shared" si="1"/>
        <v>View on Google Map</v>
      </c>
    </row>
    <row r="104" spans="1:13" x14ac:dyDescent="0.2">
      <c r="A104" s="107">
        <v>301</v>
      </c>
      <c r="B104" s="107" t="s">
        <v>618</v>
      </c>
      <c r="C104" s="107" t="s">
        <v>458</v>
      </c>
      <c r="D104" s="107">
        <v>69.523700000000005</v>
      </c>
      <c r="E104" s="107">
        <v>-150.55269999999999</v>
      </c>
      <c r="F104" s="107">
        <v>107</v>
      </c>
      <c r="G104" s="107" t="s">
        <v>469</v>
      </c>
      <c r="H104" s="107" t="s">
        <v>620</v>
      </c>
      <c r="I104" s="107" t="s">
        <v>458</v>
      </c>
      <c r="J104" s="107" t="s">
        <v>484</v>
      </c>
      <c r="K104" s="107" t="s">
        <v>458</v>
      </c>
      <c r="L104" s="107" t="s">
        <v>549</v>
      </c>
      <c r="M104" s="113" t="str">
        <f t="shared" si="1"/>
        <v>View on Google Map</v>
      </c>
    </row>
    <row r="105" spans="1:13" x14ac:dyDescent="0.2">
      <c r="A105" s="107">
        <v>216</v>
      </c>
      <c r="B105" s="107" t="s">
        <v>621</v>
      </c>
      <c r="C105" s="107" t="s">
        <v>458</v>
      </c>
      <c r="D105" s="107">
        <v>69.88333333333334</v>
      </c>
      <c r="E105" s="107">
        <v>-148.63333333333333</v>
      </c>
      <c r="F105" s="107">
        <v>118.90243902439025</v>
      </c>
      <c r="G105" s="107" t="s">
        <v>469</v>
      </c>
      <c r="H105" s="107" t="s">
        <v>622</v>
      </c>
      <c r="I105" s="107" t="s">
        <v>458</v>
      </c>
      <c r="J105" s="107" t="s">
        <v>484</v>
      </c>
      <c r="K105" s="107" t="s">
        <v>458</v>
      </c>
      <c r="L105" s="107" t="s">
        <v>547</v>
      </c>
      <c r="M105" s="113" t="str">
        <f t="shared" si="1"/>
        <v>View on Google Map</v>
      </c>
    </row>
    <row r="106" spans="1:13" x14ac:dyDescent="0.2">
      <c r="A106" s="107">
        <v>302</v>
      </c>
      <c r="B106" s="107" t="s">
        <v>621</v>
      </c>
      <c r="C106" s="107" t="s">
        <v>458</v>
      </c>
      <c r="D106" s="107">
        <v>69.523700000000005</v>
      </c>
      <c r="E106" s="107">
        <v>-150.55269999999999</v>
      </c>
      <c r="F106" s="107">
        <v>107</v>
      </c>
      <c r="G106" s="107" t="s">
        <v>469</v>
      </c>
      <c r="H106" s="107" t="s">
        <v>623</v>
      </c>
      <c r="I106" s="107" t="s">
        <v>458</v>
      </c>
      <c r="J106" s="107" t="s">
        <v>484</v>
      </c>
      <c r="K106" s="107" t="s">
        <v>458</v>
      </c>
      <c r="L106" s="107" t="s">
        <v>549</v>
      </c>
      <c r="M106" s="113" t="str">
        <f t="shared" si="1"/>
        <v>View on Google Map</v>
      </c>
    </row>
    <row r="107" spans="1:13" x14ac:dyDescent="0.2">
      <c r="A107" s="107">
        <v>217</v>
      </c>
      <c r="B107" s="107" t="s">
        <v>624</v>
      </c>
      <c r="C107" s="107" t="s">
        <v>458</v>
      </c>
      <c r="D107" s="107">
        <v>69.7</v>
      </c>
      <c r="E107" s="107">
        <v>-148.48333333333332</v>
      </c>
      <c r="F107" s="107">
        <v>125</v>
      </c>
      <c r="G107" s="107" t="s">
        <v>469</v>
      </c>
      <c r="H107" s="107" t="s">
        <v>625</v>
      </c>
      <c r="I107" s="107" t="s">
        <v>458</v>
      </c>
      <c r="J107" s="107" t="s">
        <v>484</v>
      </c>
      <c r="K107" s="107" t="s">
        <v>458</v>
      </c>
      <c r="L107" s="107" t="s">
        <v>547</v>
      </c>
      <c r="M107" s="113" t="str">
        <f t="shared" si="1"/>
        <v>View on Google Map</v>
      </c>
    </row>
    <row r="108" spans="1:13" x14ac:dyDescent="0.2">
      <c r="A108" s="107">
        <v>303</v>
      </c>
      <c r="B108" s="107" t="s">
        <v>624</v>
      </c>
      <c r="C108" s="107" t="s">
        <v>458</v>
      </c>
      <c r="D108" s="107">
        <v>69.610399999999998</v>
      </c>
      <c r="E108" s="107">
        <v>-148.82113333333334</v>
      </c>
      <c r="F108" s="107">
        <v>107</v>
      </c>
      <c r="G108" s="107" t="s">
        <v>469</v>
      </c>
      <c r="H108" s="107" t="s">
        <v>626</v>
      </c>
      <c r="I108" s="107" t="s">
        <v>458</v>
      </c>
      <c r="J108" s="107" t="s">
        <v>484</v>
      </c>
      <c r="K108" s="107" t="s">
        <v>458</v>
      </c>
      <c r="L108" s="107" t="s">
        <v>549</v>
      </c>
      <c r="M108" s="113" t="str">
        <f t="shared" si="1"/>
        <v>View on Google Map</v>
      </c>
    </row>
    <row r="109" spans="1:13" x14ac:dyDescent="0.2">
      <c r="A109" s="107">
        <v>218</v>
      </c>
      <c r="B109" s="107" t="s">
        <v>627</v>
      </c>
      <c r="C109" s="107" t="s">
        <v>458</v>
      </c>
      <c r="D109" s="107">
        <v>69.7</v>
      </c>
      <c r="E109" s="107">
        <v>-148.48333333333332</v>
      </c>
      <c r="F109" s="107">
        <v>125</v>
      </c>
      <c r="G109" s="107" t="s">
        <v>469</v>
      </c>
      <c r="H109" s="107" t="s">
        <v>628</v>
      </c>
      <c r="I109" s="107" t="s">
        <v>458</v>
      </c>
      <c r="J109" s="107" t="s">
        <v>484</v>
      </c>
      <c r="K109" s="107" t="s">
        <v>458</v>
      </c>
      <c r="L109" s="107" t="s">
        <v>547</v>
      </c>
      <c r="M109" s="113" t="str">
        <f t="shared" si="1"/>
        <v>View on Google Map</v>
      </c>
    </row>
    <row r="110" spans="1:13" x14ac:dyDescent="0.2">
      <c r="A110" s="107">
        <v>304</v>
      </c>
      <c r="B110" s="107" t="s">
        <v>627</v>
      </c>
      <c r="C110" s="107" t="s">
        <v>458</v>
      </c>
      <c r="D110" s="107">
        <v>69.610399999999998</v>
      </c>
      <c r="E110" s="107">
        <v>-148.82113333333334</v>
      </c>
      <c r="F110" s="107">
        <v>107</v>
      </c>
      <c r="G110" s="107" t="s">
        <v>469</v>
      </c>
      <c r="H110" s="107" t="s">
        <v>629</v>
      </c>
      <c r="I110" s="107" t="s">
        <v>458</v>
      </c>
      <c r="J110" s="107" t="s">
        <v>484</v>
      </c>
      <c r="K110" s="107" t="s">
        <v>458</v>
      </c>
      <c r="L110" s="107" t="s">
        <v>549</v>
      </c>
      <c r="M110" s="113" t="str">
        <f t="shared" si="1"/>
        <v>View on Google Map</v>
      </c>
    </row>
    <row r="111" spans="1:13" x14ac:dyDescent="0.2">
      <c r="A111" s="107">
        <v>232</v>
      </c>
      <c r="B111" s="107" t="s">
        <v>630</v>
      </c>
      <c r="C111" s="107" t="s">
        <v>458</v>
      </c>
      <c r="D111" s="107">
        <v>69.266666666666666</v>
      </c>
      <c r="E111" s="107">
        <v>-148.46666666666667</v>
      </c>
      <c r="F111" s="107">
        <v>338.71951219512198</v>
      </c>
      <c r="G111" s="107" t="s">
        <v>469</v>
      </c>
      <c r="H111" s="107" t="s">
        <v>631</v>
      </c>
      <c r="I111" s="107" t="s">
        <v>458</v>
      </c>
      <c r="J111" s="107" t="s">
        <v>484</v>
      </c>
      <c r="K111" s="107" t="s">
        <v>458</v>
      </c>
      <c r="L111" s="107" t="s">
        <v>547</v>
      </c>
      <c r="M111" s="113" t="str">
        <f t="shared" si="1"/>
        <v>View on Google Map</v>
      </c>
    </row>
    <row r="112" spans="1:13" x14ac:dyDescent="0.2">
      <c r="A112" s="107">
        <v>239</v>
      </c>
      <c r="B112" s="107" t="s">
        <v>632</v>
      </c>
      <c r="C112" s="107" t="s">
        <v>633</v>
      </c>
      <c r="D112" s="107" t="s">
        <v>458</v>
      </c>
      <c r="E112" s="107" t="s">
        <v>458</v>
      </c>
      <c r="F112" s="107" t="s">
        <v>458</v>
      </c>
      <c r="G112" s="107" t="s">
        <v>469</v>
      </c>
      <c r="H112" s="107" t="s">
        <v>458</v>
      </c>
      <c r="I112" s="107" t="s">
        <v>458</v>
      </c>
      <c r="J112" s="107" t="s">
        <v>484</v>
      </c>
      <c r="K112" s="107" t="s">
        <v>458</v>
      </c>
      <c r="L112" s="107" t="s">
        <v>634</v>
      </c>
      <c r="M112" s="113" t="str">
        <f t="shared" si="1"/>
        <v>View on Google Map</v>
      </c>
    </row>
    <row r="113" spans="1:13" x14ac:dyDescent="0.2">
      <c r="A113" s="107">
        <v>144</v>
      </c>
      <c r="B113" s="107" t="s">
        <v>635</v>
      </c>
      <c r="C113" s="107" t="s">
        <v>636</v>
      </c>
      <c r="D113" s="107">
        <v>68.63333333333334</v>
      </c>
      <c r="E113" s="107">
        <v>-149.6</v>
      </c>
      <c r="F113" s="107">
        <v>719</v>
      </c>
      <c r="G113" s="107" t="s">
        <v>469</v>
      </c>
      <c r="H113" s="107" t="s">
        <v>458</v>
      </c>
      <c r="I113" s="107" t="s">
        <v>458</v>
      </c>
      <c r="J113" s="107" t="s">
        <v>484</v>
      </c>
      <c r="K113" s="107" t="s">
        <v>458</v>
      </c>
      <c r="L113" s="107" t="s">
        <v>485</v>
      </c>
      <c r="M113" s="113" t="str">
        <f t="shared" si="1"/>
        <v>View on Google Map</v>
      </c>
    </row>
    <row r="114" spans="1:13" x14ac:dyDescent="0.2">
      <c r="A114" s="107">
        <v>401</v>
      </c>
      <c r="B114" s="107" t="s">
        <v>637</v>
      </c>
      <c r="C114" s="107" t="s">
        <v>458</v>
      </c>
      <c r="D114" s="107" t="s">
        <v>458</v>
      </c>
      <c r="E114" s="107" t="s">
        <v>458</v>
      </c>
      <c r="F114" s="107" t="s">
        <v>458</v>
      </c>
      <c r="G114" s="107" t="s">
        <v>469</v>
      </c>
      <c r="H114" s="107" t="s">
        <v>458</v>
      </c>
      <c r="I114" s="107" t="s">
        <v>458</v>
      </c>
      <c r="J114" s="107" t="s">
        <v>484</v>
      </c>
      <c r="K114" s="107" t="s">
        <v>458</v>
      </c>
      <c r="L114" s="107" t="s">
        <v>638</v>
      </c>
      <c r="M114" s="113" t="str">
        <f t="shared" si="1"/>
        <v>View on Google Map</v>
      </c>
    </row>
    <row r="115" spans="1:13" x14ac:dyDescent="0.2">
      <c r="A115" s="107">
        <v>403</v>
      </c>
      <c r="B115" s="107" t="s">
        <v>639</v>
      </c>
      <c r="C115" s="107" t="s">
        <v>458</v>
      </c>
      <c r="D115" s="107" t="s">
        <v>458</v>
      </c>
      <c r="E115" s="107" t="s">
        <v>458</v>
      </c>
      <c r="F115" s="107" t="s">
        <v>458</v>
      </c>
      <c r="G115" s="107" t="s">
        <v>469</v>
      </c>
      <c r="H115" s="107" t="s">
        <v>458</v>
      </c>
      <c r="I115" s="107" t="s">
        <v>458</v>
      </c>
      <c r="J115" s="107" t="s">
        <v>484</v>
      </c>
      <c r="K115" s="107" t="s">
        <v>458</v>
      </c>
      <c r="L115" s="107" t="s">
        <v>640</v>
      </c>
      <c r="M115" s="113" t="str">
        <f t="shared" si="1"/>
        <v>View on Google Map</v>
      </c>
    </row>
    <row r="116" spans="1:13" x14ac:dyDescent="0.2">
      <c r="A116" s="107">
        <v>403</v>
      </c>
      <c r="B116" s="107" t="s">
        <v>639</v>
      </c>
      <c r="C116" s="107" t="s">
        <v>458</v>
      </c>
      <c r="D116" s="107" t="s">
        <v>458</v>
      </c>
      <c r="E116" s="107" t="s">
        <v>458</v>
      </c>
      <c r="F116" s="107" t="s">
        <v>458</v>
      </c>
      <c r="G116" s="107" t="s">
        <v>469</v>
      </c>
      <c r="H116" s="107" t="s">
        <v>458</v>
      </c>
      <c r="I116" s="107" t="s">
        <v>458</v>
      </c>
      <c r="J116" s="107" t="s">
        <v>484</v>
      </c>
      <c r="K116" s="107" t="s">
        <v>458</v>
      </c>
      <c r="L116" s="107" t="s">
        <v>640</v>
      </c>
      <c r="M116" s="113" t="str">
        <f t="shared" si="1"/>
        <v>View on Google Map</v>
      </c>
    </row>
    <row r="117" spans="1:13" x14ac:dyDescent="0.2">
      <c r="A117" s="107">
        <v>1209</v>
      </c>
      <c r="B117" s="107" t="s">
        <v>641</v>
      </c>
      <c r="C117" s="107" t="s">
        <v>642</v>
      </c>
      <c r="D117" s="107">
        <v>68.934420000000003</v>
      </c>
      <c r="E117" s="107">
        <v>-150.21242000000001</v>
      </c>
      <c r="F117" s="107" t="s">
        <v>458</v>
      </c>
      <c r="G117" s="107" t="s">
        <v>459</v>
      </c>
      <c r="H117" s="107" t="s">
        <v>458</v>
      </c>
      <c r="I117" s="107" t="s">
        <v>458</v>
      </c>
      <c r="J117" s="107" t="s">
        <v>465</v>
      </c>
      <c r="K117" s="107" t="s">
        <v>458</v>
      </c>
      <c r="L117" s="107" t="s">
        <v>466</v>
      </c>
      <c r="M117" s="113" t="str">
        <f t="shared" si="1"/>
        <v>View on Google Map</v>
      </c>
    </row>
    <row r="118" spans="1:13" x14ac:dyDescent="0.2">
      <c r="A118" s="107">
        <v>482</v>
      </c>
      <c r="B118" s="107" t="s">
        <v>643</v>
      </c>
      <c r="C118" s="107" t="s">
        <v>458</v>
      </c>
      <c r="D118" s="107">
        <v>68.951483332999999</v>
      </c>
      <c r="E118" s="107">
        <v>-150.194333333</v>
      </c>
      <c r="F118" s="107">
        <v>399</v>
      </c>
      <c r="G118" s="107" t="s">
        <v>469</v>
      </c>
      <c r="H118" s="107" t="s">
        <v>458</v>
      </c>
      <c r="I118" s="107" t="s">
        <v>458</v>
      </c>
      <c r="J118" s="107" t="s">
        <v>519</v>
      </c>
      <c r="K118" s="107" t="s">
        <v>458</v>
      </c>
      <c r="L118" s="107" t="s">
        <v>466</v>
      </c>
      <c r="M118" s="113" t="str">
        <f t="shared" si="1"/>
        <v>View on Google Map</v>
      </c>
    </row>
    <row r="119" spans="1:13" x14ac:dyDescent="0.2">
      <c r="A119" s="107">
        <v>483</v>
      </c>
      <c r="B119" s="107" t="s">
        <v>644</v>
      </c>
      <c r="C119" s="107" t="s">
        <v>458</v>
      </c>
      <c r="D119" s="107">
        <v>68.950783333000004</v>
      </c>
      <c r="E119" s="107">
        <v>-150.19835</v>
      </c>
      <c r="F119" s="107">
        <v>399</v>
      </c>
      <c r="G119" s="107" t="s">
        <v>483</v>
      </c>
      <c r="H119" s="107" t="s">
        <v>645</v>
      </c>
      <c r="I119" s="107" t="s">
        <v>458</v>
      </c>
      <c r="J119" s="107" t="s">
        <v>519</v>
      </c>
      <c r="K119" s="107" t="s">
        <v>458</v>
      </c>
      <c r="L119" s="107" t="s">
        <v>466</v>
      </c>
      <c r="M119" s="113" t="str">
        <f t="shared" si="1"/>
        <v>View on Google Map</v>
      </c>
    </row>
    <row r="120" spans="1:13" x14ac:dyDescent="0.2">
      <c r="A120" s="107">
        <v>484</v>
      </c>
      <c r="B120" s="107" t="s">
        <v>646</v>
      </c>
      <c r="C120" s="107" t="s">
        <v>458</v>
      </c>
      <c r="D120" s="107">
        <v>68.957549999999998</v>
      </c>
      <c r="E120" s="107">
        <v>-150.200916667</v>
      </c>
      <c r="F120" s="107">
        <v>399</v>
      </c>
      <c r="G120" s="107" t="s">
        <v>469</v>
      </c>
      <c r="H120" s="107" t="s">
        <v>647</v>
      </c>
      <c r="I120" s="107" t="s">
        <v>648</v>
      </c>
      <c r="J120" s="107" t="s">
        <v>519</v>
      </c>
      <c r="K120" s="107" t="s">
        <v>458</v>
      </c>
      <c r="L120" s="107" t="s">
        <v>466</v>
      </c>
      <c r="M120" s="113" t="str">
        <f t="shared" si="1"/>
        <v>View on Google Map</v>
      </c>
    </row>
    <row r="121" spans="1:13" x14ac:dyDescent="0.2">
      <c r="A121" s="107">
        <v>485</v>
      </c>
      <c r="B121" s="107" t="s">
        <v>649</v>
      </c>
      <c r="C121" s="107" t="s">
        <v>458</v>
      </c>
      <c r="D121" s="107">
        <v>68.95675</v>
      </c>
      <c r="E121" s="107">
        <v>-150.19700833300001</v>
      </c>
      <c r="F121" s="107">
        <v>399</v>
      </c>
      <c r="G121" s="107" t="s">
        <v>469</v>
      </c>
      <c r="H121" s="107" t="s">
        <v>650</v>
      </c>
      <c r="I121" s="107" t="s">
        <v>458</v>
      </c>
      <c r="J121" s="107" t="s">
        <v>519</v>
      </c>
      <c r="K121" s="107" t="s">
        <v>458</v>
      </c>
      <c r="L121" s="107" t="s">
        <v>466</v>
      </c>
      <c r="M121" s="113" t="str">
        <f t="shared" si="1"/>
        <v>View on Google Map</v>
      </c>
    </row>
    <row r="122" spans="1:13" x14ac:dyDescent="0.2">
      <c r="A122" s="107">
        <v>514</v>
      </c>
      <c r="B122" s="107" t="s">
        <v>651</v>
      </c>
      <c r="C122" s="107" t="s">
        <v>468</v>
      </c>
      <c r="D122" s="107">
        <v>68.418130000000005</v>
      </c>
      <c r="E122" s="107">
        <v>-151.58454</v>
      </c>
      <c r="F122" s="107">
        <v>876</v>
      </c>
      <c r="G122" s="107" t="s">
        <v>469</v>
      </c>
      <c r="H122" s="107" t="s">
        <v>458</v>
      </c>
      <c r="I122" s="107" t="s">
        <v>458</v>
      </c>
      <c r="J122" s="107" t="s">
        <v>470</v>
      </c>
      <c r="K122" s="107" t="s">
        <v>458</v>
      </c>
      <c r="L122" s="107" t="s">
        <v>471</v>
      </c>
      <c r="M122" s="113" t="str">
        <f t="shared" si="1"/>
        <v>View on Google Map</v>
      </c>
    </row>
    <row r="123" spans="1:13" x14ac:dyDescent="0.2">
      <c r="A123" s="107">
        <v>400</v>
      </c>
      <c r="B123" s="107" t="s">
        <v>652</v>
      </c>
      <c r="C123" s="107" t="s">
        <v>458</v>
      </c>
      <c r="D123" s="107" t="s">
        <v>458</v>
      </c>
      <c r="E123" s="107" t="s">
        <v>458</v>
      </c>
      <c r="F123" s="107" t="s">
        <v>458</v>
      </c>
      <c r="G123" s="107" t="s">
        <v>469</v>
      </c>
      <c r="H123" s="107" t="s">
        <v>458</v>
      </c>
      <c r="I123" s="107" t="s">
        <v>458</v>
      </c>
      <c r="J123" s="107" t="s">
        <v>484</v>
      </c>
      <c r="K123" s="107" t="s">
        <v>458</v>
      </c>
      <c r="L123" s="107" t="s">
        <v>638</v>
      </c>
      <c r="M123" s="113" t="str">
        <f t="shared" si="1"/>
        <v>View on Google Map</v>
      </c>
    </row>
    <row r="124" spans="1:13" x14ac:dyDescent="0.2">
      <c r="A124" s="107">
        <v>137</v>
      </c>
      <c r="B124" s="107" t="s">
        <v>653</v>
      </c>
      <c r="C124" s="107" t="s">
        <v>458</v>
      </c>
      <c r="D124" s="107">
        <v>70.3</v>
      </c>
      <c r="E124" s="107">
        <v>-148.28333333333333</v>
      </c>
      <c r="F124" s="107">
        <v>6</v>
      </c>
      <c r="G124" s="107" t="s">
        <v>469</v>
      </c>
      <c r="H124" s="107" t="s">
        <v>654</v>
      </c>
      <c r="I124" s="107" t="s">
        <v>458</v>
      </c>
      <c r="J124" s="107" t="s">
        <v>484</v>
      </c>
      <c r="K124" s="107" t="s">
        <v>458</v>
      </c>
      <c r="L124" s="107" t="s">
        <v>485</v>
      </c>
      <c r="M124" s="113" t="str">
        <f t="shared" si="1"/>
        <v>View on Google Map</v>
      </c>
    </row>
    <row r="125" spans="1:13" x14ac:dyDescent="0.2">
      <c r="A125" s="107">
        <v>146</v>
      </c>
      <c r="B125" s="107" t="s">
        <v>655</v>
      </c>
      <c r="C125" s="107" t="s">
        <v>458</v>
      </c>
      <c r="D125" s="107">
        <v>68.626195602799996</v>
      </c>
      <c r="E125" s="107">
        <v>-149.55534770599999</v>
      </c>
      <c r="F125" s="107">
        <v>762</v>
      </c>
      <c r="G125" s="107" t="s">
        <v>469</v>
      </c>
      <c r="H125" s="107" t="s">
        <v>656</v>
      </c>
      <c r="I125" s="107" t="s">
        <v>657</v>
      </c>
      <c r="J125" s="107" t="s">
        <v>484</v>
      </c>
      <c r="K125" s="107" t="s">
        <v>458</v>
      </c>
      <c r="L125" s="107" t="s">
        <v>458</v>
      </c>
      <c r="M125" s="113" t="str">
        <f t="shared" si="1"/>
        <v>View on Google Map</v>
      </c>
    </row>
    <row r="126" spans="1:13" x14ac:dyDescent="0.2">
      <c r="A126" s="107">
        <v>18</v>
      </c>
      <c r="B126" s="107" t="s">
        <v>658</v>
      </c>
      <c r="C126" s="107" t="s">
        <v>458</v>
      </c>
      <c r="D126" s="107" t="s">
        <v>458</v>
      </c>
      <c r="E126" s="107" t="s">
        <v>458</v>
      </c>
      <c r="F126" s="107">
        <v>762</v>
      </c>
      <c r="G126" s="107" t="s">
        <v>483</v>
      </c>
      <c r="H126" s="107" t="s">
        <v>659</v>
      </c>
      <c r="I126" s="107" t="s">
        <v>660</v>
      </c>
      <c r="J126" s="107" t="s">
        <v>484</v>
      </c>
      <c r="K126" s="107" t="s">
        <v>458</v>
      </c>
      <c r="L126" s="107" t="s">
        <v>458</v>
      </c>
      <c r="M126" s="113" t="str">
        <f t="shared" si="1"/>
        <v>View on Google Map</v>
      </c>
    </row>
    <row r="127" spans="1:13" x14ac:dyDescent="0.2">
      <c r="A127" s="107">
        <v>310</v>
      </c>
      <c r="B127" s="107" t="s">
        <v>661</v>
      </c>
      <c r="C127" s="107" t="s">
        <v>458</v>
      </c>
      <c r="D127" s="107">
        <v>68.622894947099994</v>
      </c>
      <c r="E127" s="107">
        <v>-149.54328383999999</v>
      </c>
      <c r="F127" s="107" t="s">
        <v>458</v>
      </c>
      <c r="G127" s="107" t="s">
        <v>469</v>
      </c>
      <c r="H127" s="107" t="s">
        <v>662</v>
      </c>
      <c r="I127" s="107" t="s">
        <v>663</v>
      </c>
      <c r="J127" s="107" t="s">
        <v>484</v>
      </c>
      <c r="K127" s="107" t="s">
        <v>458</v>
      </c>
      <c r="L127" s="107" t="s">
        <v>458</v>
      </c>
      <c r="M127" s="113" t="str">
        <f t="shared" si="1"/>
        <v>View on Google Map</v>
      </c>
    </row>
    <row r="128" spans="1:13" x14ac:dyDescent="0.2">
      <c r="A128" s="107">
        <v>311</v>
      </c>
      <c r="B128" s="107" t="s">
        <v>664</v>
      </c>
      <c r="C128" s="107" t="s">
        <v>458</v>
      </c>
      <c r="D128" s="107">
        <v>68.623910828999996</v>
      </c>
      <c r="E128" s="107">
        <v>-149.53118563999999</v>
      </c>
      <c r="F128" s="107" t="s">
        <v>458</v>
      </c>
      <c r="G128" s="107" t="s">
        <v>469</v>
      </c>
      <c r="H128" s="107" t="s">
        <v>665</v>
      </c>
      <c r="I128" s="107" t="s">
        <v>666</v>
      </c>
      <c r="J128" s="107" t="s">
        <v>484</v>
      </c>
      <c r="K128" s="107" t="s">
        <v>458</v>
      </c>
      <c r="L128" s="107" t="s">
        <v>458</v>
      </c>
      <c r="M128" s="113" t="str">
        <f t="shared" si="1"/>
        <v>View on Google Map</v>
      </c>
    </row>
    <row r="129" spans="1:13" x14ac:dyDescent="0.2">
      <c r="A129" s="107">
        <v>312</v>
      </c>
      <c r="B129" s="107" t="s">
        <v>667</v>
      </c>
      <c r="C129" s="107" t="s">
        <v>458</v>
      </c>
      <c r="D129" s="107">
        <v>68.6277698106</v>
      </c>
      <c r="E129" s="107">
        <v>-149.497737003</v>
      </c>
      <c r="F129" s="107" t="s">
        <v>458</v>
      </c>
      <c r="G129" s="107" t="s">
        <v>469</v>
      </c>
      <c r="H129" s="107" t="s">
        <v>668</v>
      </c>
      <c r="I129" s="107" t="s">
        <v>669</v>
      </c>
      <c r="J129" s="107" t="s">
        <v>484</v>
      </c>
      <c r="K129" s="107" t="s">
        <v>458</v>
      </c>
      <c r="L129" s="107" t="s">
        <v>458</v>
      </c>
      <c r="M129" s="113" t="str">
        <f t="shared" si="1"/>
        <v>View on Google Map</v>
      </c>
    </row>
    <row r="130" spans="1:13" x14ac:dyDescent="0.2">
      <c r="A130" s="107">
        <v>145</v>
      </c>
      <c r="B130" s="107" t="s">
        <v>670</v>
      </c>
      <c r="C130" s="107" t="s">
        <v>458</v>
      </c>
      <c r="D130" s="107">
        <v>68.642611000000002</v>
      </c>
      <c r="E130" s="107">
        <v>-149.458079</v>
      </c>
      <c r="F130" s="107">
        <v>800</v>
      </c>
      <c r="G130" s="107" t="s">
        <v>469</v>
      </c>
      <c r="H130" s="107" t="s">
        <v>671</v>
      </c>
      <c r="I130" s="107" t="s">
        <v>672</v>
      </c>
      <c r="J130" s="107" t="s">
        <v>484</v>
      </c>
      <c r="K130" s="107" t="s">
        <v>458</v>
      </c>
      <c r="L130" s="107" t="s">
        <v>458</v>
      </c>
      <c r="M130" s="113" t="str">
        <f t="shared" si="1"/>
        <v>View on Google Map</v>
      </c>
    </row>
    <row r="131" spans="1:13" x14ac:dyDescent="0.2">
      <c r="A131" s="107">
        <v>399</v>
      </c>
      <c r="B131" s="107" t="s">
        <v>673</v>
      </c>
      <c r="C131" s="107" t="s">
        <v>458</v>
      </c>
      <c r="D131" s="107">
        <v>68.643427058300006</v>
      </c>
      <c r="E131" s="107">
        <v>-149.44056459199999</v>
      </c>
      <c r="F131" s="107">
        <v>792</v>
      </c>
      <c r="G131" s="107" t="s">
        <v>469</v>
      </c>
      <c r="H131" s="107" t="s">
        <v>674</v>
      </c>
      <c r="I131" s="107" t="s">
        <v>675</v>
      </c>
      <c r="J131" s="107" t="s">
        <v>484</v>
      </c>
      <c r="K131" s="107" t="s">
        <v>458</v>
      </c>
      <c r="L131" s="107" t="s">
        <v>458</v>
      </c>
      <c r="M131" s="113" t="str">
        <f t="shared" ref="M131:M194" si="2">HYPERLINK("http://maps.google.com/maps?q="&amp;D131&amp;","&amp;E131,"View on Google Map")</f>
        <v>View on Google Map</v>
      </c>
    </row>
    <row r="132" spans="1:13" x14ac:dyDescent="0.2">
      <c r="A132" s="107">
        <v>1605</v>
      </c>
      <c r="B132" s="107" t="s">
        <v>676</v>
      </c>
      <c r="C132" s="107" t="s">
        <v>458</v>
      </c>
      <c r="D132" s="107" t="s">
        <v>458</v>
      </c>
      <c r="E132" s="107" t="s">
        <v>458</v>
      </c>
      <c r="F132" s="107" t="s">
        <v>458</v>
      </c>
      <c r="G132" s="107" t="s">
        <v>483</v>
      </c>
      <c r="H132" s="107" t="s">
        <v>677</v>
      </c>
      <c r="I132" s="107" t="s">
        <v>678</v>
      </c>
      <c r="J132" s="107" t="s">
        <v>484</v>
      </c>
      <c r="K132" s="107" t="s">
        <v>458</v>
      </c>
      <c r="L132" s="107" t="s">
        <v>458</v>
      </c>
      <c r="M132" s="113" t="str">
        <f t="shared" si="2"/>
        <v>View on Google Map</v>
      </c>
    </row>
    <row r="133" spans="1:13" x14ac:dyDescent="0.2">
      <c r="A133" s="107">
        <v>1606</v>
      </c>
      <c r="B133" s="107" t="s">
        <v>679</v>
      </c>
      <c r="C133" s="107" t="s">
        <v>458</v>
      </c>
      <c r="D133" s="107" t="s">
        <v>458</v>
      </c>
      <c r="E133" s="107" t="s">
        <v>458</v>
      </c>
      <c r="F133" s="107" t="s">
        <v>458</v>
      </c>
      <c r="G133" s="107" t="s">
        <v>483</v>
      </c>
      <c r="H133" s="107" t="s">
        <v>680</v>
      </c>
      <c r="I133" s="107" t="s">
        <v>681</v>
      </c>
      <c r="J133" s="107" t="s">
        <v>484</v>
      </c>
      <c r="K133" s="107" t="s">
        <v>458</v>
      </c>
      <c r="L133" s="107" t="s">
        <v>458</v>
      </c>
      <c r="M133" s="113" t="str">
        <f t="shared" si="2"/>
        <v>View on Google Map</v>
      </c>
    </row>
    <row r="134" spans="1:13" x14ac:dyDescent="0.2">
      <c r="A134" s="107">
        <v>1604</v>
      </c>
      <c r="B134" s="107" t="s">
        <v>682</v>
      </c>
      <c r="C134" s="107" t="s">
        <v>458</v>
      </c>
      <c r="D134" s="107" t="s">
        <v>458</v>
      </c>
      <c r="E134" s="107" t="s">
        <v>458</v>
      </c>
      <c r="F134" s="107" t="s">
        <v>458</v>
      </c>
      <c r="G134" s="107" t="s">
        <v>483</v>
      </c>
      <c r="H134" s="107" t="s">
        <v>683</v>
      </c>
      <c r="I134" s="107" t="s">
        <v>684</v>
      </c>
      <c r="J134" s="107" t="s">
        <v>484</v>
      </c>
      <c r="K134" s="107" t="s">
        <v>458</v>
      </c>
      <c r="L134" s="107" t="s">
        <v>458</v>
      </c>
      <c r="M134" s="113" t="str">
        <f t="shared" si="2"/>
        <v>View on Google Map</v>
      </c>
    </row>
    <row r="135" spans="1:13" x14ac:dyDescent="0.2">
      <c r="A135" s="107">
        <v>24</v>
      </c>
      <c r="B135" s="107" t="s">
        <v>685</v>
      </c>
      <c r="C135" s="107" t="s">
        <v>458</v>
      </c>
      <c r="D135" s="107" t="s">
        <v>458</v>
      </c>
      <c r="E135" s="107" t="s">
        <v>458</v>
      </c>
      <c r="F135" s="107" t="s">
        <v>458</v>
      </c>
      <c r="G135" s="107" t="s">
        <v>483</v>
      </c>
      <c r="H135" s="107" t="s">
        <v>458</v>
      </c>
      <c r="I135" s="107" t="s">
        <v>458</v>
      </c>
      <c r="J135" s="107" t="s">
        <v>484</v>
      </c>
      <c r="K135" s="107" t="s">
        <v>458</v>
      </c>
      <c r="L135" s="107" t="s">
        <v>458</v>
      </c>
      <c r="M135" s="113" t="str">
        <f t="shared" si="2"/>
        <v>View on Google Map</v>
      </c>
    </row>
    <row r="136" spans="1:13" x14ac:dyDescent="0.2">
      <c r="A136" s="107">
        <v>143</v>
      </c>
      <c r="B136" s="107" t="s">
        <v>686</v>
      </c>
      <c r="C136" s="107" t="s">
        <v>687</v>
      </c>
      <c r="D136" s="107">
        <v>68.650000000000006</v>
      </c>
      <c r="E136" s="107">
        <v>-148.5</v>
      </c>
      <c r="F136" s="107">
        <v>525</v>
      </c>
      <c r="G136" s="107" t="s">
        <v>469</v>
      </c>
      <c r="H136" s="107" t="s">
        <v>458</v>
      </c>
      <c r="I136" s="107" t="s">
        <v>458</v>
      </c>
      <c r="J136" s="107" t="s">
        <v>484</v>
      </c>
      <c r="K136" s="107" t="s">
        <v>458</v>
      </c>
      <c r="L136" s="107" t="s">
        <v>485</v>
      </c>
      <c r="M136" s="113" t="str">
        <f t="shared" si="2"/>
        <v>View on Google Map</v>
      </c>
    </row>
    <row r="137" spans="1:13" x14ac:dyDescent="0.2">
      <c r="A137" s="107">
        <v>464</v>
      </c>
      <c r="B137" s="107" t="s">
        <v>688</v>
      </c>
      <c r="C137" s="107" t="s">
        <v>458</v>
      </c>
      <c r="D137" s="107">
        <v>68.793719999999993</v>
      </c>
      <c r="E137" s="107">
        <v>-149.47560999999999</v>
      </c>
      <c r="F137" s="107">
        <v>702</v>
      </c>
      <c r="G137" s="107" t="s">
        <v>469</v>
      </c>
      <c r="H137" s="107" t="s">
        <v>458</v>
      </c>
      <c r="I137" s="107" t="s">
        <v>458</v>
      </c>
      <c r="J137" s="107" t="s">
        <v>470</v>
      </c>
      <c r="K137" s="107" t="s">
        <v>458</v>
      </c>
      <c r="L137" s="107" t="s">
        <v>458</v>
      </c>
      <c r="M137" s="113" t="str">
        <f t="shared" si="2"/>
        <v>View on Google Map</v>
      </c>
    </row>
    <row r="138" spans="1:13" x14ac:dyDescent="0.2">
      <c r="A138" s="107">
        <v>465</v>
      </c>
      <c r="B138" s="107" t="s">
        <v>689</v>
      </c>
      <c r="C138" s="107" t="s">
        <v>458</v>
      </c>
      <c r="D138" s="107">
        <v>68.796220000000005</v>
      </c>
      <c r="E138" s="107">
        <v>-149.48222000000001</v>
      </c>
      <c r="F138" s="107">
        <v>698</v>
      </c>
      <c r="G138" s="107" t="s">
        <v>469</v>
      </c>
      <c r="H138" s="107" t="s">
        <v>458</v>
      </c>
      <c r="I138" s="107" t="s">
        <v>458</v>
      </c>
      <c r="J138" s="107" t="s">
        <v>470</v>
      </c>
      <c r="K138" s="107" t="s">
        <v>458</v>
      </c>
      <c r="L138" s="107" t="s">
        <v>458</v>
      </c>
      <c r="M138" s="113" t="str">
        <f t="shared" si="2"/>
        <v>View on Google Map</v>
      </c>
    </row>
    <row r="139" spans="1:13" x14ac:dyDescent="0.2">
      <c r="A139" s="107">
        <v>466</v>
      </c>
      <c r="B139" s="107" t="s">
        <v>690</v>
      </c>
      <c r="C139" s="107" t="s">
        <v>458</v>
      </c>
      <c r="D139" s="107">
        <v>68.798249999999996</v>
      </c>
      <c r="E139" s="107">
        <v>-149.47832</v>
      </c>
      <c r="F139" s="107">
        <v>697</v>
      </c>
      <c r="G139" s="107" t="s">
        <v>469</v>
      </c>
      <c r="H139" s="107" t="s">
        <v>458</v>
      </c>
      <c r="I139" s="107" t="s">
        <v>458</v>
      </c>
      <c r="J139" s="107" t="s">
        <v>470</v>
      </c>
      <c r="K139" s="107" t="s">
        <v>458</v>
      </c>
      <c r="L139" s="107" t="s">
        <v>458</v>
      </c>
      <c r="M139" s="113" t="str">
        <f t="shared" si="2"/>
        <v>View on Google Map</v>
      </c>
    </row>
    <row r="140" spans="1:13" x14ac:dyDescent="0.2">
      <c r="A140" s="107">
        <v>467</v>
      </c>
      <c r="B140" s="107" t="s">
        <v>691</v>
      </c>
      <c r="C140" s="107" t="s">
        <v>458</v>
      </c>
      <c r="D140" s="107">
        <v>68.794659999999993</v>
      </c>
      <c r="E140" s="107">
        <v>-149.46985000000001</v>
      </c>
      <c r="F140" s="107">
        <v>702</v>
      </c>
      <c r="G140" s="107" t="s">
        <v>469</v>
      </c>
      <c r="H140" s="107" t="s">
        <v>458</v>
      </c>
      <c r="I140" s="107" t="s">
        <v>458</v>
      </c>
      <c r="J140" s="107" t="s">
        <v>470</v>
      </c>
      <c r="K140" s="107" t="s">
        <v>458</v>
      </c>
      <c r="L140" s="107" t="s">
        <v>458</v>
      </c>
      <c r="M140" s="113" t="str">
        <f t="shared" si="2"/>
        <v>View on Google Map</v>
      </c>
    </row>
    <row r="141" spans="1:13" x14ac:dyDescent="0.2">
      <c r="A141" s="107">
        <v>468</v>
      </c>
      <c r="B141" s="107" t="s">
        <v>692</v>
      </c>
      <c r="C141" s="107" t="s">
        <v>458</v>
      </c>
      <c r="D141" s="107">
        <v>68.797669999999997</v>
      </c>
      <c r="E141" s="107">
        <v>-149.46574000000001</v>
      </c>
      <c r="F141" s="107">
        <v>692</v>
      </c>
      <c r="G141" s="107" t="s">
        <v>469</v>
      </c>
      <c r="H141" s="107" t="s">
        <v>458</v>
      </c>
      <c r="I141" s="107" t="s">
        <v>458</v>
      </c>
      <c r="J141" s="107" t="s">
        <v>470</v>
      </c>
      <c r="K141" s="107" t="s">
        <v>458</v>
      </c>
      <c r="L141" s="107" t="s">
        <v>458</v>
      </c>
      <c r="M141" s="113" t="str">
        <f t="shared" si="2"/>
        <v>View on Google Map</v>
      </c>
    </row>
    <row r="142" spans="1:13" x14ac:dyDescent="0.2">
      <c r="A142" s="107">
        <v>469</v>
      </c>
      <c r="B142" s="107" t="s">
        <v>693</v>
      </c>
      <c r="C142" s="107" t="s">
        <v>458</v>
      </c>
      <c r="D142" s="107">
        <v>68.802390000000003</v>
      </c>
      <c r="E142" s="107">
        <v>-149.46473</v>
      </c>
      <c r="F142" s="107">
        <v>683</v>
      </c>
      <c r="G142" s="107" t="s">
        <v>469</v>
      </c>
      <c r="H142" s="107" t="s">
        <v>458</v>
      </c>
      <c r="I142" s="107" t="s">
        <v>458</v>
      </c>
      <c r="J142" s="107" t="s">
        <v>470</v>
      </c>
      <c r="K142" s="107" t="s">
        <v>458</v>
      </c>
      <c r="L142" s="107" t="s">
        <v>458</v>
      </c>
      <c r="M142" s="113" t="str">
        <f t="shared" si="2"/>
        <v>View on Google Map</v>
      </c>
    </row>
    <row r="143" spans="1:13" x14ac:dyDescent="0.2">
      <c r="A143" s="107">
        <v>406</v>
      </c>
      <c r="B143" s="107" t="s">
        <v>694</v>
      </c>
      <c r="C143" s="107" t="s">
        <v>458</v>
      </c>
      <c r="D143" s="107" t="s">
        <v>458</v>
      </c>
      <c r="E143" s="107" t="s">
        <v>458</v>
      </c>
      <c r="F143" s="107" t="s">
        <v>458</v>
      </c>
      <c r="G143" s="107" t="s">
        <v>469</v>
      </c>
      <c r="H143" s="107" t="s">
        <v>458</v>
      </c>
      <c r="I143" s="107" t="s">
        <v>458</v>
      </c>
      <c r="J143" s="107" t="s">
        <v>484</v>
      </c>
      <c r="K143" s="107" t="s">
        <v>458</v>
      </c>
      <c r="L143" s="107" t="s">
        <v>640</v>
      </c>
      <c r="M143" s="113" t="str">
        <f t="shared" si="2"/>
        <v>View on Google Map</v>
      </c>
    </row>
    <row r="144" spans="1:13" x14ac:dyDescent="0.2">
      <c r="A144" s="107">
        <v>407</v>
      </c>
      <c r="B144" s="107" t="s">
        <v>695</v>
      </c>
      <c r="C144" s="107" t="s">
        <v>458</v>
      </c>
      <c r="D144" s="107" t="s">
        <v>458</v>
      </c>
      <c r="E144" s="107" t="s">
        <v>458</v>
      </c>
      <c r="F144" s="107" t="s">
        <v>458</v>
      </c>
      <c r="G144" s="107" t="s">
        <v>469</v>
      </c>
      <c r="H144" s="107" t="s">
        <v>458</v>
      </c>
      <c r="I144" s="107" t="s">
        <v>458</v>
      </c>
      <c r="J144" s="107" t="s">
        <v>484</v>
      </c>
      <c r="K144" s="107" t="s">
        <v>458</v>
      </c>
      <c r="L144" s="107" t="s">
        <v>640</v>
      </c>
      <c r="M144" s="113" t="str">
        <f t="shared" si="2"/>
        <v>View on Google Map</v>
      </c>
    </row>
    <row r="145" spans="1:13" x14ac:dyDescent="0.2">
      <c r="A145" s="107">
        <v>164</v>
      </c>
      <c r="B145" s="107" t="s">
        <v>696</v>
      </c>
      <c r="C145" s="107" t="s">
        <v>458</v>
      </c>
      <c r="D145" s="107">
        <v>68.683333333333337</v>
      </c>
      <c r="E145" s="107">
        <v>-149.07666666666699</v>
      </c>
      <c r="F145" s="107">
        <v>770</v>
      </c>
      <c r="G145" s="107" t="s">
        <v>469</v>
      </c>
      <c r="H145" s="107" t="s">
        <v>697</v>
      </c>
      <c r="I145" s="107" t="s">
        <v>698</v>
      </c>
      <c r="J145" s="107" t="s">
        <v>484</v>
      </c>
      <c r="K145" s="107">
        <v>274</v>
      </c>
      <c r="L145" s="107" t="s">
        <v>458</v>
      </c>
      <c r="M145" s="113" t="str">
        <f t="shared" si="2"/>
        <v>View on Google Map</v>
      </c>
    </row>
    <row r="146" spans="1:13" x14ac:dyDescent="0.2">
      <c r="A146" s="107">
        <v>165</v>
      </c>
      <c r="B146" s="107" t="s">
        <v>699</v>
      </c>
      <c r="C146" s="107" t="s">
        <v>458</v>
      </c>
      <c r="D146" s="107">
        <v>68.683333333333337</v>
      </c>
      <c r="E146" s="107">
        <v>-149.1</v>
      </c>
      <c r="F146" s="107">
        <v>785</v>
      </c>
      <c r="G146" s="107" t="s">
        <v>469</v>
      </c>
      <c r="H146" s="107" t="s">
        <v>700</v>
      </c>
      <c r="I146" s="107" t="s">
        <v>701</v>
      </c>
      <c r="J146" s="107" t="s">
        <v>484</v>
      </c>
      <c r="K146" s="107">
        <v>275</v>
      </c>
      <c r="L146" s="107" t="s">
        <v>458</v>
      </c>
      <c r="M146" s="113" t="str">
        <f t="shared" si="2"/>
        <v>View on Google Map</v>
      </c>
    </row>
    <row r="147" spans="1:13" x14ac:dyDescent="0.2">
      <c r="A147" s="107">
        <v>166</v>
      </c>
      <c r="B147" s="107" t="s">
        <v>702</v>
      </c>
      <c r="C147" s="107" t="s">
        <v>458</v>
      </c>
      <c r="D147" s="107">
        <v>68.666666666666671</v>
      </c>
      <c r="E147" s="107">
        <v>-149.1</v>
      </c>
      <c r="F147" s="107">
        <v>792</v>
      </c>
      <c r="G147" s="107" t="s">
        <v>469</v>
      </c>
      <c r="H147" s="107" t="s">
        <v>703</v>
      </c>
      <c r="I147" s="107" t="s">
        <v>704</v>
      </c>
      <c r="J147" s="107" t="s">
        <v>484</v>
      </c>
      <c r="K147" s="107">
        <v>276</v>
      </c>
      <c r="L147" s="107" t="s">
        <v>458</v>
      </c>
      <c r="M147" s="113" t="str">
        <f t="shared" si="2"/>
        <v>View on Google Map</v>
      </c>
    </row>
    <row r="148" spans="1:13" x14ac:dyDescent="0.2">
      <c r="A148" s="107">
        <v>167</v>
      </c>
      <c r="B148" s="107" t="s">
        <v>705</v>
      </c>
      <c r="C148" s="107" t="s">
        <v>458</v>
      </c>
      <c r="D148" s="107">
        <v>68.680000000000007</v>
      </c>
      <c r="E148" s="107">
        <v>-149.071666666667</v>
      </c>
      <c r="F148" s="107">
        <v>754</v>
      </c>
      <c r="G148" s="107" t="s">
        <v>469</v>
      </c>
      <c r="H148" s="107" t="s">
        <v>706</v>
      </c>
      <c r="I148" s="107" t="s">
        <v>707</v>
      </c>
      <c r="J148" s="107" t="s">
        <v>484</v>
      </c>
      <c r="K148" s="107" t="s">
        <v>458</v>
      </c>
      <c r="L148" s="107" t="s">
        <v>458</v>
      </c>
      <c r="M148" s="113" t="str">
        <f t="shared" si="2"/>
        <v>View on Google Map</v>
      </c>
    </row>
    <row r="149" spans="1:13" x14ac:dyDescent="0.2">
      <c r="A149" s="107">
        <v>168</v>
      </c>
      <c r="B149" s="107" t="s">
        <v>708</v>
      </c>
      <c r="C149" s="107" t="s">
        <v>458</v>
      </c>
      <c r="D149" s="107">
        <v>68.674999999999997</v>
      </c>
      <c r="E149" s="107">
        <v>-149.06</v>
      </c>
      <c r="F149" s="107" t="s">
        <v>458</v>
      </c>
      <c r="G149" s="107" t="s">
        <v>469</v>
      </c>
      <c r="H149" s="107" t="s">
        <v>709</v>
      </c>
      <c r="I149" s="107" t="s">
        <v>710</v>
      </c>
      <c r="J149" s="107" t="s">
        <v>484</v>
      </c>
      <c r="K149" s="107" t="s">
        <v>458</v>
      </c>
      <c r="L149" s="107" t="s">
        <v>458</v>
      </c>
      <c r="M149" s="113" t="str">
        <f t="shared" si="2"/>
        <v>View on Google Map</v>
      </c>
    </row>
    <row r="150" spans="1:13" x14ac:dyDescent="0.2">
      <c r="A150" s="107">
        <v>124</v>
      </c>
      <c r="B150" s="107" t="s">
        <v>711</v>
      </c>
      <c r="C150" s="107" t="s">
        <v>458</v>
      </c>
      <c r="D150" s="107">
        <v>68.466666666666669</v>
      </c>
      <c r="E150" s="107">
        <v>-149.5</v>
      </c>
      <c r="F150" s="107">
        <v>802</v>
      </c>
      <c r="G150" s="107" t="s">
        <v>469</v>
      </c>
      <c r="H150" s="107" t="s">
        <v>712</v>
      </c>
      <c r="I150" s="107" t="s">
        <v>458</v>
      </c>
      <c r="J150" s="107" t="s">
        <v>484</v>
      </c>
      <c r="K150" s="107" t="s">
        <v>458</v>
      </c>
      <c r="L150" s="107" t="s">
        <v>485</v>
      </c>
      <c r="M150" s="113" t="str">
        <f t="shared" si="2"/>
        <v>View on Google Map</v>
      </c>
    </row>
    <row r="151" spans="1:13" x14ac:dyDescent="0.2">
      <c r="A151" s="107">
        <v>432</v>
      </c>
      <c r="B151" s="107" t="s">
        <v>713</v>
      </c>
      <c r="C151" s="107" t="s">
        <v>458</v>
      </c>
      <c r="D151" s="107" t="s">
        <v>458</v>
      </c>
      <c r="E151" s="107" t="s">
        <v>458</v>
      </c>
      <c r="F151" s="107">
        <v>800</v>
      </c>
      <c r="G151" s="107" t="s">
        <v>469</v>
      </c>
      <c r="H151" s="107" t="s">
        <v>714</v>
      </c>
      <c r="I151" s="107" t="s">
        <v>458</v>
      </c>
      <c r="J151" s="107" t="s">
        <v>484</v>
      </c>
      <c r="K151" s="107" t="s">
        <v>458</v>
      </c>
      <c r="L151" s="107" t="s">
        <v>715</v>
      </c>
      <c r="M151" s="113" t="str">
        <f t="shared" si="2"/>
        <v>View on Google Map</v>
      </c>
    </row>
    <row r="152" spans="1:13" x14ac:dyDescent="0.2">
      <c r="A152" s="107">
        <v>433</v>
      </c>
      <c r="B152" s="107" t="s">
        <v>716</v>
      </c>
      <c r="C152" s="107" t="s">
        <v>458</v>
      </c>
      <c r="D152" s="107" t="s">
        <v>458</v>
      </c>
      <c r="E152" s="107" t="s">
        <v>458</v>
      </c>
      <c r="F152" s="107">
        <v>800</v>
      </c>
      <c r="G152" s="107" t="s">
        <v>469</v>
      </c>
      <c r="H152" s="107" t="s">
        <v>717</v>
      </c>
      <c r="I152" s="107" t="s">
        <v>458</v>
      </c>
      <c r="J152" s="107" t="s">
        <v>484</v>
      </c>
      <c r="K152" s="107" t="s">
        <v>458</v>
      </c>
      <c r="L152" s="107" t="s">
        <v>715</v>
      </c>
      <c r="M152" s="113" t="str">
        <f t="shared" si="2"/>
        <v>View on Google Map</v>
      </c>
    </row>
    <row r="153" spans="1:13" x14ac:dyDescent="0.2">
      <c r="A153" s="107">
        <v>434</v>
      </c>
      <c r="B153" s="107" t="s">
        <v>718</v>
      </c>
      <c r="C153" s="107" t="s">
        <v>458</v>
      </c>
      <c r="D153" s="107" t="s">
        <v>458</v>
      </c>
      <c r="E153" s="107" t="s">
        <v>458</v>
      </c>
      <c r="F153" s="107">
        <v>801</v>
      </c>
      <c r="G153" s="107" t="s">
        <v>469</v>
      </c>
      <c r="H153" s="107" t="s">
        <v>719</v>
      </c>
      <c r="I153" s="107" t="s">
        <v>458</v>
      </c>
      <c r="J153" s="107" t="s">
        <v>484</v>
      </c>
      <c r="K153" s="107" t="s">
        <v>458</v>
      </c>
      <c r="L153" s="107" t="s">
        <v>715</v>
      </c>
      <c r="M153" s="113" t="str">
        <f t="shared" si="2"/>
        <v>View on Google Map</v>
      </c>
    </row>
    <row r="154" spans="1:13" x14ac:dyDescent="0.2">
      <c r="A154" s="107">
        <v>435</v>
      </c>
      <c r="B154" s="107" t="s">
        <v>720</v>
      </c>
      <c r="C154" s="107" t="s">
        <v>458</v>
      </c>
      <c r="D154" s="107" t="s">
        <v>458</v>
      </c>
      <c r="E154" s="107" t="s">
        <v>458</v>
      </c>
      <c r="F154" s="107">
        <v>802</v>
      </c>
      <c r="G154" s="107" t="s">
        <v>469</v>
      </c>
      <c r="H154" s="107" t="s">
        <v>721</v>
      </c>
      <c r="I154" s="107" t="s">
        <v>458</v>
      </c>
      <c r="J154" s="107" t="s">
        <v>484</v>
      </c>
      <c r="K154" s="107" t="s">
        <v>458</v>
      </c>
      <c r="L154" s="107" t="s">
        <v>715</v>
      </c>
      <c r="M154" s="113" t="str">
        <f t="shared" si="2"/>
        <v>View on Google Map</v>
      </c>
    </row>
    <row r="155" spans="1:13" x14ac:dyDescent="0.2">
      <c r="A155" s="107">
        <v>436</v>
      </c>
      <c r="B155" s="107" t="s">
        <v>722</v>
      </c>
      <c r="C155" s="107" t="s">
        <v>458</v>
      </c>
      <c r="D155" s="107" t="s">
        <v>458</v>
      </c>
      <c r="E155" s="107" t="s">
        <v>458</v>
      </c>
      <c r="F155" s="107">
        <v>803</v>
      </c>
      <c r="G155" s="107" t="s">
        <v>469</v>
      </c>
      <c r="H155" s="107" t="s">
        <v>723</v>
      </c>
      <c r="I155" s="107" t="s">
        <v>458</v>
      </c>
      <c r="J155" s="107" t="s">
        <v>484</v>
      </c>
      <c r="K155" s="107" t="s">
        <v>458</v>
      </c>
      <c r="L155" s="107" t="s">
        <v>715</v>
      </c>
      <c r="M155" s="113" t="str">
        <f t="shared" si="2"/>
        <v>View on Google Map</v>
      </c>
    </row>
    <row r="156" spans="1:13" x14ac:dyDescent="0.2">
      <c r="A156" s="107">
        <v>437</v>
      </c>
      <c r="B156" s="107" t="s">
        <v>724</v>
      </c>
      <c r="C156" s="107" t="s">
        <v>458</v>
      </c>
      <c r="D156" s="107" t="s">
        <v>458</v>
      </c>
      <c r="E156" s="107" t="s">
        <v>458</v>
      </c>
      <c r="F156" s="107">
        <v>804</v>
      </c>
      <c r="G156" s="107" t="s">
        <v>469</v>
      </c>
      <c r="H156" s="107" t="s">
        <v>725</v>
      </c>
      <c r="I156" s="107" t="s">
        <v>458</v>
      </c>
      <c r="J156" s="107" t="s">
        <v>484</v>
      </c>
      <c r="K156" s="107" t="s">
        <v>458</v>
      </c>
      <c r="L156" s="107" t="s">
        <v>715</v>
      </c>
      <c r="M156" s="113" t="str">
        <f t="shared" si="2"/>
        <v>View on Google Map</v>
      </c>
    </row>
    <row r="157" spans="1:13" x14ac:dyDescent="0.2">
      <c r="A157" s="107">
        <v>438</v>
      </c>
      <c r="B157" s="107" t="s">
        <v>726</v>
      </c>
      <c r="C157" s="107" t="s">
        <v>458</v>
      </c>
      <c r="D157" s="107" t="s">
        <v>458</v>
      </c>
      <c r="E157" s="107" t="s">
        <v>458</v>
      </c>
      <c r="F157" s="107">
        <v>805</v>
      </c>
      <c r="G157" s="107" t="s">
        <v>469</v>
      </c>
      <c r="H157" s="107" t="s">
        <v>727</v>
      </c>
      <c r="I157" s="107" t="s">
        <v>458</v>
      </c>
      <c r="J157" s="107" t="s">
        <v>484</v>
      </c>
      <c r="K157" s="107" t="s">
        <v>458</v>
      </c>
      <c r="L157" s="107" t="s">
        <v>715</v>
      </c>
      <c r="M157" s="113" t="str">
        <f t="shared" si="2"/>
        <v>View on Google Map</v>
      </c>
    </row>
    <row r="158" spans="1:13" x14ac:dyDescent="0.2">
      <c r="A158" s="107">
        <v>439</v>
      </c>
      <c r="B158" s="107" t="s">
        <v>728</v>
      </c>
      <c r="C158" s="107" t="s">
        <v>458</v>
      </c>
      <c r="D158" s="107" t="s">
        <v>458</v>
      </c>
      <c r="E158" s="107" t="s">
        <v>458</v>
      </c>
      <c r="F158" s="107">
        <v>807</v>
      </c>
      <c r="G158" s="107" t="s">
        <v>469</v>
      </c>
      <c r="H158" s="107" t="s">
        <v>729</v>
      </c>
      <c r="I158" s="107" t="s">
        <v>458</v>
      </c>
      <c r="J158" s="107" t="s">
        <v>484</v>
      </c>
      <c r="K158" s="107" t="s">
        <v>458</v>
      </c>
      <c r="L158" s="107" t="s">
        <v>715</v>
      </c>
      <c r="M158" s="113" t="str">
        <f t="shared" si="2"/>
        <v>View on Google Map</v>
      </c>
    </row>
    <row r="159" spans="1:13" x14ac:dyDescent="0.2">
      <c r="A159" s="107">
        <v>440</v>
      </c>
      <c r="B159" s="107" t="s">
        <v>730</v>
      </c>
      <c r="C159" s="107" t="s">
        <v>458</v>
      </c>
      <c r="D159" s="107" t="s">
        <v>458</v>
      </c>
      <c r="E159" s="107" t="s">
        <v>458</v>
      </c>
      <c r="F159" s="107">
        <v>805</v>
      </c>
      <c r="G159" s="107" t="s">
        <v>469</v>
      </c>
      <c r="H159" s="107" t="s">
        <v>731</v>
      </c>
      <c r="I159" s="107" t="s">
        <v>458</v>
      </c>
      <c r="J159" s="107" t="s">
        <v>484</v>
      </c>
      <c r="K159" s="107" t="s">
        <v>458</v>
      </c>
      <c r="L159" s="107" t="s">
        <v>715</v>
      </c>
      <c r="M159" s="113" t="str">
        <f t="shared" si="2"/>
        <v>View on Google Map</v>
      </c>
    </row>
    <row r="160" spans="1:13" x14ac:dyDescent="0.2">
      <c r="A160" s="107">
        <v>441</v>
      </c>
      <c r="B160" s="107" t="s">
        <v>732</v>
      </c>
      <c r="C160" s="107" t="s">
        <v>458</v>
      </c>
      <c r="D160" s="107" t="s">
        <v>458</v>
      </c>
      <c r="E160" s="107" t="s">
        <v>458</v>
      </c>
      <c r="F160" s="107">
        <v>805</v>
      </c>
      <c r="G160" s="107" t="s">
        <v>469</v>
      </c>
      <c r="H160" s="107" t="s">
        <v>733</v>
      </c>
      <c r="I160" s="107" t="s">
        <v>458</v>
      </c>
      <c r="J160" s="107" t="s">
        <v>484</v>
      </c>
      <c r="K160" s="107" t="s">
        <v>458</v>
      </c>
      <c r="L160" s="107" t="s">
        <v>715</v>
      </c>
      <c r="M160" s="113" t="str">
        <f t="shared" si="2"/>
        <v>View on Google Map</v>
      </c>
    </row>
    <row r="161" spans="1:14" x14ac:dyDescent="0.2">
      <c r="A161" s="107">
        <v>442</v>
      </c>
      <c r="B161" s="107" t="s">
        <v>734</v>
      </c>
      <c r="C161" s="107" t="s">
        <v>458</v>
      </c>
      <c r="D161" s="107" t="s">
        <v>458</v>
      </c>
      <c r="E161" s="107" t="s">
        <v>458</v>
      </c>
      <c r="F161" s="107">
        <v>805</v>
      </c>
      <c r="G161" s="107" t="s">
        <v>469</v>
      </c>
      <c r="H161" s="107" t="s">
        <v>735</v>
      </c>
      <c r="I161" s="107" t="s">
        <v>458</v>
      </c>
      <c r="J161" s="107" t="s">
        <v>484</v>
      </c>
      <c r="K161" s="107" t="s">
        <v>458</v>
      </c>
      <c r="L161" s="107" t="s">
        <v>715</v>
      </c>
      <c r="M161" s="113" t="str">
        <f t="shared" si="2"/>
        <v>View on Google Map</v>
      </c>
    </row>
    <row r="162" spans="1:14" x14ac:dyDescent="0.2">
      <c r="A162" s="107">
        <v>443</v>
      </c>
      <c r="B162" s="107" t="s">
        <v>736</v>
      </c>
      <c r="C162" s="107" t="s">
        <v>458</v>
      </c>
      <c r="D162" s="107" t="s">
        <v>458</v>
      </c>
      <c r="E162" s="107" t="s">
        <v>458</v>
      </c>
      <c r="F162" s="107">
        <v>812</v>
      </c>
      <c r="G162" s="107" t="s">
        <v>469</v>
      </c>
      <c r="H162" s="107" t="s">
        <v>737</v>
      </c>
      <c r="I162" s="107" t="s">
        <v>458</v>
      </c>
      <c r="J162" s="107" t="s">
        <v>484</v>
      </c>
      <c r="K162" s="107" t="s">
        <v>458</v>
      </c>
      <c r="L162" s="107" t="s">
        <v>715</v>
      </c>
      <c r="M162" s="113" t="str">
        <f t="shared" si="2"/>
        <v>View on Google Map</v>
      </c>
    </row>
    <row r="163" spans="1:14" x14ac:dyDescent="0.2">
      <c r="A163" s="107">
        <v>28</v>
      </c>
      <c r="B163" s="107" t="s">
        <v>738</v>
      </c>
      <c r="C163" s="107" t="s">
        <v>458</v>
      </c>
      <c r="D163" s="107" t="s">
        <v>458</v>
      </c>
      <c r="E163" s="107" t="s">
        <v>458</v>
      </c>
      <c r="F163" s="107">
        <v>1189</v>
      </c>
      <c r="G163" s="107" t="s">
        <v>483</v>
      </c>
      <c r="H163" s="107" t="s">
        <v>739</v>
      </c>
      <c r="I163" s="107" t="s">
        <v>458</v>
      </c>
      <c r="J163" s="107" t="s">
        <v>484</v>
      </c>
      <c r="K163" s="107" t="s">
        <v>458</v>
      </c>
      <c r="L163" s="107" t="s">
        <v>458</v>
      </c>
      <c r="M163" s="113" t="str">
        <f t="shared" si="2"/>
        <v>View on Google Map</v>
      </c>
    </row>
    <row r="164" spans="1:14" x14ac:dyDescent="0.2">
      <c r="A164" s="107">
        <v>29</v>
      </c>
      <c r="B164" s="107" t="s">
        <v>740</v>
      </c>
      <c r="C164" s="107" t="s">
        <v>458</v>
      </c>
      <c r="D164" s="107" t="s">
        <v>458</v>
      </c>
      <c r="E164" s="107" t="s">
        <v>458</v>
      </c>
      <c r="F164" s="107">
        <v>1372</v>
      </c>
      <c r="G164" s="107" t="s">
        <v>483</v>
      </c>
      <c r="H164" s="107" t="s">
        <v>741</v>
      </c>
      <c r="I164" s="107" t="s">
        <v>458</v>
      </c>
      <c r="J164" s="107" t="s">
        <v>484</v>
      </c>
      <c r="K164" s="107" t="s">
        <v>458</v>
      </c>
      <c r="L164" s="107" t="s">
        <v>458</v>
      </c>
      <c r="M164" s="113" t="str">
        <f t="shared" si="2"/>
        <v>View on Google Map</v>
      </c>
    </row>
    <row r="165" spans="1:14" x14ac:dyDescent="0.2">
      <c r="A165" s="107">
        <v>30</v>
      </c>
      <c r="B165" s="107" t="s">
        <v>742</v>
      </c>
      <c r="C165" s="107" t="s">
        <v>458</v>
      </c>
      <c r="D165" s="107" t="s">
        <v>458</v>
      </c>
      <c r="E165" s="107" t="s">
        <v>458</v>
      </c>
      <c r="F165" s="107">
        <v>1463</v>
      </c>
      <c r="G165" s="107" t="s">
        <v>483</v>
      </c>
      <c r="H165" s="107" t="s">
        <v>743</v>
      </c>
      <c r="I165" s="107" t="s">
        <v>458</v>
      </c>
      <c r="J165" s="107" t="s">
        <v>484</v>
      </c>
      <c r="K165" s="107" t="s">
        <v>458</v>
      </c>
      <c r="L165" s="107" t="s">
        <v>458</v>
      </c>
      <c r="M165" s="113" t="str">
        <f t="shared" si="2"/>
        <v>View on Google Map</v>
      </c>
    </row>
    <row r="166" spans="1:14" x14ac:dyDescent="0.2">
      <c r="A166" s="107">
        <v>142</v>
      </c>
      <c r="B166" s="107" t="s">
        <v>744</v>
      </c>
      <c r="C166" s="107" t="s">
        <v>745</v>
      </c>
      <c r="D166" s="107">
        <v>68.53698</v>
      </c>
      <c r="E166" s="107">
        <v>-149.23740000000001</v>
      </c>
      <c r="F166" s="107">
        <v>883</v>
      </c>
      <c r="G166" s="107" t="s">
        <v>469</v>
      </c>
      <c r="H166" s="107" t="s">
        <v>746</v>
      </c>
      <c r="I166" s="107" t="s">
        <v>747</v>
      </c>
      <c r="J166" s="107" t="s">
        <v>484</v>
      </c>
      <c r="K166" s="107" t="s">
        <v>458</v>
      </c>
      <c r="L166" s="107" t="s">
        <v>485</v>
      </c>
      <c r="M166" s="113" t="str">
        <f t="shared" si="2"/>
        <v>View on Google Map</v>
      </c>
    </row>
    <row r="167" spans="1:14" x14ac:dyDescent="0.2">
      <c r="A167" s="107">
        <v>416</v>
      </c>
      <c r="B167" s="107" t="s">
        <v>748</v>
      </c>
      <c r="C167" s="107" t="s">
        <v>749</v>
      </c>
      <c r="D167" s="107">
        <v>68.496079978500006</v>
      </c>
      <c r="E167" s="107">
        <v>-149.60215567200001</v>
      </c>
      <c r="F167" s="107">
        <v>938</v>
      </c>
      <c r="G167" s="107" t="s">
        <v>469</v>
      </c>
      <c r="H167" s="107" t="s">
        <v>750</v>
      </c>
      <c r="I167" s="107" t="s">
        <v>458</v>
      </c>
      <c r="J167" s="107" t="s">
        <v>751</v>
      </c>
      <c r="K167" s="107" t="s">
        <v>458</v>
      </c>
      <c r="L167" s="107" t="s">
        <v>752</v>
      </c>
      <c r="M167" s="113" t="str">
        <f t="shared" si="2"/>
        <v>View on Google Map</v>
      </c>
      <c r="N167" s="107">
        <f>VALUE(MID(B167,5,3))</f>
        <v>100</v>
      </c>
    </row>
    <row r="168" spans="1:14" x14ac:dyDescent="0.2">
      <c r="A168" s="107">
        <v>417</v>
      </c>
      <c r="B168" s="107" t="s">
        <v>753</v>
      </c>
      <c r="C168" s="107" t="s">
        <v>754</v>
      </c>
      <c r="D168" s="107">
        <v>68.491641939700003</v>
      </c>
      <c r="E168" s="107">
        <v>-149.60743984699999</v>
      </c>
      <c r="F168" s="107">
        <v>937</v>
      </c>
      <c r="G168" s="107" t="s">
        <v>469</v>
      </c>
      <c r="H168" s="107" t="s">
        <v>755</v>
      </c>
      <c r="I168" s="107" t="s">
        <v>458</v>
      </c>
      <c r="J168" s="107" t="s">
        <v>751</v>
      </c>
      <c r="K168" s="107" t="s">
        <v>458</v>
      </c>
      <c r="L168" s="107" t="s">
        <v>752</v>
      </c>
      <c r="M168" s="113" t="str">
        <f t="shared" si="2"/>
        <v>View on Google Map</v>
      </c>
      <c r="N168" s="107">
        <f>VALUE(MID(B168,5,3))</f>
        <v>101</v>
      </c>
    </row>
    <row r="169" spans="1:14" x14ac:dyDescent="0.2">
      <c r="A169" s="107">
        <v>418</v>
      </c>
      <c r="B169" s="107" t="s">
        <v>756</v>
      </c>
      <c r="C169" s="107" t="s">
        <v>757</v>
      </c>
      <c r="D169" s="107">
        <v>68.485971524799993</v>
      </c>
      <c r="E169" s="107">
        <v>-149.611957343</v>
      </c>
      <c r="F169" s="107">
        <v>936</v>
      </c>
      <c r="G169" s="107" t="s">
        <v>469</v>
      </c>
      <c r="H169" s="107" t="s">
        <v>458</v>
      </c>
      <c r="I169" s="107" t="s">
        <v>458</v>
      </c>
      <c r="J169" s="107" t="s">
        <v>751</v>
      </c>
      <c r="K169" s="107" t="s">
        <v>458</v>
      </c>
      <c r="L169" s="107" t="s">
        <v>752</v>
      </c>
      <c r="M169" s="113" t="str">
        <f t="shared" si="2"/>
        <v>View on Google Map</v>
      </c>
      <c r="N169" s="107">
        <f>VALUE(MID(B169,5,3))</f>
        <v>102</v>
      </c>
    </row>
    <row r="170" spans="1:14" x14ac:dyDescent="0.2">
      <c r="A170" s="107">
        <v>419</v>
      </c>
      <c r="B170" s="107" t="s">
        <v>758</v>
      </c>
      <c r="C170" s="107" t="s">
        <v>759</v>
      </c>
      <c r="D170" s="107">
        <v>68.486418246300005</v>
      </c>
      <c r="E170" s="107">
        <v>-149.623539768</v>
      </c>
      <c r="F170" s="107">
        <v>934</v>
      </c>
      <c r="G170" s="107" t="s">
        <v>469</v>
      </c>
      <c r="H170" s="107" t="s">
        <v>760</v>
      </c>
      <c r="I170" s="107" t="s">
        <v>458</v>
      </c>
      <c r="J170" s="107" t="s">
        <v>751</v>
      </c>
      <c r="K170" s="107" t="s">
        <v>458</v>
      </c>
      <c r="L170" s="107" t="s">
        <v>752</v>
      </c>
      <c r="M170" s="113" t="str">
        <f t="shared" si="2"/>
        <v>View on Google Map</v>
      </c>
      <c r="N170" s="107">
        <f>VALUE(MID(B170,5,3))</f>
        <v>103</v>
      </c>
    </row>
    <row r="171" spans="1:14" x14ac:dyDescent="0.2">
      <c r="A171" s="107">
        <v>420</v>
      </c>
      <c r="B171" s="107" t="s">
        <v>761</v>
      </c>
      <c r="C171" s="107" t="s">
        <v>762</v>
      </c>
      <c r="D171" s="107">
        <v>68.480358182399996</v>
      </c>
      <c r="E171" s="107">
        <v>-149.621808276</v>
      </c>
      <c r="F171" s="107" t="s">
        <v>458</v>
      </c>
      <c r="G171" s="107" t="s">
        <v>469</v>
      </c>
      <c r="H171" s="107" t="s">
        <v>761</v>
      </c>
      <c r="I171" s="107" t="s">
        <v>458</v>
      </c>
      <c r="J171" s="107" t="s">
        <v>751</v>
      </c>
      <c r="K171" s="107" t="s">
        <v>458</v>
      </c>
      <c r="L171" s="107" t="s">
        <v>752</v>
      </c>
      <c r="M171" s="113" t="str">
        <f t="shared" si="2"/>
        <v>View on Google Map</v>
      </c>
      <c r="N171" s="107">
        <f t="shared" ref="N171:N198" si="3">VALUE(MID(H171,5,3))</f>
        <v>104</v>
      </c>
    </row>
    <row r="172" spans="1:14" x14ac:dyDescent="0.2">
      <c r="A172" s="107">
        <v>421</v>
      </c>
      <c r="B172" s="107" t="s">
        <v>763</v>
      </c>
      <c r="C172" s="107" t="s">
        <v>764</v>
      </c>
      <c r="D172" s="107">
        <v>68.487163894299997</v>
      </c>
      <c r="E172" s="107">
        <v>-149.57470926400001</v>
      </c>
      <c r="F172" s="107" t="s">
        <v>458</v>
      </c>
      <c r="G172" s="107" t="s">
        <v>469</v>
      </c>
      <c r="H172" s="107" t="s">
        <v>763</v>
      </c>
      <c r="I172" s="107" t="s">
        <v>458</v>
      </c>
      <c r="J172" s="107" t="s">
        <v>751</v>
      </c>
      <c r="K172" s="107" t="s">
        <v>458</v>
      </c>
      <c r="L172" s="107" t="s">
        <v>752</v>
      </c>
      <c r="M172" s="113" t="str">
        <f t="shared" si="2"/>
        <v>View on Google Map</v>
      </c>
      <c r="N172" s="107">
        <f t="shared" si="3"/>
        <v>105</v>
      </c>
    </row>
    <row r="173" spans="1:14" x14ac:dyDescent="0.2">
      <c r="A173" s="107">
        <v>422</v>
      </c>
      <c r="B173" s="107" t="s">
        <v>765</v>
      </c>
      <c r="C173" s="107" t="s">
        <v>766</v>
      </c>
      <c r="D173" s="107">
        <v>68.482007853900001</v>
      </c>
      <c r="E173" s="107">
        <v>-149.57357543099999</v>
      </c>
      <c r="F173" s="107" t="s">
        <v>458</v>
      </c>
      <c r="G173" s="107" t="s">
        <v>469</v>
      </c>
      <c r="H173" s="107" t="s">
        <v>765</v>
      </c>
      <c r="I173" s="107" t="s">
        <v>458</v>
      </c>
      <c r="J173" s="107" t="s">
        <v>751</v>
      </c>
      <c r="K173" s="107" t="s">
        <v>458</v>
      </c>
      <c r="L173" s="107" t="s">
        <v>752</v>
      </c>
      <c r="M173" s="113" t="str">
        <f t="shared" si="2"/>
        <v>View on Google Map</v>
      </c>
      <c r="N173" s="107">
        <f t="shared" si="3"/>
        <v>106</v>
      </c>
    </row>
    <row r="174" spans="1:14" x14ac:dyDescent="0.2">
      <c r="A174" s="107">
        <v>423</v>
      </c>
      <c r="B174" s="107" t="s">
        <v>767</v>
      </c>
      <c r="C174" s="107" t="s">
        <v>768</v>
      </c>
      <c r="D174" s="107">
        <v>68.480117783099999</v>
      </c>
      <c r="E174" s="107">
        <v>-149.553733964</v>
      </c>
      <c r="F174" s="107" t="s">
        <v>458</v>
      </c>
      <c r="G174" s="107" t="s">
        <v>469</v>
      </c>
      <c r="H174" s="107" t="s">
        <v>767</v>
      </c>
      <c r="I174" s="107" t="s">
        <v>458</v>
      </c>
      <c r="J174" s="107" t="s">
        <v>751</v>
      </c>
      <c r="K174" s="107" t="s">
        <v>458</v>
      </c>
      <c r="L174" s="107" t="s">
        <v>752</v>
      </c>
      <c r="M174" s="113" t="str">
        <f t="shared" si="2"/>
        <v>View on Google Map</v>
      </c>
      <c r="N174" s="107">
        <f t="shared" si="3"/>
        <v>107</v>
      </c>
    </row>
    <row r="175" spans="1:14" x14ac:dyDescent="0.2">
      <c r="A175" s="107">
        <v>424</v>
      </c>
      <c r="B175" s="107" t="s">
        <v>769</v>
      </c>
      <c r="C175" s="107" t="s">
        <v>770</v>
      </c>
      <c r="D175" s="107">
        <v>68.553470657600002</v>
      </c>
      <c r="E175" s="107">
        <v>-149.16702515599999</v>
      </c>
      <c r="F175" s="107" t="s">
        <v>458</v>
      </c>
      <c r="G175" s="107" t="s">
        <v>469</v>
      </c>
      <c r="H175" s="107" t="s">
        <v>769</v>
      </c>
      <c r="I175" s="107" t="s">
        <v>458</v>
      </c>
      <c r="J175" s="107" t="s">
        <v>751</v>
      </c>
      <c r="K175" s="107" t="s">
        <v>458</v>
      </c>
      <c r="L175" s="107" t="s">
        <v>752</v>
      </c>
      <c r="M175" s="113" t="str">
        <f t="shared" si="2"/>
        <v>View on Google Map</v>
      </c>
      <c r="N175" s="107">
        <f t="shared" si="3"/>
        <v>108</v>
      </c>
    </row>
    <row r="176" spans="1:14" x14ac:dyDescent="0.2">
      <c r="A176" s="107">
        <v>425</v>
      </c>
      <c r="B176" s="107" t="s">
        <v>771</v>
      </c>
      <c r="C176" s="107" t="s">
        <v>772</v>
      </c>
      <c r="D176" s="107">
        <v>68.557082457700005</v>
      </c>
      <c r="E176" s="107">
        <v>-149.154445686</v>
      </c>
      <c r="F176" s="107" t="s">
        <v>458</v>
      </c>
      <c r="G176" s="107" t="s">
        <v>469</v>
      </c>
      <c r="H176" s="107" t="s">
        <v>771</v>
      </c>
      <c r="I176" s="107" t="s">
        <v>458</v>
      </c>
      <c r="J176" s="107" t="s">
        <v>751</v>
      </c>
      <c r="K176" s="107" t="s">
        <v>458</v>
      </c>
      <c r="L176" s="107" t="s">
        <v>752</v>
      </c>
      <c r="M176" s="113" t="str">
        <f t="shared" si="2"/>
        <v>View on Google Map</v>
      </c>
      <c r="N176" s="107">
        <f t="shared" si="3"/>
        <v>109</v>
      </c>
    </row>
    <row r="177" spans="1:14" x14ac:dyDescent="0.2">
      <c r="A177" s="107">
        <v>426</v>
      </c>
      <c r="B177" s="107" t="s">
        <v>773</v>
      </c>
      <c r="C177" s="107" t="s">
        <v>774</v>
      </c>
      <c r="D177" s="107">
        <v>68.732874005799999</v>
      </c>
      <c r="E177" s="107">
        <v>-149.401461627</v>
      </c>
      <c r="F177" s="107" t="s">
        <v>458</v>
      </c>
      <c r="G177" s="107" t="s">
        <v>469</v>
      </c>
      <c r="H177" s="107" t="s">
        <v>773</v>
      </c>
      <c r="I177" s="107" t="s">
        <v>458</v>
      </c>
      <c r="J177" s="107" t="s">
        <v>751</v>
      </c>
      <c r="K177" s="107" t="s">
        <v>458</v>
      </c>
      <c r="L177" s="107" t="s">
        <v>752</v>
      </c>
      <c r="M177" s="113" t="str">
        <f t="shared" si="2"/>
        <v>View on Google Map</v>
      </c>
      <c r="N177" s="107">
        <f t="shared" si="3"/>
        <v>110</v>
      </c>
    </row>
    <row r="178" spans="1:14" x14ac:dyDescent="0.2">
      <c r="A178" s="107">
        <v>427</v>
      </c>
      <c r="B178" s="107" t="s">
        <v>775</v>
      </c>
      <c r="C178" s="107" t="s">
        <v>776</v>
      </c>
      <c r="D178" s="107">
        <v>68.728437910899999</v>
      </c>
      <c r="E178" s="107">
        <v>-149.39298449200001</v>
      </c>
      <c r="F178" s="107" t="s">
        <v>458</v>
      </c>
      <c r="G178" s="107" t="s">
        <v>469</v>
      </c>
      <c r="H178" s="107" t="s">
        <v>775</v>
      </c>
      <c r="I178" s="107" t="s">
        <v>458</v>
      </c>
      <c r="J178" s="107" t="s">
        <v>751</v>
      </c>
      <c r="K178" s="107" t="s">
        <v>458</v>
      </c>
      <c r="L178" s="107" t="s">
        <v>752</v>
      </c>
      <c r="M178" s="113" t="str">
        <f t="shared" si="2"/>
        <v>View on Google Map</v>
      </c>
      <c r="N178" s="107">
        <f t="shared" si="3"/>
        <v>111</v>
      </c>
    </row>
    <row r="179" spans="1:14" x14ac:dyDescent="0.2">
      <c r="A179" s="107">
        <v>428</v>
      </c>
      <c r="B179" s="107" t="s">
        <v>777</v>
      </c>
      <c r="C179" s="107" t="s">
        <v>778</v>
      </c>
      <c r="D179" s="107">
        <v>68.671908805499996</v>
      </c>
      <c r="E179" s="107">
        <v>-149.24817348299999</v>
      </c>
      <c r="F179" s="107" t="s">
        <v>458</v>
      </c>
      <c r="G179" s="107" t="s">
        <v>469</v>
      </c>
      <c r="H179" s="107" t="s">
        <v>777</v>
      </c>
      <c r="I179" s="107" t="s">
        <v>458</v>
      </c>
      <c r="J179" s="107" t="s">
        <v>751</v>
      </c>
      <c r="K179" s="107" t="s">
        <v>458</v>
      </c>
      <c r="L179" s="107" t="s">
        <v>752</v>
      </c>
      <c r="M179" s="113" t="str">
        <f t="shared" si="2"/>
        <v>View on Google Map</v>
      </c>
      <c r="N179" s="107">
        <f t="shared" si="3"/>
        <v>112</v>
      </c>
    </row>
    <row r="180" spans="1:14" x14ac:dyDescent="0.2">
      <c r="A180" s="107">
        <v>429</v>
      </c>
      <c r="B180" s="107" t="s">
        <v>779</v>
      </c>
      <c r="C180" s="107" t="s">
        <v>780</v>
      </c>
      <c r="D180" s="107">
        <v>68.679427639400004</v>
      </c>
      <c r="E180" s="107">
        <v>-149.23947084900001</v>
      </c>
      <c r="F180" s="107" t="s">
        <v>458</v>
      </c>
      <c r="G180" s="107" t="s">
        <v>469</v>
      </c>
      <c r="H180" s="107" t="s">
        <v>779</v>
      </c>
      <c r="I180" s="107" t="s">
        <v>458</v>
      </c>
      <c r="J180" s="107" t="s">
        <v>751</v>
      </c>
      <c r="K180" s="107" t="s">
        <v>458</v>
      </c>
      <c r="L180" s="107" t="s">
        <v>752</v>
      </c>
      <c r="M180" s="113" t="str">
        <f t="shared" si="2"/>
        <v>View on Google Map</v>
      </c>
      <c r="N180" s="107">
        <f t="shared" si="3"/>
        <v>113</v>
      </c>
    </row>
    <row r="181" spans="1:14" x14ac:dyDescent="0.2">
      <c r="A181" s="107">
        <v>430</v>
      </c>
      <c r="B181" s="107" t="s">
        <v>781</v>
      </c>
      <c r="C181" s="107" t="s">
        <v>782</v>
      </c>
      <c r="D181" s="107">
        <v>68.679424428600001</v>
      </c>
      <c r="E181" s="107">
        <v>-149.22969695099999</v>
      </c>
      <c r="F181" s="107" t="s">
        <v>458</v>
      </c>
      <c r="G181" s="107" t="s">
        <v>469</v>
      </c>
      <c r="H181" s="107" t="s">
        <v>781</v>
      </c>
      <c r="I181" s="107" t="s">
        <v>458</v>
      </c>
      <c r="J181" s="107" t="s">
        <v>751</v>
      </c>
      <c r="K181" s="107" t="s">
        <v>458</v>
      </c>
      <c r="L181" s="107" t="s">
        <v>752</v>
      </c>
      <c r="M181" s="113" t="str">
        <f t="shared" si="2"/>
        <v>View on Google Map</v>
      </c>
      <c r="N181" s="107">
        <f t="shared" si="3"/>
        <v>114</v>
      </c>
    </row>
    <row r="182" spans="1:14" x14ac:dyDescent="0.2">
      <c r="A182" s="107">
        <v>398</v>
      </c>
      <c r="B182" s="107" t="s">
        <v>783</v>
      </c>
      <c r="C182" s="107" t="s">
        <v>784</v>
      </c>
      <c r="D182" s="107">
        <v>68.569791782099998</v>
      </c>
      <c r="E182" s="107">
        <v>-149.43938491</v>
      </c>
      <c r="F182" s="107" t="s">
        <v>458</v>
      </c>
      <c r="G182" s="107" t="s">
        <v>469</v>
      </c>
      <c r="H182" s="107" t="s">
        <v>783</v>
      </c>
      <c r="I182" s="107" t="s">
        <v>458</v>
      </c>
      <c r="J182" s="107" t="s">
        <v>751</v>
      </c>
      <c r="K182" s="107" t="s">
        <v>458</v>
      </c>
      <c r="L182" s="107" t="s">
        <v>752</v>
      </c>
      <c r="M182" s="113" t="str">
        <f t="shared" si="2"/>
        <v>View on Google Map</v>
      </c>
      <c r="N182" s="107">
        <f t="shared" si="3"/>
        <v>82</v>
      </c>
    </row>
    <row r="183" spans="1:14" x14ac:dyDescent="0.2">
      <c r="A183" s="107">
        <v>389</v>
      </c>
      <c r="B183" s="107" t="s">
        <v>785</v>
      </c>
      <c r="C183" s="107" t="s">
        <v>786</v>
      </c>
      <c r="D183" s="107">
        <v>68.568883214500005</v>
      </c>
      <c r="E183" s="107">
        <v>-149.432996798</v>
      </c>
      <c r="F183" s="107" t="s">
        <v>458</v>
      </c>
      <c r="G183" s="107" t="s">
        <v>469</v>
      </c>
      <c r="H183" s="107" t="s">
        <v>785</v>
      </c>
      <c r="I183" s="107" t="s">
        <v>458</v>
      </c>
      <c r="J183" s="107" t="s">
        <v>751</v>
      </c>
      <c r="K183" s="107" t="s">
        <v>458</v>
      </c>
      <c r="L183" s="107" t="s">
        <v>752</v>
      </c>
      <c r="M183" s="113" t="str">
        <f t="shared" si="2"/>
        <v>View on Google Map</v>
      </c>
      <c r="N183" s="107">
        <f t="shared" si="3"/>
        <v>83</v>
      </c>
    </row>
    <row r="184" spans="1:14" x14ac:dyDescent="0.2">
      <c r="A184" s="107">
        <v>390</v>
      </c>
      <c r="B184" s="107" t="s">
        <v>787</v>
      </c>
      <c r="C184" s="107" t="s">
        <v>788</v>
      </c>
      <c r="D184" s="107">
        <v>68.571446755099998</v>
      </c>
      <c r="E184" s="107">
        <v>-149.43614776499999</v>
      </c>
      <c r="F184" s="107" t="s">
        <v>458</v>
      </c>
      <c r="G184" s="107" t="s">
        <v>469</v>
      </c>
      <c r="H184" s="107" t="s">
        <v>787</v>
      </c>
      <c r="I184" s="107" t="s">
        <v>458</v>
      </c>
      <c r="J184" s="107" t="s">
        <v>751</v>
      </c>
      <c r="K184" s="107" t="s">
        <v>458</v>
      </c>
      <c r="L184" s="107" t="s">
        <v>752</v>
      </c>
      <c r="M184" s="113" t="str">
        <f t="shared" si="2"/>
        <v>View on Google Map</v>
      </c>
      <c r="N184" s="107">
        <f t="shared" si="3"/>
        <v>84</v>
      </c>
    </row>
    <row r="185" spans="1:14" x14ac:dyDescent="0.2">
      <c r="A185" s="107">
        <v>391</v>
      </c>
      <c r="B185" s="107" t="s">
        <v>789</v>
      </c>
      <c r="C185" s="107" t="s">
        <v>790</v>
      </c>
      <c r="D185" s="107">
        <v>68.600419015400007</v>
      </c>
      <c r="E185" s="107">
        <v>-149.438677388</v>
      </c>
      <c r="F185" s="107" t="s">
        <v>458</v>
      </c>
      <c r="G185" s="107" t="s">
        <v>469</v>
      </c>
      <c r="H185" s="107" t="s">
        <v>789</v>
      </c>
      <c r="I185" s="107" t="s">
        <v>458</v>
      </c>
      <c r="J185" s="107" t="s">
        <v>751</v>
      </c>
      <c r="K185" s="107" t="s">
        <v>458</v>
      </c>
      <c r="L185" s="107" t="s">
        <v>752</v>
      </c>
      <c r="M185" s="113" t="str">
        <f t="shared" si="2"/>
        <v>View on Google Map</v>
      </c>
      <c r="N185" s="107">
        <f t="shared" si="3"/>
        <v>85</v>
      </c>
    </row>
    <row r="186" spans="1:14" x14ac:dyDescent="0.2">
      <c r="A186" s="107">
        <v>392</v>
      </c>
      <c r="B186" s="107" t="s">
        <v>791</v>
      </c>
      <c r="C186" s="107" t="s">
        <v>792</v>
      </c>
      <c r="D186" s="107">
        <v>68.632424610200005</v>
      </c>
      <c r="E186" s="107">
        <v>-149.41874062799999</v>
      </c>
      <c r="F186" s="107" t="s">
        <v>458</v>
      </c>
      <c r="G186" s="107" t="s">
        <v>469</v>
      </c>
      <c r="H186" s="107" t="s">
        <v>791</v>
      </c>
      <c r="I186" s="107" t="s">
        <v>458</v>
      </c>
      <c r="J186" s="107" t="s">
        <v>751</v>
      </c>
      <c r="K186" s="107" t="s">
        <v>458</v>
      </c>
      <c r="L186" s="107" t="s">
        <v>752</v>
      </c>
      <c r="M186" s="113" t="str">
        <f t="shared" si="2"/>
        <v>View on Google Map</v>
      </c>
      <c r="N186" s="107">
        <f t="shared" si="3"/>
        <v>86</v>
      </c>
    </row>
    <row r="187" spans="1:14" x14ac:dyDescent="0.2">
      <c r="A187" s="107">
        <v>393</v>
      </c>
      <c r="B187" s="107" t="s">
        <v>793</v>
      </c>
      <c r="C187" s="107" t="s">
        <v>794</v>
      </c>
      <c r="D187" s="107">
        <v>68.505704965899994</v>
      </c>
      <c r="E187" s="107">
        <v>-149.516276081</v>
      </c>
      <c r="F187" s="107" t="s">
        <v>458</v>
      </c>
      <c r="G187" s="107" t="s">
        <v>469</v>
      </c>
      <c r="H187" s="107" t="s">
        <v>793</v>
      </c>
      <c r="I187" s="107" t="s">
        <v>458</v>
      </c>
      <c r="J187" s="107" t="s">
        <v>751</v>
      </c>
      <c r="K187" s="107" t="s">
        <v>458</v>
      </c>
      <c r="L187" s="107" t="s">
        <v>752</v>
      </c>
      <c r="M187" s="113" t="str">
        <f t="shared" si="2"/>
        <v>View on Google Map</v>
      </c>
      <c r="N187" s="107">
        <f t="shared" si="3"/>
        <v>87</v>
      </c>
    </row>
    <row r="188" spans="1:14" x14ac:dyDescent="0.2">
      <c r="A188" s="107">
        <v>394</v>
      </c>
      <c r="B188" s="107" t="s">
        <v>795</v>
      </c>
      <c r="C188" s="107" t="s">
        <v>796</v>
      </c>
      <c r="D188" s="107">
        <v>68.509234808599999</v>
      </c>
      <c r="E188" s="107">
        <v>-149.58917678500001</v>
      </c>
      <c r="F188" s="107" t="s">
        <v>458</v>
      </c>
      <c r="G188" s="107" t="s">
        <v>469</v>
      </c>
      <c r="H188" s="107" t="s">
        <v>795</v>
      </c>
      <c r="I188" s="107" t="s">
        <v>458</v>
      </c>
      <c r="J188" s="107" t="s">
        <v>751</v>
      </c>
      <c r="K188" s="107" t="s">
        <v>458</v>
      </c>
      <c r="L188" s="107" t="s">
        <v>752</v>
      </c>
      <c r="M188" s="113" t="str">
        <f t="shared" si="2"/>
        <v>View on Google Map</v>
      </c>
      <c r="N188" s="107">
        <f t="shared" si="3"/>
        <v>88</v>
      </c>
    </row>
    <row r="189" spans="1:14" x14ac:dyDescent="0.2">
      <c r="A189" s="107">
        <v>395</v>
      </c>
      <c r="B189" s="107" t="s">
        <v>797</v>
      </c>
      <c r="C189" s="107" t="s">
        <v>798</v>
      </c>
      <c r="D189" s="107">
        <v>68.525650531300002</v>
      </c>
      <c r="E189" s="107">
        <v>-149.54161982299999</v>
      </c>
      <c r="F189" s="107" t="s">
        <v>458</v>
      </c>
      <c r="G189" s="107" t="s">
        <v>469</v>
      </c>
      <c r="H189" s="107" t="s">
        <v>797</v>
      </c>
      <c r="I189" s="107" t="s">
        <v>458</v>
      </c>
      <c r="J189" s="107" t="s">
        <v>751</v>
      </c>
      <c r="K189" s="107" t="s">
        <v>458</v>
      </c>
      <c r="L189" s="107" t="s">
        <v>752</v>
      </c>
      <c r="M189" s="113" t="str">
        <f t="shared" si="2"/>
        <v>View on Google Map</v>
      </c>
      <c r="N189" s="107">
        <f t="shared" si="3"/>
        <v>89</v>
      </c>
    </row>
    <row r="190" spans="1:14" x14ac:dyDescent="0.2">
      <c r="A190" s="107">
        <v>396</v>
      </c>
      <c r="B190" s="107" t="s">
        <v>799</v>
      </c>
      <c r="C190" s="107" t="s">
        <v>800</v>
      </c>
      <c r="D190" s="107">
        <v>68.531020060399996</v>
      </c>
      <c r="E190" s="107">
        <v>-149.54062336999999</v>
      </c>
      <c r="F190" s="107" t="s">
        <v>458</v>
      </c>
      <c r="G190" s="107" t="s">
        <v>469</v>
      </c>
      <c r="H190" s="107" t="s">
        <v>799</v>
      </c>
      <c r="I190" s="107" t="s">
        <v>458</v>
      </c>
      <c r="J190" s="107" t="s">
        <v>751</v>
      </c>
      <c r="K190" s="107" t="s">
        <v>458</v>
      </c>
      <c r="L190" s="107" t="s">
        <v>752</v>
      </c>
      <c r="M190" s="113" t="str">
        <f t="shared" si="2"/>
        <v>View on Google Map</v>
      </c>
      <c r="N190" s="107">
        <f t="shared" si="3"/>
        <v>90</v>
      </c>
    </row>
    <row r="191" spans="1:14" x14ac:dyDescent="0.2">
      <c r="A191" s="107">
        <v>397</v>
      </c>
      <c r="B191" s="107" t="s">
        <v>801</v>
      </c>
      <c r="C191" s="107" t="s">
        <v>802</v>
      </c>
      <c r="D191" s="107">
        <v>68.623892844400004</v>
      </c>
      <c r="E191" s="107">
        <v>-149.46955988600001</v>
      </c>
      <c r="F191" s="107" t="s">
        <v>458</v>
      </c>
      <c r="G191" s="107" t="s">
        <v>469</v>
      </c>
      <c r="H191" s="107" t="s">
        <v>801</v>
      </c>
      <c r="I191" s="107" t="s">
        <v>458</v>
      </c>
      <c r="J191" s="107" t="s">
        <v>751</v>
      </c>
      <c r="K191" s="107" t="s">
        <v>458</v>
      </c>
      <c r="L191" s="107" t="s">
        <v>752</v>
      </c>
      <c r="M191" s="113" t="str">
        <f t="shared" si="2"/>
        <v>View on Google Map</v>
      </c>
      <c r="N191" s="107">
        <f t="shared" si="3"/>
        <v>91</v>
      </c>
    </row>
    <row r="192" spans="1:14" x14ac:dyDescent="0.2">
      <c r="A192" s="107">
        <v>408</v>
      </c>
      <c r="B192" s="107" t="s">
        <v>803</v>
      </c>
      <c r="C192" s="107" t="s">
        <v>804</v>
      </c>
      <c r="D192" s="107">
        <v>68.606945965400001</v>
      </c>
      <c r="E192" s="107">
        <v>-149.195806014</v>
      </c>
      <c r="F192" s="107" t="s">
        <v>458</v>
      </c>
      <c r="G192" s="107" t="s">
        <v>469</v>
      </c>
      <c r="H192" s="107" t="s">
        <v>803</v>
      </c>
      <c r="I192" s="107" t="s">
        <v>458</v>
      </c>
      <c r="J192" s="107" t="s">
        <v>751</v>
      </c>
      <c r="K192" s="107" t="s">
        <v>458</v>
      </c>
      <c r="L192" s="107" t="s">
        <v>752</v>
      </c>
      <c r="M192" s="113" t="str">
        <f t="shared" si="2"/>
        <v>View on Google Map</v>
      </c>
      <c r="N192" s="107">
        <f t="shared" si="3"/>
        <v>92</v>
      </c>
    </row>
    <row r="193" spans="1:14" x14ac:dyDescent="0.2">
      <c r="A193" s="107">
        <v>409</v>
      </c>
      <c r="B193" s="107" t="s">
        <v>805</v>
      </c>
      <c r="C193" s="107" t="s">
        <v>806</v>
      </c>
      <c r="D193" s="107">
        <v>68.613688053999994</v>
      </c>
      <c r="E193" s="107">
        <v>-149.20287565500001</v>
      </c>
      <c r="F193" s="107" t="s">
        <v>458</v>
      </c>
      <c r="G193" s="107" t="s">
        <v>469</v>
      </c>
      <c r="H193" s="107" t="s">
        <v>805</v>
      </c>
      <c r="I193" s="107" t="s">
        <v>458</v>
      </c>
      <c r="J193" s="107" t="s">
        <v>751</v>
      </c>
      <c r="K193" s="107" t="s">
        <v>458</v>
      </c>
      <c r="L193" s="107" t="s">
        <v>752</v>
      </c>
      <c r="M193" s="113" t="str">
        <f t="shared" si="2"/>
        <v>View on Google Map</v>
      </c>
      <c r="N193" s="107">
        <f t="shared" si="3"/>
        <v>93</v>
      </c>
    </row>
    <row r="194" spans="1:14" x14ac:dyDescent="0.2">
      <c r="A194" s="107">
        <v>410</v>
      </c>
      <c r="B194" s="107" t="s">
        <v>807</v>
      </c>
      <c r="C194" s="107" t="s">
        <v>808</v>
      </c>
      <c r="D194" s="107">
        <v>68.617322837200007</v>
      </c>
      <c r="E194" s="107">
        <v>-149.21640989900001</v>
      </c>
      <c r="F194" s="107" t="s">
        <v>458</v>
      </c>
      <c r="G194" s="107" t="s">
        <v>469</v>
      </c>
      <c r="H194" s="107" t="s">
        <v>807</v>
      </c>
      <c r="I194" s="107" t="s">
        <v>458</v>
      </c>
      <c r="J194" s="107" t="s">
        <v>751</v>
      </c>
      <c r="K194" s="107" t="s">
        <v>458</v>
      </c>
      <c r="L194" s="107" t="s">
        <v>752</v>
      </c>
      <c r="M194" s="113" t="str">
        <f t="shared" si="2"/>
        <v>View on Google Map</v>
      </c>
      <c r="N194" s="107">
        <f t="shared" si="3"/>
        <v>94</v>
      </c>
    </row>
    <row r="195" spans="1:14" x14ac:dyDescent="0.2">
      <c r="A195" s="107">
        <v>411</v>
      </c>
      <c r="B195" s="107" t="s">
        <v>809</v>
      </c>
      <c r="C195" s="107" t="s">
        <v>810</v>
      </c>
      <c r="D195" s="107">
        <v>68.613551663999999</v>
      </c>
      <c r="E195" s="107">
        <v>-149.21844056</v>
      </c>
      <c r="F195" s="107" t="s">
        <v>458</v>
      </c>
      <c r="G195" s="107" t="s">
        <v>469</v>
      </c>
      <c r="H195" s="107" t="s">
        <v>809</v>
      </c>
      <c r="I195" s="107" t="s">
        <v>458</v>
      </c>
      <c r="J195" s="107" t="s">
        <v>751</v>
      </c>
      <c r="K195" s="107" t="s">
        <v>458</v>
      </c>
      <c r="L195" s="107" t="s">
        <v>752</v>
      </c>
      <c r="M195" s="113" t="str">
        <f t="shared" ref="M195:M258" si="4">HYPERLINK("http://maps.google.com/maps?q="&amp;D195&amp;","&amp;E195,"View on Google Map")</f>
        <v>View on Google Map</v>
      </c>
      <c r="N195" s="107">
        <f t="shared" si="3"/>
        <v>95</v>
      </c>
    </row>
    <row r="196" spans="1:14" x14ac:dyDescent="0.2">
      <c r="A196" s="107">
        <v>412</v>
      </c>
      <c r="B196" s="107" t="s">
        <v>811</v>
      </c>
      <c r="C196" s="107" t="s">
        <v>812</v>
      </c>
      <c r="D196" s="107">
        <v>68.609572079800003</v>
      </c>
      <c r="E196" s="107">
        <v>-149.20865205600001</v>
      </c>
      <c r="F196" s="107" t="s">
        <v>458</v>
      </c>
      <c r="G196" s="107" t="s">
        <v>469</v>
      </c>
      <c r="H196" s="107" t="s">
        <v>811</v>
      </c>
      <c r="I196" s="107" t="s">
        <v>458</v>
      </c>
      <c r="J196" s="107" t="s">
        <v>751</v>
      </c>
      <c r="K196" s="107" t="s">
        <v>458</v>
      </c>
      <c r="L196" s="107" t="s">
        <v>752</v>
      </c>
      <c r="M196" s="113" t="str">
        <f t="shared" si="4"/>
        <v>View on Google Map</v>
      </c>
      <c r="N196" s="107">
        <f t="shared" si="3"/>
        <v>96</v>
      </c>
    </row>
    <row r="197" spans="1:14" x14ac:dyDescent="0.2">
      <c r="A197" s="107">
        <v>413</v>
      </c>
      <c r="B197" s="107" t="s">
        <v>813</v>
      </c>
      <c r="C197" s="107" t="s">
        <v>814</v>
      </c>
      <c r="D197" s="107">
        <v>68.607097540200002</v>
      </c>
      <c r="E197" s="107">
        <v>-149.21482030499999</v>
      </c>
      <c r="F197" s="107" t="s">
        <v>458</v>
      </c>
      <c r="G197" s="107" t="s">
        <v>469</v>
      </c>
      <c r="H197" s="107" t="s">
        <v>813</v>
      </c>
      <c r="I197" s="107" t="s">
        <v>458</v>
      </c>
      <c r="J197" s="107" t="s">
        <v>751</v>
      </c>
      <c r="K197" s="107" t="s">
        <v>458</v>
      </c>
      <c r="L197" s="107" t="s">
        <v>752</v>
      </c>
      <c r="M197" s="113" t="str">
        <f t="shared" si="4"/>
        <v>View on Google Map</v>
      </c>
      <c r="N197" s="107">
        <f t="shared" si="3"/>
        <v>97</v>
      </c>
    </row>
    <row r="198" spans="1:14" x14ac:dyDescent="0.2">
      <c r="A198" s="107">
        <v>414</v>
      </c>
      <c r="B198" s="107" t="s">
        <v>815</v>
      </c>
      <c r="C198" s="107" t="s">
        <v>816</v>
      </c>
      <c r="D198" s="107">
        <v>68.605198711400007</v>
      </c>
      <c r="E198" s="107">
        <v>-149.27215046800001</v>
      </c>
      <c r="F198" s="107" t="s">
        <v>458</v>
      </c>
      <c r="G198" s="107" t="s">
        <v>469</v>
      </c>
      <c r="H198" s="107" t="s">
        <v>815</v>
      </c>
      <c r="I198" s="107" t="s">
        <v>458</v>
      </c>
      <c r="J198" s="107" t="s">
        <v>751</v>
      </c>
      <c r="K198" s="107" t="s">
        <v>458</v>
      </c>
      <c r="L198" s="107" t="s">
        <v>752</v>
      </c>
      <c r="M198" s="113" t="str">
        <f t="shared" si="4"/>
        <v>View on Google Map</v>
      </c>
      <c r="N198" s="107">
        <f t="shared" si="3"/>
        <v>98</v>
      </c>
    </row>
    <row r="199" spans="1:14" x14ac:dyDescent="0.2">
      <c r="A199" s="107">
        <v>415</v>
      </c>
      <c r="B199" s="107" t="s">
        <v>817</v>
      </c>
      <c r="C199" s="107" t="s">
        <v>818</v>
      </c>
      <c r="D199" s="107">
        <v>68.498375922400001</v>
      </c>
      <c r="E199" s="107">
        <v>-149.59842284699999</v>
      </c>
      <c r="F199" s="107">
        <v>947</v>
      </c>
      <c r="G199" s="107" t="s">
        <v>469</v>
      </c>
      <c r="H199" s="107" t="s">
        <v>819</v>
      </c>
      <c r="I199" s="107" t="s">
        <v>458</v>
      </c>
      <c r="J199" s="107" t="s">
        <v>751</v>
      </c>
      <c r="K199" s="107" t="s">
        <v>458</v>
      </c>
      <c r="L199" s="107" t="s">
        <v>752</v>
      </c>
      <c r="M199" s="113" t="str">
        <f t="shared" si="4"/>
        <v>View on Google Map</v>
      </c>
      <c r="N199" s="107">
        <f>VALUE(MID(B199,5,3))</f>
        <v>99</v>
      </c>
    </row>
    <row r="200" spans="1:14" x14ac:dyDescent="0.2">
      <c r="A200" s="107">
        <v>402</v>
      </c>
      <c r="B200" s="107" t="s">
        <v>820</v>
      </c>
      <c r="C200" s="107" t="s">
        <v>458</v>
      </c>
      <c r="D200" s="107" t="s">
        <v>458</v>
      </c>
      <c r="E200" s="107" t="s">
        <v>458</v>
      </c>
      <c r="F200" s="107" t="s">
        <v>458</v>
      </c>
      <c r="G200" s="107" t="s">
        <v>469</v>
      </c>
      <c r="H200" s="107" t="s">
        <v>458</v>
      </c>
      <c r="I200" s="107" t="s">
        <v>458</v>
      </c>
      <c r="J200" s="107" t="s">
        <v>484</v>
      </c>
      <c r="K200" s="107" t="s">
        <v>458</v>
      </c>
      <c r="L200" s="107" t="s">
        <v>638</v>
      </c>
      <c r="M200" s="113" t="str">
        <f t="shared" si="4"/>
        <v>View on Google Map</v>
      </c>
    </row>
    <row r="201" spans="1:14" x14ac:dyDescent="0.2">
      <c r="A201" s="107">
        <v>8</v>
      </c>
      <c r="B201" s="107" t="s">
        <v>821</v>
      </c>
      <c r="C201" s="107" t="s">
        <v>482</v>
      </c>
      <c r="D201" s="107">
        <v>69.150000000000006</v>
      </c>
      <c r="E201" s="107">
        <v>-148.83333333333334</v>
      </c>
      <c r="F201" s="107">
        <v>290</v>
      </c>
      <c r="G201" s="107" t="s">
        <v>483</v>
      </c>
      <c r="H201" s="107" t="s">
        <v>458</v>
      </c>
      <c r="I201" s="107" t="s">
        <v>458</v>
      </c>
      <c r="J201" s="107" t="s">
        <v>484</v>
      </c>
      <c r="K201" s="107" t="s">
        <v>458</v>
      </c>
      <c r="L201" s="107" t="s">
        <v>485</v>
      </c>
      <c r="M201" s="113" t="str">
        <f t="shared" si="4"/>
        <v>View on Google Map</v>
      </c>
    </row>
    <row r="202" spans="1:14" x14ac:dyDescent="0.2">
      <c r="A202" s="107">
        <v>219</v>
      </c>
      <c r="B202" s="107" t="s">
        <v>822</v>
      </c>
      <c r="C202" s="107" t="s">
        <v>458</v>
      </c>
      <c r="D202" s="107">
        <v>69.8</v>
      </c>
      <c r="E202" s="107">
        <v>-151.83333333333334</v>
      </c>
      <c r="F202" s="107">
        <v>60.365853658536601</v>
      </c>
      <c r="G202" s="107" t="s">
        <v>469</v>
      </c>
      <c r="H202" s="107" t="s">
        <v>823</v>
      </c>
      <c r="I202" s="107" t="s">
        <v>458</v>
      </c>
      <c r="J202" s="107" t="s">
        <v>484</v>
      </c>
      <c r="K202" s="107" t="s">
        <v>458</v>
      </c>
      <c r="L202" s="107" t="s">
        <v>824</v>
      </c>
      <c r="M202" s="113" t="str">
        <f t="shared" si="4"/>
        <v>View on Google Map</v>
      </c>
    </row>
    <row r="203" spans="1:14" x14ac:dyDescent="0.2">
      <c r="A203" s="107">
        <v>220</v>
      </c>
      <c r="B203" s="107" t="s">
        <v>825</v>
      </c>
      <c r="C203" s="107" t="s">
        <v>458</v>
      </c>
      <c r="D203" s="107">
        <v>69.75</v>
      </c>
      <c r="E203" s="107">
        <v>-151.5</v>
      </c>
      <c r="F203" s="107">
        <v>60.365853658536587</v>
      </c>
      <c r="G203" s="107" t="s">
        <v>469</v>
      </c>
      <c r="H203" s="107" t="s">
        <v>826</v>
      </c>
      <c r="I203" s="107" t="s">
        <v>458</v>
      </c>
      <c r="J203" s="107" t="s">
        <v>484</v>
      </c>
      <c r="K203" s="107" t="s">
        <v>458</v>
      </c>
      <c r="L203" s="107" t="s">
        <v>824</v>
      </c>
      <c r="M203" s="113" t="str">
        <f t="shared" si="4"/>
        <v>View on Google Map</v>
      </c>
    </row>
    <row r="204" spans="1:14" x14ac:dyDescent="0.2">
      <c r="A204" s="107">
        <v>221</v>
      </c>
      <c r="B204" s="107" t="s">
        <v>827</v>
      </c>
      <c r="C204" s="107" t="s">
        <v>458</v>
      </c>
      <c r="D204" s="107">
        <v>69.75</v>
      </c>
      <c r="E204" s="107">
        <v>-151.5</v>
      </c>
      <c r="F204" s="107">
        <v>30.487804878048781</v>
      </c>
      <c r="G204" s="107" t="s">
        <v>469</v>
      </c>
      <c r="H204" s="107" t="s">
        <v>828</v>
      </c>
      <c r="I204" s="107" t="s">
        <v>458</v>
      </c>
      <c r="J204" s="107" t="s">
        <v>484</v>
      </c>
      <c r="K204" s="107" t="s">
        <v>458</v>
      </c>
      <c r="L204" s="107" t="s">
        <v>824</v>
      </c>
      <c r="M204" s="113" t="str">
        <f t="shared" si="4"/>
        <v>View on Google Map</v>
      </c>
    </row>
    <row r="205" spans="1:14" x14ac:dyDescent="0.2">
      <c r="A205" s="107">
        <v>222</v>
      </c>
      <c r="B205" s="107" t="s">
        <v>829</v>
      </c>
      <c r="C205" s="107" t="s">
        <v>458</v>
      </c>
      <c r="D205" s="107">
        <v>69.7</v>
      </c>
      <c r="E205" s="107">
        <v>-151.16666666666666</v>
      </c>
      <c r="F205" s="107">
        <v>42.682926829268297</v>
      </c>
      <c r="G205" s="107" t="s">
        <v>469</v>
      </c>
      <c r="H205" s="107" t="s">
        <v>830</v>
      </c>
      <c r="I205" s="107" t="s">
        <v>458</v>
      </c>
      <c r="J205" s="107" t="s">
        <v>484</v>
      </c>
      <c r="K205" s="107" t="s">
        <v>458</v>
      </c>
      <c r="L205" s="107" t="s">
        <v>824</v>
      </c>
      <c r="M205" s="113" t="str">
        <f t="shared" si="4"/>
        <v>View on Google Map</v>
      </c>
    </row>
    <row r="206" spans="1:14" x14ac:dyDescent="0.2">
      <c r="A206" s="107">
        <v>223</v>
      </c>
      <c r="B206" s="107" t="s">
        <v>831</v>
      </c>
      <c r="C206" s="107" t="s">
        <v>458</v>
      </c>
      <c r="D206" s="107">
        <v>69.7</v>
      </c>
      <c r="E206" s="107">
        <v>-151.16666666666666</v>
      </c>
      <c r="F206" s="107">
        <v>42.682926829268297</v>
      </c>
      <c r="G206" s="107" t="s">
        <v>469</v>
      </c>
      <c r="H206" s="107" t="s">
        <v>832</v>
      </c>
      <c r="I206" s="107" t="s">
        <v>458</v>
      </c>
      <c r="J206" s="107" t="s">
        <v>484</v>
      </c>
      <c r="K206" s="107" t="s">
        <v>458</v>
      </c>
      <c r="L206" s="107" t="s">
        <v>824</v>
      </c>
      <c r="M206" s="113" t="str">
        <f t="shared" si="4"/>
        <v>View on Google Map</v>
      </c>
    </row>
    <row r="207" spans="1:14" x14ac:dyDescent="0.2">
      <c r="A207" s="107">
        <v>224</v>
      </c>
      <c r="B207" s="107" t="s">
        <v>833</v>
      </c>
      <c r="C207" s="107" t="s">
        <v>458</v>
      </c>
      <c r="D207" s="107">
        <v>69.516666666666666</v>
      </c>
      <c r="E207" s="107">
        <v>-150.86666666666667</v>
      </c>
      <c r="F207" s="107">
        <v>60.975609756097562</v>
      </c>
      <c r="G207" s="107" t="s">
        <v>469</v>
      </c>
      <c r="H207" s="107" t="s">
        <v>834</v>
      </c>
      <c r="I207" s="107" t="s">
        <v>458</v>
      </c>
      <c r="J207" s="107" t="s">
        <v>484</v>
      </c>
      <c r="K207" s="107" t="s">
        <v>458</v>
      </c>
      <c r="L207" s="107" t="s">
        <v>824</v>
      </c>
      <c r="M207" s="113" t="str">
        <f t="shared" si="4"/>
        <v>View on Google Map</v>
      </c>
    </row>
    <row r="208" spans="1:14" x14ac:dyDescent="0.2">
      <c r="A208" s="107">
        <v>225</v>
      </c>
      <c r="B208" s="107" t="s">
        <v>835</v>
      </c>
      <c r="C208" s="107" t="s">
        <v>458</v>
      </c>
      <c r="D208" s="107">
        <v>69.516666666666666</v>
      </c>
      <c r="E208" s="107">
        <v>-150.86666666666667</v>
      </c>
      <c r="F208" s="107">
        <v>60.975609756097562</v>
      </c>
      <c r="G208" s="107" t="s">
        <v>469</v>
      </c>
      <c r="H208" s="107" t="s">
        <v>836</v>
      </c>
      <c r="I208" s="107" t="s">
        <v>458</v>
      </c>
      <c r="J208" s="107" t="s">
        <v>484</v>
      </c>
      <c r="K208" s="107" t="s">
        <v>458</v>
      </c>
      <c r="L208" s="107" t="s">
        <v>824</v>
      </c>
      <c r="M208" s="113" t="str">
        <f t="shared" si="4"/>
        <v>View on Google Map</v>
      </c>
    </row>
    <row r="209" spans="1:13" x14ac:dyDescent="0.2">
      <c r="A209" s="107">
        <v>226</v>
      </c>
      <c r="B209" s="107" t="s">
        <v>837</v>
      </c>
      <c r="C209" s="107" t="s">
        <v>458</v>
      </c>
      <c r="D209" s="107">
        <v>69.25</v>
      </c>
      <c r="E209" s="107">
        <v>-150.43333333333334</v>
      </c>
      <c r="F209" s="107">
        <v>182.92682926829269</v>
      </c>
      <c r="G209" s="107" t="s">
        <v>469</v>
      </c>
      <c r="H209" s="107" t="s">
        <v>838</v>
      </c>
      <c r="I209" s="107" t="s">
        <v>458</v>
      </c>
      <c r="J209" s="107" t="s">
        <v>484</v>
      </c>
      <c r="K209" s="107" t="s">
        <v>458</v>
      </c>
      <c r="L209" s="107" t="s">
        <v>824</v>
      </c>
      <c r="M209" s="113" t="str">
        <f t="shared" si="4"/>
        <v>View on Google Map</v>
      </c>
    </row>
    <row r="210" spans="1:13" x14ac:dyDescent="0.2">
      <c r="A210" s="107">
        <v>227</v>
      </c>
      <c r="B210" s="107" t="s">
        <v>839</v>
      </c>
      <c r="C210" s="107" t="s">
        <v>458</v>
      </c>
      <c r="D210" s="107">
        <v>69.25</v>
      </c>
      <c r="E210" s="107">
        <v>-150.43333333333334</v>
      </c>
      <c r="F210" s="107">
        <v>182.92682926829269</v>
      </c>
      <c r="G210" s="107" t="s">
        <v>469</v>
      </c>
      <c r="H210" s="107" t="s">
        <v>840</v>
      </c>
      <c r="I210" s="107" t="s">
        <v>458</v>
      </c>
      <c r="J210" s="107" t="s">
        <v>484</v>
      </c>
      <c r="K210" s="107" t="s">
        <v>458</v>
      </c>
      <c r="L210" s="107" t="s">
        <v>824</v>
      </c>
      <c r="M210" s="113" t="str">
        <f t="shared" si="4"/>
        <v>View on Google Map</v>
      </c>
    </row>
    <row r="211" spans="1:13" x14ac:dyDescent="0.2">
      <c r="A211" s="107">
        <v>228</v>
      </c>
      <c r="B211" s="107" t="s">
        <v>841</v>
      </c>
      <c r="C211" s="107" t="s">
        <v>458</v>
      </c>
      <c r="D211" s="107">
        <v>69.25</v>
      </c>
      <c r="E211" s="107">
        <v>-151.16666666666666</v>
      </c>
      <c r="F211" s="107">
        <v>182.92682926829269</v>
      </c>
      <c r="G211" s="107" t="s">
        <v>469</v>
      </c>
      <c r="H211" s="107" t="s">
        <v>842</v>
      </c>
      <c r="I211" s="107" t="s">
        <v>458</v>
      </c>
      <c r="J211" s="107" t="s">
        <v>484</v>
      </c>
      <c r="K211" s="107" t="s">
        <v>458</v>
      </c>
      <c r="L211" s="107" t="s">
        <v>824</v>
      </c>
      <c r="M211" s="113" t="str">
        <f t="shared" si="4"/>
        <v>View on Google Map</v>
      </c>
    </row>
    <row r="212" spans="1:13" x14ac:dyDescent="0.2">
      <c r="A212" s="107">
        <v>229</v>
      </c>
      <c r="B212" s="107" t="s">
        <v>843</v>
      </c>
      <c r="C212" s="107" t="s">
        <v>458</v>
      </c>
      <c r="D212" s="107">
        <v>69.233333333333334</v>
      </c>
      <c r="E212" s="107">
        <v>-151.63333333333333</v>
      </c>
      <c r="F212" s="107">
        <v>178.35365853658539</v>
      </c>
      <c r="G212" s="107" t="s">
        <v>469</v>
      </c>
      <c r="H212" s="107" t="s">
        <v>844</v>
      </c>
      <c r="I212" s="107" t="s">
        <v>458</v>
      </c>
      <c r="J212" s="107" t="s">
        <v>484</v>
      </c>
      <c r="K212" s="107" t="s">
        <v>458</v>
      </c>
      <c r="L212" s="107" t="s">
        <v>824</v>
      </c>
      <c r="M212" s="113" t="str">
        <f t="shared" si="4"/>
        <v>View on Google Map</v>
      </c>
    </row>
    <row r="213" spans="1:13" x14ac:dyDescent="0.2">
      <c r="A213" s="107">
        <v>230</v>
      </c>
      <c r="B213" s="107" t="s">
        <v>845</v>
      </c>
      <c r="C213" s="107" t="s">
        <v>458</v>
      </c>
      <c r="D213" s="107">
        <v>68.900000000000006</v>
      </c>
      <c r="E213" s="107">
        <v>-151.28333333333333</v>
      </c>
      <c r="F213" s="107">
        <v>335.36585365853659</v>
      </c>
      <c r="G213" s="107" t="s">
        <v>469</v>
      </c>
      <c r="H213" s="107" t="s">
        <v>846</v>
      </c>
      <c r="I213" s="107" t="s">
        <v>458</v>
      </c>
      <c r="J213" s="107" t="s">
        <v>484</v>
      </c>
      <c r="K213" s="107" t="s">
        <v>458</v>
      </c>
      <c r="L213" s="107" t="s">
        <v>824</v>
      </c>
      <c r="M213" s="113" t="str">
        <f t="shared" si="4"/>
        <v>View on Google Map</v>
      </c>
    </row>
    <row r="214" spans="1:13" x14ac:dyDescent="0.2">
      <c r="A214" s="107">
        <v>231</v>
      </c>
      <c r="B214" s="107" t="s">
        <v>847</v>
      </c>
      <c r="C214" s="107" t="s">
        <v>458</v>
      </c>
      <c r="D214" s="107">
        <v>68.8</v>
      </c>
      <c r="E214" s="107">
        <v>-150.80000000000001</v>
      </c>
      <c r="F214" s="107">
        <v>411.58536585365857</v>
      </c>
      <c r="G214" s="107" t="s">
        <v>469</v>
      </c>
      <c r="H214" s="107" t="s">
        <v>848</v>
      </c>
      <c r="I214" s="107" t="s">
        <v>458</v>
      </c>
      <c r="J214" s="107" t="s">
        <v>484</v>
      </c>
      <c r="K214" s="107" t="s">
        <v>458</v>
      </c>
      <c r="L214" s="107" t="s">
        <v>824</v>
      </c>
      <c r="M214" s="113" t="str">
        <f t="shared" si="4"/>
        <v>View on Google Map</v>
      </c>
    </row>
    <row r="215" spans="1:13" x14ac:dyDescent="0.2">
      <c r="A215" s="107">
        <v>237</v>
      </c>
      <c r="B215" s="107" t="s">
        <v>849</v>
      </c>
      <c r="C215" s="107" t="s">
        <v>458</v>
      </c>
      <c r="D215" s="107">
        <v>68.783333333333331</v>
      </c>
      <c r="E215" s="107" t="s">
        <v>458</v>
      </c>
      <c r="F215" s="107">
        <v>681.40243902439033</v>
      </c>
      <c r="G215" s="107" t="s">
        <v>469</v>
      </c>
      <c r="H215" s="107" t="s">
        <v>850</v>
      </c>
      <c r="I215" s="107" t="s">
        <v>851</v>
      </c>
      <c r="J215" s="107" t="s">
        <v>484</v>
      </c>
      <c r="K215" s="107" t="s">
        <v>458</v>
      </c>
      <c r="L215" s="107" t="s">
        <v>824</v>
      </c>
      <c r="M215" s="113" t="str">
        <f t="shared" si="4"/>
        <v>View on Google Map</v>
      </c>
    </row>
    <row r="216" spans="1:13" x14ac:dyDescent="0.2">
      <c r="A216" s="107">
        <v>238</v>
      </c>
      <c r="B216" s="107" t="s">
        <v>852</v>
      </c>
      <c r="C216" s="107" t="s">
        <v>458</v>
      </c>
      <c r="D216" s="107">
        <v>68.783333333333331</v>
      </c>
      <c r="E216" s="107" t="s">
        <v>458</v>
      </c>
      <c r="F216" s="107">
        <v>681.40243902439033</v>
      </c>
      <c r="G216" s="107" t="s">
        <v>469</v>
      </c>
      <c r="H216" s="107" t="s">
        <v>853</v>
      </c>
      <c r="I216" s="107" t="s">
        <v>851</v>
      </c>
      <c r="J216" s="107" t="s">
        <v>484</v>
      </c>
      <c r="K216" s="107" t="s">
        <v>458</v>
      </c>
      <c r="L216" s="107" t="s">
        <v>824</v>
      </c>
      <c r="M216" s="113" t="str">
        <f t="shared" si="4"/>
        <v>View on Google Map</v>
      </c>
    </row>
    <row r="217" spans="1:13" x14ac:dyDescent="0.2">
      <c r="A217" s="107">
        <v>10</v>
      </c>
      <c r="B217" s="107" t="s">
        <v>854</v>
      </c>
      <c r="C217" s="107" t="s">
        <v>855</v>
      </c>
      <c r="D217" s="107">
        <v>68.644702925000004</v>
      </c>
      <c r="E217" s="107">
        <v>-149.41200613611099</v>
      </c>
      <c r="F217" s="107">
        <v>751.33799999999997</v>
      </c>
      <c r="G217" s="107" t="s">
        <v>483</v>
      </c>
      <c r="H217" s="107" t="s">
        <v>458</v>
      </c>
      <c r="I217" s="107" t="s">
        <v>458</v>
      </c>
      <c r="J217" s="107" t="s">
        <v>484</v>
      </c>
      <c r="K217" s="107" t="s">
        <v>458</v>
      </c>
      <c r="L217" s="107" t="s">
        <v>458</v>
      </c>
      <c r="M217" s="113" t="str">
        <f t="shared" si="4"/>
        <v>View on Google Map</v>
      </c>
    </row>
    <row r="218" spans="1:13" x14ac:dyDescent="0.2">
      <c r="A218" s="107">
        <v>486</v>
      </c>
      <c r="B218" s="107" t="s">
        <v>856</v>
      </c>
      <c r="C218" s="107" t="s">
        <v>458</v>
      </c>
      <c r="D218" s="107">
        <v>68.958333332999999</v>
      </c>
      <c r="E218" s="107">
        <v>-150.302016667</v>
      </c>
      <c r="F218" s="107">
        <v>382</v>
      </c>
      <c r="G218" s="107" t="s">
        <v>469</v>
      </c>
      <c r="H218" s="107" t="s">
        <v>458</v>
      </c>
      <c r="I218" s="107" t="s">
        <v>458</v>
      </c>
      <c r="J218" s="107" t="s">
        <v>519</v>
      </c>
      <c r="K218" s="107" t="s">
        <v>458</v>
      </c>
      <c r="L218" s="107" t="s">
        <v>466</v>
      </c>
      <c r="M218" s="113" t="str">
        <f t="shared" si="4"/>
        <v>View on Google Map</v>
      </c>
    </row>
    <row r="219" spans="1:13" x14ac:dyDescent="0.2">
      <c r="A219" s="107">
        <v>388</v>
      </c>
      <c r="B219" s="107" t="s">
        <v>857</v>
      </c>
      <c r="C219" s="107" t="s">
        <v>458</v>
      </c>
      <c r="D219" s="107">
        <v>68.556340000000006</v>
      </c>
      <c r="E219" s="107">
        <v>-149.56628000000001</v>
      </c>
      <c r="F219" s="107">
        <v>801</v>
      </c>
      <c r="G219" s="107" t="s">
        <v>469</v>
      </c>
      <c r="H219" s="107" t="s">
        <v>458</v>
      </c>
      <c r="I219" s="107" t="s">
        <v>458</v>
      </c>
      <c r="J219" s="107" t="s">
        <v>484</v>
      </c>
      <c r="K219" s="107" t="s">
        <v>458</v>
      </c>
      <c r="L219" s="107" t="s">
        <v>858</v>
      </c>
      <c r="M219" s="113" t="str">
        <f t="shared" si="4"/>
        <v>View on Google Map</v>
      </c>
    </row>
    <row r="220" spans="1:13" x14ac:dyDescent="0.2">
      <c r="A220" s="107">
        <v>450</v>
      </c>
      <c r="B220" s="107" t="s">
        <v>859</v>
      </c>
      <c r="C220" s="107" t="s">
        <v>458</v>
      </c>
      <c r="D220" s="107">
        <v>68.553610000000006</v>
      </c>
      <c r="E220" s="107">
        <v>-149.53397000000001</v>
      </c>
      <c r="F220" s="107">
        <v>820</v>
      </c>
      <c r="G220" s="107" t="s">
        <v>469</v>
      </c>
      <c r="H220" s="107" t="s">
        <v>860</v>
      </c>
      <c r="I220" s="107" t="s">
        <v>458</v>
      </c>
      <c r="J220" s="107" t="s">
        <v>470</v>
      </c>
      <c r="K220" s="107" t="s">
        <v>458</v>
      </c>
      <c r="L220" s="107" t="s">
        <v>458</v>
      </c>
      <c r="M220" s="113" t="str">
        <f t="shared" si="4"/>
        <v>View on Google Map</v>
      </c>
    </row>
    <row r="221" spans="1:13" x14ac:dyDescent="0.2">
      <c r="A221" s="107">
        <v>451</v>
      </c>
      <c r="B221" s="107" t="s">
        <v>861</v>
      </c>
      <c r="C221" s="107" t="s">
        <v>458</v>
      </c>
      <c r="D221" s="107">
        <v>68.545929999999998</v>
      </c>
      <c r="E221" s="107">
        <v>-149.54213999999999</v>
      </c>
      <c r="F221" s="107">
        <v>852</v>
      </c>
      <c r="G221" s="107" t="s">
        <v>469</v>
      </c>
      <c r="H221" s="107" t="s">
        <v>862</v>
      </c>
      <c r="I221" s="107" t="s">
        <v>458</v>
      </c>
      <c r="J221" s="107" t="s">
        <v>470</v>
      </c>
      <c r="K221" s="107" t="s">
        <v>458</v>
      </c>
      <c r="L221" s="107" t="s">
        <v>458</v>
      </c>
      <c r="M221" s="113" t="str">
        <f t="shared" si="4"/>
        <v>View on Google Map</v>
      </c>
    </row>
    <row r="222" spans="1:13" x14ac:dyDescent="0.2">
      <c r="A222" s="107">
        <v>531</v>
      </c>
      <c r="B222" s="107" t="s">
        <v>863</v>
      </c>
      <c r="C222" s="107" t="s">
        <v>864</v>
      </c>
      <c r="D222" s="107">
        <v>68.556769000000003</v>
      </c>
      <c r="E222" s="107">
        <v>-149.555385</v>
      </c>
      <c r="F222" s="107">
        <v>805</v>
      </c>
      <c r="G222" s="107" t="s">
        <v>483</v>
      </c>
      <c r="H222" s="107" t="s">
        <v>458</v>
      </c>
      <c r="I222" s="107" t="s">
        <v>458</v>
      </c>
      <c r="J222" s="107" t="s">
        <v>470</v>
      </c>
      <c r="K222" s="107" t="s">
        <v>458</v>
      </c>
      <c r="L222" s="107" t="s">
        <v>865</v>
      </c>
      <c r="M222" s="113" t="str">
        <f t="shared" si="4"/>
        <v>View on Google Map</v>
      </c>
    </row>
    <row r="223" spans="1:13" x14ac:dyDescent="0.2">
      <c r="A223" s="107">
        <v>532</v>
      </c>
      <c r="B223" s="107" t="s">
        <v>866</v>
      </c>
      <c r="C223" s="107" t="s">
        <v>864</v>
      </c>
      <c r="D223" s="107">
        <v>68.556635999999997</v>
      </c>
      <c r="E223" s="107">
        <v>-149.574457</v>
      </c>
      <c r="F223" s="107">
        <v>803</v>
      </c>
      <c r="G223" s="107" t="s">
        <v>483</v>
      </c>
      <c r="H223" s="107" t="s">
        <v>458</v>
      </c>
      <c r="I223" s="107" t="s">
        <v>458</v>
      </c>
      <c r="J223" s="107" t="s">
        <v>470</v>
      </c>
      <c r="K223" s="107" t="s">
        <v>458</v>
      </c>
      <c r="L223" s="107" t="s">
        <v>865</v>
      </c>
      <c r="M223" s="113" t="str">
        <f t="shared" si="4"/>
        <v>View on Google Map</v>
      </c>
    </row>
    <row r="224" spans="1:13" x14ac:dyDescent="0.2">
      <c r="A224" s="107">
        <v>120</v>
      </c>
      <c r="B224" s="107" t="s">
        <v>867</v>
      </c>
      <c r="C224" s="107" t="s">
        <v>458</v>
      </c>
      <c r="D224" s="107">
        <v>68.610781000000003</v>
      </c>
      <c r="E224" s="107">
        <v>-149.600742</v>
      </c>
      <c r="F224" s="107">
        <v>736</v>
      </c>
      <c r="G224" s="107" t="s">
        <v>469</v>
      </c>
      <c r="H224" s="107" t="s">
        <v>868</v>
      </c>
      <c r="I224" s="107" t="s">
        <v>458</v>
      </c>
      <c r="J224" s="107" t="s">
        <v>484</v>
      </c>
      <c r="K224" s="107">
        <v>313</v>
      </c>
      <c r="L224" s="107" t="s">
        <v>858</v>
      </c>
      <c r="M224" s="113" t="str">
        <f t="shared" si="4"/>
        <v>View on Google Map</v>
      </c>
    </row>
    <row r="225" spans="1:13" x14ac:dyDescent="0.2">
      <c r="A225" s="107">
        <v>191</v>
      </c>
      <c r="B225" s="107" t="s">
        <v>869</v>
      </c>
      <c r="C225" s="107" t="s">
        <v>870</v>
      </c>
      <c r="D225" s="107">
        <v>68.610349999999997</v>
      </c>
      <c r="E225" s="107">
        <v>-149.59976599999999</v>
      </c>
      <c r="F225" s="107">
        <v>736</v>
      </c>
      <c r="G225" s="107" t="s">
        <v>483</v>
      </c>
      <c r="H225" s="107" t="s">
        <v>871</v>
      </c>
      <c r="I225" s="107" t="s">
        <v>872</v>
      </c>
      <c r="J225" s="107" t="s">
        <v>484</v>
      </c>
      <c r="K225" s="107" t="s">
        <v>458</v>
      </c>
      <c r="L225" s="107" t="s">
        <v>873</v>
      </c>
      <c r="M225" s="113" t="str">
        <f t="shared" si="4"/>
        <v>View on Google Map</v>
      </c>
    </row>
    <row r="226" spans="1:13" x14ac:dyDescent="0.2">
      <c r="A226" s="107">
        <v>243</v>
      </c>
      <c r="B226" s="107" t="s">
        <v>874</v>
      </c>
      <c r="C226" s="107" t="s">
        <v>458</v>
      </c>
      <c r="D226" s="107">
        <v>68.611682999999999</v>
      </c>
      <c r="E226" s="107">
        <v>-149.599254</v>
      </c>
      <c r="F226" s="107">
        <v>736</v>
      </c>
      <c r="G226" s="107" t="s">
        <v>483</v>
      </c>
      <c r="H226" s="107" t="s">
        <v>875</v>
      </c>
      <c r="I226" s="107" t="s">
        <v>876</v>
      </c>
      <c r="J226" s="107" t="s">
        <v>484</v>
      </c>
      <c r="K226" s="107" t="s">
        <v>458</v>
      </c>
      <c r="L226" s="107" t="s">
        <v>873</v>
      </c>
      <c r="M226" s="113" t="str">
        <f t="shared" si="4"/>
        <v>View on Google Map</v>
      </c>
    </row>
    <row r="227" spans="1:13" x14ac:dyDescent="0.2">
      <c r="A227" s="107">
        <v>111</v>
      </c>
      <c r="B227" s="107" t="s">
        <v>877</v>
      </c>
      <c r="C227" s="107" t="s">
        <v>458</v>
      </c>
      <c r="D227" s="107">
        <v>68.568713078900004</v>
      </c>
      <c r="E227" s="107">
        <v>-149.58807625</v>
      </c>
      <c r="F227" s="107">
        <v>785</v>
      </c>
      <c r="G227" s="107" t="s">
        <v>469</v>
      </c>
      <c r="H227" s="107" t="s">
        <v>878</v>
      </c>
      <c r="I227" s="107" t="s">
        <v>879</v>
      </c>
      <c r="J227" s="107" t="s">
        <v>484</v>
      </c>
      <c r="K227" s="107" t="s">
        <v>458</v>
      </c>
      <c r="L227" s="107" t="s">
        <v>858</v>
      </c>
      <c r="M227" s="113" t="str">
        <f t="shared" si="4"/>
        <v>View on Google Map</v>
      </c>
    </row>
    <row r="228" spans="1:13" x14ac:dyDescent="0.2">
      <c r="A228" s="107">
        <v>175</v>
      </c>
      <c r="B228" s="107" t="s">
        <v>880</v>
      </c>
      <c r="C228" s="107" t="s">
        <v>458</v>
      </c>
      <c r="D228" s="107">
        <v>68.573999999999998</v>
      </c>
      <c r="E228" s="107">
        <v>-149.58356599999999</v>
      </c>
      <c r="F228" s="107">
        <v>774</v>
      </c>
      <c r="G228" s="107" t="s">
        <v>483</v>
      </c>
      <c r="H228" s="107" t="s">
        <v>881</v>
      </c>
      <c r="I228" s="107" t="s">
        <v>882</v>
      </c>
      <c r="J228" s="107" t="s">
        <v>484</v>
      </c>
      <c r="K228" s="107" t="s">
        <v>458</v>
      </c>
      <c r="L228" s="107" t="s">
        <v>873</v>
      </c>
      <c r="M228" s="113" t="str">
        <f t="shared" si="4"/>
        <v>View on Google Map</v>
      </c>
    </row>
    <row r="229" spans="1:13" x14ac:dyDescent="0.2">
      <c r="A229" s="107">
        <v>174</v>
      </c>
      <c r="B229" s="107" t="s">
        <v>883</v>
      </c>
      <c r="C229" s="107" t="s">
        <v>458</v>
      </c>
      <c r="D229" s="107">
        <v>68.572295999999994</v>
      </c>
      <c r="E229" s="107">
        <v>-149.58101400000001</v>
      </c>
      <c r="F229" s="107">
        <v>785</v>
      </c>
      <c r="G229" s="107" t="s">
        <v>483</v>
      </c>
      <c r="H229" s="107" t="s">
        <v>884</v>
      </c>
      <c r="I229" s="107" t="s">
        <v>885</v>
      </c>
      <c r="J229" s="107" t="s">
        <v>484</v>
      </c>
      <c r="K229" s="107" t="s">
        <v>458</v>
      </c>
      <c r="L229" s="107" t="s">
        <v>873</v>
      </c>
      <c r="M229" s="113" t="str">
        <f t="shared" si="4"/>
        <v>View on Google Map</v>
      </c>
    </row>
    <row r="230" spans="1:13" x14ac:dyDescent="0.2">
      <c r="A230" s="107">
        <v>112</v>
      </c>
      <c r="B230" s="107" t="s">
        <v>886</v>
      </c>
      <c r="C230" s="107" t="s">
        <v>458</v>
      </c>
      <c r="D230" s="107">
        <v>68.571319563299994</v>
      </c>
      <c r="E230" s="107">
        <v>-149.56588161799999</v>
      </c>
      <c r="F230" s="107">
        <v>785</v>
      </c>
      <c r="G230" s="107" t="s">
        <v>469</v>
      </c>
      <c r="H230" s="107" t="s">
        <v>887</v>
      </c>
      <c r="I230" s="107" t="s">
        <v>888</v>
      </c>
      <c r="J230" s="107" t="s">
        <v>484</v>
      </c>
      <c r="K230" s="107" t="s">
        <v>458</v>
      </c>
      <c r="L230" s="107" t="s">
        <v>858</v>
      </c>
      <c r="M230" s="113" t="str">
        <f t="shared" si="4"/>
        <v>View on Google Map</v>
      </c>
    </row>
    <row r="231" spans="1:13" x14ac:dyDescent="0.2">
      <c r="A231" s="107">
        <v>176</v>
      </c>
      <c r="B231" s="107" t="s">
        <v>889</v>
      </c>
      <c r="C231" s="107" t="s">
        <v>458</v>
      </c>
      <c r="D231" s="107">
        <v>68.574783330000002</v>
      </c>
      <c r="E231" s="107">
        <v>-149.58205000000001</v>
      </c>
      <c r="F231" s="107">
        <v>774</v>
      </c>
      <c r="G231" s="107" t="s">
        <v>483</v>
      </c>
      <c r="H231" s="107" t="s">
        <v>890</v>
      </c>
      <c r="I231" s="107" t="s">
        <v>891</v>
      </c>
      <c r="J231" s="107" t="s">
        <v>484</v>
      </c>
      <c r="K231" s="107" t="s">
        <v>458</v>
      </c>
      <c r="L231" s="107" t="s">
        <v>873</v>
      </c>
      <c r="M231" s="113" t="str">
        <f t="shared" si="4"/>
        <v>View on Google Map</v>
      </c>
    </row>
    <row r="232" spans="1:13" x14ac:dyDescent="0.2">
      <c r="A232" s="107">
        <v>173</v>
      </c>
      <c r="B232" s="107" t="s">
        <v>892</v>
      </c>
      <c r="C232" s="107" t="s">
        <v>458</v>
      </c>
      <c r="D232" s="107">
        <v>68.572546000000003</v>
      </c>
      <c r="E232" s="107">
        <v>-149.570268</v>
      </c>
      <c r="F232" s="107">
        <v>785</v>
      </c>
      <c r="G232" s="107" t="s">
        <v>483</v>
      </c>
      <c r="H232" s="107" t="s">
        <v>893</v>
      </c>
      <c r="I232" s="107" t="s">
        <v>894</v>
      </c>
      <c r="J232" s="107" t="s">
        <v>484</v>
      </c>
      <c r="K232" s="107" t="s">
        <v>458</v>
      </c>
      <c r="L232" s="107" t="s">
        <v>873</v>
      </c>
      <c r="M232" s="113" t="str">
        <f t="shared" si="4"/>
        <v>View on Google Map</v>
      </c>
    </row>
    <row r="233" spans="1:13" x14ac:dyDescent="0.2">
      <c r="A233" s="107">
        <v>113</v>
      </c>
      <c r="B233" s="107" t="s">
        <v>895</v>
      </c>
      <c r="C233" s="107" t="s">
        <v>458</v>
      </c>
      <c r="D233" s="107">
        <v>68.575536630100004</v>
      </c>
      <c r="E233" s="107">
        <v>-149.583644456</v>
      </c>
      <c r="F233" s="107">
        <v>774</v>
      </c>
      <c r="G233" s="107" t="s">
        <v>469</v>
      </c>
      <c r="H233" s="107" t="s">
        <v>896</v>
      </c>
      <c r="I233" s="107" t="s">
        <v>897</v>
      </c>
      <c r="J233" s="107" t="s">
        <v>484</v>
      </c>
      <c r="K233" s="107" t="s">
        <v>458</v>
      </c>
      <c r="L233" s="107" t="s">
        <v>858</v>
      </c>
      <c r="M233" s="113" t="str">
        <f t="shared" si="4"/>
        <v>View on Google Map</v>
      </c>
    </row>
    <row r="234" spans="1:13" x14ac:dyDescent="0.2">
      <c r="A234" s="107">
        <v>177</v>
      </c>
      <c r="B234" s="107" t="s">
        <v>898</v>
      </c>
      <c r="C234" s="107" t="s">
        <v>458</v>
      </c>
      <c r="D234" s="107">
        <v>68.577539999999999</v>
      </c>
      <c r="E234" s="107">
        <v>-149.58200299999999</v>
      </c>
      <c r="F234" s="107">
        <v>774</v>
      </c>
      <c r="G234" s="107" t="s">
        <v>483</v>
      </c>
      <c r="H234" s="107" t="s">
        <v>899</v>
      </c>
      <c r="I234" s="107" t="s">
        <v>900</v>
      </c>
      <c r="J234" s="107" t="s">
        <v>484</v>
      </c>
      <c r="K234" s="107" t="s">
        <v>458</v>
      </c>
      <c r="L234" s="107" t="s">
        <v>873</v>
      </c>
      <c r="M234" s="113" t="str">
        <f t="shared" si="4"/>
        <v>View on Google Map</v>
      </c>
    </row>
    <row r="235" spans="1:13" x14ac:dyDescent="0.2">
      <c r="A235" s="107">
        <v>114</v>
      </c>
      <c r="B235" s="107" t="s">
        <v>901</v>
      </c>
      <c r="C235" s="107" t="s">
        <v>458</v>
      </c>
      <c r="D235" s="107">
        <v>68.579567150000003</v>
      </c>
      <c r="E235" s="107">
        <v>-149.58405938000001</v>
      </c>
      <c r="F235" s="107">
        <v>770</v>
      </c>
      <c r="G235" s="107" t="s">
        <v>469</v>
      </c>
      <c r="H235" s="107" t="s">
        <v>902</v>
      </c>
      <c r="I235" s="107" t="s">
        <v>903</v>
      </c>
      <c r="J235" s="107" t="s">
        <v>484</v>
      </c>
      <c r="K235" s="107" t="s">
        <v>458</v>
      </c>
      <c r="L235" s="107" t="s">
        <v>858</v>
      </c>
      <c r="M235" s="113" t="str">
        <f t="shared" si="4"/>
        <v>View on Google Map</v>
      </c>
    </row>
    <row r="236" spans="1:13" x14ac:dyDescent="0.2">
      <c r="A236" s="107">
        <v>179</v>
      </c>
      <c r="B236" s="107" t="s">
        <v>904</v>
      </c>
      <c r="C236" s="107" t="s">
        <v>458</v>
      </c>
      <c r="D236" s="107">
        <v>68.584233330000004</v>
      </c>
      <c r="E236" s="107">
        <v>-149.58359999999999</v>
      </c>
      <c r="F236" s="107">
        <v>770</v>
      </c>
      <c r="G236" s="107" t="s">
        <v>483</v>
      </c>
      <c r="H236" s="107" t="s">
        <v>905</v>
      </c>
      <c r="I236" s="107" t="s">
        <v>906</v>
      </c>
      <c r="J236" s="107" t="s">
        <v>484</v>
      </c>
      <c r="K236" s="107" t="s">
        <v>458</v>
      </c>
      <c r="L236" s="107" t="s">
        <v>873</v>
      </c>
      <c r="M236" s="113" t="str">
        <f t="shared" si="4"/>
        <v>View on Google Map</v>
      </c>
    </row>
    <row r="237" spans="1:13" x14ac:dyDescent="0.2">
      <c r="A237" s="107">
        <v>178</v>
      </c>
      <c r="B237" s="107" t="s">
        <v>907</v>
      </c>
      <c r="C237" s="107" t="s">
        <v>458</v>
      </c>
      <c r="D237" s="107">
        <v>68.581429999999997</v>
      </c>
      <c r="E237" s="107">
        <v>-149.58609999999999</v>
      </c>
      <c r="F237" s="107">
        <v>770</v>
      </c>
      <c r="G237" s="107" t="s">
        <v>483</v>
      </c>
      <c r="H237" s="107" t="s">
        <v>908</v>
      </c>
      <c r="I237" s="107" t="s">
        <v>909</v>
      </c>
      <c r="J237" s="107" t="s">
        <v>484</v>
      </c>
      <c r="K237" s="107" t="s">
        <v>458</v>
      </c>
      <c r="L237" s="107" t="s">
        <v>873</v>
      </c>
      <c r="M237" s="113" t="str">
        <f t="shared" si="4"/>
        <v>View on Google Map</v>
      </c>
    </row>
    <row r="238" spans="1:13" x14ac:dyDescent="0.2">
      <c r="A238" s="107">
        <v>115</v>
      </c>
      <c r="B238" s="107" t="s">
        <v>910</v>
      </c>
      <c r="C238" s="107" t="s">
        <v>458</v>
      </c>
      <c r="D238" s="107">
        <v>68.587387439099999</v>
      </c>
      <c r="E238" s="107">
        <v>-149.589625877</v>
      </c>
      <c r="F238" s="107">
        <v>767</v>
      </c>
      <c r="G238" s="107" t="s">
        <v>469</v>
      </c>
      <c r="H238" s="107" t="s">
        <v>911</v>
      </c>
      <c r="I238" s="107" t="s">
        <v>912</v>
      </c>
      <c r="J238" s="107" t="s">
        <v>484</v>
      </c>
      <c r="K238" s="107" t="s">
        <v>458</v>
      </c>
      <c r="L238" s="107" t="s">
        <v>858</v>
      </c>
      <c r="M238" s="113" t="str">
        <f t="shared" si="4"/>
        <v>View on Google Map</v>
      </c>
    </row>
    <row r="239" spans="1:13" x14ac:dyDescent="0.2">
      <c r="A239" s="107">
        <v>181</v>
      </c>
      <c r="B239" s="107" t="s">
        <v>913</v>
      </c>
      <c r="C239" s="107" t="s">
        <v>458</v>
      </c>
      <c r="D239" s="107">
        <v>68.594916670000003</v>
      </c>
      <c r="E239" s="107">
        <v>-149.58631600000001</v>
      </c>
      <c r="F239" s="107">
        <v>754</v>
      </c>
      <c r="G239" s="107" t="s">
        <v>483</v>
      </c>
      <c r="H239" s="107" t="s">
        <v>914</v>
      </c>
      <c r="I239" s="107" t="s">
        <v>915</v>
      </c>
      <c r="J239" s="107" t="s">
        <v>484</v>
      </c>
      <c r="K239" s="107" t="s">
        <v>458</v>
      </c>
      <c r="L239" s="107" t="s">
        <v>873</v>
      </c>
      <c r="M239" s="113" t="str">
        <f t="shared" si="4"/>
        <v>View on Google Map</v>
      </c>
    </row>
    <row r="240" spans="1:13" x14ac:dyDescent="0.2">
      <c r="A240" s="107">
        <v>180</v>
      </c>
      <c r="B240" s="107" t="s">
        <v>916</v>
      </c>
      <c r="C240" s="107" t="s">
        <v>458</v>
      </c>
      <c r="D240" s="107">
        <v>68.589087000000006</v>
      </c>
      <c r="E240" s="107">
        <v>-149.58921900000001</v>
      </c>
      <c r="F240" s="107">
        <v>767</v>
      </c>
      <c r="G240" s="107" t="s">
        <v>483</v>
      </c>
      <c r="H240" s="107" t="s">
        <v>917</v>
      </c>
      <c r="I240" s="107" t="s">
        <v>918</v>
      </c>
      <c r="J240" s="107" t="s">
        <v>484</v>
      </c>
      <c r="K240" s="107" t="s">
        <v>458</v>
      </c>
      <c r="L240" s="107" t="s">
        <v>873</v>
      </c>
      <c r="M240" s="113" t="str">
        <f t="shared" si="4"/>
        <v>View on Google Map</v>
      </c>
    </row>
    <row r="241" spans="1:13" x14ac:dyDescent="0.2">
      <c r="A241" s="107">
        <v>116</v>
      </c>
      <c r="B241" s="107" t="s">
        <v>919</v>
      </c>
      <c r="C241" s="107" t="s">
        <v>458</v>
      </c>
      <c r="D241" s="107">
        <v>68.596592403900004</v>
      </c>
      <c r="E241" s="107">
        <v>-149.59264335</v>
      </c>
      <c r="F241" s="107">
        <v>754</v>
      </c>
      <c r="G241" s="107" t="s">
        <v>469</v>
      </c>
      <c r="H241" s="107" t="s">
        <v>920</v>
      </c>
      <c r="I241" s="107" t="s">
        <v>921</v>
      </c>
      <c r="J241" s="107" t="s">
        <v>484</v>
      </c>
      <c r="K241" s="107" t="s">
        <v>458</v>
      </c>
      <c r="L241" s="107" t="s">
        <v>858</v>
      </c>
      <c r="M241" s="113" t="str">
        <f t="shared" si="4"/>
        <v>View on Google Map</v>
      </c>
    </row>
    <row r="242" spans="1:13" x14ac:dyDescent="0.2">
      <c r="A242" s="107">
        <v>431</v>
      </c>
      <c r="B242" s="107" t="s">
        <v>922</v>
      </c>
      <c r="C242" s="107" t="s">
        <v>458</v>
      </c>
      <c r="D242" s="107">
        <v>68.582061999999993</v>
      </c>
      <c r="E242" s="107">
        <v>-149.62293199999999</v>
      </c>
      <c r="F242" s="107">
        <v>806</v>
      </c>
      <c r="G242" s="107" t="s">
        <v>469</v>
      </c>
      <c r="H242" s="107" t="s">
        <v>923</v>
      </c>
      <c r="I242" s="107" t="s">
        <v>924</v>
      </c>
      <c r="J242" s="107" t="s">
        <v>484</v>
      </c>
      <c r="K242" s="107" t="s">
        <v>458</v>
      </c>
      <c r="L242" s="107" t="s">
        <v>858</v>
      </c>
      <c r="M242" s="113" t="str">
        <f t="shared" si="4"/>
        <v>View on Google Map</v>
      </c>
    </row>
    <row r="243" spans="1:13" x14ac:dyDescent="0.2">
      <c r="A243" s="107">
        <v>444</v>
      </c>
      <c r="B243" s="107" t="s">
        <v>925</v>
      </c>
      <c r="C243" s="107" t="s">
        <v>458</v>
      </c>
      <c r="D243" s="107">
        <v>68.578643</v>
      </c>
      <c r="E243" s="107">
        <v>-149.62110200000001</v>
      </c>
      <c r="F243" s="107">
        <v>808</v>
      </c>
      <c r="G243" s="107" t="s">
        <v>483</v>
      </c>
      <c r="H243" s="107" t="s">
        <v>926</v>
      </c>
      <c r="I243" s="107" t="s">
        <v>927</v>
      </c>
      <c r="J243" s="107" t="s">
        <v>484</v>
      </c>
      <c r="K243" s="107" t="s">
        <v>458</v>
      </c>
      <c r="L243" s="107" t="s">
        <v>873</v>
      </c>
      <c r="M243" s="113" t="str">
        <f t="shared" si="4"/>
        <v>View on Google Map</v>
      </c>
    </row>
    <row r="244" spans="1:13" x14ac:dyDescent="0.2">
      <c r="A244" s="107">
        <v>535</v>
      </c>
      <c r="B244" s="107" t="s">
        <v>928</v>
      </c>
      <c r="C244" s="107" t="s">
        <v>929</v>
      </c>
      <c r="D244" s="107">
        <v>68.585839000000007</v>
      </c>
      <c r="E244" s="107">
        <v>-149.62222299999999</v>
      </c>
      <c r="F244" s="107">
        <v>805</v>
      </c>
      <c r="G244" s="107" t="s">
        <v>483</v>
      </c>
      <c r="H244" s="107" t="s">
        <v>458</v>
      </c>
      <c r="I244" s="107" t="s">
        <v>458</v>
      </c>
      <c r="J244" s="107" t="s">
        <v>470</v>
      </c>
      <c r="K244" s="107" t="s">
        <v>458</v>
      </c>
      <c r="L244" s="107" t="s">
        <v>930</v>
      </c>
      <c r="M244" s="113" t="str">
        <f t="shared" si="4"/>
        <v>View on Google Map</v>
      </c>
    </row>
    <row r="245" spans="1:13" x14ac:dyDescent="0.2">
      <c r="A245" s="107">
        <v>536</v>
      </c>
      <c r="B245" s="107" t="s">
        <v>931</v>
      </c>
      <c r="C245" s="107" t="s">
        <v>929</v>
      </c>
      <c r="D245" s="107">
        <v>68.591329999999999</v>
      </c>
      <c r="E245" s="107">
        <v>-149.61154199999999</v>
      </c>
      <c r="F245" s="107">
        <v>775</v>
      </c>
      <c r="G245" s="107" t="s">
        <v>483</v>
      </c>
      <c r="H245" s="107" t="s">
        <v>458</v>
      </c>
      <c r="I245" s="107" t="s">
        <v>458</v>
      </c>
      <c r="J245" s="107" t="s">
        <v>470</v>
      </c>
      <c r="K245" s="107" t="s">
        <v>458</v>
      </c>
      <c r="L245" s="107" t="s">
        <v>930</v>
      </c>
      <c r="M245" s="113" t="str">
        <f t="shared" si="4"/>
        <v>View on Google Map</v>
      </c>
    </row>
    <row r="246" spans="1:13" x14ac:dyDescent="0.2">
      <c r="A246" s="107">
        <v>445</v>
      </c>
      <c r="B246" s="107" t="s">
        <v>932</v>
      </c>
      <c r="C246" s="107" t="s">
        <v>458</v>
      </c>
      <c r="D246" s="107">
        <v>68.583569999999995</v>
      </c>
      <c r="E246" s="107">
        <v>-149.62384</v>
      </c>
      <c r="F246" s="107">
        <v>808</v>
      </c>
      <c r="G246" s="107" t="s">
        <v>483</v>
      </c>
      <c r="H246" s="107" t="s">
        <v>933</v>
      </c>
      <c r="I246" s="107" t="s">
        <v>934</v>
      </c>
      <c r="J246" s="107" t="s">
        <v>484</v>
      </c>
      <c r="K246" s="107" t="s">
        <v>458</v>
      </c>
      <c r="L246" s="107" t="s">
        <v>873</v>
      </c>
      <c r="M246" s="113" t="str">
        <f t="shared" si="4"/>
        <v>View on Google Map</v>
      </c>
    </row>
    <row r="247" spans="1:13" x14ac:dyDescent="0.2">
      <c r="A247" s="107">
        <v>182</v>
      </c>
      <c r="B247" s="107" t="s">
        <v>935</v>
      </c>
      <c r="C247" s="107" t="s">
        <v>458</v>
      </c>
      <c r="D247" s="107">
        <v>68.596883329999997</v>
      </c>
      <c r="E247" s="107">
        <v>-149.60124999999999</v>
      </c>
      <c r="F247" s="107">
        <v>754</v>
      </c>
      <c r="G247" s="107" t="s">
        <v>483</v>
      </c>
      <c r="H247" s="107" t="s">
        <v>936</v>
      </c>
      <c r="I247" s="107" t="s">
        <v>937</v>
      </c>
      <c r="J247" s="107" t="s">
        <v>484</v>
      </c>
      <c r="K247" s="107" t="s">
        <v>458</v>
      </c>
      <c r="L247" s="107" t="s">
        <v>873</v>
      </c>
      <c r="M247" s="113" t="str">
        <f t="shared" si="4"/>
        <v>View on Google Map</v>
      </c>
    </row>
    <row r="248" spans="1:13" x14ac:dyDescent="0.2">
      <c r="A248" s="107">
        <v>183</v>
      </c>
      <c r="B248" s="107" t="s">
        <v>938</v>
      </c>
      <c r="C248" s="107" t="s">
        <v>458</v>
      </c>
      <c r="D248" s="107">
        <v>68.598684000000006</v>
      </c>
      <c r="E248" s="107">
        <v>-149.599853</v>
      </c>
      <c r="F248" s="107">
        <v>754</v>
      </c>
      <c r="G248" s="107" t="s">
        <v>483</v>
      </c>
      <c r="H248" s="107" t="s">
        <v>939</v>
      </c>
      <c r="I248" s="107" t="s">
        <v>940</v>
      </c>
      <c r="J248" s="107" t="s">
        <v>484</v>
      </c>
      <c r="K248" s="107" t="s">
        <v>458</v>
      </c>
      <c r="L248" s="107" t="s">
        <v>873</v>
      </c>
      <c r="M248" s="113" t="str">
        <f t="shared" si="4"/>
        <v>View on Google Map</v>
      </c>
    </row>
    <row r="249" spans="1:13" x14ac:dyDescent="0.2">
      <c r="A249" s="107">
        <v>117</v>
      </c>
      <c r="B249" s="107" t="s">
        <v>941</v>
      </c>
      <c r="C249" s="107" t="s">
        <v>458</v>
      </c>
      <c r="D249" s="107">
        <v>68.600874798199996</v>
      </c>
      <c r="E249" s="107">
        <v>-149.596582063</v>
      </c>
      <c r="F249" s="107">
        <v>742</v>
      </c>
      <c r="G249" s="107" t="s">
        <v>469</v>
      </c>
      <c r="H249" s="107" t="s">
        <v>942</v>
      </c>
      <c r="I249" s="107" t="s">
        <v>943</v>
      </c>
      <c r="J249" s="107" t="s">
        <v>484</v>
      </c>
      <c r="K249" s="107" t="s">
        <v>458</v>
      </c>
      <c r="L249" s="107" t="s">
        <v>858</v>
      </c>
      <c r="M249" s="113" t="str">
        <f t="shared" si="4"/>
        <v>View on Google Map</v>
      </c>
    </row>
    <row r="250" spans="1:13" x14ac:dyDescent="0.2">
      <c r="A250" s="107">
        <v>187</v>
      </c>
      <c r="B250" s="107" t="s">
        <v>944</v>
      </c>
      <c r="C250" s="107" t="s">
        <v>458</v>
      </c>
      <c r="D250" s="107">
        <v>68.618183329999994</v>
      </c>
      <c r="E250" s="107">
        <v>-149.596766</v>
      </c>
      <c r="F250" s="107">
        <v>728</v>
      </c>
      <c r="G250" s="107" t="s">
        <v>483</v>
      </c>
      <c r="H250" s="107" t="s">
        <v>945</v>
      </c>
      <c r="I250" s="107" t="s">
        <v>946</v>
      </c>
      <c r="J250" s="107" t="s">
        <v>484</v>
      </c>
      <c r="K250" s="107" t="s">
        <v>458</v>
      </c>
      <c r="L250" s="107" t="s">
        <v>873</v>
      </c>
      <c r="M250" s="113" t="str">
        <f t="shared" si="4"/>
        <v>View on Google Map</v>
      </c>
    </row>
    <row r="251" spans="1:13" x14ac:dyDescent="0.2">
      <c r="A251" s="107">
        <v>184</v>
      </c>
      <c r="B251" s="107" t="s">
        <v>947</v>
      </c>
      <c r="C251" s="107" t="s">
        <v>458</v>
      </c>
      <c r="D251" s="107">
        <v>68.601830000000007</v>
      </c>
      <c r="E251" s="107">
        <v>-149.59671299999999</v>
      </c>
      <c r="F251" s="107">
        <v>742</v>
      </c>
      <c r="G251" s="107" t="s">
        <v>483</v>
      </c>
      <c r="H251" s="107" t="s">
        <v>948</v>
      </c>
      <c r="I251" s="107" t="s">
        <v>949</v>
      </c>
      <c r="J251" s="107" t="s">
        <v>484</v>
      </c>
      <c r="K251" s="107" t="s">
        <v>458</v>
      </c>
      <c r="L251" s="107" t="s">
        <v>873</v>
      </c>
      <c r="M251" s="113" t="str">
        <f t="shared" si="4"/>
        <v>View on Google Map</v>
      </c>
    </row>
    <row r="252" spans="1:13" x14ac:dyDescent="0.2">
      <c r="A252" s="107">
        <v>118</v>
      </c>
      <c r="B252" s="107" t="s">
        <v>950</v>
      </c>
      <c r="C252" s="107" t="s">
        <v>458</v>
      </c>
      <c r="D252" s="107">
        <v>68.6101575207</v>
      </c>
      <c r="E252" s="107">
        <v>-149.582211513</v>
      </c>
      <c r="F252" s="107">
        <v>744</v>
      </c>
      <c r="G252" s="107" t="s">
        <v>469</v>
      </c>
      <c r="H252" s="107" t="s">
        <v>951</v>
      </c>
      <c r="I252" s="107" t="s">
        <v>952</v>
      </c>
      <c r="J252" s="107" t="s">
        <v>484</v>
      </c>
      <c r="K252" s="107" t="s">
        <v>458</v>
      </c>
      <c r="L252" s="107" t="s">
        <v>858</v>
      </c>
      <c r="M252" s="113" t="str">
        <f t="shared" si="4"/>
        <v>View on Google Map</v>
      </c>
    </row>
    <row r="253" spans="1:13" x14ac:dyDescent="0.2">
      <c r="A253" s="107">
        <v>172</v>
      </c>
      <c r="B253" s="107" t="s">
        <v>953</v>
      </c>
      <c r="C253" s="107" t="s">
        <v>458</v>
      </c>
      <c r="D253" s="107">
        <v>68.573666666666668</v>
      </c>
      <c r="E253" s="107">
        <v>-149.53716666666699</v>
      </c>
      <c r="F253" s="107">
        <v>808</v>
      </c>
      <c r="G253" s="107" t="s">
        <v>483</v>
      </c>
      <c r="H253" s="107" t="s">
        <v>954</v>
      </c>
      <c r="I253" s="107" t="s">
        <v>955</v>
      </c>
      <c r="J253" s="107" t="s">
        <v>484</v>
      </c>
      <c r="K253" s="107" t="s">
        <v>458</v>
      </c>
      <c r="L253" s="107" t="s">
        <v>873</v>
      </c>
      <c r="M253" s="113" t="str">
        <f t="shared" si="4"/>
        <v>View on Google Map</v>
      </c>
    </row>
    <row r="254" spans="1:13" x14ac:dyDescent="0.2">
      <c r="A254" s="107">
        <v>533</v>
      </c>
      <c r="B254" s="107" t="s">
        <v>956</v>
      </c>
      <c r="C254" s="107" t="s">
        <v>929</v>
      </c>
      <c r="D254" s="107">
        <v>68.599999999999994</v>
      </c>
      <c r="E254" s="107">
        <v>-149.57599999999999</v>
      </c>
      <c r="F254" s="107">
        <v>762</v>
      </c>
      <c r="G254" s="107" t="s">
        <v>483</v>
      </c>
      <c r="H254" s="107" t="s">
        <v>458</v>
      </c>
      <c r="I254" s="107" t="s">
        <v>458</v>
      </c>
      <c r="J254" s="107" t="s">
        <v>470</v>
      </c>
      <c r="K254" s="107" t="s">
        <v>458</v>
      </c>
      <c r="L254" s="107" t="s">
        <v>930</v>
      </c>
      <c r="M254" s="113" t="str">
        <f t="shared" si="4"/>
        <v>View on Google Map</v>
      </c>
    </row>
    <row r="255" spans="1:13" x14ac:dyDescent="0.2">
      <c r="A255" s="107">
        <v>534</v>
      </c>
      <c r="B255" s="107" t="s">
        <v>957</v>
      </c>
      <c r="C255" s="107" t="s">
        <v>929</v>
      </c>
      <c r="D255" s="107">
        <v>68.601493000000005</v>
      </c>
      <c r="E255" s="107">
        <v>-149.579071</v>
      </c>
      <c r="F255" s="107">
        <v>760</v>
      </c>
      <c r="G255" s="107" t="s">
        <v>483</v>
      </c>
      <c r="H255" s="107" t="s">
        <v>458</v>
      </c>
      <c r="I255" s="107" t="s">
        <v>458</v>
      </c>
      <c r="J255" s="107" t="s">
        <v>470</v>
      </c>
      <c r="K255" s="107" t="s">
        <v>458</v>
      </c>
      <c r="L255" s="107" t="s">
        <v>930</v>
      </c>
      <c r="M255" s="113" t="str">
        <f t="shared" si="4"/>
        <v>View on Google Map</v>
      </c>
    </row>
    <row r="256" spans="1:13" x14ac:dyDescent="0.2">
      <c r="A256" s="107">
        <v>185</v>
      </c>
      <c r="B256" s="107" t="s">
        <v>958</v>
      </c>
      <c r="C256" s="107" t="s">
        <v>458</v>
      </c>
      <c r="D256" s="107">
        <v>68.60853333</v>
      </c>
      <c r="E256" s="107">
        <v>-149.58763300000001</v>
      </c>
      <c r="F256" s="107">
        <v>744</v>
      </c>
      <c r="G256" s="107" t="s">
        <v>483</v>
      </c>
      <c r="H256" s="107" t="s">
        <v>959</v>
      </c>
      <c r="I256" s="107" t="s">
        <v>960</v>
      </c>
      <c r="J256" s="107" t="s">
        <v>484</v>
      </c>
      <c r="K256" s="107" t="s">
        <v>458</v>
      </c>
      <c r="L256" s="107" t="s">
        <v>873</v>
      </c>
      <c r="M256" s="113" t="str">
        <f t="shared" si="4"/>
        <v>View on Google Map</v>
      </c>
    </row>
    <row r="257" spans="1:13" x14ac:dyDescent="0.2">
      <c r="A257" s="107">
        <v>547</v>
      </c>
      <c r="B257" s="107" t="s">
        <v>961</v>
      </c>
      <c r="C257" s="107" t="s">
        <v>962</v>
      </c>
      <c r="D257" s="107">
        <v>68.611012000000002</v>
      </c>
      <c r="E257" s="107">
        <v>-149.57365200000001</v>
      </c>
      <c r="F257" s="107">
        <v>744</v>
      </c>
      <c r="G257" s="107" t="s">
        <v>483</v>
      </c>
      <c r="H257" s="107" t="s">
        <v>458</v>
      </c>
      <c r="I257" s="107" t="s">
        <v>458</v>
      </c>
      <c r="J257" s="107" t="s">
        <v>963</v>
      </c>
      <c r="K257" s="107" t="s">
        <v>458</v>
      </c>
      <c r="L257" s="107" t="s">
        <v>964</v>
      </c>
      <c r="M257" s="113" t="str">
        <f t="shared" si="4"/>
        <v>View on Google Map</v>
      </c>
    </row>
    <row r="258" spans="1:13" x14ac:dyDescent="0.2">
      <c r="A258" s="107">
        <v>548</v>
      </c>
      <c r="B258" s="107" t="s">
        <v>965</v>
      </c>
      <c r="C258" s="107" t="s">
        <v>962</v>
      </c>
      <c r="D258" s="107">
        <v>68.612117999999995</v>
      </c>
      <c r="E258" s="107">
        <v>-149.576359</v>
      </c>
      <c r="F258" s="107">
        <v>744</v>
      </c>
      <c r="G258" s="107" t="s">
        <v>483</v>
      </c>
      <c r="H258" s="107" t="s">
        <v>458</v>
      </c>
      <c r="I258" s="107" t="s">
        <v>458</v>
      </c>
      <c r="J258" s="107" t="s">
        <v>963</v>
      </c>
      <c r="K258" s="107" t="s">
        <v>458</v>
      </c>
      <c r="L258" s="107" t="s">
        <v>964</v>
      </c>
      <c r="M258" s="113" t="str">
        <f t="shared" si="4"/>
        <v>View on Google Map</v>
      </c>
    </row>
    <row r="259" spans="1:13" x14ac:dyDescent="0.2">
      <c r="A259" s="107">
        <v>546</v>
      </c>
      <c r="B259" s="107" t="s">
        <v>966</v>
      </c>
      <c r="C259" s="107" t="s">
        <v>962</v>
      </c>
      <c r="D259" s="107">
        <v>68.608949999999993</v>
      </c>
      <c r="E259" s="107">
        <v>-149.57907399999999</v>
      </c>
      <c r="F259" s="107">
        <v>744</v>
      </c>
      <c r="G259" s="107" t="s">
        <v>483</v>
      </c>
      <c r="H259" s="107" t="s">
        <v>458</v>
      </c>
      <c r="I259" s="107" t="s">
        <v>458</v>
      </c>
      <c r="J259" s="107" t="s">
        <v>963</v>
      </c>
      <c r="K259" s="107" t="s">
        <v>458</v>
      </c>
      <c r="L259" s="107" t="s">
        <v>964</v>
      </c>
      <c r="M259" s="113" t="str">
        <f t="shared" ref="M259:M322" si="5">HYPERLINK("http://maps.google.com/maps?q="&amp;D259&amp;","&amp;E259,"View on Google Map")</f>
        <v>View on Google Map</v>
      </c>
    </row>
    <row r="260" spans="1:13" x14ac:dyDescent="0.2">
      <c r="A260" s="107">
        <v>545</v>
      </c>
      <c r="B260" s="107" t="s">
        <v>967</v>
      </c>
      <c r="C260" s="107" t="s">
        <v>962</v>
      </c>
      <c r="D260" s="107">
        <v>68.609307999999999</v>
      </c>
      <c r="E260" s="107">
        <v>-149.57375200000001</v>
      </c>
      <c r="F260" s="107">
        <v>744</v>
      </c>
      <c r="G260" s="107" t="s">
        <v>483</v>
      </c>
      <c r="H260" s="107" t="s">
        <v>458</v>
      </c>
      <c r="I260" s="107" t="s">
        <v>458</v>
      </c>
      <c r="J260" s="107" t="s">
        <v>963</v>
      </c>
      <c r="K260" s="107" t="s">
        <v>458</v>
      </c>
      <c r="L260" s="107" t="s">
        <v>964</v>
      </c>
      <c r="M260" s="113" t="str">
        <f t="shared" si="5"/>
        <v>View on Google Map</v>
      </c>
    </row>
    <row r="261" spans="1:13" x14ac:dyDescent="0.2">
      <c r="A261" s="107">
        <v>549</v>
      </c>
      <c r="B261" s="107" t="s">
        <v>968</v>
      </c>
      <c r="C261" s="107" t="s">
        <v>458</v>
      </c>
      <c r="D261" s="107" t="s">
        <v>458</v>
      </c>
      <c r="E261" s="107" t="s">
        <v>458</v>
      </c>
      <c r="F261" s="107" t="s">
        <v>458</v>
      </c>
      <c r="G261" s="107" t="s">
        <v>483</v>
      </c>
      <c r="H261" s="107" t="s">
        <v>458</v>
      </c>
      <c r="I261" s="107" t="s">
        <v>458</v>
      </c>
      <c r="J261" s="107" t="s">
        <v>470</v>
      </c>
      <c r="K261" s="107" t="s">
        <v>458</v>
      </c>
      <c r="L261" s="107" t="s">
        <v>969</v>
      </c>
      <c r="M261" s="113" t="str">
        <f t="shared" si="5"/>
        <v>View on Google Map</v>
      </c>
    </row>
    <row r="262" spans="1:13" x14ac:dyDescent="0.2">
      <c r="A262" s="107">
        <v>188</v>
      </c>
      <c r="B262" s="107" t="s">
        <v>970</v>
      </c>
      <c r="C262" s="107" t="s">
        <v>458</v>
      </c>
      <c r="D262" s="107">
        <v>68.61838333</v>
      </c>
      <c r="E262" s="107">
        <v>-149.59649999999999</v>
      </c>
      <c r="F262" s="107">
        <v>728</v>
      </c>
      <c r="G262" s="107" t="s">
        <v>483</v>
      </c>
      <c r="H262" s="107" t="s">
        <v>971</v>
      </c>
      <c r="I262" s="107" t="s">
        <v>972</v>
      </c>
      <c r="J262" s="107" t="s">
        <v>484</v>
      </c>
      <c r="K262" s="107" t="s">
        <v>458</v>
      </c>
      <c r="L262" s="107" t="s">
        <v>873</v>
      </c>
      <c r="M262" s="113" t="str">
        <f t="shared" si="5"/>
        <v>View on Google Map</v>
      </c>
    </row>
    <row r="263" spans="1:13" x14ac:dyDescent="0.2">
      <c r="A263" s="107">
        <v>541</v>
      </c>
      <c r="B263" s="107" t="s">
        <v>973</v>
      </c>
      <c r="C263" s="107" t="s">
        <v>962</v>
      </c>
      <c r="D263" s="107">
        <v>68.609846000000005</v>
      </c>
      <c r="E263" s="107">
        <v>-149.58295100000001</v>
      </c>
      <c r="F263" s="107">
        <v>744</v>
      </c>
      <c r="G263" s="107" t="s">
        <v>469</v>
      </c>
      <c r="H263" s="107" t="s">
        <v>458</v>
      </c>
      <c r="I263" s="107" t="s">
        <v>458</v>
      </c>
      <c r="J263" s="107" t="s">
        <v>963</v>
      </c>
      <c r="K263" s="107" t="s">
        <v>458</v>
      </c>
      <c r="L263" s="107" t="s">
        <v>964</v>
      </c>
      <c r="M263" s="113" t="str">
        <f t="shared" si="5"/>
        <v>View on Google Map</v>
      </c>
    </row>
    <row r="264" spans="1:13" x14ac:dyDescent="0.2">
      <c r="A264" s="107">
        <v>539</v>
      </c>
      <c r="B264" s="107" t="s">
        <v>974</v>
      </c>
      <c r="C264" s="107" t="s">
        <v>962</v>
      </c>
      <c r="D264" s="107">
        <v>68.610575999999995</v>
      </c>
      <c r="E264" s="107">
        <v>-149.576018</v>
      </c>
      <c r="F264" s="107">
        <v>744</v>
      </c>
      <c r="G264" s="107" t="s">
        <v>469</v>
      </c>
      <c r="H264" s="107" t="s">
        <v>458</v>
      </c>
      <c r="I264" s="107" t="s">
        <v>458</v>
      </c>
      <c r="J264" s="107" t="s">
        <v>963</v>
      </c>
      <c r="K264" s="107" t="s">
        <v>458</v>
      </c>
      <c r="L264" s="107" t="s">
        <v>964</v>
      </c>
      <c r="M264" s="113" t="str">
        <f t="shared" si="5"/>
        <v>View on Google Map</v>
      </c>
    </row>
    <row r="265" spans="1:13" x14ac:dyDescent="0.2">
      <c r="A265" s="107">
        <v>538</v>
      </c>
      <c r="B265" s="107" t="s">
        <v>975</v>
      </c>
      <c r="C265" s="107" t="s">
        <v>962</v>
      </c>
      <c r="D265" s="107">
        <v>68.610889</v>
      </c>
      <c r="E265" s="107">
        <v>-149.576108</v>
      </c>
      <c r="F265" s="107">
        <v>744</v>
      </c>
      <c r="G265" s="107" t="s">
        <v>483</v>
      </c>
      <c r="H265" s="107" t="s">
        <v>458</v>
      </c>
      <c r="I265" s="107" t="s">
        <v>458</v>
      </c>
      <c r="J265" s="107" t="s">
        <v>963</v>
      </c>
      <c r="K265" s="107" t="s">
        <v>458</v>
      </c>
      <c r="L265" s="107" t="s">
        <v>964</v>
      </c>
      <c r="M265" s="113" t="str">
        <f t="shared" si="5"/>
        <v>View on Google Map</v>
      </c>
    </row>
    <row r="266" spans="1:13" x14ac:dyDescent="0.2">
      <c r="A266" s="107">
        <v>544</v>
      </c>
      <c r="B266" s="107" t="s">
        <v>976</v>
      </c>
      <c r="C266" s="107" t="s">
        <v>962</v>
      </c>
      <c r="D266" s="107">
        <v>68.610529</v>
      </c>
      <c r="E266" s="107">
        <v>-149.58864199999999</v>
      </c>
      <c r="F266" s="107">
        <v>744</v>
      </c>
      <c r="G266" s="107" t="s">
        <v>469</v>
      </c>
      <c r="H266" s="107" t="s">
        <v>458</v>
      </c>
      <c r="I266" s="107" t="s">
        <v>458</v>
      </c>
      <c r="J266" s="107" t="s">
        <v>963</v>
      </c>
      <c r="K266" s="107" t="s">
        <v>458</v>
      </c>
      <c r="L266" s="107" t="s">
        <v>964</v>
      </c>
      <c r="M266" s="113" t="str">
        <f t="shared" si="5"/>
        <v>View on Google Map</v>
      </c>
    </row>
    <row r="267" spans="1:13" x14ac:dyDescent="0.2">
      <c r="A267" s="107">
        <v>540</v>
      </c>
      <c r="B267" s="107" t="s">
        <v>977</v>
      </c>
      <c r="C267" s="107" t="s">
        <v>962</v>
      </c>
      <c r="D267" s="107">
        <v>68.609842</v>
      </c>
      <c r="E267" s="107">
        <v>-149.575346</v>
      </c>
      <c r="F267" s="107">
        <v>744</v>
      </c>
      <c r="G267" s="107" t="s">
        <v>469</v>
      </c>
      <c r="H267" s="107" t="s">
        <v>458</v>
      </c>
      <c r="I267" s="107" t="s">
        <v>458</v>
      </c>
      <c r="J267" s="107" t="s">
        <v>963</v>
      </c>
      <c r="K267" s="107" t="s">
        <v>458</v>
      </c>
      <c r="L267" s="107" t="s">
        <v>964</v>
      </c>
      <c r="M267" s="113" t="str">
        <f t="shared" si="5"/>
        <v>View on Google Map</v>
      </c>
    </row>
    <row r="268" spans="1:13" x14ac:dyDescent="0.2">
      <c r="A268" s="107">
        <v>542</v>
      </c>
      <c r="B268" s="107" t="s">
        <v>978</v>
      </c>
      <c r="C268" s="107" t="s">
        <v>962</v>
      </c>
      <c r="D268" s="107">
        <v>68.609202999999994</v>
      </c>
      <c r="E268" s="107">
        <v>-149.588257</v>
      </c>
      <c r="F268" s="107">
        <v>744</v>
      </c>
      <c r="G268" s="107" t="s">
        <v>469</v>
      </c>
      <c r="H268" s="107" t="s">
        <v>458</v>
      </c>
      <c r="I268" s="107" t="s">
        <v>458</v>
      </c>
      <c r="J268" s="107" t="s">
        <v>963</v>
      </c>
      <c r="K268" s="107" t="s">
        <v>458</v>
      </c>
      <c r="L268" s="107" t="s">
        <v>964</v>
      </c>
      <c r="M268" s="113" t="str">
        <f t="shared" si="5"/>
        <v>View on Google Map</v>
      </c>
    </row>
    <row r="269" spans="1:13" x14ac:dyDescent="0.2">
      <c r="A269" s="107">
        <v>543</v>
      </c>
      <c r="B269" s="107" t="s">
        <v>979</v>
      </c>
      <c r="C269" s="107" t="s">
        <v>962</v>
      </c>
      <c r="D269" s="107">
        <v>68.610028</v>
      </c>
      <c r="E269" s="107">
        <v>-149.588391</v>
      </c>
      <c r="F269" s="107">
        <v>744</v>
      </c>
      <c r="G269" s="107" t="s">
        <v>469</v>
      </c>
      <c r="H269" s="107" t="s">
        <v>458</v>
      </c>
      <c r="I269" s="107" t="s">
        <v>458</v>
      </c>
      <c r="J269" s="107" t="s">
        <v>963</v>
      </c>
      <c r="K269" s="107" t="s">
        <v>458</v>
      </c>
      <c r="L269" s="107" t="s">
        <v>964</v>
      </c>
      <c r="M269" s="113" t="str">
        <f t="shared" si="5"/>
        <v>View on Google Map</v>
      </c>
    </row>
    <row r="270" spans="1:13" x14ac:dyDescent="0.2">
      <c r="A270" s="107">
        <v>537</v>
      </c>
      <c r="B270" s="107" t="s">
        <v>980</v>
      </c>
      <c r="C270" s="107" t="s">
        <v>962</v>
      </c>
      <c r="D270" s="107">
        <v>68.611514</v>
      </c>
      <c r="E270" s="107">
        <v>-149.577617</v>
      </c>
      <c r="F270" s="107">
        <v>744</v>
      </c>
      <c r="G270" s="107" t="s">
        <v>483</v>
      </c>
      <c r="H270" s="107" t="s">
        <v>458</v>
      </c>
      <c r="I270" s="107" t="s">
        <v>458</v>
      </c>
      <c r="J270" s="107" t="s">
        <v>963</v>
      </c>
      <c r="K270" s="107" t="s">
        <v>458</v>
      </c>
      <c r="L270" s="107" t="s">
        <v>964</v>
      </c>
      <c r="M270" s="113" t="str">
        <f t="shared" si="5"/>
        <v>View on Google Map</v>
      </c>
    </row>
    <row r="271" spans="1:13" x14ac:dyDescent="0.2">
      <c r="A271" s="107">
        <v>15</v>
      </c>
      <c r="B271" s="107" t="s">
        <v>981</v>
      </c>
      <c r="C271" s="107" t="s">
        <v>458</v>
      </c>
      <c r="D271" s="107" t="s">
        <v>458</v>
      </c>
      <c r="E271" s="107" t="s">
        <v>458</v>
      </c>
      <c r="F271" s="107">
        <v>744</v>
      </c>
      <c r="G271" s="107" t="s">
        <v>483</v>
      </c>
      <c r="H271" s="107" t="s">
        <v>982</v>
      </c>
      <c r="I271" s="107" t="s">
        <v>983</v>
      </c>
      <c r="J271" s="107" t="s">
        <v>484</v>
      </c>
      <c r="K271" s="107">
        <v>186</v>
      </c>
      <c r="L271" s="107" t="s">
        <v>458</v>
      </c>
      <c r="M271" s="113" t="str">
        <f t="shared" si="5"/>
        <v>View on Google Map</v>
      </c>
    </row>
    <row r="272" spans="1:13" x14ac:dyDescent="0.2">
      <c r="A272" s="107">
        <v>305</v>
      </c>
      <c r="B272" s="107" t="s">
        <v>984</v>
      </c>
      <c r="C272" s="107" t="s">
        <v>985</v>
      </c>
      <c r="D272" s="107" t="s">
        <v>458</v>
      </c>
      <c r="E272" s="107" t="s">
        <v>458</v>
      </c>
      <c r="F272" s="107" t="s">
        <v>458</v>
      </c>
      <c r="G272" s="107" t="s">
        <v>483</v>
      </c>
      <c r="H272" s="107" t="s">
        <v>986</v>
      </c>
      <c r="I272" s="107" t="s">
        <v>987</v>
      </c>
      <c r="J272" s="107" t="s">
        <v>484</v>
      </c>
      <c r="K272" s="107" t="s">
        <v>458</v>
      </c>
      <c r="L272" s="107" t="s">
        <v>873</v>
      </c>
      <c r="M272" s="113" t="str">
        <f t="shared" si="5"/>
        <v>View on Google Map</v>
      </c>
    </row>
    <row r="273" spans="1:13" x14ac:dyDescent="0.2">
      <c r="A273" s="107">
        <v>119</v>
      </c>
      <c r="B273" s="107" t="s">
        <v>988</v>
      </c>
      <c r="C273" s="107" t="s">
        <v>458</v>
      </c>
      <c r="D273" s="107">
        <v>68.618964513199998</v>
      </c>
      <c r="E273" s="107">
        <v>-149.59549733099999</v>
      </c>
      <c r="F273" s="107">
        <v>728</v>
      </c>
      <c r="G273" s="107" t="s">
        <v>469</v>
      </c>
      <c r="H273" s="107" t="s">
        <v>989</v>
      </c>
      <c r="I273" s="107" t="s">
        <v>990</v>
      </c>
      <c r="J273" s="107" t="s">
        <v>484</v>
      </c>
      <c r="K273" s="107" t="s">
        <v>458</v>
      </c>
      <c r="L273" s="107" t="s">
        <v>858</v>
      </c>
      <c r="M273" s="113" t="str">
        <f t="shared" si="5"/>
        <v>View on Google Map</v>
      </c>
    </row>
    <row r="274" spans="1:13" x14ac:dyDescent="0.2">
      <c r="A274" s="107">
        <v>244</v>
      </c>
      <c r="B274" s="107" t="s">
        <v>991</v>
      </c>
      <c r="C274" s="107" t="s">
        <v>458</v>
      </c>
      <c r="D274" s="107">
        <v>68.619383330000005</v>
      </c>
      <c r="E274" s="107">
        <v>-149.59528299999999</v>
      </c>
      <c r="F274" s="107">
        <v>728</v>
      </c>
      <c r="G274" s="107" t="s">
        <v>483</v>
      </c>
      <c r="H274" s="107" t="s">
        <v>992</v>
      </c>
      <c r="I274" s="107" t="s">
        <v>993</v>
      </c>
      <c r="J274" s="107" t="s">
        <v>484</v>
      </c>
      <c r="K274" s="107" t="s">
        <v>458</v>
      </c>
      <c r="L274" s="107" t="s">
        <v>873</v>
      </c>
      <c r="M274" s="113" t="str">
        <f t="shared" si="5"/>
        <v>View on Google Map</v>
      </c>
    </row>
    <row r="275" spans="1:13" x14ac:dyDescent="0.2">
      <c r="B275" s="107" t="s">
        <v>994</v>
      </c>
      <c r="C275" s="107" t="s">
        <v>855</v>
      </c>
      <c r="D275" s="107">
        <v>68.544377999999995</v>
      </c>
      <c r="E275" s="107">
        <v>-149.521467</v>
      </c>
      <c r="G275" s="107" t="s">
        <v>995</v>
      </c>
      <c r="J275" s="18" t="s">
        <v>484</v>
      </c>
      <c r="M275" s="113" t="str">
        <f t="shared" si="5"/>
        <v>View on Google Map</v>
      </c>
    </row>
    <row r="276" spans="1:13" x14ac:dyDescent="0.2">
      <c r="B276" s="107" t="s">
        <v>996</v>
      </c>
      <c r="C276" s="107" t="s">
        <v>855</v>
      </c>
      <c r="D276" s="107">
        <v>68.548204999999996</v>
      </c>
      <c r="E276" s="107">
        <v>-149.52195</v>
      </c>
      <c r="G276" s="107" t="s">
        <v>995</v>
      </c>
      <c r="J276" s="18" t="s">
        <v>484</v>
      </c>
      <c r="M276" s="113" t="str">
        <f t="shared" si="5"/>
        <v>View on Google Map</v>
      </c>
    </row>
    <row r="277" spans="1:13" x14ac:dyDescent="0.2">
      <c r="B277" s="107" t="s">
        <v>997</v>
      </c>
      <c r="C277" s="107" t="s">
        <v>855</v>
      </c>
      <c r="D277" s="107">
        <v>68.548062999999999</v>
      </c>
      <c r="E277" s="107">
        <v>-149.521309</v>
      </c>
      <c r="G277" s="107" t="s">
        <v>995</v>
      </c>
      <c r="J277" s="18" t="s">
        <v>484</v>
      </c>
      <c r="M277" s="113" t="str">
        <f t="shared" si="5"/>
        <v>View on Google Map</v>
      </c>
    </row>
    <row r="278" spans="1:13" x14ac:dyDescent="0.2">
      <c r="B278" s="107" t="s">
        <v>998</v>
      </c>
      <c r="C278" s="107" t="s">
        <v>855</v>
      </c>
      <c r="D278" s="107">
        <v>68.544113999999993</v>
      </c>
      <c r="E278" s="107">
        <v>-149.52220800000001</v>
      </c>
      <c r="G278" s="107" t="s">
        <v>995</v>
      </c>
      <c r="J278" s="18" t="s">
        <v>484</v>
      </c>
      <c r="M278" s="113" t="str">
        <f t="shared" si="5"/>
        <v>View on Google Map</v>
      </c>
    </row>
    <row r="279" spans="1:13" x14ac:dyDescent="0.2">
      <c r="B279" s="107" t="s">
        <v>999</v>
      </c>
      <c r="C279" s="107" t="s">
        <v>855</v>
      </c>
      <c r="D279" s="107">
        <v>68.547873999999993</v>
      </c>
      <c r="E279" s="107">
        <v>-149.52158900000001</v>
      </c>
      <c r="G279" s="107" t="s">
        <v>995</v>
      </c>
      <c r="J279" s="18" t="s">
        <v>484</v>
      </c>
      <c r="M279" s="113" t="str">
        <f t="shared" si="5"/>
        <v>View on Google Map</v>
      </c>
    </row>
    <row r="280" spans="1:13" x14ac:dyDescent="0.2">
      <c r="B280" s="107" t="s">
        <v>1000</v>
      </c>
      <c r="C280" s="107" t="s">
        <v>855</v>
      </c>
      <c r="D280" s="107">
        <v>68.616620304999998</v>
      </c>
      <c r="E280" s="107">
        <v>-149.31797396100001</v>
      </c>
      <c r="F280" s="107">
        <v>880.55700000000002</v>
      </c>
      <c r="G280" s="107" t="s">
        <v>995</v>
      </c>
      <c r="J280" s="18" t="s">
        <v>484</v>
      </c>
      <c r="M280" s="113" t="str">
        <f t="shared" si="5"/>
        <v>View on Google Map</v>
      </c>
    </row>
    <row r="281" spans="1:13" x14ac:dyDescent="0.2">
      <c r="B281" s="107" t="s">
        <v>1001</v>
      </c>
      <c r="C281" s="107" t="s">
        <v>855</v>
      </c>
      <c r="D281" s="107">
        <v>68.618287679000005</v>
      </c>
      <c r="E281" s="107">
        <v>-149.318578011</v>
      </c>
      <c r="F281" s="107">
        <v>877.59500000000003</v>
      </c>
      <c r="G281" s="107" t="s">
        <v>995</v>
      </c>
      <c r="J281" s="18" t="s">
        <v>484</v>
      </c>
      <c r="M281" s="113" t="str">
        <f t="shared" si="5"/>
        <v>View on Google Map</v>
      </c>
    </row>
    <row r="282" spans="1:13" x14ac:dyDescent="0.2">
      <c r="B282" s="107" t="s">
        <v>1002</v>
      </c>
      <c r="C282" s="107" t="s">
        <v>855</v>
      </c>
      <c r="D282" s="107">
        <v>68.619548409999993</v>
      </c>
      <c r="E282" s="107">
        <v>-149.31832187699999</v>
      </c>
      <c r="F282" s="107">
        <v>875.59299999999996</v>
      </c>
      <c r="G282" s="107" t="s">
        <v>995</v>
      </c>
      <c r="J282" s="18" t="s">
        <v>484</v>
      </c>
      <c r="M282" s="113" t="str">
        <f t="shared" si="5"/>
        <v>View on Google Map</v>
      </c>
    </row>
    <row r="283" spans="1:13" x14ac:dyDescent="0.2">
      <c r="B283" s="107" t="s">
        <v>1003</v>
      </c>
      <c r="C283" s="107" t="s">
        <v>855</v>
      </c>
      <c r="D283" s="107">
        <v>68.621317497999996</v>
      </c>
      <c r="E283" s="107">
        <v>-149.31921364300001</v>
      </c>
      <c r="F283" s="107">
        <v>874.15200000000004</v>
      </c>
      <c r="G283" s="107" t="s">
        <v>995</v>
      </c>
      <c r="J283" s="18" t="s">
        <v>484</v>
      </c>
      <c r="M283" s="113" t="str">
        <f t="shared" si="5"/>
        <v>View on Google Map</v>
      </c>
    </row>
    <row r="284" spans="1:13" x14ac:dyDescent="0.2">
      <c r="A284" s="107">
        <v>11</v>
      </c>
      <c r="B284" s="107" t="s">
        <v>1004</v>
      </c>
      <c r="C284" s="107" t="s">
        <v>458</v>
      </c>
      <c r="D284" s="107" t="s">
        <v>458</v>
      </c>
      <c r="E284" s="107" t="s">
        <v>458</v>
      </c>
      <c r="F284" s="107">
        <v>884</v>
      </c>
      <c r="G284" s="107" t="s">
        <v>483</v>
      </c>
      <c r="H284" s="107" t="s">
        <v>1005</v>
      </c>
      <c r="I284" s="107" t="s">
        <v>1006</v>
      </c>
      <c r="J284" s="107" t="s">
        <v>484</v>
      </c>
      <c r="K284" s="107" t="s">
        <v>458</v>
      </c>
      <c r="L284" s="107" t="s">
        <v>458</v>
      </c>
      <c r="M284" s="113" t="str">
        <f t="shared" si="5"/>
        <v>View on Google Map</v>
      </c>
    </row>
    <row r="285" spans="1:13" x14ac:dyDescent="0.2">
      <c r="B285" s="107" t="s">
        <v>1007</v>
      </c>
      <c r="C285" s="107" t="s">
        <v>855</v>
      </c>
      <c r="D285" s="107">
        <v>68.625256622999999</v>
      </c>
      <c r="E285" s="107">
        <v>-149.32463380199999</v>
      </c>
      <c r="F285" s="107">
        <v>862.80799999999999</v>
      </c>
      <c r="G285" s="107" t="s">
        <v>995</v>
      </c>
      <c r="J285" s="18" t="s">
        <v>484</v>
      </c>
      <c r="M285" s="113" t="str">
        <f t="shared" si="5"/>
        <v>View on Google Map</v>
      </c>
    </row>
    <row r="286" spans="1:13" x14ac:dyDescent="0.2">
      <c r="B286" s="107" t="s">
        <v>1008</v>
      </c>
      <c r="C286" s="107" t="s">
        <v>855</v>
      </c>
      <c r="D286" s="107">
        <v>68.641922837999999</v>
      </c>
      <c r="E286" s="107">
        <v>-149.342972559</v>
      </c>
      <c r="F286" s="107">
        <v>834.62599999999998</v>
      </c>
      <c r="G286" s="107" t="s">
        <v>995</v>
      </c>
      <c r="J286" s="18" t="s">
        <v>484</v>
      </c>
      <c r="M286" s="113" t="str">
        <f t="shared" si="5"/>
        <v>View on Google Map</v>
      </c>
    </row>
    <row r="287" spans="1:13" x14ac:dyDescent="0.2">
      <c r="A287" s="107">
        <v>1141</v>
      </c>
      <c r="B287" s="107" t="s">
        <v>1009</v>
      </c>
      <c r="C287" s="107" t="s">
        <v>458</v>
      </c>
      <c r="D287" s="107" t="s">
        <v>458</v>
      </c>
      <c r="E287" s="107" t="s">
        <v>458</v>
      </c>
      <c r="F287" s="107" t="s">
        <v>458</v>
      </c>
      <c r="G287" s="107" t="s">
        <v>459</v>
      </c>
      <c r="H287" s="107" t="s">
        <v>1010</v>
      </c>
      <c r="I287" s="107" t="s">
        <v>458</v>
      </c>
      <c r="J287" s="107" t="s">
        <v>484</v>
      </c>
      <c r="K287" s="107" t="s">
        <v>458</v>
      </c>
      <c r="L287" s="107" t="s">
        <v>458</v>
      </c>
      <c r="M287" s="113" t="str">
        <f t="shared" si="5"/>
        <v>View on Google Map</v>
      </c>
    </row>
    <row r="288" spans="1:13" x14ac:dyDescent="0.2">
      <c r="A288" s="107">
        <v>1142</v>
      </c>
      <c r="B288" s="107" t="s">
        <v>1011</v>
      </c>
      <c r="C288" s="107" t="s">
        <v>458</v>
      </c>
      <c r="D288" s="107" t="s">
        <v>458</v>
      </c>
      <c r="E288" s="107" t="s">
        <v>458</v>
      </c>
      <c r="F288" s="107" t="s">
        <v>458</v>
      </c>
      <c r="G288" s="107" t="s">
        <v>483</v>
      </c>
      <c r="H288" s="107" t="s">
        <v>1012</v>
      </c>
      <c r="I288" s="107" t="s">
        <v>458</v>
      </c>
      <c r="J288" s="107" t="s">
        <v>1013</v>
      </c>
      <c r="K288" s="107" t="s">
        <v>458</v>
      </c>
      <c r="L288" s="107" t="s">
        <v>458</v>
      </c>
      <c r="M288" s="113" t="str">
        <f t="shared" si="5"/>
        <v>View on Google Map</v>
      </c>
    </row>
    <row r="289" spans="1:13" x14ac:dyDescent="0.2">
      <c r="A289" s="107">
        <v>1143</v>
      </c>
      <c r="B289" s="107" t="s">
        <v>1014</v>
      </c>
      <c r="C289" s="107" t="s">
        <v>458</v>
      </c>
      <c r="D289" s="107" t="s">
        <v>458</v>
      </c>
      <c r="E289" s="107" t="s">
        <v>458</v>
      </c>
      <c r="F289" s="107" t="s">
        <v>458</v>
      </c>
      <c r="G289" s="107" t="s">
        <v>483</v>
      </c>
      <c r="H289" s="107" t="s">
        <v>458</v>
      </c>
      <c r="I289" s="107" t="s">
        <v>458</v>
      </c>
      <c r="J289" s="107" t="s">
        <v>1013</v>
      </c>
      <c r="K289" s="107" t="s">
        <v>458</v>
      </c>
      <c r="L289" s="107" t="s">
        <v>458</v>
      </c>
      <c r="M289" s="113" t="str">
        <f t="shared" si="5"/>
        <v>View on Google Map</v>
      </c>
    </row>
    <row r="290" spans="1:13" x14ac:dyDescent="0.2">
      <c r="A290" s="107">
        <v>1140</v>
      </c>
      <c r="B290" s="107" t="s">
        <v>1015</v>
      </c>
      <c r="C290" s="107" t="s">
        <v>458</v>
      </c>
      <c r="D290" s="107" t="s">
        <v>458</v>
      </c>
      <c r="E290" s="107" t="s">
        <v>458</v>
      </c>
      <c r="F290" s="107" t="s">
        <v>458</v>
      </c>
      <c r="G290" s="107" t="s">
        <v>459</v>
      </c>
      <c r="H290" s="107" t="s">
        <v>1016</v>
      </c>
      <c r="I290" s="107" t="s">
        <v>1017</v>
      </c>
      <c r="J290" s="107" t="s">
        <v>484</v>
      </c>
      <c r="K290" s="107" t="s">
        <v>458</v>
      </c>
      <c r="L290" s="107" t="s">
        <v>458</v>
      </c>
      <c r="M290" s="113" t="str">
        <f t="shared" si="5"/>
        <v>View on Google Map</v>
      </c>
    </row>
    <row r="291" spans="1:13" x14ac:dyDescent="0.2">
      <c r="A291" s="107">
        <v>1173</v>
      </c>
      <c r="B291" s="107" t="s">
        <v>1018</v>
      </c>
      <c r="C291" s="107" t="s">
        <v>458</v>
      </c>
      <c r="D291" s="107" t="s">
        <v>458</v>
      </c>
      <c r="E291" s="107" t="s">
        <v>458</v>
      </c>
      <c r="F291" s="107" t="s">
        <v>458</v>
      </c>
      <c r="G291" s="107" t="s">
        <v>459</v>
      </c>
      <c r="H291" s="107" t="s">
        <v>1019</v>
      </c>
      <c r="I291" s="107" t="s">
        <v>458</v>
      </c>
      <c r="J291" s="107" t="s">
        <v>465</v>
      </c>
      <c r="K291" s="107" t="s">
        <v>458</v>
      </c>
      <c r="L291" s="107" t="s">
        <v>466</v>
      </c>
      <c r="M291" s="113" t="str">
        <f t="shared" si="5"/>
        <v>View on Google Map</v>
      </c>
    </row>
    <row r="292" spans="1:13" x14ac:dyDescent="0.2">
      <c r="A292" s="107">
        <v>1144</v>
      </c>
      <c r="B292" s="107" t="s">
        <v>1020</v>
      </c>
      <c r="C292" s="107" t="s">
        <v>458</v>
      </c>
      <c r="D292" s="107" t="s">
        <v>458</v>
      </c>
      <c r="E292" s="107" t="s">
        <v>458</v>
      </c>
      <c r="F292" s="107" t="s">
        <v>458</v>
      </c>
      <c r="G292" s="107" t="s">
        <v>483</v>
      </c>
      <c r="H292" s="107" t="s">
        <v>1020</v>
      </c>
      <c r="I292" s="107" t="s">
        <v>458</v>
      </c>
      <c r="J292" s="107" t="s">
        <v>1013</v>
      </c>
      <c r="K292" s="107" t="s">
        <v>458</v>
      </c>
      <c r="L292" s="107" t="s">
        <v>458</v>
      </c>
      <c r="M292" s="113" t="str">
        <f t="shared" si="5"/>
        <v>View on Google Map</v>
      </c>
    </row>
    <row r="293" spans="1:13" x14ac:dyDescent="0.2">
      <c r="A293" s="107">
        <v>1145</v>
      </c>
      <c r="B293" s="107" t="s">
        <v>1021</v>
      </c>
      <c r="C293" s="107" t="s">
        <v>458</v>
      </c>
      <c r="D293" s="107" t="s">
        <v>458</v>
      </c>
      <c r="E293" s="107" t="s">
        <v>458</v>
      </c>
      <c r="F293" s="107" t="s">
        <v>458</v>
      </c>
      <c r="G293" s="107" t="s">
        <v>483</v>
      </c>
      <c r="H293" s="107" t="s">
        <v>1021</v>
      </c>
      <c r="I293" s="107" t="s">
        <v>458</v>
      </c>
      <c r="J293" s="107" t="s">
        <v>1013</v>
      </c>
      <c r="K293" s="107" t="s">
        <v>458</v>
      </c>
      <c r="L293" s="107" t="s">
        <v>458</v>
      </c>
      <c r="M293" s="113" t="str">
        <f t="shared" si="5"/>
        <v>View on Google Map</v>
      </c>
    </row>
    <row r="294" spans="1:13" x14ac:dyDescent="0.2">
      <c r="A294" s="107">
        <v>1146</v>
      </c>
      <c r="B294" s="107" t="s">
        <v>1022</v>
      </c>
      <c r="C294" s="107" t="s">
        <v>458</v>
      </c>
      <c r="D294" s="107" t="s">
        <v>458</v>
      </c>
      <c r="E294" s="107" t="s">
        <v>458</v>
      </c>
      <c r="F294" s="107" t="s">
        <v>458</v>
      </c>
      <c r="G294" s="107" t="s">
        <v>459</v>
      </c>
      <c r="H294" s="107" t="s">
        <v>1022</v>
      </c>
      <c r="I294" s="107" t="s">
        <v>458</v>
      </c>
      <c r="J294" s="107" t="s">
        <v>1013</v>
      </c>
      <c r="K294" s="107" t="s">
        <v>458</v>
      </c>
      <c r="L294" s="107" t="s">
        <v>458</v>
      </c>
      <c r="M294" s="113" t="str">
        <f t="shared" si="5"/>
        <v>View on Google Map</v>
      </c>
    </row>
    <row r="295" spans="1:13" x14ac:dyDescent="0.2">
      <c r="A295" s="107">
        <v>1147</v>
      </c>
      <c r="B295" s="107" t="s">
        <v>1023</v>
      </c>
      <c r="C295" s="107" t="s">
        <v>458</v>
      </c>
      <c r="D295" s="107" t="s">
        <v>458</v>
      </c>
      <c r="E295" s="107" t="s">
        <v>458</v>
      </c>
      <c r="F295" s="107" t="s">
        <v>458</v>
      </c>
      <c r="G295" s="107" t="s">
        <v>459</v>
      </c>
      <c r="H295" s="107" t="s">
        <v>1023</v>
      </c>
      <c r="I295" s="107" t="s">
        <v>458</v>
      </c>
      <c r="J295" s="107" t="s">
        <v>1013</v>
      </c>
      <c r="K295" s="107" t="s">
        <v>458</v>
      </c>
      <c r="L295" s="107" t="s">
        <v>458</v>
      </c>
      <c r="M295" s="113" t="str">
        <f t="shared" si="5"/>
        <v>View on Google Map</v>
      </c>
    </row>
    <row r="296" spans="1:13" x14ac:dyDescent="0.2">
      <c r="A296" s="107">
        <v>1148</v>
      </c>
      <c r="B296" s="107" t="s">
        <v>1024</v>
      </c>
      <c r="C296" s="107" t="s">
        <v>458</v>
      </c>
      <c r="D296" s="107" t="s">
        <v>458</v>
      </c>
      <c r="E296" s="107" t="s">
        <v>458</v>
      </c>
      <c r="F296" s="107" t="s">
        <v>458</v>
      </c>
      <c r="G296" s="107" t="s">
        <v>459</v>
      </c>
      <c r="H296" s="107" t="s">
        <v>1024</v>
      </c>
      <c r="I296" s="107" t="s">
        <v>1025</v>
      </c>
      <c r="J296" s="107" t="s">
        <v>1013</v>
      </c>
      <c r="K296" s="107" t="s">
        <v>458</v>
      </c>
      <c r="L296" s="107" t="s">
        <v>458</v>
      </c>
      <c r="M296" s="113" t="str">
        <f t="shared" si="5"/>
        <v>View on Google Map</v>
      </c>
    </row>
    <row r="297" spans="1:13" x14ac:dyDescent="0.2">
      <c r="A297" s="107">
        <v>1149</v>
      </c>
      <c r="B297" s="107" t="s">
        <v>1026</v>
      </c>
      <c r="C297" s="107" t="s">
        <v>458</v>
      </c>
      <c r="D297" s="107" t="s">
        <v>458</v>
      </c>
      <c r="E297" s="107" t="s">
        <v>458</v>
      </c>
      <c r="F297" s="107" t="s">
        <v>458</v>
      </c>
      <c r="G297" s="107" t="s">
        <v>459</v>
      </c>
      <c r="H297" s="107" t="s">
        <v>1026</v>
      </c>
      <c r="I297" s="107" t="s">
        <v>1027</v>
      </c>
      <c r="J297" s="107" t="s">
        <v>1013</v>
      </c>
      <c r="K297" s="107" t="s">
        <v>458</v>
      </c>
      <c r="L297" s="107" t="s">
        <v>458</v>
      </c>
      <c r="M297" s="113" t="str">
        <f t="shared" si="5"/>
        <v>View on Google Map</v>
      </c>
    </row>
    <row r="298" spans="1:13" x14ac:dyDescent="0.2">
      <c r="A298" s="107">
        <v>1150</v>
      </c>
      <c r="B298" s="107" t="s">
        <v>1028</v>
      </c>
      <c r="C298" s="107" t="s">
        <v>458</v>
      </c>
      <c r="D298" s="107" t="s">
        <v>458</v>
      </c>
      <c r="E298" s="107" t="s">
        <v>458</v>
      </c>
      <c r="F298" s="107" t="s">
        <v>458</v>
      </c>
      <c r="G298" s="107" t="s">
        <v>459</v>
      </c>
      <c r="H298" s="107" t="s">
        <v>1028</v>
      </c>
      <c r="I298" s="107" t="s">
        <v>1029</v>
      </c>
      <c r="J298" s="107" t="s">
        <v>1013</v>
      </c>
      <c r="K298" s="107" t="s">
        <v>458</v>
      </c>
      <c r="L298" s="107" t="s">
        <v>458</v>
      </c>
      <c r="M298" s="113" t="str">
        <f t="shared" si="5"/>
        <v>View on Google Map</v>
      </c>
    </row>
    <row r="299" spans="1:13" x14ac:dyDescent="0.2">
      <c r="A299" s="107">
        <v>1151</v>
      </c>
      <c r="B299" s="107" t="s">
        <v>1030</v>
      </c>
      <c r="C299" s="107" t="s">
        <v>458</v>
      </c>
      <c r="D299" s="107" t="s">
        <v>458</v>
      </c>
      <c r="E299" s="107" t="s">
        <v>458</v>
      </c>
      <c r="F299" s="107" t="s">
        <v>458</v>
      </c>
      <c r="G299" s="107" t="s">
        <v>459</v>
      </c>
      <c r="H299" s="107" t="s">
        <v>1030</v>
      </c>
      <c r="I299" s="107" t="s">
        <v>1031</v>
      </c>
      <c r="J299" s="107" t="s">
        <v>1013</v>
      </c>
      <c r="K299" s="107" t="s">
        <v>458</v>
      </c>
      <c r="L299" s="107" t="s">
        <v>458</v>
      </c>
      <c r="M299" s="113" t="str">
        <f t="shared" si="5"/>
        <v>View on Google Map</v>
      </c>
    </row>
    <row r="300" spans="1:13" x14ac:dyDescent="0.2">
      <c r="A300" s="107">
        <v>1152</v>
      </c>
      <c r="B300" s="107" t="s">
        <v>1032</v>
      </c>
      <c r="C300" s="107" t="s">
        <v>458</v>
      </c>
      <c r="D300" s="107" t="s">
        <v>458</v>
      </c>
      <c r="E300" s="107" t="s">
        <v>458</v>
      </c>
      <c r="F300" s="107" t="s">
        <v>458</v>
      </c>
      <c r="G300" s="107" t="s">
        <v>459</v>
      </c>
      <c r="H300" s="107" t="s">
        <v>1032</v>
      </c>
      <c r="I300" s="107" t="s">
        <v>1033</v>
      </c>
      <c r="J300" s="107" t="s">
        <v>1013</v>
      </c>
      <c r="K300" s="107" t="s">
        <v>458</v>
      </c>
      <c r="L300" s="107" t="s">
        <v>458</v>
      </c>
      <c r="M300" s="113" t="str">
        <f t="shared" si="5"/>
        <v>View on Google Map</v>
      </c>
    </row>
    <row r="301" spans="1:13" x14ac:dyDescent="0.2">
      <c r="A301" s="107">
        <v>1153</v>
      </c>
      <c r="B301" s="107" t="s">
        <v>1034</v>
      </c>
      <c r="C301" s="107" t="s">
        <v>458</v>
      </c>
      <c r="D301" s="107" t="s">
        <v>458</v>
      </c>
      <c r="E301" s="107" t="s">
        <v>458</v>
      </c>
      <c r="F301" s="107" t="s">
        <v>458</v>
      </c>
      <c r="G301" s="107" t="s">
        <v>459</v>
      </c>
      <c r="H301" s="107" t="s">
        <v>1034</v>
      </c>
      <c r="I301" s="107" t="s">
        <v>1035</v>
      </c>
      <c r="J301" s="107" t="s">
        <v>1013</v>
      </c>
      <c r="K301" s="107" t="s">
        <v>458</v>
      </c>
      <c r="L301" s="107" t="s">
        <v>458</v>
      </c>
      <c r="M301" s="113" t="str">
        <f t="shared" si="5"/>
        <v>View on Google Map</v>
      </c>
    </row>
    <row r="302" spans="1:13" x14ac:dyDescent="0.2">
      <c r="A302" s="107">
        <v>1154</v>
      </c>
      <c r="B302" s="107" t="s">
        <v>1036</v>
      </c>
      <c r="C302" s="107" t="s">
        <v>458</v>
      </c>
      <c r="D302" s="107" t="s">
        <v>458</v>
      </c>
      <c r="E302" s="107" t="s">
        <v>458</v>
      </c>
      <c r="F302" s="107" t="s">
        <v>458</v>
      </c>
      <c r="G302" s="107" t="s">
        <v>459</v>
      </c>
      <c r="H302" s="107" t="s">
        <v>1036</v>
      </c>
      <c r="I302" s="107" t="s">
        <v>1037</v>
      </c>
      <c r="J302" s="107" t="s">
        <v>1013</v>
      </c>
      <c r="K302" s="107" t="s">
        <v>458</v>
      </c>
      <c r="L302" s="107" t="s">
        <v>458</v>
      </c>
      <c r="M302" s="113" t="str">
        <f t="shared" si="5"/>
        <v>View on Google Map</v>
      </c>
    </row>
    <row r="303" spans="1:13" x14ac:dyDescent="0.2">
      <c r="A303" s="107">
        <v>1155</v>
      </c>
      <c r="B303" s="107" t="s">
        <v>1038</v>
      </c>
      <c r="C303" s="107" t="s">
        <v>458</v>
      </c>
      <c r="D303" s="107" t="s">
        <v>458</v>
      </c>
      <c r="E303" s="107" t="s">
        <v>458</v>
      </c>
      <c r="F303" s="107" t="s">
        <v>458</v>
      </c>
      <c r="G303" s="107" t="s">
        <v>459</v>
      </c>
      <c r="H303" s="107" t="s">
        <v>1038</v>
      </c>
      <c r="I303" s="107" t="s">
        <v>1039</v>
      </c>
      <c r="J303" s="107" t="s">
        <v>1013</v>
      </c>
      <c r="K303" s="107" t="s">
        <v>458</v>
      </c>
      <c r="L303" s="107" t="s">
        <v>458</v>
      </c>
      <c r="M303" s="113" t="str">
        <f t="shared" si="5"/>
        <v>View on Google Map</v>
      </c>
    </row>
    <row r="304" spans="1:13" x14ac:dyDescent="0.2">
      <c r="A304" s="107">
        <v>1156</v>
      </c>
      <c r="B304" s="107" t="s">
        <v>1040</v>
      </c>
      <c r="C304" s="107" t="s">
        <v>458</v>
      </c>
      <c r="D304" s="107" t="s">
        <v>458</v>
      </c>
      <c r="E304" s="107" t="s">
        <v>458</v>
      </c>
      <c r="F304" s="107" t="s">
        <v>458</v>
      </c>
      <c r="G304" s="107" t="s">
        <v>459</v>
      </c>
      <c r="H304" s="107" t="s">
        <v>1040</v>
      </c>
      <c r="I304" s="107" t="s">
        <v>1041</v>
      </c>
      <c r="J304" s="107" t="s">
        <v>1013</v>
      </c>
      <c r="K304" s="107" t="s">
        <v>458</v>
      </c>
      <c r="L304" s="107" t="s">
        <v>458</v>
      </c>
      <c r="M304" s="113" t="str">
        <f t="shared" si="5"/>
        <v>View on Google Map</v>
      </c>
    </row>
    <row r="305" spans="1:13" x14ac:dyDescent="0.2">
      <c r="A305" s="107">
        <v>1157</v>
      </c>
      <c r="B305" s="107" t="s">
        <v>1042</v>
      </c>
      <c r="C305" s="107" t="s">
        <v>458</v>
      </c>
      <c r="D305" s="107" t="s">
        <v>458</v>
      </c>
      <c r="E305" s="107" t="s">
        <v>458</v>
      </c>
      <c r="F305" s="107" t="s">
        <v>458</v>
      </c>
      <c r="G305" s="107" t="s">
        <v>459</v>
      </c>
      <c r="H305" s="107" t="s">
        <v>1042</v>
      </c>
      <c r="I305" s="107" t="s">
        <v>1043</v>
      </c>
      <c r="J305" s="107" t="s">
        <v>1013</v>
      </c>
      <c r="K305" s="107" t="s">
        <v>458</v>
      </c>
      <c r="L305" s="107" t="s">
        <v>458</v>
      </c>
      <c r="M305" s="113" t="str">
        <f t="shared" si="5"/>
        <v>View on Google Map</v>
      </c>
    </row>
    <row r="306" spans="1:13" x14ac:dyDescent="0.2">
      <c r="A306" s="107">
        <v>1158</v>
      </c>
      <c r="B306" s="107" t="s">
        <v>1044</v>
      </c>
      <c r="C306" s="107" t="s">
        <v>458</v>
      </c>
      <c r="D306" s="107" t="s">
        <v>458</v>
      </c>
      <c r="E306" s="107" t="s">
        <v>458</v>
      </c>
      <c r="F306" s="107" t="s">
        <v>458</v>
      </c>
      <c r="G306" s="107" t="s">
        <v>459</v>
      </c>
      <c r="H306" s="107" t="s">
        <v>1044</v>
      </c>
      <c r="I306" s="107" t="s">
        <v>1045</v>
      </c>
      <c r="J306" s="107" t="s">
        <v>1013</v>
      </c>
      <c r="K306" s="107" t="s">
        <v>458</v>
      </c>
      <c r="L306" s="107" t="s">
        <v>458</v>
      </c>
      <c r="M306" s="113" t="str">
        <f t="shared" si="5"/>
        <v>View on Google Map</v>
      </c>
    </row>
    <row r="307" spans="1:13" x14ac:dyDescent="0.2">
      <c r="A307" s="107">
        <v>1159</v>
      </c>
      <c r="B307" s="107" t="s">
        <v>1046</v>
      </c>
      <c r="C307" s="107" t="s">
        <v>458</v>
      </c>
      <c r="D307" s="107" t="s">
        <v>458</v>
      </c>
      <c r="E307" s="107" t="s">
        <v>458</v>
      </c>
      <c r="F307" s="107" t="s">
        <v>458</v>
      </c>
      <c r="G307" s="107" t="s">
        <v>459</v>
      </c>
      <c r="H307" s="107" t="s">
        <v>1046</v>
      </c>
      <c r="I307" s="107" t="s">
        <v>1047</v>
      </c>
      <c r="J307" s="107" t="s">
        <v>1013</v>
      </c>
      <c r="K307" s="107" t="s">
        <v>458</v>
      </c>
      <c r="L307" s="107" t="s">
        <v>458</v>
      </c>
      <c r="M307" s="113" t="str">
        <f t="shared" si="5"/>
        <v>View on Google Map</v>
      </c>
    </row>
    <row r="308" spans="1:13" x14ac:dyDescent="0.2">
      <c r="A308" s="107">
        <v>1160</v>
      </c>
      <c r="B308" s="107" t="s">
        <v>1048</v>
      </c>
      <c r="C308" s="107" t="s">
        <v>458</v>
      </c>
      <c r="D308" s="107" t="s">
        <v>458</v>
      </c>
      <c r="E308" s="107" t="s">
        <v>458</v>
      </c>
      <c r="F308" s="107" t="s">
        <v>458</v>
      </c>
      <c r="G308" s="107" t="s">
        <v>459</v>
      </c>
      <c r="H308" s="107" t="s">
        <v>1048</v>
      </c>
      <c r="I308" s="107" t="s">
        <v>1049</v>
      </c>
      <c r="J308" s="107" t="s">
        <v>1013</v>
      </c>
      <c r="K308" s="107" t="s">
        <v>458</v>
      </c>
      <c r="L308" s="107" t="s">
        <v>458</v>
      </c>
      <c r="M308" s="113" t="str">
        <f t="shared" si="5"/>
        <v>View on Google Map</v>
      </c>
    </row>
    <row r="309" spans="1:13" x14ac:dyDescent="0.2">
      <c r="A309" s="107">
        <v>1161</v>
      </c>
      <c r="B309" s="107" t="s">
        <v>1050</v>
      </c>
      <c r="C309" s="107" t="s">
        <v>458</v>
      </c>
      <c r="D309" s="107" t="s">
        <v>458</v>
      </c>
      <c r="E309" s="107" t="s">
        <v>458</v>
      </c>
      <c r="F309" s="107" t="s">
        <v>458</v>
      </c>
      <c r="G309" s="107" t="s">
        <v>459</v>
      </c>
      <c r="H309" s="107" t="s">
        <v>1050</v>
      </c>
      <c r="I309" s="107" t="s">
        <v>1051</v>
      </c>
      <c r="J309" s="107" t="s">
        <v>1013</v>
      </c>
      <c r="K309" s="107" t="s">
        <v>458</v>
      </c>
      <c r="L309" s="107" t="s">
        <v>458</v>
      </c>
      <c r="M309" s="113" t="str">
        <f t="shared" si="5"/>
        <v>View on Google Map</v>
      </c>
    </row>
    <row r="310" spans="1:13" x14ac:dyDescent="0.2">
      <c r="A310" s="107">
        <v>1162</v>
      </c>
      <c r="B310" s="107" t="s">
        <v>1052</v>
      </c>
      <c r="C310" s="107" t="s">
        <v>458</v>
      </c>
      <c r="D310" s="107" t="s">
        <v>458</v>
      </c>
      <c r="E310" s="107" t="s">
        <v>458</v>
      </c>
      <c r="F310" s="107" t="s">
        <v>458</v>
      </c>
      <c r="G310" s="107" t="s">
        <v>459</v>
      </c>
      <c r="H310" s="107" t="s">
        <v>1052</v>
      </c>
      <c r="I310" s="107" t="s">
        <v>1053</v>
      </c>
      <c r="J310" s="107" t="s">
        <v>1013</v>
      </c>
      <c r="K310" s="107" t="s">
        <v>458</v>
      </c>
      <c r="L310" s="107" t="s">
        <v>458</v>
      </c>
      <c r="M310" s="113" t="str">
        <f t="shared" si="5"/>
        <v>View on Google Map</v>
      </c>
    </row>
    <row r="311" spans="1:13" x14ac:dyDescent="0.2">
      <c r="A311" s="107">
        <v>1163</v>
      </c>
      <c r="B311" s="107" t="s">
        <v>1054</v>
      </c>
      <c r="C311" s="107" t="s">
        <v>458</v>
      </c>
      <c r="D311" s="107" t="s">
        <v>458</v>
      </c>
      <c r="E311" s="107" t="s">
        <v>458</v>
      </c>
      <c r="F311" s="107" t="s">
        <v>458</v>
      </c>
      <c r="G311" s="107" t="s">
        <v>459</v>
      </c>
      <c r="H311" s="107" t="s">
        <v>1054</v>
      </c>
      <c r="I311" s="107" t="s">
        <v>1055</v>
      </c>
      <c r="J311" s="107" t="s">
        <v>1013</v>
      </c>
      <c r="K311" s="107" t="s">
        <v>458</v>
      </c>
      <c r="L311" s="107" t="s">
        <v>458</v>
      </c>
      <c r="M311" s="113" t="str">
        <f t="shared" si="5"/>
        <v>View on Google Map</v>
      </c>
    </row>
    <row r="312" spans="1:13" x14ac:dyDescent="0.2">
      <c r="A312" s="107">
        <v>1164</v>
      </c>
      <c r="B312" s="107" t="s">
        <v>1056</v>
      </c>
      <c r="C312" s="107" t="s">
        <v>458</v>
      </c>
      <c r="D312" s="107" t="s">
        <v>458</v>
      </c>
      <c r="E312" s="107" t="s">
        <v>458</v>
      </c>
      <c r="F312" s="107" t="s">
        <v>458</v>
      </c>
      <c r="G312" s="107" t="s">
        <v>459</v>
      </c>
      <c r="H312" s="107" t="s">
        <v>1056</v>
      </c>
      <c r="I312" s="107" t="s">
        <v>1057</v>
      </c>
      <c r="J312" s="107" t="s">
        <v>1013</v>
      </c>
      <c r="K312" s="107" t="s">
        <v>458</v>
      </c>
      <c r="L312" s="107" t="s">
        <v>458</v>
      </c>
      <c r="M312" s="113" t="str">
        <f t="shared" si="5"/>
        <v>View on Google Map</v>
      </c>
    </row>
    <row r="313" spans="1:13" x14ac:dyDescent="0.2">
      <c r="A313" s="107">
        <v>1165</v>
      </c>
      <c r="B313" s="107" t="s">
        <v>1058</v>
      </c>
      <c r="C313" s="107" t="s">
        <v>458</v>
      </c>
      <c r="D313" s="107" t="s">
        <v>458</v>
      </c>
      <c r="E313" s="107" t="s">
        <v>458</v>
      </c>
      <c r="F313" s="107" t="s">
        <v>458</v>
      </c>
      <c r="G313" s="107" t="s">
        <v>459</v>
      </c>
      <c r="H313" s="107" t="s">
        <v>1058</v>
      </c>
      <c r="I313" s="107" t="s">
        <v>458</v>
      </c>
      <c r="J313" s="107" t="s">
        <v>1013</v>
      </c>
      <c r="K313" s="107" t="s">
        <v>458</v>
      </c>
      <c r="L313" s="107" t="s">
        <v>458</v>
      </c>
      <c r="M313" s="113" t="str">
        <f t="shared" si="5"/>
        <v>View on Google Map</v>
      </c>
    </row>
    <row r="314" spans="1:13" x14ac:dyDescent="0.2">
      <c r="A314" s="107">
        <v>1166</v>
      </c>
      <c r="B314" s="107" t="s">
        <v>1059</v>
      </c>
      <c r="C314" s="107" t="s">
        <v>458</v>
      </c>
      <c r="D314" s="107" t="s">
        <v>458</v>
      </c>
      <c r="E314" s="107" t="s">
        <v>458</v>
      </c>
      <c r="F314" s="107" t="s">
        <v>458</v>
      </c>
      <c r="G314" s="107" t="s">
        <v>459</v>
      </c>
      <c r="H314" s="107" t="s">
        <v>1059</v>
      </c>
      <c r="I314" s="107" t="s">
        <v>458</v>
      </c>
      <c r="J314" s="107" t="s">
        <v>1013</v>
      </c>
      <c r="K314" s="107" t="s">
        <v>458</v>
      </c>
      <c r="L314" s="107" t="s">
        <v>458</v>
      </c>
      <c r="M314" s="113" t="str">
        <f t="shared" si="5"/>
        <v>View on Google Map</v>
      </c>
    </row>
    <row r="315" spans="1:13" x14ac:dyDescent="0.2">
      <c r="A315" s="107">
        <v>1167</v>
      </c>
      <c r="B315" s="107" t="s">
        <v>1060</v>
      </c>
      <c r="C315" s="107" t="s">
        <v>1061</v>
      </c>
      <c r="D315" s="107" t="s">
        <v>458</v>
      </c>
      <c r="E315" s="107" t="s">
        <v>458</v>
      </c>
      <c r="F315" s="107" t="s">
        <v>458</v>
      </c>
      <c r="G315" s="107" t="s">
        <v>459</v>
      </c>
      <c r="H315" s="107" t="s">
        <v>1060</v>
      </c>
      <c r="I315" s="107" t="s">
        <v>458</v>
      </c>
      <c r="J315" s="107" t="s">
        <v>460</v>
      </c>
      <c r="K315" s="107" t="s">
        <v>458</v>
      </c>
      <c r="L315" s="107" t="s">
        <v>458</v>
      </c>
      <c r="M315" s="113" t="str">
        <f t="shared" si="5"/>
        <v>View on Google Map</v>
      </c>
    </row>
    <row r="316" spans="1:13" x14ac:dyDescent="0.2">
      <c r="A316" s="107">
        <v>1168</v>
      </c>
      <c r="B316" s="107" t="s">
        <v>1062</v>
      </c>
      <c r="C316" s="107" t="s">
        <v>1061</v>
      </c>
      <c r="D316" s="107" t="s">
        <v>458</v>
      </c>
      <c r="E316" s="107" t="s">
        <v>458</v>
      </c>
      <c r="F316" s="107" t="s">
        <v>458</v>
      </c>
      <c r="G316" s="107" t="s">
        <v>459</v>
      </c>
      <c r="H316" s="107" t="s">
        <v>1062</v>
      </c>
      <c r="I316" s="107" t="s">
        <v>458</v>
      </c>
      <c r="J316" s="107" t="s">
        <v>460</v>
      </c>
      <c r="K316" s="107" t="s">
        <v>458</v>
      </c>
      <c r="L316" s="107" t="s">
        <v>458</v>
      </c>
      <c r="M316" s="113" t="str">
        <f t="shared" si="5"/>
        <v>View on Google Map</v>
      </c>
    </row>
    <row r="317" spans="1:13" x14ac:dyDescent="0.2">
      <c r="A317" s="107">
        <v>125</v>
      </c>
      <c r="B317" s="107" t="s">
        <v>1063</v>
      </c>
      <c r="C317" s="107" t="s">
        <v>458</v>
      </c>
      <c r="D317" s="107">
        <v>68.52364</v>
      </c>
      <c r="E317" s="107">
        <v>-149.48141000000001</v>
      </c>
      <c r="F317" s="107">
        <v>881</v>
      </c>
      <c r="G317" s="107" t="s">
        <v>469</v>
      </c>
      <c r="H317" s="107" t="s">
        <v>1064</v>
      </c>
      <c r="I317" s="107" t="s">
        <v>458</v>
      </c>
      <c r="J317" s="107" t="s">
        <v>484</v>
      </c>
      <c r="K317" s="107" t="s">
        <v>458</v>
      </c>
      <c r="L317" s="107" t="s">
        <v>485</v>
      </c>
      <c r="M317" s="113" t="str">
        <f t="shared" si="5"/>
        <v>View on Google Map</v>
      </c>
    </row>
    <row r="318" spans="1:13" x14ac:dyDescent="0.2">
      <c r="A318" s="107">
        <v>110</v>
      </c>
      <c r="B318" s="107" t="s">
        <v>1065</v>
      </c>
      <c r="C318" s="107" t="s">
        <v>458</v>
      </c>
      <c r="D318" s="107">
        <v>68.687380000000005</v>
      </c>
      <c r="E318" s="107">
        <v>-149.67458999999999</v>
      </c>
      <c r="F318" s="107">
        <v>747</v>
      </c>
      <c r="G318" s="107" t="s">
        <v>469</v>
      </c>
      <c r="H318" s="107" t="s">
        <v>1066</v>
      </c>
      <c r="I318" s="107" t="s">
        <v>458</v>
      </c>
      <c r="J318" s="107" t="s">
        <v>484</v>
      </c>
      <c r="K318" s="107" t="s">
        <v>458</v>
      </c>
      <c r="L318" s="107" t="s">
        <v>458</v>
      </c>
      <c r="M318" s="113" t="str">
        <f t="shared" si="5"/>
        <v>View on Google Map</v>
      </c>
    </row>
    <row r="319" spans="1:13" x14ac:dyDescent="0.2">
      <c r="A319" s="107">
        <v>159</v>
      </c>
      <c r="B319" s="107" t="s">
        <v>1067</v>
      </c>
      <c r="C319" s="107" t="s">
        <v>458</v>
      </c>
      <c r="D319" s="107">
        <v>68.38333333333334</v>
      </c>
      <c r="E319" s="107">
        <v>-149.91666666666666</v>
      </c>
      <c r="F319" s="107">
        <v>681</v>
      </c>
      <c r="G319" s="107" t="s">
        <v>469</v>
      </c>
      <c r="H319" s="107" t="s">
        <v>1068</v>
      </c>
      <c r="I319" s="107" t="s">
        <v>458</v>
      </c>
      <c r="J319" s="107" t="s">
        <v>484</v>
      </c>
      <c r="K319" s="107" t="s">
        <v>458</v>
      </c>
      <c r="L319" s="107" t="s">
        <v>485</v>
      </c>
      <c r="M319" s="113" t="str">
        <f t="shared" si="5"/>
        <v>View on Google Map</v>
      </c>
    </row>
    <row r="320" spans="1:13" x14ac:dyDescent="0.2">
      <c r="B320" s="107" t="s">
        <v>1069</v>
      </c>
      <c r="C320" s="107" t="s">
        <v>1070</v>
      </c>
      <c r="D320" s="107">
        <v>68.590049999999991</v>
      </c>
      <c r="E320" s="107">
        <v>-149.72444166666699</v>
      </c>
      <c r="G320" s="107" t="s">
        <v>995</v>
      </c>
      <c r="J320" s="18" t="s">
        <v>484</v>
      </c>
      <c r="M320" s="113" t="str">
        <f t="shared" si="5"/>
        <v>View on Google Map</v>
      </c>
    </row>
    <row r="321" spans="1:13" x14ac:dyDescent="0.2">
      <c r="B321" s="107" t="s">
        <v>1071</v>
      </c>
      <c r="C321" s="107" t="s">
        <v>1070</v>
      </c>
      <c r="D321" s="107">
        <v>68.590219444444443</v>
      </c>
      <c r="E321" s="107">
        <v>-149.725272222222</v>
      </c>
      <c r="G321" s="107" t="s">
        <v>995</v>
      </c>
      <c r="J321" s="18" t="s">
        <v>484</v>
      </c>
      <c r="M321" s="113" t="str">
        <f t="shared" si="5"/>
        <v>View on Google Map</v>
      </c>
    </row>
    <row r="322" spans="1:13" x14ac:dyDescent="0.2">
      <c r="A322" s="107">
        <v>32</v>
      </c>
      <c r="B322" s="107" t="s">
        <v>1072</v>
      </c>
      <c r="C322" s="107" t="s">
        <v>458</v>
      </c>
      <c r="D322" s="107">
        <v>68.933499999999995</v>
      </c>
      <c r="E322" s="107">
        <v>-150.30600000000001</v>
      </c>
      <c r="F322" s="107" t="s">
        <v>458</v>
      </c>
      <c r="G322" s="107" t="s">
        <v>483</v>
      </c>
      <c r="H322" s="107" t="s">
        <v>1073</v>
      </c>
      <c r="I322" s="107" t="s">
        <v>458</v>
      </c>
      <c r="J322" s="107" t="s">
        <v>519</v>
      </c>
      <c r="K322" s="107" t="s">
        <v>458</v>
      </c>
      <c r="L322" s="107" t="s">
        <v>466</v>
      </c>
      <c r="M322" s="113" t="str">
        <f t="shared" si="5"/>
        <v>View on Google Map</v>
      </c>
    </row>
    <row r="323" spans="1:13" x14ac:dyDescent="0.2">
      <c r="A323" s="107">
        <v>33</v>
      </c>
      <c r="B323" s="107" t="s">
        <v>1074</v>
      </c>
      <c r="C323" s="107" t="s">
        <v>458</v>
      </c>
      <c r="D323" s="107">
        <v>68.908000000000001</v>
      </c>
      <c r="E323" s="107">
        <v>-150.114</v>
      </c>
      <c r="F323" s="107" t="s">
        <v>458</v>
      </c>
      <c r="G323" s="107" t="s">
        <v>483</v>
      </c>
      <c r="H323" s="107" t="s">
        <v>1075</v>
      </c>
      <c r="I323" s="107" t="s">
        <v>458</v>
      </c>
      <c r="J323" s="107" t="s">
        <v>519</v>
      </c>
      <c r="K323" s="107" t="s">
        <v>458</v>
      </c>
      <c r="L323" s="107" t="s">
        <v>466</v>
      </c>
      <c r="M323" s="113" t="str">
        <f t="shared" ref="M323:M386" si="6">HYPERLINK("http://maps.google.com/maps?q="&amp;D323&amp;","&amp;E323,"View on Google Map")</f>
        <v>View on Google Map</v>
      </c>
    </row>
    <row r="324" spans="1:13" x14ac:dyDescent="0.2">
      <c r="A324" s="107">
        <v>1</v>
      </c>
      <c r="B324" s="107" t="s">
        <v>1076</v>
      </c>
      <c r="C324" s="107" t="s">
        <v>1077</v>
      </c>
      <c r="D324" s="107">
        <v>68.639103747222222</v>
      </c>
      <c r="E324" s="107">
        <v>-149.39432556944399</v>
      </c>
      <c r="F324" s="107">
        <v>750.56600000000003</v>
      </c>
      <c r="G324" s="107" t="s">
        <v>995</v>
      </c>
      <c r="J324" s="18" t="s">
        <v>484</v>
      </c>
      <c r="M324" s="113" t="str">
        <f t="shared" si="6"/>
        <v>View on Google Map</v>
      </c>
    </row>
    <row r="325" spans="1:13" x14ac:dyDescent="0.2">
      <c r="A325" s="107">
        <v>1</v>
      </c>
      <c r="B325" s="107" t="s">
        <v>1078</v>
      </c>
      <c r="C325" s="107" t="s">
        <v>1070</v>
      </c>
      <c r="D325" s="107">
        <v>68.638060455555561</v>
      </c>
      <c r="E325" s="107">
        <v>-149.391843363889</v>
      </c>
      <c r="F325" s="107">
        <v>750.601</v>
      </c>
      <c r="G325" s="107" t="s">
        <v>995</v>
      </c>
      <c r="J325" s="18" t="s">
        <v>484</v>
      </c>
      <c r="M325" s="113" t="str">
        <f t="shared" si="6"/>
        <v>View on Google Map</v>
      </c>
    </row>
    <row r="326" spans="1:13" x14ac:dyDescent="0.2">
      <c r="A326" s="107">
        <v>1</v>
      </c>
      <c r="B326" s="107" t="s">
        <v>1079</v>
      </c>
      <c r="C326" s="107" t="s">
        <v>1080</v>
      </c>
      <c r="D326" s="107">
        <v>68.640747866666672</v>
      </c>
      <c r="E326" s="107">
        <v>-149.40056111111099</v>
      </c>
      <c r="F326" s="107">
        <v>747.74400000000003</v>
      </c>
      <c r="G326" s="107" t="s">
        <v>995</v>
      </c>
      <c r="J326" s="18" t="s">
        <v>484</v>
      </c>
      <c r="M326" s="113" t="str">
        <f t="shared" si="6"/>
        <v>View on Google Map</v>
      </c>
    </row>
    <row r="327" spans="1:13" x14ac:dyDescent="0.2">
      <c r="A327" s="107">
        <v>1</v>
      </c>
      <c r="B327" s="107" t="s">
        <v>1081</v>
      </c>
      <c r="C327" s="107" t="s">
        <v>1070</v>
      </c>
      <c r="D327" s="107">
        <v>68.638399647222229</v>
      </c>
      <c r="E327" s="107">
        <v>-149.38922950555599</v>
      </c>
      <c r="F327" s="107">
        <v>752.79899999999998</v>
      </c>
      <c r="G327" s="107" t="s">
        <v>995</v>
      </c>
      <c r="J327" s="18" t="s">
        <v>484</v>
      </c>
      <c r="M327" s="113" t="str">
        <f t="shared" si="6"/>
        <v>View on Google Map</v>
      </c>
    </row>
    <row r="328" spans="1:13" x14ac:dyDescent="0.2">
      <c r="A328" s="107">
        <v>1</v>
      </c>
      <c r="B328" s="107" t="s">
        <v>1082</v>
      </c>
      <c r="C328" s="107" t="s">
        <v>1070</v>
      </c>
      <c r="D328" s="107">
        <v>68.637445127777781</v>
      </c>
      <c r="E328" s="107">
        <v>-149.386685694444</v>
      </c>
      <c r="F328" s="107">
        <v>753.32</v>
      </c>
      <c r="G328" s="107" t="s">
        <v>995</v>
      </c>
      <c r="J328" s="18" t="s">
        <v>484</v>
      </c>
      <c r="M328" s="113" t="str">
        <f t="shared" si="6"/>
        <v>View on Google Map</v>
      </c>
    </row>
    <row r="329" spans="1:13" x14ac:dyDescent="0.2">
      <c r="A329" s="107">
        <v>1</v>
      </c>
      <c r="B329" s="107" t="s">
        <v>1083</v>
      </c>
      <c r="C329" s="107" t="s">
        <v>855</v>
      </c>
      <c r="D329" s="107">
        <v>68.642054250000001</v>
      </c>
      <c r="E329" s="107">
        <v>-149.40350056666699</v>
      </c>
      <c r="F329" s="107">
        <v>746.26800000000003</v>
      </c>
      <c r="G329" s="107" t="s">
        <v>995</v>
      </c>
      <c r="J329" s="18" t="s">
        <v>484</v>
      </c>
      <c r="M329" s="113" t="str">
        <f t="shared" si="6"/>
        <v>View on Google Map</v>
      </c>
    </row>
    <row r="330" spans="1:13" x14ac:dyDescent="0.2">
      <c r="A330" s="107">
        <v>1</v>
      </c>
      <c r="B330" s="107" t="s">
        <v>1084</v>
      </c>
      <c r="C330" s="107" t="s">
        <v>1085</v>
      </c>
      <c r="D330" s="107">
        <v>68.641460652777781</v>
      </c>
      <c r="E330" s="107">
        <v>-149.40187098888899</v>
      </c>
      <c r="F330" s="107">
        <v>747.17499999999995</v>
      </c>
      <c r="G330" s="107" t="s">
        <v>995</v>
      </c>
      <c r="J330" s="18" t="s">
        <v>484</v>
      </c>
      <c r="M330" s="113" t="str">
        <f t="shared" si="6"/>
        <v>View on Google Map</v>
      </c>
    </row>
    <row r="331" spans="1:13" x14ac:dyDescent="0.2">
      <c r="A331" s="107">
        <v>1</v>
      </c>
      <c r="B331" s="107" t="s">
        <v>1086</v>
      </c>
      <c r="C331" s="107" t="s">
        <v>855</v>
      </c>
      <c r="D331" s="107">
        <v>68.643159841666673</v>
      </c>
      <c r="E331" s="107">
        <v>-149.40326701388901</v>
      </c>
      <c r="F331" s="107">
        <v>746.55200000000002</v>
      </c>
      <c r="G331" s="107" t="s">
        <v>995</v>
      </c>
      <c r="J331" s="18" t="s">
        <v>484</v>
      </c>
      <c r="M331" s="113" t="str">
        <f t="shared" si="6"/>
        <v>View on Google Map</v>
      </c>
    </row>
    <row r="332" spans="1:13" x14ac:dyDescent="0.2">
      <c r="A332" s="107">
        <v>1</v>
      </c>
      <c r="B332" s="107" t="s">
        <v>1087</v>
      </c>
      <c r="C332" s="107" t="s">
        <v>1080</v>
      </c>
      <c r="D332" s="107">
        <v>68.636731430555557</v>
      </c>
      <c r="E332" s="107">
        <v>-149.38318683611101</v>
      </c>
      <c r="F332" s="107">
        <v>755.19299999999998</v>
      </c>
      <c r="G332" s="107" t="s">
        <v>995</v>
      </c>
      <c r="J332" s="18" t="s">
        <v>484</v>
      </c>
      <c r="M332" s="113" t="str">
        <f t="shared" si="6"/>
        <v>View on Google Map</v>
      </c>
    </row>
    <row r="333" spans="1:13" x14ac:dyDescent="0.2">
      <c r="A333" s="107">
        <v>1</v>
      </c>
      <c r="B333" s="107" t="s">
        <v>1088</v>
      </c>
      <c r="C333" s="107" t="s">
        <v>1080</v>
      </c>
      <c r="D333" s="107">
        <v>68.643629936111111</v>
      </c>
      <c r="E333" s="107">
        <v>-149.40249773333301</v>
      </c>
      <c r="F333" s="107">
        <v>745.85199999999998</v>
      </c>
      <c r="G333" s="107" t="s">
        <v>995</v>
      </c>
      <c r="J333" s="18" t="s">
        <v>484</v>
      </c>
      <c r="M333" s="113" t="str">
        <f t="shared" si="6"/>
        <v>View on Google Map</v>
      </c>
    </row>
    <row r="334" spans="1:13" x14ac:dyDescent="0.2">
      <c r="A334" s="107">
        <v>1</v>
      </c>
      <c r="B334" s="107" t="s">
        <v>1089</v>
      </c>
      <c r="C334" s="107" t="s">
        <v>1070</v>
      </c>
      <c r="D334" s="107">
        <v>68.644659113888892</v>
      </c>
      <c r="E334" s="107">
        <v>-149.405160461111</v>
      </c>
      <c r="F334" s="107">
        <v>744.06100000000004</v>
      </c>
      <c r="G334" s="107" t="s">
        <v>995</v>
      </c>
      <c r="J334" s="18" t="s">
        <v>484</v>
      </c>
      <c r="M334" s="113" t="str">
        <f t="shared" si="6"/>
        <v>View on Google Map</v>
      </c>
    </row>
    <row r="335" spans="1:13" x14ac:dyDescent="0.2">
      <c r="A335" s="107">
        <v>1</v>
      </c>
      <c r="B335" s="107" t="s">
        <v>1090</v>
      </c>
      <c r="C335" s="107" t="s">
        <v>855</v>
      </c>
      <c r="D335" s="107">
        <v>68.646338200000002</v>
      </c>
      <c r="E335" s="107">
        <v>-149.41002641666699</v>
      </c>
      <c r="F335" s="107">
        <v>741.68899999999996</v>
      </c>
      <c r="G335" s="107" t="s">
        <v>995</v>
      </c>
      <c r="J335" s="18" t="s">
        <v>484</v>
      </c>
      <c r="M335" s="113" t="str">
        <f t="shared" si="6"/>
        <v>View on Google Map</v>
      </c>
    </row>
    <row r="336" spans="1:13" x14ac:dyDescent="0.2">
      <c r="A336" s="107">
        <v>1</v>
      </c>
      <c r="B336" s="107" t="s">
        <v>1091</v>
      </c>
      <c r="C336" s="107" t="s">
        <v>1092</v>
      </c>
      <c r="D336" s="107">
        <v>68.646228841666669</v>
      </c>
      <c r="E336" s="107">
        <v>-149.40909021388899</v>
      </c>
      <c r="F336" s="107">
        <v>742.04</v>
      </c>
      <c r="G336" s="107" t="s">
        <v>995</v>
      </c>
      <c r="J336" s="18" t="s">
        <v>484</v>
      </c>
      <c r="M336" s="113" t="str">
        <f t="shared" si="6"/>
        <v>View on Google Map</v>
      </c>
    </row>
    <row r="337" spans="1:13" x14ac:dyDescent="0.2">
      <c r="A337" s="107">
        <v>1</v>
      </c>
      <c r="B337" s="107" t="s">
        <v>1093</v>
      </c>
      <c r="C337" s="107" t="s">
        <v>1070</v>
      </c>
      <c r="D337" s="107">
        <v>68.647812641666675</v>
      </c>
      <c r="E337" s="107">
        <v>-149.41565431111101</v>
      </c>
      <c r="F337" s="107">
        <v>738.87300000000005</v>
      </c>
      <c r="G337" s="107" t="s">
        <v>995</v>
      </c>
      <c r="J337" s="18" t="s">
        <v>484</v>
      </c>
      <c r="M337" s="113" t="str">
        <f t="shared" si="6"/>
        <v>View on Google Map</v>
      </c>
    </row>
    <row r="338" spans="1:13" x14ac:dyDescent="0.2">
      <c r="A338" s="107">
        <v>1</v>
      </c>
      <c r="B338" s="107" t="s">
        <v>1094</v>
      </c>
      <c r="C338" s="107" t="s">
        <v>855</v>
      </c>
      <c r="D338" s="107">
        <v>68.649547222222225</v>
      </c>
      <c r="E338" s="107">
        <v>-149.41615246388901</v>
      </c>
      <c r="F338" s="107">
        <v>737.07399999999996</v>
      </c>
      <c r="G338" s="107" t="s">
        <v>995</v>
      </c>
      <c r="J338" s="18" t="s">
        <v>484</v>
      </c>
      <c r="M338" s="113" t="str">
        <f t="shared" si="6"/>
        <v>View on Google Map</v>
      </c>
    </row>
    <row r="339" spans="1:13" x14ac:dyDescent="0.2">
      <c r="A339" s="107">
        <v>1</v>
      </c>
      <c r="B339" s="107" t="s">
        <v>1095</v>
      </c>
      <c r="C339" s="107" t="s">
        <v>1080</v>
      </c>
      <c r="D339" s="107">
        <v>68.65164966388889</v>
      </c>
      <c r="E339" s="107">
        <v>-149.41647778611099</v>
      </c>
      <c r="F339" s="107">
        <v>735.41800000000001</v>
      </c>
      <c r="G339" s="107" t="s">
        <v>995</v>
      </c>
      <c r="J339" s="18" t="s">
        <v>484</v>
      </c>
      <c r="M339" s="113" t="str">
        <f t="shared" si="6"/>
        <v>View on Google Map</v>
      </c>
    </row>
    <row r="340" spans="1:13" x14ac:dyDescent="0.2">
      <c r="A340" s="107">
        <v>1</v>
      </c>
      <c r="B340" s="107" t="s">
        <v>1096</v>
      </c>
      <c r="C340" s="107" t="s">
        <v>855</v>
      </c>
      <c r="D340" s="107">
        <v>68.652284541666674</v>
      </c>
      <c r="E340" s="107">
        <v>-149.41517665000001</v>
      </c>
      <c r="F340" s="107">
        <v>734.78499999999997</v>
      </c>
      <c r="G340" s="107" t="s">
        <v>995</v>
      </c>
      <c r="J340" s="18" t="s">
        <v>484</v>
      </c>
      <c r="M340" s="113" t="str">
        <f t="shared" si="6"/>
        <v>View on Google Map</v>
      </c>
    </row>
    <row r="341" spans="1:13" x14ac:dyDescent="0.2">
      <c r="A341" s="107">
        <v>1</v>
      </c>
      <c r="B341" s="107" t="s">
        <v>1097</v>
      </c>
      <c r="C341" s="107" t="s">
        <v>1070</v>
      </c>
      <c r="D341" s="107">
        <v>68.653667241666668</v>
      </c>
      <c r="E341" s="107">
        <v>-149.420855111111</v>
      </c>
      <c r="F341" s="107">
        <v>732.173</v>
      </c>
      <c r="G341" s="107" t="s">
        <v>995</v>
      </c>
      <c r="J341" s="18" t="s">
        <v>484</v>
      </c>
      <c r="M341" s="113" t="str">
        <f t="shared" si="6"/>
        <v>View on Google Map</v>
      </c>
    </row>
    <row r="342" spans="1:13" x14ac:dyDescent="0.2">
      <c r="A342" s="107">
        <v>1</v>
      </c>
      <c r="B342" s="107" t="s">
        <v>1098</v>
      </c>
      <c r="C342" s="107" t="s">
        <v>855</v>
      </c>
      <c r="D342" s="107">
        <v>68.658785577777778</v>
      </c>
      <c r="E342" s="107">
        <v>-149.42446433055599</v>
      </c>
      <c r="F342" s="107">
        <v>726.91899999999998</v>
      </c>
      <c r="G342" s="107" t="s">
        <v>995</v>
      </c>
      <c r="J342" s="18" t="s">
        <v>484</v>
      </c>
      <c r="M342" s="113" t="str">
        <f t="shared" si="6"/>
        <v>View on Google Map</v>
      </c>
    </row>
    <row r="343" spans="1:13" x14ac:dyDescent="0.2">
      <c r="A343" s="107">
        <v>1</v>
      </c>
      <c r="B343" s="107" t="s">
        <v>1099</v>
      </c>
      <c r="C343" s="107" t="s">
        <v>1100</v>
      </c>
      <c r="D343" s="107">
        <v>68.638340663999998</v>
      </c>
      <c r="E343" s="107">
        <v>-149.39350505600001</v>
      </c>
      <c r="G343" s="107" t="s">
        <v>995</v>
      </c>
      <c r="J343" s="18" t="s">
        <v>484</v>
      </c>
      <c r="M343" s="113" t="str">
        <f t="shared" si="6"/>
        <v>View on Google Map</v>
      </c>
    </row>
    <row r="344" spans="1:13" x14ac:dyDescent="0.2">
      <c r="A344" s="107">
        <v>1</v>
      </c>
      <c r="B344" s="18" t="s">
        <v>1101</v>
      </c>
      <c r="C344" s="18" t="s">
        <v>1101</v>
      </c>
      <c r="D344" s="107">
        <v>68.647525999999999</v>
      </c>
      <c r="E344" s="107">
        <v>-149.411416</v>
      </c>
      <c r="F344" s="107">
        <v>731</v>
      </c>
      <c r="G344" s="107" t="s">
        <v>483</v>
      </c>
      <c r="H344" s="107" t="s">
        <v>1102</v>
      </c>
      <c r="I344" s="107" t="s">
        <v>458</v>
      </c>
      <c r="J344" s="107" t="s">
        <v>484</v>
      </c>
      <c r="K344" s="107" t="s">
        <v>458</v>
      </c>
      <c r="L344" s="107" t="s">
        <v>458</v>
      </c>
      <c r="M344" s="113" t="str">
        <f t="shared" si="6"/>
        <v>View on Google Map</v>
      </c>
    </row>
    <row r="345" spans="1:13" x14ac:dyDescent="0.2">
      <c r="A345" s="107">
        <v>19</v>
      </c>
      <c r="B345" s="107" t="s">
        <v>1103</v>
      </c>
      <c r="C345" s="107" t="s">
        <v>458</v>
      </c>
      <c r="D345" s="107">
        <v>68.967611000000005</v>
      </c>
      <c r="E345" s="107">
        <v>-149.705342</v>
      </c>
      <c r="F345" s="107">
        <v>411</v>
      </c>
      <c r="G345" s="107" t="s">
        <v>483</v>
      </c>
      <c r="H345" s="107" t="s">
        <v>1104</v>
      </c>
      <c r="I345" s="107" t="s">
        <v>458</v>
      </c>
      <c r="J345" s="107" t="s">
        <v>484</v>
      </c>
      <c r="K345" s="107" t="s">
        <v>458</v>
      </c>
      <c r="L345" s="107" t="s">
        <v>458</v>
      </c>
      <c r="M345" s="113" t="str">
        <f t="shared" si="6"/>
        <v>View on Google Map</v>
      </c>
    </row>
    <row r="346" spans="1:13" x14ac:dyDescent="0.2">
      <c r="A346" s="107">
        <v>16</v>
      </c>
      <c r="B346" s="107" t="s">
        <v>1105</v>
      </c>
      <c r="C346" s="107" t="s">
        <v>458</v>
      </c>
      <c r="D346" s="107" t="s">
        <v>458</v>
      </c>
      <c r="E346" s="107" t="s">
        <v>458</v>
      </c>
      <c r="F346" s="107" t="s">
        <v>458</v>
      </c>
      <c r="G346" s="107" t="s">
        <v>483</v>
      </c>
      <c r="H346" s="107" t="s">
        <v>458</v>
      </c>
      <c r="I346" s="107" t="s">
        <v>458</v>
      </c>
      <c r="J346" s="107" t="s">
        <v>484</v>
      </c>
      <c r="K346" s="107" t="s">
        <v>458</v>
      </c>
      <c r="L346" s="107" t="s">
        <v>458</v>
      </c>
      <c r="M346" s="113" t="str">
        <f t="shared" si="6"/>
        <v>View on Google Map</v>
      </c>
    </row>
    <row r="347" spans="1:13" x14ac:dyDescent="0.2">
      <c r="A347" s="107">
        <v>1198</v>
      </c>
      <c r="B347" s="107" t="s">
        <v>1106</v>
      </c>
      <c r="C347" s="107" t="s">
        <v>642</v>
      </c>
      <c r="D347" s="107">
        <v>69.297460909999998</v>
      </c>
      <c r="E347" s="107">
        <v>-150.32340117999999</v>
      </c>
      <c r="F347" s="107" t="s">
        <v>458</v>
      </c>
      <c r="G347" s="107" t="s">
        <v>459</v>
      </c>
      <c r="H347" s="107" t="s">
        <v>458</v>
      </c>
      <c r="I347" s="107" t="s">
        <v>458</v>
      </c>
      <c r="J347" s="107" t="s">
        <v>465</v>
      </c>
      <c r="K347" s="107" t="s">
        <v>458</v>
      </c>
      <c r="L347" s="107" t="s">
        <v>466</v>
      </c>
      <c r="M347" s="113" t="str">
        <f t="shared" si="6"/>
        <v>View on Google Map</v>
      </c>
    </row>
    <row r="348" spans="1:13" x14ac:dyDescent="0.2">
      <c r="A348" s="107">
        <v>135</v>
      </c>
      <c r="B348" s="107" t="s">
        <v>1107</v>
      </c>
      <c r="C348" s="107" t="s">
        <v>458</v>
      </c>
      <c r="D348" s="107">
        <v>70.333333333333329</v>
      </c>
      <c r="E348" s="107">
        <v>-148.80000000000001</v>
      </c>
      <c r="F348" s="107">
        <v>4</v>
      </c>
      <c r="G348" s="107" t="s">
        <v>469</v>
      </c>
      <c r="H348" s="107" t="s">
        <v>1108</v>
      </c>
      <c r="I348" s="107" t="s">
        <v>458</v>
      </c>
      <c r="J348" s="107" t="s">
        <v>484</v>
      </c>
      <c r="K348" s="107" t="s">
        <v>458</v>
      </c>
      <c r="L348" s="107" t="s">
        <v>485</v>
      </c>
      <c r="M348" s="113" t="str">
        <f t="shared" si="6"/>
        <v>View on Google Map</v>
      </c>
    </row>
    <row r="349" spans="1:13" x14ac:dyDescent="0.2">
      <c r="A349" s="107">
        <v>126</v>
      </c>
      <c r="B349" s="107" t="s">
        <v>1109</v>
      </c>
      <c r="C349" s="107" t="s">
        <v>458</v>
      </c>
      <c r="D349" s="107">
        <v>68.733333333333334</v>
      </c>
      <c r="E349" s="107">
        <v>-148.93333333333334</v>
      </c>
      <c r="F349" s="107">
        <v>556</v>
      </c>
      <c r="G349" s="107" t="s">
        <v>469</v>
      </c>
      <c r="H349" s="107" t="s">
        <v>1110</v>
      </c>
      <c r="I349" s="107" t="s">
        <v>458</v>
      </c>
      <c r="J349" s="107" t="s">
        <v>484</v>
      </c>
      <c r="K349" s="107" t="s">
        <v>458</v>
      </c>
      <c r="L349" s="107" t="s">
        <v>485</v>
      </c>
      <c r="M349" s="113" t="str">
        <f t="shared" si="6"/>
        <v>View on Google Map</v>
      </c>
    </row>
    <row r="350" spans="1:13" x14ac:dyDescent="0.2">
      <c r="A350" s="107">
        <v>134</v>
      </c>
      <c r="B350" s="107" t="s">
        <v>1111</v>
      </c>
      <c r="C350" s="107" t="s">
        <v>458</v>
      </c>
      <c r="D350" s="107">
        <v>70.349999999999994</v>
      </c>
      <c r="E350" s="107">
        <v>-148.58333333333334</v>
      </c>
      <c r="F350" s="107">
        <v>2</v>
      </c>
      <c r="G350" s="107" t="s">
        <v>469</v>
      </c>
      <c r="H350" s="107" t="s">
        <v>1112</v>
      </c>
      <c r="I350" s="107" t="s">
        <v>458</v>
      </c>
      <c r="J350" s="107" t="s">
        <v>484</v>
      </c>
      <c r="K350" s="107" t="s">
        <v>458</v>
      </c>
      <c r="L350" s="107" t="s">
        <v>485</v>
      </c>
      <c r="M350" s="113" t="str">
        <f t="shared" si="6"/>
        <v>View on Google Map</v>
      </c>
    </row>
    <row r="351" spans="1:13" x14ac:dyDescent="0.2">
      <c r="A351" s="107">
        <v>128</v>
      </c>
      <c r="B351" s="107" t="s">
        <v>1113</v>
      </c>
      <c r="C351" s="107" t="s">
        <v>458</v>
      </c>
      <c r="D351" s="107">
        <v>69.033333333333331</v>
      </c>
      <c r="E351" s="107">
        <v>-148.85</v>
      </c>
      <c r="F351" s="107">
        <v>319</v>
      </c>
      <c r="G351" s="107" t="s">
        <v>469</v>
      </c>
      <c r="H351" s="107" t="s">
        <v>1114</v>
      </c>
      <c r="I351" s="107" t="s">
        <v>458</v>
      </c>
      <c r="J351" s="107" t="s">
        <v>484</v>
      </c>
      <c r="K351" s="107" t="s">
        <v>458</v>
      </c>
      <c r="L351" s="107" t="s">
        <v>485</v>
      </c>
      <c r="M351" s="113" t="str">
        <f t="shared" si="6"/>
        <v>View on Google Map</v>
      </c>
    </row>
    <row r="352" spans="1:13" x14ac:dyDescent="0.2">
      <c r="A352" s="107">
        <v>139</v>
      </c>
      <c r="B352" s="107" t="s">
        <v>1115</v>
      </c>
      <c r="C352" s="107" t="s">
        <v>458</v>
      </c>
      <c r="D352" s="107">
        <v>70.216666666666669</v>
      </c>
      <c r="E352" s="107">
        <v>-142.46666666666701</v>
      </c>
      <c r="F352" s="107">
        <v>15</v>
      </c>
      <c r="G352" s="107" t="s">
        <v>469</v>
      </c>
      <c r="H352" s="107" t="s">
        <v>1116</v>
      </c>
      <c r="I352" s="107" t="s">
        <v>1117</v>
      </c>
      <c r="J352" s="107" t="s">
        <v>484</v>
      </c>
      <c r="K352" s="107" t="s">
        <v>458</v>
      </c>
      <c r="L352" s="107" t="s">
        <v>485</v>
      </c>
      <c r="M352" s="113" t="str">
        <f t="shared" si="6"/>
        <v>View on Google Map</v>
      </c>
    </row>
    <row r="353" spans="1:14" x14ac:dyDescent="0.2">
      <c r="A353" s="107">
        <v>127</v>
      </c>
      <c r="B353" s="107" t="s">
        <v>1118</v>
      </c>
      <c r="C353" s="107" t="s">
        <v>458</v>
      </c>
      <c r="D353" s="107">
        <v>68.733333333333334</v>
      </c>
      <c r="E353" s="107">
        <v>-148.96666666666667</v>
      </c>
      <c r="F353" s="107">
        <v>597</v>
      </c>
      <c r="G353" s="107" t="s">
        <v>469</v>
      </c>
      <c r="H353" s="107" t="s">
        <v>1119</v>
      </c>
      <c r="I353" s="107" t="s">
        <v>458</v>
      </c>
      <c r="J353" s="107" t="s">
        <v>484</v>
      </c>
      <c r="K353" s="107" t="s">
        <v>458</v>
      </c>
      <c r="L353" s="107" t="s">
        <v>485</v>
      </c>
      <c r="M353" s="113" t="str">
        <f t="shared" si="6"/>
        <v>View on Google Map</v>
      </c>
    </row>
    <row r="354" spans="1:14" x14ac:dyDescent="0.2">
      <c r="A354" s="107">
        <v>133</v>
      </c>
      <c r="B354" s="107" t="s">
        <v>1120</v>
      </c>
      <c r="C354" s="107" t="s">
        <v>458</v>
      </c>
      <c r="D354" s="107">
        <v>70.36666666666666</v>
      </c>
      <c r="E354" s="107">
        <v>-148.5</v>
      </c>
      <c r="F354" s="107">
        <v>2</v>
      </c>
      <c r="G354" s="107" t="s">
        <v>469</v>
      </c>
      <c r="H354" s="107" t="s">
        <v>1121</v>
      </c>
      <c r="I354" s="107" t="s">
        <v>458</v>
      </c>
      <c r="J354" s="107" t="s">
        <v>484</v>
      </c>
      <c r="K354" s="107" t="s">
        <v>458</v>
      </c>
      <c r="L354" s="107" t="s">
        <v>485</v>
      </c>
      <c r="M354" s="113" t="str">
        <f t="shared" si="6"/>
        <v>View on Google Map</v>
      </c>
    </row>
    <row r="355" spans="1:14" x14ac:dyDescent="0.2">
      <c r="A355" s="107">
        <v>140</v>
      </c>
      <c r="B355" s="107" t="s">
        <v>1122</v>
      </c>
      <c r="C355" s="107" t="s">
        <v>458</v>
      </c>
      <c r="D355" s="107">
        <v>69.583333333333329</v>
      </c>
      <c r="E355" s="107">
        <v>-148.63333333333301</v>
      </c>
      <c r="F355" s="107">
        <v>145</v>
      </c>
      <c r="G355" s="107" t="s">
        <v>469</v>
      </c>
      <c r="H355" s="107" t="s">
        <v>1123</v>
      </c>
      <c r="I355" s="107" t="s">
        <v>1124</v>
      </c>
      <c r="J355" s="107" t="s">
        <v>484</v>
      </c>
      <c r="K355" s="107" t="s">
        <v>458</v>
      </c>
      <c r="L355" s="107" t="s">
        <v>485</v>
      </c>
      <c r="M355" s="113" t="str">
        <f t="shared" si="6"/>
        <v>View on Google Map</v>
      </c>
    </row>
    <row r="356" spans="1:14" x14ac:dyDescent="0.2">
      <c r="A356" s="107">
        <v>247</v>
      </c>
      <c r="B356" s="107" t="s">
        <v>1125</v>
      </c>
      <c r="C356" s="107" t="s">
        <v>1126</v>
      </c>
      <c r="D356" s="107">
        <v>68.687318124800001</v>
      </c>
      <c r="E356" s="107">
        <v>-150.043661294</v>
      </c>
      <c r="F356" s="107">
        <v>670</v>
      </c>
      <c r="G356" s="107" t="s">
        <v>469</v>
      </c>
      <c r="H356" s="107" t="s">
        <v>1127</v>
      </c>
      <c r="I356" s="107" t="s">
        <v>458</v>
      </c>
      <c r="J356" s="107" t="s">
        <v>751</v>
      </c>
      <c r="K356" s="107" t="s">
        <v>458</v>
      </c>
      <c r="L356" s="107" t="s">
        <v>752</v>
      </c>
      <c r="M356" s="113" t="str">
        <f t="shared" si="6"/>
        <v>View on Google Map</v>
      </c>
      <c r="N356" s="107">
        <f t="shared" ref="N356:N419" si="7">VALUE(MID(H356,5,3))</f>
        <v>1</v>
      </c>
    </row>
    <row r="357" spans="1:14" x14ac:dyDescent="0.2">
      <c r="A357" s="107">
        <v>248</v>
      </c>
      <c r="B357" s="107" t="s">
        <v>1128</v>
      </c>
      <c r="C357" s="107" t="s">
        <v>1129</v>
      </c>
      <c r="D357" s="107">
        <v>68.691799913400004</v>
      </c>
      <c r="E357" s="107">
        <v>-150.04995633499999</v>
      </c>
      <c r="F357" s="107">
        <v>670</v>
      </c>
      <c r="G357" s="107" t="s">
        <v>469</v>
      </c>
      <c r="H357" s="107" t="s">
        <v>1130</v>
      </c>
      <c r="I357" s="107" t="s">
        <v>458</v>
      </c>
      <c r="J357" s="107" t="s">
        <v>751</v>
      </c>
      <c r="K357" s="107" t="s">
        <v>458</v>
      </c>
      <c r="L357" s="107" t="s">
        <v>752</v>
      </c>
      <c r="M357" s="113" t="str">
        <f t="shared" si="6"/>
        <v>View on Google Map</v>
      </c>
      <c r="N357" s="107">
        <f t="shared" si="7"/>
        <v>2</v>
      </c>
    </row>
    <row r="358" spans="1:14" x14ac:dyDescent="0.2">
      <c r="A358" s="107">
        <v>249</v>
      </c>
      <c r="B358" s="107" t="s">
        <v>1131</v>
      </c>
      <c r="C358" s="107" t="s">
        <v>1132</v>
      </c>
      <c r="D358" s="107">
        <v>68.692272706200001</v>
      </c>
      <c r="E358" s="107">
        <v>-150.05393183499999</v>
      </c>
      <c r="F358" s="107">
        <v>670</v>
      </c>
      <c r="G358" s="107" t="s">
        <v>469</v>
      </c>
      <c r="H358" s="107" t="s">
        <v>1133</v>
      </c>
      <c r="I358" s="107" t="s">
        <v>458</v>
      </c>
      <c r="J358" s="107" t="s">
        <v>751</v>
      </c>
      <c r="K358" s="107" t="s">
        <v>458</v>
      </c>
      <c r="L358" s="107" t="s">
        <v>752</v>
      </c>
      <c r="M358" s="113" t="str">
        <f t="shared" si="6"/>
        <v>View on Google Map</v>
      </c>
      <c r="N358" s="107">
        <f t="shared" si="7"/>
        <v>3</v>
      </c>
    </row>
    <row r="359" spans="1:14" x14ac:dyDescent="0.2">
      <c r="A359" s="107">
        <v>250</v>
      </c>
      <c r="B359" s="107" t="s">
        <v>1134</v>
      </c>
      <c r="C359" s="107" t="s">
        <v>1135</v>
      </c>
      <c r="D359" s="107">
        <v>68.694180615799993</v>
      </c>
      <c r="E359" s="107">
        <v>-150.05828837300001</v>
      </c>
      <c r="F359" s="107">
        <v>670</v>
      </c>
      <c r="G359" s="107" t="s">
        <v>469</v>
      </c>
      <c r="H359" s="107" t="s">
        <v>1136</v>
      </c>
      <c r="I359" s="107" t="s">
        <v>458</v>
      </c>
      <c r="J359" s="107" t="s">
        <v>751</v>
      </c>
      <c r="K359" s="107" t="s">
        <v>458</v>
      </c>
      <c r="L359" s="107" t="s">
        <v>752</v>
      </c>
      <c r="M359" s="113" t="str">
        <f t="shared" si="6"/>
        <v>View on Google Map</v>
      </c>
      <c r="N359" s="107">
        <f t="shared" si="7"/>
        <v>4</v>
      </c>
    </row>
    <row r="360" spans="1:14" x14ac:dyDescent="0.2">
      <c r="A360" s="107">
        <v>251</v>
      </c>
      <c r="B360" s="107" t="s">
        <v>1137</v>
      </c>
      <c r="C360" s="107" t="s">
        <v>1138</v>
      </c>
      <c r="D360" s="107">
        <v>68.7077131315</v>
      </c>
      <c r="E360" s="107">
        <v>-150.04654580600001</v>
      </c>
      <c r="F360" s="107">
        <v>580</v>
      </c>
      <c r="G360" s="107" t="s">
        <v>469</v>
      </c>
      <c r="H360" s="107" t="s">
        <v>1139</v>
      </c>
      <c r="I360" s="107" t="s">
        <v>458</v>
      </c>
      <c r="J360" s="107" t="s">
        <v>751</v>
      </c>
      <c r="K360" s="107" t="s">
        <v>458</v>
      </c>
      <c r="L360" s="107" t="s">
        <v>752</v>
      </c>
      <c r="M360" s="113" t="str">
        <f t="shared" si="6"/>
        <v>View on Google Map</v>
      </c>
      <c r="N360" s="107">
        <f t="shared" si="7"/>
        <v>5</v>
      </c>
    </row>
    <row r="361" spans="1:14" x14ac:dyDescent="0.2">
      <c r="A361" s="107">
        <v>252</v>
      </c>
      <c r="B361" s="107" t="s">
        <v>1140</v>
      </c>
      <c r="C361" s="107" t="s">
        <v>1141</v>
      </c>
      <c r="D361" s="107">
        <v>68.713583961699996</v>
      </c>
      <c r="E361" s="107">
        <v>-150.03096474</v>
      </c>
      <c r="F361" s="107">
        <v>550</v>
      </c>
      <c r="G361" s="107" t="s">
        <v>469</v>
      </c>
      <c r="H361" s="107" t="s">
        <v>1142</v>
      </c>
      <c r="I361" s="107" t="s">
        <v>458</v>
      </c>
      <c r="J361" s="107" t="s">
        <v>751</v>
      </c>
      <c r="K361" s="107" t="s">
        <v>458</v>
      </c>
      <c r="L361" s="107" t="s">
        <v>752</v>
      </c>
      <c r="M361" s="113" t="str">
        <f t="shared" si="6"/>
        <v>View on Google Map</v>
      </c>
      <c r="N361" s="107">
        <f t="shared" si="7"/>
        <v>6</v>
      </c>
    </row>
    <row r="362" spans="1:14" x14ac:dyDescent="0.2">
      <c r="A362" s="107">
        <v>253</v>
      </c>
      <c r="B362" s="107" t="s">
        <v>1143</v>
      </c>
      <c r="C362" s="107" t="s">
        <v>1144</v>
      </c>
      <c r="D362" s="107">
        <v>68.717696468200003</v>
      </c>
      <c r="E362" s="107">
        <v>-150.03558023400001</v>
      </c>
      <c r="F362" s="107">
        <v>550</v>
      </c>
      <c r="G362" s="107" t="s">
        <v>469</v>
      </c>
      <c r="H362" s="107" t="s">
        <v>1145</v>
      </c>
      <c r="I362" s="107" t="s">
        <v>458</v>
      </c>
      <c r="J362" s="107" t="s">
        <v>751</v>
      </c>
      <c r="K362" s="107" t="s">
        <v>458</v>
      </c>
      <c r="L362" s="107" t="s">
        <v>752</v>
      </c>
      <c r="M362" s="113" t="str">
        <f t="shared" si="6"/>
        <v>View on Google Map</v>
      </c>
      <c r="N362" s="107">
        <f t="shared" si="7"/>
        <v>7</v>
      </c>
    </row>
    <row r="363" spans="1:14" x14ac:dyDescent="0.2">
      <c r="A363" s="107">
        <v>254</v>
      </c>
      <c r="B363" s="107" t="s">
        <v>1146</v>
      </c>
      <c r="C363" s="107" t="s">
        <v>1147</v>
      </c>
      <c r="D363" s="107">
        <v>68.724625849299997</v>
      </c>
      <c r="E363" s="107">
        <v>-150.02664640699999</v>
      </c>
      <c r="F363" s="107">
        <v>520</v>
      </c>
      <c r="G363" s="107" t="s">
        <v>469</v>
      </c>
      <c r="H363" s="107" t="s">
        <v>1148</v>
      </c>
      <c r="I363" s="107" t="s">
        <v>458</v>
      </c>
      <c r="J363" s="107" t="s">
        <v>751</v>
      </c>
      <c r="K363" s="107" t="s">
        <v>458</v>
      </c>
      <c r="L363" s="107" t="s">
        <v>752</v>
      </c>
      <c r="M363" s="113" t="str">
        <f t="shared" si="6"/>
        <v>View on Google Map</v>
      </c>
      <c r="N363" s="107">
        <f t="shared" si="7"/>
        <v>8</v>
      </c>
    </row>
    <row r="364" spans="1:14" x14ac:dyDescent="0.2">
      <c r="A364" s="107">
        <v>255</v>
      </c>
      <c r="B364" s="107" t="s">
        <v>1149</v>
      </c>
      <c r="C364" s="107" t="s">
        <v>1150</v>
      </c>
      <c r="D364" s="107">
        <v>68.728073916699998</v>
      </c>
      <c r="E364" s="107">
        <v>-150.03359923599999</v>
      </c>
      <c r="F364" s="107">
        <v>520</v>
      </c>
      <c r="G364" s="107" t="s">
        <v>469</v>
      </c>
      <c r="H364" s="107" t="s">
        <v>1151</v>
      </c>
      <c r="I364" s="107" t="s">
        <v>458</v>
      </c>
      <c r="J364" s="107" t="s">
        <v>751</v>
      </c>
      <c r="K364" s="107" t="s">
        <v>458</v>
      </c>
      <c r="L364" s="107" t="s">
        <v>752</v>
      </c>
      <c r="M364" s="113" t="str">
        <f t="shared" si="6"/>
        <v>View on Google Map</v>
      </c>
      <c r="N364" s="107">
        <f t="shared" si="7"/>
        <v>9</v>
      </c>
    </row>
    <row r="365" spans="1:14" x14ac:dyDescent="0.2">
      <c r="A365" s="107">
        <v>256</v>
      </c>
      <c r="B365" s="107" t="s">
        <v>1152</v>
      </c>
      <c r="C365" s="107" t="s">
        <v>1153</v>
      </c>
      <c r="D365" s="107">
        <v>68.701700654700005</v>
      </c>
      <c r="E365" s="107">
        <v>-149.74902999599999</v>
      </c>
      <c r="F365" s="107">
        <v>760</v>
      </c>
      <c r="G365" s="107" t="s">
        <v>469</v>
      </c>
      <c r="H365" s="107" t="s">
        <v>1154</v>
      </c>
      <c r="I365" s="107" t="s">
        <v>458</v>
      </c>
      <c r="J365" s="107" t="s">
        <v>751</v>
      </c>
      <c r="K365" s="107" t="s">
        <v>458</v>
      </c>
      <c r="L365" s="107" t="s">
        <v>752</v>
      </c>
      <c r="M365" s="113" t="str">
        <f t="shared" si="6"/>
        <v>View on Google Map</v>
      </c>
      <c r="N365" s="107">
        <f t="shared" si="7"/>
        <v>10</v>
      </c>
    </row>
    <row r="366" spans="1:14" x14ac:dyDescent="0.2">
      <c r="A366" s="107">
        <v>257</v>
      </c>
      <c r="B366" s="107" t="s">
        <v>1155</v>
      </c>
      <c r="C366" s="107" t="s">
        <v>1156</v>
      </c>
      <c r="D366" s="107">
        <v>68.701945515000006</v>
      </c>
      <c r="E366" s="107">
        <v>-149.745520981</v>
      </c>
      <c r="F366" s="107">
        <v>760</v>
      </c>
      <c r="G366" s="107" t="s">
        <v>469</v>
      </c>
      <c r="H366" s="107" t="s">
        <v>1157</v>
      </c>
      <c r="I366" s="107" t="s">
        <v>458</v>
      </c>
      <c r="J366" s="107" t="s">
        <v>751</v>
      </c>
      <c r="K366" s="107" t="s">
        <v>458</v>
      </c>
      <c r="L366" s="107" t="s">
        <v>752</v>
      </c>
      <c r="M366" s="113" t="str">
        <f t="shared" si="6"/>
        <v>View on Google Map</v>
      </c>
      <c r="N366" s="107">
        <f t="shared" si="7"/>
        <v>11</v>
      </c>
    </row>
    <row r="367" spans="1:14" x14ac:dyDescent="0.2">
      <c r="A367" s="107">
        <v>258</v>
      </c>
      <c r="B367" s="107" t="s">
        <v>1158</v>
      </c>
      <c r="C367" s="107" t="s">
        <v>1159</v>
      </c>
      <c r="D367" s="107">
        <v>68.704802601699996</v>
      </c>
      <c r="E367" s="107">
        <v>-149.73409678600001</v>
      </c>
      <c r="F367" s="107">
        <v>730</v>
      </c>
      <c r="G367" s="107" t="s">
        <v>469</v>
      </c>
      <c r="H367" s="107" t="s">
        <v>1160</v>
      </c>
      <c r="I367" s="107" t="s">
        <v>458</v>
      </c>
      <c r="J367" s="107" t="s">
        <v>751</v>
      </c>
      <c r="K367" s="107" t="s">
        <v>458</v>
      </c>
      <c r="L367" s="107" t="s">
        <v>752</v>
      </c>
      <c r="M367" s="113" t="str">
        <f t="shared" si="6"/>
        <v>View on Google Map</v>
      </c>
      <c r="N367" s="107">
        <f t="shared" si="7"/>
        <v>12</v>
      </c>
    </row>
    <row r="368" spans="1:14" x14ac:dyDescent="0.2">
      <c r="A368" s="107">
        <v>259</v>
      </c>
      <c r="B368" s="107" t="s">
        <v>1161</v>
      </c>
      <c r="C368" s="107" t="s">
        <v>1162</v>
      </c>
      <c r="D368" s="107">
        <v>68.703579720799993</v>
      </c>
      <c r="E368" s="107">
        <v>-149.717697128</v>
      </c>
      <c r="F368" s="107">
        <v>690</v>
      </c>
      <c r="G368" s="107" t="s">
        <v>469</v>
      </c>
      <c r="H368" s="107" t="s">
        <v>1163</v>
      </c>
      <c r="I368" s="107" t="s">
        <v>458</v>
      </c>
      <c r="J368" s="107" t="s">
        <v>751</v>
      </c>
      <c r="K368" s="107" t="s">
        <v>458</v>
      </c>
      <c r="L368" s="107" t="s">
        <v>752</v>
      </c>
      <c r="M368" s="113" t="str">
        <f t="shared" si="6"/>
        <v>View on Google Map</v>
      </c>
      <c r="N368" s="107">
        <f t="shared" si="7"/>
        <v>13</v>
      </c>
    </row>
    <row r="369" spans="1:14" x14ac:dyDescent="0.2">
      <c r="A369" s="107">
        <v>260</v>
      </c>
      <c r="B369" s="107" t="s">
        <v>1164</v>
      </c>
      <c r="C369" s="107" t="s">
        <v>1165</v>
      </c>
      <c r="D369" s="107">
        <v>68.702004088500004</v>
      </c>
      <c r="E369" s="107">
        <v>-149.71011160800001</v>
      </c>
      <c r="F369" s="107">
        <v>650</v>
      </c>
      <c r="G369" s="107" t="s">
        <v>469</v>
      </c>
      <c r="H369" s="107" t="s">
        <v>1166</v>
      </c>
      <c r="I369" s="107" t="s">
        <v>458</v>
      </c>
      <c r="J369" s="107" t="s">
        <v>751</v>
      </c>
      <c r="K369" s="107" t="s">
        <v>458</v>
      </c>
      <c r="L369" s="107" t="s">
        <v>752</v>
      </c>
      <c r="M369" s="113" t="str">
        <f t="shared" si="6"/>
        <v>View on Google Map</v>
      </c>
      <c r="N369" s="107">
        <f t="shared" si="7"/>
        <v>14</v>
      </c>
    </row>
    <row r="370" spans="1:14" x14ac:dyDescent="0.2">
      <c r="A370" s="107">
        <v>261</v>
      </c>
      <c r="B370" s="107" t="s">
        <v>1167</v>
      </c>
      <c r="C370" s="107" t="s">
        <v>1168</v>
      </c>
      <c r="D370" s="107">
        <v>68.707978848899998</v>
      </c>
      <c r="E370" s="107">
        <v>-149.715105897</v>
      </c>
      <c r="F370" s="107">
        <v>650</v>
      </c>
      <c r="G370" s="107" t="s">
        <v>469</v>
      </c>
      <c r="H370" s="107" t="s">
        <v>1169</v>
      </c>
      <c r="I370" s="107" t="s">
        <v>458</v>
      </c>
      <c r="J370" s="107" t="s">
        <v>751</v>
      </c>
      <c r="K370" s="107" t="s">
        <v>458</v>
      </c>
      <c r="L370" s="107" t="s">
        <v>752</v>
      </c>
      <c r="M370" s="113" t="str">
        <f t="shared" si="6"/>
        <v>View on Google Map</v>
      </c>
      <c r="N370" s="107">
        <f t="shared" si="7"/>
        <v>15</v>
      </c>
    </row>
    <row r="371" spans="1:14" x14ac:dyDescent="0.2">
      <c r="A371" s="107">
        <v>262</v>
      </c>
      <c r="B371" s="107" t="s">
        <v>1170</v>
      </c>
      <c r="C371" s="107" t="s">
        <v>1171</v>
      </c>
      <c r="D371" s="107">
        <v>68.707847844300005</v>
      </c>
      <c r="E371" s="107">
        <v>-149.69962200099999</v>
      </c>
      <c r="F371" s="107">
        <v>650</v>
      </c>
      <c r="G371" s="107" t="s">
        <v>469</v>
      </c>
      <c r="H371" s="107" t="s">
        <v>1172</v>
      </c>
      <c r="I371" s="107" t="s">
        <v>458</v>
      </c>
      <c r="J371" s="107" t="s">
        <v>751</v>
      </c>
      <c r="K371" s="107" t="s">
        <v>458</v>
      </c>
      <c r="L371" s="107" t="s">
        <v>752</v>
      </c>
      <c r="M371" s="113" t="str">
        <f t="shared" si="6"/>
        <v>View on Google Map</v>
      </c>
      <c r="N371" s="107">
        <f t="shared" si="7"/>
        <v>16</v>
      </c>
    </row>
    <row r="372" spans="1:14" x14ac:dyDescent="0.2">
      <c r="A372" s="107">
        <v>263</v>
      </c>
      <c r="B372" s="107" t="s">
        <v>1173</v>
      </c>
      <c r="C372" s="107" t="s">
        <v>1174</v>
      </c>
      <c r="D372" s="107">
        <v>68.7041606871</v>
      </c>
      <c r="E372" s="107">
        <v>-149.68743035400001</v>
      </c>
      <c r="F372" s="107">
        <v>650</v>
      </c>
      <c r="G372" s="107" t="s">
        <v>469</v>
      </c>
      <c r="H372" s="107" t="s">
        <v>1175</v>
      </c>
      <c r="I372" s="107" t="s">
        <v>458</v>
      </c>
      <c r="J372" s="107" t="s">
        <v>751</v>
      </c>
      <c r="K372" s="107" t="s">
        <v>458</v>
      </c>
      <c r="L372" s="107" t="s">
        <v>752</v>
      </c>
      <c r="M372" s="113" t="str">
        <f t="shared" si="6"/>
        <v>View on Google Map</v>
      </c>
      <c r="N372" s="107">
        <f t="shared" si="7"/>
        <v>17</v>
      </c>
    </row>
    <row r="373" spans="1:14" x14ac:dyDescent="0.2">
      <c r="A373" s="107">
        <v>264</v>
      </c>
      <c r="B373" s="107" t="s">
        <v>1176</v>
      </c>
      <c r="C373" s="107" t="s">
        <v>1177</v>
      </c>
      <c r="D373" s="107">
        <v>68.699385523999993</v>
      </c>
      <c r="E373" s="107">
        <v>-149.69396666399999</v>
      </c>
      <c r="F373" s="107">
        <v>650</v>
      </c>
      <c r="G373" s="107" t="s">
        <v>469</v>
      </c>
      <c r="H373" s="107" t="s">
        <v>1178</v>
      </c>
      <c r="I373" s="107" t="s">
        <v>458</v>
      </c>
      <c r="J373" s="107" t="s">
        <v>751</v>
      </c>
      <c r="K373" s="107" t="s">
        <v>458</v>
      </c>
      <c r="L373" s="107" t="s">
        <v>752</v>
      </c>
      <c r="M373" s="113" t="str">
        <f t="shared" si="6"/>
        <v>View on Google Map</v>
      </c>
      <c r="N373" s="107">
        <f t="shared" si="7"/>
        <v>18</v>
      </c>
    </row>
    <row r="374" spans="1:14" x14ac:dyDescent="0.2">
      <c r="A374" s="107">
        <v>265</v>
      </c>
      <c r="B374" s="107" t="s">
        <v>1179</v>
      </c>
      <c r="C374" s="107" t="s">
        <v>1180</v>
      </c>
      <c r="D374" s="107">
        <v>68.7022801743</v>
      </c>
      <c r="E374" s="107">
        <v>-149.70382138400001</v>
      </c>
      <c r="F374" s="107">
        <v>650</v>
      </c>
      <c r="G374" s="107" t="s">
        <v>469</v>
      </c>
      <c r="H374" s="107" t="s">
        <v>1181</v>
      </c>
      <c r="I374" s="107" t="s">
        <v>458</v>
      </c>
      <c r="J374" s="107" t="s">
        <v>751</v>
      </c>
      <c r="K374" s="107" t="s">
        <v>458</v>
      </c>
      <c r="L374" s="107" t="s">
        <v>752</v>
      </c>
      <c r="M374" s="113" t="str">
        <f t="shared" si="6"/>
        <v>View on Google Map</v>
      </c>
      <c r="N374" s="107">
        <f t="shared" si="7"/>
        <v>19</v>
      </c>
    </row>
    <row r="375" spans="1:14" x14ac:dyDescent="0.2">
      <c r="A375" s="107">
        <v>266</v>
      </c>
      <c r="B375" s="107" t="s">
        <v>1182</v>
      </c>
      <c r="C375" s="107" t="s">
        <v>1183</v>
      </c>
      <c r="D375" s="107">
        <v>68.691324054399999</v>
      </c>
      <c r="E375" s="107">
        <v>-149.78520674699999</v>
      </c>
      <c r="F375" s="107">
        <v>650</v>
      </c>
      <c r="G375" s="107" t="s">
        <v>469</v>
      </c>
      <c r="H375" s="107" t="s">
        <v>1184</v>
      </c>
      <c r="I375" s="107" t="s">
        <v>458</v>
      </c>
      <c r="J375" s="107" t="s">
        <v>751</v>
      </c>
      <c r="K375" s="107" t="s">
        <v>458</v>
      </c>
      <c r="L375" s="107" t="s">
        <v>752</v>
      </c>
      <c r="M375" s="113" t="str">
        <f t="shared" si="6"/>
        <v>View on Google Map</v>
      </c>
      <c r="N375" s="107">
        <f t="shared" si="7"/>
        <v>20</v>
      </c>
    </row>
    <row r="376" spans="1:14" x14ac:dyDescent="0.2">
      <c r="A376" s="107">
        <v>267</v>
      </c>
      <c r="B376" s="107" t="s">
        <v>1185</v>
      </c>
      <c r="C376" s="107" t="s">
        <v>1186</v>
      </c>
      <c r="D376" s="107">
        <v>68.682528721799997</v>
      </c>
      <c r="E376" s="107">
        <v>-149.77156908800001</v>
      </c>
      <c r="F376" s="107">
        <v>630</v>
      </c>
      <c r="G376" s="107" t="s">
        <v>469</v>
      </c>
      <c r="H376" s="107" t="s">
        <v>1187</v>
      </c>
      <c r="I376" s="107" t="s">
        <v>458</v>
      </c>
      <c r="J376" s="107" t="s">
        <v>751</v>
      </c>
      <c r="K376" s="107" t="s">
        <v>458</v>
      </c>
      <c r="L376" s="107" t="s">
        <v>752</v>
      </c>
      <c r="M376" s="113" t="str">
        <f t="shared" si="6"/>
        <v>View on Google Map</v>
      </c>
      <c r="N376" s="107">
        <f t="shared" si="7"/>
        <v>21</v>
      </c>
    </row>
    <row r="377" spans="1:14" x14ac:dyDescent="0.2">
      <c r="A377" s="107">
        <v>268</v>
      </c>
      <c r="B377" s="107" t="s">
        <v>1188</v>
      </c>
      <c r="C377" s="107" t="s">
        <v>1189</v>
      </c>
      <c r="D377" s="107">
        <v>68.6833666064</v>
      </c>
      <c r="E377" s="107">
        <v>-149.78602037900001</v>
      </c>
      <c r="F377" s="107">
        <v>620</v>
      </c>
      <c r="G377" s="107" t="s">
        <v>469</v>
      </c>
      <c r="H377" s="107" t="s">
        <v>1190</v>
      </c>
      <c r="I377" s="107" t="s">
        <v>458</v>
      </c>
      <c r="J377" s="107" t="s">
        <v>751</v>
      </c>
      <c r="K377" s="107" t="s">
        <v>458</v>
      </c>
      <c r="L377" s="107" t="s">
        <v>752</v>
      </c>
      <c r="M377" s="113" t="str">
        <f t="shared" si="6"/>
        <v>View on Google Map</v>
      </c>
      <c r="N377" s="107">
        <f t="shared" si="7"/>
        <v>22</v>
      </c>
    </row>
    <row r="378" spans="1:14" x14ac:dyDescent="0.2">
      <c r="A378" s="107">
        <v>269</v>
      </c>
      <c r="B378" s="107" t="s">
        <v>1191</v>
      </c>
      <c r="C378" s="107" t="s">
        <v>1192</v>
      </c>
      <c r="D378" s="107">
        <v>68.685049484000004</v>
      </c>
      <c r="E378" s="107">
        <v>-149.801322572</v>
      </c>
      <c r="F378" s="107">
        <v>590</v>
      </c>
      <c r="G378" s="107" t="s">
        <v>469</v>
      </c>
      <c r="H378" s="107" t="s">
        <v>1193</v>
      </c>
      <c r="I378" s="107" t="s">
        <v>458</v>
      </c>
      <c r="J378" s="107" t="s">
        <v>751</v>
      </c>
      <c r="K378" s="107" t="s">
        <v>458</v>
      </c>
      <c r="L378" s="107" t="s">
        <v>752</v>
      </c>
      <c r="M378" s="113" t="str">
        <f t="shared" si="6"/>
        <v>View on Google Map</v>
      </c>
      <c r="N378" s="107">
        <f t="shared" si="7"/>
        <v>23</v>
      </c>
    </row>
    <row r="379" spans="1:14" x14ac:dyDescent="0.2">
      <c r="A379" s="107">
        <v>270</v>
      </c>
      <c r="B379" s="107" t="s">
        <v>1194</v>
      </c>
      <c r="C379" s="107" t="s">
        <v>1195</v>
      </c>
      <c r="D379" s="107">
        <v>68.6853960145</v>
      </c>
      <c r="E379" s="107">
        <v>-149.80798693200001</v>
      </c>
      <c r="F379" s="107">
        <v>590</v>
      </c>
      <c r="G379" s="107" t="s">
        <v>469</v>
      </c>
      <c r="H379" s="107" t="s">
        <v>1196</v>
      </c>
      <c r="I379" s="107" t="s">
        <v>458</v>
      </c>
      <c r="J379" s="107" t="s">
        <v>751</v>
      </c>
      <c r="K379" s="107" t="s">
        <v>458</v>
      </c>
      <c r="L379" s="107" t="s">
        <v>752</v>
      </c>
      <c r="M379" s="113" t="str">
        <f t="shared" si="6"/>
        <v>View on Google Map</v>
      </c>
      <c r="N379" s="107">
        <f t="shared" si="7"/>
        <v>24</v>
      </c>
    </row>
    <row r="380" spans="1:14" x14ac:dyDescent="0.2">
      <c r="A380" s="107">
        <v>271</v>
      </c>
      <c r="B380" s="107" t="s">
        <v>1197</v>
      </c>
      <c r="C380" s="107" t="s">
        <v>1198</v>
      </c>
      <c r="D380" s="107">
        <v>68.682885549900007</v>
      </c>
      <c r="E380" s="107">
        <v>-149.809163652</v>
      </c>
      <c r="F380" s="107">
        <v>590</v>
      </c>
      <c r="G380" s="107" t="s">
        <v>469</v>
      </c>
      <c r="H380" s="107" t="s">
        <v>1199</v>
      </c>
      <c r="I380" s="107" t="s">
        <v>458</v>
      </c>
      <c r="J380" s="107" t="s">
        <v>751</v>
      </c>
      <c r="K380" s="107" t="s">
        <v>458</v>
      </c>
      <c r="L380" s="107" t="s">
        <v>752</v>
      </c>
      <c r="M380" s="113" t="str">
        <f t="shared" si="6"/>
        <v>View on Google Map</v>
      </c>
      <c r="N380" s="107">
        <f t="shared" si="7"/>
        <v>25</v>
      </c>
    </row>
    <row r="381" spans="1:14" x14ac:dyDescent="0.2">
      <c r="A381" s="107">
        <v>272</v>
      </c>
      <c r="B381" s="107" t="s">
        <v>1200</v>
      </c>
      <c r="C381" s="107" t="s">
        <v>1201</v>
      </c>
      <c r="D381" s="107">
        <v>68.682270906200003</v>
      </c>
      <c r="E381" s="107">
        <v>-149.81202356599999</v>
      </c>
      <c r="F381" s="107" t="s">
        <v>458</v>
      </c>
      <c r="G381" s="107" t="s">
        <v>469</v>
      </c>
      <c r="H381" s="107" t="s">
        <v>1202</v>
      </c>
      <c r="I381" s="107" t="s">
        <v>458</v>
      </c>
      <c r="J381" s="107" t="s">
        <v>751</v>
      </c>
      <c r="K381" s="107" t="s">
        <v>458</v>
      </c>
      <c r="L381" s="107" t="s">
        <v>752</v>
      </c>
      <c r="M381" s="113" t="str">
        <f t="shared" si="6"/>
        <v>View on Google Map</v>
      </c>
      <c r="N381" s="107">
        <f t="shared" si="7"/>
        <v>26</v>
      </c>
    </row>
    <row r="382" spans="1:14" x14ac:dyDescent="0.2">
      <c r="A382" s="107">
        <v>315</v>
      </c>
      <c r="B382" s="107" t="s">
        <v>1203</v>
      </c>
      <c r="C382" s="107" t="s">
        <v>1204</v>
      </c>
      <c r="D382" s="107">
        <v>68.568206306199997</v>
      </c>
      <c r="E382" s="107">
        <v>-149.167395043</v>
      </c>
      <c r="F382" s="107" t="s">
        <v>458</v>
      </c>
      <c r="G382" s="107" t="s">
        <v>469</v>
      </c>
      <c r="H382" s="107" t="s">
        <v>1205</v>
      </c>
      <c r="I382" s="107" t="s">
        <v>458</v>
      </c>
      <c r="J382" s="107" t="s">
        <v>751</v>
      </c>
      <c r="K382" s="107" t="s">
        <v>458</v>
      </c>
      <c r="L382" s="107" t="s">
        <v>752</v>
      </c>
      <c r="M382" s="113" t="str">
        <f t="shared" si="6"/>
        <v>View on Google Map</v>
      </c>
      <c r="N382" s="107">
        <f t="shared" si="7"/>
        <v>27</v>
      </c>
    </row>
    <row r="383" spans="1:14" x14ac:dyDescent="0.2">
      <c r="A383" s="107">
        <v>316</v>
      </c>
      <c r="B383" s="107" t="s">
        <v>1206</v>
      </c>
      <c r="C383" s="107" t="s">
        <v>1207</v>
      </c>
      <c r="D383" s="107">
        <v>68.563566134699997</v>
      </c>
      <c r="E383" s="107">
        <v>-149.17548626199999</v>
      </c>
      <c r="F383" s="107" t="s">
        <v>458</v>
      </c>
      <c r="G383" s="107" t="s">
        <v>469</v>
      </c>
      <c r="H383" s="107" t="s">
        <v>1208</v>
      </c>
      <c r="I383" s="107" t="s">
        <v>458</v>
      </c>
      <c r="J383" s="107" t="s">
        <v>751</v>
      </c>
      <c r="K383" s="107" t="s">
        <v>458</v>
      </c>
      <c r="L383" s="107" t="s">
        <v>752</v>
      </c>
      <c r="M383" s="113" t="str">
        <f t="shared" si="6"/>
        <v>View on Google Map</v>
      </c>
      <c r="N383" s="107">
        <f t="shared" si="7"/>
        <v>28</v>
      </c>
    </row>
    <row r="384" spans="1:14" x14ac:dyDescent="0.2">
      <c r="A384" s="107">
        <v>317</v>
      </c>
      <c r="B384" s="107" t="s">
        <v>1209</v>
      </c>
      <c r="C384" s="107" t="s">
        <v>1210</v>
      </c>
      <c r="D384" s="107">
        <v>68.567753827800004</v>
      </c>
      <c r="E384" s="107">
        <v>-149.18255546</v>
      </c>
      <c r="F384" s="107" t="s">
        <v>458</v>
      </c>
      <c r="G384" s="107" t="s">
        <v>469</v>
      </c>
      <c r="H384" s="107" t="s">
        <v>1211</v>
      </c>
      <c r="I384" s="107" t="s">
        <v>458</v>
      </c>
      <c r="J384" s="107" t="s">
        <v>751</v>
      </c>
      <c r="K384" s="107" t="s">
        <v>458</v>
      </c>
      <c r="L384" s="107" t="s">
        <v>752</v>
      </c>
      <c r="M384" s="113" t="str">
        <f t="shared" si="6"/>
        <v>View on Google Map</v>
      </c>
      <c r="N384" s="107">
        <f t="shared" si="7"/>
        <v>29</v>
      </c>
    </row>
    <row r="385" spans="1:14" x14ac:dyDescent="0.2">
      <c r="A385" s="107">
        <v>318</v>
      </c>
      <c r="B385" s="107" t="s">
        <v>1212</v>
      </c>
      <c r="C385" s="107" t="s">
        <v>1213</v>
      </c>
      <c r="D385" s="107">
        <v>68.575143231300004</v>
      </c>
      <c r="E385" s="107">
        <v>-149.187493434</v>
      </c>
      <c r="F385" s="107">
        <v>899</v>
      </c>
      <c r="G385" s="107" t="s">
        <v>469</v>
      </c>
      <c r="H385" s="107" t="s">
        <v>1214</v>
      </c>
      <c r="I385" s="107" t="s">
        <v>458</v>
      </c>
      <c r="J385" s="107" t="s">
        <v>751</v>
      </c>
      <c r="K385" s="107" t="s">
        <v>458</v>
      </c>
      <c r="L385" s="107" t="s">
        <v>752</v>
      </c>
      <c r="M385" s="113" t="str">
        <f t="shared" si="6"/>
        <v>View on Google Map</v>
      </c>
      <c r="N385" s="107">
        <f t="shared" si="7"/>
        <v>30</v>
      </c>
    </row>
    <row r="386" spans="1:14" x14ac:dyDescent="0.2">
      <c r="A386" s="107">
        <v>319</v>
      </c>
      <c r="B386" s="107" t="s">
        <v>1215</v>
      </c>
      <c r="C386" s="107" t="s">
        <v>1216</v>
      </c>
      <c r="D386" s="107">
        <v>68.575979722100001</v>
      </c>
      <c r="E386" s="107">
        <v>-149.19939190100001</v>
      </c>
      <c r="F386" s="107" t="s">
        <v>458</v>
      </c>
      <c r="G386" s="107" t="s">
        <v>469</v>
      </c>
      <c r="H386" s="107" t="s">
        <v>1217</v>
      </c>
      <c r="I386" s="107" t="s">
        <v>458</v>
      </c>
      <c r="J386" s="107" t="s">
        <v>751</v>
      </c>
      <c r="K386" s="107" t="s">
        <v>458</v>
      </c>
      <c r="L386" s="107" t="s">
        <v>752</v>
      </c>
      <c r="M386" s="113" t="str">
        <f t="shared" si="6"/>
        <v>View on Google Map</v>
      </c>
      <c r="N386" s="107">
        <f t="shared" si="7"/>
        <v>31</v>
      </c>
    </row>
    <row r="387" spans="1:14" x14ac:dyDescent="0.2">
      <c r="A387" s="107">
        <v>320</v>
      </c>
      <c r="B387" s="107" t="s">
        <v>1218</v>
      </c>
      <c r="C387" s="107" t="s">
        <v>1219</v>
      </c>
      <c r="D387" s="107">
        <v>68.576887217199996</v>
      </c>
      <c r="E387" s="107">
        <v>-149.17782305899999</v>
      </c>
      <c r="F387" s="107">
        <v>891</v>
      </c>
      <c r="G387" s="107" t="s">
        <v>469</v>
      </c>
      <c r="H387" s="107" t="s">
        <v>1220</v>
      </c>
      <c r="I387" s="107" t="s">
        <v>458</v>
      </c>
      <c r="J387" s="107" t="s">
        <v>751</v>
      </c>
      <c r="K387" s="107" t="s">
        <v>458</v>
      </c>
      <c r="L387" s="107" t="s">
        <v>752</v>
      </c>
      <c r="M387" s="113" t="str">
        <f t="shared" ref="M387:M450" si="8">HYPERLINK("http://maps.google.com/maps?q="&amp;D387&amp;","&amp;E387,"View on Google Map")</f>
        <v>View on Google Map</v>
      </c>
      <c r="N387" s="107">
        <f t="shared" si="7"/>
        <v>32</v>
      </c>
    </row>
    <row r="388" spans="1:14" x14ac:dyDescent="0.2">
      <c r="A388" s="107">
        <v>321</v>
      </c>
      <c r="B388" s="107" t="s">
        <v>1221</v>
      </c>
      <c r="C388" s="107" t="s">
        <v>1222</v>
      </c>
      <c r="D388" s="107">
        <v>68.581215404199995</v>
      </c>
      <c r="E388" s="107">
        <v>-149.17874205800001</v>
      </c>
      <c r="F388" s="107">
        <v>891</v>
      </c>
      <c r="G388" s="107" t="s">
        <v>469</v>
      </c>
      <c r="H388" s="107" t="s">
        <v>1223</v>
      </c>
      <c r="I388" s="107" t="s">
        <v>458</v>
      </c>
      <c r="J388" s="107" t="s">
        <v>751</v>
      </c>
      <c r="K388" s="107" t="s">
        <v>458</v>
      </c>
      <c r="L388" s="107" t="s">
        <v>752</v>
      </c>
      <c r="M388" s="113" t="str">
        <f t="shared" si="8"/>
        <v>View on Google Map</v>
      </c>
      <c r="N388" s="107">
        <f t="shared" si="7"/>
        <v>33</v>
      </c>
    </row>
    <row r="389" spans="1:14" x14ac:dyDescent="0.2">
      <c r="A389" s="107">
        <v>322</v>
      </c>
      <c r="B389" s="107" t="s">
        <v>1224</v>
      </c>
      <c r="C389" s="107" t="s">
        <v>1225</v>
      </c>
      <c r="D389" s="107">
        <v>68.587382761699999</v>
      </c>
      <c r="E389" s="107">
        <v>-149.144248847</v>
      </c>
      <c r="F389" s="107" t="s">
        <v>458</v>
      </c>
      <c r="G389" s="107" t="s">
        <v>469</v>
      </c>
      <c r="H389" s="107" t="s">
        <v>1226</v>
      </c>
      <c r="I389" s="107" t="s">
        <v>458</v>
      </c>
      <c r="J389" s="107" t="s">
        <v>751</v>
      </c>
      <c r="K389" s="107" t="s">
        <v>458</v>
      </c>
      <c r="L389" s="107" t="s">
        <v>752</v>
      </c>
      <c r="M389" s="113" t="str">
        <f t="shared" si="8"/>
        <v>View on Google Map</v>
      </c>
      <c r="N389" s="107">
        <f t="shared" si="7"/>
        <v>34</v>
      </c>
    </row>
    <row r="390" spans="1:14" x14ac:dyDescent="0.2">
      <c r="A390" s="107">
        <v>323</v>
      </c>
      <c r="B390" s="107" t="s">
        <v>1227</v>
      </c>
      <c r="C390" s="107" t="s">
        <v>1228</v>
      </c>
      <c r="D390" s="107">
        <v>68.548407480700007</v>
      </c>
      <c r="E390" s="107">
        <v>-150.03700547700001</v>
      </c>
      <c r="F390" s="107" t="s">
        <v>458</v>
      </c>
      <c r="G390" s="107" t="s">
        <v>469</v>
      </c>
      <c r="H390" s="107" t="s">
        <v>1229</v>
      </c>
      <c r="I390" s="107" t="s">
        <v>458</v>
      </c>
      <c r="J390" s="107" t="s">
        <v>751</v>
      </c>
      <c r="K390" s="107" t="s">
        <v>458</v>
      </c>
      <c r="L390" s="107" t="s">
        <v>752</v>
      </c>
      <c r="M390" s="113" t="str">
        <f t="shared" si="8"/>
        <v>View on Google Map</v>
      </c>
      <c r="N390" s="107">
        <f t="shared" si="7"/>
        <v>35</v>
      </c>
    </row>
    <row r="391" spans="1:14" x14ac:dyDescent="0.2">
      <c r="A391" s="107">
        <v>324</v>
      </c>
      <c r="B391" s="107" t="s">
        <v>1230</v>
      </c>
      <c r="C391" s="107" t="s">
        <v>1231</v>
      </c>
      <c r="D391" s="107">
        <v>68.550052273099993</v>
      </c>
      <c r="E391" s="107">
        <v>-150.02948327199999</v>
      </c>
      <c r="F391" s="107" t="s">
        <v>458</v>
      </c>
      <c r="G391" s="107" t="s">
        <v>469</v>
      </c>
      <c r="H391" s="107" t="s">
        <v>1232</v>
      </c>
      <c r="I391" s="107" t="s">
        <v>458</v>
      </c>
      <c r="J391" s="107" t="s">
        <v>751</v>
      </c>
      <c r="K391" s="107" t="s">
        <v>458</v>
      </c>
      <c r="L391" s="107" t="s">
        <v>752</v>
      </c>
      <c r="M391" s="113" t="str">
        <f t="shared" si="8"/>
        <v>View on Google Map</v>
      </c>
      <c r="N391" s="107">
        <f t="shared" si="7"/>
        <v>36</v>
      </c>
    </row>
    <row r="392" spans="1:14" x14ac:dyDescent="0.2">
      <c r="A392" s="107">
        <v>325</v>
      </c>
      <c r="B392" s="107" t="s">
        <v>1233</v>
      </c>
      <c r="C392" s="107" t="s">
        <v>1234</v>
      </c>
      <c r="D392" s="107">
        <v>68.5460242857</v>
      </c>
      <c r="E392" s="107">
        <v>-150.02463014</v>
      </c>
      <c r="F392" s="107" t="s">
        <v>458</v>
      </c>
      <c r="G392" s="107" t="s">
        <v>469</v>
      </c>
      <c r="H392" s="107" t="s">
        <v>1235</v>
      </c>
      <c r="I392" s="107" t="s">
        <v>458</v>
      </c>
      <c r="J392" s="107" t="s">
        <v>751</v>
      </c>
      <c r="K392" s="107" t="s">
        <v>458</v>
      </c>
      <c r="L392" s="107" t="s">
        <v>752</v>
      </c>
      <c r="M392" s="113" t="str">
        <f t="shared" si="8"/>
        <v>View on Google Map</v>
      </c>
      <c r="N392" s="107">
        <f t="shared" si="7"/>
        <v>37</v>
      </c>
    </row>
    <row r="393" spans="1:14" x14ac:dyDescent="0.2">
      <c r="A393" s="107">
        <v>326</v>
      </c>
      <c r="B393" s="107" t="s">
        <v>1236</v>
      </c>
      <c r="C393" s="107" t="s">
        <v>1237</v>
      </c>
      <c r="D393" s="107">
        <v>68.550135830100004</v>
      </c>
      <c r="E393" s="107">
        <v>-150.01499602000001</v>
      </c>
      <c r="F393" s="107" t="s">
        <v>458</v>
      </c>
      <c r="G393" s="107" t="s">
        <v>469</v>
      </c>
      <c r="H393" s="107" t="s">
        <v>1238</v>
      </c>
      <c r="I393" s="107" t="s">
        <v>458</v>
      </c>
      <c r="J393" s="107" t="s">
        <v>751</v>
      </c>
      <c r="K393" s="107" t="s">
        <v>458</v>
      </c>
      <c r="L393" s="107" t="s">
        <v>752</v>
      </c>
      <c r="M393" s="113" t="str">
        <f t="shared" si="8"/>
        <v>View on Google Map</v>
      </c>
      <c r="N393" s="107">
        <f t="shared" si="7"/>
        <v>38</v>
      </c>
    </row>
    <row r="394" spans="1:14" x14ac:dyDescent="0.2">
      <c r="A394" s="107">
        <v>327</v>
      </c>
      <c r="B394" s="107" t="s">
        <v>1239</v>
      </c>
      <c r="C394" s="107" t="s">
        <v>1240</v>
      </c>
      <c r="D394" s="107">
        <v>68.556356553000001</v>
      </c>
      <c r="E394" s="107">
        <v>-150.01283142599999</v>
      </c>
      <c r="F394" s="107" t="s">
        <v>458</v>
      </c>
      <c r="G394" s="107" t="s">
        <v>469</v>
      </c>
      <c r="H394" s="107" t="s">
        <v>1241</v>
      </c>
      <c r="I394" s="107" t="s">
        <v>458</v>
      </c>
      <c r="J394" s="107" t="s">
        <v>751</v>
      </c>
      <c r="K394" s="107" t="s">
        <v>458</v>
      </c>
      <c r="L394" s="107" t="s">
        <v>752</v>
      </c>
      <c r="M394" s="113" t="str">
        <f t="shared" si="8"/>
        <v>View on Google Map</v>
      </c>
      <c r="N394" s="107">
        <f t="shared" si="7"/>
        <v>39</v>
      </c>
    </row>
    <row r="395" spans="1:14" x14ac:dyDescent="0.2">
      <c r="A395" s="107">
        <v>328</v>
      </c>
      <c r="B395" s="107" t="s">
        <v>1242</v>
      </c>
      <c r="C395" s="107" t="s">
        <v>1243</v>
      </c>
      <c r="D395" s="107">
        <v>68.565564884200001</v>
      </c>
      <c r="E395" s="107">
        <v>-150.00164362699999</v>
      </c>
      <c r="F395" s="107" t="s">
        <v>458</v>
      </c>
      <c r="G395" s="107" t="s">
        <v>469</v>
      </c>
      <c r="H395" s="107" t="s">
        <v>1244</v>
      </c>
      <c r="I395" s="107" t="s">
        <v>458</v>
      </c>
      <c r="J395" s="107" t="s">
        <v>751</v>
      </c>
      <c r="K395" s="107" t="s">
        <v>458</v>
      </c>
      <c r="L395" s="107" t="s">
        <v>752</v>
      </c>
      <c r="M395" s="113" t="str">
        <f t="shared" si="8"/>
        <v>View on Google Map</v>
      </c>
      <c r="N395" s="107">
        <f t="shared" si="7"/>
        <v>40</v>
      </c>
    </row>
    <row r="396" spans="1:14" x14ac:dyDescent="0.2">
      <c r="A396" s="107">
        <v>329</v>
      </c>
      <c r="B396" s="107" t="s">
        <v>1245</v>
      </c>
      <c r="C396" s="107" t="s">
        <v>1246</v>
      </c>
      <c r="D396" s="107">
        <v>68.567838099200003</v>
      </c>
      <c r="E396" s="107">
        <v>-149.99849875500001</v>
      </c>
      <c r="F396" s="107" t="s">
        <v>458</v>
      </c>
      <c r="G396" s="107" t="s">
        <v>469</v>
      </c>
      <c r="H396" s="107" t="s">
        <v>1247</v>
      </c>
      <c r="I396" s="107" t="s">
        <v>458</v>
      </c>
      <c r="J396" s="107" t="s">
        <v>751</v>
      </c>
      <c r="K396" s="107" t="s">
        <v>458</v>
      </c>
      <c r="L396" s="107" t="s">
        <v>752</v>
      </c>
      <c r="M396" s="113" t="str">
        <f t="shared" si="8"/>
        <v>View on Google Map</v>
      </c>
      <c r="N396" s="107">
        <f t="shared" si="7"/>
        <v>41</v>
      </c>
    </row>
    <row r="397" spans="1:14" x14ac:dyDescent="0.2">
      <c r="A397" s="107">
        <v>330</v>
      </c>
      <c r="B397" s="107" t="s">
        <v>1248</v>
      </c>
      <c r="C397" s="107" t="s">
        <v>1249</v>
      </c>
      <c r="D397" s="107">
        <v>68.5855663241</v>
      </c>
      <c r="E397" s="107">
        <v>-149.98167511</v>
      </c>
      <c r="F397" s="107" t="s">
        <v>458</v>
      </c>
      <c r="G397" s="107" t="s">
        <v>469</v>
      </c>
      <c r="H397" s="107" t="s">
        <v>1250</v>
      </c>
      <c r="I397" s="107" t="s">
        <v>458</v>
      </c>
      <c r="J397" s="107" t="s">
        <v>751</v>
      </c>
      <c r="K397" s="107" t="s">
        <v>458</v>
      </c>
      <c r="L397" s="107" t="s">
        <v>752</v>
      </c>
      <c r="M397" s="113" t="str">
        <f t="shared" si="8"/>
        <v>View on Google Map</v>
      </c>
      <c r="N397" s="107">
        <f t="shared" si="7"/>
        <v>42</v>
      </c>
    </row>
    <row r="398" spans="1:14" x14ac:dyDescent="0.2">
      <c r="A398" s="107">
        <v>331</v>
      </c>
      <c r="B398" s="107" t="s">
        <v>1251</v>
      </c>
      <c r="C398" s="107" t="s">
        <v>1252</v>
      </c>
      <c r="D398" s="107">
        <v>68.534049837699996</v>
      </c>
      <c r="E398" s="107">
        <v>-149.157309078</v>
      </c>
      <c r="F398" s="107">
        <v>926</v>
      </c>
      <c r="G398" s="107" t="s">
        <v>469</v>
      </c>
      <c r="H398" s="107" t="s">
        <v>1253</v>
      </c>
      <c r="I398" s="107" t="s">
        <v>458</v>
      </c>
      <c r="J398" s="107" t="s">
        <v>751</v>
      </c>
      <c r="K398" s="107" t="s">
        <v>458</v>
      </c>
      <c r="L398" s="107" t="s">
        <v>752</v>
      </c>
      <c r="M398" s="113" t="str">
        <f t="shared" si="8"/>
        <v>View on Google Map</v>
      </c>
      <c r="N398" s="107">
        <f t="shared" si="7"/>
        <v>43</v>
      </c>
    </row>
    <row r="399" spans="1:14" x14ac:dyDescent="0.2">
      <c r="A399" s="107">
        <v>332</v>
      </c>
      <c r="B399" s="107" t="s">
        <v>1254</v>
      </c>
      <c r="C399" s="107" t="s">
        <v>1255</v>
      </c>
      <c r="D399" s="107">
        <v>68.533584622000006</v>
      </c>
      <c r="E399" s="107">
        <v>-149.16705049699999</v>
      </c>
      <c r="F399" s="107" t="s">
        <v>458</v>
      </c>
      <c r="G399" s="107" t="s">
        <v>469</v>
      </c>
      <c r="H399" s="107" t="s">
        <v>1256</v>
      </c>
      <c r="I399" s="107" t="s">
        <v>458</v>
      </c>
      <c r="J399" s="107" t="s">
        <v>751</v>
      </c>
      <c r="K399" s="107" t="s">
        <v>458</v>
      </c>
      <c r="L399" s="107" t="s">
        <v>752</v>
      </c>
      <c r="M399" s="113" t="str">
        <f t="shared" si="8"/>
        <v>View on Google Map</v>
      </c>
      <c r="N399" s="107">
        <f t="shared" si="7"/>
        <v>44</v>
      </c>
    </row>
    <row r="400" spans="1:14" x14ac:dyDescent="0.2">
      <c r="A400" s="107">
        <v>333</v>
      </c>
      <c r="B400" s="107" t="s">
        <v>1257</v>
      </c>
      <c r="C400" s="107" t="s">
        <v>1258</v>
      </c>
      <c r="D400" s="107">
        <v>68.533269411600003</v>
      </c>
      <c r="E400" s="107">
        <v>-149.19565723900001</v>
      </c>
      <c r="F400" s="107">
        <v>899</v>
      </c>
      <c r="G400" s="107" t="s">
        <v>469</v>
      </c>
      <c r="H400" s="107" t="s">
        <v>1259</v>
      </c>
      <c r="I400" s="107" t="s">
        <v>458</v>
      </c>
      <c r="J400" s="107" t="s">
        <v>751</v>
      </c>
      <c r="K400" s="107" t="s">
        <v>458</v>
      </c>
      <c r="L400" s="107" t="s">
        <v>752</v>
      </c>
      <c r="M400" s="113" t="str">
        <f t="shared" si="8"/>
        <v>View on Google Map</v>
      </c>
      <c r="N400" s="107">
        <f t="shared" si="7"/>
        <v>45</v>
      </c>
    </row>
    <row r="401" spans="1:14" x14ac:dyDescent="0.2">
      <c r="A401" s="107">
        <v>335</v>
      </c>
      <c r="B401" s="107" t="s">
        <v>1260</v>
      </c>
      <c r="C401" s="107" t="s">
        <v>1261</v>
      </c>
      <c r="D401" s="107">
        <v>68.516771954500001</v>
      </c>
      <c r="E401" s="107">
        <v>-150.05742084799999</v>
      </c>
      <c r="F401" s="107" t="s">
        <v>458</v>
      </c>
      <c r="G401" s="107" t="s">
        <v>469</v>
      </c>
      <c r="H401" s="107" t="s">
        <v>1262</v>
      </c>
      <c r="I401" s="107" t="s">
        <v>458</v>
      </c>
      <c r="J401" s="107" t="s">
        <v>751</v>
      </c>
      <c r="K401" s="107" t="s">
        <v>458</v>
      </c>
      <c r="L401" s="107" t="s">
        <v>752</v>
      </c>
      <c r="M401" s="113" t="str">
        <f t="shared" si="8"/>
        <v>View on Google Map</v>
      </c>
      <c r="N401" s="107">
        <f t="shared" si="7"/>
        <v>47</v>
      </c>
    </row>
    <row r="402" spans="1:14" x14ac:dyDescent="0.2">
      <c r="A402" s="107">
        <v>336</v>
      </c>
      <c r="B402" s="107" t="s">
        <v>1263</v>
      </c>
      <c r="C402" s="107" t="s">
        <v>1264</v>
      </c>
      <c r="D402" s="107">
        <v>68.531484729400006</v>
      </c>
      <c r="E402" s="107">
        <v>-150.04821666999999</v>
      </c>
      <c r="F402" s="107" t="s">
        <v>458</v>
      </c>
      <c r="G402" s="107" t="s">
        <v>469</v>
      </c>
      <c r="H402" s="107" t="s">
        <v>1265</v>
      </c>
      <c r="I402" s="107" t="s">
        <v>458</v>
      </c>
      <c r="J402" s="107" t="s">
        <v>751</v>
      </c>
      <c r="K402" s="107" t="s">
        <v>458</v>
      </c>
      <c r="L402" s="107" t="s">
        <v>752</v>
      </c>
      <c r="M402" s="113" t="str">
        <f t="shared" si="8"/>
        <v>View on Google Map</v>
      </c>
      <c r="N402" s="107">
        <f t="shared" si="7"/>
        <v>48</v>
      </c>
    </row>
    <row r="403" spans="1:14" x14ac:dyDescent="0.2">
      <c r="A403" s="107">
        <v>337</v>
      </c>
      <c r="B403" s="107" t="s">
        <v>1266</v>
      </c>
      <c r="C403" s="107" t="s">
        <v>1267</v>
      </c>
      <c r="D403" s="107">
        <v>68.525496449800002</v>
      </c>
      <c r="E403" s="107">
        <v>-150.03164010200001</v>
      </c>
      <c r="F403" s="107" t="s">
        <v>458</v>
      </c>
      <c r="G403" s="107" t="s">
        <v>469</v>
      </c>
      <c r="H403" s="107" t="s">
        <v>1268</v>
      </c>
      <c r="I403" s="107" t="s">
        <v>458</v>
      </c>
      <c r="J403" s="107" t="s">
        <v>751</v>
      </c>
      <c r="K403" s="107" t="s">
        <v>458</v>
      </c>
      <c r="L403" s="107" t="s">
        <v>752</v>
      </c>
      <c r="M403" s="113" t="str">
        <f t="shared" si="8"/>
        <v>View on Google Map</v>
      </c>
      <c r="N403" s="107">
        <f t="shared" si="7"/>
        <v>49</v>
      </c>
    </row>
    <row r="404" spans="1:14" x14ac:dyDescent="0.2">
      <c r="A404" s="107">
        <v>338</v>
      </c>
      <c r="B404" s="107" t="s">
        <v>1269</v>
      </c>
      <c r="C404" s="107" t="s">
        <v>1270</v>
      </c>
      <c r="D404" s="107">
        <v>68.522395926599998</v>
      </c>
      <c r="E404" s="107">
        <v>-150.02260567299999</v>
      </c>
      <c r="F404" s="107" t="s">
        <v>458</v>
      </c>
      <c r="G404" s="107" t="s">
        <v>469</v>
      </c>
      <c r="H404" s="107" t="s">
        <v>1271</v>
      </c>
      <c r="I404" s="107" t="s">
        <v>458</v>
      </c>
      <c r="J404" s="107" t="s">
        <v>751</v>
      </c>
      <c r="K404" s="107" t="s">
        <v>458</v>
      </c>
      <c r="L404" s="107" t="s">
        <v>752</v>
      </c>
      <c r="M404" s="113" t="str">
        <f t="shared" si="8"/>
        <v>View on Google Map</v>
      </c>
      <c r="N404" s="107">
        <f t="shared" si="7"/>
        <v>50</v>
      </c>
    </row>
    <row r="405" spans="1:14" x14ac:dyDescent="0.2">
      <c r="A405" s="107">
        <v>339</v>
      </c>
      <c r="B405" s="107" t="s">
        <v>1272</v>
      </c>
      <c r="C405" s="107" t="s">
        <v>1273</v>
      </c>
      <c r="D405" s="107">
        <v>68.574095052399997</v>
      </c>
      <c r="E405" s="107">
        <v>-149.97662969199999</v>
      </c>
      <c r="F405" s="107" t="s">
        <v>458</v>
      </c>
      <c r="G405" s="107" t="s">
        <v>469</v>
      </c>
      <c r="H405" s="107" t="s">
        <v>1274</v>
      </c>
      <c r="I405" s="107" t="s">
        <v>458</v>
      </c>
      <c r="J405" s="107" t="s">
        <v>751</v>
      </c>
      <c r="K405" s="107" t="s">
        <v>458</v>
      </c>
      <c r="L405" s="107" t="s">
        <v>752</v>
      </c>
      <c r="M405" s="113" t="str">
        <f t="shared" si="8"/>
        <v>View on Google Map</v>
      </c>
      <c r="N405" s="107">
        <f t="shared" si="7"/>
        <v>51</v>
      </c>
    </row>
    <row r="406" spans="1:14" x14ac:dyDescent="0.2">
      <c r="A406" s="107">
        <v>340</v>
      </c>
      <c r="B406" s="107" t="s">
        <v>1275</v>
      </c>
      <c r="C406" s="107" t="s">
        <v>1276</v>
      </c>
      <c r="D406" s="107">
        <v>68.571671305899997</v>
      </c>
      <c r="E406" s="107">
        <v>-149.972667672</v>
      </c>
      <c r="F406" s="107" t="s">
        <v>458</v>
      </c>
      <c r="G406" s="107" t="s">
        <v>469</v>
      </c>
      <c r="H406" s="107" t="s">
        <v>1277</v>
      </c>
      <c r="I406" s="107" t="s">
        <v>458</v>
      </c>
      <c r="J406" s="107" t="s">
        <v>751</v>
      </c>
      <c r="K406" s="107" t="s">
        <v>458</v>
      </c>
      <c r="L406" s="107" t="s">
        <v>752</v>
      </c>
      <c r="M406" s="113" t="str">
        <f t="shared" si="8"/>
        <v>View on Google Map</v>
      </c>
      <c r="N406" s="107">
        <f t="shared" si="7"/>
        <v>52</v>
      </c>
    </row>
    <row r="407" spans="1:14" x14ac:dyDescent="0.2">
      <c r="A407" s="107">
        <v>341</v>
      </c>
      <c r="B407" s="107" t="s">
        <v>1278</v>
      </c>
      <c r="C407" s="107" t="s">
        <v>1279</v>
      </c>
      <c r="D407" s="107">
        <v>68.562791718200003</v>
      </c>
      <c r="E407" s="107">
        <v>-149.977791473</v>
      </c>
      <c r="F407" s="107" t="s">
        <v>458</v>
      </c>
      <c r="G407" s="107" t="s">
        <v>469</v>
      </c>
      <c r="H407" s="107" t="s">
        <v>1280</v>
      </c>
      <c r="I407" s="107" t="s">
        <v>458</v>
      </c>
      <c r="J407" s="107" t="s">
        <v>751</v>
      </c>
      <c r="K407" s="107" t="s">
        <v>458</v>
      </c>
      <c r="L407" s="107" t="s">
        <v>752</v>
      </c>
      <c r="M407" s="113" t="str">
        <f t="shared" si="8"/>
        <v>View on Google Map</v>
      </c>
      <c r="N407" s="107">
        <f t="shared" si="7"/>
        <v>53</v>
      </c>
    </row>
    <row r="408" spans="1:14" x14ac:dyDescent="0.2">
      <c r="A408" s="107">
        <v>342</v>
      </c>
      <c r="B408" s="107" t="s">
        <v>1281</v>
      </c>
      <c r="C408" s="107" t="s">
        <v>1282</v>
      </c>
      <c r="D408" s="107">
        <v>68.556077412199997</v>
      </c>
      <c r="E408" s="107">
        <v>-149.93361884199999</v>
      </c>
      <c r="F408" s="107" t="s">
        <v>458</v>
      </c>
      <c r="G408" s="107" t="s">
        <v>469</v>
      </c>
      <c r="H408" s="107" t="s">
        <v>1283</v>
      </c>
      <c r="I408" s="107" t="s">
        <v>458</v>
      </c>
      <c r="J408" s="107" t="s">
        <v>751</v>
      </c>
      <c r="K408" s="107" t="s">
        <v>458</v>
      </c>
      <c r="L408" s="107" t="s">
        <v>752</v>
      </c>
      <c r="M408" s="113" t="str">
        <f t="shared" si="8"/>
        <v>View on Google Map</v>
      </c>
      <c r="N408" s="107">
        <f t="shared" si="7"/>
        <v>54</v>
      </c>
    </row>
    <row r="409" spans="1:14" x14ac:dyDescent="0.2">
      <c r="A409" s="107">
        <v>343</v>
      </c>
      <c r="B409" s="107" t="s">
        <v>1284</v>
      </c>
      <c r="C409" s="107" t="s">
        <v>1285</v>
      </c>
      <c r="D409" s="107">
        <v>68.567959712100006</v>
      </c>
      <c r="E409" s="107">
        <v>-149.89938475599999</v>
      </c>
      <c r="F409" s="107" t="s">
        <v>458</v>
      </c>
      <c r="G409" s="107" t="s">
        <v>469</v>
      </c>
      <c r="H409" s="107" t="s">
        <v>1286</v>
      </c>
      <c r="I409" s="107" t="s">
        <v>458</v>
      </c>
      <c r="J409" s="107" t="s">
        <v>751</v>
      </c>
      <c r="K409" s="107" t="s">
        <v>458</v>
      </c>
      <c r="L409" s="107" t="s">
        <v>752</v>
      </c>
      <c r="M409" s="113" t="str">
        <f t="shared" si="8"/>
        <v>View on Google Map</v>
      </c>
      <c r="N409" s="107">
        <f t="shared" si="7"/>
        <v>55</v>
      </c>
    </row>
    <row r="410" spans="1:14" x14ac:dyDescent="0.2">
      <c r="A410" s="107">
        <v>344</v>
      </c>
      <c r="B410" s="107" t="s">
        <v>1287</v>
      </c>
      <c r="C410" s="107" t="s">
        <v>1288</v>
      </c>
      <c r="D410" s="107">
        <v>68.615854386999999</v>
      </c>
      <c r="E410" s="107">
        <v>-149.123111674</v>
      </c>
      <c r="F410" s="107" t="s">
        <v>458</v>
      </c>
      <c r="G410" s="107" t="s">
        <v>469</v>
      </c>
      <c r="H410" s="107" t="s">
        <v>1289</v>
      </c>
      <c r="I410" s="107" t="s">
        <v>458</v>
      </c>
      <c r="J410" s="107" t="s">
        <v>751</v>
      </c>
      <c r="K410" s="107" t="s">
        <v>458</v>
      </c>
      <c r="L410" s="107" t="s">
        <v>752</v>
      </c>
      <c r="M410" s="113" t="str">
        <f t="shared" si="8"/>
        <v>View on Google Map</v>
      </c>
      <c r="N410" s="107">
        <f t="shared" si="7"/>
        <v>56</v>
      </c>
    </row>
    <row r="411" spans="1:14" x14ac:dyDescent="0.2">
      <c r="A411" s="107">
        <v>345</v>
      </c>
      <c r="B411" s="107" t="s">
        <v>1290</v>
      </c>
      <c r="C411" s="107" t="s">
        <v>1291</v>
      </c>
      <c r="D411" s="107">
        <v>68.622759303600006</v>
      </c>
      <c r="E411" s="107">
        <v>-149.15087640600001</v>
      </c>
      <c r="F411" s="107">
        <v>861</v>
      </c>
      <c r="G411" s="107" t="s">
        <v>469</v>
      </c>
      <c r="H411" s="107" t="s">
        <v>1292</v>
      </c>
      <c r="I411" s="107" t="s">
        <v>458</v>
      </c>
      <c r="J411" s="107" t="s">
        <v>751</v>
      </c>
      <c r="K411" s="107" t="s">
        <v>458</v>
      </c>
      <c r="L411" s="107" t="s">
        <v>752</v>
      </c>
      <c r="M411" s="113" t="str">
        <f t="shared" si="8"/>
        <v>View on Google Map</v>
      </c>
      <c r="N411" s="107">
        <f t="shared" si="7"/>
        <v>57</v>
      </c>
    </row>
    <row r="412" spans="1:14" x14ac:dyDescent="0.2">
      <c r="A412" s="107">
        <v>346</v>
      </c>
      <c r="B412" s="107" t="s">
        <v>1293</v>
      </c>
      <c r="C412" s="107" t="s">
        <v>1294</v>
      </c>
      <c r="D412" s="107">
        <v>68.625381351599998</v>
      </c>
      <c r="E412" s="107">
        <v>-149.13918719200001</v>
      </c>
      <c r="F412" s="107">
        <v>877</v>
      </c>
      <c r="G412" s="107" t="s">
        <v>469</v>
      </c>
      <c r="H412" s="107" t="s">
        <v>1295</v>
      </c>
      <c r="I412" s="107" t="s">
        <v>458</v>
      </c>
      <c r="J412" s="107" t="s">
        <v>751</v>
      </c>
      <c r="K412" s="107" t="s">
        <v>458</v>
      </c>
      <c r="L412" s="107" t="s">
        <v>752</v>
      </c>
      <c r="M412" s="113" t="str">
        <f t="shared" si="8"/>
        <v>View on Google Map</v>
      </c>
      <c r="N412" s="107">
        <f t="shared" si="7"/>
        <v>58</v>
      </c>
    </row>
    <row r="413" spans="1:14" x14ac:dyDescent="0.2">
      <c r="A413" s="107">
        <v>347</v>
      </c>
      <c r="B413" s="107" t="s">
        <v>1296</v>
      </c>
      <c r="C413" s="107" t="s">
        <v>1297</v>
      </c>
      <c r="D413" s="107">
        <v>68.630955107899993</v>
      </c>
      <c r="E413" s="107">
        <v>-149.161535972</v>
      </c>
      <c r="F413" s="107">
        <v>858</v>
      </c>
      <c r="G413" s="107" t="s">
        <v>469</v>
      </c>
      <c r="H413" s="107" t="s">
        <v>1298</v>
      </c>
      <c r="I413" s="107" t="s">
        <v>458</v>
      </c>
      <c r="J413" s="107" t="s">
        <v>751</v>
      </c>
      <c r="K413" s="107" t="s">
        <v>458</v>
      </c>
      <c r="L413" s="107" t="s">
        <v>752</v>
      </c>
      <c r="M413" s="113" t="str">
        <f t="shared" si="8"/>
        <v>View on Google Map</v>
      </c>
      <c r="N413" s="107">
        <f t="shared" si="7"/>
        <v>59</v>
      </c>
    </row>
    <row r="414" spans="1:14" x14ac:dyDescent="0.2">
      <c r="A414" s="107">
        <v>348</v>
      </c>
      <c r="B414" s="107" t="s">
        <v>1299</v>
      </c>
      <c r="C414" s="107" t="s">
        <v>1300</v>
      </c>
      <c r="D414" s="107">
        <v>68.636431312400006</v>
      </c>
      <c r="E414" s="107">
        <v>-149.14390222200001</v>
      </c>
      <c r="F414" s="107" t="s">
        <v>458</v>
      </c>
      <c r="G414" s="107" t="s">
        <v>469</v>
      </c>
      <c r="H414" s="107" t="s">
        <v>1301</v>
      </c>
      <c r="I414" s="107" t="s">
        <v>458</v>
      </c>
      <c r="J414" s="107" t="s">
        <v>751</v>
      </c>
      <c r="K414" s="107" t="s">
        <v>458</v>
      </c>
      <c r="L414" s="107" t="s">
        <v>752</v>
      </c>
      <c r="M414" s="113" t="str">
        <f t="shared" si="8"/>
        <v>View on Google Map</v>
      </c>
      <c r="N414" s="107">
        <f t="shared" si="7"/>
        <v>60</v>
      </c>
    </row>
    <row r="415" spans="1:14" x14ac:dyDescent="0.2">
      <c r="A415" s="107">
        <v>349</v>
      </c>
      <c r="B415" s="107" t="s">
        <v>1302</v>
      </c>
      <c r="C415" s="107" t="s">
        <v>1303</v>
      </c>
      <c r="D415" s="107">
        <v>68.638723598300004</v>
      </c>
      <c r="E415" s="107">
        <v>-149.17862426400001</v>
      </c>
      <c r="F415" s="107" t="s">
        <v>458</v>
      </c>
      <c r="G415" s="107" t="s">
        <v>469</v>
      </c>
      <c r="H415" s="107" t="s">
        <v>1304</v>
      </c>
      <c r="I415" s="107" t="s">
        <v>458</v>
      </c>
      <c r="J415" s="107" t="s">
        <v>751</v>
      </c>
      <c r="K415" s="107" t="s">
        <v>458</v>
      </c>
      <c r="L415" s="107" t="s">
        <v>752</v>
      </c>
      <c r="M415" s="113" t="str">
        <f t="shared" si="8"/>
        <v>View on Google Map</v>
      </c>
      <c r="N415" s="107">
        <f t="shared" si="7"/>
        <v>61</v>
      </c>
    </row>
    <row r="416" spans="1:14" x14ac:dyDescent="0.2">
      <c r="A416" s="107">
        <v>350</v>
      </c>
      <c r="B416" s="107" t="s">
        <v>1305</v>
      </c>
      <c r="C416" s="107" t="s">
        <v>1306</v>
      </c>
      <c r="D416" s="107">
        <v>68.634874735899999</v>
      </c>
      <c r="E416" s="107">
        <v>-149.193728236</v>
      </c>
      <c r="F416" s="107" t="s">
        <v>458</v>
      </c>
      <c r="G416" s="107" t="s">
        <v>469</v>
      </c>
      <c r="H416" s="107" t="s">
        <v>1307</v>
      </c>
      <c r="I416" s="107" t="s">
        <v>458</v>
      </c>
      <c r="J416" s="107" t="s">
        <v>751</v>
      </c>
      <c r="K416" s="107" t="s">
        <v>458</v>
      </c>
      <c r="L416" s="107" t="s">
        <v>752</v>
      </c>
      <c r="M416" s="113" t="str">
        <f t="shared" si="8"/>
        <v>View on Google Map</v>
      </c>
      <c r="N416" s="107">
        <f t="shared" si="7"/>
        <v>62</v>
      </c>
    </row>
    <row r="417" spans="1:14" x14ac:dyDescent="0.2">
      <c r="A417" s="107">
        <v>351</v>
      </c>
      <c r="B417" s="107" t="s">
        <v>1308</v>
      </c>
      <c r="C417" s="107" t="s">
        <v>1309</v>
      </c>
      <c r="D417" s="107">
        <v>68.630921065799996</v>
      </c>
      <c r="E417" s="107">
        <v>-149.19135200100001</v>
      </c>
      <c r="F417" s="107" t="s">
        <v>458</v>
      </c>
      <c r="G417" s="107" t="s">
        <v>469</v>
      </c>
      <c r="H417" s="107" t="s">
        <v>1310</v>
      </c>
      <c r="I417" s="107" t="s">
        <v>458</v>
      </c>
      <c r="J417" s="107" t="s">
        <v>751</v>
      </c>
      <c r="K417" s="107" t="s">
        <v>458</v>
      </c>
      <c r="L417" s="107" t="s">
        <v>752</v>
      </c>
      <c r="M417" s="113" t="str">
        <f t="shared" si="8"/>
        <v>View on Google Map</v>
      </c>
      <c r="N417" s="107">
        <f t="shared" si="7"/>
        <v>63</v>
      </c>
    </row>
    <row r="418" spans="1:14" x14ac:dyDescent="0.2">
      <c r="A418" s="107">
        <v>352</v>
      </c>
      <c r="B418" s="107" t="s">
        <v>1311</v>
      </c>
      <c r="C418" s="107" t="s">
        <v>1312</v>
      </c>
      <c r="D418" s="107">
        <v>68.635774522800006</v>
      </c>
      <c r="E418" s="107">
        <v>-149.20688041899999</v>
      </c>
      <c r="F418" s="107" t="s">
        <v>458</v>
      </c>
      <c r="G418" s="107" t="s">
        <v>469</v>
      </c>
      <c r="H418" s="107" t="s">
        <v>1313</v>
      </c>
      <c r="I418" s="107" t="s">
        <v>458</v>
      </c>
      <c r="J418" s="107" t="s">
        <v>751</v>
      </c>
      <c r="K418" s="107" t="s">
        <v>458</v>
      </c>
      <c r="L418" s="107" t="s">
        <v>752</v>
      </c>
      <c r="M418" s="113" t="str">
        <f t="shared" si="8"/>
        <v>View on Google Map</v>
      </c>
      <c r="N418" s="107">
        <f t="shared" si="7"/>
        <v>64</v>
      </c>
    </row>
    <row r="419" spans="1:14" x14ac:dyDescent="0.2">
      <c r="A419" s="107">
        <v>353</v>
      </c>
      <c r="B419" s="107" t="s">
        <v>1314</v>
      </c>
      <c r="C419" s="107" t="s">
        <v>1315</v>
      </c>
      <c r="D419" s="107">
        <v>68.585080002200002</v>
      </c>
      <c r="E419" s="107">
        <v>-149.208359645</v>
      </c>
      <c r="F419" s="107">
        <v>898</v>
      </c>
      <c r="G419" s="107" t="s">
        <v>469</v>
      </c>
      <c r="H419" s="107" t="s">
        <v>1316</v>
      </c>
      <c r="I419" s="107" t="s">
        <v>458</v>
      </c>
      <c r="J419" s="107" t="s">
        <v>751</v>
      </c>
      <c r="K419" s="107" t="s">
        <v>458</v>
      </c>
      <c r="L419" s="107" t="s">
        <v>752</v>
      </c>
      <c r="M419" s="113" t="str">
        <f t="shared" si="8"/>
        <v>View on Google Map</v>
      </c>
      <c r="N419" s="107">
        <f t="shared" si="7"/>
        <v>65</v>
      </c>
    </row>
    <row r="420" spans="1:14" x14ac:dyDescent="0.2">
      <c r="A420" s="107">
        <v>354</v>
      </c>
      <c r="B420" s="107" t="s">
        <v>1317</v>
      </c>
      <c r="C420" s="107" t="s">
        <v>1318</v>
      </c>
      <c r="D420" s="107">
        <v>68.583148055099997</v>
      </c>
      <c r="E420" s="107">
        <v>-149.19950362399999</v>
      </c>
      <c r="F420" s="107">
        <v>896</v>
      </c>
      <c r="G420" s="107" t="s">
        <v>469</v>
      </c>
      <c r="H420" s="107" t="s">
        <v>1319</v>
      </c>
      <c r="I420" s="107" t="s">
        <v>458</v>
      </c>
      <c r="J420" s="107" t="s">
        <v>751</v>
      </c>
      <c r="K420" s="107" t="s">
        <v>458</v>
      </c>
      <c r="L420" s="107" t="s">
        <v>752</v>
      </c>
      <c r="M420" s="113" t="str">
        <f t="shared" si="8"/>
        <v>View on Google Map</v>
      </c>
      <c r="N420" s="107">
        <f t="shared" ref="N420:N434" si="9">VALUE(MID(H420,5,3))</f>
        <v>66</v>
      </c>
    </row>
    <row r="421" spans="1:14" x14ac:dyDescent="0.2">
      <c r="A421" s="107">
        <v>355</v>
      </c>
      <c r="B421" s="107" t="s">
        <v>1320</v>
      </c>
      <c r="C421" s="107" t="s">
        <v>1321</v>
      </c>
      <c r="D421" s="107">
        <v>68.589302268899999</v>
      </c>
      <c r="E421" s="107">
        <v>-149.18432651699999</v>
      </c>
      <c r="F421" s="107">
        <v>880</v>
      </c>
      <c r="G421" s="107" t="s">
        <v>469</v>
      </c>
      <c r="H421" s="107" t="s">
        <v>1322</v>
      </c>
      <c r="I421" s="107" t="s">
        <v>458</v>
      </c>
      <c r="J421" s="107" t="s">
        <v>751</v>
      </c>
      <c r="K421" s="107" t="s">
        <v>458</v>
      </c>
      <c r="L421" s="107" t="s">
        <v>752</v>
      </c>
      <c r="M421" s="113" t="str">
        <f t="shared" si="8"/>
        <v>View on Google Map</v>
      </c>
      <c r="N421" s="107">
        <f t="shared" si="9"/>
        <v>67</v>
      </c>
    </row>
    <row r="422" spans="1:14" x14ac:dyDescent="0.2">
      <c r="A422" s="107">
        <v>357</v>
      </c>
      <c r="B422" s="107" t="s">
        <v>1323</v>
      </c>
      <c r="C422" s="107" t="s">
        <v>1324</v>
      </c>
      <c r="D422" s="107">
        <v>68.595953562800005</v>
      </c>
      <c r="E422" s="107">
        <v>-149.161045868</v>
      </c>
      <c r="F422" s="107" t="s">
        <v>458</v>
      </c>
      <c r="G422" s="107" t="s">
        <v>469</v>
      </c>
      <c r="H422" s="107" t="s">
        <v>1325</v>
      </c>
      <c r="I422" s="107" t="s">
        <v>458</v>
      </c>
      <c r="J422" s="107" t="s">
        <v>751</v>
      </c>
      <c r="K422" s="107" t="s">
        <v>458</v>
      </c>
      <c r="L422" s="107" t="s">
        <v>752</v>
      </c>
      <c r="M422" s="113" t="str">
        <f t="shared" si="8"/>
        <v>View on Google Map</v>
      </c>
      <c r="N422" s="107">
        <f t="shared" si="9"/>
        <v>69</v>
      </c>
    </row>
    <row r="423" spans="1:14" x14ac:dyDescent="0.2">
      <c r="A423" s="107">
        <v>358</v>
      </c>
      <c r="B423" s="107" t="s">
        <v>1326</v>
      </c>
      <c r="C423" s="107" t="s">
        <v>1327</v>
      </c>
      <c r="D423" s="107">
        <v>68.590721600400002</v>
      </c>
      <c r="E423" s="107">
        <v>-149.17612158099999</v>
      </c>
      <c r="F423" s="107" t="s">
        <v>458</v>
      </c>
      <c r="G423" s="107" t="s">
        <v>469</v>
      </c>
      <c r="H423" s="107" t="s">
        <v>1328</v>
      </c>
      <c r="I423" s="107" t="s">
        <v>458</v>
      </c>
      <c r="J423" s="107" t="s">
        <v>751</v>
      </c>
      <c r="K423" s="107" t="s">
        <v>458</v>
      </c>
      <c r="L423" s="107" t="s">
        <v>752</v>
      </c>
      <c r="M423" s="113" t="str">
        <f t="shared" si="8"/>
        <v>View on Google Map</v>
      </c>
      <c r="N423" s="107">
        <f t="shared" si="9"/>
        <v>70</v>
      </c>
    </row>
    <row r="424" spans="1:14" x14ac:dyDescent="0.2">
      <c r="A424" s="107">
        <v>359</v>
      </c>
      <c r="B424" s="107" t="s">
        <v>1329</v>
      </c>
      <c r="C424" s="107" t="s">
        <v>1330</v>
      </c>
      <c r="D424" s="107">
        <v>68.600362864999994</v>
      </c>
      <c r="E424" s="107">
        <v>-149.14055367099999</v>
      </c>
      <c r="F424" s="107" t="s">
        <v>458</v>
      </c>
      <c r="G424" s="107" t="s">
        <v>469</v>
      </c>
      <c r="H424" s="107" t="s">
        <v>1331</v>
      </c>
      <c r="I424" s="107" t="s">
        <v>458</v>
      </c>
      <c r="J424" s="107" t="s">
        <v>751</v>
      </c>
      <c r="K424" s="107" t="s">
        <v>458</v>
      </c>
      <c r="L424" s="107" t="s">
        <v>752</v>
      </c>
      <c r="M424" s="113" t="str">
        <f t="shared" si="8"/>
        <v>View on Google Map</v>
      </c>
      <c r="N424" s="107">
        <f t="shared" si="9"/>
        <v>71</v>
      </c>
    </row>
    <row r="425" spans="1:14" x14ac:dyDescent="0.2">
      <c r="A425" s="107">
        <v>360</v>
      </c>
      <c r="B425" s="107" t="s">
        <v>1332</v>
      </c>
      <c r="C425" s="107" t="s">
        <v>1333</v>
      </c>
      <c r="D425" s="107">
        <v>68.610380375800005</v>
      </c>
      <c r="E425" s="107">
        <v>-149.15074315300001</v>
      </c>
      <c r="F425" s="107" t="s">
        <v>458</v>
      </c>
      <c r="G425" s="107" t="s">
        <v>469</v>
      </c>
      <c r="H425" s="107" t="s">
        <v>1334</v>
      </c>
      <c r="I425" s="107" t="s">
        <v>458</v>
      </c>
      <c r="J425" s="107" t="s">
        <v>751</v>
      </c>
      <c r="K425" s="107" t="s">
        <v>458</v>
      </c>
      <c r="L425" s="107" t="s">
        <v>752</v>
      </c>
      <c r="M425" s="113" t="str">
        <f t="shared" si="8"/>
        <v>View on Google Map</v>
      </c>
      <c r="N425" s="107">
        <f t="shared" si="9"/>
        <v>72</v>
      </c>
    </row>
    <row r="426" spans="1:14" x14ac:dyDescent="0.2">
      <c r="A426" s="107">
        <v>361</v>
      </c>
      <c r="B426" s="107" t="s">
        <v>1335</v>
      </c>
      <c r="C426" s="107" t="s">
        <v>1336</v>
      </c>
      <c r="D426" s="107">
        <v>68.6163784405</v>
      </c>
      <c r="E426" s="107">
        <v>-149.16060521700001</v>
      </c>
      <c r="F426" s="107" t="s">
        <v>458</v>
      </c>
      <c r="G426" s="107" t="s">
        <v>469</v>
      </c>
      <c r="H426" s="107" t="s">
        <v>1337</v>
      </c>
      <c r="I426" s="107" t="s">
        <v>458</v>
      </c>
      <c r="J426" s="107" t="s">
        <v>751</v>
      </c>
      <c r="K426" s="107" t="s">
        <v>458</v>
      </c>
      <c r="L426" s="107" t="s">
        <v>752</v>
      </c>
      <c r="M426" s="113" t="str">
        <f t="shared" si="8"/>
        <v>View on Google Map</v>
      </c>
      <c r="N426" s="107">
        <f t="shared" si="9"/>
        <v>73</v>
      </c>
    </row>
    <row r="427" spans="1:14" x14ac:dyDescent="0.2">
      <c r="A427" s="107">
        <v>362</v>
      </c>
      <c r="B427" s="107" t="s">
        <v>1338</v>
      </c>
      <c r="C427" s="107" t="s">
        <v>1339</v>
      </c>
      <c r="D427" s="107">
        <v>68.617934232500005</v>
      </c>
      <c r="E427" s="107">
        <v>-149.18594585299999</v>
      </c>
      <c r="F427" s="107" t="s">
        <v>458</v>
      </c>
      <c r="G427" s="107" t="s">
        <v>469</v>
      </c>
      <c r="H427" s="107" t="s">
        <v>1340</v>
      </c>
      <c r="I427" s="107" t="s">
        <v>458</v>
      </c>
      <c r="J427" s="107" t="s">
        <v>751</v>
      </c>
      <c r="K427" s="107" t="s">
        <v>458</v>
      </c>
      <c r="L427" s="107" t="s">
        <v>752</v>
      </c>
      <c r="M427" s="113" t="str">
        <f t="shared" si="8"/>
        <v>View on Google Map</v>
      </c>
      <c r="N427" s="107">
        <f t="shared" si="9"/>
        <v>74</v>
      </c>
    </row>
    <row r="428" spans="1:14" x14ac:dyDescent="0.2">
      <c r="A428" s="107">
        <v>363</v>
      </c>
      <c r="B428" s="107" t="s">
        <v>1341</v>
      </c>
      <c r="C428" s="107" t="s">
        <v>1342</v>
      </c>
      <c r="D428" s="107">
        <v>68.614396448299999</v>
      </c>
      <c r="E428" s="107">
        <v>-149.19403818800001</v>
      </c>
      <c r="F428" s="107" t="s">
        <v>458</v>
      </c>
      <c r="G428" s="107" t="s">
        <v>469</v>
      </c>
      <c r="H428" s="107" t="s">
        <v>1343</v>
      </c>
      <c r="I428" s="107" t="s">
        <v>458</v>
      </c>
      <c r="J428" s="107" t="s">
        <v>751</v>
      </c>
      <c r="K428" s="107" t="s">
        <v>458</v>
      </c>
      <c r="L428" s="107" t="s">
        <v>752</v>
      </c>
      <c r="M428" s="113" t="str">
        <f t="shared" si="8"/>
        <v>View on Google Map</v>
      </c>
      <c r="N428" s="107">
        <f t="shared" si="9"/>
        <v>75</v>
      </c>
    </row>
    <row r="429" spans="1:14" x14ac:dyDescent="0.2">
      <c r="A429" s="107">
        <v>364</v>
      </c>
      <c r="B429" s="107" t="s">
        <v>1344</v>
      </c>
      <c r="C429" s="107" t="s">
        <v>1345</v>
      </c>
      <c r="D429" s="107">
        <v>68.694256581000005</v>
      </c>
      <c r="E429" s="107">
        <v>-149.73679655699999</v>
      </c>
      <c r="F429" s="107" t="s">
        <v>458</v>
      </c>
      <c r="G429" s="107" t="s">
        <v>469</v>
      </c>
      <c r="H429" s="107" t="s">
        <v>1346</v>
      </c>
      <c r="I429" s="107" t="s">
        <v>458</v>
      </c>
      <c r="J429" s="107" t="s">
        <v>751</v>
      </c>
      <c r="K429" s="107" t="s">
        <v>458</v>
      </c>
      <c r="L429" s="107" t="s">
        <v>752</v>
      </c>
      <c r="M429" s="113" t="str">
        <f t="shared" si="8"/>
        <v>View on Google Map</v>
      </c>
      <c r="N429" s="107">
        <f t="shared" si="9"/>
        <v>76</v>
      </c>
    </row>
    <row r="430" spans="1:14" x14ac:dyDescent="0.2">
      <c r="A430" s="107">
        <v>365</v>
      </c>
      <c r="B430" s="107" t="s">
        <v>1347</v>
      </c>
      <c r="C430" s="107" t="s">
        <v>1348</v>
      </c>
      <c r="D430" s="107">
        <v>68.696056827099994</v>
      </c>
      <c r="E430" s="107">
        <v>-149.73131395300001</v>
      </c>
      <c r="F430" s="107" t="s">
        <v>458</v>
      </c>
      <c r="G430" s="107" t="s">
        <v>469</v>
      </c>
      <c r="H430" s="107" t="s">
        <v>1349</v>
      </c>
      <c r="I430" s="107" t="s">
        <v>458</v>
      </c>
      <c r="J430" s="107" t="s">
        <v>751</v>
      </c>
      <c r="K430" s="107" t="s">
        <v>458</v>
      </c>
      <c r="L430" s="107" t="s">
        <v>752</v>
      </c>
      <c r="M430" s="113" t="str">
        <f t="shared" si="8"/>
        <v>View on Google Map</v>
      </c>
      <c r="N430" s="107">
        <f t="shared" si="9"/>
        <v>77</v>
      </c>
    </row>
    <row r="431" spans="1:14" x14ac:dyDescent="0.2">
      <c r="A431" s="107">
        <v>366</v>
      </c>
      <c r="B431" s="107" t="s">
        <v>1350</v>
      </c>
      <c r="C431" s="107" t="s">
        <v>1351</v>
      </c>
      <c r="D431" s="107">
        <v>68.696468206399999</v>
      </c>
      <c r="E431" s="107">
        <v>-149.708828248</v>
      </c>
      <c r="F431" s="107" t="s">
        <v>458</v>
      </c>
      <c r="G431" s="107" t="s">
        <v>469</v>
      </c>
      <c r="H431" s="107" t="s">
        <v>1352</v>
      </c>
      <c r="I431" s="107" t="s">
        <v>458</v>
      </c>
      <c r="J431" s="107" t="s">
        <v>751</v>
      </c>
      <c r="K431" s="107" t="s">
        <v>458</v>
      </c>
      <c r="L431" s="107" t="s">
        <v>752</v>
      </c>
      <c r="M431" s="113" t="str">
        <f t="shared" si="8"/>
        <v>View on Google Map</v>
      </c>
      <c r="N431" s="107">
        <f t="shared" si="9"/>
        <v>78</v>
      </c>
    </row>
    <row r="432" spans="1:14" x14ac:dyDescent="0.2">
      <c r="A432" s="107">
        <v>367</v>
      </c>
      <c r="B432" s="107" t="s">
        <v>1353</v>
      </c>
      <c r="C432" s="107" t="s">
        <v>1354</v>
      </c>
      <c r="D432" s="107">
        <v>68.688141157800004</v>
      </c>
      <c r="E432" s="107">
        <v>-149.73555264800001</v>
      </c>
      <c r="F432" s="107" t="s">
        <v>458</v>
      </c>
      <c r="G432" s="107" t="s">
        <v>469</v>
      </c>
      <c r="H432" s="107" t="s">
        <v>1355</v>
      </c>
      <c r="I432" s="107" t="s">
        <v>458</v>
      </c>
      <c r="J432" s="107" t="s">
        <v>751</v>
      </c>
      <c r="K432" s="107" t="s">
        <v>458</v>
      </c>
      <c r="L432" s="107" t="s">
        <v>752</v>
      </c>
      <c r="M432" s="113" t="str">
        <f t="shared" si="8"/>
        <v>View on Google Map</v>
      </c>
      <c r="N432" s="107">
        <f t="shared" si="9"/>
        <v>79</v>
      </c>
    </row>
    <row r="433" spans="1:14" x14ac:dyDescent="0.2">
      <c r="A433" s="107">
        <v>368</v>
      </c>
      <c r="B433" s="107" t="s">
        <v>1356</v>
      </c>
      <c r="C433" s="107" t="s">
        <v>1357</v>
      </c>
      <c r="D433" s="107">
        <v>68.682810930000002</v>
      </c>
      <c r="E433" s="107">
        <v>-149.73974315500001</v>
      </c>
      <c r="F433" s="107" t="s">
        <v>458</v>
      </c>
      <c r="G433" s="107" t="s">
        <v>469</v>
      </c>
      <c r="H433" s="107" t="s">
        <v>1358</v>
      </c>
      <c r="I433" s="107" t="s">
        <v>458</v>
      </c>
      <c r="J433" s="107" t="s">
        <v>751</v>
      </c>
      <c r="K433" s="107" t="s">
        <v>458</v>
      </c>
      <c r="L433" s="107" t="s">
        <v>752</v>
      </c>
      <c r="M433" s="113" t="str">
        <f t="shared" si="8"/>
        <v>View on Google Map</v>
      </c>
      <c r="N433" s="107">
        <f t="shared" si="9"/>
        <v>80</v>
      </c>
    </row>
    <row r="434" spans="1:14" x14ac:dyDescent="0.2">
      <c r="A434" s="107">
        <v>369</v>
      </c>
      <c r="B434" s="107" t="s">
        <v>1359</v>
      </c>
      <c r="C434" s="107" t="s">
        <v>1360</v>
      </c>
      <c r="D434" s="107">
        <v>68.682815967099998</v>
      </c>
      <c r="E434" s="107">
        <v>-149.759701116</v>
      </c>
      <c r="F434" s="107" t="s">
        <v>458</v>
      </c>
      <c r="G434" s="107" t="s">
        <v>469</v>
      </c>
      <c r="H434" s="107" t="s">
        <v>1361</v>
      </c>
      <c r="I434" s="107" t="s">
        <v>458</v>
      </c>
      <c r="J434" s="107" t="s">
        <v>751</v>
      </c>
      <c r="K434" s="107" t="s">
        <v>458</v>
      </c>
      <c r="L434" s="107" t="s">
        <v>752</v>
      </c>
      <c r="M434" s="113" t="str">
        <f t="shared" si="8"/>
        <v>View on Google Map</v>
      </c>
      <c r="N434" s="107">
        <f t="shared" si="9"/>
        <v>81</v>
      </c>
    </row>
    <row r="435" spans="1:14" x14ac:dyDescent="0.2">
      <c r="A435" s="107">
        <v>1225</v>
      </c>
      <c r="B435" s="107" t="s">
        <v>1362</v>
      </c>
      <c r="C435" s="18" t="s">
        <v>1363</v>
      </c>
      <c r="D435" s="107">
        <v>68.641727000000003</v>
      </c>
      <c r="E435" s="107">
        <v>-149.58665300000001</v>
      </c>
      <c r="F435" s="107">
        <v>724</v>
      </c>
      <c r="G435" s="107" t="s">
        <v>459</v>
      </c>
      <c r="H435" s="107" t="s">
        <v>458</v>
      </c>
      <c r="I435" s="107" t="s">
        <v>458</v>
      </c>
      <c r="J435" s="107" t="s">
        <v>484</v>
      </c>
      <c r="K435" s="107" t="s">
        <v>458</v>
      </c>
      <c r="L435" s="107" t="s">
        <v>458</v>
      </c>
      <c r="M435" s="113" t="str">
        <f t="shared" si="8"/>
        <v>View on Google Map</v>
      </c>
    </row>
    <row r="436" spans="1:14" x14ac:dyDescent="0.2">
      <c r="B436" s="107" t="s">
        <v>1364</v>
      </c>
      <c r="C436" s="115" t="s">
        <v>1365</v>
      </c>
      <c r="D436" s="107">
        <v>68.622865000000004</v>
      </c>
      <c r="E436" s="107">
        <v>-149.60854499999999</v>
      </c>
      <c r="F436" s="107">
        <v>758</v>
      </c>
      <c r="G436" s="107" t="s">
        <v>459</v>
      </c>
      <c r="J436" s="107" t="s">
        <v>484</v>
      </c>
      <c r="M436" s="113" t="str">
        <f t="shared" si="8"/>
        <v>View on Google Map</v>
      </c>
    </row>
    <row r="437" spans="1:14" x14ac:dyDescent="0.2">
      <c r="A437" s="107">
        <v>1220</v>
      </c>
      <c r="B437" s="107" t="s">
        <v>1366</v>
      </c>
      <c r="C437" s="18" t="s">
        <v>1367</v>
      </c>
      <c r="D437" s="107">
        <v>68.624410999999995</v>
      </c>
      <c r="E437" s="107">
        <v>-149.609589</v>
      </c>
      <c r="F437" s="107">
        <v>750</v>
      </c>
      <c r="G437" s="107" t="s">
        <v>459</v>
      </c>
      <c r="H437" s="107" t="s">
        <v>458</v>
      </c>
      <c r="I437" s="107" t="s">
        <v>458</v>
      </c>
      <c r="J437" s="107" t="s">
        <v>484</v>
      </c>
      <c r="K437" s="107" t="s">
        <v>458</v>
      </c>
      <c r="L437" s="107" t="s">
        <v>458</v>
      </c>
      <c r="M437" s="113" t="str">
        <f t="shared" si="8"/>
        <v>View on Google Map</v>
      </c>
    </row>
    <row r="438" spans="1:14" x14ac:dyDescent="0.2">
      <c r="A438" s="107">
        <v>1222</v>
      </c>
      <c r="B438" s="107" t="s">
        <v>1368</v>
      </c>
      <c r="C438" s="18" t="s">
        <v>1369</v>
      </c>
      <c r="D438" s="107">
        <v>68.629636000000005</v>
      </c>
      <c r="E438" s="107">
        <v>-149.57565600000001</v>
      </c>
      <c r="F438" s="107">
        <v>755</v>
      </c>
      <c r="G438" s="107" t="s">
        <v>459</v>
      </c>
      <c r="H438" s="107" t="s">
        <v>458</v>
      </c>
      <c r="I438" s="107" t="s">
        <v>458</v>
      </c>
      <c r="J438" s="107" t="s">
        <v>484</v>
      </c>
      <c r="K438" s="107" t="s">
        <v>458</v>
      </c>
      <c r="L438" s="107" t="s">
        <v>458</v>
      </c>
      <c r="M438" s="113" t="str">
        <f t="shared" si="8"/>
        <v>View on Google Map</v>
      </c>
    </row>
    <row r="439" spans="1:14" x14ac:dyDescent="0.2">
      <c r="A439" s="107">
        <v>1228</v>
      </c>
      <c r="B439" s="107" t="s">
        <v>1370</v>
      </c>
      <c r="C439" s="18" t="s">
        <v>1371</v>
      </c>
      <c r="D439" s="107">
        <v>68.634530999999996</v>
      </c>
      <c r="E439" s="107">
        <v>-149.64205799999999</v>
      </c>
      <c r="F439" s="107">
        <v>748</v>
      </c>
      <c r="G439" s="107" t="s">
        <v>459</v>
      </c>
      <c r="H439" s="107" t="s">
        <v>458</v>
      </c>
      <c r="I439" s="107" t="s">
        <v>458</v>
      </c>
      <c r="J439" s="107" t="s">
        <v>484</v>
      </c>
      <c r="K439" s="107" t="s">
        <v>458</v>
      </c>
      <c r="L439" s="107" t="s">
        <v>458</v>
      </c>
      <c r="M439" s="113" t="str">
        <f t="shared" si="8"/>
        <v>View on Google Map</v>
      </c>
    </row>
    <row r="440" spans="1:14" x14ac:dyDescent="0.2">
      <c r="A440" s="107">
        <v>1227</v>
      </c>
      <c r="B440" s="107" t="s">
        <v>1372</v>
      </c>
      <c r="C440" s="18" t="s">
        <v>1373</v>
      </c>
      <c r="D440" s="107">
        <v>68.634039000000001</v>
      </c>
      <c r="E440" s="107">
        <v>-149.63704899999999</v>
      </c>
      <c r="F440" s="107">
        <v>750</v>
      </c>
      <c r="G440" s="107" t="s">
        <v>459</v>
      </c>
      <c r="H440" s="107" t="s">
        <v>458</v>
      </c>
      <c r="I440" s="107" t="s">
        <v>458</v>
      </c>
      <c r="J440" s="107" t="s">
        <v>484</v>
      </c>
      <c r="K440" s="107" t="s">
        <v>458</v>
      </c>
      <c r="L440" s="107" t="s">
        <v>458</v>
      </c>
      <c r="M440" s="113" t="str">
        <f t="shared" si="8"/>
        <v>View on Google Map</v>
      </c>
    </row>
    <row r="441" spans="1:14" x14ac:dyDescent="0.2">
      <c r="A441" s="107">
        <v>1223</v>
      </c>
      <c r="B441" s="107" t="s">
        <v>1374</v>
      </c>
      <c r="C441" s="18" t="s">
        <v>1375</v>
      </c>
      <c r="D441" s="107">
        <v>68.635624000000007</v>
      </c>
      <c r="E441" s="107">
        <v>-149.587064</v>
      </c>
      <c r="F441" s="107">
        <v>745</v>
      </c>
      <c r="G441" s="107" t="s">
        <v>459</v>
      </c>
      <c r="H441" s="107" t="s">
        <v>458</v>
      </c>
      <c r="I441" s="107" t="s">
        <v>458</v>
      </c>
      <c r="J441" s="107" t="s">
        <v>484</v>
      </c>
      <c r="K441" s="107" t="s">
        <v>458</v>
      </c>
      <c r="L441" s="107" t="s">
        <v>458</v>
      </c>
      <c r="M441" s="113" t="str">
        <f t="shared" si="8"/>
        <v>View on Google Map</v>
      </c>
    </row>
    <row r="442" spans="1:14" x14ac:dyDescent="0.2">
      <c r="A442" s="107">
        <v>1224</v>
      </c>
      <c r="B442" s="107" t="s">
        <v>1376</v>
      </c>
      <c r="C442" s="18" t="s">
        <v>1377</v>
      </c>
      <c r="D442" s="107">
        <v>68.638692000000006</v>
      </c>
      <c r="E442" s="107">
        <v>-149.567789</v>
      </c>
      <c r="F442" s="107">
        <v>731</v>
      </c>
      <c r="G442" s="107" t="s">
        <v>459</v>
      </c>
      <c r="H442" s="107" t="s">
        <v>458</v>
      </c>
      <c r="I442" s="107" t="s">
        <v>458</v>
      </c>
      <c r="J442" s="107" t="s">
        <v>484</v>
      </c>
      <c r="K442" s="107" t="s">
        <v>458</v>
      </c>
      <c r="L442" s="107" t="s">
        <v>458</v>
      </c>
      <c r="M442" s="113" t="str">
        <f t="shared" si="8"/>
        <v>View on Google Map</v>
      </c>
    </row>
    <row r="443" spans="1:14" x14ac:dyDescent="0.2">
      <c r="A443" s="107">
        <v>1221</v>
      </c>
      <c r="B443" s="107" t="s">
        <v>1378</v>
      </c>
      <c r="C443" s="18" t="s">
        <v>1379</v>
      </c>
      <c r="D443" s="107">
        <v>68.625440999999995</v>
      </c>
      <c r="E443" s="107">
        <v>-149.60287299999999</v>
      </c>
      <c r="F443" s="107">
        <v>717</v>
      </c>
      <c r="G443" s="107" t="s">
        <v>459</v>
      </c>
      <c r="H443" s="107" t="s">
        <v>458</v>
      </c>
      <c r="I443" s="107" t="s">
        <v>458</v>
      </c>
      <c r="J443" s="107" t="s">
        <v>484</v>
      </c>
      <c r="K443" s="107" t="s">
        <v>458</v>
      </c>
      <c r="L443" s="107" t="s">
        <v>458</v>
      </c>
      <c r="M443" s="113" t="str">
        <f t="shared" si="8"/>
        <v>View on Google Map</v>
      </c>
    </row>
    <row r="444" spans="1:14" x14ac:dyDescent="0.2">
      <c r="A444" s="107">
        <v>1226</v>
      </c>
      <c r="B444" s="18" t="s">
        <v>1380</v>
      </c>
      <c r="C444" s="18" t="s">
        <v>1381</v>
      </c>
      <c r="D444" s="107">
        <v>68.647621999999998</v>
      </c>
      <c r="E444" s="107">
        <v>-149.57729800000001</v>
      </c>
      <c r="F444" s="107">
        <v>719</v>
      </c>
      <c r="G444" s="107" t="s">
        <v>459</v>
      </c>
      <c r="H444" s="107" t="s">
        <v>458</v>
      </c>
      <c r="I444" s="107" t="s">
        <v>458</v>
      </c>
      <c r="J444" s="107" t="s">
        <v>484</v>
      </c>
      <c r="K444" s="107" t="s">
        <v>458</v>
      </c>
      <c r="L444" s="107" t="s">
        <v>458</v>
      </c>
      <c r="M444" s="113" t="str">
        <f t="shared" si="8"/>
        <v>View on Google Map</v>
      </c>
    </row>
    <row r="445" spans="1:14" x14ac:dyDescent="0.2">
      <c r="A445" s="107">
        <v>487</v>
      </c>
      <c r="B445" s="107" t="s">
        <v>1382</v>
      </c>
      <c r="C445" s="107" t="s">
        <v>458</v>
      </c>
      <c r="D445" s="107">
        <v>68.961583332999993</v>
      </c>
      <c r="E445" s="107">
        <v>-150.20961666700001</v>
      </c>
      <c r="F445" s="107">
        <v>380</v>
      </c>
      <c r="G445" s="107" t="s">
        <v>469</v>
      </c>
      <c r="H445" s="107" t="s">
        <v>458</v>
      </c>
      <c r="I445" s="107" t="s">
        <v>458</v>
      </c>
      <c r="J445" s="107" t="s">
        <v>519</v>
      </c>
      <c r="K445" s="107" t="s">
        <v>458</v>
      </c>
      <c r="L445" s="107" t="s">
        <v>466</v>
      </c>
      <c r="M445" s="113" t="str">
        <f t="shared" si="8"/>
        <v>View on Google Map</v>
      </c>
    </row>
    <row r="446" spans="1:14" x14ac:dyDescent="0.2">
      <c r="A446" s="107">
        <v>23</v>
      </c>
      <c r="B446" s="107" t="s">
        <v>1383</v>
      </c>
      <c r="C446" s="107" t="s">
        <v>458</v>
      </c>
      <c r="D446" s="107" t="s">
        <v>458</v>
      </c>
      <c r="E446" s="107" t="s">
        <v>458</v>
      </c>
      <c r="F446" s="107" t="s">
        <v>458</v>
      </c>
      <c r="G446" s="107" t="s">
        <v>483</v>
      </c>
      <c r="H446" s="107" t="s">
        <v>458</v>
      </c>
      <c r="I446" s="107" t="s">
        <v>458</v>
      </c>
      <c r="J446" s="107" t="s">
        <v>484</v>
      </c>
      <c r="K446" s="107" t="s">
        <v>458</v>
      </c>
      <c r="L446" s="107" t="s">
        <v>458</v>
      </c>
      <c r="M446" s="113" t="str">
        <f t="shared" si="8"/>
        <v>View on Google Map</v>
      </c>
    </row>
    <row r="447" spans="1:14" x14ac:dyDescent="0.2">
      <c r="A447" s="107">
        <v>529</v>
      </c>
      <c r="B447" s="107" t="s">
        <v>1384</v>
      </c>
      <c r="C447" s="107" t="s">
        <v>864</v>
      </c>
      <c r="D447" s="107">
        <v>68.672934999999995</v>
      </c>
      <c r="E447" s="107">
        <v>-149.61752300000001</v>
      </c>
      <c r="F447" s="107">
        <v>708</v>
      </c>
      <c r="G447" s="107" t="s">
        <v>469</v>
      </c>
      <c r="H447" s="107" t="s">
        <v>458</v>
      </c>
      <c r="I447" s="107" t="s">
        <v>458</v>
      </c>
      <c r="J447" s="107" t="s">
        <v>470</v>
      </c>
      <c r="K447" s="107" t="s">
        <v>458</v>
      </c>
      <c r="L447" s="107" t="s">
        <v>865</v>
      </c>
      <c r="M447" s="113" t="str">
        <f t="shared" si="8"/>
        <v>View on Google Map</v>
      </c>
    </row>
    <row r="448" spans="1:14" x14ac:dyDescent="0.2">
      <c r="A448" s="107">
        <v>494</v>
      </c>
      <c r="B448" s="107" t="s">
        <v>1385</v>
      </c>
      <c r="C448" s="107" t="s">
        <v>458</v>
      </c>
      <c r="D448" s="107">
        <v>68.673756999999995</v>
      </c>
      <c r="E448" s="107">
        <v>-149.618268</v>
      </c>
      <c r="F448" s="107">
        <v>701</v>
      </c>
      <c r="G448" s="107" t="s">
        <v>483</v>
      </c>
      <c r="H448" s="107" t="s">
        <v>458</v>
      </c>
      <c r="I448" s="107" t="s">
        <v>458</v>
      </c>
      <c r="J448" s="107" t="s">
        <v>1386</v>
      </c>
      <c r="K448" s="107" t="s">
        <v>458</v>
      </c>
      <c r="L448" s="107" t="s">
        <v>865</v>
      </c>
      <c r="M448" s="113" t="str">
        <f t="shared" si="8"/>
        <v>View on Google Map</v>
      </c>
    </row>
    <row r="449" spans="1:13" x14ac:dyDescent="0.2">
      <c r="A449" s="107">
        <v>189</v>
      </c>
      <c r="B449" s="107" t="s">
        <v>1387</v>
      </c>
      <c r="C449" s="107" t="s">
        <v>458</v>
      </c>
      <c r="D449" s="107">
        <v>68.622</v>
      </c>
      <c r="E449" s="107">
        <v>-149.590666</v>
      </c>
      <c r="F449" s="107">
        <v>725</v>
      </c>
      <c r="G449" s="107" t="s">
        <v>483</v>
      </c>
      <c r="H449" s="107" t="s">
        <v>1388</v>
      </c>
      <c r="I449" s="107" t="s">
        <v>1389</v>
      </c>
      <c r="J449" s="107" t="s">
        <v>484</v>
      </c>
      <c r="K449" s="107" t="s">
        <v>458</v>
      </c>
      <c r="L449" s="107" t="s">
        <v>873</v>
      </c>
      <c r="M449" s="113" t="str">
        <f t="shared" si="8"/>
        <v>View on Google Map</v>
      </c>
    </row>
    <row r="450" spans="1:13" x14ac:dyDescent="0.2">
      <c r="A450" s="107">
        <v>273</v>
      </c>
      <c r="B450" s="107" t="s">
        <v>1390</v>
      </c>
      <c r="C450" s="107" t="s">
        <v>458</v>
      </c>
      <c r="D450" s="107">
        <v>68.620166670000003</v>
      </c>
      <c r="E450" s="107">
        <v>-149.56816599999999</v>
      </c>
      <c r="F450" s="107">
        <v>739</v>
      </c>
      <c r="G450" s="107" t="s">
        <v>483</v>
      </c>
      <c r="H450" s="107" t="s">
        <v>1391</v>
      </c>
      <c r="I450" s="107" t="s">
        <v>1392</v>
      </c>
      <c r="J450" s="107" t="s">
        <v>484</v>
      </c>
      <c r="K450" s="107" t="s">
        <v>458</v>
      </c>
      <c r="L450" s="107" t="s">
        <v>873</v>
      </c>
      <c r="M450" s="113" t="str">
        <f t="shared" si="8"/>
        <v>View on Google Map</v>
      </c>
    </row>
    <row r="451" spans="1:13" x14ac:dyDescent="0.2">
      <c r="A451" s="107">
        <v>1175</v>
      </c>
      <c r="B451" s="107" t="s">
        <v>1393</v>
      </c>
      <c r="C451" s="107" t="s">
        <v>458</v>
      </c>
      <c r="D451" s="107">
        <v>68.951925000000003</v>
      </c>
      <c r="E451" s="107">
        <v>-150.20976669999999</v>
      </c>
      <c r="F451" s="107" t="s">
        <v>458</v>
      </c>
      <c r="G451" s="107" t="s">
        <v>483</v>
      </c>
      <c r="H451" s="107" t="s">
        <v>458</v>
      </c>
      <c r="I451" s="107" t="s">
        <v>458</v>
      </c>
      <c r="J451" s="107" t="s">
        <v>1013</v>
      </c>
      <c r="K451" s="107" t="s">
        <v>458</v>
      </c>
      <c r="L451" s="107" t="s">
        <v>458</v>
      </c>
      <c r="M451" s="113" t="str">
        <f t="shared" ref="M451:M514" si="10">HYPERLINK("http://maps.google.com/maps?q="&amp;D451&amp;","&amp;E451,"View on Google Map")</f>
        <v>View on Google Map</v>
      </c>
    </row>
    <row r="452" spans="1:13" x14ac:dyDescent="0.2">
      <c r="A452" s="107">
        <v>103</v>
      </c>
      <c r="B452" s="107" t="s">
        <v>1394</v>
      </c>
      <c r="C452" s="107" t="s">
        <v>458</v>
      </c>
      <c r="D452" s="107">
        <v>68.639893935800004</v>
      </c>
      <c r="E452" s="107">
        <v>-149.606965643</v>
      </c>
      <c r="F452" s="107">
        <v>731</v>
      </c>
      <c r="G452" s="107" t="s">
        <v>469</v>
      </c>
      <c r="H452" s="107" t="s">
        <v>1395</v>
      </c>
      <c r="I452" s="107" t="s">
        <v>1396</v>
      </c>
      <c r="J452" s="107" t="s">
        <v>484</v>
      </c>
      <c r="K452" s="107" t="s">
        <v>458</v>
      </c>
      <c r="L452" s="107" t="s">
        <v>458</v>
      </c>
      <c r="M452" s="113" t="str">
        <f t="shared" si="10"/>
        <v>View on Google Map</v>
      </c>
    </row>
    <row r="453" spans="1:13" x14ac:dyDescent="0.2">
      <c r="A453" s="107">
        <v>104</v>
      </c>
      <c r="B453" s="107" t="s">
        <v>1397</v>
      </c>
      <c r="C453" s="107" t="s">
        <v>458</v>
      </c>
      <c r="D453" s="107">
        <v>68.640947234500004</v>
      </c>
      <c r="E453" s="107">
        <v>-149.625086307</v>
      </c>
      <c r="F453" s="107">
        <v>724</v>
      </c>
      <c r="G453" s="107" t="s">
        <v>469</v>
      </c>
      <c r="H453" s="107" t="s">
        <v>1398</v>
      </c>
      <c r="I453" s="107" t="s">
        <v>1399</v>
      </c>
      <c r="J453" s="107" t="s">
        <v>484</v>
      </c>
      <c r="K453" s="107" t="s">
        <v>458</v>
      </c>
      <c r="L453" s="107" t="s">
        <v>458</v>
      </c>
      <c r="M453" s="113" t="str">
        <f t="shared" si="10"/>
        <v>View on Google Map</v>
      </c>
    </row>
    <row r="454" spans="1:13" x14ac:dyDescent="0.2">
      <c r="A454" s="107">
        <v>105</v>
      </c>
      <c r="B454" s="107" t="s">
        <v>1400</v>
      </c>
      <c r="C454" s="107" t="s">
        <v>458</v>
      </c>
      <c r="D454" s="107">
        <v>68.642385337299999</v>
      </c>
      <c r="E454" s="107">
        <v>-149.630769851</v>
      </c>
      <c r="F454" s="107" t="s">
        <v>458</v>
      </c>
      <c r="G454" s="107" t="s">
        <v>469</v>
      </c>
      <c r="H454" s="107" t="s">
        <v>1401</v>
      </c>
      <c r="I454" s="107" t="s">
        <v>458</v>
      </c>
      <c r="J454" s="107" t="s">
        <v>484</v>
      </c>
      <c r="K454" s="107" t="s">
        <v>458</v>
      </c>
      <c r="L454" s="107" t="s">
        <v>458</v>
      </c>
      <c r="M454" s="113" t="str">
        <f t="shared" si="10"/>
        <v>View on Google Map</v>
      </c>
    </row>
    <row r="455" spans="1:13" x14ac:dyDescent="0.2">
      <c r="A455" s="107">
        <v>245</v>
      </c>
      <c r="B455" s="107" t="s">
        <v>1402</v>
      </c>
      <c r="C455" s="107" t="s">
        <v>458</v>
      </c>
      <c r="D455" s="107">
        <v>68.645120702900002</v>
      </c>
      <c r="E455" s="107">
        <v>-149.64028014900001</v>
      </c>
      <c r="F455" s="107" t="s">
        <v>458</v>
      </c>
      <c r="G455" s="107" t="s">
        <v>469</v>
      </c>
      <c r="H455" s="107" t="s">
        <v>1403</v>
      </c>
      <c r="I455" s="107" t="s">
        <v>458</v>
      </c>
      <c r="J455" s="107" t="s">
        <v>484</v>
      </c>
      <c r="K455" s="107" t="s">
        <v>458</v>
      </c>
      <c r="L455" s="107" t="s">
        <v>458</v>
      </c>
      <c r="M455" s="113" t="str">
        <f t="shared" si="10"/>
        <v>View on Google Map</v>
      </c>
    </row>
    <row r="456" spans="1:13" x14ac:dyDescent="0.2">
      <c r="A456" s="107">
        <v>240</v>
      </c>
      <c r="B456" s="107" t="s">
        <v>1404</v>
      </c>
      <c r="C456" s="107" t="s">
        <v>458</v>
      </c>
      <c r="D456" s="107">
        <v>68.645428204500007</v>
      </c>
      <c r="E456" s="107">
        <v>-149.62885531000001</v>
      </c>
      <c r="F456" s="107" t="s">
        <v>458</v>
      </c>
      <c r="G456" s="107" t="s">
        <v>469</v>
      </c>
      <c r="H456" s="107" t="s">
        <v>1405</v>
      </c>
      <c r="I456" s="107" t="s">
        <v>458</v>
      </c>
      <c r="J456" s="107" t="s">
        <v>484</v>
      </c>
      <c r="K456" s="107" t="s">
        <v>458</v>
      </c>
      <c r="L456" s="107" t="s">
        <v>458</v>
      </c>
      <c r="M456" s="113" t="str">
        <f t="shared" si="10"/>
        <v>View on Google Map</v>
      </c>
    </row>
    <row r="457" spans="1:13" x14ac:dyDescent="0.2">
      <c r="A457" s="107">
        <v>508</v>
      </c>
      <c r="B457" s="107" t="s">
        <v>1406</v>
      </c>
      <c r="C457" s="107" t="s">
        <v>468</v>
      </c>
      <c r="D457" s="107">
        <v>68.396288999999996</v>
      </c>
      <c r="E457" s="107">
        <v>-150.58781500000001</v>
      </c>
      <c r="F457" s="107">
        <v>841</v>
      </c>
      <c r="G457" s="107" t="s">
        <v>469</v>
      </c>
      <c r="H457" s="107" t="s">
        <v>471</v>
      </c>
      <c r="I457" s="107" t="s">
        <v>458</v>
      </c>
      <c r="J457" s="107" t="s">
        <v>470</v>
      </c>
      <c r="K457" s="107" t="s">
        <v>458</v>
      </c>
      <c r="L457" s="107" t="s">
        <v>471</v>
      </c>
      <c r="M457" s="113" t="str">
        <f t="shared" si="10"/>
        <v>View on Google Map</v>
      </c>
    </row>
    <row r="458" spans="1:13" x14ac:dyDescent="0.2">
      <c r="A458" s="107">
        <v>513</v>
      </c>
      <c r="B458" s="107" t="s">
        <v>1407</v>
      </c>
      <c r="C458" s="107" t="s">
        <v>468</v>
      </c>
      <c r="D458" s="107">
        <v>68.362488999999997</v>
      </c>
      <c r="E458" s="107">
        <v>-151.70717300000001</v>
      </c>
      <c r="F458" s="107">
        <v>792</v>
      </c>
      <c r="G458" s="107" t="s">
        <v>469</v>
      </c>
      <c r="H458" s="107" t="s">
        <v>458</v>
      </c>
      <c r="I458" s="107" t="s">
        <v>458</v>
      </c>
      <c r="J458" s="107" t="s">
        <v>470</v>
      </c>
      <c r="K458" s="107" t="s">
        <v>458</v>
      </c>
      <c r="L458" s="107" t="s">
        <v>471</v>
      </c>
      <c r="M458" s="113" t="str">
        <f t="shared" si="10"/>
        <v>View on Google Map</v>
      </c>
    </row>
    <row r="459" spans="1:13" x14ac:dyDescent="0.2">
      <c r="A459" s="107">
        <v>512</v>
      </c>
      <c r="B459" s="107" t="s">
        <v>1408</v>
      </c>
      <c r="C459" s="107" t="s">
        <v>468</v>
      </c>
      <c r="D459" s="107">
        <v>68.351332999999997</v>
      </c>
      <c r="E459" s="107">
        <v>-151.702167</v>
      </c>
      <c r="F459" s="107">
        <v>789</v>
      </c>
      <c r="G459" s="107" t="s">
        <v>469</v>
      </c>
      <c r="H459" s="107" t="s">
        <v>458</v>
      </c>
      <c r="I459" s="107" t="s">
        <v>458</v>
      </c>
      <c r="J459" s="107" t="s">
        <v>470</v>
      </c>
      <c r="K459" s="107" t="s">
        <v>458</v>
      </c>
      <c r="L459" s="107" t="s">
        <v>471</v>
      </c>
      <c r="M459" s="113" t="str">
        <f t="shared" si="10"/>
        <v>View on Google Map</v>
      </c>
    </row>
    <row r="460" spans="1:13" x14ac:dyDescent="0.2">
      <c r="A460" s="107">
        <v>511</v>
      </c>
      <c r="B460" s="107" t="s">
        <v>1409</v>
      </c>
      <c r="C460" s="107" t="s">
        <v>468</v>
      </c>
      <c r="D460" s="107">
        <v>68.347333000000006</v>
      </c>
      <c r="E460" s="107">
        <v>-151.70316700000001</v>
      </c>
      <c r="F460" s="107">
        <v>798</v>
      </c>
      <c r="G460" s="107" t="s">
        <v>469</v>
      </c>
      <c r="H460" s="107" t="s">
        <v>458</v>
      </c>
      <c r="I460" s="107" t="s">
        <v>458</v>
      </c>
      <c r="J460" s="107" t="s">
        <v>470</v>
      </c>
      <c r="K460" s="107" t="s">
        <v>458</v>
      </c>
      <c r="L460" s="107" t="s">
        <v>471</v>
      </c>
      <c r="M460" s="113" t="str">
        <f t="shared" si="10"/>
        <v>View on Google Map</v>
      </c>
    </row>
    <row r="461" spans="1:13" x14ac:dyDescent="0.2">
      <c r="A461" s="107">
        <v>510</v>
      </c>
      <c r="B461" s="107" t="s">
        <v>1410</v>
      </c>
      <c r="C461" s="107" t="s">
        <v>468</v>
      </c>
      <c r="D461" s="107">
        <v>68.351332999999997</v>
      </c>
      <c r="E461" s="107">
        <v>-151.702167</v>
      </c>
      <c r="F461" s="107">
        <v>810</v>
      </c>
      <c r="G461" s="107" t="s">
        <v>469</v>
      </c>
      <c r="H461" s="107" t="s">
        <v>458</v>
      </c>
      <c r="I461" s="107" t="s">
        <v>458</v>
      </c>
      <c r="J461" s="107" t="s">
        <v>470</v>
      </c>
      <c r="K461" s="107" t="s">
        <v>458</v>
      </c>
      <c r="L461" s="107" t="s">
        <v>471</v>
      </c>
      <c r="M461" s="113" t="str">
        <f t="shared" si="10"/>
        <v>View on Google Map</v>
      </c>
    </row>
    <row r="462" spans="1:13" x14ac:dyDescent="0.2">
      <c r="A462" s="107">
        <v>233</v>
      </c>
      <c r="B462" s="107" t="s">
        <v>1411</v>
      </c>
      <c r="C462" s="107" t="s">
        <v>458</v>
      </c>
      <c r="D462" s="107">
        <v>68.643783170000006</v>
      </c>
      <c r="E462" s="107">
        <v>-149.58949436200001</v>
      </c>
      <c r="F462" s="107">
        <v>716</v>
      </c>
      <c r="G462" s="107" t="s">
        <v>469</v>
      </c>
      <c r="H462" s="107" t="s">
        <v>1412</v>
      </c>
      <c r="I462" s="107" t="s">
        <v>458</v>
      </c>
      <c r="J462" s="107" t="s">
        <v>484</v>
      </c>
      <c r="K462" s="107" t="s">
        <v>458</v>
      </c>
      <c r="L462" s="107" t="s">
        <v>458</v>
      </c>
      <c r="M462" s="113" t="str">
        <f t="shared" si="10"/>
        <v>View on Google Map</v>
      </c>
    </row>
    <row r="463" spans="1:13" x14ac:dyDescent="0.2">
      <c r="A463" s="107">
        <v>147</v>
      </c>
      <c r="B463" s="107" t="s">
        <v>1413</v>
      </c>
      <c r="C463" s="107" t="s">
        <v>458</v>
      </c>
      <c r="D463" s="107">
        <v>68.646325005500003</v>
      </c>
      <c r="E463" s="107">
        <v>-149.58272243900001</v>
      </c>
      <c r="F463" s="107">
        <v>716</v>
      </c>
      <c r="G463" s="107" t="s">
        <v>469</v>
      </c>
      <c r="H463" s="107" t="s">
        <v>1414</v>
      </c>
      <c r="I463" s="107" t="s">
        <v>458</v>
      </c>
      <c r="J463" s="107" t="s">
        <v>484</v>
      </c>
      <c r="K463" s="107" t="s">
        <v>458</v>
      </c>
      <c r="L463" s="107" t="s">
        <v>458</v>
      </c>
      <c r="M463" s="113" t="str">
        <f t="shared" si="10"/>
        <v>View on Google Map</v>
      </c>
    </row>
    <row r="464" spans="1:13" x14ac:dyDescent="0.2">
      <c r="A464" s="107">
        <v>234</v>
      </c>
      <c r="B464" s="107" t="s">
        <v>1415</v>
      </c>
      <c r="C464" s="107" t="s">
        <v>458</v>
      </c>
      <c r="D464" s="107">
        <v>68.650192520999994</v>
      </c>
      <c r="E464" s="107">
        <v>-149.58255972500001</v>
      </c>
      <c r="F464" s="107">
        <v>731</v>
      </c>
      <c r="G464" s="107" t="s">
        <v>469</v>
      </c>
      <c r="H464" s="107" t="s">
        <v>1416</v>
      </c>
      <c r="I464" s="107" t="s">
        <v>458</v>
      </c>
      <c r="J464" s="107" t="s">
        <v>484</v>
      </c>
      <c r="K464" s="107" t="s">
        <v>458</v>
      </c>
      <c r="L464" s="107" t="s">
        <v>458</v>
      </c>
      <c r="M464" s="113" t="str">
        <f t="shared" si="10"/>
        <v>View on Google Map</v>
      </c>
    </row>
    <row r="465" spans="1:13" x14ac:dyDescent="0.2">
      <c r="A465" s="107">
        <v>306</v>
      </c>
      <c r="B465" s="107" t="s">
        <v>1417</v>
      </c>
      <c r="C465" s="107" t="s">
        <v>458</v>
      </c>
      <c r="D465" s="107" t="s">
        <v>458</v>
      </c>
      <c r="E465" s="107" t="s">
        <v>458</v>
      </c>
      <c r="F465" s="107">
        <v>731</v>
      </c>
      <c r="G465" s="107" t="s">
        <v>469</v>
      </c>
      <c r="H465" s="107" t="s">
        <v>1418</v>
      </c>
      <c r="I465" s="107" t="s">
        <v>458</v>
      </c>
      <c r="J465" s="107" t="s">
        <v>484</v>
      </c>
      <c r="K465" s="107" t="s">
        <v>458</v>
      </c>
      <c r="L465" s="107" t="s">
        <v>458</v>
      </c>
      <c r="M465" s="113" t="str">
        <f t="shared" si="10"/>
        <v>View on Google Map</v>
      </c>
    </row>
    <row r="466" spans="1:13" x14ac:dyDescent="0.2">
      <c r="A466" s="107">
        <v>235</v>
      </c>
      <c r="B466" s="107" t="s">
        <v>1419</v>
      </c>
      <c r="C466" s="107" t="s">
        <v>458</v>
      </c>
      <c r="D466" s="107" t="s">
        <v>458</v>
      </c>
      <c r="E466" s="107" t="s">
        <v>458</v>
      </c>
      <c r="F466" s="107">
        <v>716</v>
      </c>
      <c r="G466" s="107" t="s">
        <v>469</v>
      </c>
      <c r="H466" s="107" t="s">
        <v>1420</v>
      </c>
      <c r="I466" s="107" t="s">
        <v>458</v>
      </c>
      <c r="J466" s="107" t="s">
        <v>484</v>
      </c>
      <c r="K466" s="107" t="s">
        <v>458</v>
      </c>
      <c r="L466" s="107" t="s">
        <v>458</v>
      </c>
      <c r="M466" s="113" t="str">
        <f t="shared" si="10"/>
        <v>View on Google Map</v>
      </c>
    </row>
    <row r="467" spans="1:13" x14ac:dyDescent="0.2">
      <c r="A467" s="107">
        <v>307</v>
      </c>
      <c r="B467" s="107" t="s">
        <v>1421</v>
      </c>
      <c r="C467" s="107" t="s">
        <v>458</v>
      </c>
      <c r="D467" s="107" t="s">
        <v>458</v>
      </c>
      <c r="E467" s="107" t="s">
        <v>458</v>
      </c>
      <c r="F467" s="107">
        <v>716</v>
      </c>
      <c r="G467" s="107" t="s">
        <v>469</v>
      </c>
      <c r="H467" s="107" t="s">
        <v>1422</v>
      </c>
      <c r="I467" s="107" t="s">
        <v>458</v>
      </c>
      <c r="J467" s="107" t="s">
        <v>484</v>
      </c>
      <c r="K467" s="107" t="s">
        <v>458</v>
      </c>
      <c r="L467" s="107" t="s">
        <v>458</v>
      </c>
      <c r="M467" s="113" t="str">
        <f t="shared" si="10"/>
        <v>View on Google Map</v>
      </c>
    </row>
    <row r="468" spans="1:13" x14ac:dyDescent="0.2">
      <c r="A468" s="107">
        <v>236</v>
      </c>
      <c r="B468" s="107" t="s">
        <v>1423</v>
      </c>
      <c r="C468" s="107" t="s">
        <v>458</v>
      </c>
      <c r="D468" s="107">
        <v>68.653572283900004</v>
      </c>
      <c r="E468" s="107">
        <v>-149.58091106399999</v>
      </c>
      <c r="F468" s="107">
        <v>731</v>
      </c>
      <c r="G468" s="107" t="s">
        <v>469</v>
      </c>
      <c r="H468" s="107" t="s">
        <v>1424</v>
      </c>
      <c r="I468" s="107" t="s">
        <v>458</v>
      </c>
      <c r="J468" s="107" t="s">
        <v>484</v>
      </c>
      <c r="K468" s="107" t="s">
        <v>458</v>
      </c>
      <c r="L468" s="107" t="s">
        <v>458</v>
      </c>
      <c r="M468" s="113" t="str">
        <f t="shared" si="10"/>
        <v>View on Google Map</v>
      </c>
    </row>
    <row r="469" spans="1:13" x14ac:dyDescent="0.2">
      <c r="A469" s="107">
        <v>308</v>
      </c>
      <c r="B469" s="107" t="s">
        <v>1425</v>
      </c>
      <c r="C469" s="107" t="s">
        <v>458</v>
      </c>
      <c r="D469" s="107">
        <v>68.652551279199997</v>
      </c>
      <c r="E469" s="107">
        <v>-149.58676006799999</v>
      </c>
      <c r="F469" s="107">
        <v>731</v>
      </c>
      <c r="G469" s="107" t="s">
        <v>469</v>
      </c>
      <c r="H469" s="107" t="s">
        <v>1426</v>
      </c>
      <c r="I469" s="107" t="s">
        <v>458</v>
      </c>
      <c r="J469" s="107" t="s">
        <v>484</v>
      </c>
      <c r="K469" s="107" t="s">
        <v>458</v>
      </c>
      <c r="L469" s="107" t="s">
        <v>458</v>
      </c>
      <c r="M469" s="113" t="str">
        <f t="shared" si="10"/>
        <v>View on Google Map</v>
      </c>
    </row>
    <row r="470" spans="1:13" x14ac:dyDescent="0.2">
      <c r="A470" s="107">
        <v>446</v>
      </c>
      <c r="B470" s="107" t="s">
        <v>1427</v>
      </c>
      <c r="C470" s="107" t="s">
        <v>458</v>
      </c>
      <c r="D470" s="107">
        <v>68.653536133599999</v>
      </c>
      <c r="E470" s="107">
        <v>-149.59622183299999</v>
      </c>
      <c r="F470" s="107">
        <v>747</v>
      </c>
      <c r="G470" s="107" t="s">
        <v>469</v>
      </c>
      <c r="H470" s="107" t="s">
        <v>1428</v>
      </c>
      <c r="I470" s="107" t="s">
        <v>458</v>
      </c>
      <c r="J470" s="107" t="s">
        <v>484</v>
      </c>
      <c r="K470" s="107" t="s">
        <v>458</v>
      </c>
      <c r="L470" s="107" t="s">
        <v>458</v>
      </c>
      <c r="M470" s="113" t="str">
        <f t="shared" si="10"/>
        <v>View on Google Map</v>
      </c>
    </row>
    <row r="471" spans="1:13" x14ac:dyDescent="0.2">
      <c r="A471" s="107">
        <v>447</v>
      </c>
      <c r="B471" s="107" t="s">
        <v>1429</v>
      </c>
      <c r="C471" s="107" t="s">
        <v>458</v>
      </c>
      <c r="D471" s="107">
        <v>68.652588284900006</v>
      </c>
      <c r="E471" s="107">
        <v>-149.60764069300001</v>
      </c>
      <c r="F471" s="107" t="s">
        <v>458</v>
      </c>
      <c r="G471" s="107" t="s">
        <v>469</v>
      </c>
      <c r="H471" s="107" t="s">
        <v>1430</v>
      </c>
      <c r="I471" s="107" t="s">
        <v>458</v>
      </c>
      <c r="J471" s="107" t="s">
        <v>484</v>
      </c>
      <c r="K471" s="107" t="s">
        <v>458</v>
      </c>
      <c r="L471" s="107" t="s">
        <v>458</v>
      </c>
      <c r="M471" s="113" t="str">
        <f t="shared" si="10"/>
        <v>View on Google Map</v>
      </c>
    </row>
    <row r="472" spans="1:13" x14ac:dyDescent="0.2">
      <c r="A472" s="107">
        <v>504</v>
      </c>
      <c r="B472" s="107" t="s">
        <v>1431</v>
      </c>
      <c r="C472" s="107" t="s">
        <v>458</v>
      </c>
      <c r="D472" s="107">
        <v>68.647407723699999</v>
      </c>
      <c r="E472" s="107">
        <v>-149.60936597400001</v>
      </c>
      <c r="F472" s="107">
        <v>731</v>
      </c>
      <c r="G472" s="107" t="s">
        <v>469</v>
      </c>
      <c r="H472" s="107" t="s">
        <v>458</v>
      </c>
      <c r="I472" s="107" t="s">
        <v>458</v>
      </c>
      <c r="J472" s="107" t="s">
        <v>484</v>
      </c>
      <c r="K472" s="107" t="s">
        <v>458</v>
      </c>
      <c r="L472" s="107" t="s">
        <v>458</v>
      </c>
      <c r="M472" s="113" t="str">
        <f t="shared" si="10"/>
        <v>View on Google Map</v>
      </c>
    </row>
    <row r="473" spans="1:13" x14ac:dyDescent="0.2">
      <c r="A473" s="107">
        <v>108</v>
      </c>
      <c r="B473" s="107" t="s">
        <v>1432</v>
      </c>
      <c r="C473" s="107" t="s">
        <v>458</v>
      </c>
      <c r="D473" s="107">
        <v>68.650000000000006</v>
      </c>
      <c r="E473" s="107">
        <v>-149.61666666666667</v>
      </c>
      <c r="F473" s="107">
        <v>699</v>
      </c>
      <c r="G473" s="107" t="s">
        <v>469</v>
      </c>
      <c r="H473" s="107" t="s">
        <v>1433</v>
      </c>
      <c r="I473" s="107" t="s">
        <v>458</v>
      </c>
      <c r="J473" s="107" t="s">
        <v>484</v>
      </c>
      <c r="K473" s="107" t="s">
        <v>458</v>
      </c>
      <c r="L473" s="107" t="s">
        <v>458</v>
      </c>
      <c r="M473" s="113" t="str">
        <f t="shared" si="10"/>
        <v>View on Google Map</v>
      </c>
    </row>
    <row r="474" spans="1:13" x14ac:dyDescent="0.2">
      <c r="A474" s="107">
        <v>309</v>
      </c>
      <c r="B474" s="107" t="s">
        <v>1434</v>
      </c>
      <c r="C474" s="107" t="s">
        <v>458</v>
      </c>
      <c r="D474" s="107" t="s">
        <v>458</v>
      </c>
      <c r="E474" s="107" t="s">
        <v>458</v>
      </c>
      <c r="F474" s="107" t="s">
        <v>458</v>
      </c>
      <c r="G474" s="107" t="s">
        <v>469</v>
      </c>
      <c r="H474" s="107" t="s">
        <v>1435</v>
      </c>
      <c r="I474" s="107" t="s">
        <v>458</v>
      </c>
      <c r="J474" s="107" t="s">
        <v>484</v>
      </c>
      <c r="K474" s="107" t="s">
        <v>458</v>
      </c>
      <c r="L474" s="107" t="s">
        <v>458</v>
      </c>
      <c r="M474" s="113" t="str">
        <f t="shared" si="10"/>
        <v>View on Google Map</v>
      </c>
    </row>
    <row r="475" spans="1:13" x14ac:dyDescent="0.2">
      <c r="A475" s="107">
        <v>109</v>
      </c>
      <c r="B475" s="107" t="s">
        <v>1436</v>
      </c>
      <c r="C475" s="107" t="s">
        <v>458</v>
      </c>
      <c r="D475" s="107">
        <v>68.683333333333337</v>
      </c>
      <c r="E475" s="107">
        <v>-149.61666666666667</v>
      </c>
      <c r="F475" s="107">
        <v>701</v>
      </c>
      <c r="G475" s="107" t="s">
        <v>469</v>
      </c>
      <c r="H475" s="107" t="s">
        <v>1437</v>
      </c>
      <c r="I475" s="107" t="s">
        <v>458</v>
      </c>
      <c r="J475" s="107" t="s">
        <v>484</v>
      </c>
      <c r="K475" s="107" t="s">
        <v>458</v>
      </c>
      <c r="L475" s="107" t="s">
        <v>458</v>
      </c>
      <c r="M475" s="113" t="str">
        <f t="shared" si="10"/>
        <v>View on Google Map</v>
      </c>
    </row>
    <row r="476" spans="1:13" x14ac:dyDescent="0.2">
      <c r="A476" s="107">
        <v>497</v>
      </c>
      <c r="B476" s="107" t="s">
        <v>1438</v>
      </c>
      <c r="C476" s="107" t="s">
        <v>1439</v>
      </c>
      <c r="D476" s="107">
        <v>68.674931999999998</v>
      </c>
      <c r="E476" s="107">
        <v>-149.625439</v>
      </c>
      <c r="F476" s="107">
        <v>701</v>
      </c>
      <c r="G476" s="107" t="s">
        <v>469</v>
      </c>
      <c r="H476" s="107" t="s">
        <v>458</v>
      </c>
      <c r="I476" s="107" t="s">
        <v>458</v>
      </c>
      <c r="J476" s="107" t="s">
        <v>1386</v>
      </c>
      <c r="K476" s="107" t="s">
        <v>458</v>
      </c>
      <c r="L476" s="107" t="s">
        <v>865</v>
      </c>
      <c r="M476" s="113" t="str">
        <f t="shared" si="10"/>
        <v>View on Google Map</v>
      </c>
    </row>
    <row r="477" spans="1:13" x14ac:dyDescent="0.2">
      <c r="A477" s="107">
        <v>498</v>
      </c>
      <c r="B477" s="107" t="s">
        <v>1440</v>
      </c>
      <c r="C477" s="107" t="s">
        <v>458</v>
      </c>
      <c r="D477" s="107">
        <v>68.677723</v>
      </c>
      <c r="E477" s="107">
        <v>-149.62402800000001</v>
      </c>
      <c r="F477" s="107">
        <v>701</v>
      </c>
      <c r="G477" s="107" t="s">
        <v>483</v>
      </c>
      <c r="H477" s="107" t="s">
        <v>458</v>
      </c>
      <c r="I477" s="107" t="s">
        <v>458</v>
      </c>
      <c r="J477" s="107" t="s">
        <v>1386</v>
      </c>
      <c r="K477" s="107" t="s">
        <v>458</v>
      </c>
      <c r="L477" s="107" t="s">
        <v>865</v>
      </c>
      <c r="M477" s="113" t="str">
        <f t="shared" si="10"/>
        <v>View on Google Map</v>
      </c>
    </row>
    <row r="478" spans="1:13" x14ac:dyDescent="0.2">
      <c r="A478" s="107">
        <v>495</v>
      </c>
      <c r="B478" s="107" t="s">
        <v>1441</v>
      </c>
      <c r="C478" s="107" t="s">
        <v>458</v>
      </c>
      <c r="D478" s="107">
        <v>68.674121999999997</v>
      </c>
      <c r="E478" s="107">
        <v>-149.62885</v>
      </c>
      <c r="F478" s="107">
        <v>701</v>
      </c>
      <c r="G478" s="107" t="s">
        <v>483</v>
      </c>
      <c r="H478" s="107" t="s">
        <v>458</v>
      </c>
      <c r="I478" s="107" t="s">
        <v>458</v>
      </c>
      <c r="J478" s="107" t="s">
        <v>1386</v>
      </c>
      <c r="K478" s="107" t="s">
        <v>458</v>
      </c>
      <c r="L478" s="107" t="s">
        <v>865</v>
      </c>
      <c r="M478" s="113" t="str">
        <f t="shared" si="10"/>
        <v>View on Google Map</v>
      </c>
    </row>
    <row r="479" spans="1:13" x14ac:dyDescent="0.2">
      <c r="A479" s="107">
        <v>448</v>
      </c>
      <c r="B479" s="107" t="s">
        <v>1442</v>
      </c>
      <c r="C479" s="107" t="s">
        <v>458</v>
      </c>
      <c r="D479" s="107">
        <v>68.655874034999997</v>
      </c>
      <c r="E479" s="107">
        <v>-149.58555905599999</v>
      </c>
      <c r="F479" s="107" t="s">
        <v>458</v>
      </c>
      <c r="G479" s="107" t="s">
        <v>469</v>
      </c>
      <c r="H479" s="107" t="s">
        <v>1443</v>
      </c>
      <c r="I479" s="107" t="s">
        <v>458</v>
      </c>
      <c r="J479" s="107" t="s">
        <v>484</v>
      </c>
      <c r="K479" s="107" t="s">
        <v>458</v>
      </c>
      <c r="L479" s="107" t="s">
        <v>458</v>
      </c>
      <c r="M479" s="113" t="str">
        <f t="shared" si="10"/>
        <v>View on Google Map</v>
      </c>
    </row>
    <row r="480" spans="1:13" x14ac:dyDescent="0.2">
      <c r="A480" s="107">
        <v>449</v>
      </c>
      <c r="B480" s="107" t="s">
        <v>1444</v>
      </c>
      <c r="C480" s="107" t="s">
        <v>458</v>
      </c>
      <c r="D480" s="107">
        <v>68.661045276899998</v>
      </c>
      <c r="E480" s="107">
        <v>-149.586664767</v>
      </c>
      <c r="F480" s="107" t="s">
        <v>458</v>
      </c>
      <c r="G480" s="107" t="s">
        <v>469</v>
      </c>
      <c r="H480" s="107" t="s">
        <v>1445</v>
      </c>
      <c r="I480" s="107" t="s">
        <v>458</v>
      </c>
      <c r="J480" s="107" t="s">
        <v>484</v>
      </c>
      <c r="K480" s="107" t="s">
        <v>458</v>
      </c>
      <c r="L480" s="107" t="s">
        <v>458</v>
      </c>
      <c r="M480" s="113" t="str">
        <f t="shared" si="10"/>
        <v>View on Google Map</v>
      </c>
    </row>
    <row r="481" spans="1:13" x14ac:dyDescent="0.2">
      <c r="A481" s="107">
        <v>171</v>
      </c>
      <c r="B481" s="107" t="s">
        <v>1446</v>
      </c>
      <c r="C481" s="107" t="s">
        <v>458</v>
      </c>
      <c r="D481" s="107">
        <v>68.652645483100002</v>
      </c>
      <c r="E481" s="107">
        <v>-149.59947366200001</v>
      </c>
      <c r="F481" s="107">
        <v>747</v>
      </c>
      <c r="G481" s="107" t="s">
        <v>469</v>
      </c>
      <c r="H481" s="107" t="s">
        <v>1447</v>
      </c>
      <c r="I481" s="107" t="s">
        <v>1448</v>
      </c>
      <c r="J481" s="107" t="s">
        <v>484</v>
      </c>
      <c r="K481" s="107" t="s">
        <v>458</v>
      </c>
      <c r="L481" s="107" t="s">
        <v>458</v>
      </c>
      <c r="M481" s="113" t="str">
        <f t="shared" si="10"/>
        <v>View on Google Map</v>
      </c>
    </row>
    <row r="482" spans="1:13" x14ac:dyDescent="0.2">
      <c r="A482" s="107">
        <v>499</v>
      </c>
      <c r="B482" s="107" t="s">
        <v>1449</v>
      </c>
      <c r="C482" s="107" t="s">
        <v>458</v>
      </c>
      <c r="D482" s="107">
        <v>68.829610000000002</v>
      </c>
      <c r="E482" s="107">
        <v>-149.77901</v>
      </c>
      <c r="F482" s="107">
        <v>633</v>
      </c>
      <c r="G482" s="107" t="s">
        <v>469</v>
      </c>
      <c r="H482" s="107" t="s">
        <v>1450</v>
      </c>
      <c r="I482" s="107" t="s">
        <v>1451</v>
      </c>
      <c r="J482" s="107" t="s">
        <v>470</v>
      </c>
      <c r="K482" s="107" t="s">
        <v>458</v>
      </c>
      <c r="L482" s="107" t="s">
        <v>458</v>
      </c>
      <c r="M482" s="113" t="str">
        <f t="shared" si="10"/>
        <v>View on Google Map</v>
      </c>
    </row>
    <row r="483" spans="1:13" x14ac:dyDescent="0.2">
      <c r="A483" s="107">
        <v>500</v>
      </c>
      <c r="B483" s="107" t="s">
        <v>1452</v>
      </c>
      <c r="C483" s="107" t="s">
        <v>458</v>
      </c>
      <c r="D483" s="107">
        <v>68.832999999999998</v>
      </c>
      <c r="E483" s="107">
        <v>-149.76808</v>
      </c>
      <c r="F483" s="107">
        <v>624</v>
      </c>
      <c r="G483" s="107" t="s">
        <v>469</v>
      </c>
      <c r="H483" s="107" t="s">
        <v>1453</v>
      </c>
      <c r="I483" s="107" t="s">
        <v>1454</v>
      </c>
      <c r="J483" s="107" t="s">
        <v>470</v>
      </c>
      <c r="K483" s="107" t="s">
        <v>458</v>
      </c>
      <c r="L483" s="107" t="s">
        <v>458</v>
      </c>
      <c r="M483" s="113" t="str">
        <f t="shared" si="10"/>
        <v>View on Google Map</v>
      </c>
    </row>
    <row r="484" spans="1:13" x14ac:dyDescent="0.2">
      <c r="A484" s="107">
        <v>501</v>
      </c>
      <c r="B484" s="107" t="s">
        <v>1455</v>
      </c>
      <c r="C484" s="107" t="s">
        <v>458</v>
      </c>
      <c r="D484" s="107">
        <v>68.828299999999999</v>
      </c>
      <c r="E484" s="107">
        <v>-149.76473999999999</v>
      </c>
      <c r="F484" s="107">
        <v>624</v>
      </c>
      <c r="G484" s="107" t="s">
        <v>469</v>
      </c>
      <c r="H484" s="107" t="s">
        <v>1456</v>
      </c>
      <c r="I484" s="107" t="s">
        <v>1457</v>
      </c>
      <c r="J484" s="107" t="s">
        <v>470</v>
      </c>
      <c r="K484" s="107" t="s">
        <v>458</v>
      </c>
      <c r="L484" s="107" t="s">
        <v>458</v>
      </c>
      <c r="M484" s="113" t="str">
        <f t="shared" si="10"/>
        <v>View on Google Map</v>
      </c>
    </row>
    <row r="485" spans="1:13" x14ac:dyDescent="0.2">
      <c r="A485" s="107">
        <v>502</v>
      </c>
      <c r="B485" s="107" t="s">
        <v>1458</v>
      </c>
      <c r="C485" s="107" t="s">
        <v>458</v>
      </c>
      <c r="D485" s="107">
        <v>68.826520000000002</v>
      </c>
      <c r="E485" s="107">
        <v>-149.75897000000001</v>
      </c>
      <c r="F485" s="107">
        <v>592</v>
      </c>
      <c r="G485" s="107" t="s">
        <v>469</v>
      </c>
      <c r="H485" s="107" t="s">
        <v>1459</v>
      </c>
      <c r="I485" s="107" t="s">
        <v>1460</v>
      </c>
      <c r="J485" s="107" t="s">
        <v>470</v>
      </c>
      <c r="K485" s="107" t="s">
        <v>458</v>
      </c>
      <c r="L485" s="107" t="s">
        <v>458</v>
      </c>
      <c r="M485" s="113" t="str">
        <f t="shared" si="10"/>
        <v>View on Google Map</v>
      </c>
    </row>
    <row r="486" spans="1:13" x14ac:dyDescent="0.2">
      <c r="A486" s="107">
        <v>503</v>
      </c>
      <c r="B486" s="107" t="s">
        <v>1461</v>
      </c>
      <c r="C486" s="107" t="s">
        <v>458</v>
      </c>
      <c r="D486" s="107">
        <v>68.827259999999995</v>
      </c>
      <c r="E486" s="107">
        <v>-149.75089</v>
      </c>
      <c r="F486" s="107">
        <v>592</v>
      </c>
      <c r="G486" s="107" t="s">
        <v>469</v>
      </c>
      <c r="H486" s="107" t="s">
        <v>1462</v>
      </c>
      <c r="I486" s="107" t="s">
        <v>1463</v>
      </c>
      <c r="J486" s="107" t="s">
        <v>470</v>
      </c>
      <c r="K486" s="107" t="s">
        <v>458</v>
      </c>
      <c r="L486" s="107" t="s">
        <v>458</v>
      </c>
      <c r="M486" s="113" t="str">
        <f t="shared" si="10"/>
        <v>View on Google Map</v>
      </c>
    </row>
    <row r="487" spans="1:13" x14ac:dyDescent="0.2">
      <c r="A487" s="107">
        <v>488</v>
      </c>
      <c r="B487" s="107" t="s">
        <v>1464</v>
      </c>
      <c r="C487" s="107" t="s">
        <v>458</v>
      </c>
      <c r="D487" s="107">
        <v>69.329949999999997</v>
      </c>
      <c r="E487" s="107">
        <v>-150.95275000000001</v>
      </c>
      <c r="F487" s="107">
        <v>127</v>
      </c>
      <c r="G487" s="107" t="s">
        <v>469</v>
      </c>
      <c r="H487" s="107" t="s">
        <v>458</v>
      </c>
      <c r="I487" s="107" t="s">
        <v>458</v>
      </c>
      <c r="J487" s="107" t="s">
        <v>519</v>
      </c>
      <c r="K487" s="107" t="s">
        <v>458</v>
      </c>
      <c r="L487" s="107" t="s">
        <v>466</v>
      </c>
      <c r="M487" s="113" t="str">
        <f t="shared" si="10"/>
        <v>View on Google Map</v>
      </c>
    </row>
    <row r="488" spans="1:13" x14ac:dyDescent="0.2">
      <c r="A488" s="107">
        <v>489</v>
      </c>
      <c r="B488" s="107" t="s">
        <v>1465</v>
      </c>
      <c r="C488" s="107" t="s">
        <v>458</v>
      </c>
      <c r="D488" s="107" t="s">
        <v>458</v>
      </c>
      <c r="E488" s="107" t="s">
        <v>458</v>
      </c>
      <c r="F488" s="107">
        <v>127</v>
      </c>
      <c r="G488" s="107" t="s">
        <v>483</v>
      </c>
      <c r="H488" s="107" t="s">
        <v>458</v>
      </c>
      <c r="I488" s="107" t="s">
        <v>458</v>
      </c>
      <c r="J488" s="107" t="s">
        <v>519</v>
      </c>
      <c r="K488" s="107" t="s">
        <v>458</v>
      </c>
      <c r="L488" s="107" t="s">
        <v>466</v>
      </c>
      <c r="M488" s="113" t="str">
        <f t="shared" si="10"/>
        <v>View on Google Map</v>
      </c>
    </row>
    <row r="489" spans="1:13" x14ac:dyDescent="0.2">
      <c r="A489" s="107">
        <v>490</v>
      </c>
      <c r="B489" s="107" t="s">
        <v>1466</v>
      </c>
      <c r="C489" s="107" t="s">
        <v>458</v>
      </c>
      <c r="D489" s="107" t="s">
        <v>458</v>
      </c>
      <c r="E489" s="107" t="s">
        <v>458</v>
      </c>
      <c r="F489" s="107">
        <v>127</v>
      </c>
      <c r="G489" s="107" t="s">
        <v>469</v>
      </c>
      <c r="H489" s="107" t="s">
        <v>458</v>
      </c>
      <c r="I489" s="107" t="s">
        <v>458</v>
      </c>
      <c r="J489" s="107" t="s">
        <v>519</v>
      </c>
      <c r="K489" s="107" t="s">
        <v>458</v>
      </c>
      <c r="L489" s="107" t="s">
        <v>466</v>
      </c>
      <c r="M489" s="113" t="str">
        <f t="shared" si="10"/>
        <v>View on Google Map</v>
      </c>
    </row>
    <row r="490" spans="1:13" x14ac:dyDescent="0.2">
      <c r="A490" s="107">
        <v>34</v>
      </c>
      <c r="B490" s="107" t="s">
        <v>1467</v>
      </c>
      <c r="C490" s="107" t="s">
        <v>458</v>
      </c>
      <c r="D490" s="107">
        <v>69.057400000000001</v>
      </c>
      <c r="E490" s="107">
        <v>-150.39599999999999</v>
      </c>
      <c r="F490" s="107">
        <v>274</v>
      </c>
      <c r="G490" s="107" t="s">
        <v>483</v>
      </c>
      <c r="H490" s="107" t="s">
        <v>458</v>
      </c>
      <c r="I490" s="107" t="s">
        <v>458</v>
      </c>
      <c r="J490" s="107" t="s">
        <v>519</v>
      </c>
      <c r="K490" s="107" t="s">
        <v>458</v>
      </c>
      <c r="L490" s="107" t="s">
        <v>466</v>
      </c>
      <c r="M490" s="113" t="str">
        <f t="shared" si="10"/>
        <v>View on Google Map</v>
      </c>
    </row>
    <row r="491" spans="1:13" x14ac:dyDescent="0.2">
      <c r="A491" s="107">
        <v>45</v>
      </c>
      <c r="B491" s="107" t="s">
        <v>1468</v>
      </c>
      <c r="C491" s="107" t="s">
        <v>458</v>
      </c>
      <c r="D491" s="107">
        <v>69.063298000000003</v>
      </c>
      <c r="E491" s="107">
        <v>-150.394711</v>
      </c>
      <c r="F491" s="107" t="s">
        <v>458</v>
      </c>
      <c r="G491" s="107" t="s">
        <v>483</v>
      </c>
      <c r="H491" s="107" t="s">
        <v>458</v>
      </c>
      <c r="I491" s="107" t="s">
        <v>458</v>
      </c>
      <c r="J491" s="107" t="s">
        <v>1469</v>
      </c>
      <c r="K491" s="107" t="s">
        <v>458</v>
      </c>
      <c r="L491" s="107" t="s">
        <v>466</v>
      </c>
      <c r="M491" s="113" t="str">
        <f t="shared" si="10"/>
        <v>View on Google Map</v>
      </c>
    </row>
    <row r="492" spans="1:13" x14ac:dyDescent="0.2">
      <c r="B492" s="107" t="s">
        <v>1470</v>
      </c>
      <c r="C492" s="107" t="s">
        <v>1471</v>
      </c>
      <c r="D492" s="107">
        <v>69.138333333333335</v>
      </c>
      <c r="E492" s="107">
        <v>-150.64916666666701</v>
      </c>
      <c r="G492" s="107" t="s">
        <v>477</v>
      </c>
      <c r="J492" s="107" t="s">
        <v>465</v>
      </c>
      <c r="L492" s="107" t="s">
        <v>466</v>
      </c>
      <c r="M492" s="113" t="str">
        <f t="shared" si="10"/>
        <v>View on Google Map</v>
      </c>
    </row>
    <row r="493" spans="1:13" x14ac:dyDescent="0.2">
      <c r="B493" s="107" t="s">
        <v>1472</v>
      </c>
      <c r="C493" s="107" t="s">
        <v>855</v>
      </c>
      <c r="D493" s="107">
        <v>69.152500000000003</v>
      </c>
      <c r="E493" s="107">
        <v>-150.706111111111</v>
      </c>
      <c r="G493" s="107" t="s">
        <v>477</v>
      </c>
      <c r="J493" s="107" t="s">
        <v>465</v>
      </c>
      <c r="L493" s="107" t="s">
        <v>466</v>
      </c>
      <c r="M493" s="113" t="str">
        <f t="shared" si="10"/>
        <v>View on Google Map</v>
      </c>
    </row>
    <row r="494" spans="1:13" x14ac:dyDescent="0.2">
      <c r="A494" s="107">
        <v>35</v>
      </c>
      <c r="B494" s="107" t="s">
        <v>1473</v>
      </c>
      <c r="C494" s="107" t="s">
        <v>458</v>
      </c>
      <c r="D494" s="107">
        <v>69.063333333333333</v>
      </c>
      <c r="E494" s="107">
        <v>-150.39333333333335</v>
      </c>
      <c r="F494" s="107">
        <v>281</v>
      </c>
      <c r="G494" s="107" t="s">
        <v>483</v>
      </c>
      <c r="H494" s="107" t="s">
        <v>458</v>
      </c>
      <c r="I494" s="107" t="s">
        <v>458</v>
      </c>
      <c r="J494" s="107" t="s">
        <v>519</v>
      </c>
      <c r="K494" s="107" t="s">
        <v>458</v>
      </c>
      <c r="L494" s="107" t="s">
        <v>466</v>
      </c>
      <c r="M494" s="113" t="str">
        <f t="shared" si="10"/>
        <v>View on Google Map</v>
      </c>
    </row>
    <row r="495" spans="1:13" x14ac:dyDescent="0.2">
      <c r="A495" s="107">
        <v>161</v>
      </c>
      <c r="B495" s="107" t="s">
        <v>1474</v>
      </c>
      <c r="C495" s="107" t="s">
        <v>1475</v>
      </c>
      <c r="D495" s="107">
        <v>68.599999999999994</v>
      </c>
      <c r="E495" s="107">
        <v>-149.18333333333334</v>
      </c>
      <c r="F495" s="107">
        <v>876</v>
      </c>
      <c r="G495" s="107" t="s">
        <v>469</v>
      </c>
      <c r="H495" s="107" t="s">
        <v>1476</v>
      </c>
      <c r="I495" s="107" t="s">
        <v>458</v>
      </c>
      <c r="J495" s="107" t="s">
        <v>484</v>
      </c>
      <c r="K495" s="107" t="s">
        <v>458</v>
      </c>
      <c r="L495" s="107" t="s">
        <v>485</v>
      </c>
      <c r="M495" s="113" t="str">
        <f t="shared" si="10"/>
        <v>View on Google Map</v>
      </c>
    </row>
    <row r="496" spans="1:13" x14ac:dyDescent="0.2">
      <c r="A496" s="107">
        <v>162</v>
      </c>
      <c r="B496" s="107" t="s">
        <v>1477</v>
      </c>
      <c r="C496" s="107" t="s">
        <v>1475</v>
      </c>
      <c r="D496" s="107">
        <v>68.583333333333329</v>
      </c>
      <c r="E496" s="107">
        <v>-149.19999999999999</v>
      </c>
      <c r="F496" s="107">
        <v>892</v>
      </c>
      <c r="G496" s="107" t="s">
        <v>469</v>
      </c>
      <c r="H496" s="107" t="s">
        <v>1478</v>
      </c>
      <c r="I496" s="107" t="s">
        <v>458</v>
      </c>
      <c r="J496" s="107" t="s">
        <v>484</v>
      </c>
      <c r="K496" s="107" t="s">
        <v>458</v>
      </c>
      <c r="L496" s="107" t="s">
        <v>485</v>
      </c>
      <c r="M496" s="113" t="str">
        <f t="shared" si="10"/>
        <v>View on Google Map</v>
      </c>
    </row>
    <row r="497" spans="1:13" x14ac:dyDescent="0.2">
      <c r="A497" s="107">
        <v>163</v>
      </c>
      <c r="B497" s="107" t="s">
        <v>1479</v>
      </c>
      <c r="C497" s="107" t="s">
        <v>1475</v>
      </c>
      <c r="D497" s="107">
        <v>68.599999999999994</v>
      </c>
      <c r="E497" s="107">
        <v>-149.16666666666666</v>
      </c>
      <c r="F497" s="107">
        <v>876</v>
      </c>
      <c r="G497" s="107" t="s">
        <v>469</v>
      </c>
      <c r="H497" s="107" t="s">
        <v>1480</v>
      </c>
      <c r="I497" s="107" t="s">
        <v>458</v>
      </c>
      <c r="J497" s="107" t="s">
        <v>484</v>
      </c>
      <c r="K497" s="107" t="s">
        <v>458</v>
      </c>
      <c r="L497" s="107" t="s">
        <v>485</v>
      </c>
      <c r="M497" s="113" t="str">
        <f t="shared" si="10"/>
        <v>View on Google Map</v>
      </c>
    </row>
    <row r="498" spans="1:13" x14ac:dyDescent="0.2">
      <c r="A498" s="107">
        <v>5</v>
      </c>
      <c r="B498" s="107" t="s">
        <v>1481</v>
      </c>
      <c r="C498" s="107" t="s">
        <v>1070</v>
      </c>
      <c r="D498" s="107">
        <v>68.671486221999999</v>
      </c>
      <c r="E498" s="107">
        <v>-149.1281271</v>
      </c>
      <c r="F498" s="107">
        <v>761.75599999999997</v>
      </c>
      <c r="G498" s="107" t="s">
        <v>995</v>
      </c>
      <c r="J498" s="18" t="s">
        <v>484</v>
      </c>
      <c r="M498" s="113" t="str">
        <f t="shared" si="10"/>
        <v>View on Google Map</v>
      </c>
    </row>
    <row r="499" spans="1:13" x14ac:dyDescent="0.2">
      <c r="A499" s="107">
        <v>5</v>
      </c>
      <c r="B499" s="107" t="s">
        <v>1482</v>
      </c>
      <c r="C499" s="107" t="s">
        <v>1070</v>
      </c>
      <c r="D499" s="107">
        <v>68.671371694000001</v>
      </c>
      <c r="E499" s="107">
        <v>-149.131155484</v>
      </c>
      <c r="F499" s="107">
        <v>763.88099999999997</v>
      </c>
      <c r="G499" s="107" t="s">
        <v>995</v>
      </c>
      <c r="J499" s="18" t="s">
        <v>484</v>
      </c>
      <c r="M499" s="113" t="str">
        <f t="shared" si="10"/>
        <v>View on Google Map</v>
      </c>
    </row>
    <row r="500" spans="1:13" x14ac:dyDescent="0.2">
      <c r="A500" s="107">
        <v>5</v>
      </c>
      <c r="B500" s="107" t="s">
        <v>1483</v>
      </c>
      <c r="C500" s="107" t="s">
        <v>1070</v>
      </c>
      <c r="D500" s="107">
        <v>68.671018009999997</v>
      </c>
      <c r="E500" s="107">
        <v>-149.13789268599999</v>
      </c>
      <c r="F500" s="107">
        <v>764.53700000000003</v>
      </c>
      <c r="G500" s="107" t="s">
        <v>995</v>
      </c>
      <c r="J500" s="18" t="s">
        <v>484</v>
      </c>
      <c r="M500" s="113" t="str">
        <f t="shared" si="10"/>
        <v>View on Google Map</v>
      </c>
    </row>
    <row r="501" spans="1:13" x14ac:dyDescent="0.2">
      <c r="A501" s="107">
        <v>5</v>
      </c>
      <c r="B501" s="107" t="s">
        <v>1484</v>
      </c>
      <c r="C501" s="107" t="s">
        <v>1080</v>
      </c>
      <c r="D501" s="107">
        <v>68.677193270000004</v>
      </c>
      <c r="E501" s="107">
        <v>-149.121792258</v>
      </c>
      <c r="F501" s="107">
        <v>763.74300000000005</v>
      </c>
      <c r="G501" s="107" t="s">
        <v>995</v>
      </c>
      <c r="J501" s="18" t="s">
        <v>484</v>
      </c>
      <c r="M501" s="113" t="str">
        <f t="shared" si="10"/>
        <v>View on Google Map</v>
      </c>
    </row>
    <row r="502" spans="1:13" x14ac:dyDescent="0.2">
      <c r="A502" s="107">
        <v>5</v>
      </c>
      <c r="B502" s="107" t="s">
        <v>1485</v>
      </c>
      <c r="C502" s="107" t="s">
        <v>1080</v>
      </c>
      <c r="D502" s="107">
        <v>68.679780992000005</v>
      </c>
      <c r="E502" s="107">
        <v>-149.114206438</v>
      </c>
      <c r="F502" s="107">
        <v>762.678</v>
      </c>
      <c r="G502" s="107" t="s">
        <v>995</v>
      </c>
      <c r="J502" s="18" t="s">
        <v>484</v>
      </c>
      <c r="M502" s="113" t="str">
        <f t="shared" si="10"/>
        <v>View on Google Map</v>
      </c>
    </row>
    <row r="503" spans="1:13" x14ac:dyDescent="0.2">
      <c r="A503" s="107">
        <v>5</v>
      </c>
      <c r="B503" s="107" t="s">
        <v>1486</v>
      </c>
      <c r="C503" s="107" t="s">
        <v>482</v>
      </c>
      <c r="D503" s="107">
        <v>68.687399999999997</v>
      </c>
      <c r="E503" s="107">
        <v>-149.095</v>
      </c>
      <c r="F503" s="107">
        <v>754</v>
      </c>
      <c r="G503" s="107" t="s">
        <v>483</v>
      </c>
      <c r="H503" s="107" t="s">
        <v>1487</v>
      </c>
      <c r="I503" s="107" t="s">
        <v>1488</v>
      </c>
      <c r="J503" s="107" t="s">
        <v>484</v>
      </c>
      <c r="K503" s="107" t="s">
        <v>458</v>
      </c>
      <c r="L503" s="107" t="s">
        <v>485</v>
      </c>
      <c r="M503" s="113" t="str">
        <f t="shared" si="10"/>
        <v>View on Google Map</v>
      </c>
    </row>
    <row r="504" spans="1:13" x14ac:dyDescent="0.2">
      <c r="A504" s="107">
        <v>5</v>
      </c>
      <c r="B504" s="107" t="s">
        <v>1489</v>
      </c>
      <c r="C504" s="107" t="s">
        <v>1100</v>
      </c>
      <c r="D504" s="107">
        <v>68.672870447999998</v>
      </c>
      <c r="E504" s="107">
        <v>-149.124843486</v>
      </c>
      <c r="G504" s="107" t="s">
        <v>995</v>
      </c>
      <c r="J504" s="18" t="s">
        <v>484</v>
      </c>
      <c r="M504" s="113" t="str">
        <f t="shared" si="10"/>
        <v>View on Google Map</v>
      </c>
    </row>
    <row r="505" spans="1:13" x14ac:dyDescent="0.2">
      <c r="A505" s="107">
        <v>5</v>
      </c>
      <c r="B505" s="107" t="s">
        <v>1490</v>
      </c>
      <c r="C505" s="107" t="s">
        <v>1491</v>
      </c>
      <c r="D505" s="107">
        <v>68.686037823000007</v>
      </c>
      <c r="E505" s="107">
        <v>-149.0990032</v>
      </c>
      <c r="G505" s="107" t="s">
        <v>995</v>
      </c>
      <c r="J505" s="18" t="s">
        <v>484</v>
      </c>
      <c r="M505" s="113" t="str">
        <f t="shared" si="10"/>
        <v>View on Google Map</v>
      </c>
    </row>
    <row r="506" spans="1:13" x14ac:dyDescent="0.2">
      <c r="A506" s="107">
        <v>491</v>
      </c>
      <c r="B506" s="107" t="s">
        <v>1492</v>
      </c>
      <c r="C506" s="107" t="s">
        <v>458</v>
      </c>
      <c r="D506" s="107">
        <v>68.941266666999994</v>
      </c>
      <c r="E506" s="107">
        <v>-150.5068</v>
      </c>
      <c r="F506" s="107">
        <v>408</v>
      </c>
      <c r="G506" s="107" t="s">
        <v>469</v>
      </c>
      <c r="H506" s="107" t="s">
        <v>1493</v>
      </c>
      <c r="I506" s="107" t="s">
        <v>458</v>
      </c>
      <c r="J506" s="107" t="s">
        <v>519</v>
      </c>
      <c r="K506" s="107" t="s">
        <v>458</v>
      </c>
      <c r="L506" s="107" t="s">
        <v>466</v>
      </c>
      <c r="M506" s="113" t="str">
        <f t="shared" si="10"/>
        <v>View on Google Map</v>
      </c>
    </row>
    <row r="507" spans="1:13" x14ac:dyDescent="0.2">
      <c r="A507" s="107">
        <v>492</v>
      </c>
      <c r="B507" s="107" t="s">
        <v>1494</v>
      </c>
      <c r="C507" s="107" t="s">
        <v>458</v>
      </c>
      <c r="D507" s="107" t="s">
        <v>458</v>
      </c>
      <c r="E507" s="107" t="s">
        <v>458</v>
      </c>
      <c r="F507" s="107">
        <v>408</v>
      </c>
      <c r="G507" s="107" t="s">
        <v>469</v>
      </c>
      <c r="H507" s="107" t="s">
        <v>1495</v>
      </c>
      <c r="I507" s="107" t="s">
        <v>458</v>
      </c>
      <c r="J507" s="107" t="s">
        <v>519</v>
      </c>
      <c r="K507" s="107" t="s">
        <v>458</v>
      </c>
      <c r="L507" s="107" t="s">
        <v>466</v>
      </c>
      <c r="M507" s="113" t="str">
        <f t="shared" si="10"/>
        <v>View on Google Map</v>
      </c>
    </row>
    <row r="508" spans="1:13" x14ac:dyDescent="0.2">
      <c r="A508" s="107">
        <v>1172</v>
      </c>
      <c r="B508" s="107" t="s">
        <v>1496</v>
      </c>
      <c r="C508" s="107" t="s">
        <v>458</v>
      </c>
      <c r="D508" s="107">
        <v>68.99666666666667</v>
      </c>
      <c r="E508" s="107">
        <v>-150.21249999999998</v>
      </c>
      <c r="F508" s="107" t="s">
        <v>458</v>
      </c>
      <c r="G508" s="107" t="s">
        <v>459</v>
      </c>
      <c r="H508" s="107" t="s">
        <v>1497</v>
      </c>
      <c r="I508" s="107" t="s">
        <v>458</v>
      </c>
      <c r="J508" s="107" t="s">
        <v>465</v>
      </c>
      <c r="K508" s="107" t="s">
        <v>458</v>
      </c>
      <c r="L508" s="107" t="s">
        <v>466</v>
      </c>
      <c r="M508" s="113" t="str">
        <f t="shared" si="10"/>
        <v>View on Google Map</v>
      </c>
    </row>
    <row r="509" spans="1:13" x14ac:dyDescent="0.2">
      <c r="A509" s="107">
        <v>493</v>
      </c>
      <c r="B509" s="107" t="s">
        <v>1498</v>
      </c>
      <c r="C509" s="107" t="s">
        <v>458</v>
      </c>
      <c r="D509" s="107">
        <v>68.974933332999996</v>
      </c>
      <c r="E509" s="107">
        <v>-150.221066667</v>
      </c>
      <c r="F509" s="107">
        <v>364</v>
      </c>
      <c r="G509" s="107" t="s">
        <v>469</v>
      </c>
      <c r="H509" s="107" t="s">
        <v>458</v>
      </c>
      <c r="I509" s="107" t="s">
        <v>458</v>
      </c>
      <c r="J509" s="107" t="s">
        <v>519</v>
      </c>
      <c r="K509" s="107" t="s">
        <v>458</v>
      </c>
      <c r="L509" s="107" t="s">
        <v>466</v>
      </c>
      <c r="M509" s="113" t="str">
        <f t="shared" si="10"/>
        <v>View on Google Map</v>
      </c>
    </row>
    <row r="510" spans="1:13" x14ac:dyDescent="0.2">
      <c r="A510" s="107">
        <v>405</v>
      </c>
      <c r="B510" s="107" t="s">
        <v>1499</v>
      </c>
      <c r="C510" s="107" t="s">
        <v>458</v>
      </c>
      <c r="D510" s="107" t="s">
        <v>458</v>
      </c>
      <c r="E510" s="107" t="s">
        <v>458</v>
      </c>
      <c r="F510" s="107" t="s">
        <v>458</v>
      </c>
      <c r="G510" s="107" t="s">
        <v>469</v>
      </c>
      <c r="H510" s="107" t="s">
        <v>458</v>
      </c>
      <c r="I510" s="107" t="s">
        <v>458</v>
      </c>
      <c r="J510" s="107" t="s">
        <v>484</v>
      </c>
      <c r="K510" s="107" t="s">
        <v>458</v>
      </c>
      <c r="L510" s="107" t="s">
        <v>640</v>
      </c>
      <c r="M510" s="113" t="str">
        <f t="shared" si="10"/>
        <v>View on Google Map</v>
      </c>
    </row>
    <row r="511" spans="1:13" x14ac:dyDescent="0.2">
      <c r="A511" s="107">
        <v>505</v>
      </c>
      <c r="B511" s="107" t="s">
        <v>1500</v>
      </c>
      <c r="C511" s="107" t="s">
        <v>458</v>
      </c>
      <c r="D511" s="107">
        <v>68.921059</v>
      </c>
      <c r="E511" s="107">
        <v>-150.34784300000001</v>
      </c>
      <c r="F511" s="107" t="s">
        <v>458</v>
      </c>
      <c r="G511" s="107" t="s">
        <v>469</v>
      </c>
      <c r="H511" s="107" t="s">
        <v>458</v>
      </c>
      <c r="I511" s="107" t="s">
        <v>458</v>
      </c>
      <c r="J511" s="107" t="s">
        <v>519</v>
      </c>
      <c r="K511" s="107" t="s">
        <v>458</v>
      </c>
      <c r="L511" s="107" t="s">
        <v>466</v>
      </c>
      <c r="M511" s="113" t="str">
        <f t="shared" si="10"/>
        <v>View on Google Map</v>
      </c>
    </row>
    <row r="512" spans="1:13" x14ac:dyDescent="0.2">
      <c r="A512" s="107">
        <v>506</v>
      </c>
      <c r="B512" s="107" t="s">
        <v>1501</v>
      </c>
      <c r="C512" s="107" t="s">
        <v>458</v>
      </c>
      <c r="D512" s="107">
        <v>68.921186000000006</v>
      </c>
      <c r="E512" s="107">
        <v>-150.37015</v>
      </c>
      <c r="F512" s="107" t="s">
        <v>458</v>
      </c>
      <c r="G512" s="107" t="s">
        <v>469</v>
      </c>
      <c r="H512" s="107" t="s">
        <v>458</v>
      </c>
      <c r="I512" s="107" t="s">
        <v>458</v>
      </c>
      <c r="J512" s="107" t="s">
        <v>519</v>
      </c>
      <c r="K512" s="107" t="s">
        <v>458</v>
      </c>
      <c r="L512" s="107" t="s">
        <v>466</v>
      </c>
      <c r="M512" s="113" t="str">
        <f t="shared" si="10"/>
        <v>View on Google Map</v>
      </c>
    </row>
    <row r="513" spans="1:13" x14ac:dyDescent="0.2">
      <c r="A513" s="107">
        <v>507</v>
      </c>
      <c r="B513" s="107" t="s">
        <v>1502</v>
      </c>
      <c r="C513" s="107" t="s">
        <v>458</v>
      </c>
      <c r="D513" s="107">
        <v>68.936953000000003</v>
      </c>
      <c r="E513" s="107">
        <v>-150.35309699999999</v>
      </c>
      <c r="F513" s="107" t="s">
        <v>458</v>
      </c>
      <c r="G513" s="107" t="s">
        <v>469</v>
      </c>
      <c r="H513" s="107" t="s">
        <v>458</v>
      </c>
      <c r="I513" s="107" t="s">
        <v>458</v>
      </c>
      <c r="J513" s="107" t="s">
        <v>519</v>
      </c>
      <c r="K513" s="107" t="s">
        <v>458</v>
      </c>
      <c r="L513" s="107" t="s">
        <v>466</v>
      </c>
      <c r="M513" s="113" t="str">
        <f t="shared" si="10"/>
        <v>View on Google Map</v>
      </c>
    </row>
    <row r="514" spans="1:13" x14ac:dyDescent="0.2">
      <c r="A514" s="107">
        <v>12</v>
      </c>
      <c r="B514" s="107" t="s">
        <v>1503</v>
      </c>
      <c r="C514" s="107" t="s">
        <v>458</v>
      </c>
      <c r="D514" s="107" t="s">
        <v>458</v>
      </c>
      <c r="E514" s="107" t="s">
        <v>458</v>
      </c>
      <c r="F514" s="107" t="s">
        <v>458</v>
      </c>
      <c r="G514" s="107" t="s">
        <v>483</v>
      </c>
      <c r="H514" s="107" t="s">
        <v>458</v>
      </c>
      <c r="I514" s="107" t="s">
        <v>458</v>
      </c>
      <c r="J514" s="107" t="s">
        <v>484</v>
      </c>
      <c r="K514" s="107" t="s">
        <v>458</v>
      </c>
      <c r="L514" s="107" t="s">
        <v>458</v>
      </c>
      <c r="M514" s="113" t="str">
        <f t="shared" si="10"/>
        <v>View on Google Map</v>
      </c>
    </row>
    <row r="515" spans="1:13" x14ac:dyDescent="0.2">
      <c r="A515" s="107">
        <v>4</v>
      </c>
      <c r="B515" s="107" t="s">
        <v>1504</v>
      </c>
      <c r="C515" s="107" t="s">
        <v>482</v>
      </c>
      <c r="D515" s="107">
        <v>68.38333333333334</v>
      </c>
      <c r="E515" s="107">
        <v>-149.31666666666666</v>
      </c>
      <c r="F515" s="107">
        <v>869</v>
      </c>
      <c r="G515" s="107" t="s">
        <v>483</v>
      </c>
      <c r="H515" s="107" t="s">
        <v>1505</v>
      </c>
      <c r="I515" s="107" t="s">
        <v>1506</v>
      </c>
      <c r="J515" s="107" t="s">
        <v>484</v>
      </c>
      <c r="K515" s="107" t="s">
        <v>458</v>
      </c>
      <c r="L515" s="107" t="s">
        <v>485</v>
      </c>
      <c r="M515" s="113" t="str">
        <f t="shared" ref="M515:M578" si="11">HYPERLINK("http://maps.google.com/maps?q="&amp;D515&amp;","&amp;E515,"View on Google Map")</f>
        <v>View on Google Map</v>
      </c>
    </row>
    <row r="516" spans="1:13" x14ac:dyDescent="0.2">
      <c r="A516" s="107">
        <v>148</v>
      </c>
      <c r="B516" s="107" t="s">
        <v>1507</v>
      </c>
      <c r="C516" s="107" t="s">
        <v>458</v>
      </c>
      <c r="D516" s="107">
        <v>68.624535966600007</v>
      </c>
      <c r="E516" s="107">
        <v>-149.60216609099999</v>
      </c>
      <c r="F516" s="107">
        <v>720</v>
      </c>
      <c r="G516" s="107" t="s">
        <v>469</v>
      </c>
      <c r="H516" s="107" t="s">
        <v>458</v>
      </c>
      <c r="I516" s="107" t="s">
        <v>458</v>
      </c>
      <c r="J516" s="107" t="s">
        <v>484</v>
      </c>
      <c r="K516" s="107" t="s">
        <v>458</v>
      </c>
      <c r="L516" s="107" t="s">
        <v>458</v>
      </c>
      <c r="M516" s="113" t="str">
        <f t="shared" si="11"/>
        <v>View on Google Map</v>
      </c>
    </row>
    <row r="517" spans="1:13" x14ac:dyDescent="0.2">
      <c r="A517" s="107">
        <v>241</v>
      </c>
      <c r="B517" s="107" t="s">
        <v>1507</v>
      </c>
      <c r="C517" s="107" t="s">
        <v>458</v>
      </c>
      <c r="D517" s="107">
        <v>68.624535966600007</v>
      </c>
      <c r="E517" s="107">
        <v>-149.60216609099999</v>
      </c>
      <c r="F517" s="107" t="s">
        <v>458</v>
      </c>
      <c r="G517" s="107" t="s">
        <v>469</v>
      </c>
      <c r="H517" s="107" t="s">
        <v>458</v>
      </c>
      <c r="I517" s="107" t="s">
        <v>458</v>
      </c>
      <c r="J517" s="107" t="s">
        <v>484</v>
      </c>
      <c r="K517" s="107" t="s">
        <v>458</v>
      </c>
      <c r="L517" s="107" t="s">
        <v>458</v>
      </c>
      <c r="M517" s="113" t="str">
        <f t="shared" si="11"/>
        <v>View on Google Map</v>
      </c>
    </row>
    <row r="518" spans="1:13" x14ac:dyDescent="0.2">
      <c r="A518" s="107">
        <v>149</v>
      </c>
      <c r="B518" s="107" t="s">
        <v>1508</v>
      </c>
      <c r="C518" s="107" t="s">
        <v>458</v>
      </c>
      <c r="D518" s="107">
        <v>68.627169078600005</v>
      </c>
      <c r="E518" s="107">
        <v>-149.61135296200001</v>
      </c>
      <c r="F518" s="107">
        <v>720</v>
      </c>
      <c r="G518" s="107" t="s">
        <v>469</v>
      </c>
      <c r="H518" s="107" t="s">
        <v>458</v>
      </c>
      <c r="I518" s="107" t="s">
        <v>458</v>
      </c>
      <c r="J518" s="107" t="s">
        <v>484</v>
      </c>
      <c r="K518" s="107" t="s">
        <v>458</v>
      </c>
      <c r="L518" s="107" t="s">
        <v>458</v>
      </c>
      <c r="M518" s="113" t="str">
        <f t="shared" si="11"/>
        <v>View on Google Map</v>
      </c>
    </row>
    <row r="519" spans="1:13" x14ac:dyDescent="0.2">
      <c r="A519" s="107">
        <v>150</v>
      </c>
      <c r="B519" s="107" t="s">
        <v>1509</v>
      </c>
      <c r="C519" s="107" t="s">
        <v>458</v>
      </c>
      <c r="D519" s="107">
        <v>68.628818623300006</v>
      </c>
      <c r="E519" s="107">
        <v>-149.62482197599999</v>
      </c>
      <c r="F519" s="107">
        <v>720</v>
      </c>
      <c r="G519" s="107" t="s">
        <v>469</v>
      </c>
      <c r="H519" s="107" t="s">
        <v>458</v>
      </c>
      <c r="I519" s="107" t="s">
        <v>458</v>
      </c>
      <c r="J519" s="107" t="s">
        <v>484</v>
      </c>
      <c r="K519" s="107" t="s">
        <v>458</v>
      </c>
      <c r="L519" s="107" t="s">
        <v>458</v>
      </c>
      <c r="M519" s="113" t="str">
        <f t="shared" si="11"/>
        <v>View on Google Map</v>
      </c>
    </row>
    <row r="520" spans="1:13" x14ac:dyDescent="0.2">
      <c r="A520" s="107">
        <v>151</v>
      </c>
      <c r="B520" s="107" t="s">
        <v>1510</v>
      </c>
      <c r="C520" s="107" t="s">
        <v>458</v>
      </c>
      <c r="D520" s="107">
        <v>68.630949932700005</v>
      </c>
      <c r="E520" s="107">
        <v>-149.62993150400001</v>
      </c>
      <c r="F520" s="107" t="s">
        <v>458</v>
      </c>
      <c r="G520" s="107" t="s">
        <v>469</v>
      </c>
      <c r="H520" s="107" t="s">
        <v>458</v>
      </c>
      <c r="I520" s="107" t="s">
        <v>458</v>
      </c>
      <c r="J520" s="107" t="s">
        <v>484</v>
      </c>
      <c r="K520" s="107" t="s">
        <v>458</v>
      </c>
      <c r="L520" s="107" t="s">
        <v>458</v>
      </c>
      <c r="M520" s="113" t="str">
        <f t="shared" si="11"/>
        <v>View on Google Map</v>
      </c>
    </row>
    <row r="521" spans="1:13" x14ac:dyDescent="0.2">
      <c r="A521" s="107">
        <v>106</v>
      </c>
      <c r="B521" s="107" t="s">
        <v>1511</v>
      </c>
      <c r="C521" s="107" t="s">
        <v>458</v>
      </c>
      <c r="D521" s="107">
        <v>68.631431924799998</v>
      </c>
      <c r="E521" s="107">
        <v>-149.63669249099999</v>
      </c>
      <c r="F521" s="107">
        <v>725</v>
      </c>
      <c r="G521" s="107" t="s">
        <v>469</v>
      </c>
      <c r="H521" s="107" t="s">
        <v>1512</v>
      </c>
      <c r="I521" s="107" t="s">
        <v>458</v>
      </c>
      <c r="J521" s="107" t="s">
        <v>484</v>
      </c>
      <c r="K521" s="107" t="s">
        <v>458</v>
      </c>
      <c r="L521" s="107" t="s">
        <v>458</v>
      </c>
      <c r="M521" s="113" t="str">
        <f t="shared" si="11"/>
        <v>View on Google Map</v>
      </c>
    </row>
    <row r="522" spans="1:13" x14ac:dyDescent="0.2">
      <c r="A522" s="107">
        <v>107</v>
      </c>
      <c r="B522" s="107" t="s">
        <v>1513</v>
      </c>
      <c r="C522" s="107" t="s">
        <v>458</v>
      </c>
      <c r="D522" s="107">
        <v>68.629379781599994</v>
      </c>
      <c r="E522" s="107">
        <v>-149.64162329499999</v>
      </c>
      <c r="F522" s="107">
        <v>731</v>
      </c>
      <c r="G522" s="107" t="s">
        <v>469</v>
      </c>
      <c r="H522" s="107" t="s">
        <v>1514</v>
      </c>
      <c r="I522" s="107" t="s">
        <v>458</v>
      </c>
      <c r="J522" s="107" t="s">
        <v>484</v>
      </c>
      <c r="K522" s="107" t="s">
        <v>458</v>
      </c>
      <c r="L522" s="107" t="s">
        <v>458</v>
      </c>
      <c r="M522" s="113" t="str">
        <f t="shared" si="11"/>
        <v>View on Google Map</v>
      </c>
    </row>
    <row r="523" spans="1:13" x14ac:dyDescent="0.2">
      <c r="A523" s="107">
        <v>1603</v>
      </c>
      <c r="B523" s="107" t="s">
        <v>1515</v>
      </c>
      <c r="C523" s="107" t="s">
        <v>458</v>
      </c>
      <c r="D523" s="107" t="s">
        <v>458</v>
      </c>
      <c r="E523" s="107" t="s">
        <v>458</v>
      </c>
      <c r="F523" s="107" t="s">
        <v>458</v>
      </c>
      <c r="G523" s="107" t="s">
        <v>483</v>
      </c>
      <c r="H523" s="107" t="s">
        <v>1516</v>
      </c>
      <c r="I523" s="107" t="s">
        <v>1517</v>
      </c>
      <c r="J523" s="107" t="s">
        <v>484</v>
      </c>
      <c r="K523" s="107" t="s">
        <v>458</v>
      </c>
      <c r="L523" s="107" t="s">
        <v>458</v>
      </c>
      <c r="M523" s="113" t="str">
        <f t="shared" si="11"/>
        <v>View on Google Map</v>
      </c>
    </row>
    <row r="524" spans="1:13" x14ac:dyDescent="0.2">
      <c r="A524" s="107">
        <v>152</v>
      </c>
      <c r="B524" s="107" t="s">
        <v>1518</v>
      </c>
      <c r="C524" s="107" t="s">
        <v>458</v>
      </c>
      <c r="D524" s="107">
        <v>68.630062744699998</v>
      </c>
      <c r="E524" s="107">
        <v>-149.64444178900001</v>
      </c>
      <c r="F524" s="107">
        <v>731</v>
      </c>
      <c r="G524" s="107" t="s">
        <v>469</v>
      </c>
      <c r="H524" s="107" t="s">
        <v>458</v>
      </c>
      <c r="I524" s="107" t="s">
        <v>458</v>
      </c>
      <c r="J524" s="107" t="s">
        <v>484</v>
      </c>
      <c r="K524" s="107" t="s">
        <v>458</v>
      </c>
      <c r="L524" s="107" t="s">
        <v>458</v>
      </c>
      <c r="M524" s="113" t="str">
        <f t="shared" si="11"/>
        <v>View on Google Map</v>
      </c>
    </row>
    <row r="525" spans="1:13" x14ac:dyDescent="0.2">
      <c r="A525" s="107">
        <v>1601</v>
      </c>
      <c r="B525" s="107" t="s">
        <v>1519</v>
      </c>
      <c r="C525" s="107" t="s">
        <v>458</v>
      </c>
      <c r="D525" s="107" t="s">
        <v>458</v>
      </c>
      <c r="E525" s="107" t="s">
        <v>458</v>
      </c>
      <c r="F525" s="107" t="s">
        <v>458</v>
      </c>
      <c r="G525" s="107" t="s">
        <v>458</v>
      </c>
      <c r="H525" s="107" t="s">
        <v>1520</v>
      </c>
      <c r="I525" s="107" t="s">
        <v>1521</v>
      </c>
      <c r="J525" s="18" t="s">
        <v>484</v>
      </c>
      <c r="K525" s="107" t="s">
        <v>458</v>
      </c>
      <c r="L525" s="107" t="s">
        <v>458</v>
      </c>
      <c r="M525" s="113" t="str">
        <f t="shared" si="11"/>
        <v>View on Google Map</v>
      </c>
    </row>
    <row r="526" spans="1:13" x14ac:dyDescent="0.2">
      <c r="A526" s="107">
        <v>1602</v>
      </c>
      <c r="B526" s="107" t="s">
        <v>1522</v>
      </c>
      <c r="C526" s="107" t="s">
        <v>458</v>
      </c>
      <c r="D526" s="107" t="s">
        <v>458</v>
      </c>
      <c r="E526" s="107" t="s">
        <v>458</v>
      </c>
      <c r="F526" s="107" t="s">
        <v>458</v>
      </c>
      <c r="G526" s="107" t="s">
        <v>458</v>
      </c>
      <c r="H526" s="107" t="s">
        <v>1523</v>
      </c>
      <c r="I526" s="107" t="s">
        <v>1524</v>
      </c>
      <c r="J526" s="18" t="s">
        <v>484</v>
      </c>
      <c r="K526" s="107" t="s">
        <v>458</v>
      </c>
      <c r="L526" s="107" t="s">
        <v>458</v>
      </c>
      <c r="M526" s="113" t="str">
        <f t="shared" si="11"/>
        <v>View on Google Map</v>
      </c>
    </row>
    <row r="527" spans="1:13" x14ac:dyDescent="0.2">
      <c r="A527" s="107">
        <v>153</v>
      </c>
      <c r="B527" s="107" t="s">
        <v>1525</v>
      </c>
      <c r="C527" s="107" t="s">
        <v>458</v>
      </c>
      <c r="D527" s="107" t="s">
        <v>458</v>
      </c>
      <c r="E527" s="107" t="s">
        <v>458</v>
      </c>
      <c r="F527" s="107" t="s">
        <v>458</v>
      </c>
      <c r="G527" s="107" t="s">
        <v>469</v>
      </c>
      <c r="H527" s="107" t="s">
        <v>458</v>
      </c>
      <c r="I527" s="107" t="s">
        <v>458</v>
      </c>
      <c r="J527" s="107" t="s">
        <v>484</v>
      </c>
      <c r="K527" s="107" t="s">
        <v>458</v>
      </c>
      <c r="L527" s="107" t="s">
        <v>458</v>
      </c>
      <c r="M527" s="113" t="str">
        <f t="shared" si="11"/>
        <v>View on Google Map</v>
      </c>
    </row>
    <row r="528" spans="1:13" x14ac:dyDescent="0.2">
      <c r="A528" s="107">
        <v>154</v>
      </c>
      <c r="B528" s="107" t="s">
        <v>1526</v>
      </c>
      <c r="C528" s="107" t="s">
        <v>458</v>
      </c>
      <c r="D528" s="107" t="s">
        <v>458</v>
      </c>
      <c r="E528" s="107" t="s">
        <v>458</v>
      </c>
      <c r="F528" s="107" t="s">
        <v>458</v>
      </c>
      <c r="G528" s="107" t="s">
        <v>469</v>
      </c>
      <c r="H528" s="107" t="s">
        <v>458</v>
      </c>
      <c r="I528" s="107" t="s">
        <v>458</v>
      </c>
      <c r="J528" s="107" t="s">
        <v>484</v>
      </c>
      <c r="K528" s="107" t="s">
        <v>458</v>
      </c>
      <c r="L528" s="107" t="s">
        <v>458</v>
      </c>
      <c r="M528" s="113" t="str">
        <f t="shared" si="11"/>
        <v>View on Google Map</v>
      </c>
    </row>
    <row r="529" spans="1:13" x14ac:dyDescent="0.2">
      <c r="A529" s="107">
        <v>155</v>
      </c>
      <c r="B529" s="107" t="s">
        <v>1527</v>
      </c>
      <c r="C529" s="107" t="s">
        <v>458</v>
      </c>
      <c r="D529" s="107" t="s">
        <v>458</v>
      </c>
      <c r="E529" s="107" t="s">
        <v>458</v>
      </c>
      <c r="F529" s="107" t="s">
        <v>458</v>
      </c>
      <c r="G529" s="107" t="s">
        <v>469</v>
      </c>
      <c r="H529" s="107" t="s">
        <v>458</v>
      </c>
      <c r="I529" s="107" t="s">
        <v>458</v>
      </c>
      <c r="J529" s="107" t="s">
        <v>484</v>
      </c>
      <c r="K529" s="107" t="s">
        <v>458</v>
      </c>
      <c r="L529" s="107" t="s">
        <v>458</v>
      </c>
      <c r="M529" s="113" t="str">
        <f t="shared" si="11"/>
        <v>View on Google Map</v>
      </c>
    </row>
    <row r="530" spans="1:13" x14ac:dyDescent="0.2">
      <c r="A530" s="107">
        <v>156</v>
      </c>
      <c r="B530" s="107" t="s">
        <v>1528</v>
      </c>
      <c r="C530" s="107" t="s">
        <v>458</v>
      </c>
      <c r="D530" s="107">
        <v>68.630148048999999</v>
      </c>
      <c r="E530" s="107">
        <v>-149.65057914499999</v>
      </c>
      <c r="F530" s="107">
        <v>750</v>
      </c>
      <c r="G530" s="107" t="s">
        <v>469</v>
      </c>
      <c r="H530" s="107" t="s">
        <v>458</v>
      </c>
      <c r="I530" s="107" t="s">
        <v>458</v>
      </c>
      <c r="J530" s="107" t="s">
        <v>484</v>
      </c>
      <c r="K530" s="107" t="s">
        <v>458</v>
      </c>
      <c r="L530" s="107" t="s">
        <v>458</v>
      </c>
      <c r="M530" s="113" t="str">
        <f t="shared" si="11"/>
        <v>View on Google Map</v>
      </c>
    </row>
    <row r="531" spans="1:13" x14ac:dyDescent="0.2">
      <c r="A531" s="107">
        <v>157</v>
      </c>
      <c r="B531" s="107" t="s">
        <v>1529</v>
      </c>
      <c r="C531" s="107" t="s">
        <v>458</v>
      </c>
      <c r="D531" s="107">
        <v>68.629627802900004</v>
      </c>
      <c r="E531" s="107">
        <v>-149.655880887</v>
      </c>
      <c r="F531" s="107">
        <v>754</v>
      </c>
      <c r="G531" s="107" t="s">
        <v>469</v>
      </c>
      <c r="H531" s="107" t="s">
        <v>458</v>
      </c>
      <c r="I531" s="107" t="s">
        <v>458</v>
      </c>
      <c r="J531" s="107" t="s">
        <v>484</v>
      </c>
      <c r="K531" s="107" t="s">
        <v>458</v>
      </c>
      <c r="L531" s="107" t="s">
        <v>458</v>
      </c>
      <c r="M531" s="113" t="str">
        <f t="shared" si="11"/>
        <v>View on Google Map</v>
      </c>
    </row>
    <row r="532" spans="1:13" x14ac:dyDescent="0.2">
      <c r="A532" s="107">
        <v>158</v>
      </c>
      <c r="B532" s="107" t="s">
        <v>1530</v>
      </c>
      <c r="C532" s="107" t="s">
        <v>458</v>
      </c>
      <c r="D532" s="107">
        <v>68.631486568699998</v>
      </c>
      <c r="E532" s="107">
        <v>-149.65910231699999</v>
      </c>
      <c r="F532" s="107">
        <v>754</v>
      </c>
      <c r="G532" s="107" t="s">
        <v>469</v>
      </c>
      <c r="H532" s="107" t="s">
        <v>458</v>
      </c>
      <c r="I532" s="107" t="s">
        <v>458</v>
      </c>
      <c r="J532" s="107" t="s">
        <v>484</v>
      </c>
      <c r="K532" s="107" t="s">
        <v>458</v>
      </c>
      <c r="L532" s="107" t="s">
        <v>458</v>
      </c>
      <c r="M532" s="113" t="str">
        <f t="shared" si="11"/>
        <v>View on Google Map</v>
      </c>
    </row>
    <row r="533" spans="1:13" x14ac:dyDescent="0.2">
      <c r="A533" s="107">
        <v>169</v>
      </c>
      <c r="B533" s="107" t="s">
        <v>1531</v>
      </c>
      <c r="C533" s="107" t="s">
        <v>458</v>
      </c>
      <c r="D533" s="107" t="s">
        <v>458</v>
      </c>
      <c r="E533" s="107" t="s">
        <v>458</v>
      </c>
      <c r="F533" s="107" t="s">
        <v>458</v>
      </c>
      <c r="G533" s="107" t="s">
        <v>469</v>
      </c>
      <c r="H533" s="107" t="s">
        <v>458</v>
      </c>
      <c r="I533" s="107" t="s">
        <v>458</v>
      </c>
      <c r="J533" s="107" t="s">
        <v>484</v>
      </c>
      <c r="K533" s="107" t="s">
        <v>458</v>
      </c>
      <c r="L533" s="107" t="s">
        <v>458</v>
      </c>
      <c r="M533" s="113" t="str">
        <f t="shared" si="11"/>
        <v>View on Google Map</v>
      </c>
    </row>
    <row r="534" spans="1:13" x14ac:dyDescent="0.2">
      <c r="A534" s="107">
        <v>170</v>
      </c>
      <c r="B534" s="107" t="s">
        <v>1532</v>
      </c>
      <c r="C534" s="107" t="s">
        <v>458</v>
      </c>
      <c r="D534" s="107" t="s">
        <v>458</v>
      </c>
      <c r="E534" s="107" t="s">
        <v>458</v>
      </c>
      <c r="F534" s="107" t="s">
        <v>458</v>
      </c>
      <c r="G534" s="107" t="s">
        <v>469</v>
      </c>
      <c r="H534" s="107" t="s">
        <v>458</v>
      </c>
      <c r="I534" s="107" t="s">
        <v>458</v>
      </c>
      <c r="J534" s="107" t="s">
        <v>484</v>
      </c>
      <c r="K534" s="107" t="s">
        <v>458</v>
      </c>
      <c r="L534" s="107" t="s">
        <v>458</v>
      </c>
      <c r="M534" s="113" t="str">
        <f t="shared" si="11"/>
        <v>View on Google Map</v>
      </c>
    </row>
    <row r="535" spans="1:13" x14ac:dyDescent="0.2">
      <c r="A535" s="107">
        <v>136</v>
      </c>
      <c r="B535" s="107" t="s">
        <v>1533</v>
      </c>
      <c r="C535" s="107" t="s">
        <v>458</v>
      </c>
      <c r="D535" s="107">
        <v>70.233333333333334</v>
      </c>
      <c r="E535" s="107">
        <v>-148.25</v>
      </c>
      <c r="F535" s="107">
        <v>10</v>
      </c>
      <c r="G535" s="107" t="s">
        <v>469</v>
      </c>
      <c r="H535" s="107" t="s">
        <v>1534</v>
      </c>
      <c r="I535" s="107" t="s">
        <v>458</v>
      </c>
      <c r="J535" s="107" t="s">
        <v>484</v>
      </c>
      <c r="K535" s="107" t="s">
        <v>458</v>
      </c>
      <c r="L535" s="107" t="s">
        <v>485</v>
      </c>
      <c r="M535" s="113" t="str">
        <f t="shared" si="11"/>
        <v>View on Google Map</v>
      </c>
    </row>
    <row r="536" spans="1:13" x14ac:dyDescent="0.2">
      <c r="A536" s="107">
        <v>6</v>
      </c>
      <c r="B536" s="107" t="s">
        <v>1535</v>
      </c>
      <c r="C536" s="107" t="s">
        <v>458</v>
      </c>
      <c r="D536" s="107" t="s">
        <v>458</v>
      </c>
      <c r="E536" s="107" t="s">
        <v>458</v>
      </c>
      <c r="F536" s="107">
        <v>457</v>
      </c>
      <c r="G536" s="107" t="s">
        <v>483</v>
      </c>
      <c r="H536" s="107" t="s">
        <v>1536</v>
      </c>
      <c r="I536" s="107" t="s">
        <v>1537</v>
      </c>
      <c r="J536" s="107" t="s">
        <v>484</v>
      </c>
      <c r="K536" s="107" t="s">
        <v>458</v>
      </c>
      <c r="L536" s="107" t="s">
        <v>485</v>
      </c>
      <c r="M536" s="113" t="str">
        <f t="shared" si="11"/>
        <v>View on Google Map</v>
      </c>
    </row>
    <row r="537" spans="1:13" x14ac:dyDescent="0.2">
      <c r="A537" s="107">
        <v>20</v>
      </c>
      <c r="B537" s="107" t="s">
        <v>1538</v>
      </c>
      <c r="C537" s="107" t="s">
        <v>458</v>
      </c>
      <c r="D537" s="107" t="s">
        <v>458</v>
      </c>
      <c r="E537" s="107" t="s">
        <v>458</v>
      </c>
      <c r="F537" s="107" t="s">
        <v>458</v>
      </c>
      <c r="G537" s="107" t="s">
        <v>483</v>
      </c>
      <c r="H537" s="107" t="s">
        <v>458</v>
      </c>
      <c r="I537" s="107" t="s">
        <v>458</v>
      </c>
      <c r="J537" s="107" t="s">
        <v>484</v>
      </c>
      <c r="K537" s="107" t="s">
        <v>458</v>
      </c>
      <c r="L537" s="107" t="s">
        <v>458</v>
      </c>
      <c r="M537" s="113" t="str">
        <f t="shared" si="11"/>
        <v>View on Google Map</v>
      </c>
    </row>
    <row r="538" spans="1:13" x14ac:dyDescent="0.2">
      <c r="A538" s="107">
        <v>1176</v>
      </c>
      <c r="B538" s="107" t="s">
        <v>1539</v>
      </c>
      <c r="C538" s="107" t="s">
        <v>490</v>
      </c>
      <c r="D538" s="107">
        <v>68.996418329999997</v>
      </c>
      <c r="E538" s="107">
        <v>-150.27895670000001</v>
      </c>
      <c r="F538" s="107" t="s">
        <v>458</v>
      </c>
      <c r="G538" s="107" t="s">
        <v>459</v>
      </c>
      <c r="H538" s="107" t="s">
        <v>458</v>
      </c>
      <c r="I538" s="107" t="s">
        <v>458</v>
      </c>
      <c r="J538" s="107" t="s">
        <v>465</v>
      </c>
      <c r="K538" s="107" t="s">
        <v>458</v>
      </c>
      <c r="L538" s="107" t="s">
        <v>466</v>
      </c>
      <c r="M538" s="113" t="str">
        <f t="shared" si="11"/>
        <v>View on Google Map</v>
      </c>
    </row>
    <row r="539" spans="1:13" x14ac:dyDescent="0.2">
      <c r="A539" s="107">
        <v>509</v>
      </c>
      <c r="B539" s="107" t="s">
        <v>1540</v>
      </c>
      <c r="C539" s="107" t="s">
        <v>468</v>
      </c>
      <c r="D539" s="107">
        <v>68.338126000000003</v>
      </c>
      <c r="E539" s="107">
        <v>-151.061735</v>
      </c>
      <c r="F539" s="107">
        <v>840</v>
      </c>
      <c r="G539" s="107" t="s">
        <v>469</v>
      </c>
      <c r="H539" s="107" t="s">
        <v>458</v>
      </c>
      <c r="I539" s="107" t="s">
        <v>458</v>
      </c>
      <c r="J539" s="107" t="s">
        <v>470</v>
      </c>
      <c r="K539" s="107" t="s">
        <v>458</v>
      </c>
      <c r="L539" s="107" t="s">
        <v>471</v>
      </c>
      <c r="M539" s="113" t="str">
        <f t="shared" si="11"/>
        <v>View on Google Map</v>
      </c>
    </row>
    <row r="540" spans="1:13" x14ac:dyDescent="0.2">
      <c r="A540" s="107">
        <v>36</v>
      </c>
      <c r="B540" s="107" t="s">
        <v>1541</v>
      </c>
      <c r="C540" s="107" t="s">
        <v>458</v>
      </c>
      <c r="D540" s="107">
        <v>69.233333333333334</v>
      </c>
      <c r="E540" s="107">
        <v>-150.804383333</v>
      </c>
      <c r="F540" s="107">
        <v>181.97</v>
      </c>
      <c r="G540" s="107" t="s">
        <v>483</v>
      </c>
      <c r="H540" s="107" t="s">
        <v>458</v>
      </c>
      <c r="I540" s="107" t="s">
        <v>458</v>
      </c>
      <c r="J540" s="107" t="s">
        <v>519</v>
      </c>
      <c r="K540" s="107" t="s">
        <v>458</v>
      </c>
      <c r="L540" s="107" t="s">
        <v>466</v>
      </c>
      <c r="M540" s="113" t="str">
        <f t="shared" si="11"/>
        <v>View on Google Map</v>
      </c>
    </row>
    <row r="541" spans="1:13" x14ac:dyDescent="0.2">
      <c r="A541" s="107">
        <v>37</v>
      </c>
      <c r="B541" s="107" t="s">
        <v>1542</v>
      </c>
      <c r="C541" s="107" t="s">
        <v>458</v>
      </c>
      <c r="D541" s="107">
        <v>68.289683333333329</v>
      </c>
      <c r="E541" s="107">
        <v>-150.91499999999999</v>
      </c>
      <c r="F541" s="107">
        <v>392</v>
      </c>
      <c r="G541" s="107" t="s">
        <v>483</v>
      </c>
      <c r="H541" s="107" t="s">
        <v>458</v>
      </c>
      <c r="I541" s="107" t="s">
        <v>458</v>
      </c>
      <c r="J541" s="107" t="s">
        <v>519</v>
      </c>
      <c r="K541" s="107" t="s">
        <v>458</v>
      </c>
      <c r="L541" s="107" t="s">
        <v>466</v>
      </c>
      <c r="M541" s="113" t="str">
        <f t="shared" si="11"/>
        <v>View on Google Map</v>
      </c>
    </row>
    <row r="542" spans="1:13" x14ac:dyDescent="0.2">
      <c r="A542" s="107">
        <v>130</v>
      </c>
      <c r="B542" s="107" t="s">
        <v>1543</v>
      </c>
      <c r="C542" s="107" t="s">
        <v>1544</v>
      </c>
      <c r="D542" s="107">
        <v>70.083333333333329</v>
      </c>
      <c r="E542" s="107">
        <v>-148.53333333333299</v>
      </c>
      <c r="F542" s="107">
        <v>24</v>
      </c>
      <c r="G542" s="107" t="s">
        <v>469</v>
      </c>
      <c r="H542" s="107" t="s">
        <v>1545</v>
      </c>
      <c r="I542" s="107" t="s">
        <v>458</v>
      </c>
      <c r="J542" s="107" t="s">
        <v>484</v>
      </c>
      <c r="K542" s="107" t="s">
        <v>458</v>
      </c>
      <c r="L542" s="107" t="s">
        <v>485</v>
      </c>
      <c r="M542" s="113" t="str">
        <f t="shared" si="11"/>
        <v>View on Google Map</v>
      </c>
    </row>
    <row r="543" spans="1:13" x14ac:dyDescent="0.2">
      <c r="A543" s="107">
        <v>519</v>
      </c>
      <c r="B543" s="107" t="s">
        <v>1546</v>
      </c>
      <c r="C543" s="107" t="s">
        <v>468</v>
      </c>
      <c r="D543" s="107">
        <v>68.802636000000007</v>
      </c>
      <c r="E543" s="107">
        <v>-150.78539699999999</v>
      </c>
      <c r="F543" s="107">
        <v>411</v>
      </c>
      <c r="G543" s="107" t="s">
        <v>469</v>
      </c>
      <c r="H543" s="107" t="s">
        <v>458</v>
      </c>
      <c r="I543" s="107" t="s">
        <v>458</v>
      </c>
      <c r="J543" s="107" t="s">
        <v>470</v>
      </c>
      <c r="K543" s="107" t="s">
        <v>458</v>
      </c>
      <c r="L543" s="107" t="s">
        <v>471</v>
      </c>
      <c r="M543" s="113" t="str">
        <f t="shared" si="11"/>
        <v>View on Google Map</v>
      </c>
    </row>
    <row r="544" spans="1:13" x14ac:dyDescent="0.2">
      <c r="A544" s="107">
        <v>452</v>
      </c>
      <c r="B544" s="107" t="s">
        <v>1547</v>
      </c>
      <c r="C544" s="107" t="s">
        <v>458</v>
      </c>
      <c r="D544" s="107">
        <v>68.794960000000003</v>
      </c>
      <c r="E544" s="107">
        <v>-149.04813999999999</v>
      </c>
      <c r="F544" s="107">
        <v>754</v>
      </c>
      <c r="G544" s="107" t="s">
        <v>469</v>
      </c>
      <c r="H544" s="107" t="s">
        <v>458</v>
      </c>
      <c r="I544" s="107" t="s">
        <v>458</v>
      </c>
      <c r="J544" s="107" t="s">
        <v>470</v>
      </c>
      <c r="K544" s="107" t="s">
        <v>458</v>
      </c>
      <c r="L544" s="107" t="s">
        <v>458</v>
      </c>
      <c r="M544" s="113" t="str">
        <f t="shared" si="11"/>
        <v>View on Google Map</v>
      </c>
    </row>
    <row r="545" spans="1:13" x14ac:dyDescent="0.2">
      <c r="A545" s="107">
        <v>453</v>
      </c>
      <c r="B545" s="107" t="s">
        <v>1548</v>
      </c>
      <c r="C545" s="107" t="s">
        <v>458</v>
      </c>
      <c r="D545" s="107">
        <v>68.810460000000006</v>
      </c>
      <c r="E545" s="107">
        <v>-149.05207999999999</v>
      </c>
      <c r="F545" s="107">
        <v>727</v>
      </c>
      <c r="G545" s="107" t="s">
        <v>469</v>
      </c>
      <c r="H545" s="107" t="s">
        <v>458</v>
      </c>
      <c r="I545" s="107" t="s">
        <v>458</v>
      </c>
      <c r="J545" s="107" t="s">
        <v>470</v>
      </c>
      <c r="K545" s="107" t="s">
        <v>458</v>
      </c>
      <c r="L545" s="107" t="s">
        <v>458</v>
      </c>
      <c r="M545" s="113" t="str">
        <f t="shared" si="11"/>
        <v>View on Google Map</v>
      </c>
    </row>
    <row r="546" spans="1:13" x14ac:dyDescent="0.2">
      <c r="A546" s="107">
        <v>454</v>
      </c>
      <c r="B546" s="107" t="s">
        <v>1549</v>
      </c>
      <c r="C546" s="107" t="s">
        <v>458</v>
      </c>
      <c r="D546" s="107">
        <v>68.815870000000004</v>
      </c>
      <c r="E546" s="107">
        <v>-149.06173999999999</v>
      </c>
      <c r="F546" s="107">
        <v>715</v>
      </c>
      <c r="G546" s="107" t="s">
        <v>469</v>
      </c>
      <c r="H546" s="107" t="s">
        <v>458</v>
      </c>
      <c r="I546" s="107" t="s">
        <v>458</v>
      </c>
      <c r="J546" s="107" t="s">
        <v>470</v>
      </c>
      <c r="K546" s="107" t="s">
        <v>458</v>
      </c>
      <c r="L546" s="107" t="s">
        <v>458</v>
      </c>
      <c r="M546" s="113" t="str">
        <f t="shared" si="11"/>
        <v>View on Google Map</v>
      </c>
    </row>
    <row r="547" spans="1:13" x14ac:dyDescent="0.2">
      <c r="A547" s="107">
        <v>455</v>
      </c>
      <c r="B547" s="107" t="s">
        <v>1550</v>
      </c>
      <c r="C547" s="107" t="s">
        <v>458</v>
      </c>
      <c r="D547" s="107">
        <v>68.810519999999997</v>
      </c>
      <c r="E547" s="107">
        <v>-149.06282999999999</v>
      </c>
      <c r="F547" s="107">
        <v>728</v>
      </c>
      <c r="G547" s="107" t="s">
        <v>469</v>
      </c>
      <c r="H547" s="107" t="s">
        <v>458</v>
      </c>
      <c r="I547" s="107" t="s">
        <v>458</v>
      </c>
      <c r="J547" s="107" t="s">
        <v>470</v>
      </c>
      <c r="K547" s="107" t="s">
        <v>458</v>
      </c>
      <c r="L547" s="107" t="s">
        <v>458</v>
      </c>
      <c r="M547" s="113" t="str">
        <f t="shared" si="11"/>
        <v>View on Google Map</v>
      </c>
    </row>
    <row r="548" spans="1:13" x14ac:dyDescent="0.2">
      <c r="A548" s="107">
        <v>456</v>
      </c>
      <c r="B548" s="107" t="s">
        <v>1551</v>
      </c>
      <c r="C548" s="107" t="s">
        <v>458</v>
      </c>
      <c r="D548" s="107">
        <v>68.812290000000004</v>
      </c>
      <c r="E548" s="107">
        <v>-149.06899000000001</v>
      </c>
      <c r="F548" s="107">
        <v>730</v>
      </c>
      <c r="G548" s="107" t="s">
        <v>469</v>
      </c>
      <c r="H548" s="107" t="s">
        <v>458</v>
      </c>
      <c r="I548" s="107" t="s">
        <v>458</v>
      </c>
      <c r="J548" s="107" t="s">
        <v>470</v>
      </c>
      <c r="K548" s="107" t="s">
        <v>458</v>
      </c>
      <c r="L548" s="107" t="s">
        <v>458</v>
      </c>
      <c r="M548" s="113" t="str">
        <f t="shared" si="11"/>
        <v>View on Google Map</v>
      </c>
    </row>
    <row r="549" spans="1:13" x14ac:dyDescent="0.2">
      <c r="A549" s="107">
        <v>457</v>
      </c>
      <c r="B549" s="107" t="s">
        <v>1552</v>
      </c>
      <c r="C549" s="107" t="s">
        <v>458</v>
      </c>
      <c r="D549" s="107">
        <v>68.814369999999997</v>
      </c>
      <c r="E549" s="107">
        <v>-149.06774999999999</v>
      </c>
      <c r="F549" s="107">
        <v>724</v>
      </c>
      <c r="G549" s="107" t="s">
        <v>469</v>
      </c>
      <c r="H549" s="107" t="s">
        <v>458</v>
      </c>
      <c r="I549" s="107" t="s">
        <v>458</v>
      </c>
      <c r="J549" s="107" t="s">
        <v>470</v>
      </c>
      <c r="K549" s="107" t="s">
        <v>458</v>
      </c>
      <c r="L549" s="107" t="s">
        <v>458</v>
      </c>
      <c r="M549" s="113" t="str">
        <f t="shared" si="11"/>
        <v>View on Google Map</v>
      </c>
    </row>
    <row r="550" spans="1:13" x14ac:dyDescent="0.2">
      <c r="A550" s="107">
        <v>38</v>
      </c>
      <c r="B550" s="107" t="s">
        <v>1553</v>
      </c>
      <c r="C550" s="107" t="s">
        <v>458</v>
      </c>
      <c r="D550" s="107">
        <v>69.011899999999997</v>
      </c>
      <c r="E550" s="107">
        <v>-150.30000000000001</v>
      </c>
      <c r="F550" s="107">
        <v>321</v>
      </c>
      <c r="G550" s="107" t="s">
        <v>483</v>
      </c>
      <c r="H550" s="107" t="s">
        <v>1554</v>
      </c>
      <c r="I550" s="107" t="s">
        <v>1555</v>
      </c>
      <c r="J550" s="107" t="s">
        <v>519</v>
      </c>
      <c r="K550" s="107" t="s">
        <v>458</v>
      </c>
      <c r="L550" s="107" t="s">
        <v>466</v>
      </c>
      <c r="M550" s="113" t="str">
        <f t="shared" si="11"/>
        <v>View on Google Map</v>
      </c>
    </row>
    <row r="551" spans="1:13" x14ac:dyDescent="0.2">
      <c r="A551" s="107">
        <v>1211</v>
      </c>
      <c r="B551" s="107" t="s">
        <v>1556</v>
      </c>
      <c r="C551" s="107" t="s">
        <v>642</v>
      </c>
      <c r="D551" s="107">
        <v>68.996700000000004</v>
      </c>
      <c r="E551" s="107">
        <v>-150.28142</v>
      </c>
      <c r="F551" s="107" t="s">
        <v>458</v>
      </c>
      <c r="G551" s="107" t="s">
        <v>459</v>
      </c>
      <c r="H551" s="107" t="s">
        <v>458</v>
      </c>
      <c r="I551" s="107" t="s">
        <v>458</v>
      </c>
      <c r="J551" s="107" t="s">
        <v>465</v>
      </c>
      <c r="K551" s="107" t="s">
        <v>458</v>
      </c>
      <c r="L551" s="107" t="s">
        <v>466</v>
      </c>
      <c r="M551" s="113" t="str">
        <f t="shared" si="11"/>
        <v>View on Google Map</v>
      </c>
    </row>
    <row r="552" spans="1:13" x14ac:dyDescent="0.2">
      <c r="A552" s="107">
        <v>1210</v>
      </c>
      <c r="B552" s="107" t="s">
        <v>1557</v>
      </c>
      <c r="C552" s="107" t="s">
        <v>642</v>
      </c>
      <c r="D552" s="107">
        <v>68.996700000000004</v>
      </c>
      <c r="E552" s="107">
        <v>-150.28142</v>
      </c>
      <c r="F552" s="107" t="s">
        <v>458</v>
      </c>
      <c r="G552" s="107" t="s">
        <v>459</v>
      </c>
      <c r="H552" s="107" t="s">
        <v>458</v>
      </c>
      <c r="I552" s="107" t="s">
        <v>458</v>
      </c>
      <c r="J552" s="107" t="s">
        <v>465</v>
      </c>
      <c r="K552" s="107" t="s">
        <v>458</v>
      </c>
      <c r="L552" s="107" t="s">
        <v>466</v>
      </c>
      <c r="M552" s="113" t="str">
        <f t="shared" si="11"/>
        <v>View on Google Map</v>
      </c>
    </row>
    <row r="553" spans="1:13" x14ac:dyDescent="0.2">
      <c r="B553" s="107" t="s">
        <v>1558</v>
      </c>
      <c r="C553" s="107" t="s">
        <v>1471</v>
      </c>
      <c r="D553" s="107">
        <v>69.007500000000007</v>
      </c>
      <c r="E553" s="107">
        <v>-150.31388888888901</v>
      </c>
      <c r="G553" s="107" t="s">
        <v>477</v>
      </c>
      <c r="J553" s="107" t="s">
        <v>465</v>
      </c>
      <c r="L553" s="107" t="s">
        <v>466</v>
      </c>
      <c r="M553" s="113" t="str">
        <f t="shared" si="11"/>
        <v>View on Google Map</v>
      </c>
    </row>
    <row r="554" spans="1:13" x14ac:dyDescent="0.2">
      <c r="B554" s="107" t="s">
        <v>1559</v>
      </c>
      <c r="C554" s="107" t="s">
        <v>855</v>
      </c>
      <c r="D554" s="107">
        <v>69.043055555555554</v>
      </c>
      <c r="E554" s="107">
        <v>-150.42916666666699</v>
      </c>
      <c r="G554" s="107" t="s">
        <v>477</v>
      </c>
      <c r="J554" s="107" t="s">
        <v>465</v>
      </c>
      <c r="L554" s="107" t="s">
        <v>466</v>
      </c>
      <c r="M554" s="113" t="str">
        <f t="shared" si="11"/>
        <v>View on Google Map</v>
      </c>
    </row>
    <row r="555" spans="1:13" x14ac:dyDescent="0.2">
      <c r="A555" s="107">
        <v>39</v>
      </c>
      <c r="B555" s="107" t="s">
        <v>1560</v>
      </c>
      <c r="C555" s="107" t="s">
        <v>458</v>
      </c>
      <c r="D555" s="107">
        <v>68.994600000000005</v>
      </c>
      <c r="E555" s="107">
        <v>-150.30699999999999</v>
      </c>
      <c r="F555" s="107">
        <v>307</v>
      </c>
      <c r="G555" s="107" t="s">
        <v>483</v>
      </c>
      <c r="H555" s="107" t="s">
        <v>1561</v>
      </c>
      <c r="I555" s="107" t="s">
        <v>458</v>
      </c>
      <c r="J555" s="107" t="s">
        <v>519</v>
      </c>
      <c r="K555" s="107" t="s">
        <v>458</v>
      </c>
      <c r="L555" s="107" t="s">
        <v>466</v>
      </c>
      <c r="M555" s="113" t="str">
        <f t="shared" si="11"/>
        <v>View on Google Map</v>
      </c>
    </row>
    <row r="556" spans="1:13" x14ac:dyDescent="0.2">
      <c r="B556" s="107" t="s">
        <v>1562</v>
      </c>
      <c r="C556" s="107" t="s">
        <v>476</v>
      </c>
      <c r="D556" s="107">
        <v>69.570555555555558</v>
      </c>
      <c r="E556" s="107">
        <v>-150.893333333333</v>
      </c>
      <c r="G556" s="107" t="s">
        <v>477</v>
      </c>
      <c r="J556" s="107" t="s">
        <v>465</v>
      </c>
      <c r="L556" s="107" t="s">
        <v>466</v>
      </c>
      <c r="M556" s="113" t="str">
        <f t="shared" si="11"/>
        <v>View on Google Map</v>
      </c>
    </row>
    <row r="557" spans="1:13" x14ac:dyDescent="0.2">
      <c r="A557" s="107">
        <v>46</v>
      </c>
      <c r="B557" s="107" t="s">
        <v>1563</v>
      </c>
      <c r="C557" s="107" t="s">
        <v>458</v>
      </c>
      <c r="D557" s="107">
        <v>68.891069000000002</v>
      </c>
      <c r="E557" s="107">
        <v>-150.58501899999999</v>
      </c>
      <c r="F557" s="107" t="s">
        <v>458</v>
      </c>
      <c r="G557" s="107" t="s">
        <v>483</v>
      </c>
      <c r="H557" s="107" t="s">
        <v>458</v>
      </c>
      <c r="I557" s="107" t="s">
        <v>458</v>
      </c>
      <c r="J557" s="107" t="s">
        <v>1469</v>
      </c>
      <c r="K557" s="107" t="s">
        <v>458</v>
      </c>
      <c r="L557" s="107" t="s">
        <v>466</v>
      </c>
      <c r="M557" s="113" t="str">
        <f t="shared" si="11"/>
        <v>View on Google Map</v>
      </c>
    </row>
    <row r="558" spans="1:13" x14ac:dyDescent="0.2">
      <c r="A558" s="107">
        <v>47</v>
      </c>
      <c r="B558" s="107" t="s">
        <v>1564</v>
      </c>
      <c r="C558" s="107" t="s">
        <v>458</v>
      </c>
      <c r="D558" s="107">
        <v>68.966999999999999</v>
      </c>
      <c r="E558" s="107">
        <v>-150.56673000000001</v>
      </c>
      <c r="F558" s="107" t="s">
        <v>458</v>
      </c>
      <c r="G558" s="107" t="s">
        <v>483</v>
      </c>
      <c r="H558" s="107" t="s">
        <v>458</v>
      </c>
      <c r="I558" s="107" t="s">
        <v>458</v>
      </c>
      <c r="J558" s="107" t="s">
        <v>1469</v>
      </c>
      <c r="K558" s="107" t="s">
        <v>458</v>
      </c>
      <c r="L558" s="107" t="s">
        <v>466</v>
      </c>
      <c r="M558" s="113" t="str">
        <f t="shared" si="11"/>
        <v>View on Google Map</v>
      </c>
    </row>
    <row r="559" spans="1:13" x14ac:dyDescent="0.2">
      <c r="A559" s="107">
        <v>100</v>
      </c>
      <c r="B559" s="107" t="s">
        <v>35</v>
      </c>
      <c r="C559" s="107" t="s">
        <v>1565</v>
      </c>
      <c r="D559" s="107">
        <v>68.629960999999994</v>
      </c>
      <c r="E559" s="107">
        <v>-149.61263299999999</v>
      </c>
      <c r="F559" s="107">
        <v>719</v>
      </c>
      <c r="G559" s="107" t="s">
        <v>469</v>
      </c>
      <c r="H559" s="107" t="s">
        <v>1566</v>
      </c>
      <c r="I559" s="107" t="s">
        <v>1567</v>
      </c>
      <c r="J559" s="107" t="s">
        <v>484</v>
      </c>
      <c r="K559" s="107" t="s">
        <v>458</v>
      </c>
      <c r="L559" s="107" t="s">
        <v>458</v>
      </c>
      <c r="M559" s="113" t="str">
        <f t="shared" si="11"/>
        <v>View on Google Map</v>
      </c>
    </row>
    <row r="560" spans="1:13" x14ac:dyDescent="0.2">
      <c r="A560" s="107">
        <v>523</v>
      </c>
      <c r="B560" s="107" t="s">
        <v>1568</v>
      </c>
      <c r="C560" s="107" t="s">
        <v>1569</v>
      </c>
      <c r="D560" s="107">
        <v>68.626671999999999</v>
      </c>
      <c r="E560" s="107">
        <v>-149.59784400000001</v>
      </c>
      <c r="F560" s="107">
        <v>719</v>
      </c>
      <c r="G560" s="107" t="s">
        <v>469</v>
      </c>
      <c r="H560" s="107" t="s">
        <v>458</v>
      </c>
      <c r="I560" s="107" t="s">
        <v>458</v>
      </c>
      <c r="J560" s="107" t="s">
        <v>470</v>
      </c>
      <c r="K560" s="107" t="s">
        <v>458</v>
      </c>
      <c r="L560" s="107" t="s">
        <v>1570</v>
      </c>
      <c r="M560" s="113" t="str">
        <f t="shared" si="11"/>
        <v>View on Google Map</v>
      </c>
    </row>
    <row r="561" spans="1:13" x14ac:dyDescent="0.2">
      <c r="A561" s="107">
        <v>524</v>
      </c>
      <c r="B561" s="107" t="s">
        <v>1571</v>
      </c>
      <c r="C561" s="107" t="s">
        <v>1569</v>
      </c>
      <c r="D561" s="107">
        <v>68.632586000000003</v>
      </c>
      <c r="E561" s="107">
        <v>-149.60089500000001</v>
      </c>
      <c r="F561" s="107">
        <v>719</v>
      </c>
      <c r="G561" s="107" t="s">
        <v>469</v>
      </c>
      <c r="H561" s="107" t="s">
        <v>458</v>
      </c>
      <c r="I561" s="107" t="s">
        <v>458</v>
      </c>
      <c r="J561" s="107" t="s">
        <v>470</v>
      </c>
      <c r="K561" s="107" t="s">
        <v>458</v>
      </c>
      <c r="L561" s="107" t="s">
        <v>1570</v>
      </c>
      <c r="M561" s="113" t="str">
        <f t="shared" si="11"/>
        <v>View on Google Map</v>
      </c>
    </row>
    <row r="562" spans="1:13" x14ac:dyDescent="0.2">
      <c r="A562" s="107">
        <v>525</v>
      </c>
      <c r="B562" s="107" t="s">
        <v>1572</v>
      </c>
      <c r="C562" s="107" t="s">
        <v>1569</v>
      </c>
      <c r="D562" s="107">
        <v>68.636390000000006</v>
      </c>
      <c r="E562" s="107">
        <v>-149.594774</v>
      </c>
      <c r="F562" s="107">
        <v>719</v>
      </c>
      <c r="G562" s="107" t="s">
        <v>469</v>
      </c>
      <c r="H562" s="107" t="s">
        <v>458</v>
      </c>
      <c r="I562" s="107" t="s">
        <v>458</v>
      </c>
      <c r="J562" s="107" t="s">
        <v>470</v>
      </c>
      <c r="K562" s="107" t="s">
        <v>458</v>
      </c>
      <c r="L562" s="107" t="s">
        <v>1570</v>
      </c>
      <c r="M562" s="113" t="str">
        <f t="shared" si="11"/>
        <v>View on Google Map</v>
      </c>
    </row>
    <row r="563" spans="1:13" x14ac:dyDescent="0.2">
      <c r="A563" s="107">
        <v>13</v>
      </c>
      <c r="B563" s="107" t="s">
        <v>1573</v>
      </c>
      <c r="C563" s="107" t="s">
        <v>458</v>
      </c>
      <c r="D563" s="107">
        <v>68.625600000000006</v>
      </c>
      <c r="E563" s="107">
        <v>-149.59604999999999</v>
      </c>
      <c r="F563" s="107">
        <v>719</v>
      </c>
      <c r="G563" s="107" t="s">
        <v>483</v>
      </c>
      <c r="H563" s="107" t="s">
        <v>1574</v>
      </c>
      <c r="I563" s="107" t="s">
        <v>1575</v>
      </c>
      <c r="J563" s="107" t="s">
        <v>484</v>
      </c>
      <c r="K563" s="107">
        <v>190</v>
      </c>
      <c r="L563" s="107" t="s">
        <v>873</v>
      </c>
      <c r="M563" s="113" t="str">
        <f t="shared" si="11"/>
        <v>View on Google Map</v>
      </c>
    </row>
    <row r="564" spans="1:13" x14ac:dyDescent="0.2">
      <c r="A564" s="107">
        <v>522</v>
      </c>
      <c r="B564" s="107" t="s">
        <v>1576</v>
      </c>
      <c r="C564" s="107" t="s">
        <v>1569</v>
      </c>
      <c r="D564" s="107">
        <v>68.625966000000005</v>
      </c>
      <c r="E564" s="107">
        <v>-149.59902199999999</v>
      </c>
      <c r="F564" s="107">
        <v>719</v>
      </c>
      <c r="G564" s="107" t="s">
        <v>469</v>
      </c>
      <c r="H564" s="107" t="s">
        <v>458</v>
      </c>
      <c r="I564" s="107" t="s">
        <v>458</v>
      </c>
      <c r="J564" s="107" t="s">
        <v>470</v>
      </c>
      <c r="K564" s="107" t="s">
        <v>458</v>
      </c>
      <c r="L564" s="107" t="s">
        <v>1570</v>
      </c>
      <c r="M564" s="113" t="str">
        <f t="shared" si="11"/>
        <v>View on Google Map</v>
      </c>
    </row>
    <row r="565" spans="1:13" x14ac:dyDescent="0.2">
      <c r="A565" s="107">
        <v>101</v>
      </c>
      <c r="B565" s="107" t="s">
        <v>1577</v>
      </c>
      <c r="C565" s="107" t="s">
        <v>1578</v>
      </c>
      <c r="D565" s="107" t="s">
        <v>458</v>
      </c>
      <c r="E565" s="107" t="s">
        <v>458</v>
      </c>
      <c r="F565" s="107">
        <v>719</v>
      </c>
      <c r="G565" s="107" t="s">
        <v>469</v>
      </c>
      <c r="H565" s="107" t="s">
        <v>458</v>
      </c>
      <c r="I565" s="107" t="s">
        <v>458</v>
      </c>
      <c r="J565" s="107" t="s">
        <v>484</v>
      </c>
      <c r="K565" s="107" t="s">
        <v>458</v>
      </c>
      <c r="L565" s="107" t="s">
        <v>458</v>
      </c>
      <c r="M565" s="113" t="str">
        <f t="shared" si="11"/>
        <v>View on Google Map</v>
      </c>
    </row>
    <row r="566" spans="1:13" x14ac:dyDescent="0.2">
      <c r="A566" s="107">
        <v>102</v>
      </c>
      <c r="B566" s="107" t="s">
        <v>1579</v>
      </c>
      <c r="C566" s="107" t="s">
        <v>1580</v>
      </c>
      <c r="D566" s="107">
        <v>68.638623999999993</v>
      </c>
      <c r="E566" s="107">
        <v>-149.610737</v>
      </c>
      <c r="F566" s="107">
        <v>719</v>
      </c>
      <c r="G566" s="107" t="s">
        <v>469</v>
      </c>
      <c r="H566" s="107" t="s">
        <v>1581</v>
      </c>
      <c r="I566" s="107" t="s">
        <v>1582</v>
      </c>
      <c r="J566" s="107" t="s">
        <v>484</v>
      </c>
      <c r="K566" s="107" t="s">
        <v>458</v>
      </c>
      <c r="L566" s="107" t="s">
        <v>458</v>
      </c>
      <c r="M566" s="113" t="str">
        <f t="shared" si="11"/>
        <v>View on Google Map</v>
      </c>
    </row>
    <row r="567" spans="1:13" x14ac:dyDescent="0.2">
      <c r="A567" s="107">
        <v>526</v>
      </c>
      <c r="B567" s="107" t="s">
        <v>1583</v>
      </c>
      <c r="C567" s="107" t="s">
        <v>1569</v>
      </c>
      <c r="D567" s="107">
        <v>68.633232000000007</v>
      </c>
      <c r="E567" s="107">
        <v>-149.61149</v>
      </c>
      <c r="F567" s="107">
        <v>719</v>
      </c>
      <c r="G567" s="107" t="s">
        <v>469</v>
      </c>
      <c r="H567" s="107" t="s">
        <v>458</v>
      </c>
      <c r="I567" s="107" t="s">
        <v>458</v>
      </c>
      <c r="J567" s="107" t="s">
        <v>470</v>
      </c>
      <c r="K567" s="107" t="s">
        <v>458</v>
      </c>
      <c r="L567" s="107" t="s">
        <v>1570</v>
      </c>
      <c r="M567" s="113" t="str">
        <f t="shared" si="11"/>
        <v>View on Google Map</v>
      </c>
    </row>
    <row r="568" spans="1:13" x14ac:dyDescent="0.2">
      <c r="A568" s="107">
        <v>14</v>
      </c>
      <c r="B568" s="107" t="s">
        <v>1584</v>
      </c>
      <c r="C568" s="107" t="s">
        <v>458</v>
      </c>
      <c r="D568" s="107" t="s">
        <v>458</v>
      </c>
      <c r="E568" s="107" t="s">
        <v>458</v>
      </c>
      <c r="F568" s="107">
        <v>719</v>
      </c>
      <c r="G568" s="107" t="s">
        <v>483</v>
      </c>
      <c r="H568" s="107" t="s">
        <v>1585</v>
      </c>
      <c r="I568" s="107" t="s">
        <v>458</v>
      </c>
      <c r="J568" s="107" t="s">
        <v>484</v>
      </c>
      <c r="K568" s="107" t="s">
        <v>458</v>
      </c>
      <c r="L568" s="107" t="s">
        <v>458</v>
      </c>
      <c r="M568" s="113" t="str">
        <f t="shared" si="11"/>
        <v>View on Google Map</v>
      </c>
    </row>
    <row r="569" spans="1:13" x14ac:dyDescent="0.2">
      <c r="A569" s="107">
        <v>527</v>
      </c>
      <c r="B569" s="107" t="s">
        <v>1586</v>
      </c>
      <c r="C569" s="107" t="s">
        <v>1569</v>
      </c>
      <c r="D569" s="107">
        <v>68.639894999999996</v>
      </c>
      <c r="E569" s="107">
        <v>-149.59610599999999</v>
      </c>
      <c r="F569" s="107">
        <v>719</v>
      </c>
      <c r="G569" s="107" t="s">
        <v>469</v>
      </c>
      <c r="H569" s="107" t="s">
        <v>458</v>
      </c>
      <c r="I569" s="107" t="s">
        <v>458</v>
      </c>
      <c r="J569" s="107" t="s">
        <v>470</v>
      </c>
      <c r="K569" s="107" t="s">
        <v>458</v>
      </c>
      <c r="L569" s="107" t="s">
        <v>1570</v>
      </c>
      <c r="M569" s="113" t="str">
        <f t="shared" si="11"/>
        <v>View on Google Map</v>
      </c>
    </row>
    <row r="570" spans="1:13" x14ac:dyDescent="0.2">
      <c r="A570" s="107">
        <v>9</v>
      </c>
      <c r="B570" s="107" t="s">
        <v>1587</v>
      </c>
      <c r="C570" s="107" t="s">
        <v>458</v>
      </c>
      <c r="D570" s="107" t="s">
        <v>458</v>
      </c>
      <c r="E570" s="107" t="s">
        <v>458</v>
      </c>
      <c r="F570" s="107">
        <v>823</v>
      </c>
      <c r="G570" s="107" t="s">
        <v>483</v>
      </c>
      <c r="H570" s="107" t="s">
        <v>458</v>
      </c>
      <c r="I570" s="107" t="s">
        <v>458</v>
      </c>
      <c r="J570" s="107" t="s">
        <v>484</v>
      </c>
      <c r="K570" s="107" t="s">
        <v>458</v>
      </c>
      <c r="L570" s="107" t="s">
        <v>458</v>
      </c>
      <c r="M570" s="113" t="str">
        <f t="shared" si="11"/>
        <v>View on Google Map</v>
      </c>
    </row>
    <row r="571" spans="1:13" x14ac:dyDescent="0.2">
      <c r="A571" s="107">
        <v>22</v>
      </c>
      <c r="B571" s="107" t="s">
        <v>1588</v>
      </c>
      <c r="C571" s="107" t="s">
        <v>458</v>
      </c>
      <c r="D571" s="107" t="s">
        <v>458</v>
      </c>
      <c r="E571" s="107" t="s">
        <v>458</v>
      </c>
      <c r="F571" s="107" t="s">
        <v>458</v>
      </c>
      <c r="G571" s="107" t="s">
        <v>483</v>
      </c>
      <c r="H571" s="107" t="s">
        <v>1589</v>
      </c>
      <c r="I571" s="107" t="s">
        <v>458</v>
      </c>
      <c r="J571" s="107" t="s">
        <v>484</v>
      </c>
      <c r="K571" s="107" t="s">
        <v>458</v>
      </c>
      <c r="L571" s="107" t="s">
        <v>458</v>
      </c>
      <c r="M571" s="113" t="str">
        <f t="shared" si="11"/>
        <v>View on Google Map</v>
      </c>
    </row>
    <row r="572" spans="1:13" x14ac:dyDescent="0.2">
      <c r="A572" s="107">
        <v>528</v>
      </c>
      <c r="B572" s="107" t="s">
        <v>1590</v>
      </c>
      <c r="C572" s="107" t="s">
        <v>1569</v>
      </c>
      <c r="D572" s="107">
        <v>68.634241000000003</v>
      </c>
      <c r="E572" s="107">
        <v>-149.60275899999999</v>
      </c>
      <c r="F572" s="107">
        <v>719</v>
      </c>
      <c r="G572" s="107" t="s">
        <v>469</v>
      </c>
      <c r="H572" s="107" t="s">
        <v>458</v>
      </c>
      <c r="I572" s="107" t="s">
        <v>458</v>
      </c>
      <c r="J572" s="107" t="s">
        <v>470</v>
      </c>
      <c r="K572" s="107" t="s">
        <v>458</v>
      </c>
      <c r="L572" s="107" t="s">
        <v>1570</v>
      </c>
      <c r="M572" s="113" t="str">
        <f t="shared" si="11"/>
        <v>View on Google Map</v>
      </c>
    </row>
    <row r="573" spans="1:13" x14ac:dyDescent="0.2">
      <c r="A573" s="107">
        <v>521</v>
      </c>
      <c r="B573" s="107" t="s">
        <v>1591</v>
      </c>
      <c r="C573" s="107" t="s">
        <v>1569</v>
      </c>
      <c r="D573" s="107">
        <v>68.628656000000007</v>
      </c>
      <c r="E573" s="107">
        <v>-149.59960599999999</v>
      </c>
      <c r="F573" s="107">
        <v>719</v>
      </c>
      <c r="G573" s="107" t="s">
        <v>469</v>
      </c>
      <c r="H573" s="107" t="s">
        <v>458</v>
      </c>
      <c r="I573" s="107" t="s">
        <v>458</v>
      </c>
      <c r="J573" s="107" t="s">
        <v>470</v>
      </c>
      <c r="K573" s="107" t="s">
        <v>458</v>
      </c>
      <c r="L573" s="107" t="s">
        <v>1570</v>
      </c>
      <c r="M573" s="113" t="str">
        <f t="shared" si="11"/>
        <v>View on Google Map</v>
      </c>
    </row>
    <row r="574" spans="1:13" x14ac:dyDescent="0.2">
      <c r="A574" s="107">
        <v>520</v>
      </c>
      <c r="B574" s="107" t="s">
        <v>1592</v>
      </c>
      <c r="C574" s="107" t="s">
        <v>1569</v>
      </c>
      <c r="D574" s="107">
        <v>68.633064000000005</v>
      </c>
      <c r="E574" s="107">
        <v>-149.62826999999999</v>
      </c>
      <c r="F574" s="107">
        <v>719</v>
      </c>
      <c r="G574" s="107" t="s">
        <v>469</v>
      </c>
      <c r="H574" s="107" t="s">
        <v>458</v>
      </c>
      <c r="I574" s="107" t="s">
        <v>458</v>
      </c>
      <c r="J574" s="107" t="s">
        <v>470</v>
      </c>
      <c r="K574" s="107" t="s">
        <v>458</v>
      </c>
      <c r="L574" s="107" t="s">
        <v>1570</v>
      </c>
      <c r="M574" s="113" t="str">
        <f t="shared" si="11"/>
        <v>View on Google Map</v>
      </c>
    </row>
    <row r="575" spans="1:13" x14ac:dyDescent="0.2">
      <c r="B575" s="107" t="s">
        <v>1593</v>
      </c>
      <c r="C575" s="107" t="s">
        <v>855</v>
      </c>
      <c r="D575" s="107">
        <v>68.695505999999995</v>
      </c>
      <c r="E575" s="107">
        <v>-149.207807</v>
      </c>
      <c r="G575" s="107" t="s">
        <v>995</v>
      </c>
      <c r="J575" s="18" t="s">
        <v>484</v>
      </c>
      <c r="M575" s="113" t="str">
        <f t="shared" si="11"/>
        <v>View on Google Map</v>
      </c>
    </row>
    <row r="576" spans="1:13" x14ac:dyDescent="0.2">
      <c r="B576" s="107" t="s">
        <v>1594</v>
      </c>
      <c r="C576" s="107" t="s">
        <v>855</v>
      </c>
      <c r="D576" s="107">
        <v>68.695696999999996</v>
      </c>
      <c r="E576" s="107">
        <v>-149.20482699999999</v>
      </c>
      <c r="G576" s="107" t="s">
        <v>995</v>
      </c>
      <c r="J576" s="18" t="s">
        <v>484</v>
      </c>
      <c r="M576" s="113" t="str">
        <f t="shared" si="11"/>
        <v>View on Google Map</v>
      </c>
    </row>
    <row r="577" spans="1:13" x14ac:dyDescent="0.2">
      <c r="B577" s="107" t="s">
        <v>1595</v>
      </c>
      <c r="C577" s="107" t="s">
        <v>855</v>
      </c>
      <c r="D577" s="107">
        <v>68.690700000000007</v>
      </c>
      <c r="E577" s="107">
        <v>-149.208371</v>
      </c>
      <c r="G577" s="107" t="s">
        <v>995</v>
      </c>
      <c r="J577" s="18" t="s">
        <v>484</v>
      </c>
      <c r="M577" s="113" t="str">
        <f t="shared" si="11"/>
        <v>View on Google Map</v>
      </c>
    </row>
    <row r="578" spans="1:13" x14ac:dyDescent="0.2">
      <c r="B578" s="107" t="s">
        <v>1596</v>
      </c>
      <c r="C578" s="107" t="s">
        <v>855</v>
      </c>
      <c r="D578" s="107">
        <v>68.693759</v>
      </c>
      <c r="E578" s="107">
        <v>-149.20405500000001</v>
      </c>
      <c r="G578" s="107" t="s">
        <v>995</v>
      </c>
      <c r="J578" s="18" t="s">
        <v>484</v>
      </c>
      <c r="M578" s="113" t="str">
        <f t="shared" si="11"/>
        <v>View on Google Map</v>
      </c>
    </row>
    <row r="579" spans="1:13" x14ac:dyDescent="0.2">
      <c r="B579" s="107" t="s">
        <v>1597</v>
      </c>
      <c r="C579" s="107" t="s">
        <v>1598</v>
      </c>
      <c r="D579" s="107">
        <v>68.628228973000006</v>
      </c>
      <c r="E579" s="107">
        <v>-149.596001285</v>
      </c>
      <c r="F579" s="107">
        <v>726.5</v>
      </c>
      <c r="J579" s="107" t="s">
        <v>484</v>
      </c>
      <c r="M579" s="107" t="str">
        <f>HYPERLINK("http://maps.google.com/maps?q="&amp;D579&amp;","&amp;E579,"View on Google Map")</f>
        <v>View on Google Map</v>
      </c>
    </row>
    <row r="580" spans="1:13" x14ac:dyDescent="0.2">
      <c r="A580" s="107">
        <v>901</v>
      </c>
      <c r="B580" s="107" t="s">
        <v>1599</v>
      </c>
      <c r="C580" s="107" t="s">
        <v>1600</v>
      </c>
      <c r="D580" s="107" t="s">
        <v>458</v>
      </c>
      <c r="E580" s="107" t="s">
        <v>458</v>
      </c>
      <c r="F580" s="107" t="s">
        <v>458</v>
      </c>
      <c r="G580" s="107" t="s">
        <v>458</v>
      </c>
      <c r="H580" s="107" t="s">
        <v>1601</v>
      </c>
      <c r="I580" s="107" t="s">
        <v>458</v>
      </c>
      <c r="J580" s="18" t="s">
        <v>484</v>
      </c>
      <c r="K580" s="107" t="s">
        <v>458</v>
      </c>
      <c r="L580" s="107" t="s">
        <v>458</v>
      </c>
      <c r="M580" s="113" t="str">
        <f t="shared" ref="M580:M638" si="12">HYPERLINK("http://maps.google.com/maps?q="&amp;D580&amp;","&amp;E580,"View on Google Map")</f>
        <v>View on Google Map</v>
      </c>
    </row>
    <row r="581" spans="1:13" x14ac:dyDescent="0.2">
      <c r="A581" s="107">
        <v>902</v>
      </c>
      <c r="B581" s="107" t="s">
        <v>1602</v>
      </c>
      <c r="C581" s="107" t="s">
        <v>1600</v>
      </c>
      <c r="D581" s="107" t="s">
        <v>458</v>
      </c>
      <c r="E581" s="107" t="s">
        <v>458</v>
      </c>
      <c r="F581" s="107">
        <v>757</v>
      </c>
      <c r="G581" s="107" t="s">
        <v>459</v>
      </c>
      <c r="H581" s="107" t="s">
        <v>1603</v>
      </c>
      <c r="I581" s="107" t="s">
        <v>458</v>
      </c>
      <c r="J581" s="107" t="s">
        <v>484</v>
      </c>
      <c r="K581" s="107" t="s">
        <v>458</v>
      </c>
      <c r="L581" s="107" t="s">
        <v>458</v>
      </c>
      <c r="M581" s="113" t="str">
        <f t="shared" si="12"/>
        <v>View on Google Map</v>
      </c>
    </row>
    <row r="582" spans="1:13" x14ac:dyDescent="0.2">
      <c r="A582" s="107">
        <v>903</v>
      </c>
      <c r="B582" s="107" t="s">
        <v>1604</v>
      </c>
      <c r="C582" s="107" t="s">
        <v>1600</v>
      </c>
      <c r="D582" s="107" t="s">
        <v>458</v>
      </c>
      <c r="E582" s="107" t="s">
        <v>458</v>
      </c>
      <c r="F582" s="107">
        <v>770</v>
      </c>
      <c r="G582" s="107" t="s">
        <v>459</v>
      </c>
      <c r="H582" s="107" t="s">
        <v>1605</v>
      </c>
      <c r="I582" s="107" t="s">
        <v>458</v>
      </c>
      <c r="J582" s="107" t="s">
        <v>484</v>
      </c>
      <c r="K582" s="107" t="s">
        <v>458</v>
      </c>
      <c r="L582" s="107" t="s">
        <v>458</v>
      </c>
      <c r="M582" s="113" t="str">
        <f t="shared" si="12"/>
        <v>View on Google Map</v>
      </c>
    </row>
    <row r="583" spans="1:13" x14ac:dyDescent="0.2">
      <c r="A583" s="107">
        <v>904</v>
      </c>
      <c r="B583" s="107" t="s">
        <v>1606</v>
      </c>
      <c r="C583" s="107" t="s">
        <v>1600</v>
      </c>
      <c r="D583" s="107" t="s">
        <v>458</v>
      </c>
      <c r="E583" s="107" t="s">
        <v>458</v>
      </c>
      <c r="F583" s="107">
        <v>770</v>
      </c>
      <c r="G583" s="107" t="s">
        <v>459</v>
      </c>
      <c r="H583" s="107" t="s">
        <v>1607</v>
      </c>
      <c r="I583" s="107" t="s">
        <v>458</v>
      </c>
      <c r="J583" s="107" t="s">
        <v>484</v>
      </c>
      <c r="K583" s="107" t="s">
        <v>458</v>
      </c>
      <c r="L583" s="107" t="s">
        <v>458</v>
      </c>
      <c r="M583" s="113" t="str">
        <f t="shared" si="12"/>
        <v>View on Google Map</v>
      </c>
    </row>
    <row r="584" spans="1:13" x14ac:dyDescent="0.2">
      <c r="A584" s="107">
        <v>905</v>
      </c>
      <c r="B584" s="107" t="s">
        <v>1608</v>
      </c>
      <c r="C584" s="107" t="s">
        <v>1600</v>
      </c>
      <c r="D584" s="107" t="s">
        <v>458</v>
      </c>
      <c r="E584" s="107" t="s">
        <v>458</v>
      </c>
      <c r="F584" s="107">
        <v>769</v>
      </c>
      <c r="G584" s="107" t="s">
        <v>459</v>
      </c>
      <c r="H584" s="107" t="s">
        <v>1609</v>
      </c>
      <c r="I584" s="107" t="s">
        <v>458</v>
      </c>
      <c r="J584" s="107" t="s">
        <v>484</v>
      </c>
      <c r="K584" s="107" t="s">
        <v>458</v>
      </c>
      <c r="L584" s="107" t="s">
        <v>458</v>
      </c>
      <c r="M584" s="113" t="str">
        <f t="shared" si="12"/>
        <v>View on Google Map</v>
      </c>
    </row>
    <row r="585" spans="1:13" x14ac:dyDescent="0.2">
      <c r="A585" s="107">
        <v>906</v>
      </c>
      <c r="B585" s="107" t="s">
        <v>1610</v>
      </c>
      <c r="C585" s="107" t="s">
        <v>1600</v>
      </c>
      <c r="D585" s="107" t="s">
        <v>458</v>
      </c>
      <c r="E585" s="107" t="s">
        <v>458</v>
      </c>
      <c r="F585" s="107">
        <v>769</v>
      </c>
      <c r="G585" s="107" t="s">
        <v>459</v>
      </c>
      <c r="H585" s="107" t="s">
        <v>1611</v>
      </c>
      <c r="I585" s="107" t="s">
        <v>458</v>
      </c>
      <c r="J585" s="107" t="s">
        <v>484</v>
      </c>
      <c r="K585" s="107" t="s">
        <v>458</v>
      </c>
      <c r="L585" s="107" t="s">
        <v>458</v>
      </c>
      <c r="M585" s="113" t="str">
        <f t="shared" si="12"/>
        <v>View on Google Map</v>
      </c>
    </row>
    <row r="586" spans="1:13" x14ac:dyDescent="0.2">
      <c r="A586" s="107">
        <v>907</v>
      </c>
      <c r="B586" s="107" t="s">
        <v>1612</v>
      </c>
      <c r="C586" s="107" t="s">
        <v>1600</v>
      </c>
      <c r="D586" s="107" t="s">
        <v>458</v>
      </c>
      <c r="E586" s="107" t="s">
        <v>458</v>
      </c>
      <c r="F586" s="107">
        <v>770</v>
      </c>
      <c r="G586" s="107" t="s">
        <v>459</v>
      </c>
      <c r="H586" s="107" t="s">
        <v>1613</v>
      </c>
      <c r="I586" s="107" t="s">
        <v>458</v>
      </c>
      <c r="J586" s="107" t="s">
        <v>484</v>
      </c>
      <c r="K586" s="107" t="s">
        <v>458</v>
      </c>
      <c r="L586" s="107" t="s">
        <v>458</v>
      </c>
      <c r="M586" s="113" t="str">
        <f t="shared" si="12"/>
        <v>View on Google Map</v>
      </c>
    </row>
    <row r="587" spans="1:13" x14ac:dyDescent="0.2">
      <c r="A587" s="107">
        <v>908</v>
      </c>
      <c r="B587" s="107" t="s">
        <v>1614</v>
      </c>
      <c r="C587" s="107" t="s">
        <v>1600</v>
      </c>
      <c r="D587" s="107" t="s">
        <v>458</v>
      </c>
      <c r="E587" s="107" t="s">
        <v>458</v>
      </c>
      <c r="F587" s="107">
        <v>770</v>
      </c>
      <c r="G587" s="107" t="s">
        <v>459</v>
      </c>
      <c r="H587" s="107" t="s">
        <v>1615</v>
      </c>
      <c r="I587" s="107" t="s">
        <v>458</v>
      </c>
      <c r="J587" s="107" t="s">
        <v>484</v>
      </c>
      <c r="K587" s="107" t="s">
        <v>458</v>
      </c>
      <c r="L587" s="107" t="s">
        <v>458</v>
      </c>
      <c r="M587" s="113" t="str">
        <f t="shared" si="12"/>
        <v>View on Google Map</v>
      </c>
    </row>
    <row r="588" spans="1:13" x14ac:dyDescent="0.2">
      <c r="A588" s="107">
        <v>909</v>
      </c>
      <c r="B588" s="107" t="s">
        <v>1616</v>
      </c>
      <c r="C588" s="107" t="s">
        <v>1600</v>
      </c>
      <c r="D588" s="107" t="s">
        <v>458</v>
      </c>
      <c r="E588" s="107" t="s">
        <v>458</v>
      </c>
      <c r="F588" s="107">
        <v>764</v>
      </c>
      <c r="G588" s="107" t="s">
        <v>459</v>
      </c>
      <c r="H588" s="107" t="s">
        <v>1617</v>
      </c>
      <c r="I588" s="107" t="s">
        <v>458</v>
      </c>
      <c r="J588" s="107" t="s">
        <v>484</v>
      </c>
      <c r="K588" s="107" t="s">
        <v>458</v>
      </c>
      <c r="L588" s="107" t="s">
        <v>458</v>
      </c>
      <c r="M588" s="113" t="str">
        <f t="shared" si="12"/>
        <v>View on Google Map</v>
      </c>
    </row>
    <row r="589" spans="1:13" x14ac:dyDescent="0.2">
      <c r="A589" s="107">
        <v>910</v>
      </c>
      <c r="B589" s="107" t="s">
        <v>1618</v>
      </c>
      <c r="C589" s="107" t="s">
        <v>1600</v>
      </c>
      <c r="D589" s="107" t="s">
        <v>458</v>
      </c>
      <c r="E589" s="107" t="s">
        <v>458</v>
      </c>
      <c r="F589" s="107">
        <v>764</v>
      </c>
      <c r="G589" s="107" t="s">
        <v>459</v>
      </c>
      <c r="H589" s="107" t="s">
        <v>1619</v>
      </c>
      <c r="I589" s="107" t="s">
        <v>458</v>
      </c>
      <c r="J589" s="107" t="s">
        <v>484</v>
      </c>
      <c r="K589" s="107" t="s">
        <v>458</v>
      </c>
      <c r="L589" s="107" t="s">
        <v>458</v>
      </c>
      <c r="M589" s="113" t="str">
        <f t="shared" si="12"/>
        <v>View on Google Map</v>
      </c>
    </row>
    <row r="590" spans="1:13" x14ac:dyDescent="0.2">
      <c r="A590" s="107">
        <v>911</v>
      </c>
      <c r="B590" s="107" t="s">
        <v>1620</v>
      </c>
      <c r="C590" s="107" t="s">
        <v>1600</v>
      </c>
      <c r="D590" s="107" t="s">
        <v>458</v>
      </c>
      <c r="E590" s="107" t="s">
        <v>458</v>
      </c>
      <c r="F590" s="107">
        <v>760</v>
      </c>
      <c r="G590" s="107" t="s">
        <v>459</v>
      </c>
      <c r="H590" s="107" t="s">
        <v>1621</v>
      </c>
      <c r="I590" s="107" t="s">
        <v>458</v>
      </c>
      <c r="J590" s="107" t="s">
        <v>484</v>
      </c>
      <c r="K590" s="107" t="s">
        <v>458</v>
      </c>
      <c r="L590" s="107" t="s">
        <v>458</v>
      </c>
      <c r="M590" s="113" t="str">
        <f t="shared" si="12"/>
        <v>View on Google Map</v>
      </c>
    </row>
    <row r="591" spans="1:13" x14ac:dyDescent="0.2">
      <c r="A591" s="107">
        <v>912</v>
      </c>
      <c r="B591" s="107" t="s">
        <v>1622</v>
      </c>
      <c r="C591" s="107" t="s">
        <v>1600</v>
      </c>
      <c r="D591" s="107" t="s">
        <v>458</v>
      </c>
      <c r="E591" s="107" t="s">
        <v>458</v>
      </c>
      <c r="F591" s="107">
        <v>760</v>
      </c>
      <c r="G591" s="107" t="s">
        <v>459</v>
      </c>
      <c r="H591" s="107" t="s">
        <v>1623</v>
      </c>
      <c r="I591" s="107" t="s">
        <v>458</v>
      </c>
      <c r="J591" s="107" t="s">
        <v>484</v>
      </c>
      <c r="K591" s="107" t="s">
        <v>458</v>
      </c>
      <c r="L591" s="107" t="s">
        <v>458</v>
      </c>
      <c r="M591" s="113" t="str">
        <f t="shared" si="12"/>
        <v>View on Google Map</v>
      </c>
    </row>
    <row r="592" spans="1:13" x14ac:dyDescent="0.2">
      <c r="A592" s="107">
        <v>913</v>
      </c>
      <c r="B592" s="107" t="s">
        <v>1624</v>
      </c>
      <c r="C592" s="107" t="s">
        <v>1600</v>
      </c>
      <c r="D592" s="107" t="s">
        <v>458</v>
      </c>
      <c r="E592" s="107" t="s">
        <v>458</v>
      </c>
      <c r="F592" s="107">
        <v>759</v>
      </c>
      <c r="G592" s="107" t="s">
        <v>459</v>
      </c>
      <c r="H592" s="107" t="s">
        <v>1625</v>
      </c>
      <c r="I592" s="107" t="s">
        <v>458</v>
      </c>
      <c r="J592" s="107" t="s">
        <v>484</v>
      </c>
      <c r="K592" s="107" t="s">
        <v>458</v>
      </c>
      <c r="L592" s="107" t="s">
        <v>458</v>
      </c>
      <c r="M592" s="113" t="str">
        <f t="shared" si="12"/>
        <v>View on Google Map</v>
      </c>
    </row>
    <row r="593" spans="1:13" x14ac:dyDescent="0.2">
      <c r="A593" s="107">
        <v>914</v>
      </c>
      <c r="B593" s="107" t="s">
        <v>1626</v>
      </c>
      <c r="C593" s="107" t="s">
        <v>1600</v>
      </c>
      <c r="D593" s="107" t="s">
        <v>458</v>
      </c>
      <c r="E593" s="107" t="s">
        <v>458</v>
      </c>
      <c r="F593" s="107">
        <v>758</v>
      </c>
      <c r="G593" s="107" t="s">
        <v>459</v>
      </c>
      <c r="H593" s="107" t="s">
        <v>1627</v>
      </c>
      <c r="I593" s="107" t="s">
        <v>458</v>
      </c>
      <c r="J593" s="107" t="s">
        <v>484</v>
      </c>
      <c r="K593" s="107" t="s">
        <v>458</v>
      </c>
      <c r="L593" s="107" t="s">
        <v>458</v>
      </c>
      <c r="M593" s="113" t="str">
        <f t="shared" si="12"/>
        <v>View on Google Map</v>
      </c>
    </row>
    <row r="594" spans="1:13" x14ac:dyDescent="0.2">
      <c r="A594" s="107">
        <v>915</v>
      </c>
      <c r="B594" s="107" t="s">
        <v>1628</v>
      </c>
      <c r="C594" s="107" t="s">
        <v>1629</v>
      </c>
      <c r="D594" s="107">
        <v>68.627900999999994</v>
      </c>
      <c r="E594" s="107">
        <v>-149.61295100000001</v>
      </c>
      <c r="F594" s="107">
        <v>759</v>
      </c>
      <c r="G594" s="107" t="s">
        <v>459</v>
      </c>
      <c r="H594" s="107" t="s">
        <v>1630</v>
      </c>
      <c r="I594" s="107" t="s">
        <v>1631</v>
      </c>
      <c r="J594" s="107" t="s">
        <v>484</v>
      </c>
      <c r="K594" s="107" t="s">
        <v>458</v>
      </c>
      <c r="L594" s="107" t="s">
        <v>458</v>
      </c>
      <c r="M594" s="113" t="str">
        <f t="shared" si="12"/>
        <v>View on Google Map</v>
      </c>
    </row>
    <row r="595" spans="1:13" x14ac:dyDescent="0.2">
      <c r="A595" s="107">
        <v>900</v>
      </c>
      <c r="B595" s="107" t="s">
        <v>1632</v>
      </c>
      <c r="C595" s="107" t="s">
        <v>458</v>
      </c>
      <c r="D595" s="107">
        <v>68.623487999999995</v>
      </c>
      <c r="E595" s="107">
        <v>-149.616559</v>
      </c>
      <c r="F595" s="107">
        <v>761</v>
      </c>
      <c r="G595" s="107" t="s">
        <v>459</v>
      </c>
      <c r="H595" s="107" t="s">
        <v>1633</v>
      </c>
      <c r="I595" s="107" t="s">
        <v>1634</v>
      </c>
      <c r="J595" s="107" t="s">
        <v>484</v>
      </c>
      <c r="K595" s="107" t="s">
        <v>458</v>
      </c>
      <c r="L595" s="107" t="s">
        <v>458</v>
      </c>
      <c r="M595" s="113" t="str">
        <f t="shared" si="12"/>
        <v>View on Google Map</v>
      </c>
    </row>
    <row r="596" spans="1:13" x14ac:dyDescent="0.2">
      <c r="B596" s="107" t="s">
        <v>1635</v>
      </c>
      <c r="C596" s="107" t="s">
        <v>1070</v>
      </c>
      <c r="D596" s="107">
        <v>68.549263888888888</v>
      </c>
      <c r="E596" s="107">
        <v>-149.306022222222</v>
      </c>
      <c r="G596" s="107" t="s">
        <v>995</v>
      </c>
      <c r="J596" s="18" t="s">
        <v>484</v>
      </c>
      <c r="M596" s="113" t="str">
        <f t="shared" si="12"/>
        <v>View on Google Map</v>
      </c>
    </row>
    <row r="597" spans="1:13" x14ac:dyDescent="0.2">
      <c r="B597" s="107" t="s">
        <v>1636</v>
      </c>
      <c r="C597" s="107" t="s">
        <v>1070</v>
      </c>
      <c r="D597" s="107">
        <v>68.550188888888883</v>
      </c>
      <c r="E597" s="107">
        <v>-149.310305555556</v>
      </c>
      <c r="G597" s="107" t="s">
        <v>995</v>
      </c>
      <c r="J597" s="18" t="s">
        <v>484</v>
      </c>
      <c r="M597" s="113" t="str">
        <f t="shared" si="12"/>
        <v>View on Google Map</v>
      </c>
    </row>
    <row r="598" spans="1:13" x14ac:dyDescent="0.2">
      <c r="B598" s="107" t="s">
        <v>1637</v>
      </c>
      <c r="C598" s="107" t="s">
        <v>1070</v>
      </c>
      <c r="D598" s="107">
        <v>68.549108333333336</v>
      </c>
      <c r="E598" s="107">
        <v>-149.30837777777799</v>
      </c>
      <c r="G598" s="107" t="s">
        <v>995</v>
      </c>
      <c r="J598" s="18" t="s">
        <v>484</v>
      </c>
      <c r="M598" s="113" t="str">
        <f t="shared" si="12"/>
        <v>View on Google Map</v>
      </c>
    </row>
    <row r="599" spans="1:13" x14ac:dyDescent="0.2">
      <c r="A599" s="107">
        <v>42</v>
      </c>
      <c r="B599" s="107" t="s">
        <v>1638</v>
      </c>
      <c r="C599" s="107" t="s">
        <v>458</v>
      </c>
      <c r="D599" s="107">
        <v>68.960555999999997</v>
      </c>
      <c r="E599" s="107">
        <v>-150.63055600000001</v>
      </c>
      <c r="F599" s="107" t="s">
        <v>458</v>
      </c>
      <c r="G599" s="107" t="s">
        <v>483</v>
      </c>
      <c r="H599" s="107" t="s">
        <v>1639</v>
      </c>
      <c r="I599" s="107" t="s">
        <v>458</v>
      </c>
      <c r="J599" s="107" t="s">
        <v>1469</v>
      </c>
      <c r="K599" s="107" t="s">
        <v>458</v>
      </c>
      <c r="L599" s="107" t="s">
        <v>466</v>
      </c>
      <c r="M599" s="113" t="str">
        <f t="shared" si="12"/>
        <v>View on Google Map</v>
      </c>
    </row>
    <row r="600" spans="1:13" x14ac:dyDescent="0.2">
      <c r="A600" s="107">
        <v>43</v>
      </c>
      <c r="B600" s="107" t="s">
        <v>1640</v>
      </c>
      <c r="C600" s="107" t="s">
        <v>458</v>
      </c>
      <c r="D600" s="107">
        <v>68.935101000000003</v>
      </c>
      <c r="E600" s="107">
        <v>-150.68391700000001</v>
      </c>
      <c r="F600" s="107" t="s">
        <v>458</v>
      </c>
      <c r="G600" s="107" t="s">
        <v>483</v>
      </c>
      <c r="H600" s="107" t="s">
        <v>1641</v>
      </c>
      <c r="I600" s="107" t="s">
        <v>458</v>
      </c>
      <c r="J600" s="107" t="s">
        <v>1469</v>
      </c>
      <c r="K600" s="107" t="s">
        <v>458</v>
      </c>
      <c r="L600" s="107" t="s">
        <v>466</v>
      </c>
      <c r="M600" s="113" t="str">
        <f t="shared" si="12"/>
        <v>View on Google Map</v>
      </c>
    </row>
    <row r="601" spans="1:13" x14ac:dyDescent="0.2">
      <c r="A601" s="107">
        <v>44</v>
      </c>
      <c r="B601" s="107" t="s">
        <v>1642</v>
      </c>
      <c r="C601" s="107" t="s">
        <v>458</v>
      </c>
      <c r="D601" s="107">
        <v>68.916987000000006</v>
      </c>
      <c r="E601" s="107">
        <v>-150.659291</v>
      </c>
      <c r="F601" s="107" t="s">
        <v>458</v>
      </c>
      <c r="G601" s="107" t="s">
        <v>483</v>
      </c>
      <c r="H601" s="107" t="s">
        <v>1643</v>
      </c>
      <c r="I601" s="107" t="s">
        <v>458</v>
      </c>
      <c r="J601" s="107" t="s">
        <v>1469</v>
      </c>
      <c r="K601" s="107" t="s">
        <v>458</v>
      </c>
      <c r="L601" s="107" t="s">
        <v>466</v>
      </c>
      <c r="M601" s="113" t="str">
        <f t="shared" si="12"/>
        <v>View on Google Map</v>
      </c>
    </row>
    <row r="602" spans="1:13" x14ac:dyDescent="0.2">
      <c r="B602" s="107" t="s">
        <v>1644</v>
      </c>
      <c r="C602" s="107" t="s">
        <v>1471</v>
      </c>
      <c r="D602" s="107">
        <v>69.132777777777775</v>
      </c>
      <c r="E602" s="107">
        <v>-150.710833333333</v>
      </c>
      <c r="G602" s="107" t="s">
        <v>477</v>
      </c>
      <c r="J602" s="107" t="s">
        <v>465</v>
      </c>
      <c r="L602" s="107" t="s">
        <v>466</v>
      </c>
      <c r="M602" s="113" t="str">
        <f t="shared" si="12"/>
        <v>View on Google Map</v>
      </c>
    </row>
    <row r="603" spans="1:13" x14ac:dyDescent="0.2">
      <c r="B603" s="107" t="s">
        <v>1645</v>
      </c>
      <c r="C603" s="107" t="s">
        <v>855</v>
      </c>
      <c r="D603" s="107">
        <v>69.13944444444445</v>
      </c>
      <c r="E603" s="107">
        <v>-150.68388888888899</v>
      </c>
      <c r="G603" s="107" t="s">
        <v>477</v>
      </c>
      <c r="J603" s="107" t="s">
        <v>465</v>
      </c>
      <c r="L603" s="107" t="s">
        <v>466</v>
      </c>
      <c r="M603" s="113" t="str">
        <f t="shared" si="12"/>
        <v>View on Google Map</v>
      </c>
    </row>
    <row r="604" spans="1:13" x14ac:dyDescent="0.2">
      <c r="B604" s="107" t="s">
        <v>1646</v>
      </c>
      <c r="C604" s="107" t="s">
        <v>1471</v>
      </c>
      <c r="D604" s="107">
        <v>68.960833333333341</v>
      </c>
      <c r="E604" s="107">
        <v>-150.719722222222</v>
      </c>
      <c r="G604" s="107" t="s">
        <v>477</v>
      </c>
      <c r="J604" s="107" t="s">
        <v>465</v>
      </c>
      <c r="L604" s="107" t="s">
        <v>466</v>
      </c>
      <c r="M604" s="113" t="str">
        <f t="shared" si="12"/>
        <v>View on Google Map</v>
      </c>
    </row>
    <row r="605" spans="1:13" x14ac:dyDescent="0.2">
      <c r="B605" s="107" t="s">
        <v>1647</v>
      </c>
      <c r="C605" s="107" t="s">
        <v>855</v>
      </c>
      <c r="D605" s="107">
        <v>69.055277777777775</v>
      </c>
      <c r="E605" s="107">
        <v>-150.80972222222201</v>
      </c>
      <c r="G605" s="107" t="s">
        <v>477</v>
      </c>
      <c r="J605" s="107" t="s">
        <v>465</v>
      </c>
      <c r="L605" s="107" t="s">
        <v>466</v>
      </c>
      <c r="M605" s="113" t="str">
        <f t="shared" si="12"/>
        <v>View on Google Map</v>
      </c>
    </row>
    <row r="606" spans="1:13" x14ac:dyDescent="0.2">
      <c r="A606" s="107">
        <v>932</v>
      </c>
      <c r="B606" s="107" t="s">
        <v>1648</v>
      </c>
      <c r="C606" s="107" t="s">
        <v>458</v>
      </c>
      <c r="D606" s="107" t="s">
        <v>458</v>
      </c>
      <c r="E606" s="107" t="s">
        <v>458</v>
      </c>
      <c r="F606" s="107">
        <v>750</v>
      </c>
      <c r="G606" s="107" t="s">
        <v>459</v>
      </c>
      <c r="H606" s="107" t="s">
        <v>1649</v>
      </c>
      <c r="I606" s="107" t="s">
        <v>1650</v>
      </c>
      <c r="J606" s="107" t="s">
        <v>484</v>
      </c>
      <c r="K606" s="107" t="s">
        <v>458</v>
      </c>
      <c r="L606" s="107" t="s">
        <v>458</v>
      </c>
      <c r="M606" s="113" t="str">
        <f t="shared" si="12"/>
        <v>View on Google Map</v>
      </c>
    </row>
    <row r="607" spans="1:13" x14ac:dyDescent="0.2">
      <c r="A607" s="107">
        <v>920</v>
      </c>
      <c r="B607" s="107" t="s">
        <v>1651</v>
      </c>
      <c r="C607" s="107" t="s">
        <v>458</v>
      </c>
      <c r="D607" s="107" t="s">
        <v>458</v>
      </c>
      <c r="E607" s="107" t="s">
        <v>458</v>
      </c>
      <c r="F607" s="107">
        <v>760</v>
      </c>
      <c r="G607" s="107" t="s">
        <v>459</v>
      </c>
      <c r="H607" s="107" t="s">
        <v>1652</v>
      </c>
      <c r="I607" s="107" t="s">
        <v>1653</v>
      </c>
      <c r="J607" s="107" t="s">
        <v>484</v>
      </c>
      <c r="K607" s="107" t="s">
        <v>458</v>
      </c>
      <c r="L607" s="107" t="s">
        <v>458</v>
      </c>
      <c r="M607" s="113" t="str">
        <f t="shared" si="12"/>
        <v>View on Google Map</v>
      </c>
    </row>
    <row r="608" spans="1:13" x14ac:dyDescent="0.2">
      <c r="A608" s="107">
        <v>921</v>
      </c>
      <c r="B608" s="107" t="s">
        <v>1654</v>
      </c>
      <c r="C608" s="107" t="s">
        <v>458</v>
      </c>
      <c r="D608" s="107" t="s">
        <v>458</v>
      </c>
      <c r="E608" s="107" t="s">
        <v>458</v>
      </c>
      <c r="F608" s="107">
        <v>720</v>
      </c>
      <c r="G608" s="107" t="s">
        <v>459</v>
      </c>
      <c r="H608" s="107" t="s">
        <v>1655</v>
      </c>
      <c r="I608" s="107" t="s">
        <v>1656</v>
      </c>
      <c r="J608" s="107" t="s">
        <v>484</v>
      </c>
      <c r="K608" s="107" t="s">
        <v>458</v>
      </c>
      <c r="L608" s="107" t="s">
        <v>458</v>
      </c>
      <c r="M608" s="113" t="str">
        <f t="shared" si="12"/>
        <v>View on Google Map</v>
      </c>
    </row>
    <row r="609" spans="1:13" x14ac:dyDescent="0.2">
      <c r="A609" s="107">
        <v>922</v>
      </c>
      <c r="B609" s="107" t="s">
        <v>1657</v>
      </c>
      <c r="C609" s="107" t="s">
        <v>458</v>
      </c>
      <c r="D609" s="107" t="s">
        <v>458</v>
      </c>
      <c r="E609" s="107" t="s">
        <v>458</v>
      </c>
      <c r="F609" s="107">
        <v>750</v>
      </c>
      <c r="G609" s="107" t="s">
        <v>459</v>
      </c>
      <c r="H609" s="107" t="s">
        <v>1658</v>
      </c>
      <c r="I609" s="107" t="s">
        <v>1659</v>
      </c>
      <c r="J609" s="107" t="s">
        <v>484</v>
      </c>
      <c r="K609" s="107" t="s">
        <v>458</v>
      </c>
      <c r="L609" s="107" t="s">
        <v>458</v>
      </c>
      <c r="M609" s="113" t="str">
        <f t="shared" si="12"/>
        <v>View on Google Map</v>
      </c>
    </row>
    <row r="610" spans="1:13" x14ac:dyDescent="0.2">
      <c r="A610" s="107">
        <v>923</v>
      </c>
      <c r="B610" s="107" t="s">
        <v>1660</v>
      </c>
      <c r="C610" s="107" t="s">
        <v>458</v>
      </c>
      <c r="D610" s="107" t="s">
        <v>458</v>
      </c>
      <c r="E610" s="107" t="s">
        <v>458</v>
      </c>
      <c r="F610" s="107">
        <v>750</v>
      </c>
      <c r="G610" s="107" t="s">
        <v>459</v>
      </c>
      <c r="H610" s="107" t="s">
        <v>1661</v>
      </c>
      <c r="I610" s="107" t="s">
        <v>1662</v>
      </c>
      <c r="J610" s="107" t="s">
        <v>484</v>
      </c>
      <c r="K610" s="107" t="s">
        <v>458</v>
      </c>
      <c r="L610" s="107" t="s">
        <v>458</v>
      </c>
      <c r="M610" s="113" t="str">
        <f t="shared" si="12"/>
        <v>View on Google Map</v>
      </c>
    </row>
    <row r="611" spans="1:13" x14ac:dyDescent="0.2">
      <c r="A611" s="107">
        <v>924</v>
      </c>
      <c r="B611" s="107" t="s">
        <v>1663</v>
      </c>
      <c r="C611" s="107" t="s">
        <v>458</v>
      </c>
      <c r="D611" s="107" t="s">
        <v>458</v>
      </c>
      <c r="E611" s="107" t="s">
        <v>458</v>
      </c>
      <c r="F611" s="107">
        <v>750</v>
      </c>
      <c r="G611" s="107" t="s">
        <v>459</v>
      </c>
      <c r="H611" s="107" t="s">
        <v>1664</v>
      </c>
      <c r="I611" s="107" t="s">
        <v>1665</v>
      </c>
      <c r="J611" s="107" t="s">
        <v>484</v>
      </c>
      <c r="K611" s="107" t="s">
        <v>458</v>
      </c>
      <c r="L611" s="107" t="s">
        <v>458</v>
      </c>
      <c r="M611" s="113" t="str">
        <f t="shared" si="12"/>
        <v>View on Google Map</v>
      </c>
    </row>
    <row r="612" spans="1:13" x14ac:dyDescent="0.2">
      <c r="A612" s="107">
        <v>925</v>
      </c>
      <c r="B612" s="107" t="s">
        <v>1666</v>
      </c>
      <c r="C612" s="107" t="s">
        <v>458</v>
      </c>
      <c r="D612" s="107" t="s">
        <v>458</v>
      </c>
      <c r="E612" s="107" t="s">
        <v>458</v>
      </c>
      <c r="F612" s="107">
        <v>750</v>
      </c>
      <c r="G612" s="107" t="s">
        <v>459</v>
      </c>
      <c r="H612" s="107" t="s">
        <v>1667</v>
      </c>
      <c r="I612" s="107" t="s">
        <v>1668</v>
      </c>
      <c r="J612" s="107" t="s">
        <v>484</v>
      </c>
      <c r="K612" s="107" t="s">
        <v>458</v>
      </c>
      <c r="L612" s="107" t="s">
        <v>458</v>
      </c>
      <c r="M612" s="113" t="str">
        <f t="shared" si="12"/>
        <v>View on Google Map</v>
      </c>
    </row>
    <row r="613" spans="1:13" x14ac:dyDescent="0.2">
      <c r="A613" s="107">
        <v>926</v>
      </c>
      <c r="B613" s="107" t="s">
        <v>1669</v>
      </c>
      <c r="C613" s="107" t="s">
        <v>458</v>
      </c>
      <c r="D613" s="107" t="s">
        <v>458</v>
      </c>
      <c r="E613" s="107" t="s">
        <v>458</v>
      </c>
      <c r="F613" s="107">
        <v>750</v>
      </c>
      <c r="G613" s="107" t="s">
        <v>459</v>
      </c>
      <c r="H613" s="107" t="s">
        <v>1670</v>
      </c>
      <c r="I613" s="107" t="s">
        <v>1671</v>
      </c>
      <c r="J613" s="107" t="s">
        <v>484</v>
      </c>
      <c r="K613" s="107" t="s">
        <v>458</v>
      </c>
      <c r="L613" s="107" t="s">
        <v>458</v>
      </c>
      <c r="M613" s="113" t="str">
        <f t="shared" si="12"/>
        <v>View on Google Map</v>
      </c>
    </row>
    <row r="614" spans="1:13" x14ac:dyDescent="0.2">
      <c r="A614" s="107">
        <v>927</v>
      </c>
      <c r="B614" s="107" t="s">
        <v>1672</v>
      </c>
      <c r="C614" s="107" t="s">
        <v>458</v>
      </c>
      <c r="D614" s="107" t="s">
        <v>458</v>
      </c>
      <c r="E614" s="107" t="s">
        <v>458</v>
      </c>
      <c r="F614" s="107">
        <v>750</v>
      </c>
      <c r="G614" s="107" t="s">
        <v>459</v>
      </c>
      <c r="H614" s="107" t="s">
        <v>1673</v>
      </c>
      <c r="I614" s="107" t="s">
        <v>1674</v>
      </c>
      <c r="J614" s="107" t="s">
        <v>484</v>
      </c>
      <c r="K614" s="107" t="s">
        <v>458</v>
      </c>
      <c r="L614" s="107" t="s">
        <v>458</v>
      </c>
      <c r="M614" s="113" t="str">
        <f t="shared" si="12"/>
        <v>View on Google Map</v>
      </c>
    </row>
    <row r="615" spans="1:13" x14ac:dyDescent="0.2">
      <c r="A615" s="107">
        <v>928</v>
      </c>
      <c r="B615" s="107" t="s">
        <v>1675</v>
      </c>
      <c r="C615" s="107" t="s">
        <v>458</v>
      </c>
      <c r="D615" s="107" t="s">
        <v>458</v>
      </c>
      <c r="E615" s="107" t="s">
        <v>458</v>
      </c>
      <c r="F615" s="107">
        <v>750</v>
      </c>
      <c r="G615" s="107" t="s">
        <v>459</v>
      </c>
      <c r="H615" s="107" t="s">
        <v>1676</v>
      </c>
      <c r="I615" s="107" t="s">
        <v>1677</v>
      </c>
      <c r="J615" s="107" t="s">
        <v>484</v>
      </c>
      <c r="K615" s="107" t="s">
        <v>458</v>
      </c>
      <c r="L615" s="107" t="s">
        <v>458</v>
      </c>
      <c r="M615" s="113" t="str">
        <f t="shared" si="12"/>
        <v>View on Google Map</v>
      </c>
    </row>
    <row r="616" spans="1:13" x14ac:dyDescent="0.2">
      <c r="A616" s="107">
        <v>929</v>
      </c>
      <c r="B616" s="107" t="s">
        <v>1678</v>
      </c>
      <c r="C616" s="107" t="s">
        <v>458</v>
      </c>
      <c r="D616" s="107" t="s">
        <v>458</v>
      </c>
      <c r="E616" s="107" t="s">
        <v>458</v>
      </c>
      <c r="F616" s="107">
        <v>750</v>
      </c>
      <c r="G616" s="107" t="s">
        <v>459</v>
      </c>
      <c r="H616" s="107" t="s">
        <v>1679</v>
      </c>
      <c r="I616" s="107" t="s">
        <v>1680</v>
      </c>
      <c r="J616" s="107" t="s">
        <v>484</v>
      </c>
      <c r="K616" s="107" t="s">
        <v>458</v>
      </c>
      <c r="L616" s="107" t="s">
        <v>458</v>
      </c>
      <c r="M616" s="113" t="str">
        <f t="shared" si="12"/>
        <v>View on Google Map</v>
      </c>
    </row>
    <row r="617" spans="1:13" x14ac:dyDescent="0.2">
      <c r="A617" s="107">
        <v>930</v>
      </c>
      <c r="B617" s="107" t="s">
        <v>1681</v>
      </c>
      <c r="C617" s="107" t="s">
        <v>458</v>
      </c>
      <c r="D617" s="107" t="s">
        <v>458</v>
      </c>
      <c r="E617" s="107" t="s">
        <v>458</v>
      </c>
      <c r="F617" s="107">
        <v>750</v>
      </c>
      <c r="G617" s="107" t="s">
        <v>459</v>
      </c>
      <c r="H617" s="107" t="s">
        <v>1682</v>
      </c>
      <c r="I617" s="107" t="s">
        <v>1683</v>
      </c>
      <c r="J617" s="107" t="s">
        <v>484</v>
      </c>
      <c r="K617" s="107" t="s">
        <v>458</v>
      </c>
      <c r="L617" s="107" t="s">
        <v>458</v>
      </c>
      <c r="M617" s="113" t="str">
        <f t="shared" si="12"/>
        <v>View on Google Map</v>
      </c>
    </row>
    <row r="618" spans="1:13" x14ac:dyDescent="0.2">
      <c r="A618" s="107">
        <v>931</v>
      </c>
      <c r="B618" s="107" t="s">
        <v>1684</v>
      </c>
      <c r="C618" s="107" t="s">
        <v>458</v>
      </c>
      <c r="D618" s="107" t="s">
        <v>458</v>
      </c>
      <c r="E618" s="107" t="s">
        <v>458</v>
      </c>
      <c r="F618" s="107">
        <v>750</v>
      </c>
      <c r="G618" s="107" t="s">
        <v>459</v>
      </c>
      <c r="H618" s="107" t="s">
        <v>1685</v>
      </c>
      <c r="I618" s="107" t="s">
        <v>1686</v>
      </c>
      <c r="J618" s="107" t="s">
        <v>484</v>
      </c>
      <c r="K618" s="107" t="s">
        <v>458</v>
      </c>
      <c r="L618" s="107" t="s">
        <v>458</v>
      </c>
      <c r="M618" s="113" t="str">
        <f t="shared" si="12"/>
        <v>View on Google Map</v>
      </c>
    </row>
    <row r="619" spans="1:13" x14ac:dyDescent="0.2">
      <c r="A619" s="107">
        <v>370</v>
      </c>
      <c r="B619" s="107" t="s">
        <v>1687</v>
      </c>
      <c r="C619" s="107" t="s">
        <v>458</v>
      </c>
      <c r="D619" s="107" t="s">
        <v>458</v>
      </c>
      <c r="E619" s="107" t="s">
        <v>458</v>
      </c>
      <c r="F619" s="107" t="s">
        <v>458</v>
      </c>
      <c r="G619" s="107" t="s">
        <v>469</v>
      </c>
      <c r="H619" s="107" t="s">
        <v>458</v>
      </c>
      <c r="I619" s="107" t="s">
        <v>458</v>
      </c>
      <c r="J619" s="107" t="s">
        <v>484</v>
      </c>
      <c r="K619" s="107" t="s">
        <v>458</v>
      </c>
      <c r="L619" s="107" t="s">
        <v>1688</v>
      </c>
      <c r="M619" s="113" t="str">
        <f t="shared" si="12"/>
        <v>View on Google Map</v>
      </c>
    </row>
    <row r="620" spans="1:13" x14ac:dyDescent="0.2">
      <c r="A620" s="107">
        <v>371</v>
      </c>
      <c r="B620" s="107" t="s">
        <v>1689</v>
      </c>
      <c r="C620" s="107" t="s">
        <v>458</v>
      </c>
      <c r="D620" s="107" t="s">
        <v>458</v>
      </c>
      <c r="E620" s="107" t="s">
        <v>458</v>
      </c>
      <c r="F620" s="107" t="s">
        <v>458</v>
      </c>
      <c r="G620" s="107" t="s">
        <v>469</v>
      </c>
      <c r="H620" s="107" t="s">
        <v>458</v>
      </c>
      <c r="I620" s="107" t="s">
        <v>458</v>
      </c>
      <c r="J620" s="107" t="s">
        <v>484</v>
      </c>
      <c r="K620" s="107" t="s">
        <v>458</v>
      </c>
      <c r="L620" s="107" t="s">
        <v>1688</v>
      </c>
      <c r="M620" s="113" t="str">
        <f t="shared" si="12"/>
        <v>View on Google Map</v>
      </c>
    </row>
    <row r="621" spans="1:13" x14ac:dyDescent="0.2">
      <c r="A621" s="107">
        <v>372</v>
      </c>
      <c r="B621" s="107" t="s">
        <v>1690</v>
      </c>
      <c r="C621" s="107" t="s">
        <v>458</v>
      </c>
      <c r="D621" s="107" t="s">
        <v>458</v>
      </c>
      <c r="E621" s="107" t="s">
        <v>458</v>
      </c>
      <c r="F621" s="107" t="s">
        <v>458</v>
      </c>
      <c r="G621" s="107" t="s">
        <v>469</v>
      </c>
      <c r="H621" s="107" t="s">
        <v>458</v>
      </c>
      <c r="I621" s="107" t="s">
        <v>458</v>
      </c>
      <c r="J621" s="107" t="s">
        <v>484</v>
      </c>
      <c r="K621" s="107" t="s">
        <v>458</v>
      </c>
      <c r="L621" s="107" t="s">
        <v>1688</v>
      </c>
      <c r="M621" s="113" t="str">
        <f t="shared" si="12"/>
        <v>View on Google Map</v>
      </c>
    </row>
    <row r="622" spans="1:13" x14ac:dyDescent="0.2">
      <c r="A622" s="107">
        <v>373</v>
      </c>
      <c r="B622" s="107" t="s">
        <v>1691</v>
      </c>
      <c r="C622" s="107" t="s">
        <v>458</v>
      </c>
      <c r="D622" s="107" t="s">
        <v>458</v>
      </c>
      <c r="E622" s="107" t="s">
        <v>458</v>
      </c>
      <c r="F622" s="107" t="s">
        <v>458</v>
      </c>
      <c r="G622" s="107" t="s">
        <v>469</v>
      </c>
      <c r="H622" s="107" t="s">
        <v>458</v>
      </c>
      <c r="I622" s="107" t="s">
        <v>458</v>
      </c>
      <c r="J622" s="107" t="s">
        <v>484</v>
      </c>
      <c r="K622" s="107" t="s">
        <v>458</v>
      </c>
      <c r="L622" s="107" t="s">
        <v>1688</v>
      </c>
      <c r="M622" s="113" t="str">
        <f t="shared" si="12"/>
        <v>View on Google Map</v>
      </c>
    </row>
    <row r="623" spans="1:13" x14ac:dyDescent="0.2">
      <c r="A623" s="107">
        <v>374</v>
      </c>
      <c r="B623" s="107" t="s">
        <v>1692</v>
      </c>
      <c r="C623" s="107" t="s">
        <v>458</v>
      </c>
      <c r="D623" s="107" t="s">
        <v>458</v>
      </c>
      <c r="E623" s="107" t="s">
        <v>458</v>
      </c>
      <c r="F623" s="107" t="s">
        <v>458</v>
      </c>
      <c r="G623" s="107" t="s">
        <v>469</v>
      </c>
      <c r="H623" s="107" t="s">
        <v>458</v>
      </c>
      <c r="I623" s="107" t="s">
        <v>458</v>
      </c>
      <c r="J623" s="107" t="s">
        <v>484</v>
      </c>
      <c r="K623" s="107" t="s">
        <v>458</v>
      </c>
      <c r="L623" s="107" t="s">
        <v>1688</v>
      </c>
      <c r="M623" s="113" t="str">
        <f t="shared" si="12"/>
        <v>View on Google Map</v>
      </c>
    </row>
    <row r="624" spans="1:13" x14ac:dyDescent="0.2">
      <c r="A624" s="107">
        <v>375</v>
      </c>
      <c r="B624" s="107" t="s">
        <v>1693</v>
      </c>
      <c r="C624" s="107" t="s">
        <v>458</v>
      </c>
      <c r="D624" s="107" t="s">
        <v>458</v>
      </c>
      <c r="E624" s="107" t="s">
        <v>458</v>
      </c>
      <c r="F624" s="107" t="s">
        <v>458</v>
      </c>
      <c r="G624" s="107" t="s">
        <v>469</v>
      </c>
      <c r="H624" s="107" t="s">
        <v>458</v>
      </c>
      <c r="I624" s="107" t="s">
        <v>458</v>
      </c>
      <c r="J624" s="107" t="s">
        <v>484</v>
      </c>
      <c r="K624" s="107" t="s">
        <v>458</v>
      </c>
      <c r="L624" s="107" t="s">
        <v>1688</v>
      </c>
      <c r="M624" s="113" t="str">
        <f t="shared" si="12"/>
        <v>View on Google Map</v>
      </c>
    </row>
    <row r="625" spans="1:13" x14ac:dyDescent="0.2">
      <c r="A625" s="107">
        <v>376</v>
      </c>
      <c r="B625" s="107" t="s">
        <v>1694</v>
      </c>
      <c r="C625" s="107" t="s">
        <v>458</v>
      </c>
      <c r="D625" s="107" t="s">
        <v>458</v>
      </c>
      <c r="E625" s="107" t="s">
        <v>458</v>
      </c>
      <c r="F625" s="107" t="s">
        <v>458</v>
      </c>
      <c r="G625" s="107" t="s">
        <v>469</v>
      </c>
      <c r="H625" s="107" t="s">
        <v>458</v>
      </c>
      <c r="I625" s="107" t="s">
        <v>458</v>
      </c>
      <c r="J625" s="107" t="s">
        <v>484</v>
      </c>
      <c r="K625" s="107" t="s">
        <v>458</v>
      </c>
      <c r="L625" s="107" t="s">
        <v>1688</v>
      </c>
      <c r="M625" s="113" t="str">
        <f t="shared" si="12"/>
        <v>View on Google Map</v>
      </c>
    </row>
    <row r="626" spans="1:13" x14ac:dyDescent="0.2">
      <c r="A626" s="107">
        <v>377</v>
      </c>
      <c r="B626" s="107" t="s">
        <v>1695</v>
      </c>
      <c r="C626" s="107" t="s">
        <v>458</v>
      </c>
      <c r="D626" s="107" t="s">
        <v>458</v>
      </c>
      <c r="E626" s="107" t="s">
        <v>458</v>
      </c>
      <c r="F626" s="107" t="s">
        <v>458</v>
      </c>
      <c r="G626" s="107" t="s">
        <v>469</v>
      </c>
      <c r="H626" s="107" t="s">
        <v>458</v>
      </c>
      <c r="I626" s="107" t="s">
        <v>458</v>
      </c>
      <c r="J626" s="107" t="s">
        <v>484</v>
      </c>
      <c r="K626" s="107" t="s">
        <v>458</v>
      </c>
      <c r="L626" s="107" t="s">
        <v>1688</v>
      </c>
      <c r="M626" s="113" t="str">
        <f t="shared" si="12"/>
        <v>View on Google Map</v>
      </c>
    </row>
    <row r="627" spans="1:13" x14ac:dyDescent="0.2">
      <c r="A627" s="107">
        <v>378</v>
      </c>
      <c r="B627" s="107" t="s">
        <v>1696</v>
      </c>
      <c r="C627" s="107" t="s">
        <v>458</v>
      </c>
      <c r="D627" s="107" t="s">
        <v>458</v>
      </c>
      <c r="E627" s="107" t="s">
        <v>458</v>
      </c>
      <c r="F627" s="107" t="s">
        <v>458</v>
      </c>
      <c r="G627" s="107" t="s">
        <v>469</v>
      </c>
      <c r="H627" s="107" t="s">
        <v>458</v>
      </c>
      <c r="I627" s="107" t="s">
        <v>458</v>
      </c>
      <c r="J627" s="107" t="s">
        <v>484</v>
      </c>
      <c r="K627" s="107" t="s">
        <v>458</v>
      </c>
      <c r="L627" s="107" t="s">
        <v>1688</v>
      </c>
      <c r="M627" s="113" t="str">
        <f t="shared" si="12"/>
        <v>View on Google Map</v>
      </c>
    </row>
    <row r="628" spans="1:13" x14ac:dyDescent="0.2">
      <c r="A628" s="107">
        <v>379</v>
      </c>
      <c r="B628" s="107" t="s">
        <v>1697</v>
      </c>
      <c r="C628" s="107" t="s">
        <v>458</v>
      </c>
      <c r="D628" s="107" t="s">
        <v>458</v>
      </c>
      <c r="E628" s="107" t="s">
        <v>458</v>
      </c>
      <c r="F628" s="107" t="s">
        <v>458</v>
      </c>
      <c r="G628" s="107" t="s">
        <v>469</v>
      </c>
      <c r="H628" s="107" t="s">
        <v>458</v>
      </c>
      <c r="I628" s="107" t="s">
        <v>458</v>
      </c>
      <c r="J628" s="107" t="s">
        <v>484</v>
      </c>
      <c r="K628" s="107" t="s">
        <v>458</v>
      </c>
      <c r="L628" s="107" t="s">
        <v>1688</v>
      </c>
      <c r="M628" s="113" t="str">
        <f t="shared" si="12"/>
        <v>View on Google Map</v>
      </c>
    </row>
    <row r="629" spans="1:13" x14ac:dyDescent="0.2">
      <c r="A629" s="107">
        <v>458</v>
      </c>
      <c r="B629" s="107" t="s">
        <v>1698</v>
      </c>
      <c r="C629" s="107" t="s">
        <v>458</v>
      </c>
      <c r="D629" s="107">
        <v>68.986329999999995</v>
      </c>
      <c r="E629" s="107">
        <v>-149.89803000000001</v>
      </c>
      <c r="F629" s="107">
        <v>419</v>
      </c>
      <c r="G629" s="107" t="s">
        <v>469</v>
      </c>
      <c r="H629" s="107" t="s">
        <v>458</v>
      </c>
      <c r="I629" s="107" t="s">
        <v>458</v>
      </c>
      <c r="J629" s="107" t="s">
        <v>470</v>
      </c>
      <c r="K629" s="107" t="s">
        <v>458</v>
      </c>
      <c r="L629" s="107" t="s">
        <v>458</v>
      </c>
      <c r="M629" s="113" t="str">
        <f t="shared" si="12"/>
        <v>View on Google Map</v>
      </c>
    </row>
    <row r="630" spans="1:13" x14ac:dyDescent="0.2">
      <c r="A630" s="107">
        <v>459</v>
      </c>
      <c r="B630" s="107" t="s">
        <v>1699</v>
      </c>
      <c r="C630" s="107" t="s">
        <v>458</v>
      </c>
      <c r="D630" s="107">
        <v>68.983530000000002</v>
      </c>
      <c r="E630" s="107">
        <v>-149.89436000000001</v>
      </c>
      <c r="F630" s="107">
        <v>408</v>
      </c>
      <c r="G630" s="107" t="s">
        <v>469</v>
      </c>
      <c r="H630" s="107" t="s">
        <v>458</v>
      </c>
      <c r="I630" s="107" t="s">
        <v>458</v>
      </c>
      <c r="J630" s="107" t="s">
        <v>470</v>
      </c>
      <c r="K630" s="107" t="s">
        <v>458</v>
      </c>
      <c r="L630" s="107" t="s">
        <v>458</v>
      </c>
      <c r="M630" s="113" t="str">
        <f t="shared" si="12"/>
        <v>View on Google Map</v>
      </c>
    </row>
    <row r="631" spans="1:13" x14ac:dyDescent="0.2">
      <c r="A631" s="107">
        <v>460</v>
      </c>
      <c r="B631" s="107" t="s">
        <v>1700</v>
      </c>
      <c r="C631" s="107" t="s">
        <v>458</v>
      </c>
      <c r="D631" s="107">
        <v>68.978710000000007</v>
      </c>
      <c r="E631" s="107">
        <v>-149.89182</v>
      </c>
      <c r="F631" s="107">
        <v>394</v>
      </c>
      <c r="G631" s="107" t="s">
        <v>469</v>
      </c>
      <c r="H631" s="107" t="s">
        <v>458</v>
      </c>
      <c r="I631" s="107" t="s">
        <v>458</v>
      </c>
      <c r="J631" s="107" t="s">
        <v>470</v>
      </c>
      <c r="K631" s="107" t="s">
        <v>458</v>
      </c>
      <c r="L631" s="107" t="s">
        <v>458</v>
      </c>
      <c r="M631" s="113" t="str">
        <f t="shared" si="12"/>
        <v>View on Google Map</v>
      </c>
    </row>
    <row r="632" spans="1:13" x14ac:dyDescent="0.2">
      <c r="A632" s="107">
        <v>461</v>
      </c>
      <c r="B632" s="107" t="s">
        <v>1701</v>
      </c>
      <c r="C632" s="107" t="s">
        <v>458</v>
      </c>
      <c r="D632" s="107">
        <v>68.861750000000001</v>
      </c>
      <c r="E632" s="107">
        <v>-149.03908000000001</v>
      </c>
      <c r="F632" s="107">
        <v>651</v>
      </c>
      <c r="G632" s="107" t="s">
        <v>469</v>
      </c>
      <c r="H632" s="107" t="s">
        <v>458</v>
      </c>
      <c r="I632" s="107" t="s">
        <v>458</v>
      </c>
      <c r="J632" s="107" t="s">
        <v>470</v>
      </c>
      <c r="K632" s="107" t="s">
        <v>458</v>
      </c>
      <c r="L632" s="107" t="s">
        <v>458</v>
      </c>
      <c r="M632" s="113" t="str">
        <f t="shared" si="12"/>
        <v>View on Google Map</v>
      </c>
    </row>
    <row r="633" spans="1:13" x14ac:dyDescent="0.2">
      <c r="A633" s="107">
        <v>462</v>
      </c>
      <c r="B633" s="107" t="s">
        <v>1702</v>
      </c>
      <c r="C633" s="107" t="s">
        <v>458</v>
      </c>
      <c r="D633" s="107">
        <v>68.867549999999994</v>
      </c>
      <c r="E633" s="107">
        <v>-149.03557000000001</v>
      </c>
      <c r="F633" s="107">
        <v>638</v>
      </c>
      <c r="G633" s="107" t="s">
        <v>469</v>
      </c>
      <c r="H633" s="107" t="s">
        <v>458</v>
      </c>
      <c r="I633" s="107" t="s">
        <v>458</v>
      </c>
      <c r="J633" s="107" t="s">
        <v>470</v>
      </c>
      <c r="K633" s="107" t="s">
        <v>458</v>
      </c>
      <c r="L633" s="107" t="s">
        <v>458</v>
      </c>
      <c r="M633" s="113" t="str">
        <f t="shared" si="12"/>
        <v>View on Google Map</v>
      </c>
    </row>
    <row r="634" spans="1:13" x14ac:dyDescent="0.2">
      <c r="A634" s="114">
        <v>463</v>
      </c>
      <c r="B634" s="114" t="s">
        <v>1703</v>
      </c>
      <c r="C634" s="114" t="s">
        <v>458</v>
      </c>
      <c r="D634" s="114">
        <v>68.873149999999995</v>
      </c>
      <c r="E634" s="114">
        <v>-149.04128</v>
      </c>
      <c r="F634" s="114">
        <v>637</v>
      </c>
      <c r="G634" s="114" t="s">
        <v>469</v>
      </c>
      <c r="H634" s="114" t="s">
        <v>458</v>
      </c>
      <c r="I634" s="114" t="s">
        <v>458</v>
      </c>
      <c r="J634" s="114" t="s">
        <v>470</v>
      </c>
      <c r="K634" s="114" t="s">
        <v>458</v>
      </c>
      <c r="L634" s="114" t="s">
        <v>458</v>
      </c>
      <c r="M634" s="113" t="str">
        <f t="shared" si="12"/>
        <v>View on Google Map</v>
      </c>
    </row>
    <row r="635" spans="1:13" x14ac:dyDescent="0.2">
      <c r="A635" s="107">
        <v>129</v>
      </c>
      <c r="B635" s="107" t="s">
        <v>1704</v>
      </c>
      <c r="C635" s="107" t="s">
        <v>1544</v>
      </c>
      <c r="D635" s="107">
        <v>69.966666666666669</v>
      </c>
      <c r="E635" s="107">
        <v>-148.73333333333301</v>
      </c>
      <c r="F635" s="107">
        <v>57</v>
      </c>
      <c r="G635" s="107" t="s">
        <v>469</v>
      </c>
      <c r="H635" s="107" t="s">
        <v>1705</v>
      </c>
      <c r="I635" s="107" t="s">
        <v>458</v>
      </c>
      <c r="J635" s="107" t="s">
        <v>484</v>
      </c>
      <c r="K635" s="107" t="s">
        <v>458</v>
      </c>
      <c r="L635" s="107" t="s">
        <v>485</v>
      </c>
      <c r="M635" s="113" t="str">
        <f t="shared" si="12"/>
        <v>View on Google Map</v>
      </c>
    </row>
    <row r="636" spans="1:13" x14ac:dyDescent="0.2">
      <c r="A636" s="107">
        <v>17</v>
      </c>
      <c r="B636" s="107" t="s">
        <v>1706</v>
      </c>
      <c r="C636" s="107" t="s">
        <v>1707</v>
      </c>
      <c r="D636" s="107" t="s">
        <v>458</v>
      </c>
      <c r="E636" s="107" t="s">
        <v>458</v>
      </c>
      <c r="F636" s="107" t="s">
        <v>458</v>
      </c>
      <c r="G636" s="107" t="s">
        <v>483</v>
      </c>
      <c r="H636" s="107" t="s">
        <v>458</v>
      </c>
      <c r="I636" s="107" t="s">
        <v>458</v>
      </c>
      <c r="J636" s="107" t="s">
        <v>484</v>
      </c>
      <c r="K636" s="107" t="s">
        <v>458</v>
      </c>
      <c r="L636" s="107" t="s">
        <v>458</v>
      </c>
      <c r="M636" s="113" t="str">
        <f t="shared" si="12"/>
        <v>View on Google Map</v>
      </c>
    </row>
    <row r="637" spans="1:13" x14ac:dyDescent="0.2">
      <c r="A637" s="107">
        <v>530</v>
      </c>
      <c r="B637" s="107" t="s">
        <v>1708</v>
      </c>
      <c r="C637" s="107" t="s">
        <v>864</v>
      </c>
      <c r="D637" s="107">
        <v>68.674332000000007</v>
      </c>
      <c r="E637" s="107">
        <v>-149.61694399999999</v>
      </c>
      <c r="F637" s="107">
        <v>701</v>
      </c>
      <c r="G637" s="107" t="s">
        <v>469</v>
      </c>
      <c r="H637" s="107" t="s">
        <v>458</v>
      </c>
      <c r="I637" s="107" t="s">
        <v>458</v>
      </c>
      <c r="J637" s="107" t="s">
        <v>470</v>
      </c>
      <c r="K637" s="107" t="s">
        <v>458</v>
      </c>
      <c r="L637" s="107" t="s">
        <v>865</v>
      </c>
      <c r="M637" s="113" t="str">
        <f t="shared" si="12"/>
        <v>View on Google Map</v>
      </c>
    </row>
    <row r="638" spans="1:13" x14ac:dyDescent="0.2">
      <c r="A638" s="107">
        <v>496</v>
      </c>
      <c r="B638" s="107" t="s">
        <v>1709</v>
      </c>
      <c r="C638" s="107" t="s">
        <v>458</v>
      </c>
      <c r="D638" s="107">
        <v>68.674149999999997</v>
      </c>
      <c r="E638" s="107">
        <v>-149.61810299999999</v>
      </c>
      <c r="F638" s="107">
        <v>701</v>
      </c>
      <c r="G638" s="107" t="s">
        <v>483</v>
      </c>
      <c r="H638" s="107" t="s">
        <v>1710</v>
      </c>
      <c r="I638" s="107" t="s">
        <v>458</v>
      </c>
      <c r="J638" s="107" t="s">
        <v>1386</v>
      </c>
      <c r="K638" s="107" t="s">
        <v>458</v>
      </c>
      <c r="L638" s="107" t="s">
        <v>865</v>
      </c>
      <c r="M638" s="113"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123</vt:i4>
      </vt:variant>
    </vt:vector>
  </HeadingPairs>
  <TitlesOfParts>
    <vt:vector size="126" baseType="lpstr">
      <vt:lpstr>Metadata_PercentCover</vt:lpstr>
      <vt:lpstr>PercentCover_Data</vt:lpstr>
      <vt:lpstr>Sites(Do NOT Edit)</vt:lpstr>
      <vt:lpstr>Metadata_PercentCover!ABSTRACT</vt:lpstr>
      <vt:lpstr>'Sites(Do NOT Edit)'!ABSTRACT</vt:lpstr>
      <vt:lpstr>Metadata_PercentCover!Address_line_2</vt:lpstr>
      <vt:lpstr>'Sites(Do NOT Edit)'!Address_line_2</vt:lpstr>
      <vt:lpstr>Metadata_PercentCover!Address_line_3</vt:lpstr>
      <vt:lpstr>'Sites(Do NOT Edit)'!Address_line_3</vt:lpstr>
      <vt:lpstr>Metadata_PercentCover!Availability_Status</vt:lpstr>
      <vt:lpstr>'Sites(Do NOT Edit)'!Availability_Status</vt:lpstr>
      <vt:lpstr>Metadata_PercentCover!Beginning_Date</vt:lpstr>
      <vt:lpstr>'Sites(Do NOT Edit)'!Beginning_Date</vt:lpstr>
      <vt:lpstr>Metadata_PercentCover!City</vt:lpstr>
      <vt:lpstr>'Sites(Do NOT Edit)'!City</vt:lpstr>
      <vt:lpstr>Metadata_PercentCover!Code_Information</vt:lpstr>
      <vt:lpstr>'Sites(Do NOT Edit)'!Code_Information</vt:lpstr>
      <vt:lpstr>Metadata_PercentCover!Country</vt:lpstr>
      <vt:lpstr>'Sites(Do NOT Edit)'!Country</vt:lpstr>
      <vt:lpstr>Metadata_PercentCover!DATA_FILE_INFORMATION</vt:lpstr>
      <vt:lpstr>'Sites(Do NOT Edit)'!DATA_FILE_INFORMATION</vt:lpstr>
      <vt:lpstr>Metadata_PercentCover!Data_File_Name</vt:lpstr>
      <vt:lpstr>'Sites(Do NOT Edit)'!Data_File_Name</vt:lpstr>
      <vt:lpstr>Metadata_PercentCover!Data_File_URL</vt:lpstr>
      <vt:lpstr>'Sites(Do NOT Edit)'!Data_File_URL</vt:lpstr>
      <vt:lpstr>Metadata_PercentCover!Data_Type</vt:lpstr>
      <vt:lpstr>'Sites(Do NOT Edit)'!Data_Type</vt:lpstr>
      <vt:lpstr>Metadata_PercentCover!DATASET_ID</vt:lpstr>
      <vt:lpstr>'Sites(Do NOT Edit)'!DATASET_ID</vt:lpstr>
      <vt:lpstr>Metadata_PercentCover!DATASET_TITLE</vt:lpstr>
      <vt:lpstr>'Sites(Do NOT Edit)'!DATASET_TITLE</vt:lpstr>
      <vt:lpstr>Metadata_PercentCover!DateTime_Format</vt:lpstr>
      <vt:lpstr>'Sites(Do NOT Edit)'!DateTime_Format</vt:lpstr>
      <vt:lpstr>Metadata_PercentCover!Distribution_URL_for_file</vt:lpstr>
      <vt:lpstr>'Sites(Do NOT Edit)'!Distribution_URL_for_file</vt:lpstr>
      <vt:lpstr>Metadata_PercentCover!East_Bounding_Coordinate</vt:lpstr>
      <vt:lpstr>'Sites(Do NOT Edit)'!East_Bounding_Coordinate</vt:lpstr>
      <vt:lpstr>Metadata_PercentCover!Elevation</vt:lpstr>
      <vt:lpstr>'Sites(Do NOT Edit)'!Elevation</vt:lpstr>
      <vt:lpstr>Metadata_PercentCover!Email</vt:lpstr>
      <vt:lpstr>'Sites(Do NOT Edit)'!Email</vt:lpstr>
      <vt:lpstr>Metadata_PercentCover!End_Date</vt:lpstr>
      <vt:lpstr>'Sites(Do NOT Edit)'!End_Date</vt:lpstr>
      <vt:lpstr>Metadata_PercentCover!First_Name</vt:lpstr>
      <vt:lpstr>'Sites(Do NOT Edit)'!First_Name</vt:lpstr>
      <vt:lpstr>Metadata_PercentCover!Geographic_Description</vt:lpstr>
      <vt:lpstr>'Sites(Do NOT Edit)'!Geographic_Description</vt:lpstr>
      <vt:lpstr>Metadata_PercentCover!INVESTIGATOR_INFORMATION</vt:lpstr>
      <vt:lpstr>'Sites(Do NOT Edit)'!INVESTIGATOR_INFORMATION</vt:lpstr>
      <vt:lpstr>Metadata_PercentCover!KEYWORD_INFORMATION</vt:lpstr>
      <vt:lpstr>'Sites(Do NOT Edit)'!KEYWORD_INFORMATION</vt:lpstr>
      <vt:lpstr>Metadata_PercentCover!KEYWORDS</vt:lpstr>
      <vt:lpstr>'Sites(Do NOT Edit)'!KEYWORDS</vt:lpstr>
      <vt:lpstr>Metadata_PercentCover!Last_Name</vt:lpstr>
      <vt:lpstr>'Sites(Do NOT Edit)'!Last_Name</vt:lpstr>
      <vt:lpstr>Metadata_PercentCover!Latitude</vt:lpstr>
      <vt:lpstr>'Sites(Do NOT Edit)'!Latitude</vt:lpstr>
      <vt:lpstr>Link_to_Google_Map</vt:lpstr>
      <vt:lpstr>Metadata_PercentCover!Location_Bounding_Box</vt:lpstr>
      <vt:lpstr>'Sites(Do NOT Edit)'!Location_Bounding_Box</vt:lpstr>
      <vt:lpstr>Metadata_PercentCover!Location_Name</vt:lpstr>
      <vt:lpstr>'Sites(Do NOT Edit)'!Location_Name</vt:lpstr>
      <vt:lpstr>Metadata_PercentCover!Log_of_Changes</vt:lpstr>
      <vt:lpstr>'Sites(Do NOT Edit)'!Log_of_Changes</vt:lpstr>
      <vt:lpstr>Metadata_PercentCover!Longitude</vt:lpstr>
      <vt:lpstr>'Sites(Do NOT Edit)'!Longitude</vt:lpstr>
      <vt:lpstr>LTER_Sites_number</vt:lpstr>
      <vt:lpstr>Metadata_PercentCover!Maintenance_Description</vt:lpstr>
      <vt:lpstr>'Sites(Do NOT Edit)'!Maintenance_Description</vt:lpstr>
      <vt:lpstr>Metadata_PercentCover!Metacat_Package_ID</vt:lpstr>
      <vt:lpstr>'Sites(Do NOT Edit)'!Metacat_Package_ID</vt:lpstr>
      <vt:lpstr>Metadata_PercentCover!METHODS</vt:lpstr>
      <vt:lpstr>'Sites(Do NOT Edit)'!METHODS</vt:lpstr>
      <vt:lpstr>Metadata_PercentCover!Missing_Value_Code</vt:lpstr>
      <vt:lpstr>'Sites(Do NOT Edit)'!Missing_Value_Code</vt:lpstr>
      <vt:lpstr>Metadata_PercentCover!North_Bounding_Coordinate</vt:lpstr>
      <vt:lpstr>'Sites(Do NOT Edit)'!North_Bounding_Coordinate</vt:lpstr>
      <vt:lpstr>Metadata_PercentCover!Number_of_Data_Records</vt:lpstr>
      <vt:lpstr>'Sites(Do NOT Edit)'!Number_of_Data_Records</vt:lpstr>
      <vt:lpstr>Metadata_PercentCover!OR</vt:lpstr>
      <vt:lpstr>'Sites(Do NOT Edit)'!OR</vt:lpstr>
      <vt:lpstr>Metadata_PercentCover!OR_if_single_point_location</vt:lpstr>
      <vt:lpstr>'Sites(Do NOT Edit)'!OR_if_single_point_location</vt:lpstr>
      <vt:lpstr>Metadata_PercentCover!Organisms_studied</vt:lpstr>
      <vt:lpstr>'Sites(Do NOT Edit)'!Organisms_studied</vt:lpstr>
      <vt:lpstr>Metadata_PercentCover!Organization</vt:lpstr>
      <vt:lpstr>'Sites(Do NOT Edit)'!Organization</vt:lpstr>
      <vt:lpstr>Metadata_PercentCover!Other_Files_to_Reference</vt:lpstr>
      <vt:lpstr>'Sites(Do NOT Edit)'!Other_Files_to_Reference</vt:lpstr>
      <vt:lpstr>Metadata_PercentCover!Protocol_Document</vt:lpstr>
      <vt:lpstr>'Sites(Do NOT Edit)'!Protocol_Document</vt:lpstr>
      <vt:lpstr>Metadata_PercentCover!Protocol_Title</vt:lpstr>
      <vt:lpstr>'Sites(Do NOT Edit)'!Protocol_Title</vt:lpstr>
      <vt:lpstr>Metadata_PercentCover!Quality_Control_Information</vt:lpstr>
      <vt:lpstr>'Sites(Do NOT Edit)'!Quality_Control_Information</vt:lpstr>
      <vt:lpstr>Metadata_PercentCover!RESEARCH_LOCATION</vt:lpstr>
      <vt:lpstr>'Sites(Do NOT Edit)'!RESEARCH_LOCATION</vt:lpstr>
      <vt:lpstr>Metadata_PercentCover!Role</vt:lpstr>
      <vt:lpstr>'Sites(Do NOT Edit)'!Role</vt:lpstr>
      <vt:lpstr>Metadata_PercentCover!Sampling_and_or_Lab_Protocols</vt:lpstr>
      <vt:lpstr>'Sites(Do NOT Edit)'!Sampling_and_or_Lab_Protocols</vt:lpstr>
      <vt:lpstr>Site_name</vt:lpstr>
      <vt:lpstr>Site_name_list</vt:lpstr>
      <vt:lpstr>Sites</vt:lpstr>
      <vt:lpstr>Metadata_PercentCover!South_Bounding_Coordinate</vt:lpstr>
      <vt:lpstr>'Sites(Do NOT Edit)'!South_Bounding_Coordinate</vt:lpstr>
      <vt:lpstr>Metadata_PercentCover!State</vt:lpstr>
      <vt:lpstr>'Sites(Do NOT Edit)'!State</vt:lpstr>
      <vt:lpstr>Metadata_PercentCover!TAXONOMIC_COVERAGE</vt:lpstr>
      <vt:lpstr>'Sites(Do NOT Edit)'!TAXONOMIC_COVERAGE</vt:lpstr>
      <vt:lpstr>Metadata_PercentCover!Units</vt:lpstr>
      <vt:lpstr>'Sites(Do NOT Edit)'!Units</vt:lpstr>
      <vt:lpstr>Metadata_PercentCover!URL_of_online_Protocol</vt:lpstr>
      <vt:lpstr>'Sites(Do NOT Edit)'!URL_of_online_Protocol</vt:lpstr>
      <vt:lpstr>Metadata_PercentCover!Variable_Description</vt:lpstr>
      <vt:lpstr>'Sites(Do NOT Edit)'!Variable_Description</vt:lpstr>
      <vt:lpstr>Metadata_PercentCover!VARIABLE_DESCRIPTIONS</vt:lpstr>
      <vt:lpstr>'Sites(Do NOT Edit)'!VARIABLE_DESCRIPTIONS</vt:lpstr>
      <vt:lpstr>Metadata_PercentCover!Variable_Name</vt:lpstr>
      <vt:lpstr>'Sites(Do NOT Edit)'!Variable_Name</vt:lpstr>
      <vt:lpstr>Metadata_PercentCover!West_Bounding_Coordinate</vt:lpstr>
      <vt:lpstr>'Sites(Do NOT Edit)'!West_Bounding_Coordinate</vt:lpstr>
      <vt:lpstr>Metadata_PercentCover!Year_Released_to_Public</vt:lpstr>
      <vt:lpstr>'Sites(Do NOT Edit)'!Year_Released_to_Public</vt:lpstr>
      <vt:lpstr>Metadata_PercentCover!Zip_Code</vt:lpstr>
      <vt:lpstr>'Sites(Do NOT Edit)'!Zip_Code</vt:lpstr>
    </vt:vector>
  </TitlesOfParts>
  <Company>SUNY Geneseo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Verity</dc:creator>
  <cp:lastModifiedBy>jiml</cp:lastModifiedBy>
  <dcterms:created xsi:type="dcterms:W3CDTF">2011-07-12T22:09:04Z</dcterms:created>
  <dcterms:modified xsi:type="dcterms:W3CDTF">2013-05-22T22:35:07Z</dcterms:modified>
</cp:coreProperties>
</file>