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3275" windowHeight="7005" tabRatio="423"/>
  </bookViews>
  <sheets>
    <sheet name="Commercial Land" sheetId="2" r:id="rId1"/>
  </sheets>
  <definedNames>
    <definedName name="_xlnm.Print_Titles" localSheetId="0">'Commercial Land'!$1:$1</definedName>
    <definedName name="Query_from_Commercial2011" localSheetId="0">'Commercial Land'!$A$1:$P$67</definedName>
  </definedNames>
  <calcPr calcId="125725" fullCalcOnLoad="1"/>
</workbook>
</file>

<file path=xl/calcChain.xml><?xml version="1.0" encoding="utf-8"?>
<calcChain xmlns="http://schemas.openxmlformats.org/spreadsheetml/2006/main">
  <c r="D2" i="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</calcChain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Commercial\Commercial2013.mdb;DefaultDir=Q:\Reappraisal\2013\Commercial;Driver={Microsoft Access Driver (*.mdb)};DriverId=25;FIL=MS Access;MaxBufferSize=2048;MaxScanRows=8;PageTimeout=5;SafeTransactions=0;Threads=3;UserCommitSync=Yes;" command="SELECT CommercialLandPublicSales.SCH, CommercialLandPublicSales.PARID, CommercialLandPublicSales.TotalLandsf, CommercialLandPublicSales.StreetNumber, CommercialLandPublicSales.StreetDir, CommercialLandPublicSales.Streetname, CommercialLandPublicSales.Streettype, CommercialLandPublicSales.City, CommercialLandPublicSales.LGLRCP, CommercialLandPublicSales.SchCount, CommercialLandPublicSales.SaleDate, CommercialLandPublicSales.SLSAMT, CommercialLandPublicSales.YrBlt, CommercialLandPublicSales.StructureType, CommercialLandPublicSales.COLUMN_VALUE_x000d__x000a_FROM `Q:\Reappraisal\2013\Commercial\Commercial2013`.CommercialLandPublicSales CommercialLandPublicSales_x000d__x000a_ORDER BY CommercialLandPublicSales.LGLRCP DESC"/>
  </connection>
</connections>
</file>

<file path=xl/sharedStrings.xml><?xml version="1.0" encoding="utf-8"?>
<sst xmlns="http://schemas.openxmlformats.org/spreadsheetml/2006/main" count="641" uniqueCount="356">
  <si>
    <t>City</t>
  </si>
  <si>
    <t>LGLRCP</t>
  </si>
  <si>
    <t xml:space="preserve">W </t>
  </si>
  <si>
    <t xml:space="preserve">COLFAX              </t>
  </si>
  <si>
    <t xml:space="preserve">AVE </t>
  </si>
  <si>
    <t>0</t>
  </si>
  <si>
    <t xml:space="preserve">  </t>
  </si>
  <si>
    <t xml:space="preserve">SHERIDAN            </t>
  </si>
  <si>
    <t>BLVD</t>
  </si>
  <si>
    <t xml:space="preserve">RD  </t>
  </si>
  <si>
    <t>301</t>
  </si>
  <si>
    <t>Office Warehouse</t>
  </si>
  <si>
    <t xml:space="preserve">     </t>
  </si>
  <si>
    <t xml:space="preserve">VACANT LAND         </t>
  </si>
  <si>
    <t xml:space="preserve">    </t>
  </si>
  <si>
    <t xml:space="preserve">                                        </t>
  </si>
  <si>
    <t xml:space="preserve">ST  </t>
  </si>
  <si>
    <t xml:space="preserve">  44TH              </t>
  </si>
  <si>
    <t>101</t>
  </si>
  <si>
    <t>General Retail</t>
  </si>
  <si>
    <t xml:space="preserve">PL  </t>
  </si>
  <si>
    <t>708</t>
  </si>
  <si>
    <t>Day Care Centers</t>
  </si>
  <si>
    <t xml:space="preserve">CT  </t>
  </si>
  <si>
    <t>304</t>
  </si>
  <si>
    <t>Mini-Warehouse</t>
  </si>
  <si>
    <t xml:space="preserve">WADSWORTH           </t>
  </si>
  <si>
    <t>PKWY</t>
  </si>
  <si>
    <t>110</t>
  </si>
  <si>
    <t>Fast Food Restaurant</t>
  </si>
  <si>
    <t xml:space="preserve">S </t>
  </si>
  <si>
    <t>109</t>
  </si>
  <si>
    <t>General Restaurant</t>
  </si>
  <si>
    <t xml:space="preserve">SHAFFER             </t>
  </si>
  <si>
    <t xml:space="preserve">VANCE               </t>
  </si>
  <si>
    <t>203</t>
  </si>
  <si>
    <t>Medical Office</t>
  </si>
  <si>
    <t xml:space="preserve">N </t>
  </si>
  <si>
    <t xml:space="preserve">RUBEY               </t>
  </si>
  <si>
    <t xml:space="preserve">DR  </t>
  </si>
  <si>
    <t xml:space="preserve">TABLE MOUNTAIN      </t>
  </si>
  <si>
    <t xml:space="preserve">YOUNGFIELD          </t>
  </si>
  <si>
    <t>504</t>
  </si>
  <si>
    <t>Senior Living</t>
  </si>
  <si>
    <t xml:space="preserve">KIPLING             </t>
  </si>
  <si>
    <t>108</t>
  </si>
  <si>
    <t>Auto Service</t>
  </si>
  <si>
    <t xml:space="preserve">CHURCH RANCH        </t>
  </si>
  <si>
    <t>202</t>
  </si>
  <si>
    <t>Banks</t>
  </si>
  <si>
    <t>204</t>
  </si>
  <si>
    <t>Office/Condo</t>
  </si>
  <si>
    <t>00000</t>
  </si>
  <si>
    <t>014922</t>
  </si>
  <si>
    <t xml:space="preserve">39-202-00-012 </t>
  </si>
  <si>
    <t>04395</t>
  </si>
  <si>
    <t xml:space="preserve">XENON               </t>
  </si>
  <si>
    <t>446600</t>
  </si>
  <si>
    <t xml:space="preserve">30-231-01-019 </t>
  </si>
  <si>
    <t>16401</t>
  </si>
  <si>
    <t>104</t>
  </si>
  <si>
    <t>Markets</t>
  </si>
  <si>
    <t>402001</t>
  </si>
  <si>
    <t xml:space="preserve">49-241-17-002 </t>
  </si>
  <si>
    <t>05290</t>
  </si>
  <si>
    <t xml:space="preserve">ARIZONA             </t>
  </si>
  <si>
    <t>H8064628</t>
  </si>
  <si>
    <t xml:space="preserve">REED                </t>
  </si>
  <si>
    <t>415661</t>
  </si>
  <si>
    <t xml:space="preserve">41-153-02-006 </t>
  </si>
  <si>
    <t>01054</t>
  </si>
  <si>
    <t xml:space="preserve">EL RANCHO           </t>
  </si>
  <si>
    <t>H8079551</t>
  </si>
  <si>
    <t>435582</t>
  </si>
  <si>
    <t xml:space="preserve">59-191-01-010 </t>
  </si>
  <si>
    <t>13874</t>
  </si>
  <si>
    <t xml:space="preserve">BOWLES              </t>
  </si>
  <si>
    <t>H8080421</t>
  </si>
  <si>
    <t>430317</t>
  </si>
  <si>
    <t xml:space="preserve">39-202-03-003 </t>
  </si>
  <si>
    <t>13000</t>
  </si>
  <si>
    <t xml:space="preserve">  43RD              </t>
  </si>
  <si>
    <t>H8088025</t>
  </si>
  <si>
    <t>419634</t>
  </si>
  <si>
    <t xml:space="preserve">39-211-11-037 </t>
  </si>
  <si>
    <t>10173</t>
  </si>
  <si>
    <t>H8090073</t>
  </si>
  <si>
    <t>003944</t>
  </si>
  <si>
    <t xml:space="preserve">39-123-00-053 </t>
  </si>
  <si>
    <t>05740</t>
  </si>
  <si>
    <t xml:space="preserve">LAMAR               </t>
  </si>
  <si>
    <t>H8095854</t>
  </si>
  <si>
    <t>455382</t>
  </si>
  <si>
    <t xml:space="preserve">39-172-03-023 </t>
  </si>
  <si>
    <t>12501</t>
  </si>
  <si>
    <t xml:space="preserve">  52ND              </t>
  </si>
  <si>
    <t>H8101316</t>
  </si>
  <si>
    <t>455527</t>
  </si>
  <si>
    <t xml:space="preserve">29-141-07-001 </t>
  </si>
  <si>
    <t>H8113842</t>
  </si>
  <si>
    <t>443832</t>
  </si>
  <si>
    <t xml:space="preserve">59-321-10-025 </t>
  </si>
  <si>
    <t>07551</t>
  </si>
  <si>
    <t>H9001322</t>
  </si>
  <si>
    <t>H9004553</t>
  </si>
  <si>
    <t>454227</t>
  </si>
  <si>
    <t xml:space="preserve">29-364-01-077 </t>
  </si>
  <si>
    <t>07311</t>
  </si>
  <si>
    <t>H9010287</t>
  </si>
  <si>
    <t>051178</t>
  </si>
  <si>
    <t xml:space="preserve">49-022-14-003 </t>
  </si>
  <si>
    <t>01215</t>
  </si>
  <si>
    <t>H9018873</t>
  </si>
  <si>
    <t>445653</t>
  </si>
  <si>
    <t xml:space="preserve">49-173-07-007 </t>
  </si>
  <si>
    <t>12830</t>
  </si>
  <si>
    <t xml:space="preserve">ALAMEDA             </t>
  </si>
  <si>
    <t>H9020427</t>
  </si>
  <si>
    <t>447642</t>
  </si>
  <si>
    <t xml:space="preserve">49-173-07-014 </t>
  </si>
  <si>
    <t>12870</t>
  </si>
  <si>
    <t>447641</t>
  </si>
  <si>
    <t xml:space="preserve">49-173-07-013 </t>
  </si>
  <si>
    <t>12850</t>
  </si>
  <si>
    <t>H9020429</t>
  </si>
  <si>
    <t>437387</t>
  </si>
  <si>
    <t xml:space="preserve">30-212-05-004 </t>
  </si>
  <si>
    <t>H9033833</t>
  </si>
  <si>
    <t>456092</t>
  </si>
  <si>
    <t xml:space="preserve">59-084-16-060 </t>
  </si>
  <si>
    <t>11625</t>
  </si>
  <si>
    <t xml:space="preserve">BELLEVIEW           </t>
  </si>
  <si>
    <t>H9035454</t>
  </si>
  <si>
    <t>456101</t>
  </si>
  <si>
    <t xml:space="preserve">39-241-01-013 </t>
  </si>
  <si>
    <t>05901</t>
  </si>
  <si>
    <t>H9045130</t>
  </si>
  <si>
    <t>456128</t>
  </si>
  <si>
    <t xml:space="preserve">59-252-03-053 </t>
  </si>
  <si>
    <t>06724</t>
  </si>
  <si>
    <t xml:space="preserve">MARSHALL            </t>
  </si>
  <si>
    <t>H9052849</t>
  </si>
  <si>
    <t>431859</t>
  </si>
  <si>
    <t xml:space="preserve">40-021-06-061 </t>
  </si>
  <si>
    <t>17151</t>
  </si>
  <si>
    <t xml:space="preserve">GOLDEN              </t>
  </si>
  <si>
    <t>H9056576</t>
  </si>
  <si>
    <t>420234</t>
  </si>
  <si>
    <t xml:space="preserve">30-282-10-005 </t>
  </si>
  <si>
    <t>00108</t>
  </si>
  <si>
    <t>H9070814</t>
  </si>
  <si>
    <t>456361</t>
  </si>
  <si>
    <t xml:space="preserve">40-111-01-006 </t>
  </si>
  <si>
    <t>00567</t>
  </si>
  <si>
    <t xml:space="preserve">CONFERENCE          </t>
  </si>
  <si>
    <t>H9086658</t>
  </si>
  <si>
    <t>212508</t>
  </si>
  <si>
    <t xml:space="preserve">49-114-06-208 </t>
  </si>
  <si>
    <t>H9130167</t>
  </si>
  <si>
    <t>196382</t>
  </si>
  <si>
    <t xml:space="preserve">49-114-06-098 </t>
  </si>
  <si>
    <t xml:space="preserve">WADSWORTH &amp; BYERS   </t>
  </si>
  <si>
    <t>198480</t>
  </si>
  <si>
    <t xml:space="preserve">29-234-00-004 </t>
  </si>
  <si>
    <t>09000</t>
  </si>
  <si>
    <t>K0020293</t>
  </si>
  <si>
    <t>448696</t>
  </si>
  <si>
    <t xml:space="preserve">49-141-09-007 </t>
  </si>
  <si>
    <t>00460</t>
  </si>
  <si>
    <t>K0022296</t>
  </si>
  <si>
    <t>103</t>
  </si>
  <si>
    <t>Discount Stores</t>
  </si>
  <si>
    <t>445393</t>
  </si>
  <si>
    <t xml:space="preserve">39-161-10-002 </t>
  </si>
  <si>
    <t>K0029691</t>
  </si>
  <si>
    <t>455526</t>
  </si>
  <si>
    <t xml:space="preserve">29-114-07-005 </t>
  </si>
  <si>
    <t>K0032144</t>
  </si>
  <si>
    <t>456763</t>
  </si>
  <si>
    <t xml:space="preserve">29-302-12-029 </t>
  </si>
  <si>
    <t>14679</t>
  </si>
  <si>
    <t xml:space="preserve">  87TH              </t>
  </si>
  <si>
    <t>K0034293</t>
  </si>
  <si>
    <t>087581</t>
  </si>
  <si>
    <t xml:space="preserve">59-252-04-005 </t>
  </si>
  <si>
    <t>06800</t>
  </si>
  <si>
    <t xml:space="preserve">PIERCE              </t>
  </si>
  <si>
    <t>K0048746</t>
  </si>
  <si>
    <t>Schedule</t>
  </si>
  <si>
    <t>Parid</t>
  </si>
  <si>
    <t>Land Sq Ft</t>
  </si>
  <si>
    <t>Acreage</t>
  </si>
  <si>
    <t>Property Address</t>
  </si>
  <si>
    <t>Sale Sch Count</t>
  </si>
  <si>
    <t>Sale Date</t>
  </si>
  <si>
    <t>Sales Price</t>
  </si>
  <si>
    <t>Yr Blt</t>
  </si>
  <si>
    <t>Structure Type</t>
  </si>
  <si>
    <t>435434</t>
  </si>
  <si>
    <t xml:space="preserve">40-111-02-035 </t>
  </si>
  <si>
    <t>17160</t>
  </si>
  <si>
    <t xml:space="preserve">GOLDEN                                  </t>
  </si>
  <si>
    <t>K2066630</t>
  </si>
  <si>
    <t>435436</t>
  </si>
  <si>
    <t xml:space="preserve">40-111-02-036 </t>
  </si>
  <si>
    <t>17140</t>
  </si>
  <si>
    <t>214335</t>
  </si>
  <si>
    <t xml:space="preserve">59-173-14-139 </t>
  </si>
  <si>
    <t>05871</t>
  </si>
  <si>
    <t xml:space="preserve">LITTLETON                               </t>
  </si>
  <si>
    <t>K2040727</t>
  </si>
  <si>
    <t>042807</t>
  </si>
  <si>
    <t xml:space="preserve">39-211-00-014 </t>
  </si>
  <si>
    <t>04565</t>
  </si>
  <si>
    <t xml:space="preserve">WHEAT RIDGE                             </t>
  </si>
  <si>
    <t>K2039332</t>
  </si>
  <si>
    <t>458872</t>
  </si>
  <si>
    <t xml:space="preserve">59-184-02-003 </t>
  </si>
  <si>
    <t>13331</t>
  </si>
  <si>
    <t>K2035105</t>
  </si>
  <si>
    <t>449007</t>
  </si>
  <si>
    <t xml:space="preserve">29-151-03-093 </t>
  </si>
  <si>
    <t>10081</t>
  </si>
  <si>
    <t xml:space="preserve">WESTMINSTER                             </t>
  </si>
  <si>
    <t>K2032117</t>
  </si>
  <si>
    <t>016306</t>
  </si>
  <si>
    <t xml:space="preserve">49-241-00-026 </t>
  </si>
  <si>
    <t>01289</t>
  </si>
  <si>
    <t xml:space="preserve">LAKEWOOD                                </t>
  </si>
  <si>
    <t>K2018826</t>
  </si>
  <si>
    <t>440291</t>
  </si>
  <si>
    <t xml:space="preserve">49-063-01-009 </t>
  </si>
  <si>
    <t>00951</t>
  </si>
  <si>
    <t xml:space="preserve">DENVER WEST         </t>
  </si>
  <si>
    <t>K2007144</t>
  </si>
  <si>
    <t>214294</t>
  </si>
  <si>
    <t xml:space="preserve">49-063-01-031 </t>
  </si>
  <si>
    <t>14600</t>
  </si>
  <si>
    <t>440289</t>
  </si>
  <si>
    <t xml:space="preserve">49-063-01-008 </t>
  </si>
  <si>
    <t>14710</t>
  </si>
  <si>
    <t>214289</t>
  </si>
  <si>
    <t xml:space="preserve">49-063-00-092 </t>
  </si>
  <si>
    <t>214291</t>
  </si>
  <si>
    <t xml:space="preserve">49-063-01-032 </t>
  </si>
  <si>
    <t>026462</t>
  </si>
  <si>
    <t xml:space="preserve">39-252-02-021 </t>
  </si>
  <si>
    <t>06230</t>
  </si>
  <si>
    <t xml:space="preserve">  38TH              </t>
  </si>
  <si>
    <t>K2002265</t>
  </si>
  <si>
    <t>202006</t>
  </si>
  <si>
    <t xml:space="preserve">39-364-00-012 </t>
  </si>
  <si>
    <t>05705</t>
  </si>
  <si>
    <t xml:space="preserve">  16TH              </t>
  </si>
  <si>
    <t>K1118719</t>
  </si>
  <si>
    <t>451895</t>
  </si>
  <si>
    <t xml:space="preserve">30-284-15-018 </t>
  </si>
  <si>
    <t>00719</t>
  </si>
  <si>
    <t xml:space="preserve">ARAPAHOE            </t>
  </si>
  <si>
    <t>K1117655</t>
  </si>
  <si>
    <t>458465</t>
  </si>
  <si>
    <t xml:space="preserve">39-234-12-002 </t>
  </si>
  <si>
    <t>04340</t>
  </si>
  <si>
    <t>K1117651</t>
  </si>
  <si>
    <t>052311</t>
  </si>
  <si>
    <t xml:space="preserve">49-021-17-019 </t>
  </si>
  <si>
    <t>01204</t>
  </si>
  <si>
    <t>K1109446</t>
  </si>
  <si>
    <t>458107</t>
  </si>
  <si>
    <t xml:space="preserve">39-013-16-018 </t>
  </si>
  <si>
    <t>06745</t>
  </si>
  <si>
    <t xml:space="preserve">  65TH              </t>
  </si>
  <si>
    <t xml:space="preserve">ARVADA                                  </t>
  </si>
  <si>
    <t>K1079057</t>
  </si>
  <si>
    <t>458108</t>
  </si>
  <si>
    <t xml:space="preserve">39-013-16-017 </t>
  </si>
  <si>
    <t>06735</t>
  </si>
  <si>
    <t>458105</t>
  </si>
  <si>
    <t xml:space="preserve">49-284-03-105 </t>
  </si>
  <si>
    <t>02535</t>
  </si>
  <si>
    <t xml:space="preserve">LEWIS               </t>
  </si>
  <si>
    <t xml:space="preserve">WAY </t>
  </si>
  <si>
    <t>K1075513</t>
  </si>
  <si>
    <t>458031</t>
  </si>
  <si>
    <t xml:space="preserve">39-164-06-020 </t>
  </si>
  <si>
    <t>10068</t>
  </si>
  <si>
    <t>K1065675</t>
  </si>
  <si>
    <t>501</t>
  </si>
  <si>
    <t>Apts/Low-Mid Rise</t>
  </si>
  <si>
    <t>458008</t>
  </si>
  <si>
    <t xml:space="preserve">29-151-01-047 </t>
  </si>
  <si>
    <t>08430</t>
  </si>
  <si>
    <t>K1065251</t>
  </si>
  <si>
    <t>K1060497</t>
  </si>
  <si>
    <t>422028</t>
  </si>
  <si>
    <t xml:space="preserve">59-322-03-004 </t>
  </si>
  <si>
    <t>12725</t>
  </si>
  <si>
    <t xml:space="preserve">INDORE (APPROX)     </t>
  </si>
  <si>
    <t>K1055379</t>
  </si>
  <si>
    <t>457886</t>
  </si>
  <si>
    <t xml:space="preserve">30-133-02-018 </t>
  </si>
  <si>
    <t>16145</t>
  </si>
  <si>
    <t>K1043023</t>
  </si>
  <si>
    <t>302</t>
  </si>
  <si>
    <t>R&amp;D/Flex</t>
  </si>
  <si>
    <t>457887</t>
  </si>
  <si>
    <t xml:space="preserve">30-133-02-019 </t>
  </si>
  <si>
    <t>456837</t>
  </si>
  <si>
    <t xml:space="preserve">49-032-01-009 </t>
  </si>
  <si>
    <t>09210</t>
  </si>
  <si>
    <t>K1039603</t>
  </si>
  <si>
    <t>458021</t>
  </si>
  <si>
    <t xml:space="preserve">39-124-01-008 </t>
  </si>
  <si>
    <t>05355</t>
  </si>
  <si>
    <t xml:space="preserve">  59TH              </t>
  </si>
  <si>
    <t>K1034068</t>
  </si>
  <si>
    <t>001593</t>
  </si>
  <si>
    <t xml:space="preserve">40-014-07-004 </t>
  </si>
  <si>
    <t>15591</t>
  </si>
  <si>
    <t>K1007582</t>
  </si>
  <si>
    <t>086258</t>
  </si>
  <si>
    <t xml:space="preserve">39-324-00-042 </t>
  </si>
  <si>
    <t>11815</t>
  </si>
  <si>
    <t>K1000794</t>
  </si>
  <si>
    <t>457296</t>
  </si>
  <si>
    <t xml:space="preserve">39-363-05-139 </t>
  </si>
  <si>
    <t>06599</t>
  </si>
  <si>
    <t>K0116852</t>
  </si>
  <si>
    <t>203624</t>
  </si>
  <si>
    <t xml:space="preserve">40-013-10-024 </t>
  </si>
  <si>
    <t>00767</t>
  </si>
  <si>
    <t xml:space="preserve">NILE                </t>
  </si>
  <si>
    <t>K0104131</t>
  </si>
  <si>
    <t>203565</t>
  </si>
  <si>
    <t xml:space="preserve">49-233-00-018 </t>
  </si>
  <si>
    <t>01897</t>
  </si>
  <si>
    <t>K0102336</t>
  </si>
  <si>
    <t>K0060878</t>
  </si>
  <si>
    <t>10392</t>
  </si>
  <si>
    <t>05250</t>
  </si>
  <si>
    <t xml:space="preserve">OAK                 </t>
  </si>
  <si>
    <t>706</t>
  </si>
  <si>
    <t>Fire/Police/Post Office</t>
  </si>
  <si>
    <t xml:space="preserve">LAKESIDE                                </t>
  </si>
  <si>
    <t>211569</t>
  </si>
  <si>
    <t xml:space="preserve">59-334-11-028 </t>
  </si>
  <si>
    <t>10579</t>
  </si>
  <si>
    <t xml:space="preserve">BRADFORD            </t>
  </si>
  <si>
    <t>H9000805</t>
  </si>
  <si>
    <t>201</t>
  </si>
  <si>
    <t>Office</t>
  </si>
  <si>
    <t>10393</t>
  </si>
  <si>
    <t>401</t>
  </si>
  <si>
    <t>Hotels</t>
  </si>
  <si>
    <t>214861</t>
  </si>
  <si>
    <t xml:space="preserve">39-123-00-107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</si>
</sst>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7" formatCode="#,##0.000"/>
  </numFmts>
  <fonts count="6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4" fillId="2" borderId="2" xfId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/>
    </xf>
    <xf numFmtId="0" fontId="5" fillId="0" borderId="0" xfId="1" applyFont="1"/>
    <xf numFmtId="0" fontId="1" fillId="0" borderId="1" xfId="1" applyFont="1" applyFill="1" applyBorder="1" applyAlignment="1">
      <alignment wrapText="1"/>
    </xf>
    <xf numFmtId="3" fontId="1" fillId="0" borderId="1" xfId="1" applyNumberFormat="1" applyFont="1" applyFill="1" applyBorder="1" applyAlignment="1">
      <alignment horizontal="right" wrapText="1"/>
    </xf>
    <xf numFmtId="167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  <xf numFmtId="165" fontId="1" fillId="0" borderId="1" xfId="1" applyNumberFormat="1" applyFont="1" applyFill="1" applyBorder="1" applyAlignment="1">
      <alignment horizontal="right" wrapText="1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Commercial2011" connectionId="1" autoFormatId="16" applyNumberFormats="0" applyBorderFormats="0" applyFontFormats="1" applyPatternFormats="1" applyAlignmentFormats="0" applyWidthHeightFormats="0">
  <queryTableRefresh nextId="17">
    <queryTableFields count="16">
      <queryTableField id="1" name="SCH"/>
      <queryTableField id="2" name="PARID"/>
      <queryTableField id="3" name="TotalLandsf"/>
      <queryTableField id="16" dataBound="0" fillFormulas="1"/>
      <queryTableField id="4" name="StreetNumber"/>
      <queryTableField id="5" name="StreetDir"/>
      <queryTableField id="6" name="Streetname"/>
      <queryTableField id="7" name="Streettype"/>
      <queryTableField id="8" name="City"/>
      <queryTableField id="9" name="LGLRCP"/>
      <queryTableField id="10" name="SchCount"/>
      <queryTableField id="11" name="SaleDate"/>
      <queryTableField id="12" name="SLSAMT"/>
      <queryTableField id="13" name="YrBlt"/>
      <queryTableField id="14" name="StructureType"/>
      <queryTableField id="15" name="COLUMN_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9.5703125" bestFit="1" customWidth="1"/>
    <col min="2" max="2" width="12.7109375" customWidth="1"/>
    <col min="3" max="3" width="10.85546875" bestFit="1" customWidth="1"/>
    <col min="4" max="4" width="8.5703125" bestFit="1" customWidth="1"/>
    <col min="5" max="5" width="6" bestFit="1" customWidth="1"/>
    <col min="6" max="6" width="2.85546875" bestFit="1" customWidth="1"/>
    <col min="7" max="7" width="22.85546875" customWidth="1"/>
    <col min="8" max="8" width="6.7109375" bestFit="1" customWidth="1"/>
    <col min="9" max="9" width="15.5703125" customWidth="1"/>
    <col min="10" max="10" width="9.28515625" bestFit="1" customWidth="1"/>
    <col min="11" max="11" width="7.85546875" customWidth="1"/>
    <col min="12" max="12" width="9.85546875" bestFit="1" customWidth="1"/>
    <col min="13" max="13" width="11.28515625" bestFit="1" customWidth="1"/>
    <col min="14" max="14" width="5.28515625" customWidth="1"/>
    <col min="15" max="15" width="4" bestFit="1" customWidth="1"/>
    <col min="16" max="16" width="19.85546875" customWidth="1"/>
  </cols>
  <sheetData>
    <row r="1" spans="1:16" s="6" customFormat="1" ht="38.25">
      <c r="A1" s="1" t="s">
        <v>188</v>
      </c>
      <c r="B1" s="1" t="s">
        <v>189</v>
      </c>
      <c r="C1" s="2" t="s">
        <v>190</v>
      </c>
      <c r="D1" s="3" t="s">
        <v>191</v>
      </c>
      <c r="E1" s="12" t="s">
        <v>192</v>
      </c>
      <c r="F1" s="13"/>
      <c r="G1" s="13"/>
      <c r="H1" s="14"/>
      <c r="I1" s="1" t="s">
        <v>0</v>
      </c>
      <c r="J1" s="1" t="s">
        <v>1</v>
      </c>
      <c r="K1" s="4" t="s">
        <v>193</v>
      </c>
      <c r="L1" s="1" t="s">
        <v>194</v>
      </c>
      <c r="M1" s="5" t="s">
        <v>195</v>
      </c>
      <c r="N1" s="1" t="s">
        <v>196</v>
      </c>
      <c r="O1" s="12" t="s">
        <v>197</v>
      </c>
      <c r="P1" s="14"/>
    </row>
    <row r="2" spans="1:16">
      <c r="A2" s="7" t="s">
        <v>198</v>
      </c>
      <c r="B2" s="7" t="s">
        <v>199</v>
      </c>
      <c r="C2" s="8">
        <v>40075</v>
      </c>
      <c r="D2" s="9">
        <f t="shared" ref="D2:D33" si="0">C2/43560</f>
        <v>0.91999540863177232</v>
      </c>
      <c r="E2" s="7" t="s">
        <v>200</v>
      </c>
      <c r="F2" s="7" t="s">
        <v>2</v>
      </c>
      <c r="G2" s="7" t="s">
        <v>3</v>
      </c>
      <c r="H2" s="7" t="s">
        <v>4</v>
      </c>
      <c r="I2" s="7" t="s">
        <v>201</v>
      </c>
      <c r="J2" s="7" t="s">
        <v>202</v>
      </c>
      <c r="K2" s="10">
        <v>2</v>
      </c>
      <c r="L2" s="10">
        <v>20120627</v>
      </c>
      <c r="M2" s="11">
        <v>475000</v>
      </c>
      <c r="N2" s="10">
        <v>0</v>
      </c>
      <c r="O2" s="7" t="s">
        <v>5</v>
      </c>
      <c r="P2" s="7"/>
    </row>
    <row r="3" spans="1:16">
      <c r="A3" s="7" t="s">
        <v>203</v>
      </c>
      <c r="B3" s="7" t="s">
        <v>204</v>
      </c>
      <c r="C3" s="8">
        <v>53413</v>
      </c>
      <c r="D3" s="9">
        <f t="shared" si="0"/>
        <v>1.2261937557392102</v>
      </c>
      <c r="E3" s="7" t="s">
        <v>205</v>
      </c>
      <c r="F3" s="7" t="s">
        <v>2</v>
      </c>
      <c r="G3" s="7" t="s">
        <v>3</v>
      </c>
      <c r="H3" s="7" t="s">
        <v>4</v>
      </c>
      <c r="I3" s="7" t="s">
        <v>201</v>
      </c>
      <c r="J3" s="7" t="s">
        <v>202</v>
      </c>
      <c r="K3" s="10">
        <v>2</v>
      </c>
      <c r="L3" s="10">
        <v>20120627</v>
      </c>
      <c r="M3" s="11">
        <v>475000</v>
      </c>
      <c r="N3" s="10">
        <v>0</v>
      </c>
      <c r="O3" s="7" t="s">
        <v>5</v>
      </c>
      <c r="P3" s="7"/>
    </row>
    <row r="4" spans="1:16">
      <c r="A4" s="7" t="s">
        <v>206</v>
      </c>
      <c r="B4" s="7" t="s">
        <v>207</v>
      </c>
      <c r="C4" s="8">
        <v>60766</v>
      </c>
      <c r="D4" s="9">
        <f t="shared" si="0"/>
        <v>1.3949954086317722</v>
      </c>
      <c r="E4" s="7" t="s">
        <v>208</v>
      </c>
      <c r="F4" s="7" t="s">
        <v>30</v>
      </c>
      <c r="G4" s="7" t="s">
        <v>41</v>
      </c>
      <c r="H4" s="7" t="s">
        <v>23</v>
      </c>
      <c r="I4" s="7" t="s">
        <v>209</v>
      </c>
      <c r="J4" s="7" t="s">
        <v>210</v>
      </c>
      <c r="K4" s="10">
        <v>1</v>
      </c>
      <c r="L4" s="10">
        <v>20120417</v>
      </c>
      <c r="M4" s="11">
        <v>365000</v>
      </c>
      <c r="N4" s="10">
        <v>2012</v>
      </c>
      <c r="O4" s="7" t="s">
        <v>24</v>
      </c>
      <c r="P4" s="7" t="s">
        <v>25</v>
      </c>
    </row>
    <row r="5" spans="1:16">
      <c r="A5" s="7" t="s">
        <v>211</v>
      </c>
      <c r="B5" s="7" t="s">
        <v>212</v>
      </c>
      <c r="C5" s="8">
        <v>47350</v>
      </c>
      <c r="D5" s="9">
        <f t="shared" si="0"/>
        <v>1.0870064279155187</v>
      </c>
      <c r="E5" s="7" t="s">
        <v>213</v>
      </c>
      <c r="F5" s="7" t="s">
        <v>6</v>
      </c>
      <c r="G5" s="7" t="s">
        <v>44</v>
      </c>
      <c r="H5" s="7" t="s">
        <v>16</v>
      </c>
      <c r="I5" s="7" t="s">
        <v>214</v>
      </c>
      <c r="J5" s="7" t="s">
        <v>215</v>
      </c>
      <c r="K5" s="10">
        <v>1</v>
      </c>
      <c r="L5" s="10">
        <v>20120406</v>
      </c>
      <c r="M5" s="11">
        <v>160000</v>
      </c>
      <c r="N5" s="10">
        <v>0</v>
      </c>
      <c r="O5" s="7" t="s">
        <v>5</v>
      </c>
      <c r="P5" s="7"/>
    </row>
    <row r="6" spans="1:16">
      <c r="A6" s="7" t="s">
        <v>216</v>
      </c>
      <c r="B6" s="7" t="s">
        <v>217</v>
      </c>
      <c r="C6" s="8">
        <v>76491</v>
      </c>
      <c r="D6" s="9">
        <f t="shared" si="0"/>
        <v>1.7559917355371901</v>
      </c>
      <c r="E6" s="7" t="s">
        <v>218</v>
      </c>
      <c r="F6" s="7" t="s">
        <v>2</v>
      </c>
      <c r="G6" s="7" t="s">
        <v>76</v>
      </c>
      <c r="H6" s="7" t="s">
        <v>4</v>
      </c>
      <c r="I6" s="7" t="s">
        <v>209</v>
      </c>
      <c r="J6" s="7" t="s">
        <v>219</v>
      </c>
      <c r="K6" s="10">
        <v>1</v>
      </c>
      <c r="L6" s="10">
        <v>20120403</v>
      </c>
      <c r="M6" s="11">
        <v>1219700</v>
      </c>
      <c r="N6" s="10">
        <v>2012</v>
      </c>
      <c r="O6" s="7" t="s">
        <v>45</v>
      </c>
      <c r="P6" s="7" t="s">
        <v>46</v>
      </c>
    </row>
    <row r="7" spans="1:16">
      <c r="A7" s="7" t="s">
        <v>220</v>
      </c>
      <c r="B7" s="7" t="s">
        <v>221</v>
      </c>
      <c r="C7" s="8">
        <v>59903</v>
      </c>
      <c r="D7" s="9">
        <f t="shared" si="0"/>
        <v>1.3751836547291092</v>
      </c>
      <c r="E7" s="7" t="s">
        <v>222</v>
      </c>
      <c r="F7" s="7" t="s">
        <v>6</v>
      </c>
      <c r="G7" s="7" t="s">
        <v>26</v>
      </c>
      <c r="H7" s="7" t="s">
        <v>27</v>
      </c>
      <c r="I7" s="7" t="s">
        <v>223</v>
      </c>
      <c r="J7" s="7" t="s">
        <v>224</v>
      </c>
      <c r="K7" s="10">
        <v>1</v>
      </c>
      <c r="L7" s="10">
        <v>20120323</v>
      </c>
      <c r="M7" s="11">
        <v>700000</v>
      </c>
      <c r="N7" s="10">
        <v>2012</v>
      </c>
      <c r="O7" s="7" t="s">
        <v>35</v>
      </c>
      <c r="P7" s="7" t="s">
        <v>36</v>
      </c>
    </row>
    <row r="8" spans="1:16">
      <c r="A8" s="7" t="s">
        <v>225</v>
      </c>
      <c r="B8" s="7" t="s">
        <v>226</v>
      </c>
      <c r="C8" s="8">
        <v>28575</v>
      </c>
      <c r="D8" s="9">
        <f t="shared" si="0"/>
        <v>0.65599173553719003</v>
      </c>
      <c r="E8" s="7" t="s">
        <v>227</v>
      </c>
      <c r="F8" s="7" t="s">
        <v>30</v>
      </c>
      <c r="G8" s="7" t="s">
        <v>7</v>
      </c>
      <c r="H8" s="7" t="s">
        <v>8</v>
      </c>
      <c r="I8" s="7" t="s">
        <v>228</v>
      </c>
      <c r="J8" s="7" t="s">
        <v>229</v>
      </c>
      <c r="K8" s="10">
        <v>1</v>
      </c>
      <c r="L8" s="10">
        <v>20120217</v>
      </c>
      <c r="M8" s="11">
        <v>165000</v>
      </c>
      <c r="N8" s="10">
        <v>0</v>
      </c>
      <c r="O8" s="7" t="s">
        <v>5</v>
      </c>
      <c r="P8" s="7"/>
    </row>
    <row r="9" spans="1:16">
      <c r="A9" s="7" t="s">
        <v>230</v>
      </c>
      <c r="B9" s="7" t="s">
        <v>231</v>
      </c>
      <c r="C9" s="8">
        <v>169</v>
      </c>
      <c r="D9" s="9">
        <f t="shared" si="0"/>
        <v>3.879706152433425E-3</v>
      </c>
      <c r="E9" s="7" t="s">
        <v>232</v>
      </c>
      <c r="F9" s="7" t="s">
        <v>6</v>
      </c>
      <c r="G9" s="7" t="s">
        <v>233</v>
      </c>
      <c r="H9" s="7" t="s">
        <v>8</v>
      </c>
      <c r="I9" s="7" t="s">
        <v>228</v>
      </c>
      <c r="J9" s="7" t="s">
        <v>234</v>
      </c>
      <c r="K9" s="10">
        <v>5</v>
      </c>
      <c r="L9" s="10">
        <v>20120118</v>
      </c>
      <c r="M9" s="11">
        <v>4000000</v>
      </c>
      <c r="N9" s="10">
        <v>0</v>
      </c>
      <c r="O9" s="7" t="s">
        <v>5</v>
      </c>
      <c r="P9" s="7"/>
    </row>
    <row r="10" spans="1:16">
      <c r="A10" s="7" t="s">
        <v>235</v>
      </c>
      <c r="B10" s="7" t="s">
        <v>236</v>
      </c>
      <c r="C10" s="8">
        <v>420441</v>
      </c>
      <c r="D10" s="9">
        <f t="shared" si="0"/>
        <v>9.6519972451790625</v>
      </c>
      <c r="E10" s="7" t="s">
        <v>237</v>
      </c>
      <c r="F10" s="7" t="s">
        <v>2</v>
      </c>
      <c r="G10" s="7" t="s">
        <v>3</v>
      </c>
      <c r="H10" s="7" t="s">
        <v>4</v>
      </c>
      <c r="I10" s="7" t="s">
        <v>201</v>
      </c>
      <c r="J10" s="7" t="s">
        <v>234</v>
      </c>
      <c r="K10" s="10">
        <v>5</v>
      </c>
      <c r="L10" s="10">
        <v>20120118</v>
      </c>
      <c r="M10" s="11">
        <v>4000000</v>
      </c>
      <c r="N10" s="10">
        <v>2012</v>
      </c>
      <c r="O10" s="7" t="s">
        <v>18</v>
      </c>
      <c r="P10" s="7" t="s">
        <v>19</v>
      </c>
    </row>
    <row r="11" spans="1:16">
      <c r="A11" s="7" t="s">
        <v>238</v>
      </c>
      <c r="B11" s="7" t="s">
        <v>239</v>
      </c>
      <c r="C11" s="8">
        <v>63933</v>
      </c>
      <c r="D11" s="9">
        <f t="shared" si="0"/>
        <v>1.4676997245179064</v>
      </c>
      <c r="E11" s="7" t="s">
        <v>240</v>
      </c>
      <c r="F11" s="7" t="s">
        <v>2</v>
      </c>
      <c r="G11" s="7" t="s">
        <v>3</v>
      </c>
      <c r="H11" s="7" t="s">
        <v>4</v>
      </c>
      <c r="I11" s="7" t="s">
        <v>201</v>
      </c>
      <c r="J11" s="7" t="s">
        <v>234</v>
      </c>
      <c r="K11" s="10">
        <v>5</v>
      </c>
      <c r="L11" s="10">
        <v>20120118</v>
      </c>
      <c r="M11" s="11">
        <v>4000000</v>
      </c>
      <c r="N11" s="10">
        <v>2012</v>
      </c>
      <c r="O11" s="7" t="s">
        <v>18</v>
      </c>
      <c r="P11" s="7" t="s">
        <v>19</v>
      </c>
    </row>
    <row r="12" spans="1:16">
      <c r="A12" s="7" t="s">
        <v>241</v>
      </c>
      <c r="B12" s="7" t="s">
        <v>242</v>
      </c>
      <c r="C12" s="8">
        <v>22085</v>
      </c>
      <c r="D12" s="9">
        <f t="shared" si="0"/>
        <v>0.50700183654729114</v>
      </c>
      <c r="E12" s="7" t="s">
        <v>12</v>
      </c>
      <c r="F12" s="7" t="s">
        <v>6</v>
      </c>
      <c r="G12" s="7" t="s">
        <v>13</v>
      </c>
      <c r="H12" s="7" t="s">
        <v>14</v>
      </c>
      <c r="I12" s="7" t="s">
        <v>15</v>
      </c>
      <c r="J12" s="7" t="s">
        <v>234</v>
      </c>
      <c r="K12" s="10">
        <v>5</v>
      </c>
      <c r="L12" s="10">
        <v>20120118</v>
      </c>
      <c r="M12" s="11">
        <v>4000000</v>
      </c>
      <c r="N12" s="10">
        <v>0</v>
      </c>
      <c r="O12" s="7" t="s">
        <v>5</v>
      </c>
      <c r="P12" s="7"/>
    </row>
    <row r="13" spans="1:16">
      <c r="A13" s="7" t="s">
        <v>243</v>
      </c>
      <c r="B13" s="7" t="s">
        <v>244</v>
      </c>
      <c r="C13" s="8">
        <v>935</v>
      </c>
      <c r="D13" s="9">
        <f t="shared" si="0"/>
        <v>2.1464646464646464E-2</v>
      </c>
      <c r="E13" s="7" t="s">
        <v>12</v>
      </c>
      <c r="F13" s="7" t="s">
        <v>6</v>
      </c>
      <c r="G13" s="7" t="s">
        <v>13</v>
      </c>
      <c r="H13" s="7" t="s">
        <v>14</v>
      </c>
      <c r="I13" s="7" t="s">
        <v>15</v>
      </c>
      <c r="J13" s="7" t="s">
        <v>234</v>
      </c>
      <c r="K13" s="10">
        <v>5</v>
      </c>
      <c r="L13" s="10">
        <v>20120118</v>
      </c>
      <c r="M13" s="11">
        <v>4000000</v>
      </c>
      <c r="N13" s="10">
        <v>0</v>
      </c>
      <c r="O13" s="7" t="s">
        <v>5</v>
      </c>
      <c r="P13" s="7"/>
    </row>
    <row r="14" spans="1:16">
      <c r="A14" s="7" t="s">
        <v>245</v>
      </c>
      <c r="B14" s="7" t="s">
        <v>246</v>
      </c>
      <c r="C14" s="8">
        <v>29975</v>
      </c>
      <c r="D14" s="9">
        <f t="shared" si="0"/>
        <v>0.68813131313131315</v>
      </c>
      <c r="E14" s="7" t="s">
        <v>247</v>
      </c>
      <c r="F14" s="7" t="s">
        <v>2</v>
      </c>
      <c r="G14" s="7" t="s">
        <v>248</v>
      </c>
      <c r="H14" s="7" t="s">
        <v>4</v>
      </c>
      <c r="I14" s="7" t="s">
        <v>214</v>
      </c>
      <c r="J14" s="7" t="s">
        <v>249</v>
      </c>
      <c r="K14" s="10">
        <v>1</v>
      </c>
      <c r="L14" s="10">
        <v>20120109</v>
      </c>
      <c r="M14" s="11">
        <v>157500</v>
      </c>
      <c r="N14" s="10">
        <v>0</v>
      </c>
      <c r="O14" s="7" t="s">
        <v>5</v>
      </c>
      <c r="P14" s="7"/>
    </row>
    <row r="15" spans="1:16">
      <c r="A15" s="7" t="s">
        <v>250</v>
      </c>
      <c r="B15" s="7" t="s">
        <v>251</v>
      </c>
      <c r="C15" s="8">
        <v>16256</v>
      </c>
      <c r="D15" s="9">
        <f t="shared" si="0"/>
        <v>0.37318640955004589</v>
      </c>
      <c r="E15" s="7" t="s">
        <v>252</v>
      </c>
      <c r="F15" s="7" t="s">
        <v>2</v>
      </c>
      <c r="G15" s="7" t="s">
        <v>253</v>
      </c>
      <c r="H15" s="7" t="s">
        <v>4</v>
      </c>
      <c r="I15" s="7" t="s">
        <v>228</v>
      </c>
      <c r="J15" s="7" t="s">
        <v>254</v>
      </c>
      <c r="K15" s="10">
        <v>1</v>
      </c>
      <c r="L15" s="10">
        <v>20111230</v>
      </c>
      <c r="M15" s="11">
        <v>79650</v>
      </c>
      <c r="N15" s="10">
        <v>0</v>
      </c>
      <c r="O15" s="7" t="s">
        <v>5</v>
      </c>
      <c r="P15" s="7"/>
    </row>
    <row r="16" spans="1:16">
      <c r="A16" s="7" t="s">
        <v>255</v>
      </c>
      <c r="B16" s="7" t="s">
        <v>256</v>
      </c>
      <c r="C16" s="8">
        <v>15700</v>
      </c>
      <c r="D16" s="9">
        <f t="shared" si="0"/>
        <v>0.36042240587695135</v>
      </c>
      <c r="E16" s="7" t="s">
        <v>257</v>
      </c>
      <c r="F16" s="7" t="s">
        <v>6</v>
      </c>
      <c r="G16" s="7" t="s">
        <v>258</v>
      </c>
      <c r="H16" s="7" t="s">
        <v>16</v>
      </c>
      <c r="I16" s="7" t="s">
        <v>201</v>
      </c>
      <c r="J16" s="7" t="s">
        <v>259</v>
      </c>
      <c r="K16" s="10">
        <v>1</v>
      </c>
      <c r="L16" s="10">
        <v>20111228</v>
      </c>
      <c r="M16" s="11">
        <v>200000</v>
      </c>
      <c r="N16" s="10">
        <v>0</v>
      </c>
      <c r="O16" s="7" t="s">
        <v>5</v>
      </c>
      <c r="P16" s="7"/>
    </row>
    <row r="17" spans="1:16">
      <c r="A17" s="7" t="s">
        <v>260</v>
      </c>
      <c r="B17" s="7" t="s">
        <v>261</v>
      </c>
      <c r="C17" s="8">
        <v>97951</v>
      </c>
      <c r="D17" s="9">
        <f t="shared" si="0"/>
        <v>2.2486455463728192</v>
      </c>
      <c r="E17" s="7" t="s">
        <v>262</v>
      </c>
      <c r="F17" s="7" t="s">
        <v>6</v>
      </c>
      <c r="G17" s="7" t="s">
        <v>34</v>
      </c>
      <c r="H17" s="7" t="s">
        <v>16</v>
      </c>
      <c r="I17" s="7" t="s">
        <v>214</v>
      </c>
      <c r="J17" s="7" t="s">
        <v>263</v>
      </c>
      <c r="K17" s="10">
        <v>1</v>
      </c>
      <c r="L17" s="10">
        <v>20111228</v>
      </c>
      <c r="M17" s="11">
        <v>704000</v>
      </c>
      <c r="N17" s="10">
        <v>2012</v>
      </c>
      <c r="O17" s="7" t="s">
        <v>42</v>
      </c>
      <c r="P17" s="7" t="s">
        <v>43</v>
      </c>
    </row>
    <row r="18" spans="1:16">
      <c r="A18" s="7" t="s">
        <v>264</v>
      </c>
      <c r="B18" s="7" t="s">
        <v>265</v>
      </c>
      <c r="C18" s="8">
        <v>12354</v>
      </c>
      <c r="D18" s="9">
        <f t="shared" si="0"/>
        <v>0.28360881542699723</v>
      </c>
      <c r="E18" s="7" t="s">
        <v>266</v>
      </c>
      <c r="F18" s="7" t="s">
        <v>6</v>
      </c>
      <c r="G18" s="7" t="s">
        <v>26</v>
      </c>
      <c r="H18" s="7" t="s">
        <v>8</v>
      </c>
      <c r="I18" s="7" t="s">
        <v>228</v>
      </c>
      <c r="J18" s="7" t="s">
        <v>267</v>
      </c>
      <c r="K18" s="10">
        <v>1</v>
      </c>
      <c r="L18" s="10">
        <v>20111130</v>
      </c>
      <c r="M18" s="11">
        <v>260000</v>
      </c>
      <c r="N18" s="10">
        <v>0</v>
      </c>
      <c r="O18" s="7" t="s">
        <v>5</v>
      </c>
      <c r="P18" s="7"/>
    </row>
    <row r="19" spans="1:16">
      <c r="A19" s="7" t="s">
        <v>268</v>
      </c>
      <c r="B19" s="7" t="s">
        <v>269</v>
      </c>
      <c r="C19" s="8">
        <v>12750</v>
      </c>
      <c r="D19" s="9">
        <f t="shared" si="0"/>
        <v>0.29269972451790632</v>
      </c>
      <c r="E19" s="7" t="s">
        <v>270</v>
      </c>
      <c r="F19" s="7" t="s">
        <v>2</v>
      </c>
      <c r="G19" s="7" t="s">
        <v>271</v>
      </c>
      <c r="H19" s="7" t="s">
        <v>4</v>
      </c>
      <c r="I19" s="7" t="s">
        <v>272</v>
      </c>
      <c r="J19" s="7" t="s">
        <v>273</v>
      </c>
      <c r="K19" s="10">
        <v>2</v>
      </c>
      <c r="L19" s="10">
        <v>20110819</v>
      </c>
      <c r="M19" s="11">
        <v>150000</v>
      </c>
      <c r="N19" s="10">
        <v>2011</v>
      </c>
      <c r="O19" s="7" t="s">
        <v>42</v>
      </c>
      <c r="P19" s="7" t="s">
        <v>43</v>
      </c>
    </row>
    <row r="20" spans="1:16">
      <c r="A20" s="7" t="s">
        <v>274</v>
      </c>
      <c r="B20" s="7" t="s">
        <v>275</v>
      </c>
      <c r="C20" s="8">
        <v>12750</v>
      </c>
      <c r="D20" s="9">
        <f t="shared" si="0"/>
        <v>0.29269972451790632</v>
      </c>
      <c r="E20" s="7" t="s">
        <v>276</v>
      </c>
      <c r="F20" s="7" t="s">
        <v>2</v>
      </c>
      <c r="G20" s="7" t="s">
        <v>271</v>
      </c>
      <c r="H20" s="7" t="s">
        <v>4</v>
      </c>
      <c r="I20" s="7" t="s">
        <v>272</v>
      </c>
      <c r="J20" s="7" t="s">
        <v>273</v>
      </c>
      <c r="K20" s="10">
        <v>2</v>
      </c>
      <c r="L20" s="10">
        <v>20110819</v>
      </c>
      <c r="M20" s="11">
        <v>150000</v>
      </c>
      <c r="N20" s="10">
        <v>2011</v>
      </c>
      <c r="O20" s="7" t="s">
        <v>42</v>
      </c>
      <c r="P20" s="7" t="s">
        <v>43</v>
      </c>
    </row>
    <row r="21" spans="1:16">
      <c r="A21" s="7" t="s">
        <v>277</v>
      </c>
      <c r="B21" s="7" t="s">
        <v>278</v>
      </c>
      <c r="C21" s="8">
        <v>0</v>
      </c>
      <c r="D21" s="9">
        <f t="shared" si="0"/>
        <v>0</v>
      </c>
      <c r="E21" s="7" t="s">
        <v>279</v>
      </c>
      <c r="F21" s="7" t="s">
        <v>30</v>
      </c>
      <c r="G21" s="7" t="s">
        <v>280</v>
      </c>
      <c r="H21" s="7" t="s">
        <v>281</v>
      </c>
      <c r="I21" s="7" t="s">
        <v>228</v>
      </c>
      <c r="J21" s="7" t="s">
        <v>282</v>
      </c>
      <c r="K21" s="10">
        <v>1</v>
      </c>
      <c r="L21" s="10">
        <v>20110812</v>
      </c>
      <c r="M21" s="11">
        <v>670300</v>
      </c>
      <c r="N21" s="10">
        <v>2007</v>
      </c>
      <c r="O21" s="7" t="s">
        <v>50</v>
      </c>
      <c r="P21" s="7" t="s">
        <v>51</v>
      </c>
    </row>
    <row r="22" spans="1:16">
      <c r="A22" s="7" t="s">
        <v>283</v>
      </c>
      <c r="B22" s="7" t="s">
        <v>284</v>
      </c>
      <c r="C22" s="8">
        <v>283788</v>
      </c>
      <c r="D22" s="9">
        <f t="shared" si="0"/>
        <v>6.5148760330578517</v>
      </c>
      <c r="E22" s="7" t="s">
        <v>285</v>
      </c>
      <c r="F22" s="7" t="s">
        <v>2</v>
      </c>
      <c r="G22" s="7" t="s">
        <v>95</v>
      </c>
      <c r="H22" s="7" t="s">
        <v>20</v>
      </c>
      <c r="I22" s="7" t="s">
        <v>272</v>
      </c>
      <c r="J22" s="7" t="s">
        <v>286</v>
      </c>
      <c r="K22" s="10">
        <v>1</v>
      </c>
      <c r="L22" s="10">
        <v>20110715</v>
      </c>
      <c r="M22" s="11">
        <v>4770000</v>
      </c>
      <c r="N22" s="10">
        <v>2011</v>
      </c>
      <c r="O22" s="7" t="s">
        <v>287</v>
      </c>
      <c r="P22" s="7" t="s">
        <v>288</v>
      </c>
    </row>
    <row r="23" spans="1:16">
      <c r="A23" s="7" t="s">
        <v>289</v>
      </c>
      <c r="B23" s="7" t="s">
        <v>290</v>
      </c>
      <c r="C23" s="8">
        <v>53670</v>
      </c>
      <c r="D23" s="9">
        <f t="shared" si="0"/>
        <v>1.2320936639118458</v>
      </c>
      <c r="E23" s="7" t="s">
        <v>291</v>
      </c>
      <c r="F23" s="7" t="s">
        <v>6</v>
      </c>
      <c r="G23" s="7" t="s">
        <v>47</v>
      </c>
      <c r="H23" s="7" t="s">
        <v>8</v>
      </c>
      <c r="I23" s="7" t="s">
        <v>223</v>
      </c>
      <c r="J23" s="7" t="s">
        <v>292</v>
      </c>
      <c r="K23" s="10">
        <v>2</v>
      </c>
      <c r="L23" s="10">
        <v>20110711</v>
      </c>
      <c r="M23" s="11">
        <v>694900</v>
      </c>
      <c r="N23" s="10">
        <v>2011</v>
      </c>
      <c r="O23" s="7" t="s">
        <v>21</v>
      </c>
      <c r="P23" s="7" t="s">
        <v>22</v>
      </c>
    </row>
    <row r="24" spans="1:16">
      <c r="A24" s="7" t="s">
        <v>78</v>
      </c>
      <c r="B24" s="7" t="s">
        <v>79</v>
      </c>
      <c r="C24" s="8">
        <v>44867</v>
      </c>
      <c r="D24" s="9">
        <f t="shared" si="0"/>
        <v>1.0300045913682276</v>
      </c>
      <c r="E24" s="7" t="s">
        <v>80</v>
      </c>
      <c r="F24" s="7" t="s">
        <v>2</v>
      </c>
      <c r="G24" s="7" t="s">
        <v>81</v>
      </c>
      <c r="H24" s="7" t="s">
        <v>39</v>
      </c>
      <c r="I24" s="7" t="s">
        <v>201</v>
      </c>
      <c r="J24" s="7" t="s">
        <v>293</v>
      </c>
      <c r="K24" s="10">
        <v>1</v>
      </c>
      <c r="L24" s="10">
        <v>20110629</v>
      </c>
      <c r="M24" s="11">
        <v>360000</v>
      </c>
      <c r="N24" s="10">
        <v>2012</v>
      </c>
      <c r="O24" s="7" t="s">
        <v>10</v>
      </c>
      <c r="P24" s="7" t="s">
        <v>11</v>
      </c>
    </row>
    <row r="25" spans="1:16">
      <c r="A25" s="7" t="s">
        <v>294</v>
      </c>
      <c r="B25" s="7" t="s">
        <v>295</v>
      </c>
      <c r="C25" s="8">
        <v>81457</v>
      </c>
      <c r="D25" s="9">
        <f t="shared" si="0"/>
        <v>1.8699954086317723</v>
      </c>
      <c r="E25" s="7" t="s">
        <v>296</v>
      </c>
      <c r="F25" s="7" t="s">
        <v>2</v>
      </c>
      <c r="G25" s="7" t="s">
        <v>297</v>
      </c>
      <c r="H25" s="7" t="s">
        <v>20</v>
      </c>
      <c r="I25" s="7" t="s">
        <v>209</v>
      </c>
      <c r="J25" s="7" t="s">
        <v>298</v>
      </c>
      <c r="K25" s="10">
        <v>1</v>
      </c>
      <c r="L25" s="10">
        <v>20110609</v>
      </c>
      <c r="M25" s="11">
        <v>200000</v>
      </c>
      <c r="N25" s="10">
        <v>0</v>
      </c>
      <c r="O25" s="7" t="s">
        <v>5</v>
      </c>
      <c r="P25" s="7"/>
    </row>
    <row r="26" spans="1:16">
      <c r="A26" s="7" t="s">
        <v>299</v>
      </c>
      <c r="B26" s="7" t="s">
        <v>300</v>
      </c>
      <c r="C26" s="8">
        <v>68171</v>
      </c>
      <c r="D26" s="9">
        <f t="shared" si="0"/>
        <v>1.5649908172635445</v>
      </c>
      <c r="E26" s="7" t="s">
        <v>301</v>
      </c>
      <c r="F26" s="7" t="s">
        <v>6</v>
      </c>
      <c r="G26" s="7" t="s">
        <v>40</v>
      </c>
      <c r="H26" s="7" t="s">
        <v>27</v>
      </c>
      <c r="I26" s="7" t="s">
        <v>201</v>
      </c>
      <c r="J26" s="7" t="s">
        <v>302</v>
      </c>
      <c r="K26" s="10">
        <v>2</v>
      </c>
      <c r="L26" s="10">
        <v>20110524</v>
      </c>
      <c r="M26" s="11">
        <v>703466</v>
      </c>
      <c r="N26" s="10">
        <v>2012</v>
      </c>
      <c r="O26" s="7" t="s">
        <v>303</v>
      </c>
      <c r="P26" s="7" t="s">
        <v>304</v>
      </c>
    </row>
    <row r="27" spans="1:16">
      <c r="A27" s="7" t="s">
        <v>305</v>
      </c>
      <c r="B27" s="7" t="s">
        <v>306</v>
      </c>
      <c r="C27" s="8">
        <v>50050</v>
      </c>
      <c r="D27" s="9">
        <f t="shared" si="0"/>
        <v>1.148989898989899</v>
      </c>
      <c r="E27" s="7" t="s">
        <v>12</v>
      </c>
      <c r="F27" s="7" t="s">
        <v>6</v>
      </c>
      <c r="G27" s="7" t="s">
        <v>13</v>
      </c>
      <c r="H27" s="7" t="s">
        <v>14</v>
      </c>
      <c r="I27" s="7" t="s">
        <v>201</v>
      </c>
      <c r="J27" s="7" t="s">
        <v>302</v>
      </c>
      <c r="K27" s="10">
        <v>2</v>
      </c>
      <c r="L27" s="10">
        <v>20110524</v>
      </c>
      <c r="M27" s="11">
        <v>703466</v>
      </c>
      <c r="N27" s="10">
        <v>0</v>
      </c>
      <c r="O27" s="7" t="s">
        <v>5</v>
      </c>
      <c r="P27" s="7"/>
    </row>
    <row r="28" spans="1:16">
      <c r="A28" s="7" t="s">
        <v>307</v>
      </c>
      <c r="B28" s="7" t="s">
        <v>308</v>
      </c>
      <c r="C28" s="8">
        <v>20460</v>
      </c>
      <c r="D28" s="9">
        <f t="shared" si="0"/>
        <v>0.46969696969696972</v>
      </c>
      <c r="E28" s="7" t="s">
        <v>309</v>
      </c>
      <c r="F28" s="7" t="s">
        <v>2</v>
      </c>
      <c r="G28" s="7" t="s">
        <v>3</v>
      </c>
      <c r="H28" s="7" t="s">
        <v>4</v>
      </c>
      <c r="I28" s="7" t="s">
        <v>228</v>
      </c>
      <c r="J28" s="7" t="s">
        <v>310</v>
      </c>
      <c r="K28" s="10">
        <v>1</v>
      </c>
      <c r="L28" s="10">
        <v>20110420</v>
      </c>
      <c r="M28" s="11">
        <v>1100000</v>
      </c>
      <c r="N28" s="10">
        <v>2011</v>
      </c>
      <c r="O28" s="7" t="s">
        <v>48</v>
      </c>
      <c r="P28" s="7" t="s">
        <v>49</v>
      </c>
    </row>
    <row r="29" spans="1:16">
      <c r="A29" s="7" t="s">
        <v>311</v>
      </c>
      <c r="B29" s="7" t="s">
        <v>312</v>
      </c>
      <c r="C29" s="8">
        <v>38258</v>
      </c>
      <c r="D29" s="9">
        <f t="shared" si="0"/>
        <v>0.87828282828282833</v>
      </c>
      <c r="E29" s="7" t="s">
        <v>313</v>
      </c>
      <c r="F29" s="7" t="s">
        <v>2</v>
      </c>
      <c r="G29" s="7" t="s">
        <v>314</v>
      </c>
      <c r="H29" s="7" t="s">
        <v>4</v>
      </c>
      <c r="I29" s="7" t="s">
        <v>272</v>
      </c>
      <c r="J29" s="7" t="s">
        <v>315</v>
      </c>
      <c r="K29" s="10">
        <v>1</v>
      </c>
      <c r="L29" s="10">
        <v>20110323</v>
      </c>
      <c r="M29" s="11">
        <v>90000</v>
      </c>
      <c r="N29" s="10">
        <v>2011</v>
      </c>
      <c r="O29" s="7" t="s">
        <v>10</v>
      </c>
      <c r="P29" s="7" t="s">
        <v>11</v>
      </c>
    </row>
    <row r="30" spans="1:16">
      <c r="A30" s="7" t="s">
        <v>316</v>
      </c>
      <c r="B30" s="7" t="s">
        <v>317</v>
      </c>
      <c r="C30" s="8">
        <v>11025</v>
      </c>
      <c r="D30" s="9">
        <f t="shared" si="0"/>
        <v>0.25309917355371903</v>
      </c>
      <c r="E30" s="7" t="s">
        <v>318</v>
      </c>
      <c r="F30" s="7" t="s">
        <v>2</v>
      </c>
      <c r="G30" s="7" t="s">
        <v>3</v>
      </c>
      <c r="H30" s="7" t="s">
        <v>4</v>
      </c>
      <c r="I30" s="7" t="s">
        <v>201</v>
      </c>
      <c r="J30" s="7" t="s">
        <v>319</v>
      </c>
      <c r="K30" s="10">
        <v>1</v>
      </c>
      <c r="L30" s="10">
        <v>20101230</v>
      </c>
      <c r="M30" s="11">
        <v>200000</v>
      </c>
      <c r="N30" s="10">
        <v>0</v>
      </c>
      <c r="O30" s="7" t="s">
        <v>5</v>
      </c>
      <c r="P30" s="7"/>
    </row>
    <row r="31" spans="1:16">
      <c r="A31" s="7" t="s">
        <v>320</v>
      </c>
      <c r="B31" s="7" t="s">
        <v>321</v>
      </c>
      <c r="C31" s="8">
        <v>6250</v>
      </c>
      <c r="D31" s="9">
        <f t="shared" si="0"/>
        <v>0.14348025711662074</v>
      </c>
      <c r="E31" s="7" t="s">
        <v>322</v>
      </c>
      <c r="F31" s="7" t="s">
        <v>2</v>
      </c>
      <c r="G31" s="7" t="s">
        <v>3</v>
      </c>
      <c r="H31" s="7" t="s">
        <v>4</v>
      </c>
      <c r="I31" s="7" t="s">
        <v>228</v>
      </c>
      <c r="J31" s="7" t="s">
        <v>323</v>
      </c>
      <c r="K31" s="10">
        <v>1</v>
      </c>
      <c r="L31" s="10">
        <v>20101230</v>
      </c>
      <c r="M31" s="11">
        <v>25000</v>
      </c>
      <c r="N31" s="10">
        <v>0</v>
      </c>
      <c r="O31" s="7" t="s">
        <v>5</v>
      </c>
      <c r="P31" s="7"/>
    </row>
    <row r="32" spans="1:16">
      <c r="A32" s="7" t="s">
        <v>324</v>
      </c>
      <c r="B32" s="7" t="s">
        <v>325</v>
      </c>
      <c r="C32" s="8">
        <v>43604</v>
      </c>
      <c r="D32" s="9">
        <f t="shared" si="0"/>
        <v>1.0010101010101009</v>
      </c>
      <c r="E32" s="7" t="s">
        <v>326</v>
      </c>
      <c r="F32" s="7" t="s">
        <v>2</v>
      </c>
      <c r="G32" s="7" t="s">
        <v>3</v>
      </c>
      <c r="H32" s="7" t="s">
        <v>4</v>
      </c>
      <c r="I32" s="7" t="s">
        <v>228</v>
      </c>
      <c r="J32" s="7" t="s">
        <v>327</v>
      </c>
      <c r="K32" s="10">
        <v>1</v>
      </c>
      <c r="L32" s="10">
        <v>20101220</v>
      </c>
      <c r="M32" s="11">
        <v>982000</v>
      </c>
      <c r="N32" s="10">
        <v>2011</v>
      </c>
      <c r="O32" s="7" t="s">
        <v>48</v>
      </c>
      <c r="P32" s="7" t="s">
        <v>49</v>
      </c>
    </row>
    <row r="33" spans="1:16">
      <c r="A33" s="7" t="s">
        <v>328</v>
      </c>
      <c r="B33" s="7" t="s">
        <v>329</v>
      </c>
      <c r="C33" s="8">
        <v>30375</v>
      </c>
      <c r="D33" s="9">
        <f t="shared" si="0"/>
        <v>0.6973140495867769</v>
      </c>
      <c r="E33" s="7" t="s">
        <v>330</v>
      </c>
      <c r="F33" s="7" t="s">
        <v>6</v>
      </c>
      <c r="G33" s="7" t="s">
        <v>331</v>
      </c>
      <c r="H33" s="7" t="s">
        <v>16</v>
      </c>
      <c r="I33" s="7" t="s">
        <v>201</v>
      </c>
      <c r="J33" s="7" t="s">
        <v>332</v>
      </c>
      <c r="K33" s="10">
        <v>1</v>
      </c>
      <c r="L33" s="10">
        <v>20101029</v>
      </c>
      <c r="M33" s="11">
        <v>250000</v>
      </c>
      <c r="N33" s="10">
        <v>2011</v>
      </c>
      <c r="O33" s="7" t="s">
        <v>10</v>
      </c>
      <c r="P33" s="7" t="s">
        <v>11</v>
      </c>
    </row>
    <row r="34" spans="1:16">
      <c r="A34" s="7" t="s">
        <v>333</v>
      </c>
      <c r="B34" s="7" t="s">
        <v>334</v>
      </c>
      <c r="C34" s="8">
        <v>19384</v>
      </c>
      <c r="D34" s="9">
        <f t="shared" ref="D34:D65" si="1">C34/43560</f>
        <v>0.44499540863177228</v>
      </c>
      <c r="E34" s="7" t="s">
        <v>335</v>
      </c>
      <c r="F34" s="7" t="s">
        <v>30</v>
      </c>
      <c r="G34" s="7" t="s">
        <v>26</v>
      </c>
      <c r="H34" s="7" t="s">
        <v>8</v>
      </c>
      <c r="I34" s="7" t="s">
        <v>228</v>
      </c>
      <c r="J34" s="7" t="s">
        <v>336</v>
      </c>
      <c r="K34" s="10">
        <v>1</v>
      </c>
      <c r="L34" s="10">
        <v>20101111</v>
      </c>
      <c r="M34" s="11">
        <v>375000</v>
      </c>
      <c r="N34" s="10">
        <v>1986</v>
      </c>
      <c r="O34" s="7" t="s">
        <v>60</v>
      </c>
      <c r="P34" s="7" t="s">
        <v>61</v>
      </c>
    </row>
    <row r="35" spans="1:16">
      <c r="A35" s="7" t="s">
        <v>53</v>
      </c>
      <c r="B35" s="7" t="s">
        <v>54</v>
      </c>
      <c r="C35" s="8">
        <v>23391</v>
      </c>
      <c r="D35" s="9">
        <f t="shared" si="1"/>
        <v>0.53698347107438016</v>
      </c>
      <c r="E35" s="7" t="s">
        <v>55</v>
      </c>
      <c r="F35" s="7" t="s">
        <v>6</v>
      </c>
      <c r="G35" s="7" t="s">
        <v>56</v>
      </c>
      <c r="H35" s="7" t="s">
        <v>16</v>
      </c>
      <c r="I35" s="7" t="s">
        <v>214</v>
      </c>
      <c r="J35" s="7" t="s">
        <v>337</v>
      </c>
      <c r="K35" s="10">
        <v>1</v>
      </c>
      <c r="L35" s="10">
        <v>20100715</v>
      </c>
      <c r="M35" s="11">
        <v>225000</v>
      </c>
      <c r="N35" s="10">
        <v>2011</v>
      </c>
      <c r="O35" s="7" t="s">
        <v>45</v>
      </c>
      <c r="P35" s="7" t="s">
        <v>46</v>
      </c>
    </row>
    <row r="36" spans="1:16">
      <c r="A36" s="7" t="s">
        <v>183</v>
      </c>
      <c r="B36" s="7" t="s">
        <v>184</v>
      </c>
      <c r="C36" s="8">
        <v>40000</v>
      </c>
      <c r="D36" s="9">
        <f t="shared" si="1"/>
        <v>0.91827364554637281</v>
      </c>
      <c r="E36" s="7" t="s">
        <v>185</v>
      </c>
      <c r="F36" s="7" t="s">
        <v>30</v>
      </c>
      <c r="G36" s="7" t="s">
        <v>186</v>
      </c>
      <c r="H36" s="7" t="s">
        <v>16</v>
      </c>
      <c r="I36" s="7" t="s">
        <v>209</v>
      </c>
      <c r="J36" s="7" t="s">
        <v>187</v>
      </c>
      <c r="K36" s="10">
        <v>1</v>
      </c>
      <c r="L36" s="10">
        <v>20100609</v>
      </c>
      <c r="M36" s="11">
        <v>225000</v>
      </c>
      <c r="N36" s="10">
        <v>0</v>
      </c>
      <c r="O36" s="7" t="s">
        <v>5</v>
      </c>
      <c r="P36" s="7"/>
    </row>
    <row r="37" spans="1:16">
      <c r="A37" s="7" t="s">
        <v>178</v>
      </c>
      <c r="B37" s="7" t="s">
        <v>179</v>
      </c>
      <c r="C37" s="8">
        <v>94473</v>
      </c>
      <c r="D37" s="9">
        <f t="shared" si="1"/>
        <v>2.168801652892562</v>
      </c>
      <c r="E37" s="7" t="s">
        <v>180</v>
      </c>
      <c r="F37" s="7" t="s">
        <v>2</v>
      </c>
      <c r="G37" s="7" t="s">
        <v>181</v>
      </c>
      <c r="H37" s="7" t="s">
        <v>27</v>
      </c>
      <c r="I37" s="7" t="s">
        <v>272</v>
      </c>
      <c r="J37" s="7" t="s">
        <v>182</v>
      </c>
      <c r="K37" s="10">
        <v>1</v>
      </c>
      <c r="L37" s="10">
        <v>20100422</v>
      </c>
      <c r="M37" s="11">
        <v>372800</v>
      </c>
      <c r="N37" s="10">
        <v>2011</v>
      </c>
      <c r="O37" s="7" t="s">
        <v>21</v>
      </c>
      <c r="P37" s="7" t="s">
        <v>22</v>
      </c>
    </row>
    <row r="38" spans="1:16">
      <c r="A38" s="7" t="s">
        <v>175</v>
      </c>
      <c r="B38" s="7" t="s">
        <v>176</v>
      </c>
      <c r="C38" s="8">
        <v>64027</v>
      </c>
      <c r="D38" s="9">
        <f t="shared" si="1"/>
        <v>1.4698576675849404</v>
      </c>
      <c r="E38" s="7" t="s">
        <v>338</v>
      </c>
      <c r="F38" s="7" t="s">
        <v>6</v>
      </c>
      <c r="G38" s="7" t="s">
        <v>67</v>
      </c>
      <c r="H38" s="7" t="s">
        <v>16</v>
      </c>
      <c r="I38" s="7" t="s">
        <v>223</v>
      </c>
      <c r="J38" s="7" t="s">
        <v>177</v>
      </c>
      <c r="K38" s="10">
        <v>1</v>
      </c>
      <c r="L38" s="10">
        <v>20100415</v>
      </c>
      <c r="M38" s="11">
        <v>1000000</v>
      </c>
      <c r="N38" s="10">
        <v>2011</v>
      </c>
      <c r="O38" s="7" t="s">
        <v>31</v>
      </c>
      <c r="P38" s="7" t="s">
        <v>32</v>
      </c>
    </row>
    <row r="39" spans="1:16">
      <c r="A39" s="7" t="s">
        <v>172</v>
      </c>
      <c r="B39" s="7" t="s">
        <v>173</v>
      </c>
      <c r="C39" s="8">
        <v>87731</v>
      </c>
      <c r="D39" s="9">
        <f t="shared" si="1"/>
        <v>2.0140266299357208</v>
      </c>
      <c r="E39" s="7" t="s">
        <v>339</v>
      </c>
      <c r="F39" s="7" t="s">
        <v>6</v>
      </c>
      <c r="G39" s="7" t="s">
        <v>340</v>
      </c>
      <c r="H39" s="7" t="s">
        <v>16</v>
      </c>
      <c r="I39" s="7" t="s">
        <v>214</v>
      </c>
      <c r="J39" s="7" t="s">
        <v>174</v>
      </c>
      <c r="K39" s="10">
        <v>1</v>
      </c>
      <c r="L39" s="10">
        <v>20100401</v>
      </c>
      <c r="M39" s="11">
        <v>376800</v>
      </c>
      <c r="N39" s="10">
        <v>2011</v>
      </c>
      <c r="O39" s="7" t="s">
        <v>341</v>
      </c>
      <c r="P39" s="7" t="s">
        <v>342</v>
      </c>
    </row>
    <row r="40" spans="1:16">
      <c r="A40" s="7" t="s">
        <v>166</v>
      </c>
      <c r="B40" s="7" t="s">
        <v>167</v>
      </c>
      <c r="C40" s="8">
        <v>152547</v>
      </c>
      <c r="D40" s="9">
        <f t="shared" si="1"/>
        <v>3.5019972451790635</v>
      </c>
      <c r="E40" s="7" t="s">
        <v>168</v>
      </c>
      <c r="F40" s="7" t="s">
        <v>30</v>
      </c>
      <c r="G40" s="7" t="s">
        <v>34</v>
      </c>
      <c r="H40" s="7" t="s">
        <v>16</v>
      </c>
      <c r="I40" s="7" t="s">
        <v>228</v>
      </c>
      <c r="J40" s="7" t="s">
        <v>169</v>
      </c>
      <c r="K40" s="10">
        <v>1</v>
      </c>
      <c r="L40" s="10">
        <v>20100310</v>
      </c>
      <c r="M40" s="11">
        <v>4140000</v>
      </c>
      <c r="N40" s="10">
        <v>2010</v>
      </c>
      <c r="O40" s="7" t="s">
        <v>170</v>
      </c>
      <c r="P40" s="7" t="s">
        <v>171</v>
      </c>
    </row>
    <row r="41" spans="1:16">
      <c r="A41" s="7" t="s">
        <v>162</v>
      </c>
      <c r="B41" s="7" t="s">
        <v>163</v>
      </c>
      <c r="C41" s="8">
        <v>139577</v>
      </c>
      <c r="D41" s="9">
        <f t="shared" si="1"/>
        <v>3.2042470156106519</v>
      </c>
      <c r="E41" s="7" t="s">
        <v>164</v>
      </c>
      <c r="F41" s="7" t="s">
        <v>6</v>
      </c>
      <c r="G41" s="7" t="s">
        <v>34</v>
      </c>
      <c r="H41" s="7" t="s">
        <v>16</v>
      </c>
      <c r="I41" s="7" t="s">
        <v>223</v>
      </c>
      <c r="J41" s="7" t="s">
        <v>165</v>
      </c>
      <c r="K41" s="10">
        <v>1</v>
      </c>
      <c r="L41" s="10">
        <v>20100303</v>
      </c>
      <c r="M41" s="11">
        <v>3000000</v>
      </c>
      <c r="N41" s="10">
        <v>0</v>
      </c>
      <c r="O41" s="7" t="s">
        <v>5</v>
      </c>
      <c r="P41" s="7"/>
    </row>
    <row r="42" spans="1:16">
      <c r="A42" s="7" t="s">
        <v>159</v>
      </c>
      <c r="B42" s="7" t="s">
        <v>160</v>
      </c>
      <c r="C42" s="8">
        <v>31200</v>
      </c>
      <c r="D42" s="9">
        <f t="shared" si="1"/>
        <v>0.71625344352617082</v>
      </c>
      <c r="E42" s="7" t="s">
        <v>52</v>
      </c>
      <c r="F42" s="7" t="s">
        <v>30</v>
      </c>
      <c r="G42" s="7" t="s">
        <v>161</v>
      </c>
      <c r="H42" s="7" t="s">
        <v>14</v>
      </c>
      <c r="I42" s="7" t="s">
        <v>228</v>
      </c>
      <c r="J42" s="7" t="s">
        <v>158</v>
      </c>
      <c r="K42" s="10">
        <v>2</v>
      </c>
      <c r="L42" s="10">
        <v>20091230</v>
      </c>
      <c r="M42" s="11">
        <v>1079800</v>
      </c>
      <c r="N42" s="10">
        <v>0</v>
      </c>
      <c r="O42" s="7" t="s">
        <v>5</v>
      </c>
      <c r="P42" s="7"/>
    </row>
    <row r="43" spans="1:16">
      <c r="A43" s="7" t="s">
        <v>156</v>
      </c>
      <c r="B43" s="7" t="s">
        <v>157</v>
      </c>
      <c r="C43" s="8">
        <v>157040</v>
      </c>
      <c r="D43" s="9">
        <f t="shared" si="1"/>
        <v>3.6051423324150598</v>
      </c>
      <c r="E43" s="7" t="s">
        <v>12</v>
      </c>
      <c r="F43" s="7" t="s">
        <v>6</v>
      </c>
      <c r="G43" s="7" t="s">
        <v>13</v>
      </c>
      <c r="H43" s="7" t="s">
        <v>14</v>
      </c>
      <c r="I43" s="7" t="s">
        <v>15</v>
      </c>
      <c r="J43" s="7" t="s">
        <v>158</v>
      </c>
      <c r="K43" s="10">
        <v>2</v>
      </c>
      <c r="L43" s="10">
        <v>20091230</v>
      </c>
      <c r="M43" s="11">
        <v>1079800</v>
      </c>
      <c r="N43" s="10">
        <v>0</v>
      </c>
      <c r="O43" s="7" t="s">
        <v>5</v>
      </c>
      <c r="P43" s="7"/>
    </row>
    <row r="44" spans="1:16">
      <c r="A44" s="7" t="s">
        <v>151</v>
      </c>
      <c r="B44" s="7" t="s">
        <v>152</v>
      </c>
      <c r="C44" s="8">
        <v>76971</v>
      </c>
      <c r="D44" s="9">
        <f t="shared" si="1"/>
        <v>1.7670110192837465</v>
      </c>
      <c r="E44" s="7" t="s">
        <v>153</v>
      </c>
      <c r="F44" s="7" t="s">
        <v>6</v>
      </c>
      <c r="G44" s="7" t="s">
        <v>154</v>
      </c>
      <c r="H44" s="7" t="s">
        <v>20</v>
      </c>
      <c r="I44" s="7" t="s">
        <v>201</v>
      </c>
      <c r="J44" s="7" t="s">
        <v>155</v>
      </c>
      <c r="K44" s="10">
        <v>1</v>
      </c>
      <c r="L44" s="10">
        <v>20090827</v>
      </c>
      <c r="M44" s="11">
        <v>277700</v>
      </c>
      <c r="N44" s="10">
        <v>0</v>
      </c>
      <c r="O44" s="7" t="s">
        <v>5</v>
      </c>
      <c r="P44" s="7"/>
    </row>
    <row r="45" spans="1:16">
      <c r="A45" s="7" t="s">
        <v>147</v>
      </c>
      <c r="B45" s="7" t="s">
        <v>148</v>
      </c>
      <c r="C45" s="8">
        <v>37134</v>
      </c>
      <c r="D45" s="9">
        <f t="shared" si="1"/>
        <v>0.85247933884297522</v>
      </c>
      <c r="E45" s="7" t="s">
        <v>149</v>
      </c>
      <c r="F45" s="7" t="s">
        <v>37</v>
      </c>
      <c r="G45" s="7" t="s">
        <v>38</v>
      </c>
      <c r="H45" s="7" t="s">
        <v>39</v>
      </c>
      <c r="I45" s="7" t="s">
        <v>201</v>
      </c>
      <c r="J45" s="7" t="s">
        <v>150</v>
      </c>
      <c r="K45" s="10">
        <v>1</v>
      </c>
      <c r="L45" s="10">
        <v>20090715</v>
      </c>
      <c r="M45" s="11">
        <v>315000</v>
      </c>
      <c r="N45" s="10">
        <v>2010</v>
      </c>
      <c r="O45" s="7" t="s">
        <v>35</v>
      </c>
      <c r="P45" s="7" t="s">
        <v>36</v>
      </c>
    </row>
    <row r="46" spans="1:16">
      <c r="A46" s="7" t="s">
        <v>142</v>
      </c>
      <c r="B46" s="7" t="s">
        <v>143</v>
      </c>
      <c r="C46" s="8">
        <v>26249</v>
      </c>
      <c r="D46" s="9">
        <f t="shared" si="1"/>
        <v>0.60259412304866855</v>
      </c>
      <c r="E46" s="7" t="s">
        <v>144</v>
      </c>
      <c r="F46" s="7" t="s">
        <v>30</v>
      </c>
      <c r="G46" s="7" t="s">
        <v>145</v>
      </c>
      <c r="H46" s="7" t="s">
        <v>9</v>
      </c>
      <c r="I46" s="7" t="s">
        <v>201</v>
      </c>
      <c r="J46" s="7" t="s">
        <v>146</v>
      </c>
      <c r="K46" s="10">
        <v>1</v>
      </c>
      <c r="L46" s="10">
        <v>20090610</v>
      </c>
      <c r="M46" s="11">
        <v>400000</v>
      </c>
      <c r="N46" s="10">
        <v>2009</v>
      </c>
      <c r="O46" s="7" t="s">
        <v>18</v>
      </c>
      <c r="P46" s="7" t="s">
        <v>19</v>
      </c>
    </row>
    <row r="47" spans="1:16">
      <c r="A47" s="7" t="s">
        <v>137</v>
      </c>
      <c r="B47" s="7" t="s">
        <v>138</v>
      </c>
      <c r="C47" s="8">
        <v>116306</v>
      </c>
      <c r="D47" s="9">
        <f t="shared" si="1"/>
        <v>2.6700183654729108</v>
      </c>
      <c r="E47" s="7" t="s">
        <v>139</v>
      </c>
      <c r="F47" s="7" t="s">
        <v>30</v>
      </c>
      <c r="G47" s="7" t="s">
        <v>140</v>
      </c>
      <c r="H47" s="7" t="s">
        <v>16</v>
      </c>
      <c r="I47" s="7" t="s">
        <v>209</v>
      </c>
      <c r="J47" s="7" t="s">
        <v>141</v>
      </c>
      <c r="K47" s="10">
        <v>1</v>
      </c>
      <c r="L47" s="10">
        <v>20090602</v>
      </c>
      <c r="M47" s="11">
        <v>350000</v>
      </c>
      <c r="N47" s="10">
        <v>0</v>
      </c>
      <c r="O47" s="7" t="s">
        <v>5</v>
      </c>
      <c r="P47" s="7"/>
    </row>
    <row r="48" spans="1:16">
      <c r="A48" s="7" t="s">
        <v>133</v>
      </c>
      <c r="B48" s="7" t="s">
        <v>134</v>
      </c>
      <c r="C48" s="8">
        <v>42563</v>
      </c>
      <c r="D48" s="9">
        <f t="shared" si="1"/>
        <v>0.97711202938475661</v>
      </c>
      <c r="E48" s="7" t="s">
        <v>135</v>
      </c>
      <c r="F48" s="7" t="s">
        <v>2</v>
      </c>
      <c r="G48" s="7" t="s">
        <v>17</v>
      </c>
      <c r="H48" s="7" t="s">
        <v>4</v>
      </c>
      <c r="I48" s="7" t="s">
        <v>343</v>
      </c>
      <c r="J48" s="7" t="s">
        <v>136</v>
      </c>
      <c r="K48" s="10">
        <v>1</v>
      </c>
      <c r="L48" s="10">
        <v>20090512</v>
      </c>
      <c r="M48" s="11">
        <v>1300000</v>
      </c>
      <c r="N48" s="10">
        <v>2009</v>
      </c>
      <c r="O48" s="7" t="s">
        <v>48</v>
      </c>
      <c r="P48" s="7" t="s">
        <v>49</v>
      </c>
    </row>
    <row r="49" spans="1:16">
      <c r="A49" s="7" t="s">
        <v>128</v>
      </c>
      <c r="B49" s="7" t="s">
        <v>129</v>
      </c>
      <c r="C49" s="8">
        <v>37184</v>
      </c>
      <c r="D49" s="9">
        <f t="shared" si="1"/>
        <v>0.85362718089990819</v>
      </c>
      <c r="E49" s="7" t="s">
        <v>130</v>
      </c>
      <c r="F49" s="7" t="s">
        <v>2</v>
      </c>
      <c r="G49" s="7" t="s">
        <v>131</v>
      </c>
      <c r="H49" s="7" t="s">
        <v>4</v>
      </c>
      <c r="I49" s="7" t="s">
        <v>209</v>
      </c>
      <c r="J49" s="7" t="s">
        <v>132</v>
      </c>
      <c r="K49" s="10">
        <v>1</v>
      </c>
      <c r="L49" s="10">
        <v>20090421</v>
      </c>
      <c r="M49" s="11">
        <v>317900</v>
      </c>
      <c r="N49" s="10">
        <v>2010</v>
      </c>
      <c r="O49" s="7" t="s">
        <v>35</v>
      </c>
      <c r="P49" s="7" t="s">
        <v>36</v>
      </c>
    </row>
    <row r="50" spans="1:16">
      <c r="A50" s="7" t="s">
        <v>125</v>
      </c>
      <c r="B50" s="7" t="s">
        <v>126</v>
      </c>
      <c r="C50" s="8">
        <v>34504</v>
      </c>
      <c r="D50" s="9">
        <f t="shared" si="1"/>
        <v>0.79210284664830122</v>
      </c>
      <c r="E50" s="7" t="s">
        <v>12</v>
      </c>
      <c r="F50" s="7" t="s">
        <v>6</v>
      </c>
      <c r="G50" s="7" t="s">
        <v>13</v>
      </c>
      <c r="H50" s="7" t="s">
        <v>14</v>
      </c>
      <c r="I50" s="7" t="s">
        <v>201</v>
      </c>
      <c r="J50" s="7" t="s">
        <v>127</v>
      </c>
      <c r="K50" s="10">
        <v>1</v>
      </c>
      <c r="L50" s="10">
        <v>20090416</v>
      </c>
      <c r="M50" s="11">
        <v>220000</v>
      </c>
      <c r="N50" s="10">
        <v>0</v>
      </c>
      <c r="O50" s="7" t="s">
        <v>5</v>
      </c>
      <c r="P50" s="7"/>
    </row>
    <row r="51" spans="1:16">
      <c r="A51" s="7" t="s">
        <v>121</v>
      </c>
      <c r="B51" s="7" t="s">
        <v>122</v>
      </c>
      <c r="C51" s="8">
        <v>57389</v>
      </c>
      <c r="D51" s="9">
        <f t="shared" si="1"/>
        <v>1.3174701561065199</v>
      </c>
      <c r="E51" s="7" t="s">
        <v>123</v>
      </c>
      <c r="F51" s="7" t="s">
        <v>2</v>
      </c>
      <c r="G51" s="7" t="s">
        <v>116</v>
      </c>
      <c r="H51" s="7" t="s">
        <v>27</v>
      </c>
      <c r="I51" s="7" t="s">
        <v>228</v>
      </c>
      <c r="J51" s="7" t="s">
        <v>124</v>
      </c>
      <c r="K51" s="10">
        <v>1</v>
      </c>
      <c r="L51" s="10">
        <v>20090227</v>
      </c>
      <c r="M51" s="11">
        <v>244000</v>
      </c>
      <c r="N51" s="10">
        <v>2009</v>
      </c>
      <c r="O51" s="7" t="s">
        <v>21</v>
      </c>
      <c r="P51" s="7" t="s">
        <v>22</v>
      </c>
    </row>
    <row r="52" spans="1:16">
      <c r="A52" s="7" t="s">
        <v>113</v>
      </c>
      <c r="B52" s="7" t="s">
        <v>114</v>
      </c>
      <c r="C52" s="8">
        <v>79828</v>
      </c>
      <c r="D52" s="9">
        <f t="shared" si="1"/>
        <v>1.8325987144168963</v>
      </c>
      <c r="E52" s="7" t="s">
        <v>115</v>
      </c>
      <c r="F52" s="7" t="s">
        <v>2</v>
      </c>
      <c r="G52" s="7" t="s">
        <v>116</v>
      </c>
      <c r="H52" s="7" t="s">
        <v>27</v>
      </c>
      <c r="I52" s="7" t="s">
        <v>228</v>
      </c>
      <c r="J52" s="7" t="s">
        <v>117</v>
      </c>
      <c r="K52" s="10">
        <v>2</v>
      </c>
      <c r="L52" s="10">
        <v>20090227</v>
      </c>
      <c r="M52" s="11">
        <v>494700</v>
      </c>
      <c r="N52" s="10">
        <v>0</v>
      </c>
      <c r="O52" s="7" t="s">
        <v>5</v>
      </c>
      <c r="P52" s="7"/>
    </row>
    <row r="53" spans="1:16">
      <c r="A53" s="7" t="s">
        <v>118</v>
      </c>
      <c r="B53" s="7" t="s">
        <v>119</v>
      </c>
      <c r="C53" s="8">
        <v>36551</v>
      </c>
      <c r="D53" s="9">
        <f t="shared" si="1"/>
        <v>0.83909550045913683</v>
      </c>
      <c r="E53" s="7" t="s">
        <v>120</v>
      </c>
      <c r="F53" s="7" t="s">
        <v>2</v>
      </c>
      <c r="G53" s="7" t="s">
        <v>116</v>
      </c>
      <c r="H53" s="7" t="s">
        <v>27</v>
      </c>
      <c r="I53" s="7" t="s">
        <v>228</v>
      </c>
      <c r="J53" s="7" t="s">
        <v>117</v>
      </c>
      <c r="K53" s="10">
        <v>2</v>
      </c>
      <c r="L53" s="10">
        <v>20090227</v>
      </c>
      <c r="M53" s="11">
        <v>494700</v>
      </c>
      <c r="N53" s="10">
        <v>0</v>
      </c>
      <c r="O53" s="7" t="s">
        <v>5</v>
      </c>
      <c r="P53" s="7"/>
    </row>
    <row r="54" spans="1:16">
      <c r="A54" s="7" t="s">
        <v>109</v>
      </c>
      <c r="B54" s="7" t="s">
        <v>110</v>
      </c>
      <c r="C54" s="8"/>
      <c r="D54" s="9">
        <f t="shared" si="1"/>
        <v>0</v>
      </c>
      <c r="E54" s="7" t="s">
        <v>111</v>
      </c>
      <c r="F54" s="7" t="s">
        <v>6</v>
      </c>
      <c r="G54" s="7" t="s">
        <v>26</v>
      </c>
      <c r="H54" s="7" t="s">
        <v>8</v>
      </c>
      <c r="I54" s="7" t="s">
        <v>228</v>
      </c>
      <c r="J54" s="7" t="s">
        <v>112</v>
      </c>
      <c r="K54" s="10">
        <v>1</v>
      </c>
      <c r="L54" s="10">
        <v>20081230</v>
      </c>
      <c r="M54" s="11">
        <v>800000</v>
      </c>
      <c r="N54" s="10">
        <v>1918</v>
      </c>
      <c r="O54" s="7"/>
      <c r="P54" s="7"/>
    </row>
    <row r="55" spans="1:16">
      <c r="A55" s="7" t="s">
        <v>105</v>
      </c>
      <c r="B55" s="7" t="s">
        <v>106</v>
      </c>
      <c r="C55" s="8">
        <v>27945</v>
      </c>
      <c r="D55" s="9">
        <f t="shared" si="1"/>
        <v>0.64152892561983466</v>
      </c>
      <c r="E55" s="7" t="s">
        <v>107</v>
      </c>
      <c r="F55" s="7" t="s">
        <v>6</v>
      </c>
      <c r="G55" s="7" t="s">
        <v>7</v>
      </c>
      <c r="H55" s="7" t="s">
        <v>8</v>
      </c>
      <c r="I55" s="7" t="s">
        <v>223</v>
      </c>
      <c r="J55" s="7" t="s">
        <v>108</v>
      </c>
      <c r="K55" s="10">
        <v>1</v>
      </c>
      <c r="L55" s="10">
        <v>20090205</v>
      </c>
      <c r="M55" s="11">
        <v>765000</v>
      </c>
      <c r="N55" s="10">
        <v>2009</v>
      </c>
      <c r="O55" s="7" t="s">
        <v>28</v>
      </c>
      <c r="P55" s="7" t="s">
        <v>29</v>
      </c>
    </row>
    <row r="56" spans="1:16">
      <c r="A56" s="7" t="s">
        <v>57</v>
      </c>
      <c r="B56" s="7" t="s">
        <v>58</v>
      </c>
      <c r="C56" s="8">
        <v>144837</v>
      </c>
      <c r="D56" s="9">
        <f t="shared" si="1"/>
        <v>3.3250000000000002</v>
      </c>
      <c r="E56" s="7" t="s">
        <v>59</v>
      </c>
      <c r="F56" s="7" t="s">
        <v>6</v>
      </c>
      <c r="G56" s="7" t="s">
        <v>40</v>
      </c>
      <c r="H56" s="7" t="s">
        <v>27</v>
      </c>
      <c r="I56" s="7" t="s">
        <v>201</v>
      </c>
      <c r="J56" s="7" t="s">
        <v>104</v>
      </c>
      <c r="K56" s="10">
        <v>1</v>
      </c>
      <c r="L56" s="10">
        <v>20090106</v>
      </c>
      <c r="M56" s="11">
        <v>700000</v>
      </c>
      <c r="N56" s="10">
        <v>0</v>
      </c>
      <c r="O56" s="7" t="s">
        <v>5</v>
      </c>
      <c r="P56" s="7"/>
    </row>
    <row r="57" spans="1:16">
      <c r="A57" s="7" t="s">
        <v>100</v>
      </c>
      <c r="B57" s="7" t="s">
        <v>101</v>
      </c>
      <c r="C57" s="8">
        <v>43443</v>
      </c>
      <c r="D57" s="9">
        <f t="shared" si="1"/>
        <v>0.99731404958677683</v>
      </c>
      <c r="E57" s="7" t="s">
        <v>102</v>
      </c>
      <c r="F57" s="7" t="s">
        <v>6</v>
      </c>
      <c r="G57" s="7" t="s">
        <v>33</v>
      </c>
      <c r="H57" s="7" t="s">
        <v>27</v>
      </c>
      <c r="I57" s="7" t="s">
        <v>209</v>
      </c>
      <c r="J57" s="7" t="s">
        <v>103</v>
      </c>
      <c r="K57" s="10">
        <v>1</v>
      </c>
      <c r="L57" s="10">
        <v>20090105</v>
      </c>
      <c r="M57" s="11">
        <v>1300000</v>
      </c>
      <c r="N57" s="10">
        <v>2009</v>
      </c>
      <c r="O57" s="7" t="s">
        <v>48</v>
      </c>
      <c r="P57" s="7" t="s">
        <v>49</v>
      </c>
    </row>
    <row r="58" spans="1:16">
      <c r="A58" s="7" t="s">
        <v>344</v>
      </c>
      <c r="B58" s="7" t="s">
        <v>345</v>
      </c>
      <c r="C58" s="8">
        <v>158602</v>
      </c>
      <c r="D58" s="9">
        <f t="shared" si="1"/>
        <v>3.6410009182736456</v>
      </c>
      <c r="E58" s="7" t="s">
        <v>346</v>
      </c>
      <c r="F58" s="7" t="s">
        <v>6</v>
      </c>
      <c r="G58" s="7" t="s">
        <v>347</v>
      </c>
      <c r="H58" s="7" t="s">
        <v>9</v>
      </c>
      <c r="I58" s="7" t="s">
        <v>209</v>
      </c>
      <c r="J58" s="7" t="s">
        <v>348</v>
      </c>
      <c r="K58" s="10">
        <v>1</v>
      </c>
      <c r="L58" s="10">
        <v>20081224</v>
      </c>
      <c r="M58" s="11">
        <v>4900000</v>
      </c>
      <c r="N58" s="10">
        <v>1981</v>
      </c>
      <c r="O58" s="7" t="s">
        <v>349</v>
      </c>
      <c r="P58" s="7" t="s">
        <v>350</v>
      </c>
    </row>
    <row r="59" spans="1:16">
      <c r="A59" s="7" t="s">
        <v>97</v>
      </c>
      <c r="B59" s="7" t="s">
        <v>98</v>
      </c>
      <c r="C59" s="8">
        <v>144284</v>
      </c>
      <c r="D59" s="9">
        <f t="shared" si="1"/>
        <v>3.3123048668503214</v>
      </c>
      <c r="E59" s="7" t="s">
        <v>351</v>
      </c>
      <c r="F59" s="7" t="s">
        <v>6</v>
      </c>
      <c r="G59" s="7" t="s">
        <v>67</v>
      </c>
      <c r="H59" s="7" t="s">
        <v>16</v>
      </c>
      <c r="I59" s="7" t="s">
        <v>223</v>
      </c>
      <c r="J59" s="7" t="s">
        <v>99</v>
      </c>
      <c r="K59" s="10">
        <v>1</v>
      </c>
      <c r="L59" s="10">
        <v>20081219</v>
      </c>
      <c r="M59" s="11">
        <v>2328200</v>
      </c>
      <c r="N59" s="10">
        <v>2011</v>
      </c>
      <c r="O59" s="7" t="s">
        <v>352</v>
      </c>
      <c r="P59" s="7" t="s">
        <v>353</v>
      </c>
    </row>
    <row r="60" spans="1:16">
      <c r="A60" s="7" t="s">
        <v>92</v>
      </c>
      <c r="B60" s="7" t="s">
        <v>93</v>
      </c>
      <c r="C60" s="8">
        <v>45155</v>
      </c>
      <c r="D60" s="9">
        <f t="shared" si="1"/>
        <v>1.0366161616161615</v>
      </c>
      <c r="E60" s="7" t="s">
        <v>94</v>
      </c>
      <c r="F60" s="7" t="s">
        <v>2</v>
      </c>
      <c r="G60" s="7" t="s">
        <v>95</v>
      </c>
      <c r="H60" s="7" t="s">
        <v>4</v>
      </c>
      <c r="I60" s="7" t="s">
        <v>272</v>
      </c>
      <c r="J60" s="7" t="s">
        <v>96</v>
      </c>
      <c r="K60" s="10">
        <v>1</v>
      </c>
      <c r="L60" s="10">
        <v>20081031</v>
      </c>
      <c r="M60" s="11">
        <v>850000</v>
      </c>
      <c r="N60" s="10">
        <v>2008</v>
      </c>
      <c r="O60" s="7" t="s">
        <v>48</v>
      </c>
      <c r="P60" s="7" t="s">
        <v>49</v>
      </c>
    </row>
    <row r="61" spans="1:16">
      <c r="A61" s="7" t="s">
        <v>354</v>
      </c>
      <c r="B61" s="7" t="s">
        <v>355</v>
      </c>
      <c r="C61" s="8">
        <v>50623</v>
      </c>
      <c r="D61" s="9">
        <f t="shared" si="1"/>
        <v>1.1621441689623508</v>
      </c>
      <c r="E61" s="7" t="s">
        <v>89</v>
      </c>
      <c r="F61" s="7" t="s">
        <v>6</v>
      </c>
      <c r="G61" s="7" t="s">
        <v>90</v>
      </c>
      <c r="H61" s="7" t="s">
        <v>16</v>
      </c>
      <c r="I61" s="7" t="s">
        <v>272</v>
      </c>
      <c r="J61" s="7" t="s">
        <v>91</v>
      </c>
      <c r="K61" s="10">
        <v>2</v>
      </c>
      <c r="L61" s="10">
        <v>20081014</v>
      </c>
      <c r="M61" s="11">
        <v>295000</v>
      </c>
      <c r="N61" s="10">
        <v>2009</v>
      </c>
      <c r="O61" s="7" t="s">
        <v>45</v>
      </c>
      <c r="P61" s="7" t="s">
        <v>46</v>
      </c>
    </row>
    <row r="62" spans="1:16">
      <c r="A62" s="7" t="s">
        <v>87</v>
      </c>
      <c r="B62" s="7" t="s">
        <v>88</v>
      </c>
      <c r="C62" s="8">
        <v>55635</v>
      </c>
      <c r="D62" s="9">
        <f t="shared" si="1"/>
        <v>1.2772038567493114</v>
      </c>
      <c r="E62" s="7" t="s">
        <v>89</v>
      </c>
      <c r="F62" s="7" t="s">
        <v>6</v>
      </c>
      <c r="G62" s="7" t="s">
        <v>90</v>
      </c>
      <c r="H62" s="7" t="s">
        <v>16</v>
      </c>
      <c r="I62" s="7" t="s">
        <v>272</v>
      </c>
      <c r="J62" s="7" t="s">
        <v>91</v>
      </c>
      <c r="K62" s="10">
        <v>2</v>
      </c>
      <c r="L62" s="10">
        <v>20081014</v>
      </c>
      <c r="M62" s="11">
        <v>295000</v>
      </c>
      <c r="N62" s="10">
        <v>2009</v>
      </c>
      <c r="O62" s="7" t="s">
        <v>45</v>
      </c>
      <c r="P62" s="7" t="s">
        <v>46</v>
      </c>
    </row>
    <row r="63" spans="1:16">
      <c r="A63" s="7" t="s">
        <v>83</v>
      </c>
      <c r="B63" s="7" t="s">
        <v>84</v>
      </c>
      <c r="C63" s="8">
        <v>53760</v>
      </c>
      <c r="D63" s="9">
        <f t="shared" si="1"/>
        <v>1.2341597796143251</v>
      </c>
      <c r="E63" s="7" t="s">
        <v>85</v>
      </c>
      <c r="F63" s="7" t="s">
        <v>2</v>
      </c>
      <c r="G63" s="7" t="s">
        <v>81</v>
      </c>
      <c r="H63" s="7" t="s">
        <v>4</v>
      </c>
      <c r="I63" s="7" t="s">
        <v>214</v>
      </c>
      <c r="J63" s="7" t="s">
        <v>86</v>
      </c>
      <c r="K63" s="10">
        <v>1</v>
      </c>
      <c r="L63" s="10">
        <v>20080924</v>
      </c>
      <c r="M63" s="11">
        <v>425000</v>
      </c>
      <c r="N63" s="10">
        <v>0</v>
      </c>
      <c r="O63" s="7" t="s">
        <v>5</v>
      </c>
      <c r="P63" s="7"/>
    </row>
    <row r="64" spans="1:16">
      <c r="A64" s="7" t="s">
        <v>78</v>
      </c>
      <c r="B64" s="7" t="s">
        <v>79</v>
      </c>
      <c r="C64" s="8">
        <v>44867</v>
      </c>
      <c r="D64" s="9">
        <f t="shared" si="1"/>
        <v>1.0300045913682276</v>
      </c>
      <c r="E64" s="7" t="s">
        <v>80</v>
      </c>
      <c r="F64" s="7" t="s">
        <v>2</v>
      </c>
      <c r="G64" s="7" t="s">
        <v>81</v>
      </c>
      <c r="H64" s="7" t="s">
        <v>39</v>
      </c>
      <c r="I64" s="7" t="s">
        <v>201</v>
      </c>
      <c r="J64" s="7" t="s">
        <v>82</v>
      </c>
      <c r="K64" s="10">
        <v>1</v>
      </c>
      <c r="L64" s="10">
        <v>20080918</v>
      </c>
      <c r="M64" s="11">
        <v>327500</v>
      </c>
      <c r="N64" s="10">
        <v>2012</v>
      </c>
      <c r="O64" s="7" t="s">
        <v>10</v>
      </c>
      <c r="P64" s="7" t="s">
        <v>11</v>
      </c>
    </row>
    <row r="65" spans="1:16">
      <c r="A65" s="7" t="s">
        <v>73</v>
      </c>
      <c r="B65" s="7" t="s">
        <v>74</v>
      </c>
      <c r="C65" s="8">
        <v>59618</v>
      </c>
      <c r="D65" s="9">
        <f t="shared" si="1"/>
        <v>1.3686409550045913</v>
      </c>
      <c r="E65" s="7" t="s">
        <v>75</v>
      </c>
      <c r="F65" s="7" t="s">
        <v>2</v>
      </c>
      <c r="G65" s="7" t="s">
        <v>76</v>
      </c>
      <c r="H65" s="7" t="s">
        <v>20</v>
      </c>
      <c r="I65" s="7" t="s">
        <v>209</v>
      </c>
      <c r="J65" s="7" t="s">
        <v>77</v>
      </c>
      <c r="K65" s="10">
        <v>1</v>
      </c>
      <c r="L65" s="10">
        <v>20080814</v>
      </c>
      <c r="M65" s="11">
        <v>564300</v>
      </c>
      <c r="N65" s="10">
        <v>0</v>
      </c>
      <c r="O65" s="7" t="s">
        <v>5</v>
      </c>
      <c r="P65" s="7"/>
    </row>
    <row r="66" spans="1:16">
      <c r="A66" s="7" t="s">
        <v>68</v>
      </c>
      <c r="B66" s="7" t="s">
        <v>69</v>
      </c>
      <c r="C66" s="8">
        <v>83200</v>
      </c>
      <c r="D66" s="9">
        <f>C66/43560</f>
        <v>1.9100091827364554</v>
      </c>
      <c r="E66" s="7" t="s">
        <v>70</v>
      </c>
      <c r="F66" s="7" t="s">
        <v>6</v>
      </c>
      <c r="G66" s="7" t="s">
        <v>71</v>
      </c>
      <c r="H66" s="7" t="s">
        <v>9</v>
      </c>
      <c r="I66" s="7" t="s">
        <v>201</v>
      </c>
      <c r="J66" s="7" t="s">
        <v>72</v>
      </c>
      <c r="K66" s="10">
        <v>2</v>
      </c>
      <c r="L66" s="10">
        <v>20080815</v>
      </c>
      <c r="M66" s="11">
        <v>1250000</v>
      </c>
      <c r="N66" s="10">
        <v>0</v>
      </c>
      <c r="O66" s="7" t="s">
        <v>5</v>
      </c>
      <c r="P66" s="7"/>
    </row>
    <row r="67" spans="1:16">
      <c r="A67" s="7" t="s">
        <v>62</v>
      </c>
      <c r="B67" s="7" t="s">
        <v>63</v>
      </c>
      <c r="C67" s="8">
        <v>27878</v>
      </c>
      <c r="D67" s="9">
        <f>C67/43560</f>
        <v>0.63999081726354456</v>
      </c>
      <c r="E67" s="7" t="s">
        <v>64</v>
      </c>
      <c r="F67" s="7" t="s">
        <v>2</v>
      </c>
      <c r="G67" s="7" t="s">
        <v>65</v>
      </c>
      <c r="H67" s="7" t="s">
        <v>4</v>
      </c>
      <c r="I67" s="7" t="s">
        <v>228</v>
      </c>
      <c r="J67" s="7" t="s">
        <v>66</v>
      </c>
      <c r="K67" s="10">
        <v>1</v>
      </c>
      <c r="L67" s="10">
        <v>20080702</v>
      </c>
      <c r="M67" s="11">
        <v>115000</v>
      </c>
      <c r="N67" s="10">
        <v>0</v>
      </c>
      <c r="O67" s="7" t="s">
        <v>5</v>
      </c>
      <c r="P67" s="7"/>
    </row>
  </sheetData>
  <mergeCells count="2">
    <mergeCell ref="E1:H1"/>
    <mergeCell ref="O1:P1"/>
  </mergeCells>
  <phoneticPr fontId="3" type="noConversion"/>
  <conditionalFormatting sqref="A2:A67">
    <cfRule type="cellIs" dxfId="1" priority="1" stopIfTrue="1" operator="notEqual">
      <formula>0</formula>
    </cfRule>
  </conditionalFormatting>
  <conditionalFormatting sqref="M2:M67">
    <cfRule type="cellIs" dxfId="0" priority="2" stopIfTrue="1" operator="notEqual">
      <formula>0</formula>
    </cfRule>
  </conditionalFormatting>
  <pageMargins left="0.25" right="0.25" top="0.5" bottom="0.5" header="0.25" footer="0.25"/>
  <pageSetup paperSize="5" orientation="landscape" horizontalDpi="300" verticalDpi="300" r:id="rId1"/>
  <headerFooter alignWithMargins="0">
    <oddHeader>&amp;LJefferson County Qualified Commercial Land Sales:  July 2008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Commercial Land</vt:lpstr>
      <vt:lpstr>'Commercial Land'!Print_Titles</vt:lpstr>
      <vt:lpstr>'Commercial Land'!Query_from_Commercial2011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dcterms:created xsi:type="dcterms:W3CDTF">2011-04-19T19:59:58Z</dcterms:created>
  <dcterms:modified xsi:type="dcterms:W3CDTF">2013-05-30T17:51:11Z</dcterms:modified>
</cp:coreProperties>
</file>